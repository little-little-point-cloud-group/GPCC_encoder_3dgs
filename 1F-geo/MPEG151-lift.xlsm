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bartender_track" sheetId="5" state="visible" r:id="rId5"/>
    <sheet name="breakfast_track" sheetId="6" state="visible" r:id="rId6"/>
    <sheet name="cinema_track" sheetId="7" state="visible" r:id="rId7"/>
    <sheet name="ManWithFruit" sheetId="8" state="visible" r:id="rId8"/>
    <sheet name="LEGO_Ferrari" sheetId="9" state="visible" r:id="rId9"/>
    <sheet name="LEGO_Bugatti" sheetId="10" state="visible" r:id="rId10"/>
    <sheet name="Plant" sheetId="11" state="visible" r:id="rId11"/>
    <sheet name="Tennis_Player" sheetId="12" state="visible" r:id="rId12"/>
    <sheet name="Cricket_Player" sheetId="13" state="visible" r:id="rId13"/>
    <sheet name="Tango_Duo" sheetId="14" state="visible" r:id="rId14"/>
    <sheet name="Solo_Tango_Female" sheetId="15" state="visible" r:id="rId15"/>
    <sheet name="Solo_Tango_Male" sheetId="16" state="visible" r:id="rId16"/>
    <sheet name="BlueBackpack_UVGgs_0100" sheetId="17" state="visible" r:id="rId17"/>
    <sheet name="BlueBackpack_UVGgs_0200" sheetId="18" state="visible" r:id="rId18"/>
    <sheet name="FlowerDance_UVGgs_0000" sheetId="19" state="visible" r:id="rId19"/>
    <sheet name="FlowerDance_UVGgs_0200" sheetId="20" state="visible" r:id="rId20"/>
    <sheet name="Gymnast_UVGgs_0100" sheetId="21" state="visible" r:id="rId21"/>
    <sheet name="Gymnast_UVGgs_0200" sheetId="22" state="visible" r:id="rId22"/>
    <sheet name="artwork" sheetId="23" state="visible" r:id="rId23"/>
    <sheet name="panda" sheetId="24" state="visible" r:id="rId24"/>
    <sheet name="wukong" sheetId="25" state="visible" r:id="rId25"/>
  </sheets>
  <definedNames/>
  <calcPr calcId="191028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  <font>
      <name val="宋体"/>
      <charset val="128"/>
      <family val="3"/>
      <b val="1"/>
      <color theme="1"/>
      <sz val="10"/>
      <scheme val="minor"/>
    </font>
    <font>
      <name val="宋体"/>
      <charset val="129"/>
      <family val="3"/>
      <color theme="1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71" fontId="20" fillId="0" borderId="0"/>
  </cellStyleXfs>
  <cellXfs count="362">
    <xf numFmtId="0" fontId="0" fillId="0" borderId="0" pivotButton="0" quotePrefix="0" xfId="0"/>
    <xf numFmtId="0" fontId="4" fillId="3" borderId="0" pivotButton="0" quotePrefix="1" xfId="0"/>
    <xf numFmtId="0" fontId="17" fillId="0" borderId="0" pivotButton="0" quotePrefix="0" xfId="0"/>
    <xf numFmtId="0" fontId="0" fillId="0" borderId="5" applyAlignment="1" pivotButton="0" quotePrefix="0" xfId="0">
      <alignment horizontal="center"/>
    </xf>
    <xf numFmtId="0" fontId="10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4" fillId="3" borderId="0" applyAlignment="1" pivotButton="0" quotePrefix="0" xfId="0">
      <alignment horizontal="center"/>
    </xf>
    <xf numFmtId="10" fontId="6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4" fillId="3" borderId="0" pivotButton="0" quotePrefix="0" xfId="0"/>
    <xf numFmtId="1" fontId="4" fillId="3" borderId="0" pivotButton="0" quotePrefix="0" xfId="0"/>
    <xf numFmtId="0" fontId="3" fillId="3" borderId="0" pivotButton="0" quotePrefix="0" xfId="0"/>
    <xf numFmtId="0" fontId="11" fillId="3" borderId="0" pivotButton="0" quotePrefix="0" xfId="0"/>
    <xf numFmtId="0" fontId="4" fillId="3" borderId="0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166" fontId="0" fillId="0" borderId="0" pivotButton="0" quotePrefix="0" xfId="0"/>
    <xf numFmtId="165" fontId="18" fillId="0" borderId="5" applyAlignment="1" pivotButton="0" quotePrefix="0" xfId="0">
      <alignment horizontal="center" vertical="center"/>
    </xf>
    <xf numFmtId="167" fontId="4" fillId="3" borderId="0" pivotButton="0" quotePrefix="0" xfId="0"/>
    <xf numFmtId="168" fontId="4" fillId="3" borderId="0" pivotButton="0" quotePrefix="0" xfId="0"/>
    <xf numFmtId="0" fontId="10" fillId="3" borderId="4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0" fontId="16" fillId="3" borderId="8" applyAlignment="1" pivotButton="0" quotePrefix="0" xfId="0">
      <alignment horizontal="center" vertical="center" wrapText="1"/>
    </xf>
    <xf numFmtId="2" fontId="4" fillId="3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23" fillId="3" borderId="0" pivotButton="0" quotePrefix="1" xfId="0"/>
    <xf numFmtId="0" fontId="8" fillId="3" borderId="4" applyAlignment="1" pivotButton="0" quotePrefix="0" xfId="0">
      <alignment horizontal="center" vertical="center"/>
    </xf>
    <xf numFmtId="0" fontId="4" fillId="5" borderId="7" applyAlignment="1" pivotButton="0" quotePrefix="0" xfId="0">
      <alignment horizontal="center" vertical="center"/>
    </xf>
    <xf numFmtId="1" fontId="4" fillId="5" borderId="1" applyAlignment="1" pivotButton="0" quotePrefix="0" xfId="0">
      <alignment horizontal="center" vertical="center"/>
    </xf>
    <xf numFmtId="0" fontId="4" fillId="5" borderId="11" applyAlignment="1" pivotButton="0" quotePrefix="0" xfId="0">
      <alignment horizontal="center" vertical="center"/>
    </xf>
    <xf numFmtId="1" fontId="4" fillId="5" borderId="0" applyAlignment="1" pivotButton="0" quotePrefix="0" xfId="0">
      <alignment horizontal="center" vertical="center"/>
    </xf>
    <xf numFmtId="0" fontId="4" fillId="5" borderId="12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/>
    </xf>
    <xf numFmtId="0" fontId="4" fillId="3" borderId="13" applyAlignment="1" pivotButton="0" quotePrefix="0" xfId="0">
      <alignment horizontal="center" vertical="center"/>
    </xf>
    <xf numFmtId="167" fontId="4" fillId="3" borderId="13" applyAlignment="1" pivotButton="0" quotePrefix="0" xfId="0">
      <alignment horizontal="center" vertical="center"/>
    </xf>
    <xf numFmtId="2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1" fontId="4" fillId="3" borderId="13" applyAlignment="1" pivotButton="0" quotePrefix="0" xfId="0">
      <alignment horizontal="center" vertical="center"/>
    </xf>
    <xf numFmtId="1" fontId="4" fillId="3" borderId="14" applyAlignment="1" pivotButton="0" quotePrefix="0" xfId="0">
      <alignment horizontal="center" vertical="center"/>
    </xf>
    <xf numFmtId="1" fontId="4" fillId="5" borderId="13" applyAlignment="1" pivotButton="0" quotePrefix="0" xfId="0">
      <alignment horizontal="center" vertical="center"/>
    </xf>
    <xf numFmtId="10" fontId="6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vertical="center"/>
    </xf>
    <xf numFmtId="168" fontId="4" fillId="3" borderId="0" applyAlignment="1" pivotButton="0" quotePrefix="0" xfId="0">
      <alignment vertical="center"/>
    </xf>
    <xf numFmtId="2" fontId="6" fillId="3" borderId="0" applyAlignment="1" pivotButton="0" quotePrefix="0" xfId="0">
      <alignment horizontal="right" vertical="center"/>
    </xf>
    <xf numFmtId="0" fontId="4" fillId="5" borderId="13" applyAlignment="1" pivotButton="0" quotePrefix="0" xfId="0">
      <alignment horizontal="center" vertical="center"/>
    </xf>
    <xf numFmtId="0" fontId="9" fillId="3" borderId="0" applyAlignment="1" pivotButton="0" quotePrefix="0" xfId="0">
      <alignment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5" borderId="11" applyAlignment="1" pivotButton="0" quotePrefix="0" xfId="0">
      <alignment horizontal="center" vertical="center"/>
    </xf>
    <xf numFmtId="10" fontId="6" fillId="5" borderId="10" applyAlignment="1" pivotButton="0" quotePrefix="0" xfId="0">
      <alignment horizontal="center" vertical="center"/>
    </xf>
    <xf numFmtId="10" fontId="6" fillId="5" borderId="11" applyAlignment="1" pivotButton="0" quotePrefix="0" xfId="0">
      <alignment horizontal="center" vertical="center"/>
    </xf>
    <xf numFmtId="0" fontId="4" fillId="5" borderId="11" applyAlignment="1" pivotButton="0" quotePrefix="0" xfId="0">
      <alignment vertical="center"/>
    </xf>
    <xf numFmtId="0" fontId="4" fillId="5" borderId="10" applyAlignment="1" pivotButton="0" quotePrefix="0" xfId="0">
      <alignment vertical="center"/>
    </xf>
    <xf numFmtId="0" fontId="4" fillId="5" borderId="12" applyAlignment="1" pivotButton="0" quotePrefix="0" xfId="0">
      <alignment vertical="center"/>
    </xf>
    <xf numFmtId="0" fontId="4" fillId="5" borderId="13" applyAlignment="1" pivotButton="0" quotePrefix="0" xfId="0">
      <alignment vertical="center"/>
    </xf>
    <xf numFmtId="0" fontId="4" fillId="5" borderId="14" applyAlignment="1" pivotButton="0" quotePrefix="0" xfId="0">
      <alignment vertical="center"/>
    </xf>
    <xf numFmtId="0" fontId="23" fillId="3" borderId="17" pivotButton="0" quotePrefix="0" xfId="0"/>
    <xf numFmtId="0" fontId="23" fillId="2" borderId="17" pivotButton="0" quotePrefix="0" xfId="0"/>
    <xf numFmtId="0" fontId="23" fillId="5" borderId="17" pivotButton="0" quotePrefix="0" xfId="0"/>
    <xf numFmtId="0" fontId="0" fillId="3" borderId="0" pivotButton="0" quotePrefix="1" xfId="0"/>
    <xf numFmtId="0" fontId="2" fillId="3" borderId="0" pivotButton="0" quotePrefix="1" xfId="0"/>
    <xf numFmtId="2" fontId="4" fillId="5" borderId="1" applyAlignment="1" pivotButton="0" quotePrefix="0" xfId="0">
      <alignment horizontal="center" vertical="center"/>
    </xf>
    <xf numFmtId="168" fontId="4" fillId="5" borderId="1" applyAlignment="1" pivotButton="0" quotePrefix="0" xfId="0">
      <alignment horizontal="center" vertical="center"/>
    </xf>
    <xf numFmtId="2" fontId="4" fillId="5" borderId="0" applyAlignment="1" pivotButton="0" quotePrefix="0" xfId="0">
      <alignment horizontal="center" vertical="center"/>
    </xf>
    <xf numFmtId="168" fontId="4" fillId="5" borderId="0" applyAlignment="1" pivotButton="0" quotePrefix="0" xfId="0">
      <alignment horizontal="center" vertical="center"/>
    </xf>
    <xf numFmtId="1" fontId="4" fillId="5" borderId="10" applyAlignment="1" pivotButton="0" quotePrefix="0" xfId="0">
      <alignment horizontal="center" vertical="center"/>
    </xf>
    <xf numFmtId="2" fontId="4" fillId="5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" fontId="4" fillId="5" borderId="14" applyAlignment="1" pivotButton="0" quotePrefix="0" xfId="0">
      <alignment horizontal="center" vertical="center"/>
    </xf>
    <xf numFmtId="2" fontId="4" fillId="2" borderId="1" applyAlignment="1" pivotButton="0" quotePrefix="0" xfId="0">
      <alignment horizontal="center" vertical="center"/>
    </xf>
    <xf numFmtId="2" fontId="4" fillId="2" borderId="0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2" fontId="18" fillId="0" borderId="0" pivotButton="0" quotePrefix="0" xfId="0"/>
    <xf numFmtId="165" fontId="18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vertical="center"/>
    </xf>
    <xf numFmtId="2" fontId="21" fillId="0" borderId="0" pivotButton="0" quotePrefix="0" xfId="0"/>
    <xf numFmtId="0" fontId="12" fillId="0" borderId="0" pivotButton="0" quotePrefix="0" xfId="0"/>
    <xf numFmtId="0" fontId="15" fillId="0" borderId="10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7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8" fillId="0" borderId="10" applyAlignment="1" pivotButton="0" quotePrefix="0" xfId="0">
      <alignment horizontal="center"/>
    </xf>
    <xf numFmtId="2" fontId="18" fillId="0" borderId="14" applyAlignment="1" pivotButton="0" quotePrefix="0" xfId="0">
      <alignment horizontal="center"/>
    </xf>
    <xf numFmtId="2" fontId="21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8" fillId="0" borderId="2" applyAlignment="1" pivotButton="0" quotePrefix="0" xfId="0">
      <alignment horizontal="center"/>
    </xf>
    <xf numFmtId="2" fontId="21" fillId="0" borderId="6" applyAlignment="1" pivotButton="0" quotePrefix="0" xfId="0">
      <alignment horizontal="center" vertical="center"/>
    </xf>
    <xf numFmtId="2" fontId="21" fillId="0" borderId="12" applyAlignment="1" pivotButton="0" quotePrefix="0" xfId="0">
      <alignment horizontal="center"/>
    </xf>
    <xf numFmtId="2" fontId="21" fillId="0" borderId="13" applyAlignment="1" pivotButton="0" quotePrefix="0" xfId="0">
      <alignment horizontal="center"/>
    </xf>
    <xf numFmtId="2" fontId="2" fillId="2" borderId="0" applyAlignment="1" pivotButton="0" quotePrefix="0" xfId="0">
      <alignment horizontal="center"/>
    </xf>
    <xf numFmtId="0" fontId="10" fillId="3" borderId="0" applyAlignment="1" pivotButton="0" quotePrefix="0" xfId="0">
      <alignment vertical="center"/>
    </xf>
    <xf numFmtId="2" fontId="6" fillId="3" borderId="11" applyAlignment="1" pivotButton="0" quotePrefix="0" xfId="0">
      <alignment horizontal="center" vertical="center"/>
    </xf>
    <xf numFmtId="2" fontId="6" fillId="3" borderId="10" applyAlignment="1" pivotButton="0" quotePrefix="0" xfId="0">
      <alignment horizontal="center" vertical="center"/>
    </xf>
    <xf numFmtId="0" fontId="15" fillId="0" borderId="7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0" fontId="4" fillId="3" borderId="0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" fontId="4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vertical="center"/>
    </xf>
    <xf numFmtId="2" fontId="6" fillId="3" borderId="1" applyAlignment="1" pivotButton="0" quotePrefix="0" xfId="0">
      <alignment horizontal="center" vertical="center"/>
    </xf>
    <xf numFmtId="2" fontId="4" fillId="3" borderId="2" applyAlignment="1" pivotButton="0" quotePrefix="0" xfId="0">
      <alignment horizontal="center" vertical="center"/>
    </xf>
    <xf numFmtId="2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/>
    </xf>
    <xf numFmtId="2" fontId="4" fillId="3" borderId="1" pivotButton="0" quotePrefix="0" xfId="0"/>
    <xf numFmtId="168" fontId="4" fillId="3" borderId="1" pivotButton="0" quotePrefix="0" xfId="0"/>
    <xf numFmtId="1" fontId="4" fillId="3" borderId="2" pivotButton="0" quotePrefix="0" xfId="0"/>
    <xf numFmtId="0" fontId="25" fillId="3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  <xf numFmtId="170" fontId="4" fillId="3" borderId="13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2" fontId="6" fillId="3" borderId="7" applyAlignment="1" pivotButton="0" quotePrefix="0" xfId="0">
      <alignment horizontal="center" vertical="center"/>
    </xf>
    <xf numFmtId="2" fontId="6" fillId="3" borderId="2" applyAlignment="1" pivotButton="0" quotePrefix="0" xfId="0">
      <alignment horizontal="center" vertical="center"/>
    </xf>
    <xf numFmtId="2" fontId="6" fillId="3" borderId="0" applyAlignment="1" pivotButton="0" quotePrefix="0" xfId="0">
      <alignment horizontal="center" vertical="center"/>
    </xf>
    <xf numFmtId="2" fontId="6" fillId="3" borderId="12" applyAlignment="1" pivotButton="0" quotePrefix="0" xfId="0">
      <alignment horizontal="center" vertical="center"/>
    </xf>
    <xf numFmtId="2" fontId="6" fillId="3" borderId="13" applyAlignment="1" pivotButton="0" quotePrefix="0" xfId="0">
      <alignment horizontal="center" vertical="center"/>
    </xf>
    <xf numFmtId="2" fontId="6" fillId="3" borderId="14" applyAlignment="1" pivotButton="0" quotePrefix="0" xfId="0">
      <alignment horizontal="center" vertical="center"/>
    </xf>
    <xf numFmtId="3" fontId="4" fillId="3" borderId="1" applyAlignment="1" pivotButton="0" quotePrefix="0" xfId="0">
      <alignment horizontal="right" vertical="center" wrapText="1"/>
    </xf>
    <xf numFmtId="3" fontId="4" fillId="3" borderId="0" applyAlignment="1" pivotButton="0" quotePrefix="0" xfId="0">
      <alignment horizontal="right" vertical="center"/>
    </xf>
    <xf numFmtId="3" fontId="4" fillId="2" borderId="1" applyAlignment="1" pivotButton="0" quotePrefix="0" xfId="5">
      <alignment horizontal="right" vertical="center"/>
    </xf>
    <xf numFmtId="3" fontId="4" fillId="3" borderId="0" applyAlignment="1" pivotButton="0" quotePrefix="0" xfId="0">
      <alignment horizontal="center" vertical="center"/>
    </xf>
    <xf numFmtId="3" fontId="4" fillId="2" borderId="10" applyAlignment="1" pivotButton="0" quotePrefix="0" xfId="0">
      <alignment horizontal="center" vertical="center"/>
    </xf>
    <xf numFmtId="3" fontId="4" fillId="3" borderId="10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/>
    </xf>
    <xf numFmtId="0" fontId="4" fillId="5" borderId="8" applyAlignment="1" pivotButton="0" quotePrefix="0" xfId="0">
      <alignment horizontal="center" vertical="center"/>
    </xf>
    <xf numFmtId="167" fontId="4" fillId="5" borderId="8" applyAlignment="1" pivotButton="0" quotePrefix="0" xfId="0">
      <alignment horizontal="center" vertical="center"/>
    </xf>
    <xf numFmtId="2" fontId="4" fillId="5" borderId="8" applyAlignment="1" pivotButton="0" quotePrefix="0" xfId="0">
      <alignment horizontal="center" vertical="center"/>
    </xf>
    <xf numFmtId="1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0" fontId="4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8" fillId="4" borderId="7" applyAlignment="1" pivotButton="0" quotePrefix="0" xfId="0">
      <alignment vertical="center"/>
    </xf>
    <xf numFmtId="2" fontId="4" fillId="5" borderId="2" applyAlignment="1" pivotButton="0" quotePrefix="0" xfId="0">
      <alignment horizontal="center" vertical="center"/>
    </xf>
    <xf numFmtId="3" fontId="4" fillId="2" borderId="0" applyAlignment="1" pivotButton="0" quotePrefix="0" xfId="5">
      <alignment horizontal="right" vertical="center"/>
    </xf>
    <xf numFmtId="2" fontId="4" fillId="5" borderId="10" applyAlignment="1" pivotButton="0" quotePrefix="0" xfId="0">
      <alignment horizontal="center" vertical="center"/>
    </xf>
    <xf numFmtId="2" fontId="4" fillId="5" borderId="14" applyAlignment="1" pivotButton="0" quotePrefix="0" xfId="0">
      <alignment horizontal="center" vertical="center"/>
    </xf>
    <xf numFmtId="0" fontId="5" fillId="3" borderId="12" applyAlignment="1" pivotButton="0" quotePrefix="0" xfId="0">
      <alignment horizontal="center" vertical="center"/>
    </xf>
    <xf numFmtId="0" fontId="24" fillId="3" borderId="4" applyAlignment="1" pivotButton="0" quotePrefix="0" xfId="0">
      <alignment horizontal="center" vertical="center"/>
    </xf>
    <xf numFmtId="0" fontId="4" fillId="5" borderId="0" applyAlignment="1" pivotButton="0" quotePrefix="0" xfId="0">
      <alignment vertical="center"/>
    </xf>
    <xf numFmtId="3" fontId="4" fillId="3" borderId="1" applyAlignment="1" pivotButton="0" quotePrefix="0" xfId="0">
      <alignment horizontal="center" vertical="center"/>
    </xf>
    <xf numFmtId="0" fontId="9" fillId="3" borderId="2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4" fillId="3" borderId="7" pivotButton="0" quotePrefix="0" xfId="0"/>
    <xf numFmtId="3" fontId="4" fillId="3" borderId="0" applyAlignment="1" pivotButton="0" quotePrefix="0" xfId="0">
      <alignment horizontal="right" vertical="center" wrapText="1"/>
    </xf>
    <xf numFmtId="2" fontId="4" fillId="3" borderId="0" applyAlignment="1" pivotButton="0" quotePrefix="0" xfId="5">
      <alignment horizontal="center" vertical="center"/>
    </xf>
    <xf numFmtId="0" fontId="4" fillId="3" borderId="11" applyAlignment="1" pivotButton="0" quotePrefix="0" xfId="0">
      <alignment vertical="center"/>
    </xf>
    <xf numFmtId="165" fontId="6" fillId="5" borderId="0" applyAlignment="1" pivotButton="0" quotePrefix="0" xfId="0">
      <alignment horizontal="center" vertical="center"/>
    </xf>
    <xf numFmtId="10" fontId="6" fillId="5" borderId="0" applyAlignment="1" pivotButton="0" quotePrefix="0" xfId="0">
      <alignment horizontal="center" vertical="center"/>
    </xf>
    <xf numFmtId="0" fontId="4" fillId="3" borderId="12" applyAlignment="1" pivotButton="0" quotePrefix="0" xfId="0">
      <alignment vertical="center"/>
    </xf>
    <xf numFmtId="0" fontId="8" fillId="4" borderId="4" applyAlignment="1" pivotButton="0" quotePrefix="0" xfId="0">
      <alignment vertical="center"/>
    </xf>
    <xf numFmtId="0" fontId="4" fillId="3" borderId="1" pivotButton="0" quotePrefix="0" xfId="0"/>
    <xf numFmtId="0" fontId="4" fillId="3" borderId="2" pivotButton="0" quotePrefix="0" xfId="0"/>
    <xf numFmtId="2" fontId="4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3" fontId="4" fillId="2" borderId="1" applyAlignment="1" pivotButton="0" quotePrefix="0" xfId="0">
      <alignment horizontal="right" vertical="center"/>
    </xf>
    <xf numFmtId="3" fontId="4" fillId="2" borderId="0" applyAlignment="1" pivotButton="0" quotePrefix="0" xfId="0">
      <alignment horizontal="right" vertical="center"/>
    </xf>
    <xf numFmtId="3" fontId="4" fillId="5" borderId="0" applyAlignment="1" pivotButton="0" quotePrefix="0" xfId="0">
      <alignment horizontal="center" vertical="center"/>
    </xf>
    <xf numFmtId="3" fontId="4" fillId="5" borderId="13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0" fontId="2" fillId="3" borderId="0" pivotButton="0" quotePrefix="0" xfId="0"/>
    <xf numFmtId="0" fontId="2" fillId="0" borderId="0" pivotButton="0" quotePrefix="1" xfId="0"/>
    <xf numFmtId="0" fontId="2" fillId="0" borderId="0" applyAlignment="1" pivotButton="0" quotePrefix="1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2" fillId="0" borderId="0" pivotButton="0" quotePrefix="0" xfId="0"/>
    <xf numFmtId="0" fontId="4" fillId="5" borderId="0" applyAlignment="1" pivotButton="0" quotePrefix="0" xfId="0">
      <alignment horizontal="center" vertical="center"/>
    </xf>
    <xf numFmtId="2" fontId="4" fillId="2" borderId="0" applyAlignment="1" pivotButton="0" quotePrefix="0" xfId="5">
      <alignment horizontal="center" vertical="center"/>
    </xf>
    <xf numFmtId="169" fontId="24" fillId="5" borderId="0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9" fontId="20" fillId="3" borderId="18" applyAlignment="1" pivotButton="0" quotePrefix="0" xfId="8">
      <alignment horizontal="center"/>
    </xf>
    <xf numFmtId="9" fontId="20" fillId="3" borderId="19" applyAlignment="1" pivotButton="0" quotePrefix="0" xfId="8">
      <alignment horizontal="center"/>
    </xf>
    <xf numFmtId="9" fontId="20" fillId="3" borderId="20" applyAlignment="1" pivotButton="0" quotePrefix="0" xfId="8">
      <alignment horizontal="center"/>
    </xf>
    <xf numFmtId="9" fontId="20" fillId="3" borderId="21" applyAlignment="1" pivotButton="0" quotePrefix="0" xfId="8">
      <alignment horizontal="center"/>
    </xf>
    <xf numFmtId="9" fontId="20" fillId="3" borderId="22" applyAlignment="1" pivotButton="0" quotePrefix="0" xfId="8">
      <alignment horizontal="center"/>
    </xf>
    <xf numFmtId="9" fontId="12" fillId="3" borderId="23" applyAlignment="1" pivotButton="0" quotePrefix="0" xfId="8">
      <alignment horizontal="center"/>
    </xf>
    <xf numFmtId="9" fontId="12" fillId="3" borderId="24" applyAlignment="1" pivotButton="0" quotePrefix="0" xfId="8">
      <alignment horizontal="center"/>
    </xf>
    <xf numFmtId="0" fontId="16" fillId="3" borderId="25" applyAlignment="1" pivotButton="0" quotePrefix="0" xfId="0">
      <alignment horizontal="center" vertical="center" wrapText="1"/>
    </xf>
    <xf numFmtId="164" fontId="19" fillId="3" borderId="25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/>
    </xf>
    <xf numFmtId="2" fontId="18" fillId="0" borderId="0" applyAlignment="1" pivotButton="0" quotePrefix="0" xfId="0">
      <alignment horizontal="center"/>
    </xf>
    <xf numFmtId="0" fontId="27" fillId="3" borderId="0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/>
    </xf>
    <xf numFmtId="0" fontId="15" fillId="0" borderId="5" applyAlignment="1" pivotButton="0" quotePrefix="0" xfId="0">
      <alignment horizontal="center"/>
    </xf>
    <xf numFmtId="0" fontId="1" fillId="3" borderId="0" pivotButton="0" quotePrefix="1" xfId="0"/>
    <xf numFmtId="2" fontId="4" fillId="2" borderId="13" applyAlignment="1" pivotButton="0" quotePrefix="0" xfId="0">
      <alignment horizontal="center" vertical="center"/>
    </xf>
    <xf numFmtId="3" fontId="4" fillId="2" borderId="13" applyAlignment="1" pivotButton="0" quotePrefix="0" xfId="5">
      <alignment horizontal="right" vertical="center"/>
    </xf>
    <xf numFmtId="3" fontId="4" fillId="3" borderId="13" applyAlignment="1" pivotButton="0" quotePrefix="0" xfId="0">
      <alignment horizontal="right" vertical="center"/>
    </xf>
    <xf numFmtId="0" fontId="16" fillId="3" borderId="19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/>
    </xf>
    <xf numFmtId="0" fontId="1" fillId="6" borderId="16" applyAlignment="1" pivotButton="0" quotePrefix="0" xfId="0">
      <alignment horizontal="left" vertical="center"/>
    </xf>
    <xf numFmtId="0" fontId="1" fillId="7" borderId="16" applyAlignment="1" pivotButton="0" quotePrefix="0" xfId="0">
      <alignment horizontal="left" vertical="center"/>
    </xf>
    <xf numFmtId="0" fontId="10" fillId="6" borderId="0" pivotButton="0" quotePrefix="0" xfId="0"/>
    <xf numFmtId="0" fontId="10" fillId="7" borderId="0" pivotButton="0" quotePrefix="0" xfId="0"/>
    <xf numFmtId="0" fontId="10" fillId="0" borderId="0" pivotButton="0" quotePrefix="0" xfId="0"/>
    <xf numFmtId="0" fontId="5" fillId="3" borderId="7" applyAlignment="1" pivotButton="0" quotePrefix="0" xfId="0">
      <alignment horizontal="center" vertical="center"/>
    </xf>
    <xf numFmtId="0" fontId="4" fillId="5" borderId="16" applyAlignment="1" pivotButton="0" quotePrefix="0" xfId="0">
      <alignment horizontal="center" vertical="center"/>
    </xf>
    <xf numFmtId="0" fontId="4" fillId="5" borderId="15" applyAlignment="1" pivotButton="0" quotePrefix="0" xfId="0">
      <alignment horizontal="center" vertical="center"/>
    </xf>
    <xf numFmtId="2" fontId="4" fillId="5" borderId="15" applyAlignment="1" pivotButton="0" quotePrefix="0" xfId="0">
      <alignment horizontal="center" vertical="center"/>
    </xf>
    <xf numFmtId="2" fontId="4" fillId="2" borderId="15" applyAlignment="1" pivotButton="0" quotePrefix="0" xfId="5">
      <alignment horizontal="center" vertical="center"/>
    </xf>
    <xf numFmtId="2" fontId="4" fillId="2" borderId="15" applyAlignment="1" pivotButton="0" quotePrefix="0" xfId="0">
      <alignment horizontal="center" vertical="center"/>
    </xf>
    <xf numFmtId="169" fontId="24" fillId="5" borderId="15" applyAlignment="1" pivotButton="0" quotePrefix="0" xfId="0">
      <alignment horizontal="center" vertical="center"/>
    </xf>
    <xf numFmtId="1" fontId="4" fillId="5" borderId="15" applyAlignment="1" pivotButton="0" quotePrefix="0" xfId="0">
      <alignment horizontal="center" vertical="center"/>
    </xf>
    <xf numFmtId="3" fontId="4" fillId="2" borderId="27" applyAlignment="1" pivotButton="0" quotePrefix="0" xfId="0">
      <alignment horizontal="center" vertical="center"/>
    </xf>
    <xf numFmtId="2" fontId="4" fillId="2" borderId="13" applyAlignment="1" pivotButton="0" quotePrefix="0" xfId="5">
      <alignment horizontal="center" vertical="center"/>
    </xf>
    <xf numFmtId="9" fontId="20" fillId="3" borderId="28" applyAlignment="1" pivotButton="0" quotePrefix="0" xfId="8">
      <alignment horizontal="center"/>
    </xf>
    <xf numFmtId="3" fontId="4" fillId="2" borderId="14" applyAlignment="1" pivotButton="0" quotePrefix="0" xfId="0">
      <alignment horizontal="center" vertical="center"/>
    </xf>
    <xf numFmtId="0" fontId="1" fillId="3" borderId="0" pivotButton="0" quotePrefix="0" xfId="0"/>
    <xf numFmtId="14" fontId="1" fillId="3" borderId="0" applyAlignment="1" pivotButton="0" quotePrefix="1" xfId="0">
      <alignment horizontal="left"/>
    </xf>
    <xf numFmtId="0" fontId="1" fillId="3" borderId="0" applyAlignment="1" pivotButton="0" quotePrefix="0" xfId="0">
      <alignment horizontal="left" vertical="center"/>
    </xf>
    <xf numFmtId="0" fontId="1" fillId="3" borderId="0" applyAlignment="1" pivotButton="0" quotePrefix="0" xfId="0">
      <alignment horizontal="center" vertical="center"/>
    </xf>
    <xf numFmtId="14" fontId="10" fillId="2" borderId="0" applyAlignment="1" pivotButton="0" quotePrefix="1" xfId="0">
      <alignment horizontal="left"/>
    </xf>
    <xf numFmtId="0" fontId="12" fillId="3" borderId="13" applyAlignment="1" pivotButton="0" quotePrefix="0" xfId="0">
      <alignment horizontal="center"/>
    </xf>
    <xf numFmtId="0" fontId="12" fillId="3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12" fillId="0" borderId="11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2" fillId="0" borderId="10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0" pivotButton="0" quotePrefix="0" xfId="0"/>
    <xf numFmtId="14" fontId="12" fillId="2" borderId="0" applyAlignment="1" pivotButton="0" quotePrefix="0" xfId="0">
      <alignment horizontal="center" vertical="center"/>
    </xf>
    <xf numFmtId="0" fontId="12" fillId="2" borderId="0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/>
    </xf>
    <xf numFmtId="0" fontId="4" fillId="3" borderId="6" applyAlignment="1" pivotButton="0" quotePrefix="0" xfId="0">
      <alignment horizontal="center" vertical="center"/>
    </xf>
    <xf numFmtId="0" fontId="7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4" fillId="3" borderId="26" applyAlignment="1" pivotButton="0" quotePrefix="0" xfId="0">
      <alignment horizontal="center" vertical="center" wrapText="1"/>
    </xf>
    <xf numFmtId="0" fontId="0" fillId="3" borderId="5" applyAlignment="1" pivotButton="0" quotePrefix="0" xfId="0">
      <alignment horizontal="center" vertical="center" wrapText="1"/>
    </xf>
    <xf numFmtId="0" fontId="0" fillId="3" borderId="6" applyAlignment="1" pivotButton="0" quotePrefix="0" xfId="0">
      <alignment horizontal="center" vertical="center" wrapText="1"/>
    </xf>
    <xf numFmtId="0" fontId="7" fillId="3" borderId="0" applyAlignment="1" pivotButton="0" quotePrefix="0" xfId="0">
      <alignment horizontal="center"/>
    </xf>
    <xf numFmtId="0" fontId="0" fillId="3" borderId="0" pivotButton="0" quotePrefix="0" xfId="0"/>
    <xf numFmtId="0" fontId="4" fillId="3" borderId="3" applyAlignment="1" pivotButton="0" quotePrefix="1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9" fillId="3" borderId="0" applyAlignment="1" pivotButton="0" quotePrefix="0" xfId="0">
      <alignment horizont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1" fontId="4" fillId="3" borderId="1" applyAlignment="1" pivotButton="0" quotePrefix="0" xfId="0">
      <alignment horizontal="center" vertical="center" wrapText="1"/>
    </xf>
    <xf numFmtId="1" fontId="4" fillId="3" borderId="13" applyAlignment="1" pivotButton="0" quotePrefix="0" xfId="0">
      <alignment horizontal="center" vertical="center"/>
    </xf>
    <xf numFmtId="0" fontId="7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9" fillId="3" borderId="4" applyAlignment="1" pivotButton="0" quotePrefix="0" xfId="0">
      <alignment horizontal="center" vertical="center"/>
    </xf>
    <xf numFmtId="0" fontId="9" fillId="3" borderId="8" applyAlignment="1" pivotButton="0" quotePrefix="0" xfId="0">
      <alignment horizontal="center" vertical="center"/>
    </xf>
    <xf numFmtId="0" fontId="9" fillId="3" borderId="9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 wrapText="1"/>
    </xf>
    <xf numFmtId="1" fontId="4" fillId="3" borderId="14" applyAlignment="1" pivotButton="0" quotePrefix="0" xfId="0">
      <alignment horizontal="center" vertical="center" wrapText="1"/>
    </xf>
    <xf numFmtId="0" fontId="0" fillId="0" borderId="13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25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0" fontId="2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8" fillId="0" borderId="5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165" fontId="18" fillId="0" borderId="0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7" fontId="4" fillId="3" borderId="0" pivotButton="0" quotePrefix="0" xfId="0"/>
    <xf numFmtId="168" fontId="4" fillId="3" borderId="0" pivotButton="0" quotePrefix="0" xfId="0"/>
    <xf numFmtId="0" fontId="0" fillId="0" borderId="8" pivotButton="0" quotePrefix="0" xfId="0"/>
    <xf numFmtId="0" fontId="0" fillId="0" borderId="9" pivotButton="0" quotePrefix="0" xfId="0"/>
    <xf numFmtId="0" fontId="9" fillId="3" borderId="29" applyAlignment="1" pivotButton="0" quotePrefix="0" xfId="0">
      <alignment horizontal="center" vertical="center"/>
    </xf>
    <xf numFmtId="168" fontId="4" fillId="3" borderId="0" applyAlignment="1" pivotButton="0" quotePrefix="0" xfId="0">
      <alignment vertical="center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8" applyAlignment="1" pivotButton="0" quotePrefix="0" xfId="0">
      <alignment horizontal="center" vertical="center" wrapText="1"/>
    </xf>
    <xf numFmtId="1" fontId="4" fillId="3" borderId="9" applyAlignment="1" pivotButton="0" quotePrefix="0" xfId="0">
      <alignment horizontal="center" vertical="center" wrapText="1"/>
    </xf>
    <xf numFmtId="167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4" fillId="5" borderId="0" applyAlignment="1" pivotButton="0" quotePrefix="0" xfId="0">
      <alignment horizontal="center"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/>
    </xf>
    <xf numFmtId="0" fontId="0" fillId="0" borderId="5" pivotButton="0" quotePrefix="0" xfId="0"/>
    <xf numFmtId="165" fontId="6" fillId="5" borderId="11" applyAlignment="1" pivotButton="0" quotePrefix="0" xfId="0">
      <alignment horizontal="center" vertical="center"/>
    </xf>
    <xf numFmtId="165" fontId="6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168" fontId="4" fillId="3" borderId="1" pivotButton="0" quotePrefix="0" xfId="0"/>
    <xf numFmtId="168" fontId="4" fillId="5" borderId="1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4" fillId="3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0" fontId="4" fillId="3" borderId="30" applyAlignment="1" pivotButton="0" quotePrefix="0" xfId="0">
      <alignment horizontal="center" vertical="center" wrapText="1"/>
    </xf>
    <xf numFmtId="169" fontId="24" fillId="5" borderId="15" applyAlignment="1" pivotButton="0" quotePrefix="0" xfId="0">
      <alignment horizontal="center" vertical="center"/>
    </xf>
    <xf numFmtId="169" fontId="24" fillId="5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Relationship Type="http://schemas.microsoft.com/office/2006/relationships/vbaProject" Target="vbaProject.bin" Id="rId28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'RGB-PSNR'!$L$84:$L$88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'RGB-PSNR'!$L$95:$L$99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'RGB-PSNR'!$L$106:$L$110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'RGB-PSNR'!$L$117:$L$121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'RGB-PSNR'!$M$117:$M$121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'RGB-PSNR'!$L$128:$L$132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'RGB-PSNR'!$M$128:$M$132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'RGB-PSNR'!$L$139:$L$143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'RGB-PSNR'!$M$139:$M$143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'RGB-PSNR'!$L$150:$L$154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'RGB-PSNR'!$M$150:$M$154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'RGB-PSNR'!$L$161:$L$165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'RGB-PSNR'!$M$161:$M$165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'RGB-PSNR'!$L$172:$L$176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'RGB-PSNR'!$M$172:$M$176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'RGB-PSNR'!$L$183:$L$187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'RGB-PSNR'!$M$183:$M$187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'RGB-PSNR'!$L$194:$L$198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'RGB-PSNR'!$M$194:$M$198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'RGB-PSNR'!$L$205:$L$209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'RGB-PSNR'!$M$205:$M$209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'RGB-PSNR'!$L$216:$L$220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'RGB-PSNR'!$M$216:$M$220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'RGB-PSNR'!$L$227:$L$231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'RGB-PSNR'!$M$227:$M$231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'YUV-PSNR'!$L$106:$L$110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'YUV-PSNR'!$L$117:$L$121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'YUV-PSNR'!$M$117:$M$121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'YUV-PSNR'!$L$128:$L$132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'YUV-PSNR'!$M$128:$M$132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'YUV-PSNR'!$L$139:$L$143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'YUV-PSNR'!$M$139:$M$143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'YUV-PSNR'!$L$150:$L$154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'YUV-PSNR'!$M$150:$M$154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'YUV-PSNR'!$L$161:$L$165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'YUV-PSNR'!$M$161:$M$165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'YUV-PSNR'!$L$172:$L$176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'YUV-PSNR'!$M$172:$M$176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'YUV-PSNR'!$L$183:$L$187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'YUV-PSNR'!$M$183:$M$187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'YUV-PSNR'!$L$194:$L$198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'YUV-PSNR'!$M$194:$M$198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'YUV-PSNR'!$L$205:$L$209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'YUV-PSNR'!$M$205:$M$209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'YUV-PSNR'!$L$216:$L$220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'YUV-PSNR'!$M$216:$M$220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'YUV-PSNR'!$L$227:$L$231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'YUV-PSNR'!$M$227:$M$231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'YUV-SSIM'!$L$84:$L$88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'YUV-SSIM'!$L$95:$L$99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'YUV-SSIM'!$L$106:$L$110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'YUV-SSIM'!$L$117:$L$121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'YUV-SSIM'!$M$117:$M$121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'YUV-SSIM'!$L$128:$L$132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'YUV-SSIM'!$M$128:$M$132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'YUV-SSIM'!$L$139:$L$143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'YUV-SSIM'!$M$139:$M$143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'YUV-SSIM'!$L$150:$L$154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'YUV-SSIM'!$M$150:$M$154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'YUV-SSIM'!$L$161:$L$165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'YUV-SSIM'!$M$161:$M$165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'YUV-SSIM'!$L$172:$L$176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'YUV-SSIM'!$M$172:$M$176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'YUV-SSIM'!$L$183:$L$187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'YUV-SSIM'!$M$183:$M$187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'YUV-SSIM'!$L$194:$L$198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'YUV-SSIM'!$M$194:$M$198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'YUV-SSIM'!$L$205:$L$209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'YUV-SSIM'!$M$205:$M$209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'YUV-SSIM'!$L$216:$L$220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'YUV-SSIM'!$M$216:$M$220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'YUV-SSIM'!$L$227:$L$231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'YUV-SSIM'!$M$227:$M$231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Relationship Type="http://schemas.openxmlformats.org/officeDocument/2006/relationships/chart" Target="/xl/charts/chart16.xml" Id="rId16" /><Relationship Type="http://schemas.openxmlformats.org/officeDocument/2006/relationships/chart" Target="/xl/charts/chart17.xml" Id="rId17" /><Relationship Type="http://schemas.openxmlformats.org/officeDocument/2006/relationships/chart" Target="/xl/charts/chart18.xml" Id="rId18" /><Relationship Type="http://schemas.openxmlformats.org/officeDocument/2006/relationships/chart" Target="/xl/charts/chart19.xml" Id="rId19" /><Relationship Type="http://schemas.openxmlformats.org/officeDocument/2006/relationships/chart" Target="/xl/charts/chart20.xml" Id="rId20" /><Relationship Type="http://schemas.openxmlformats.org/officeDocument/2006/relationships/chart" Target="/xl/charts/chart21.xml" Id="rId2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2.xml" Id="rId1" /><Relationship Type="http://schemas.openxmlformats.org/officeDocument/2006/relationships/chart" Target="/xl/charts/chart23.xml" Id="rId2" /><Relationship Type="http://schemas.openxmlformats.org/officeDocument/2006/relationships/chart" Target="/xl/charts/chart24.xml" Id="rId3" /><Relationship Type="http://schemas.openxmlformats.org/officeDocument/2006/relationships/chart" Target="/xl/charts/chart25.xml" Id="rId4" /><Relationship Type="http://schemas.openxmlformats.org/officeDocument/2006/relationships/chart" Target="/xl/charts/chart26.xml" Id="rId5" /><Relationship Type="http://schemas.openxmlformats.org/officeDocument/2006/relationships/chart" Target="/xl/charts/chart27.xml" Id="rId6" /><Relationship Type="http://schemas.openxmlformats.org/officeDocument/2006/relationships/chart" Target="/xl/charts/chart28.xml" Id="rId7" /><Relationship Type="http://schemas.openxmlformats.org/officeDocument/2006/relationships/chart" Target="/xl/charts/chart29.xml" Id="rId8" /><Relationship Type="http://schemas.openxmlformats.org/officeDocument/2006/relationships/chart" Target="/xl/charts/chart30.xml" Id="rId9" /><Relationship Type="http://schemas.openxmlformats.org/officeDocument/2006/relationships/chart" Target="/xl/charts/chart31.xml" Id="rId10" /><Relationship Type="http://schemas.openxmlformats.org/officeDocument/2006/relationships/chart" Target="/xl/charts/chart32.xml" Id="rId11" /><Relationship Type="http://schemas.openxmlformats.org/officeDocument/2006/relationships/chart" Target="/xl/charts/chart33.xml" Id="rId12" /><Relationship Type="http://schemas.openxmlformats.org/officeDocument/2006/relationships/chart" Target="/xl/charts/chart34.xml" Id="rId13" /><Relationship Type="http://schemas.openxmlformats.org/officeDocument/2006/relationships/chart" Target="/xl/charts/chart35.xml" Id="rId14" /><Relationship Type="http://schemas.openxmlformats.org/officeDocument/2006/relationships/chart" Target="/xl/charts/chart36.xml" Id="rId15" /><Relationship Type="http://schemas.openxmlformats.org/officeDocument/2006/relationships/chart" Target="/xl/charts/chart37.xml" Id="rId16" /><Relationship Type="http://schemas.openxmlformats.org/officeDocument/2006/relationships/chart" Target="/xl/charts/chart38.xml" Id="rId17" /><Relationship Type="http://schemas.openxmlformats.org/officeDocument/2006/relationships/chart" Target="/xl/charts/chart39.xml" Id="rId18" /><Relationship Type="http://schemas.openxmlformats.org/officeDocument/2006/relationships/chart" Target="/xl/charts/chart40.xml" Id="rId19" /><Relationship Type="http://schemas.openxmlformats.org/officeDocument/2006/relationships/chart" Target="/xl/charts/chart41.xml" Id="rId20" /><Relationship Type="http://schemas.openxmlformats.org/officeDocument/2006/relationships/chart" Target="/xl/charts/chart42.xml" Id="rId2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43.xml" Id="rId1" /><Relationship Type="http://schemas.openxmlformats.org/officeDocument/2006/relationships/chart" Target="/xl/charts/chart44.xml" Id="rId2" /><Relationship Type="http://schemas.openxmlformats.org/officeDocument/2006/relationships/chart" Target="/xl/charts/chart45.xml" Id="rId3" /><Relationship Type="http://schemas.openxmlformats.org/officeDocument/2006/relationships/chart" Target="/xl/charts/chart46.xml" Id="rId4" /><Relationship Type="http://schemas.openxmlformats.org/officeDocument/2006/relationships/chart" Target="/xl/charts/chart47.xml" Id="rId5" /><Relationship Type="http://schemas.openxmlformats.org/officeDocument/2006/relationships/chart" Target="/xl/charts/chart48.xml" Id="rId6" /><Relationship Type="http://schemas.openxmlformats.org/officeDocument/2006/relationships/chart" Target="/xl/charts/chart49.xml" Id="rId7" /><Relationship Type="http://schemas.openxmlformats.org/officeDocument/2006/relationships/chart" Target="/xl/charts/chart50.xml" Id="rId8" /><Relationship Type="http://schemas.openxmlformats.org/officeDocument/2006/relationships/chart" Target="/xl/charts/chart51.xml" Id="rId9" /><Relationship Type="http://schemas.openxmlformats.org/officeDocument/2006/relationships/chart" Target="/xl/charts/chart52.xml" Id="rId10" /><Relationship Type="http://schemas.openxmlformats.org/officeDocument/2006/relationships/chart" Target="/xl/charts/chart53.xml" Id="rId11" /><Relationship Type="http://schemas.openxmlformats.org/officeDocument/2006/relationships/chart" Target="/xl/charts/chart54.xml" Id="rId12" /><Relationship Type="http://schemas.openxmlformats.org/officeDocument/2006/relationships/chart" Target="/xl/charts/chart55.xml" Id="rId13" /><Relationship Type="http://schemas.openxmlformats.org/officeDocument/2006/relationships/chart" Target="/xl/charts/chart56.xml" Id="rId14" /><Relationship Type="http://schemas.openxmlformats.org/officeDocument/2006/relationships/chart" Target="/xl/charts/chart57.xml" Id="rId15" /><Relationship Type="http://schemas.openxmlformats.org/officeDocument/2006/relationships/chart" Target="/xl/charts/chart58.xml" Id="rId16" /><Relationship Type="http://schemas.openxmlformats.org/officeDocument/2006/relationships/chart" Target="/xl/charts/chart59.xml" Id="rId17" /><Relationship Type="http://schemas.openxmlformats.org/officeDocument/2006/relationships/chart" Target="/xl/charts/chart60.xml" Id="rId18" /><Relationship Type="http://schemas.openxmlformats.org/officeDocument/2006/relationships/chart" Target="/xl/charts/chart61.xml" Id="rId19" /><Relationship Type="http://schemas.openxmlformats.org/officeDocument/2006/relationships/chart" Target="/xl/charts/chart62.xml" Id="rId20" /><Relationship Type="http://schemas.openxmlformats.org/officeDocument/2006/relationships/chart" Target="/xl/charts/chart63.xml" Id="rId2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196849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196849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187324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200024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196849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190499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165099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165099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165099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165099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200024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196849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200024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203199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16782</colOff>
      <row>56</row>
      <rowOff>190499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16782</colOff>
      <row>78</row>
      <rowOff>190499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206374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203199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206374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36"/>
  <sheetViews>
    <sheetView tabSelected="1" workbookViewId="0">
      <selection activeCell="D15" sqref="D15"/>
    </sheetView>
  </sheetViews>
  <sheetFormatPr baseColWidth="8" defaultColWidth="8.59765625" defaultRowHeight="14.4" outlineLevelCol="0"/>
  <cols>
    <col width="1.59765625" bestFit="1" customWidth="1" style="13" min="1" max="1"/>
    <col width="22.09765625" customWidth="1" style="13" min="2" max="2"/>
    <col width="12.5" customWidth="1" style="13" min="3" max="3"/>
    <col width="9.59765625" bestFit="1" customWidth="1" style="13" min="4" max="5"/>
    <col width="9.69921875" customWidth="1" style="13" min="6" max="14"/>
    <col width="7.09765625" customWidth="1" style="13" min="15" max="15"/>
    <col width="7.19921875" customWidth="1" style="13" min="16" max="16"/>
    <col width="8.59765625" customWidth="1" style="13" min="17" max="16384"/>
  </cols>
  <sheetData>
    <row r="1">
      <c r="A1" s="218" t="inlineStr">
        <is>
          <t>  </t>
        </is>
      </c>
      <c r="B1" s="247" t="n"/>
      <c r="C1" s="247" t="n"/>
      <c r="D1" s="218" t="inlineStr">
        <is>
          <t>               </t>
        </is>
      </c>
      <c r="E1" s="218" t="inlineStr">
        <is>
          <t>               </t>
        </is>
      </c>
      <c r="F1" s="218" t="n"/>
      <c r="G1" s="218" t="n"/>
      <c r="H1" s="218" t="n"/>
      <c r="I1" s="218" t="n"/>
      <c r="J1" s="218" t="n"/>
      <c r="K1" s="218" t="n"/>
      <c r="L1" s="218" t="n"/>
      <c r="M1" s="218" t="n"/>
      <c r="N1" s="218" t="n"/>
      <c r="O1" s="218" t="n"/>
      <c r="P1" s="218" t="inlineStr">
        <is>
          <t>  </t>
        </is>
      </c>
    </row>
    <row r="2">
      <c r="A2" s="247" t="n"/>
      <c r="B2" s="4" t="n"/>
      <c r="C2" s="248" t="n"/>
      <c r="D2" s="247" t="n"/>
      <c r="E2" s="247" t="n"/>
      <c r="F2" s="247" t="n"/>
      <c r="G2" s="247" t="n"/>
      <c r="H2" s="247" t="n"/>
      <c r="I2" s="247" t="n"/>
      <c r="J2" s="247" t="n"/>
      <c r="K2" s="247" t="n"/>
      <c r="L2" s="247" t="n"/>
      <c r="M2" s="247" t="n"/>
      <c r="N2" s="247" t="n"/>
      <c r="O2" s="247" t="n"/>
      <c r="P2" s="247" t="n"/>
    </row>
    <row r="3">
      <c r="A3" s="247" t="n"/>
      <c r="B3" s="4" t="inlineStr">
        <is>
          <t>Anchor</t>
        </is>
      </c>
      <c r="C3" s="251" t="inlineStr">
        <is>
          <t>MPEG151-lift</t>
        </is>
      </c>
      <c r="P3" s="247" t="n"/>
    </row>
    <row r="4">
      <c r="A4" s="247" t="n"/>
      <c r="B4" s="4" t="inlineStr">
        <is>
          <t>Proposal</t>
        </is>
      </c>
      <c r="C4" s="251" t="inlineStr">
        <is>
          <t>MPEG151-opt-raht</t>
        </is>
      </c>
      <c r="P4" s="247" t="n"/>
    </row>
    <row r="5">
      <c r="A5" s="247" t="n"/>
      <c r="B5" s="232" t="inlineStr">
        <is>
          <t>Mandatory</t>
        </is>
      </c>
      <c r="C5" s="248" t="n"/>
      <c r="D5" s="247" t="n"/>
      <c r="E5" s="247" t="n"/>
      <c r="F5" s="247" t="n"/>
      <c r="G5" s="247" t="n"/>
      <c r="H5" s="247" t="n"/>
      <c r="I5" s="247" t="n"/>
      <c r="J5" s="247" t="n"/>
      <c r="K5" s="247" t="n"/>
      <c r="L5" s="247" t="n"/>
      <c r="M5" s="247" t="n"/>
      <c r="N5" s="247" t="n"/>
      <c r="O5" s="247" t="n"/>
      <c r="P5" s="247" t="n"/>
    </row>
    <row r="6">
      <c r="A6" s="247" t="n"/>
      <c r="B6" s="233" t="inlineStr">
        <is>
          <t>Optional</t>
        </is>
      </c>
      <c r="C6" s="234" t="n"/>
      <c r="D6" s="247" t="n"/>
      <c r="E6" s="247" t="n"/>
      <c r="F6" s="247" t="n"/>
      <c r="G6" s="247" t="n"/>
      <c r="H6" s="247" t="n"/>
      <c r="I6" s="247" t="n"/>
      <c r="J6" s="247" t="n"/>
      <c r="K6" s="247" t="n"/>
      <c r="L6" s="247" t="n"/>
      <c r="M6" s="247" t="n"/>
      <c r="N6" s="247" t="n"/>
      <c r="O6" s="247" t="n"/>
      <c r="P6" s="247" t="n"/>
    </row>
    <row r="7" ht="16.5" customFormat="1" customHeight="1" s="14" thickBot="1">
      <c r="A7" s="188" t="n"/>
      <c r="B7" s="252" t="inlineStr">
        <is>
          <t>Forward facing content - Proposal vs. Anchor</t>
        </is>
      </c>
      <c r="C7" s="305" t="n"/>
      <c r="D7" s="305" t="n"/>
      <c r="E7" s="305" t="n"/>
      <c r="F7" s="305" t="n"/>
      <c r="G7" s="305" t="n"/>
      <c r="H7" s="305" t="n"/>
      <c r="I7" s="305" t="n"/>
      <c r="J7" s="305" t="n"/>
      <c r="K7" s="305" t="n"/>
      <c r="L7" s="305" t="n"/>
      <c r="M7" s="305" t="n"/>
      <c r="N7" s="305" t="n"/>
      <c r="O7" s="305" t="n"/>
      <c r="P7" s="188" t="n"/>
    </row>
    <row r="8" ht="30" customHeight="1" s="270" thickBot="1">
      <c r="A8" s="247" t="n"/>
      <c r="B8" s="25" t="inlineStr">
        <is>
          <t>Sequence</t>
        </is>
      </c>
      <c r="C8" s="27" t="inlineStr">
        <is>
          <t>BD-rate
RGB-PSNR</t>
        </is>
      </c>
      <c r="D8" s="27" t="inlineStr">
        <is>
          <t>BD-rate
YUV-PSNR</t>
        </is>
      </c>
      <c r="E8" s="27" t="inlineStr">
        <is>
          <t>BD-rate
YUV-SSIM</t>
        </is>
      </c>
      <c r="F8" s="27" t="inlineStr">
        <is>
          <t>EncT Total</t>
        </is>
      </c>
      <c r="G8" s="27" t="inlineStr">
        <is>
          <t>DecT Total</t>
        </is>
      </c>
      <c r="H8" s="27" t="inlineStr">
        <is>
          <t>EncT Geometry</t>
        </is>
      </c>
      <c r="I8" s="27" t="inlineStr">
        <is>
          <t>DecT Geometry</t>
        </is>
      </c>
      <c r="J8" s="27" t="inlineStr">
        <is>
          <t>EncT Attributes</t>
        </is>
      </c>
      <c r="K8" s="27" t="inlineStr">
        <is>
          <t>DecT Attributes</t>
        </is>
      </c>
      <c r="L8" s="27" t="inlineStr">
        <is>
          <t>MaxRSS Encoder</t>
        </is>
      </c>
      <c r="M8" s="27" t="inlineStr">
        <is>
          <t>MaxRSS Decoder</t>
        </is>
      </c>
      <c r="N8" s="27" t="inlineStr">
        <is>
          <t>vs GT (optional)</t>
        </is>
      </c>
      <c r="O8" s="222" t="n"/>
      <c r="P8" s="247" t="n"/>
    </row>
    <row r="9" ht="15.75" customHeight="1" s="270">
      <c r="A9" s="247" t="n"/>
      <c r="B9" s="230" t="inlineStr">
        <is>
          <t>bartender_track</t>
        </is>
      </c>
      <c r="C9" s="306">
        <f>INDIRECT($B9&amp;"!AY$5")</f>
        <v/>
      </c>
      <c r="D9" s="306">
        <f>INDIRECT($B9&amp;"!AZ$5")</f>
        <v/>
      </c>
      <c r="E9" s="306">
        <f>INDIRECT($B9&amp;"!BA$5")</f>
        <v/>
      </c>
      <c r="F9" s="306">
        <f>INDIRECT($B9&amp;"!AX$21")</f>
        <v/>
      </c>
      <c r="G9" s="306">
        <f>INDIRECT($B9&amp;"!AY$21")</f>
        <v/>
      </c>
      <c r="H9" s="306">
        <f>INDIRECT($B9&amp;"!AZ$21")</f>
        <v/>
      </c>
      <c r="I9" s="306">
        <f>INDIRECT($B9&amp;"!BA$21")</f>
        <v/>
      </c>
      <c r="J9" s="306">
        <f>INDIRECT($B9&amp;"!BB$21")</f>
        <v/>
      </c>
      <c r="K9" s="306">
        <f>INDIRECT($B9&amp;"!BC$21")</f>
        <v/>
      </c>
      <c r="L9" s="306">
        <f>INDIRECT($B9&amp;"!BD$21")</f>
        <v/>
      </c>
      <c r="M9" s="306">
        <f>INDIRECT($B9&amp;"!BE$21")</f>
        <v/>
      </c>
      <c r="N9" s="306">
        <f>INDIRECT($B9&amp;"!BC$5")</f>
        <v/>
      </c>
      <c r="O9" s="307" t="n"/>
      <c r="P9" s="247" t="n"/>
    </row>
    <row r="10" ht="15.75" customHeight="1" s="270">
      <c r="A10" s="247" t="n"/>
      <c r="B10" s="230" t="inlineStr">
        <is>
          <t>breakfast_track</t>
        </is>
      </c>
      <c r="C10" s="306">
        <f>INDIRECT($B10&amp;"!AY$5")</f>
        <v/>
      </c>
      <c r="D10" s="306">
        <f>INDIRECT($B10&amp;"!AZ$5")</f>
        <v/>
      </c>
      <c r="E10" s="306">
        <f>INDIRECT($B10&amp;"!BA$5")</f>
        <v/>
      </c>
      <c r="F10" s="306">
        <f>INDIRECT($B10&amp;"!AX$21")</f>
        <v/>
      </c>
      <c r="G10" s="306">
        <f>INDIRECT($B10&amp;"!AY$21")</f>
        <v/>
      </c>
      <c r="H10" s="306">
        <f>INDIRECT($B10&amp;"!AZ$21")</f>
        <v/>
      </c>
      <c r="I10" s="306">
        <f>INDIRECT($B10&amp;"!BA$21")</f>
        <v/>
      </c>
      <c r="J10" s="306">
        <f>INDIRECT($B10&amp;"!BB$21")</f>
        <v/>
      </c>
      <c r="K10" s="306">
        <f>INDIRECT($B10&amp;"!BC$21")</f>
        <v/>
      </c>
      <c r="L10" s="306">
        <f>INDIRECT($B10&amp;"!BD$21")</f>
        <v/>
      </c>
      <c r="M10" s="306">
        <f>INDIRECT($B10&amp;"!BE$21")</f>
        <v/>
      </c>
      <c r="N10" s="306">
        <f>INDIRECT($B10&amp;"!BC$5")</f>
        <v/>
      </c>
      <c r="O10" s="307" t="n"/>
      <c r="P10" s="247" t="n"/>
    </row>
    <row r="11" ht="15.75" customHeight="1" s="270" thickBot="1">
      <c r="A11" s="247" t="n"/>
      <c r="B11" s="230" t="inlineStr">
        <is>
          <t>cinema_track</t>
        </is>
      </c>
      <c r="C11" s="306">
        <f>INDIRECT($B11&amp;"!AY$5")</f>
        <v/>
      </c>
      <c r="D11" s="306">
        <f>INDIRECT($B11&amp;"!AZ$5")</f>
        <v/>
      </c>
      <c r="E11" s="306">
        <f>INDIRECT($B11&amp;"!BA$5")</f>
        <v/>
      </c>
      <c r="F11" s="306">
        <f>INDIRECT($B11&amp;"!AX$21")</f>
        <v/>
      </c>
      <c r="G11" s="306">
        <f>INDIRECT($B11&amp;"!AY$21")</f>
        <v/>
      </c>
      <c r="H11" s="306">
        <f>INDIRECT($B11&amp;"!AZ$21")</f>
        <v/>
      </c>
      <c r="I11" s="306">
        <f>INDIRECT($B11&amp;"!BA$21")</f>
        <v/>
      </c>
      <c r="J11" s="306">
        <f>INDIRECT($B11&amp;"!BB$21")</f>
        <v/>
      </c>
      <c r="K11" s="306">
        <f>INDIRECT($B11&amp;"!BC$21")</f>
        <v/>
      </c>
      <c r="L11" s="306">
        <f>INDIRECT($B11&amp;"!BD$21")</f>
        <v/>
      </c>
      <c r="M11" s="306">
        <f>INDIRECT($B11&amp;"!BE$21")</f>
        <v/>
      </c>
      <c r="N11" s="306">
        <f>INDIRECT($B11&amp;"!BC$5")</f>
        <v/>
      </c>
      <c r="O11" s="307" t="n"/>
      <c r="P11" s="247" t="n"/>
    </row>
    <row r="12" ht="15.75" customHeight="1" s="270" thickBot="1">
      <c r="A12" s="247" t="n"/>
      <c r="B12" s="25" t="inlineStr">
        <is>
          <t>Average</t>
        </is>
      </c>
      <c r="C12" s="308">
        <f>IF(COUNTIF(C9:C11,"=0")&gt;0,0,AVERAGE(C9:C11))</f>
        <v/>
      </c>
      <c r="D12" s="308">
        <f>IF(COUNTIF(D9:D11,"=0")&gt;0,0,AVERAGE(D9:D11))</f>
        <v/>
      </c>
      <c r="E12" s="308">
        <f>IF(COUNTIF(E9:E11,"=0")&gt;0,0,AVERAGE(E9:E11))</f>
        <v/>
      </c>
      <c r="F12" s="308">
        <f>IF(COUNTIF(F9:F11,"=0")&gt;0,0,AVERAGE(F9:F11))</f>
        <v/>
      </c>
      <c r="G12" s="308">
        <f>IF(COUNTIF(G9:G11,"=0")&gt;0,0,AVERAGE(G9:G11))</f>
        <v/>
      </c>
      <c r="H12" s="308">
        <f>IF(COUNTIF(H9:H11,"=0")&gt;0,0,AVERAGE(H9:H11))</f>
        <v/>
      </c>
      <c r="I12" s="308">
        <f>IF(COUNTIF(I9:I11,"=0")&gt;0,0,AVERAGE(I9:I11))</f>
        <v/>
      </c>
      <c r="J12" s="308">
        <f>IF(COUNTIF(J9:J11,"=0")&gt;0,0,AVERAGE(J9:J11))</f>
        <v/>
      </c>
      <c r="K12" s="308">
        <f>IF(COUNTIF(K9:K11,"=0")&gt;0,0,AVERAGE(K9:K11))</f>
        <v/>
      </c>
      <c r="L12" s="308">
        <f>IF(COUNTIF(L9:L11,"=0")&gt;0,0,AVERAGE(L9:L11))</f>
        <v/>
      </c>
      <c r="M12" s="308">
        <f>IF(COUNTIF(M9:M11,"=0")&gt;0,0,AVERAGE(M9:M11))</f>
        <v/>
      </c>
      <c r="N12" s="309">
        <f>IF(COUNTIF(N10:N11,"=0")&gt;0,0,AVERAGE(N10:N11))</f>
        <v/>
      </c>
      <c r="O12" s="307" t="n"/>
      <c r="P12" s="307" t="n"/>
    </row>
    <row r="13" ht="15.75" customHeight="1" s="270">
      <c r="A13" s="247" t="n"/>
      <c r="B13" s="249" t="n"/>
      <c r="C13" s="250" t="n"/>
      <c r="D13" s="307" t="n"/>
      <c r="E13" s="307" t="n"/>
      <c r="F13" s="307" t="n"/>
      <c r="G13" s="307" t="n"/>
      <c r="H13" s="307" t="n"/>
      <c r="I13" s="307" t="n"/>
      <c r="J13" s="307" t="n"/>
      <c r="K13" s="307" t="n"/>
      <c r="L13" s="307" t="n"/>
      <c r="M13" s="307" t="n"/>
      <c r="N13" s="307" t="n"/>
      <c r="O13" s="307" t="n"/>
      <c r="P13" s="307" t="n"/>
    </row>
    <row r="14" ht="15.75" customHeight="1" s="270">
      <c r="A14" s="247" t="n"/>
      <c r="B14" s="106" t="n"/>
      <c r="D14" s="310" t="n"/>
      <c r="E14" s="310" t="n"/>
      <c r="F14" s="310" t="n"/>
      <c r="G14" s="310" t="n"/>
      <c r="H14" s="310" t="n"/>
      <c r="I14" s="310" t="n"/>
      <c r="J14" s="310" t="n"/>
      <c r="K14" s="310" t="n"/>
      <c r="L14" s="310" t="n"/>
      <c r="M14" s="310" t="n"/>
      <c r="N14" s="310" t="n"/>
      <c r="O14" s="310" t="n"/>
      <c r="P14" s="188" t="n"/>
    </row>
    <row r="15">
      <c r="A15" s="247" t="n"/>
      <c r="B15" s="247" t="n"/>
      <c r="C15" s="247" t="n"/>
      <c r="D15" s="311" t="n"/>
      <c r="E15" s="311" t="n"/>
      <c r="F15" s="311" t="n"/>
      <c r="G15" s="311" t="n"/>
      <c r="H15" s="311" t="n"/>
      <c r="I15" s="311" t="n"/>
      <c r="J15" s="311" t="n"/>
      <c r="K15" s="311" t="n"/>
      <c r="L15" s="311" t="n"/>
      <c r="M15" s="311" t="n"/>
      <c r="N15" s="311" t="n"/>
      <c r="O15" s="311" t="n"/>
      <c r="P15" s="311" t="n"/>
    </row>
    <row r="16" ht="16.2" customHeight="1" s="270" thickBot="1">
      <c r="A16" s="247" t="n"/>
      <c r="B16" s="252" t="inlineStr">
        <is>
          <t>Object-centric content - Proposal vs. Anchor</t>
        </is>
      </c>
      <c r="C16" s="305" t="n"/>
      <c r="D16" s="305" t="n"/>
      <c r="E16" s="305" t="n"/>
      <c r="F16" s="305" t="n"/>
      <c r="G16" s="305" t="n"/>
      <c r="H16" s="305" t="n"/>
      <c r="I16" s="305" t="n"/>
      <c r="J16" s="305" t="n"/>
      <c r="K16" s="305" t="n"/>
      <c r="L16" s="305" t="n"/>
      <c r="M16" s="305" t="n"/>
      <c r="N16" s="305" t="n"/>
      <c r="O16" s="305" t="n"/>
      <c r="P16" s="247" t="n"/>
    </row>
    <row r="17" ht="22.2" customHeight="1" s="270" thickBot="1">
      <c r="B17" s="25" t="inlineStr">
        <is>
          <t>Sequence</t>
        </is>
      </c>
      <c r="C17" s="27" t="inlineStr">
        <is>
          <t>BD-rate
RGB-PSNR</t>
        </is>
      </c>
      <c r="D17" s="27" t="inlineStr">
        <is>
          <t>BD-rate
YUV-PSNR</t>
        </is>
      </c>
      <c r="E17" s="27" t="inlineStr">
        <is>
          <t>BD-rate
YUV-SSIM</t>
        </is>
      </c>
      <c r="F17" s="27" t="inlineStr">
        <is>
          <t>EncT Total</t>
        </is>
      </c>
      <c r="G17" s="27" t="inlineStr">
        <is>
          <t>DecT Total</t>
        </is>
      </c>
      <c r="H17" s="27" t="inlineStr">
        <is>
          <t>EncT Geometry</t>
        </is>
      </c>
      <c r="I17" s="27" t="inlineStr">
        <is>
          <t>DecT Geometry</t>
        </is>
      </c>
      <c r="J17" s="27" t="inlineStr">
        <is>
          <t>EncT Attributes</t>
        </is>
      </c>
      <c r="K17" s="27" t="inlineStr">
        <is>
          <t>DecT Attributes</t>
        </is>
      </c>
      <c r="L17" s="27" t="inlineStr">
        <is>
          <t>MaxRSS Encoder</t>
        </is>
      </c>
      <c r="M17" s="27" t="inlineStr">
        <is>
          <t>MaxRSS Decoder</t>
        </is>
      </c>
      <c r="N17" s="209" t="inlineStr">
        <is>
          <t>vs GT (optional)</t>
        </is>
      </c>
    </row>
    <row r="18">
      <c r="B18" s="230" t="inlineStr">
        <is>
          <t>ManWithFruit</t>
        </is>
      </c>
      <c r="C18" s="306">
        <f>INDIRECT($B18&amp;"!AY$5")</f>
        <v/>
      </c>
      <c r="D18" s="306">
        <f>INDIRECT($B18&amp;"!AZ$5")</f>
        <v/>
      </c>
      <c r="E18" s="306">
        <f>INDIRECT($B18&amp;"!BA$5")</f>
        <v/>
      </c>
      <c r="F18" s="306">
        <f>INDIRECT($B18&amp;"!AX$21")</f>
        <v/>
      </c>
      <c r="G18" s="306">
        <f>INDIRECT($B18&amp;"!AY$21")</f>
        <v/>
      </c>
      <c r="H18" s="306">
        <f>INDIRECT($B18&amp;"!AZ$21")</f>
        <v/>
      </c>
      <c r="I18" s="306">
        <f>INDIRECT($B18&amp;"!BA$21")</f>
        <v/>
      </c>
      <c r="J18" s="306">
        <f>INDIRECT($B18&amp;"!BB$21")</f>
        <v/>
      </c>
      <c r="K18" s="306">
        <f>INDIRECT($B18&amp;"!BC$21")</f>
        <v/>
      </c>
      <c r="L18" s="306">
        <f>INDIRECT($B18&amp;"!BD$21")</f>
        <v/>
      </c>
      <c r="M18" s="306">
        <f>INDIRECT($B18&amp;"!BE$21")</f>
        <v/>
      </c>
      <c r="N18" s="306">
        <f>INDIRECT($B18&amp;"!BC$5")</f>
        <v/>
      </c>
    </row>
    <row r="19">
      <c r="B19" s="231" t="inlineStr">
        <is>
          <t>LEGO_Ferrari</t>
        </is>
      </c>
      <c r="C19" s="306">
        <f>INDIRECT($B19&amp;"!AY$5")</f>
        <v/>
      </c>
      <c r="D19" s="306">
        <f>INDIRECT($B19&amp;"!AZ$5")</f>
        <v/>
      </c>
      <c r="E19" s="306">
        <f>INDIRECT($B19&amp;"!BA$5")</f>
        <v/>
      </c>
      <c r="F19" s="306">
        <f>INDIRECT($B19&amp;"!AX$21")</f>
        <v/>
      </c>
      <c r="G19" s="306">
        <f>INDIRECT($B19&amp;"!AY$21")</f>
        <v/>
      </c>
      <c r="H19" s="306">
        <f>INDIRECT($B19&amp;"!AZ$21")</f>
        <v/>
      </c>
      <c r="I19" s="306">
        <f>INDIRECT($B19&amp;"!BA$21")</f>
        <v/>
      </c>
      <c r="J19" s="306">
        <f>INDIRECT($B19&amp;"!BB$21")</f>
        <v/>
      </c>
      <c r="K19" s="306">
        <f>INDIRECT($B19&amp;"!BC$21")</f>
        <v/>
      </c>
      <c r="L19" s="306">
        <f>INDIRECT($B19&amp;"!BD$21")</f>
        <v/>
      </c>
      <c r="M19" s="306">
        <f>INDIRECT($B19&amp;"!BE$21")</f>
        <v/>
      </c>
      <c r="N19" s="306">
        <f>INDIRECT($B19&amp;"!BC$5")</f>
        <v/>
      </c>
    </row>
    <row r="20">
      <c r="B20" s="231" t="inlineStr">
        <is>
          <t>LEGO_Bugatti</t>
        </is>
      </c>
      <c r="C20" s="306">
        <f>INDIRECT($B20&amp;"!AY$5")</f>
        <v/>
      </c>
      <c r="D20" s="306">
        <f>INDIRECT($B20&amp;"!AZ$5")</f>
        <v/>
      </c>
      <c r="E20" s="306">
        <f>INDIRECT($B20&amp;"!BA$5")</f>
        <v/>
      </c>
      <c r="F20" s="306">
        <f>INDIRECT($B20&amp;"!AX$21")</f>
        <v/>
      </c>
      <c r="G20" s="306">
        <f>INDIRECT($B20&amp;"!AY$21")</f>
        <v/>
      </c>
      <c r="H20" s="306">
        <f>INDIRECT($B20&amp;"!AZ$21")</f>
        <v/>
      </c>
      <c r="I20" s="306">
        <f>INDIRECT($B20&amp;"!BA$21")</f>
        <v/>
      </c>
      <c r="J20" s="306">
        <f>INDIRECT($B20&amp;"!BB$21")</f>
        <v/>
      </c>
      <c r="K20" s="306">
        <f>INDIRECT($B20&amp;"!BC$21")</f>
        <v/>
      </c>
      <c r="L20" s="306">
        <f>INDIRECT($B20&amp;"!BD$21")</f>
        <v/>
      </c>
      <c r="M20" s="306">
        <f>INDIRECT($B20&amp;"!BE$21")</f>
        <v/>
      </c>
      <c r="N20" s="306">
        <f>INDIRECT($B20&amp;"!BC$5")</f>
        <v/>
      </c>
    </row>
    <row r="21">
      <c r="B21" s="231" t="inlineStr">
        <is>
          <t>Plant</t>
        </is>
      </c>
      <c r="C21" s="306">
        <f>INDIRECT($B21&amp;"!AY$5")</f>
        <v/>
      </c>
      <c r="D21" s="306">
        <f>INDIRECT($B21&amp;"!AZ$5")</f>
        <v/>
      </c>
      <c r="E21" s="306">
        <f>INDIRECT($B21&amp;"!BA$5")</f>
        <v/>
      </c>
      <c r="F21" s="306">
        <f>INDIRECT($B21&amp;"!AX$21")</f>
        <v/>
      </c>
      <c r="G21" s="306">
        <f>INDIRECT($B21&amp;"!AY$21")</f>
        <v/>
      </c>
      <c r="H21" s="306">
        <f>INDIRECT($B21&amp;"!AZ$21")</f>
        <v/>
      </c>
      <c r="I21" s="306">
        <f>INDIRECT($B21&amp;"!BA$21")</f>
        <v/>
      </c>
      <c r="J21" s="306">
        <f>INDIRECT($B21&amp;"!BB$21")</f>
        <v/>
      </c>
      <c r="K21" s="306">
        <f>INDIRECT($B21&amp;"!BC$21")</f>
        <v/>
      </c>
      <c r="L21" s="306">
        <f>INDIRECT($B21&amp;"!BD$21")</f>
        <v/>
      </c>
      <c r="M21" s="306">
        <f>INDIRECT($B21&amp;"!BE$21")</f>
        <v/>
      </c>
      <c r="N21" s="306">
        <f>INDIRECT($B21&amp;"!BC$5")</f>
        <v/>
      </c>
    </row>
    <row r="22">
      <c r="B22" s="231" t="inlineStr">
        <is>
          <t>Tennis_Player</t>
        </is>
      </c>
      <c r="C22" s="306">
        <f>INDIRECT($B22&amp;"!AY$5")</f>
        <v/>
      </c>
      <c r="D22" s="306">
        <f>INDIRECT($B22&amp;"!AZ$5")</f>
        <v/>
      </c>
      <c r="E22" s="306">
        <f>INDIRECT($B22&amp;"!BA$5")</f>
        <v/>
      </c>
      <c r="F22" s="306">
        <f>INDIRECT($B22&amp;"!AX$21")</f>
        <v/>
      </c>
      <c r="G22" s="306">
        <f>INDIRECT($B22&amp;"!AY$21")</f>
        <v/>
      </c>
      <c r="H22" s="306">
        <f>INDIRECT($B22&amp;"!AZ$21")</f>
        <v/>
      </c>
      <c r="I22" s="306">
        <f>INDIRECT($B22&amp;"!BA$21")</f>
        <v/>
      </c>
      <c r="J22" s="306">
        <f>INDIRECT($B22&amp;"!BB$21")</f>
        <v/>
      </c>
      <c r="K22" s="306">
        <f>INDIRECT($B22&amp;"!BC$21")</f>
        <v/>
      </c>
      <c r="L22" s="306">
        <f>INDIRECT($B22&amp;"!BD$21")</f>
        <v/>
      </c>
      <c r="M22" s="306">
        <f>INDIRECT($B22&amp;"!BE$21")</f>
        <v/>
      </c>
      <c r="N22" s="306">
        <f>INDIRECT($B22&amp;"!BC$5")</f>
        <v/>
      </c>
    </row>
    <row r="23">
      <c r="B23" s="231" t="inlineStr">
        <is>
          <t>Cricket_Player</t>
        </is>
      </c>
      <c r="C23" s="306">
        <f>INDIRECT($B23&amp;"!AY$5")</f>
        <v/>
      </c>
      <c r="D23" s="306">
        <f>INDIRECT($B23&amp;"!AZ$5")</f>
        <v/>
      </c>
      <c r="E23" s="306">
        <f>INDIRECT($B23&amp;"!BA$5")</f>
        <v/>
      </c>
      <c r="F23" s="306">
        <f>INDIRECT($B23&amp;"!AX$21")</f>
        <v/>
      </c>
      <c r="G23" s="306">
        <f>INDIRECT($B23&amp;"!AY$21")</f>
        <v/>
      </c>
      <c r="H23" s="306">
        <f>INDIRECT($B23&amp;"!AZ$21")</f>
        <v/>
      </c>
      <c r="I23" s="306">
        <f>INDIRECT($B23&amp;"!BA$21")</f>
        <v/>
      </c>
      <c r="J23" s="306">
        <f>INDIRECT($B23&amp;"!BB$21")</f>
        <v/>
      </c>
      <c r="K23" s="306">
        <f>INDIRECT($B23&amp;"!BC$21")</f>
        <v/>
      </c>
      <c r="L23" s="306">
        <f>INDIRECT($B23&amp;"!BD$21")</f>
        <v/>
      </c>
      <c r="M23" s="306">
        <f>INDIRECT($B23&amp;"!BE$21")</f>
        <v/>
      </c>
      <c r="N23" s="306">
        <f>INDIRECT($B23&amp;"!BC$5")</f>
        <v/>
      </c>
    </row>
    <row r="24">
      <c r="B24" s="231" t="inlineStr">
        <is>
          <t>Tango_Duo</t>
        </is>
      </c>
      <c r="C24" s="306">
        <f>INDIRECT($B24&amp;"!AY$5")</f>
        <v/>
      </c>
      <c r="D24" s="306">
        <f>INDIRECT($B24&amp;"!AZ$5")</f>
        <v/>
      </c>
      <c r="E24" s="306">
        <f>INDIRECT($B24&amp;"!BA$5")</f>
        <v/>
      </c>
      <c r="F24" s="306">
        <f>INDIRECT($B24&amp;"!AX$21")</f>
        <v/>
      </c>
      <c r="G24" s="306">
        <f>INDIRECT($B24&amp;"!AY$21")</f>
        <v/>
      </c>
      <c r="H24" s="306">
        <f>INDIRECT($B24&amp;"!AZ$21")</f>
        <v/>
      </c>
      <c r="I24" s="306">
        <f>INDIRECT($B24&amp;"!BA$21")</f>
        <v/>
      </c>
      <c r="J24" s="306">
        <f>INDIRECT($B24&amp;"!BB$21")</f>
        <v/>
      </c>
      <c r="K24" s="306">
        <f>INDIRECT($B24&amp;"!BC$21")</f>
        <v/>
      </c>
      <c r="L24" s="306">
        <f>INDIRECT($B24&amp;"!BD$21")</f>
        <v/>
      </c>
      <c r="M24" s="306">
        <f>INDIRECT($B24&amp;"!BE$21")</f>
        <v/>
      </c>
      <c r="N24" s="306">
        <f>INDIRECT($B24&amp;"!BC$5")</f>
        <v/>
      </c>
    </row>
    <row r="25">
      <c r="B25" s="231" t="inlineStr">
        <is>
          <t>Solo_Tango_Female</t>
        </is>
      </c>
      <c r="C25" s="306">
        <f>INDIRECT($B25&amp;"!AY$5")</f>
        <v/>
      </c>
      <c r="D25" s="306">
        <f>INDIRECT($B25&amp;"!AZ$5")</f>
        <v/>
      </c>
      <c r="E25" s="306">
        <f>INDIRECT($B25&amp;"!BA$5")</f>
        <v/>
      </c>
      <c r="F25" s="306">
        <f>INDIRECT($B25&amp;"!AX$21")</f>
        <v/>
      </c>
      <c r="G25" s="306">
        <f>INDIRECT($B25&amp;"!AY$21")</f>
        <v/>
      </c>
      <c r="H25" s="306">
        <f>INDIRECT($B25&amp;"!AZ$21")</f>
        <v/>
      </c>
      <c r="I25" s="306">
        <f>INDIRECT($B25&amp;"!BA$21")</f>
        <v/>
      </c>
      <c r="J25" s="306">
        <f>INDIRECT($B25&amp;"!BB$21")</f>
        <v/>
      </c>
      <c r="K25" s="306">
        <f>INDIRECT($B25&amp;"!BC$21")</f>
        <v/>
      </c>
      <c r="L25" s="306">
        <f>INDIRECT($B25&amp;"!BD$21")</f>
        <v/>
      </c>
      <c r="M25" s="306">
        <f>INDIRECT($B25&amp;"!BE$21")</f>
        <v/>
      </c>
      <c r="N25" s="306">
        <f>INDIRECT($B25&amp;"!BC$5")</f>
        <v/>
      </c>
    </row>
    <row r="26">
      <c r="B26" s="231" t="inlineStr">
        <is>
          <t>Solo_Tango_Male</t>
        </is>
      </c>
      <c r="C26" s="306">
        <f>INDIRECT($B26&amp;"!AY$5")</f>
        <v/>
      </c>
      <c r="D26" s="306">
        <f>INDIRECT($B26&amp;"!AZ$5")</f>
        <v/>
      </c>
      <c r="E26" s="306">
        <f>INDIRECT($B26&amp;"!BA$5")</f>
        <v/>
      </c>
      <c r="F26" s="306">
        <f>INDIRECT($B26&amp;"!AX$21")</f>
        <v/>
      </c>
      <c r="G26" s="306">
        <f>INDIRECT($B26&amp;"!AY$21")</f>
        <v/>
      </c>
      <c r="H26" s="306">
        <f>INDIRECT($B26&amp;"!AZ$21")</f>
        <v/>
      </c>
      <c r="I26" s="306">
        <f>INDIRECT($B26&amp;"!BA$21")</f>
        <v/>
      </c>
      <c r="J26" s="306">
        <f>INDIRECT($B26&amp;"!BB$21")</f>
        <v/>
      </c>
      <c r="K26" s="306">
        <f>INDIRECT($B26&amp;"!BC$21")</f>
        <v/>
      </c>
      <c r="L26" s="306">
        <f>INDIRECT($B26&amp;"!BD$21")</f>
        <v/>
      </c>
      <c r="M26" s="306">
        <f>INDIRECT($B26&amp;"!BE$21")</f>
        <v/>
      </c>
      <c r="N26" s="306">
        <f>INDIRECT($B26&amp;"!BC$5")</f>
        <v/>
      </c>
    </row>
    <row r="27">
      <c r="B27" s="231" t="inlineStr">
        <is>
          <t>BlueBackpack_UVGgs_0100</t>
        </is>
      </c>
      <c r="C27" s="306">
        <f>INDIRECT($B27&amp;"!AY$5")</f>
        <v/>
      </c>
      <c r="D27" s="306">
        <f>INDIRECT($B27&amp;"!AZ$5")</f>
        <v/>
      </c>
      <c r="E27" s="306">
        <f>INDIRECT($B27&amp;"!BA$5")</f>
        <v/>
      </c>
      <c r="F27" s="306">
        <f>INDIRECT($B27&amp;"!AX$21")</f>
        <v/>
      </c>
      <c r="G27" s="306">
        <f>INDIRECT($B27&amp;"!AY$21")</f>
        <v/>
      </c>
      <c r="H27" s="306">
        <f>INDIRECT($B27&amp;"!AZ$21")</f>
        <v/>
      </c>
      <c r="I27" s="306">
        <f>INDIRECT($B27&amp;"!BA$21")</f>
        <v/>
      </c>
      <c r="J27" s="306">
        <f>INDIRECT($B27&amp;"!BB$21")</f>
        <v/>
      </c>
      <c r="K27" s="306">
        <f>INDIRECT($B27&amp;"!BC$21")</f>
        <v/>
      </c>
      <c r="L27" s="306">
        <f>INDIRECT($B27&amp;"!BD$21")</f>
        <v/>
      </c>
      <c r="M27" s="306">
        <f>INDIRECT($B27&amp;"!BE$21")</f>
        <v/>
      </c>
      <c r="N27" s="306">
        <f>INDIRECT($B27&amp;"!BC$5")</f>
        <v/>
      </c>
    </row>
    <row r="28">
      <c r="B28" s="231" t="inlineStr">
        <is>
          <t>BlueBackpack_UVGgs_0200</t>
        </is>
      </c>
      <c r="C28" s="306">
        <f>INDIRECT($B28&amp;"!AY$5")</f>
        <v/>
      </c>
      <c r="D28" s="306">
        <f>INDIRECT($B28&amp;"!AZ$5")</f>
        <v/>
      </c>
      <c r="E28" s="306">
        <f>INDIRECT($B28&amp;"!BA$5")</f>
        <v/>
      </c>
      <c r="F28" s="306">
        <f>INDIRECT($B28&amp;"!AX$21")</f>
        <v/>
      </c>
      <c r="G28" s="306">
        <f>INDIRECT($B28&amp;"!AY$21")</f>
        <v/>
      </c>
      <c r="H28" s="306">
        <f>INDIRECT($B28&amp;"!AZ$21")</f>
        <v/>
      </c>
      <c r="I28" s="306">
        <f>INDIRECT($B28&amp;"!BA$21")</f>
        <v/>
      </c>
      <c r="J28" s="306">
        <f>INDIRECT($B28&amp;"!BB$21")</f>
        <v/>
      </c>
      <c r="K28" s="306">
        <f>INDIRECT($B28&amp;"!BC$21")</f>
        <v/>
      </c>
      <c r="L28" s="306">
        <f>INDIRECT($B28&amp;"!BD$21")</f>
        <v/>
      </c>
      <c r="M28" s="306">
        <f>INDIRECT($B28&amp;"!BE$21")</f>
        <v/>
      </c>
      <c r="N28" s="306">
        <f>INDIRECT($B28&amp;"!BC$5")</f>
        <v/>
      </c>
    </row>
    <row r="29">
      <c r="B29" s="231" t="inlineStr">
        <is>
          <t>FlowerDance_UVGgs_0000</t>
        </is>
      </c>
      <c r="C29" s="306">
        <f>INDIRECT($B29&amp;"!AY$5")</f>
        <v/>
      </c>
      <c r="D29" s="306">
        <f>INDIRECT($B29&amp;"!AZ$5")</f>
        <v/>
      </c>
      <c r="E29" s="306">
        <f>INDIRECT($B29&amp;"!BA$5")</f>
        <v/>
      </c>
      <c r="F29" s="306">
        <f>INDIRECT($B29&amp;"!AX$21")</f>
        <v/>
      </c>
      <c r="G29" s="306">
        <f>INDIRECT($B29&amp;"!AY$21")</f>
        <v/>
      </c>
      <c r="H29" s="306">
        <f>INDIRECT($B29&amp;"!AZ$21")</f>
        <v/>
      </c>
      <c r="I29" s="306">
        <f>INDIRECT($B29&amp;"!BA$21")</f>
        <v/>
      </c>
      <c r="J29" s="306">
        <f>INDIRECT($B29&amp;"!BB$21")</f>
        <v/>
      </c>
      <c r="K29" s="306">
        <f>INDIRECT($B29&amp;"!BC$21")</f>
        <v/>
      </c>
      <c r="L29" s="306">
        <f>INDIRECT($B29&amp;"!BD$21")</f>
        <v/>
      </c>
      <c r="M29" s="306">
        <f>INDIRECT($B29&amp;"!BE$21")</f>
        <v/>
      </c>
      <c r="N29" s="306">
        <f>INDIRECT($B29&amp;"!BC$5")</f>
        <v/>
      </c>
    </row>
    <row r="30">
      <c r="B30" s="231" t="inlineStr">
        <is>
          <t>FlowerDance_UVGgs_0200</t>
        </is>
      </c>
      <c r="C30" s="306">
        <f>INDIRECT($B30&amp;"!AY$5")</f>
        <v/>
      </c>
      <c r="D30" s="306">
        <f>INDIRECT($B30&amp;"!AZ$5")</f>
        <v/>
      </c>
      <c r="E30" s="306">
        <f>INDIRECT($B30&amp;"!BA$5")</f>
        <v/>
      </c>
      <c r="F30" s="306">
        <f>INDIRECT($B30&amp;"!AX$21")</f>
        <v/>
      </c>
      <c r="G30" s="306">
        <f>INDIRECT($B30&amp;"!AY$21")</f>
        <v/>
      </c>
      <c r="H30" s="306">
        <f>INDIRECT($B30&amp;"!AZ$21")</f>
        <v/>
      </c>
      <c r="I30" s="306">
        <f>INDIRECT($B30&amp;"!BA$21")</f>
        <v/>
      </c>
      <c r="J30" s="306">
        <f>INDIRECT($B30&amp;"!BB$21")</f>
        <v/>
      </c>
      <c r="K30" s="306">
        <f>INDIRECT($B30&amp;"!BC$21")</f>
        <v/>
      </c>
      <c r="L30" s="306">
        <f>INDIRECT($B30&amp;"!BD$21")</f>
        <v/>
      </c>
      <c r="M30" s="306">
        <f>INDIRECT($B30&amp;"!BE$21")</f>
        <v/>
      </c>
      <c r="N30" s="306">
        <f>INDIRECT($B30&amp;"!BC$5")</f>
        <v/>
      </c>
    </row>
    <row r="31">
      <c r="B31" s="231" t="inlineStr">
        <is>
          <t>Gymnast_UVGgs_0100</t>
        </is>
      </c>
      <c r="C31" s="306">
        <f>INDIRECT($B31&amp;"!AY$5")</f>
        <v/>
      </c>
      <c r="D31" s="306">
        <f>INDIRECT($B31&amp;"!AZ$5")</f>
        <v/>
      </c>
      <c r="E31" s="306">
        <f>INDIRECT($B31&amp;"!BA$5")</f>
        <v/>
      </c>
      <c r="F31" s="306">
        <f>INDIRECT($B31&amp;"!AX$21")</f>
        <v/>
      </c>
      <c r="G31" s="306">
        <f>INDIRECT($B31&amp;"!AY$21")</f>
        <v/>
      </c>
      <c r="H31" s="306">
        <f>INDIRECT($B31&amp;"!AZ$21")</f>
        <v/>
      </c>
      <c r="I31" s="306">
        <f>INDIRECT($B31&amp;"!BA$21")</f>
        <v/>
      </c>
      <c r="J31" s="306">
        <f>INDIRECT($B31&amp;"!BB$21")</f>
        <v/>
      </c>
      <c r="K31" s="306">
        <f>INDIRECT($B31&amp;"!BC$21")</f>
        <v/>
      </c>
      <c r="L31" s="306">
        <f>INDIRECT($B31&amp;"!BD$21")</f>
        <v/>
      </c>
      <c r="M31" s="306">
        <f>INDIRECT($B31&amp;"!BE$21")</f>
        <v/>
      </c>
      <c r="N31" s="306">
        <f>INDIRECT($B31&amp;"!BC$5")</f>
        <v/>
      </c>
    </row>
    <row r="32">
      <c r="B32" s="231" t="inlineStr">
        <is>
          <t>Gymnast_UVGgs_0200</t>
        </is>
      </c>
      <c r="C32" s="306">
        <f>INDIRECT($B32&amp;"!AY$5")</f>
        <v/>
      </c>
      <c r="D32" s="306">
        <f>INDIRECT($B32&amp;"!AZ$5")</f>
        <v/>
      </c>
      <c r="E32" s="306">
        <f>INDIRECT($B32&amp;"!BA$5")</f>
        <v/>
      </c>
      <c r="F32" s="306">
        <f>INDIRECT($B32&amp;"!AX$21")</f>
        <v/>
      </c>
      <c r="G32" s="306">
        <f>INDIRECT($B32&amp;"!AY$21")</f>
        <v/>
      </c>
      <c r="H32" s="306">
        <f>INDIRECT($B32&amp;"!AZ$21")</f>
        <v/>
      </c>
      <c r="I32" s="306">
        <f>INDIRECT($B32&amp;"!BA$21")</f>
        <v/>
      </c>
      <c r="J32" s="306">
        <f>INDIRECT($B32&amp;"!BB$21")</f>
        <v/>
      </c>
      <c r="K32" s="306">
        <f>INDIRECT($B32&amp;"!BC$21")</f>
        <v/>
      </c>
      <c r="L32" s="306">
        <f>INDIRECT($B32&amp;"!BD$21")</f>
        <v/>
      </c>
      <c r="M32" s="306">
        <f>INDIRECT($B32&amp;"!BE$21")</f>
        <v/>
      </c>
      <c r="N32" s="306">
        <f>INDIRECT($B32&amp;"!BC$5")</f>
        <v/>
      </c>
    </row>
    <row r="33">
      <c r="B33" s="231" t="inlineStr">
        <is>
          <t>artwork</t>
        </is>
      </c>
      <c r="C33" s="306">
        <f>INDIRECT($B33&amp;"!AY$5")</f>
        <v/>
      </c>
      <c r="D33" s="306">
        <f>INDIRECT($B33&amp;"!AZ$5")</f>
        <v/>
      </c>
      <c r="E33" s="306">
        <f>INDIRECT($B33&amp;"!BA$5")</f>
        <v/>
      </c>
      <c r="F33" s="306">
        <f>INDIRECT($B33&amp;"!AX$21")</f>
        <v/>
      </c>
      <c r="G33" s="306">
        <f>INDIRECT($B33&amp;"!AY$21")</f>
        <v/>
      </c>
      <c r="H33" s="306">
        <f>INDIRECT($B33&amp;"!AZ$21")</f>
        <v/>
      </c>
      <c r="I33" s="306">
        <f>INDIRECT($B33&amp;"!BA$21")</f>
        <v/>
      </c>
      <c r="J33" s="306">
        <f>INDIRECT($B33&amp;"!BB$21")</f>
        <v/>
      </c>
      <c r="K33" s="306">
        <f>INDIRECT($B33&amp;"!BC$21")</f>
        <v/>
      </c>
      <c r="L33" s="306">
        <f>INDIRECT($B33&amp;"!BD$21")</f>
        <v/>
      </c>
      <c r="M33" s="306">
        <f>INDIRECT($B33&amp;"!BE$21")</f>
        <v/>
      </c>
      <c r="N33" s="306">
        <f>INDIRECT($B33&amp;"!BC$5")</f>
        <v/>
      </c>
    </row>
    <row r="34">
      <c r="B34" s="231" t="inlineStr">
        <is>
          <t>panda</t>
        </is>
      </c>
      <c r="C34" s="306">
        <f>INDIRECT($B34&amp;"!AY$5")</f>
        <v/>
      </c>
      <c r="D34" s="306">
        <f>INDIRECT($B34&amp;"!AZ$5")</f>
        <v/>
      </c>
      <c r="E34" s="306">
        <f>INDIRECT($B34&amp;"!BA$5")</f>
        <v/>
      </c>
      <c r="F34" s="306">
        <f>INDIRECT($B34&amp;"!AX$21")</f>
        <v/>
      </c>
      <c r="G34" s="306">
        <f>INDIRECT($B34&amp;"!AY$21")</f>
        <v/>
      </c>
      <c r="H34" s="306">
        <f>INDIRECT($B34&amp;"!AZ$21")</f>
        <v/>
      </c>
      <c r="I34" s="306">
        <f>INDIRECT($B34&amp;"!BA$21")</f>
        <v/>
      </c>
      <c r="J34" s="306">
        <f>INDIRECT($B34&amp;"!BB$21")</f>
        <v/>
      </c>
      <c r="K34" s="306">
        <f>INDIRECT($B34&amp;"!BC$21")</f>
        <v/>
      </c>
      <c r="L34" s="306">
        <f>INDIRECT($B34&amp;"!BD$21")</f>
        <v/>
      </c>
      <c r="M34" s="306">
        <f>INDIRECT($B34&amp;"!BE$21")</f>
        <v/>
      </c>
      <c r="N34" s="306">
        <f>INDIRECT($B34&amp;"!BC$5")</f>
        <v/>
      </c>
    </row>
    <row r="35" ht="15" customHeight="1" s="270" thickBot="1">
      <c r="B35" s="231" t="inlineStr">
        <is>
          <t>wukong</t>
        </is>
      </c>
      <c r="C35" s="306">
        <f>INDIRECT($B35&amp;"!AY$5")</f>
        <v/>
      </c>
      <c r="D35" s="306">
        <f>INDIRECT($B35&amp;"!AZ$5")</f>
        <v/>
      </c>
      <c r="E35" s="306">
        <f>INDIRECT($B35&amp;"!BA$5")</f>
        <v/>
      </c>
      <c r="F35" s="306">
        <f>INDIRECT($B35&amp;"!AX$21")</f>
        <v/>
      </c>
      <c r="G35" s="306">
        <f>INDIRECT($B35&amp;"!AY$21")</f>
        <v/>
      </c>
      <c r="H35" s="306">
        <f>INDIRECT($B35&amp;"!AZ$21")</f>
        <v/>
      </c>
      <c r="I35" s="306">
        <f>INDIRECT($B35&amp;"!BA$21")</f>
        <v/>
      </c>
      <c r="J35" s="306">
        <f>INDIRECT($B35&amp;"!BB$21")</f>
        <v/>
      </c>
      <c r="K35" s="306">
        <f>INDIRECT($B35&amp;"!BC$21")</f>
        <v/>
      </c>
      <c r="L35" s="306">
        <f>INDIRECT($B35&amp;"!BD$21")</f>
        <v/>
      </c>
      <c r="M35" s="306">
        <f>INDIRECT($B35&amp;"!BE$21")</f>
        <v/>
      </c>
      <c r="N35" s="306">
        <f>INDIRECT($B35&amp;"!BC$5")</f>
        <v/>
      </c>
    </row>
    <row r="36" ht="16.2" customHeight="1" s="270" thickBot="1">
      <c r="B36" s="25" t="inlineStr">
        <is>
          <t>Average</t>
        </is>
      </c>
      <c r="C36" s="308">
        <f>IF(COUNTIF(C18:C35,"=0")&gt;0,0,AVERAGE(C18:C35))</f>
        <v/>
      </c>
      <c r="D36" s="308">
        <f>IF(COUNTIF(D18:D35,"=0")&gt;0,0,AVERAGE(D18:D35))</f>
        <v/>
      </c>
      <c r="E36" s="308">
        <f>IF(COUNTIF(E18:E35,"=0")&gt;0,0,AVERAGE(E18:E35))</f>
        <v/>
      </c>
      <c r="F36" s="308">
        <f>IF(COUNTIF(F18:F35,"=0")&gt;0,0,AVERAGE(F18:F35))</f>
        <v/>
      </c>
      <c r="G36" s="308">
        <f>IF(COUNTIF(G18:G35,"=0")&gt;0,0,AVERAGE(G18:G35))</f>
        <v/>
      </c>
      <c r="H36" s="308">
        <f>IF(COUNTIF(H18:H35,"=0")&gt;0,0,AVERAGE(H18:H35))</f>
        <v/>
      </c>
      <c r="I36" s="308">
        <f>IF(COUNTIF(I18:I35,"=0")&gt;0,0,AVERAGE(I18:I35))</f>
        <v/>
      </c>
      <c r="J36" s="308">
        <f>IF(COUNTIF(J18:J35,"=0")&gt;0,0,AVERAGE(J18:J35))</f>
        <v/>
      </c>
      <c r="K36" s="308">
        <f>IF(COUNTIF(K18:K35,"=0")&gt;0,0,AVERAGE(K18:K35))</f>
        <v/>
      </c>
      <c r="L36" s="308">
        <f>IF(COUNTIF(L18:L35,"=0")&gt;0,0,AVERAGE(L18:L35))</f>
        <v/>
      </c>
      <c r="M36" s="308">
        <f>IF(COUNTIF(M18:M35,"=0")&gt;0,0,AVERAGE(M18:M35))</f>
        <v/>
      </c>
      <c r="N36" s="308">
        <f>IF(COUNTIF(N18:N35,"=0")&gt;0,0,AVERAGE(N18:N35))</f>
        <v/>
      </c>
    </row>
  </sheetData>
  <mergeCells count="4">
    <mergeCell ref="B7:O7"/>
    <mergeCell ref="C3:O3"/>
    <mergeCell ref="B16:O16"/>
    <mergeCell ref="C4:O4"/>
  </mergeCells>
  <conditionalFormatting sqref="C9:E12 C18:E36 N9:N12">
    <cfRule type="cellIs" priority="37" operator="lessThan" dxfId="1781">
      <formula>-0.03</formula>
    </cfRule>
    <cfRule type="cellIs" priority="38" operator="greaterThan" dxfId="1780">
      <formula>0.03</formula>
    </cfRule>
  </conditionalFormatting>
  <conditionalFormatting sqref="N18:N35">
    <cfRule type="cellIs" priority="1" operator="lessThan" dxfId="1781">
      <formula>-0.03</formula>
    </cfRule>
    <cfRule type="cellIs" priority="2" operator="greaterThan" dxfId="1780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A1:AF277"/>
  <sheetViews>
    <sheetView topLeftCell="G1" workbookViewId="0">
      <selection activeCell="BE10" sqref="BE10"/>
    </sheetView>
  </sheetViews>
  <sheetFormatPr baseColWidth="8" defaultColWidth="9" defaultRowHeight="15.6" outlineLevelCol="0"/>
  <cols>
    <col width="1.59765625" bestFit="1" customWidth="1" style="270" min="1" max="1"/>
    <col width="19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18.5" bestFit="1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21.59765625" bestFit="1" customWidth="1" style="270" min="13" max="13"/>
    <col width="7.59765625" bestFit="1" customWidth="1" style="270" min="14" max="14"/>
    <col width="4.59765625" customWidth="1" style="270" min="15" max="15"/>
    <col width="9.5976562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9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> </t>
        </is>
      </c>
      <c r="AF1" s="10" t="inlineStr">
        <is>
          <t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>  </t>
        </is>
      </c>
      <c r="L3" s="105" t="inlineStr">
        <is>
          <t>F</t>
        </is>
      </c>
      <c r="M3" s="105" t="inlineStr">
        <is>
          <t>AD</t>
        </is>
      </c>
      <c r="N3" s="268" t="n"/>
      <c r="O3" s="190" t="inlineStr">
        <is>
          <t>  </t>
        </is>
      </c>
      <c r="P3" s="268" t="n"/>
      <c r="U3" s="189" t="inlineStr">
        <is>
          <t>  </t>
        </is>
      </c>
      <c r="W3" s="189" t="inlineStr">
        <is>
          <t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RGB-PSNR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3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18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  <c r="I14" s="9" t="n"/>
      <c r="J14" s="212" t="n"/>
      <c r="L14" s="213" t="n"/>
      <c r="M14" s="213" t="n"/>
      <c r="N14" s="214" t="n"/>
      <c r="O14" s="315" t="n"/>
      <c r="P14" s="268" t="n"/>
      <c r="Q14" s="315" t="n"/>
      <c r="R14" s="9" t="n"/>
      <c r="S14" s="9" t="n"/>
      <c r="T14" s="9" t="n"/>
      <c r="U14" s="9" t="n"/>
      <c r="V14" s="83" t="n"/>
      <c r="X14" s="84" t="n"/>
      <c r="Y14" s="84" t="n"/>
      <c r="Z14" s="81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RGB-PSNR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3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18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RGB-PSNR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3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18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RGB-PSNR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3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18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RGB-PSNR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3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18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RGB-PSNR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3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18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RGB-PSNR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3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18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2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RGB-PSNR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3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18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2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RGB-PSNR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3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18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2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RGB-PSNR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3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18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>
      <c r="AB113" s="320" t="n"/>
    </row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I114" s="2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I115" s="9" t="n"/>
      <c r="J115" s="267" t="inlineStr">
        <is>
          <t>%</t>
        </is>
      </c>
      <c r="L115" s="267" t="inlineStr">
        <is>
          <t>RGB-PSNR</t>
        </is>
      </c>
      <c r="N115" s="316" t="n"/>
      <c r="O115" s="85" t="n"/>
      <c r="P115" s="3" t="n"/>
    </row>
    <row r="116" ht="16.5" customHeight="1" s="270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I116" s="9" t="n"/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I117" s="9" t="n"/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 ht="16.5" customHeight="1" s="270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I118" s="9" t="n"/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I119" s="9" t="n"/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3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I120" s="9" t="n"/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18" t="n"/>
    </row>
    <row r="121" ht="16.2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I121" s="9" t="n"/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I123" s="9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  <c r="AB123" s="320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I125" s="2" t="n"/>
      <c r="J125" s="265" t="n"/>
      <c r="L125" s="265">
        <f>F125</f>
        <v/>
      </c>
      <c r="M125" s="313" t="n"/>
      <c r="N125" s="314" t="n"/>
      <c r="O125" s="195" t="n"/>
      <c r="P125" s="265" t="n"/>
    </row>
    <row r="126" ht="16.5" customHeight="1" s="270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I126" s="9" t="n"/>
      <c r="J126" s="267" t="inlineStr">
        <is>
          <t>%</t>
        </is>
      </c>
      <c r="L126" s="267" t="inlineStr">
        <is>
          <t>RGB-PSNR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I127" s="9" t="n"/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 ht="16.5" customHeight="1" s="270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I128" s="9" t="n"/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I129" s="9" t="n"/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I130" s="9" t="n"/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3" t="n"/>
    </row>
    <row r="131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I131" s="9" t="n"/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18" t="n"/>
    </row>
    <row r="132" ht="16.2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I132" s="9" t="n"/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  <c r="AB133" s="320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I134" s="9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/>
    <row r="136" ht="16.5" customHeight="1" s="270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I136" s="2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I137" s="9" t="n"/>
      <c r="J137" s="267" t="inlineStr">
        <is>
          <t>%</t>
        </is>
      </c>
      <c r="L137" s="267" t="inlineStr">
        <is>
          <t>RGB-PSNR</t>
        </is>
      </c>
      <c r="N137" s="316" t="n"/>
      <c r="O137" s="85" t="n"/>
      <c r="P137" s="3" t="n"/>
    </row>
    <row r="138" ht="16.5" customHeight="1" s="270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I138" s="9" t="n"/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I139" s="9" t="n"/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I140" s="9" t="n"/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I141" s="9" t="n"/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3" t="n"/>
    </row>
    <row r="142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I142" s="9" t="n"/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18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I143" s="9" t="n"/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  <c r="AB143" s="320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I145" s="9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5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I146" s="9" t="n"/>
      <c r="J146" s="212" t="n"/>
      <c r="L146" s="213" t="n"/>
      <c r="M146" s="213" t="n"/>
      <c r="N146" s="214" t="n"/>
      <c r="O146" s="315" t="n"/>
      <c r="P146" s="268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I147" s="2" t="n"/>
      <c r="J147" s="265" t="n"/>
      <c r="L147" s="265">
        <f>F147</f>
        <v/>
      </c>
      <c r="M147" s="313" t="n"/>
      <c r="N147" s="314" t="n"/>
      <c r="O147" s="195" t="n"/>
      <c r="P147" s="265" t="n"/>
    </row>
    <row r="148" ht="16.5" customHeight="1" s="270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I148" s="9" t="n"/>
      <c r="J148" s="267" t="inlineStr">
        <is>
          <t>%</t>
        </is>
      </c>
      <c r="L148" s="267" t="inlineStr">
        <is>
          <t>RGB-PSNR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I149" s="9" t="n"/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I150" s="9" t="n"/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I151" s="9" t="n"/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I152" s="9" t="n"/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3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I153" s="9" t="n"/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18" t="n"/>
      <c r="AB153" s="320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I154" s="9" t="n"/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5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I156" s="9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 ht="16.5" customHeight="1" s="270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I158" s="2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I159" s="9" t="n"/>
      <c r="J159" s="267" t="inlineStr">
        <is>
          <t>%</t>
        </is>
      </c>
      <c r="L159" s="267" t="inlineStr">
        <is>
          <t>RGB-PSNR</t>
        </is>
      </c>
      <c r="N159" s="316" t="n"/>
      <c r="O159" s="85" t="n"/>
      <c r="P159" s="3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I160" s="9" t="n"/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I161" s="9" t="n"/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I162" s="9" t="n"/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I163" s="9" t="n"/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3" t="n"/>
      <c r="AB163" s="320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I164" s="9" t="n"/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18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I165" s="9" t="n"/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 ht="16.5" customHeight="1" s="270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I167" s="9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5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I169" s="2" t="n"/>
      <c r="J169" s="265" t="n"/>
      <c r="L169" s="265">
        <f>F169</f>
        <v/>
      </c>
      <c r="M169" s="313" t="n"/>
      <c r="N169" s="314" t="n"/>
      <c r="O169" s="195" t="n"/>
      <c r="P169" s="265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I170" s="9" t="n"/>
      <c r="J170" s="267" t="inlineStr">
        <is>
          <t>%</t>
        </is>
      </c>
      <c r="L170" s="267" t="inlineStr">
        <is>
          <t>RGB-PSNR</t>
        </is>
      </c>
      <c r="N170" s="316" t="n"/>
      <c r="O170" s="85" t="n"/>
      <c r="P170" s="3" t="n"/>
    </row>
    <row r="171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I171" s="9" t="n"/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I172" s="9" t="n"/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I173" s="9" t="n"/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  <c r="AB173" s="320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I174" s="9" t="n"/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3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I175" s="9" t="n"/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18" t="n"/>
    </row>
    <row r="176" ht="16.5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I176" s="9" t="n"/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5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I178" s="9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/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I180" s="2" t="n"/>
      <c r="J180" s="265" t="n"/>
      <c r="L180" s="265">
        <f>F180</f>
        <v/>
      </c>
      <c r="M180" s="313" t="n"/>
      <c r="N180" s="314" t="n"/>
      <c r="O180" s="195" t="n"/>
      <c r="P180" s="265" t="n"/>
    </row>
    <row r="181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I181" s="9" t="n"/>
      <c r="J181" s="267" t="inlineStr">
        <is>
          <t>%</t>
        </is>
      </c>
      <c r="L181" s="267" t="inlineStr">
        <is>
          <t>RGB-PSNR</t>
        </is>
      </c>
      <c r="N181" s="316" t="n"/>
      <c r="O181" s="85" t="n"/>
      <c r="P181" s="3" t="n"/>
    </row>
    <row r="182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I182" s="9" t="n"/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  <c r="Q182" s="2" t="n"/>
      <c r="R182" s="2" t="n"/>
      <c r="S182" s="2" t="n"/>
      <c r="T182" s="2" t="n"/>
      <c r="U182" s="2" t="n"/>
      <c r="V182" s="2" t="n"/>
      <c r="X182" s="195" t="n"/>
      <c r="Y182" s="195" t="n"/>
      <c r="Z182" s="195" t="n"/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I183" s="9" t="n"/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  <c r="Q183" s="315" t="n"/>
      <c r="R183" s="9" t="n"/>
      <c r="S183" s="9" t="n"/>
      <c r="T183" s="9" t="n"/>
      <c r="U183" s="9" t="n"/>
      <c r="V183" s="319" t="n"/>
      <c r="X183" s="6" t="n"/>
      <c r="Y183" s="6" t="n"/>
      <c r="Z183" s="81" t="n"/>
      <c r="AB183" s="320" t="n"/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I184" s="9" t="n"/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  <c r="Q184" s="315" t="n"/>
      <c r="R184" s="9" t="n"/>
      <c r="S184" s="9" t="n"/>
      <c r="T184" s="9" t="n"/>
      <c r="U184" s="9" t="n"/>
      <c r="V184" s="319" t="n"/>
      <c r="X184" s="6" t="n"/>
      <c r="Y184" s="6" t="n"/>
      <c r="Z184" s="81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I185" s="9" t="n"/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3" t="n"/>
      <c r="Q185" s="315" t="n"/>
      <c r="R185" s="9" t="n"/>
      <c r="S185" s="9" t="n"/>
      <c r="T185" s="9" t="n"/>
      <c r="U185" s="9" t="n"/>
      <c r="V185" s="319" t="n"/>
      <c r="X185" s="6" t="n"/>
      <c r="Y185" s="6" t="n"/>
      <c r="Z185" s="81" t="n"/>
    </row>
    <row r="186" ht="16.5" customHeight="1" s="270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I186" s="9" t="n"/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18" t="n"/>
      <c r="Q186" s="315" t="n"/>
      <c r="R186" s="9" t="n"/>
      <c r="S186" s="9" t="n"/>
      <c r="T186" s="9" t="n"/>
      <c r="U186" s="9" t="n"/>
      <c r="V186" s="319" t="n"/>
      <c r="X186" s="6" t="n"/>
      <c r="Y186" s="6" t="n"/>
      <c r="Z186" s="81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I187" s="9" t="n"/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  <c r="Q187" s="315" t="n"/>
      <c r="R187" s="9" t="n"/>
      <c r="S187" s="9" t="n"/>
      <c r="T187" s="9" t="n"/>
      <c r="U187" s="9" t="n"/>
      <c r="V187" s="83" t="n"/>
      <c r="X187" s="6" t="n"/>
      <c r="Y187" s="6" t="n"/>
      <c r="Z187" s="81" t="n"/>
    </row>
    <row r="188" ht="16.5" customHeight="1" s="270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  <c r="Q188" s="315" t="n"/>
      <c r="R188" s="9" t="n"/>
      <c r="S188" s="9" t="n"/>
      <c r="T188" s="9" t="n"/>
      <c r="U188" s="9" t="n"/>
      <c r="V188" s="83" t="n"/>
      <c r="X188" s="84" t="n"/>
      <c r="Y188" s="84" t="n"/>
      <c r="Z188" s="81" t="n"/>
    </row>
    <row r="189" ht="16.2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I189" s="9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</row>
    <row r="190" ht="16.2" customHeight="1" s="270" thickBot="1"/>
    <row r="191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I191" s="2" t="n"/>
      <c r="J191" s="265" t="n"/>
      <c r="L191" s="265">
        <f>F191</f>
        <v/>
      </c>
      <c r="M191" s="313" t="n"/>
      <c r="N191" s="314" t="n"/>
      <c r="O191" s="195" t="n"/>
      <c r="P191" s="265" t="n"/>
    </row>
    <row r="192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I192" s="9" t="n"/>
      <c r="J192" s="267" t="inlineStr">
        <is>
          <t>%</t>
        </is>
      </c>
      <c r="L192" s="267" t="inlineStr">
        <is>
          <t>RGB-PSNR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I193" s="9" t="n"/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I194" s="9" t="n"/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I195" s="9" t="n"/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I196" s="9" t="n"/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3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I197" s="9" t="n"/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18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I198" s="9" t="n"/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I200" s="9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2" customHeight="1" s="270" thickBot="1"/>
    <row r="202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I202" s="2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I203" s="9" t="n"/>
      <c r="J203" s="267" t="inlineStr">
        <is>
          <t>%</t>
        </is>
      </c>
      <c r="L203" s="267" t="inlineStr">
        <is>
          <t>RGB-PSNR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I204" s="9" t="n"/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I205" s="9" t="n"/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I206" s="9" t="n"/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I207" s="9" t="n"/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3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I208" s="9" t="n"/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18" t="n"/>
    </row>
    <row r="209" ht="16.2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I209" s="9" t="n"/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2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I211" s="9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2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I213" s="2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I214" s="9" t="n"/>
      <c r="J214" s="267" t="inlineStr">
        <is>
          <t>%</t>
        </is>
      </c>
      <c r="L214" s="267" t="inlineStr">
        <is>
          <t>RGB-PSNR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9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3" t="n"/>
    </row>
    <row r="219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18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</row>
    <row r="221">
      <c r="B221" s="109" t="n"/>
      <c r="C221" s="110" t="n"/>
      <c r="D221" s="322" t="n"/>
      <c r="F221" s="109" t="n"/>
      <c r="G221" s="110" t="n"/>
      <c r="H221" s="322" t="n"/>
      <c r="J221" s="98">
        <f>MIN(D216:D220,H216:H220)</f>
        <v/>
      </c>
      <c r="L221" s="99" t="n"/>
      <c r="M221" s="100" t="n"/>
      <c r="N221" s="101" t="n"/>
      <c r="O221" s="315" t="n"/>
      <c r="P221" s="265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I222" s="9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I224" s="2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I225" s="9" t="n"/>
      <c r="J225" s="267" t="inlineStr">
        <is>
          <t>%</t>
        </is>
      </c>
      <c r="L225" s="267" t="inlineStr">
        <is>
          <t>RGB-PSNR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I226" s="9" t="n"/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I227" s="9" t="n"/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I228" s="9" t="n"/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I229" s="9" t="n"/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3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I230" s="9" t="n"/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18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I231" s="9" t="n"/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I233" s="9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  <row r="234" ht="16.2" customHeight="1" s="270" thickBot="1"/>
    <row r="235">
      <c r="B235" s="312" t="n"/>
      <c r="C235" s="313" t="n"/>
      <c r="D235" s="314" t="n"/>
      <c r="E235" s="2" t="n"/>
      <c r="F235" s="312" t="n"/>
      <c r="G235" s="313" t="n"/>
      <c r="H235" s="314" t="n"/>
      <c r="I235" s="2" t="n"/>
      <c r="J235" s="265" t="n"/>
      <c r="L235" s="265" t="n"/>
      <c r="M235" s="313" t="n"/>
      <c r="N235" s="314" t="n"/>
      <c r="O235" s="195" t="n"/>
      <c r="P235" s="265" t="n"/>
    </row>
    <row r="236">
      <c r="B236" s="263" t="n"/>
      <c r="D236" s="87" t="n"/>
      <c r="E236" s="315" t="n"/>
      <c r="F236" s="263" t="n"/>
      <c r="H236" s="87" t="n"/>
      <c r="I236" s="9" t="n"/>
      <c r="J236" s="267" t="n"/>
      <c r="L236" s="267" t="n"/>
      <c r="N236" s="316" t="n"/>
      <c r="O236" s="85" t="n"/>
      <c r="P236" s="3" t="n"/>
    </row>
    <row r="237">
      <c r="B237" s="191" t="n"/>
      <c r="C237" s="130" t="n"/>
      <c r="D237" s="86" t="n"/>
      <c r="E237" s="315" t="n"/>
      <c r="F237" s="191" t="n"/>
      <c r="G237" s="130" t="n"/>
      <c r="H237" s="86" t="n"/>
      <c r="I237" s="9" t="n"/>
      <c r="J237" s="93" t="n"/>
      <c r="L237" s="192" t="n"/>
      <c r="M237" s="193" t="n"/>
      <c r="N237" s="194" t="n"/>
      <c r="O237" s="2" t="n"/>
      <c r="P237" s="3" t="n"/>
    </row>
    <row r="238">
      <c r="B238" s="122" t="n"/>
      <c r="C238" s="130" t="n"/>
      <c r="D238" s="317" t="n"/>
      <c r="E238" s="315" t="n"/>
      <c r="F238" s="122" t="n"/>
      <c r="G238" s="130" t="n"/>
      <c r="H238" s="317" t="n"/>
      <c r="I238" s="9" t="n"/>
      <c r="J238" s="318" t="n"/>
      <c r="L238" s="94" t="n"/>
      <c r="M238" s="95" t="n"/>
      <c r="N238" s="96" t="n"/>
      <c r="O238" s="315" t="n"/>
      <c r="P238" s="318" t="n"/>
    </row>
    <row r="239">
      <c r="B239" s="122" t="n"/>
      <c r="C239" s="130" t="n"/>
      <c r="D239" s="317" t="n"/>
      <c r="E239" s="315" t="n"/>
      <c r="F239" s="122" t="n"/>
      <c r="G239" s="130" t="n"/>
      <c r="H239" s="317" t="n"/>
      <c r="I239" s="9" t="n"/>
      <c r="J239" s="318" t="n"/>
      <c r="L239" s="94" t="n"/>
      <c r="M239" s="95" t="n"/>
      <c r="N239" s="96" t="n"/>
      <c r="O239" s="315" t="n"/>
      <c r="P239" s="3" t="n"/>
    </row>
    <row r="240">
      <c r="B240" s="122" t="n"/>
      <c r="C240" s="130" t="n"/>
      <c r="D240" s="317" t="n"/>
      <c r="E240" s="315" t="n"/>
      <c r="F240" s="122" t="n"/>
      <c r="G240" s="130" t="n"/>
      <c r="H240" s="317" t="n"/>
      <c r="I240" s="9" t="n"/>
      <c r="J240" s="318" t="n"/>
      <c r="L240" s="94" t="n"/>
      <c r="M240" s="95" t="n"/>
      <c r="N240" s="96" t="n"/>
      <c r="O240" s="315" t="n"/>
      <c r="P240" s="3" t="n"/>
    </row>
    <row r="241">
      <c r="B241" s="122" t="n"/>
      <c r="C241" s="130" t="n"/>
      <c r="D241" s="317" t="n"/>
      <c r="E241" s="315" t="n"/>
      <c r="F241" s="122" t="n"/>
      <c r="G241" s="130" t="n"/>
      <c r="H241" s="317" t="n"/>
      <c r="I241" s="9" t="n"/>
      <c r="J241" s="318" t="n"/>
      <c r="L241" s="94" t="n"/>
      <c r="M241" s="95" t="n"/>
      <c r="N241" s="96" t="n"/>
      <c r="O241" s="315" t="n"/>
      <c r="P241" s="318" t="n"/>
    </row>
    <row r="242" ht="16.2" customHeight="1" s="270" thickBot="1">
      <c r="B242" s="122" t="n"/>
      <c r="C242" s="130" t="n"/>
      <c r="D242" s="317" t="n"/>
      <c r="E242" s="315" t="n"/>
      <c r="F242" s="122" t="n"/>
      <c r="G242" s="130" t="n"/>
      <c r="H242" s="317" t="n"/>
      <c r="I242" s="9" t="n"/>
      <c r="J242" s="318" t="n"/>
      <c r="L242" s="94" t="n"/>
      <c r="M242" s="95" t="n"/>
      <c r="N242" s="96" t="n"/>
      <c r="O242" s="315" t="n"/>
      <c r="P242" s="321" t="n"/>
    </row>
    <row r="243">
      <c r="B243" s="109" t="n"/>
      <c r="C243" s="110" t="n"/>
      <c r="D243" s="322" t="n"/>
      <c r="F243" s="109" t="n"/>
      <c r="G243" s="110" t="n"/>
      <c r="H243" s="322" t="n"/>
      <c r="J243" s="98" t="n"/>
      <c r="L243" s="99" t="n"/>
      <c r="M243" s="100" t="n"/>
      <c r="N243" s="101" t="n"/>
      <c r="O243" s="315" t="n"/>
      <c r="P243" s="265" t="n"/>
    </row>
    <row r="244" ht="16.2" customHeight="1" s="270" thickBot="1">
      <c r="B244" s="89" t="n"/>
      <c r="C244" s="92" t="n"/>
      <c r="D244" s="323" t="n"/>
      <c r="E244" s="315" t="n"/>
      <c r="F244" s="89" t="n"/>
      <c r="G244" s="92" t="n"/>
      <c r="H244" s="323" t="n"/>
      <c r="I244" s="9" t="n"/>
      <c r="J244" s="102" t="n"/>
      <c r="L244" s="103" t="n"/>
      <c r="M244" s="104" t="n"/>
      <c r="N244" s="97" t="n"/>
      <c r="O244" s="315" t="n"/>
      <c r="P244" s="5" t="n"/>
    </row>
    <row r="245" ht="16.2" customHeight="1" s="270" thickBot="1"/>
    <row r="246">
      <c r="B246" s="312" t="n"/>
      <c r="C246" s="313" t="n"/>
      <c r="D246" s="314" t="n"/>
      <c r="E246" s="2" t="n"/>
      <c r="F246" s="312" t="n"/>
      <c r="G246" s="313" t="n"/>
      <c r="H246" s="314" t="n"/>
      <c r="I246" s="2" t="n"/>
      <c r="J246" s="265" t="n"/>
      <c r="L246" s="265" t="n"/>
      <c r="M246" s="313" t="n"/>
      <c r="N246" s="314" t="n"/>
      <c r="O246" s="195" t="n"/>
      <c r="P246" s="265" t="n"/>
    </row>
    <row r="247">
      <c r="B247" s="263" t="n"/>
      <c r="D247" s="87" t="n"/>
      <c r="E247" s="315" t="n"/>
      <c r="F247" s="263" t="n"/>
      <c r="H247" s="87" t="n"/>
      <c r="I247" s="9" t="n"/>
      <c r="J247" s="267" t="n"/>
      <c r="L247" s="267" t="n"/>
      <c r="N247" s="316" t="n"/>
      <c r="O247" s="85" t="n"/>
      <c r="P247" s="3" t="n"/>
    </row>
    <row r="248">
      <c r="B248" s="191" t="n"/>
      <c r="C248" s="130" t="n"/>
      <c r="D248" s="86" t="n"/>
      <c r="E248" s="315" t="n"/>
      <c r="F248" s="191" t="n"/>
      <c r="G248" s="130" t="n"/>
      <c r="H248" s="86" t="n"/>
      <c r="I248" s="9" t="n"/>
      <c r="J248" s="93" t="n"/>
      <c r="L248" s="192" t="n"/>
      <c r="M248" s="193" t="n"/>
      <c r="N248" s="194" t="n"/>
      <c r="O248" s="2" t="n"/>
      <c r="P248" s="3" t="n"/>
    </row>
    <row r="249">
      <c r="B249" s="122" t="n"/>
      <c r="C249" s="130" t="n"/>
      <c r="D249" s="317" t="n"/>
      <c r="E249" s="315" t="n"/>
      <c r="F249" s="122" t="n"/>
      <c r="G249" s="130" t="n"/>
      <c r="H249" s="317" t="n"/>
      <c r="I249" s="9" t="n"/>
      <c r="J249" s="318" t="n"/>
      <c r="L249" s="94" t="n"/>
      <c r="M249" s="95" t="n"/>
      <c r="N249" s="96" t="n"/>
      <c r="O249" s="315" t="n"/>
      <c r="P249" s="318" t="n"/>
    </row>
    <row r="250">
      <c r="B250" s="122" t="n"/>
      <c r="C250" s="130" t="n"/>
      <c r="D250" s="317" t="n"/>
      <c r="E250" s="315" t="n"/>
      <c r="F250" s="122" t="n"/>
      <c r="G250" s="130" t="n"/>
      <c r="H250" s="317" t="n"/>
      <c r="I250" s="9" t="n"/>
      <c r="J250" s="318" t="n"/>
      <c r="L250" s="94" t="n"/>
      <c r="M250" s="95" t="n"/>
      <c r="N250" s="96" t="n"/>
      <c r="O250" s="315" t="n"/>
      <c r="P250" s="3" t="n"/>
    </row>
    <row r="251">
      <c r="B251" s="122" t="n"/>
      <c r="C251" s="130" t="n"/>
      <c r="D251" s="317" t="n"/>
      <c r="E251" s="315" t="n"/>
      <c r="F251" s="122" t="n"/>
      <c r="G251" s="130" t="n"/>
      <c r="H251" s="317" t="n"/>
      <c r="I251" s="9" t="n"/>
      <c r="J251" s="318" t="n"/>
      <c r="L251" s="94" t="n"/>
      <c r="M251" s="95" t="n"/>
      <c r="N251" s="96" t="n"/>
      <c r="O251" s="315" t="n"/>
      <c r="P251" s="3" t="n"/>
    </row>
    <row r="252">
      <c r="B252" s="122" t="n"/>
      <c r="C252" s="130" t="n"/>
      <c r="D252" s="317" t="n"/>
      <c r="E252" s="315" t="n"/>
      <c r="F252" s="122" t="n"/>
      <c r="G252" s="130" t="n"/>
      <c r="H252" s="317" t="n"/>
      <c r="I252" s="9" t="n"/>
      <c r="J252" s="318" t="n"/>
      <c r="L252" s="94" t="n"/>
      <c r="M252" s="95" t="n"/>
      <c r="N252" s="96" t="n"/>
      <c r="O252" s="315" t="n"/>
      <c r="P252" s="318" t="n"/>
    </row>
    <row r="253" ht="16.2" customHeight="1" s="270" thickBot="1">
      <c r="B253" s="122" t="n"/>
      <c r="C253" s="130" t="n"/>
      <c r="D253" s="317" t="n"/>
      <c r="E253" s="315" t="n"/>
      <c r="F253" s="122" t="n"/>
      <c r="G253" s="130" t="n"/>
      <c r="H253" s="317" t="n"/>
      <c r="I253" s="9" t="n"/>
      <c r="J253" s="318" t="n"/>
      <c r="L253" s="94" t="n"/>
      <c r="M253" s="95" t="n"/>
      <c r="N253" s="96" t="n"/>
      <c r="O253" s="315" t="n"/>
      <c r="P253" s="321" t="n"/>
    </row>
    <row r="254">
      <c r="B254" s="109" t="n"/>
      <c r="C254" s="110" t="n"/>
      <c r="D254" s="322" t="n"/>
      <c r="F254" s="109" t="n"/>
      <c r="G254" s="110" t="n"/>
      <c r="H254" s="322" t="n"/>
      <c r="J254" s="98" t="n"/>
      <c r="L254" s="99" t="n"/>
      <c r="M254" s="100" t="n"/>
      <c r="N254" s="101" t="n"/>
      <c r="O254" s="315" t="n"/>
      <c r="P254" s="265" t="n"/>
    </row>
    <row r="255" ht="16.2" customHeight="1" s="270" thickBot="1">
      <c r="B255" s="89" t="n"/>
      <c r="C255" s="92" t="n"/>
      <c r="D255" s="323" t="n"/>
      <c r="E255" s="315" t="n"/>
      <c r="F255" s="89" t="n"/>
      <c r="G255" s="92" t="n"/>
      <c r="H255" s="323" t="n"/>
      <c r="I255" s="9" t="n"/>
      <c r="J255" s="102" t="n"/>
      <c r="L255" s="103" t="n"/>
      <c r="M255" s="104" t="n"/>
      <c r="N255" s="97" t="n"/>
      <c r="O255" s="315" t="n"/>
      <c r="P255" s="5" t="n"/>
    </row>
    <row r="256" ht="16.2" customHeight="1" s="270" thickBot="1"/>
    <row r="257">
      <c r="B257" s="312" t="n"/>
      <c r="C257" s="313" t="n"/>
      <c r="D257" s="314" t="n"/>
      <c r="E257" s="2" t="n"/>
      <c r="F257" s="312" t="n"/>
      <c r="G257" s="313" t="n"/>
      <c r="H257" s="314" t="n"/>
      <c r="I257" s="2" t="n"/>
      <c r="J257" s="265" t="n"/>
      <c r="L257" s="265" t="n"/>
      <c r="M257" s="313" t="n"/>
      <c r="N257" s="314" t="n"/>
      <c r="O257" s="195" t="n"/>
      <c r="P257" s="265" t="n"/>
    </row>
    <row r="258">
      <c r="B258" s="263" t="n"/>
      <c r="D258" s="87" t="n"/>
      <c r="E258" s="315" t="n"/>
      <c r="F258" s="263" t="n"/>
      <c r="H258" s="87" t="n"/>
      <c r="I258" s="9" t="n"/>
      <c r="J258" s="267" t="n"/>
      <c r="L258" s="267" t="n"/>
      <c r="N258" s="316" t="n"/>
      <c r="O258" s="85" t="n"/>
      <c r="P258" s="3" t="n"/>
    </row>
    <row r="259">
      <c r="B259" s="191" t="n"/>
      <c r="C259" s="130" t="n"/>
      <c r="D259" s="86" t="n"/>
      <c r="E259" s="315" t="n"/>
      <c r="F259" s="191" t="n"/>
      <c r="G259" s="130" t="n"/>
      <c r="H259" s="86" t="n"/>
      <c r="I259" s="9" t="n"/>
      <c r="J259" s="93" t="n"/>
      <c r="L259" s="192" t="n"/>
      <c r="M259" s="193" t="n"/>
      <c r="N259" s="194" t="n"/>
      <c r="O259" s="2" t="n"/>
      <c r="P259" s="3" t="n"/>
    </row>
    <row r="260">
      <c r="B260" s="122" t="n"/>
      <c r="C260" s="130" t="n"/>
      <c r="D260" s="317" t="n"/>
      <c r="E260" s="315" t="n"/>
      <c r="F260" s="122" t="n"/>
      <c r="G260" s="130" t="n"/>
      <c r="H260" s="317" t="n"/>
      <c r="I260" s="9" t="n"/>
      <c r="J260" s="318" t="n"/>
      <c r="L260" s="94" t="n"/>
      <c r="M260" s="95" t="n"/>
      <c r="N260" s="96" t="n"/>
      <c r="O260" s="315" t="n"/>
      <c r="P260" s="318" t="n"/>
    </row>
    <row r="261">
      <c r="B261" s="122" t="n"/>
      <c r="C261" s="130" t="n"/>
      <c r="D261" s="317" t="n"/>
      <c r="E261" s="315" t="n"/>
      <c r="F261" s="122" t="n"/>
      <c r="G261" s="130" t="n"/>
      <c r="H261" s="317" t="n"/>
      <c r="I261" s="9" t="n"/>
      <c r="J261" s="318" t="n"/>
      <c r="L261" s="94" t="n"/>
      <c r="M261" s="95" t="n"/>
      <c r="N261" s="96" t="n"/>
      <c r="O261" s="315" t="n"/>
      <c r="P261" s="3" t="n"/>
    </row>
    <row r="262">
      <c r="B262" s="122" t="n"/>
      <c r="C262" s="130" t="n"/>
      <c r="D262" s="317" t="n"/>
      <c r="E262" s="315" t="n"/>
      <c r="F262" s="122" t="n"/>
      <c r="G262" s="130" t="n"/>
      <c r="H262" s="317" t="n"/>
      <c r="I262" s="9" t="n"/>
      <c r="J262" s="318" t="n"/>
      <c r="L262" s="94" t="n"/>
      <c r="M262" s="95" t="n"/>
      <c r="N262" s="96" t="n"/>
      <c r="O262" s="315" t="n"/>
      <c r="P262" s="3" t="n"/>
    </row>
    <row r="263">
      <c r="B263" s="122" t="n"/>
      <c r="C263" s="130" t="n"/>
      <c r="D263" s="317" t="n"/>
      <c r="E263" s="315" t="n"/>
      <c r="F263" s="122" t="n"/>
      <c r="G263" s="130" t="n"/>
      <c r="H263" s="317" t="n"/>
      <c r="I263" s="9" t="n"/>
      <c r="J263" s="318" t="n"/>
      <c r="L263" s="94" t="n"/>
      <c r="M263" s="95" t="n"/>
      <c r="N263" s="96" t="n"/>
      <c r="O263" s="315" t="n"/>
      <c r="P263" s="318" t="n"/>
    </row>
    <row r="264" ht="16.2" customHeight="1" s="270" thickBot="1">
      <c r="B264" s="122" t="n"/>
      <c r="C264" s="130" t="n"/>
      <c r="D264" s="317" t="n"/>
      <c r="E264" s="315" t="n"/>
      <c r="F264" s="122" t="n"/>
      <c r="G264" s="130" t="n"/>
      <c r="H264" s="317" t="n"/>
      <c r="I264" s="9" t="n"/>
      <c r="J264" s="318" t="n"/>
      <c r="L264" s="94" t="n"/>
      <c r="M264" s="95" t="n"/>
      <c r="N264" s="96" t="n"/>
      <c r="O264" s="315" t="n"/>
      <c r="P264" s="321" t="n"/>
    </row>
    <row r="265">
      <c r="B265" s="109" t="n"/>
      <c r="C265" s="110" t="n"/>
      <c r="D265" s="322" t="n"/>
      <c r="F265" s="109" t="n"/>
      <c r="G265" s="110" t="n"/>
      <c r="H265" s="322" t="n"/>
      <c r="J265" s="98" t="n"/>
      <c r="L265" s="99" t="n"/>
      <c r="M265" s="100" t="n"/>
      <c r="N265" s="101" t="n"/>
      <c r="O265" s="315" t="n"/>
      <c r="P265" s="265" t="n"/>
    </row>
    <row r="266" ht="16.2" customHeight="1" s="270" thickBot="1">
      <c r="B266" s="89" t="n"/>
      <c r="C266" s="92" t="n"/>
      <c r="D266" s="323" t="n"/>
      <c r="E266" s="315" t="n"/>
      <c r="F266" s="89" t="n"/>
      <c r="G266" s="92" t="n"/>
      <c r="H266" s="323" t="n"/>
      <c r="I266" s="9" t="n"/>
      <c r="J266" s="102" t="n"/>
      <c r="L266" s="103" t="n"/>
      <c r="M266" s="104" t="n"/>
      <c r="N266" s="97" t="n"/>
      <c r="O266" s="315" t="n"/>
      <c r="P266" s="5" t="n"/>
    </row>
    <row r="267" ht="16.2" customHeight="1" s="270" thickBot="1"/>
    <row r="268">
      <c r="B268" s="257" t="n"/>
      <c r="C268" s="258" t="n"/>
      <c r="D268" s="259" t="n"/>
      <c r="E268" s="2" t="n"/>
      <c r="F268" s="257" t="n"/>
      <c r="G268" s="258" t="n"/>
      <c r="H268" s="259" t="n"/>
      <c r="I268" s="2" t="n"/>
      <c r="J268" s="265" t="n"/>
      <c r="L268" s="265" t="n"/>
      <c r="M268" s="255" t="n"/>
      <c r="N268" s="256" t="n"/>
      <c r="O268" s="195" t="n"/>
      <c r="P268" s="265" t="n"/>
    </row>
    <row r="269">
      <c r="B269" s="263" t="n"/>
      <c r="C269" s="266" t="n"/>
      <c r="D269" s="87" t="n"/>
      <c r="E269" s="315" t="n"/>
      <c r="F269" s="263" t="n"/>
      <c r="G269" s="266" t="n"/>
      <c r="H269" s="87" t="n"/>
      <c r="I269" s="9" t="n"/>
      <c r="J269" s="267" t="n"/>
      <c r="L269" s="267" t="n"/>
      <c r="M269" s="268" t="n"/>
      <c r="N269" s="269" t="n"/>
      <c r="O269" s="85" t="n"/>
      <c r="P269" s="3" t="n"/>
    </row>
    <row r="270">
      <c r="B270" s="191" t="n"/>
      <c r="C270" s="130" t="n"/>
      <c r="D270" s="86" t="n"/>
      <c r="E270" s="315" t="n"/>
      <c r="F270" s="191" t="n"/>
      <c r="G270" s="130" t="n"/>
      <c r="H270" s="86" t="n"/>
      <c r="I270" s="9" t="n"/>
      <c r="J270" s="93" t="n"/>
      <c r="L270" s="192" t="n"/>
      <c r="M270" s="193" t="n"/>
      <c r="N270" s="194" t="n"/>
      <c r="O270" s="2" t="n"/>
      <c r="P270" s="3" t="n"/>
    </row>
    <row r="271">
      <c r="B271" s="122" t="n"/>
      <c r="C271" s="130" t="n"/>
      <c r="D271" s="317" t="n"/>
      <c r="E271" s="315" t="n"/>
      <c r="F271" s="122" t="n"/>
      <c r="G271" s="130" t="n"/>
      <c r="H271" s="317" t="n"/>
      <c r="I271" s="9" t="n"/>
      <c r="J271" s="318" t="n"/>
      <c r="L271" s="94" t="n"/>
      <c r="M271" s="95" t="n"/>
      <c r="N271" s="96" t="n"/>
      <c r="O271" s="315" t="n"/>
      <c r="P271" s="318" t="n"/>
    </row>
    <row r="272">
      <c r="B272" s="122" t="n"/>
      <c r="C272" s="130" t="n"/>
      <c r="D272" s="317" t="n"/>
      <c r="E272" s="315" t="n"/>
      <c r="F272" s="122" t="n"/>
      <c r="G272" s="130" t="n"/>
      <c r="H272" s="317" t="n"/>
      <c r="I272" s="9" t="n"/>
      <c r="J272" s="318" t="n"/>
      <c r="L272" s="94" t="n"/>
      <c r="M272" s="95" t="n"/>
      <c r="N272" s="96" t="n"/>
      <c r="O272" s="315" t="n"/>
      <c r="P272" s="3" t="n"/>
    </row>
    <row r="273">
      <c r="B273" s="122" t="n"/>
      <c r="C273" s="130" t="n"/>
      <c r="D273" s="317" t="n"/>
      <c r="E273" s="315" t="n"/>
      <c r="F273" s="122" t="n"/>
      <c r="G273" s="130" t="n"/>
      <c r="H273" s="317" t="n"/>
      <c r="I273" s="9" t="n"/>
      <c r="J273" s="318" t="n"/>
      <c r="L273" s="94" t="n"/>
      <c r="M273" s="95" t="n"/>
      <c r="N273" s="96" t="n"/>
      <c r="O273" s="315" t="n"/>
      <c r="P273" s="3" t="n"/>
    </row>
    <row r="274">
      <c r="B274" s="122" t="n"/>
      <c r="C274" s="130" t="n"/>
      <c r="D274" s="317" t="n"/>
      <c r="E274" s="315" t="n"/>
      <c r="F274" s="122" t="n"/>
      <c r="G274" s="130" t="n"/>
      <c r="H274" s="317" t="n"/>
      <c r="I274" s="9" t="n"/>
      <c r="J274" s="318" t="n"/>
      <c r="L274" s="94" t="n"/>
      <c r="M274" s="95" t="n"/>
      <c r="N274" s="96" t="n"/>
      <c r="O274" s="315" t="n"/>
      <c r="P274" s="318" t="n"/>
    </row>
    <row r="275" ht="16.2" customHeight="1" s="270" thickBot="1">
      <c r="B275" s="122" t="n"/>
      <c r="C275" s="130" t="n"/>
      <c r="D275" s="317" t="n"/>
      <c r="E275" s="315" t="n"/>
      <c r="F275" s="122" t="n"/>
      <c r="G275" s="130" t="n"/>
      <c r="H275" s="317" t="n"/>
      <c r="I275" s="9" t="n"/>
      <c r="J275" s="318" t="n"/>
      <c r="L275" s="94" t="n"/>
      <c r="M275" s="95" t="n"/>
      <c r="N275" s="96" t="n"/>
      <c r="O275" s="315" t="n"/>
      <c r="P275" s="321" t="n"/>
    </row>
    <row r="276">
      <c r="B276" s="109" t="n"/>
      <c r="C276" s="110" t="n"/>
      <c r="D276" s="322" t="n"/>
      <c r="F276" s="109" t="n"/>
      <c r="G276" s="110" t="n"/>
      <c r="H276" s="322" t="n"/>
      <c r="J276" s="98" t="n"/>
      <c r="L276" s="99" t="n"/>
      <c r="M276" s="100" t="n"/>
      <c r="N276" s="101" t="n"/>
      <c r="O276" s="315" t="n"/>
      <c r="P276" s="265" t="n"/>
    </row>
    <row r="277" ht="16.2" customHeight="1" s="270" thickBot="1">
      <c r="B277" s="89" t="n"/>
      <c r="C277" s="92" t="n"/>
      <c r="D277" s="323" t="n"/>
      <c r="E277" s="315" t="n"/>
      <c r="F277" s="89" t="n"/>
      <c r="G277" s="92" t="n"/>
      <c r="H277" s="323" t="n"/>
      <c r="I277" s="9" t="n"/>
      <c r="J277" s="102" t="n"/>
      <c r="L277" s="103" t="n"/>
      <c r="M277" s="104" t="n"/>
      <c r="N277" s="97" t="n"/>
      <c r="O277" s="315" t="n"/>
      <c r="P277" s="5" t="n"/>
    </row>
  </sheetData>
  <mergeCells count="177"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B4:D4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L247:N247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15:H1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26:H26"/>
    <mergeCell ref="F137:G137"/>
    <mergeCell ref="F224:H224"/>
    <mergeCell ref="L4:N4"/>
    <mergeCell ref="B71:C71"/>
    <mergeCell ref="B191:D191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R16:T16"/>
  </mergeCells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priority="1871" operator="lessThan" dxfId="1" stopIfTrue="1">
      <formula>-0.01</formula>
    </cfRule>
    <cfRule type="cellIs" priority="1872" operator="greaterThan" dxfId="0" stopIfTrue="1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priority="1866" operator="greaterThan" dxfId="1">
      <formula>0.03</formula>
    </cfRule>
    <cfRule type="cellIs" priority="1867" operator="lessThan" dxfId="0" stopIfTrue="1">
      <formula>-0.03</formula>
    </cfRule>
  </conditionalFormatting>
  <conditionalFormatting sqref="AB22">
    <cfRule type="cellIs" priority="1864" operator="lessThan" dxfId="1">
      <formula>-0.03</formula>
    </cfRule>
    <cfRule type="cellIs" priority="1865" operator="greaterThan" dxfId="0" stopIfTrue="1">
      <formula>0.03</formula>
    </cfRule>
  </conditionalFormatting>
  <conditionalFormatting sqref="Z18">
    <cfRule type="cellIs" priority="1861" operator="lessThan" dxfId="1" stopIfTrue="1">
      <formula>-0.01</formula>
    </cfRule>
    <cfRule type="cellIs" priority="1862" operator="greaterThan" dxfId="0" stopIfTrue="1">
      <formula>0.01</formula>
    </cfRule>
  </conditionalFormatting>
  <conditionalFormatting sqref="Z19">
    <cfRule type="cellIs" priority="1859" operator="lessThan" dxfId="1" stopIfTrue="1">
      <formula>-0.01</formula>
    </cfRule>
    <cfRule type="cellIs" priority="1860" operator="greaterThan" dxfId="0" stopIfTrue="1">
      <formula>0.01</formula>
    </cfRule>
  </conditionalFormatting>
  <conditionalFormatting sqref="Z20:Z21">
    <cfRule type="cellIs" priority="1857" operator="lessThan" dxfId="1" stopIfTrue="1">
      <formula>-0.01</formula>
    </cfRule>
    <cfRule type="cellIs" priority="1858" operator="greaterThan" dxfId="0" stopIfTrue="1">
      <formula>0.01</formula>
    </cfRule>
  </conditionalFormatting>
  <conditionalFormatting sqref="Z22">
    <cfRule type="cellIs" priority="1855" operator="lessThan" dxfId="1" stopIfTrue="1">
      <formula>-0.01</formula>
    </cfRule>
    <cfRule type="cellIs" priority="1856" operator="greaterThan" dxfId="0" stopIfTrue="1">
      <formula>0.01</formula>
    </cfRule>
  </conditionalFormatting>
  <conditionalFormatting sqref="V18:V22">
    <cfRule type="cellIs" priority="1853" operator="greaterThan" dxfId="1">
      <formula>0.03</formula>
    </cfRule>
    <cfRule type="cellIs" priority="1854" operator="lessThan" dxfId="0" stopIfTrue="1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priority="1844" operator="lessThan" dxfId="1" stopIfTrue="1">
      <formula>-0.01</formula>
    </cfRule>
    <cfRule type="cellIs" priority="1845" operator="greaterThan" dxfId="0" stopIfTrue="1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priority="1840" operator="greaterThan" dxfId="1">
      <formula>0.03</formula>
    </cfRule>
    <cfRule type="cellIs" priority="1841" operator="lessThan" dxfId="0" stopIfTrue="1">
      <formula>-0.03</formula>
    </cfRule>
  </conditionalFormatting>
  <conditionalFormatting sqref="AB33">
    <cfRule type="cellIs" priority="1838" operator="lessThan" dxfId="1">
      <formula>-0.03</formula>
    </cfRule>
    <cfRule type="cellIs" priority="1839" operator="greaterThan" dxfId="0" stopIfTrue="1">
      <formula>0.03</formula>
    </cfRule>
  </conditionalFormatting>
  <conditionalFormatting sqref="Z29">
    <cfRule type="cellIs" priority="1836" operator="lessThan" dxfId="1" stopIfTrue="1">
      <formula>-0.01</formula>
    </cfRule>
    <cfRule type="cellIs" priority="1837" operator="greaterThan" dxfId="0" stopIfTrue="1">
      <formula>0.01</formula>
    </cfRule>
  </conditionalFormatting>
  <conditionalFormatting sqref="Z30">
    <cfRule type="cellIs" priority="1834" operator="lessThan" dxfId="1" stopIfTrue="1">
      <formula>-0.01</formula>
    </cfRule>
    <cfRule type="cellIs" priority="1835" operator="greaterThan" dxfId="0" stopIfTrue="1">
      <formula>0.01</formula>
    </cfRule>
  </conditionalFormatting>
  <conditionalFormatting sqref="Z31:Z32">
    <cfRule type="cellIs" priority="1832" operator="lessThan" dxfId="1" stopIfTrue="1">
      <formula>-0.01</formula>
    </cfRule>
    <cfRule type="cellIs" priority="1833" operator="greaterThan" dxfId="0" stopIfTrue="1">
      <formula>0.01</formula>
    </cfRule>
  </conditionalFormatting>
  <conditionalFormatting sqref="Z33">
    <cfRule type="cellIs" priority="1830" operator="lessThan" dxfId="1" stopIfTrue="1">
      <formula>-0.01</formula>
    </cfRule>
    <cfRule type="cellIs" priority="1831" operator="greaterThan" dxfId="0" stopIfTrue="1">
      <formula>0.01</formula>
    </cfRule>
  </conditionalFormatting>
  <conditionalFormatting sqref="V29:V33">
    <cfRule type="cellIs" priority="1828" operator="greaterThan" dxfId="1">
      <formula>0.03</formula>
    </cfRule>
    <cfRule type="cellIs" priority="1829" operator="lessThan" dxfId="0" stopIfTrue="1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priority="1822" operator="lessThan" dxfId="1" stopIfTrue="1">
      <formula>-0.01</formula>
    </cfRule>
    <cfRule type="cellIs" priority="1823" operator="greaterThan" dxfId="0" stopIfTrue="1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priority="1818" operator="greaterThan" dxfId="1">
      <formula>0.03</formula>
    </cfRule>
    <cfRule type="cellIs" priority="1819" operator="lessThan" dxfId="0" stopIfTrue="1">
      <formula>-0.03</formula>
    </cfRule>
  </conditionalFormatting>
  <conditionalFormatting sqref="AB44">
    <cfRule type="cellIs" priority="1816" operator="lessThan" dxfId="1">
      <formula>-0.03</formula>
    </cfRule>
    <cfRule type="cellIs" priority="1817" operator="greaterThan" dxfId="0" stopIfTrue="1">
      <formula>0.03</formula>
    </cfRule>
  </conditionalFormatting>
  <conditionalFormatting sqref="Z40">
    <cfRule type="cellIs" priority="1814" operator="lessThan" dxfId="1" stopIfTrue="1">
      <formula>-0.01</formula>
    </cfRule>
    <cfRule type="cellIs" priority="1815" operator="greaterThan" dxfId="0" stopIfTrue="1">
      <formula>0.01</formula>
    </cfRule>
  </conditionalFormatting>
  <conditionalFormatting sqref="Z41">
    <cfRule type="cellIs" priority="1812" operator="lessThan" dxfId="1" stopIfTrue="1">
      <formula>-0.01</formula>
    </cfRule>
    <cfRule type="cellIs" priority="1813" operator="greaterThan" dxfId="0" stopIfTrue="1">
      <formula>0.01</formula>
    </cfRule>
  </conditionalFormatting>
  <conditionalFormatting sqref="Z42:Z43">
    <cfRule type="cellIs" priority="1810" operator="lessThan" dxfId="1" stopIfTrue="1">
      <formula>-0.01</formula>
    </cfRule>
    <cfRule type="cellIs" priority="1811" operator="greaterThan" dxfId="0" stopIfTrue="1">
      <formula>0.01</formula>
    </cfRule>
  </conditionalFormatting>
  <conditionalFormatting sqref="Z44">
    <cfRule type="cellIs" priority="1808" operator="lessThan" dxfId="1" stopIfTrue="1">
      <formula>-0.01</formula>
    </cfRule>
    <cfRule type="cellIs" priority="1809" operator="greaterThan" dxfId="0" stopIfTrue="1">
      <formula>0.01</formula>
    </cfRule>
  </conditionalFormatting>
  <conditionalFormatting sqref="V40:V44">
    <cfRule type="cellIs" priority="1806" operator="greaterThan" dxfId="1">
      <formula>0.03</formula>
    </cfRule>
    <cfRule type="cellIs" priority="1807" operator="lessThan" dxfId="0" stopIfTrue="1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priority="1800" operator="lessThan" dxfId="1" stopIfTrue="1">
      <formula>-0.01</formula>
    </cfRule>
    <cfRule type="cellIs" priority="1801" operator="greaterThan" dxfId="0" stopIfTrue="1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priority="1796" operator="greaterThan" dxfId="1">
      <formula>0.03</formula>
    </cfRule>
    <cfRule type="cellIs" priority="1797" operator="lessThan" dxfId="0" stopIfTrue="1">
      <formula>-0.03</formula>
    </cfRule>
  </conditionalFormatting>
  <conditionalFormatting sqref="AB55">
    <cfRule type="cellIs" priority="1794" operator="lessThan" dxfId="1">
      <formula>-0.03</formula>
    </cfRule>
    <cfRule type="cellIs" priority="1795" operator="greaterThan" dxfId="0" stopIfTrue="1">
      <formula>0.03</formula>
    </cfRule>
  </conditionalFormatting>
  <conditionalFormatting sqref="Z51">
    <cfRule type="cellIs" priority="1792" operator="lessThan" dxfId="1" stopIfTrue="1">
      <formula>-0.01</formula>
    </cfRule>
    <cfRule type="cellIs" priority="1793" operator="greaterThan" dxfId="0" stopIfTrue="1">
      <formula>0.01</formula>
    </cfRule>
  </conditionalFormatting>
  <conditionalFormatting sqref="Z52">
    <cfRule type="cellIs" priority="1790" operator="lessThan" dxfId="1" stopIfTrue="1">
      <formula>-0.01</formula>
    </cfRule>
    <cfRule type="cellIs" priority="1791" operator="greaterThan" dxfId="0" stopIfTrue="1">
      <formula>0.01</formula>
    </cfRule>
  </conditionalFormatting>
  <conditionalFormatting sqref="Z53:Z54">
    <cfRule type="cellIs" priority="1788" operator="lessThan" dxfId="1" stopIfTrue="1">
      <formula>-0.01</formula>
    </cfRule>
    <cfRule type="cellIs" priority="1789" operator="greaterThan" dxfId="0" stopIfTrue="1">
      <formula>0.01</formula>
    </cfRule>
  </conditionalFormatting>
  <conditionalFormatting sqref="Z55">
    <cfRule type="cellIs" priority="1786" operator="lessThan" dxfId="1" stopIfTrue="1">
      <formula>-0.01</formula>
    </cfRule>
    <cfRule type="cellIs" priority="1787" operator="greaterThan" dxfId="0" stopIfTrue="1">
      <formula>0.01</formula>
    </cfRule>
  </conditionalFormatting>
  <conditionalFormatting sqref="V51:V55">
    <cfRule type="cellIs" priority="1784" operator="greaterThan" dxfId="1">
      <formula>0.03</formula>
    </cfRule>
    <cfRule type="cellIs" priority="1785" operator="lessThan" dxfId="0" stopIfTrue="1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priority="1778" operator="lessThan" dxfId="1" stopIfTrue="1">
      <formula>-0.01</formula>
    </cfRule>
    <cfRule type="cellIs" priority="1779" operator="greaterThan" dxfId="0" stopIfTrue="1">
      <formula>0.01</formula>
    </cfRule>
  </conditionalFormatting>
  <conditionalFormatting sqref="AB62">
    <cfRule type="cellIs" priority="1774" operator="greaterThan" dxfId="1">
      <formula>0.03</formula>
    </cfRule>
    <cfRule type="cellIs" priority="1775" operator="lessThan" dxfId="0" stopIfTrue="1">
      <formula>-0.03</formula>
    </cfRule>
  </conditionalFormatting>
  <conditionalFormatting sqref="AB66">
    <cfRule type="cellIs" priority="1772" operator="lessThan" dxfId="1">
      <formula>-0.03</formula>
    </cfRule>
    <cfRule type="cellIs" priority="1773" operator="greaterThan" dxfId="0" stopIfTrue="1">
      <formula>0.03</formula>
    </cfRule>
  </conditionalFormatting>
  <conditionalFormatting sqref="Z62">
    <cfRule type="cellIs" priority="1770" operator="lessThan" dxfId="1" stopIfTrue="1">
      <formula>-0.01</formula>
    </cfRule>
    <cfRule type="cellIs" priority="1771" operator="greaterThan" dxfId="0" stopIfTrue="1">
      <formula>0.01</formula>
    </cfRule>
  </conditionalFormatting>
  <conditionalFormatting sqref="Z63">
    <cfRule type="cellIs" priority="1768" operator="lessThan" dxfId="1" stopIfTrue="1">
      <formula>-0.01</formula>
    </cfRule>
    <cfRule type="cellIs" priority="1769" operator="greaterThan" dxfId="0" stopIfTrue="1">
      <formula>0.01</formula>
    </cfRule>
  </conditionalFormatting>
  <conditionalFormatting sqref="Z64:Z65">
    <cfRule type="cellIs" priority="1766" operator="lessThan" dxfId="1" stopIfTrue="1">
      <formula>-0.01</formula>
    </cfRule>
    <cfRule type="cellIs" priority="1767" operator="greaterThan" dxfId="0" stopIfTrue="1">
      <formula>0.01</formula>
    </cfRule>
  </conditionalFormatting>
  <conditionalFormatting sqref="Z66">
    <cfRule type="cellIs" priority="1764" operator="lessThan" dxfId="1" stopIfTrue="1">
      <formula>-0.01</formula>
    </cfRule>
    <cfRule type="cellIs" priority="1765" operator="greaterThan" dxfId="0" stopIfTrue="1">
      <formula>0.01</formula>
    </cfRule>
  </conditionalFormatting>
  <conditionalFormatting sqref="V62:V66">
    <cfRule type="cellIs" priority="1762" operator="greaterThan" dxfId="1">
      <formula>0.03</formula>
    </cfRule>
    <cfRule type="cellIs" priority="1763" operator="lessThan" dxfId="0" stopIfTrue="1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priority="1657" operator="greaterThan" dxfId="1">
      <formula>0.03</formula>
    </cfRule>
    <cfRule type="cellIs" priority="1658" operator="lessThan" dxfId="0" stopIfTrue="1">
      <formula>-0.03</formula>
    </cfRule>
  </conditionalFormatting>
  <conditionalFormatting sqref="AB116">
    <cfRule type="cellIs" priority="1655" operator="lessThan" dxfId="1">
      <formula>-0.03</formula>
    </cfRule>
    <cfRule type="cellIs" priority="1656" operator="greaterThan" dxfId="0" stopIfTrue="1">
      <formula>0.03</formula>
    </cfRule>
  </conditionalFormatting>
  <conditionalFormatting sqref="AB123">
    <cfRule type="cellIs" priority="1653" operator="greaterThan" dxfId="1">
      <formula>0.03</formula>
    </cfRule>
    <cfRule type="cellIs" priority="1654" operator="lessThan" dxfId="0" stopIfTrue="1">
      <formula>-0.03</formula>
    </cfRule>
  </conditionalFormatting>
  <conditionalFormatting sqref="AB126">
    <cfRule type="cellIs" priority="1651" operator="lessThan" dxfId="1">
      <formula>-0.03</formula>
    </cfRule>
    <cfRule type="cellIs" priority="1652" operator="greaterThan" dxfId="0" stopIfTrue="1">
      <formula>0.03</formula>
    </cfRule>
  </conditionalFormatting>
  <conditionalFormatting sqref="AB133">
    <cfRule type="cellIs" priority="1649" operator="greaterThan" dxfId="1">
      <formula>0.03</formula>
    </cfRule>
    <cfRule type="cellIs" priority="1650" operator="lessThan" dxfId="0" stopIfTrue="1">
      <formula>-0.03</formula>
    </cfRule>
  </conditionalFormatting>
  <conditionalFormatting sqref="AB136">
    <cfRule type="cellIs" priority="1647" operator="lessThan" dxfId="1">
      <formula>-0.03</formula>
    </cfRule>
    <cfRule type="cellIs" priority="1648" operator="greaterThan" dxfId="0" stopIfTrue="1">
      <formula>0.03</formula>
    </cfRule>
  </conditionalFormatting>
  <conditionalFormatting sqref="AB143">
    <cfRule type="cellIs" priority="1645" operator="greaterThan" dxfId="1">
      <formula>0.03</formula>
    </cfRule>
    <cfRule type="cellIs" priority="1646" operator="lessThan" dxfId="0" stopIfTrue="1">
      <formula>-0.03</formula>
    </cfRule>
  </conditionalFormatting>
  <conditionalFormatting sqref="AB146">
    <cfRule type="cellIs" priority="1643" operator="lessThan" dxfId="1">
      <formula>-0.03</formula>
    </cfRule>
    <cfRule type="cellIs" priority="1644" operator="greaterThan" dxfId="0" stopIfTrue="1">
      <formula>0.03</formula>
    </cfRule>
  </conditionalFormatting>
  <conditionalFormatting sqref="AB153">
    <cfRule type="cellIs" priority="1641" operator="greaterThan" dxfId="1">
      <formula>0.03</formula>
    </cfRule>
    <cfRule type="cellIs" priority="1642" operator="lessThan" dxfId="0" stopIfTrue="1">
      <formula>-0.03</formula>
    </cfRule>
  </conditionalFormatting>
  <conditionalFormatting sqref="AB156">
    <cfRule type="cellIs" priority="1639" operator="lessThan" dxfId="1">
      <formula>-0.03</formula>
    </cfRule>
    <cfRule type="cellIs" priority="1640" operator="greaterThan" dxfId="0" stopIfTrue="1">
      <formula>0.03</formula>
    </cfRule>
  </conditionalFormatting>
  <conditionalFormatting sqref="AB163">
    <cfRule type="cellIs" priority="1637" operator="greaterThan" dxfId="1">
      <formula>0.03</formula>
    </cfRule>
    <cfRule type="cellIs" priority="1638" operator="lessThan" dxfId="0" stopIfTrue="1">
      <formula>-0.03</formula>
    </cfRule>
  </conditionalFormatting>
  <conditionalFormatting sqref="AB166">
    <cfRule type="cellIs" priority="1635" operator="lessThan" dxfId="1">
      <formula>-0.03</formula>
    </cfRule>
    <cfRule type="cellIs" priority="1636" operator="greaterThan" dxfId="0" stopIfTrue="1">
      <formula>0.03</formula>
    </cfRule>
  </conditionalFormatting>
  <conditionalFormatting sqref="AB173">
    <cfRule type="cellIs" priority="1633" operator="greaterThan" dxfId="1">
      <formula>0.03</formula>
    </cfRule>
    <cfRule type="cellIs" priority="1634" operator="lessThan" dxfId="0" stopIfTrue="1">
      <formula>-0.03</formula>
    </cfRule>
  </conditionalFormatting>
  <conditionalFormatting sqref="AB176">
    <cfRule type="cellIs" priority="1631" operator="lessThan" dxfId="1">
      <formula>-0.03</formula>
    </cfRule>
    <cfRule type="cellIs" priority="1632" operator="greaterThan" dxfId="0" stopIfTrue="1">
      <formula>0.03</formula>
    </cfRule>
  </conditionalFormatting>
  <conditionalFormatting sqref="Z187:Z188">
    <cfRule type="cellIs" priority="1628" operator="lessThan" dxfId="1" stopIfTrue="1">
      <formula>-0.01</formula>
    </cfRule>
    <cfRule type="cellIs" priority="1629" operator="greaterThan" dxfId="0" stopIfTrue="1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priority="1623" operator="greaterThan" dxfId="1">
      <formula>0.03</formula>
    </cfRule>
    <cfRule type="cellIs" priority="1624" operator="lessThan" dxfId="0" stopIfTrue="1">
      <formula>-0.03</formula>
    </cfRule>
  </conditionalFormatting>
  <conditionalFormatting sqref="AB186">
    <cfRule type="cellIs" priority="1621" operator="lessThan" dxfId="1">
      <formula>-0.03</formula>
    </cfRule>
    <cfRule type="cellIs" priority="1622" operator="greaterThan" dxfId="0" stopIfTrue="1">
      <formula>0.03</formula>
    </cfRule>
  </conditionalFormatting>
  <conditionalFormatting sqref="Z183">
    <cfRule type="cellIs" priority="1618" operator="lessThan" dxfId="1" stopIfTrue="1">
      <formula>-0.01</formula>
    </cfRule>
    <cfRule type="cellIs" priority="1619" operator="greaterThan" dxfId="0" stopIfTrue="1">
      <formula>0.01</formula>
    </cfRule>
  </conditionalFormatting>
  <conditionalFormatting sqref="Z184">
    <cfRule type="cellIs" priority="1616" operator="lessThan" dxfId="1" stopIfTrue="1">
      <formula>-0.01</formula>
    </cfRule>
    <cfRule type="cellIs" priority="1617" operator="greaterThan" dxfId="0" stopIfTrue="1">
      <formula>0.01</formula>
    </cfRule>
  </conditionalFormatting>
  <conditionalFormatting sqref="Z185">
    <cfRule type="cellIs" priority="1614" operator="lessThan" dxfId="1" stopIfTrue="1">
      <formula>-0.01</formula>
    </cfRule>
    <cfRule type="cellIs" priority="1615" operator="greaterThan" dxfId="0" stopIfTrue="1">
      <formula>0.01</formula>
    </cfRule>
  </conditionalFormatting>
  <conditionalFormatting sqref="Z186">
    <cfRule type="cellIs" priority="1612" operator="lessThan" dxfId="1" stopIfTrue="1">
      <formula>-0.01</formula>
    </cfRule>
    <cfRule type="cellIs" priority="1613" operator="greaterThan" dxfId="0" stopIfTrue="1">
      <formula>0.01</formula>
    </cfRule>
  </conditionalFormatting>
  <conditionalFormatting sqref="V183:V186">
    <cfRule type="cellIs" priority="1610" operator="greaterThan" dxfId="1">
      <formula>0.03</formula>
    </cfRule>
    <cfRule type="cellIs" priority="1611" operator="lessThan" dxfId="0" stopIfTrue="1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AB73">
    <cfRule type="cellIs" priority="1037" operator="greaterThan" dxfId="1">
      <formula>0.03</formula>
    </cfRule>
    <cfRule type="cellIs" priority="1038" operator="lessThan" dxfId="0" stopIfTrue="1">
      <formula>-0.03</formula>
    </cfRule>
  </conditionalFormatting>
  <conditionalFormatting sqref="AB77">
    <cfRule type="cellIs" priority="1035" operator="lessThan" dxfId="1">
      <formula>-0.03</formula>
    </cfRule>
    <cfRule type="cellIs" priority="1036" operator="greaterThan" dxfId="0" stopIfTrue="1">
      <formula>0.03</formula>
    </cfRule>
  </conditionalFormatting>
  <conditionalFormatting sqref="Z73">
    <cfRule type="cellIs" priority="1033" operator="lessThan" dxfId="1" stopIfTrue="1">
      <formula>-0.01</formula>
    </cfRule>
    <cfRule type="cellIs" priority="1034" operator="greaterThan" dxfId="0" stopIfTrue="1">
      <formula>0.01</formula>
    </cfRule>
  </conditionalFormatting>
  <conditionalFormatting sqref="Z74">
    <cfRule type="cellIs" priority="1031" operator="lessThan" dxfId="1" stopIfTrue="1">
      <formula>-0.01</formula>
    </cfRule>
    <cfRule type="cellIs" priority="1032" operator="greaterThan" dxfId="0" stopIfTrue="1">
      <formula>0.01</formula>
    </cfRule>
  </conditionalFormatting>
  <conditionalFormatting sqref="Z75:Z76">
    <cfRule type="cellIs" priority="1029" operator="lessThan" dxfId="1" stopIfTrue="1">
      <formula>-0.01</formula>
    </cfRule>
    <cfRule type="cellIs" priority="1030" operator="greaterThan" dxfId="0" stopIfTrue="1">
      <formula>0.01</formula>
    </cfRule>
  </conditionalFormatting>
  <conditionalFormatting sqref="Z77">
    <cfRule type="cellIs" priority="1027" operator="lessThan" dxfId="1" stopIfTrue="1">
      <formula>-0.01</formula>
    </cfRule>
    <cfRule type="cellIs" priority="1028" operator="greaterThan" dxfId="0" stopIfTrue="1">
      <formula>0.01</formula>
    </cfRule>
  </conditionalFormatting>
  <conditionalFormatting sqref="V73:V77">
    <cfRule type="cellIs" priority="1025" operator="greaterThan" dxfId="1">
      <formula>0.03</formula>
    </cfRule>
    <cfRule type="cellIs" priority="1026" operator="lessThan" dxfId="0" stopIfTrue="1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priority="989" operator="lessThan" dxfId="1" stopIfTrue="1">
      <formula>-0.01</formula>
    </cfRule>
    <cfRule type="cellIs" priority="990" operator="greaterThan" dxfId="0" stopIfTrue="1">
      <formula>0.01</formula>
    </cfRule>
  </conditionalFormatting>
  <conditionalFormatting sqref="AB84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88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84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85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86:Z87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88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84:V88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priority="938" operator="lessThan" dxfId="1" stopIfTrue="1">
      <formula>-0.01</formula>
    </cfRule>
    <cfRule type="cellIs" priority="939" operator="greaterThan" dxfId="0" stopIfTrue="1">
      <formula>0.01</formula>
    </cfRule>
  </conditionalFormatting>
  <conditionalFormatting sqref="AB95">
    <cfRule type="cellIs" priority="935" operator="greaterThan" dxfId="1">
      <formula>0.03</formula>
    </cfRule>
    <cfRule type="cellIs" priority="936" operator="lessThan" dxfId="0" stopIfTrue="1">
      <formula>-0.03</formula>
    </cfRule>
  </conditionalFormatting>
  <conditionalFormatting sqref="AB99">
    <cfRule type="cellIs" priority="933" operator="lessThan" dxfId="1">
      <formula>-0.03</formula>
    </cfRule>
    <cfRule type="cellIs" priority="934" operator="greaterThan" dxfId="0" stopIfTrue="1">
      <formula>0.03</formula>
    </cfRule>
  </conditionalFormatting>
  <conditionalFormatting sqref="Z95">
    <cfRule type="cellIs" priority="931" operator="lessThan" dxfId="1" stopIfTrue="1">
      <formula>-0.01</formula>
    </cfRule>
    <cfRule type="cellIs" priority="932" operator="greaterThan" dxfId="0" stopIfTrue="1">
      <formula>0.01</formula>
    </cfRule>
  </conditionalFormatting>
  <conditionalFormatting sqref="Z96">
    <cfRule type="cellIs" priority="929" operator="lessThan" dxfId="1" stopIfTrue="1">
      <formula>-0.01</formula>
    </cfRule>
    <cfRule type="cellIs" priority="930" operator="greaterThan" dxfId="0" stopIfTrue="1">
      <formula>0.01</formula>
    </cfRule>
  </conditionalFormatting>
  <conditionalFormatting sqref="Z97:Z98">
    <cfRule type="cellIs" priority="927" operator="lessThan" dxfId="1" stopIfTrue="1">
      <formula>-0.01</formula>
    </cfRule>
    <cfRule type="cellIs" priority="928" operator="greaterThan" dxfId="0" stopIfTrue="1">
      <formula>0.01</formula>
    </cfRule>
  </conditionalFormatting>
  <conditionalFormatting sqref="Z99">
    <cfRule type="cellIs" priority="925" operator="lessThan" dxfId="1" stopIfTrue="1">
      <formula>-0.01</formula>
    </cfRule>
    <cfRule type="cellIs" priority="926" operator="greaterThan" dxfId="0" stopIfTrue="1">
      <formula>0.01</formula>
    </cfRule>
  </conditionalFormatting>
  <conditionalFormatting sqref="V95:V99">
    <cfRule type="cellIs" priority="923" operator="greaterThan" dxfId="1">
      <formula>0.03</formula>
    </cfRule>
    <cfRule type="cellIs" priority="924" operator="lessThan" dxfId="0" stopIfTrue="1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priority="887" operator="lessThan" dxfId="1" stopIfTrue="1">
      <formula>-0.01</formula>
    </cfRule>
    <cfRule type="cellIs" priority="888" operator="greaterThan" dxfId="0" stopIfTrue="1">
      <formula>0.01</formula>
    </cfRule>
  </conditionalFormatting>
  <conditionalFormatting sqref="AB106">
    <cfRule type="cellIs" priority="884" operator="greaterThan" dxfId="1">
      <formula>0.03</formula>
    </cfRule>
    <cfRule type="cellIs" priority="885" operator="lessThan" dxfId="0" stopIfTrue="1">
      <formula>-0.03</formula>
    </cfRule>
  </conditionalFormatting>
  <conditionalFormatting sqref="AB110">
    <cfRule type="cellIs" priority="882" operator="lessThan" dxfId="1">
      <formula>-0.03</formula>
    </cfRule>
    <cfRule type="cellIs" priority="883" operator="greaterThan" dxfId="0" stopIfTrue="1">
      <formula>0.03</formula>
    </cfRule>
  </conditionalFormatting>
  <conditionalFormatting sqref="Z106">
    <cfRule type="cellIs" priority="880" operator="lessThan" dxfId="1" stopIfTrue="1">
      <formula>-0.01</formula>
    </cfRule>
    <cfRule type="cellIs" priority="881" operator="greaterThan" dxfId="0" stopIfTrue="1">
      <formula>0.01</formula>
    </cfRule>
  </conditionalFormatting>
  <conditionalFormatting sqref="Z107">
    <cfRule type="cellIs" priority="878" operator="lessThan" dxfId="1" stopIfTrue="1">
      <formula>-0.01</formula>
    </cfRule>
    <cfRule type="cellIs" priority="879" operator="greaterThan" dxfId="0" stopIfTrue="1">
      <formula>0.01</formula>
    </cfRule>
  </conditionalFormatting>
  <conditionalFormatting sqref="Z108:Z109">
    <cfRule type="cellIs" priority="876" operator="lessThan" dxfId="1" stopIfTrue="1">
      <formula>-0.01</formula>
    </cfRule>
    <cfRule type="cellIs" priority="877" operator="greaterThan" dxfId="0" stopIfTrue="1">
      <formula>0.01</formula>
    </cfRule>
  </conditionalFormatting>
  <conditionalFormatting sqref="Z110">
    <cfRule type="cellIs" priority="874" operator="lessThan" dxfId="1" stopIfTrue="1">
      <formula>-0.01</formula>
    </cfRule>
    <cfRule type="cellIs" priority="875" operator="greaterThan" dxfId="0" stopIfTrue="1">
      <formula>0.01</formula>
    </cfRule>
  </conditionalFormatting>
  <conditionalFormatting sqref="V106:V110">
    <cfRule type="cellIs" priority="872" operator="greaterThan" dxfId="1">
      <formula>0.03</formula>
    </cfRule>
    <cfRule type="cellIs" priority="873" operator="lessThan" dxfId="0" stopIfTrue="1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priority="837" operator="lessThan" dxfId="1" stopIfTrue="1">
      <formula>-0.01</formula>
    </cfRule>
    <cfRule type="cellIs" priority="838" operator="greaterThan" dxfId="0" stopIfTrue="1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priority="832" operator="greaterThan" dxfId="1">
      <formula>0.03</formula>
    </cfRule>
    <cfRule type="cellIs" priority="833" operator="lessThan" dxfId="0" stopIfTrue="1">
      <formula>-0.03</formula>
    </cfRule>
  </conditionalFormatting>
  <conditionalFormatting sqref="AB11">
    <cfRule type="cellIs" priority="830" operator="lessThan" dxfId="1">
      <formula>-0.03</formula>
    </cfRule>
    <cfRule type="cellIs" priority="831" operator="greaterThan" dxfId="0" stopIfTrue="1">
      <formula>0.03</formula>
    </cfRule>
  </conditionalFormatting>
  <conditionalFormatting sqref="Z7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8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9:Z10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Z11">
    <cfRule type="cellIs" priority="822" operator="lessThan" dxfId="1" stopIfTrue="1">
      <formula>-0.01</formula>
    </cfRule>
    <cfRule type="cellIs" priority="823" operator="greaterThan" dxfId="0" stopIfTrue="1">
      <formula>0.01</formula>
    </cfRule>
  </conditionalFormatting>
  <conditionalFormatting sqref="V7:V11">
    <cfRule type="cellIs" priority="820" operator="greaterThan" dxfId="1">
      <formula>0.03</formula>
    </cfRule>
    <cfRule type="cellIs" priority="821" operator="lessThan" dxfId="0" stopIfTrue="1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priority="813" operator="lessThan" dxfId="1" stopIfTrue="1">
      <formula>-0.01</formula>
    </cfRule>
    <cfRule type="cellIs" priority="814" operator="greaterThan" dxfId="0" stopIfTrue="1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priority="774" operator="greaterThan" dxfId="1">
      <formula>0.03</formula>
    </cfRule>
    <cfRule type="cellIs" priority="775" operator="lessThan" dxfId="0" stopIfTrue="1">
      <formula>-0.03</formula>
    </cfRule>
  </conditionalFormatting>
  <conditionalFormatting sqref="N12">
    <cfRule type="cellIs" priority="772" operator="lessThan" dxfId="1" stopIfTrue="1">
      <formula>-0.01</formula>
    </cfRule>
    <cfRule type="cellIs" priority="773" operator="greaterThan" dxfId="0" stopIfTrue="1">
      <formula>0.01</formula>
    </cfRule>
  </conditionalFormatting>
  <conditionalFormatting sqref="N7">
    <cfRule type="cellIs" priority="770" operator="lessThan" dxfId="1" stopIfTrue="1">
      <formula>-0.01</formula>
    </cfRule>
    <cfRule type="cellIs" priority="771" operator="greaterThan" dxfId="0" stopIfTrue="1">
      <formula>0.01</formula>
    </cfRule>
  </conditionalFormatting>
  <conditionalFormatting sqref="N8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N9:N11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P7">
    <cfRule type="cellIs" priority="762" operator="greaterThan" dxfId="1">
      <formula>0.03</formula>
    </cfRule>
    <cfRule type="cellIs" priority="763" operator="lessThan" dxfId="0" stopIfTrue="1">
      <formula>-0.03</formula>
    </cfRule>
  </conditionalFormatting>
  <conditionalFormatting sqref="P11">
    <cfRule type="cellIs" priority="760" operator="lessThan" dxfId="1">
      <formula>-0.03</formula>
    </cfRule>
    <cfRule type="cellIs" priority="761" operator="greaterThan" dxfId="0" stopIfTrue="1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priority="729" operator="greaterThan" dxfId="1">
      <formula>0.03</formula>
    </cfRule>
    <cfRule type="cellIs" priority="730" operator="lessThan" dxfId="0" stopIfTrue="1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N23">
    <cfRule type="cellIs" priority="712" operator="lessThan" dxfId="1" stopIfTrue="1">
      <formula>-0.01</formula>
    </cfRule>
    <cfRule type="cellIs" priority="713" operator="greaterThan" dxfId="0" stopIfTrue="1">
      <formula>0.01</formula>
    </cfRule>
  </conditionalFormatting>
  <conditionalFormatting sqref="N1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N19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N20:N22">
    <cfRule type="cellIs" priority="706" operator="lessThan" dxfId="1" stopIfTrue="1">
      <formula>-0.01</formula>
    </cfRule>
    <cfRule type="cellIs" priority="707" operator="greaterThan" dxfId="0" stopIfTrue="1">
      <formula>0.01</formula>
    </cfRule>
  </conditionalFormatting>
  <conditionalFormatting sqref="P18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P22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priority="700" operator="greaterThan" dxfId="1">
      <formula>0.03</formula>
    </cfRule>
    <cfRule type="cellIs" priority="701" operator="lessThan" dxfId="0" stopIfTrue="1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priority="685" operator="greaterThan" dxfId="1">
      <formula>0.03</formula>
    </cfRule>
    <cfRule type="cellIs" priority="686" operator="lessThan" dxfId="0" stopIfTrue="1">
      <formula>-0.03</formula>
    </cfRule>
  </conditionalFormatting>
  <conditionalFormatting sqref="N34">
    <cfRule type="cellIs" priority="683" operator="lessThan" dxfId="1" stopIfTrue="1">
      <formula>-0.01</formula>
    </cfRule>
    <cfRule type="cellIs" priority="684" operator="greaterThan" dxfId="0" stopIfTrue="1">
      <formula>0.01</formula>
    </cfRule>
  </conditionalFormatting>
  <conditionalFormatting sqref="N29">
    <cfRule type="cellIs" priority="681" operator="lessThan" dxfId="1" stopIfTrue="1">
      <formula>-0.01</formula>
    </cfRule>
    <cfRule type="cellIs" priority="682" operator="greaterThan" dxfId="0" stopIfTrue="1">
      <formula>0.01</formula>
    </cfRule>
  </conditionalFormatting>
  <conditionalFormatting sqref="N30">
    <cfRule type="cellIs" priority="679" operator="lessThan" dxfId="1" stopIfTrue="1">
      <formula>-0.01</formula>
    </cfRule>
    <cfRule type="cellIs" priority="680" operator="greaterThan" dxfId="0" stopIfTrue="1">
      <formula>0.01</formula>
    </cfRule>
  </conditionalFormatting>
  <conditionalFormatting sqref="N31:N33">
    <cfRule type="cellIs" priority="677" operator="lessThan" dxfId="1" stopIfTrue="1">
      <formula>-0.01</formula>
    </cfRule>
    <cfRule type="cellIs" priority="678" operator="greaterThan" dxfId="0" stopIfTrue="1">
      <formula>0.01</formula>
    </cfRule>
  </conditionalFormatting>
  <conditionalFormatting sqref="P29">
    <cfRule type="cellIs" priority="675" operator="greaterThan" dxfId="1">
      <formula>0.03</formula>
    </cfRule>
    <cfRule type="cellIs" priority="676" operator="lessThan" dxfId="0" stopIfTrue="1">
      <formula>-0.03</formula>
    </cfRule>
  </conditionalFormatting>
  <conditionalFormatting sqref="P33">
    <cfRule type="cellIs" priority="673" operator="lessThan" dxfId="1">
      <formula>-0.03</formula>
    </cfRule>
    <cfRule type="cellIs" priority="674" operator="greaterThan" dxfId="0" stopIfTrue="1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priority="671" operator="greaterThan" dxfId="1">
      <formula>0.03</formula>
    </cfRule>
    <cfRule type="cellIs" priority="672" operator="lessThan" dxfId="0" stopIfTrue="1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priority="656" operator="greaterThan" dxfId="1">
      <formula>0.03</formula>
    </cfRule>
    <cfRule type="cellIs" priority="657" operator="lessThan" dxfId="0" stopIfTrue="1">
      <formula>-0.03</formula>
    </cfRule>
  </conditionalFormatting>
  <conditionalFormatting sqref="N45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N40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N41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N42:N44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P40">
    <cfRule type="cellIs" priority="646" operator="greaterThan" dxfId="1">
      <formula>0.03</formula>
    </cfRule>
    <cfRule type="cellIs" priority="647" operator="lessThan" dxfId="0" stopIfTrue="1">
      <formula>-0.03</formula>
    </cfRule>
  </conditionalFormatting>
  <conditionalFormatting sqref="P44">
    <cfRule type="cellIs" priority="644" operator="lessThan" dxfId="1">
      <formula>-0.03</formula>
    </cfRule>
    <cfRule type="cellIs" priority="645" operator="greaterThan" dxfId="0" stopIfTrue="1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priority="627" operator="greaterThan" dxfId="1">
      <formula>0.03</formula>
    </cfRule>
    <cfRule type="cellIs" priority="628" operator="lessThan" dxfId="0" stopIfTrue="1">
      <formula>-0.03</formula>
    </cfRule>
  </conditionalFormatting>
  <conditionalFormatting sqref="N56">
    <cfRule type="cellIs" priority="625" operator="lessThan" dxfId="1" stopIfTrue="1">
      <formula>-0.01</formula>
    </cfRule>
    <cfRule type="cellIs" priority="626" operator="greaterThan" dxfId="0" stopIfTrue="1">
      <formula>0.01</formula>
    </cfRule>
  </conditionalFormatting>
  <conditionalFormatting sqref="N51">
    <cfRule type="cellIs" priority="623" operator="lessThan" dxfId="1" stopIfTrue="1">
      <formula>-0.01</formula>
    </cfRule>
    <cfRule type="cellIs" priority="624" operator="greaterThan" dxfId="0" stopIfTrue="1">
      <formula>0.01</formula>
    </cfRule>
  </conditionalFormatting>
  <conditionalFormatting sqref="N52">
    <cfRule type="cellIs" priority="621" operator="lessThan" dxfId="1" stopIfTrue="1">
      <formula>-0.01</formula>
    </cfRule>
    <cfRule type="cellIs" priority="622" operator="greaterThan" dxfId="0" stopIfTrue="1">
      <formula>0.01</formula>
    </cfRule>
  </conditionalFormatting>
  <conditionalFormatting sqref="N53:N55">
    <cfRule type="cellIs" priority="619" operator="lessThan" dxfId="1" stopIfTrue="1">
      <formula>-0.01</formula>
    </cfRule>
    <cfRule type="cellIs" priority="620" operator="greaterThan" dxfId="0" stopIfTrue="1">
      <formula>0.01</formula>
    </cfRule>
  </conditionalFormatting>
  <conditionalFormatting sqref="P51">
    <cfRule type="cellIs" priority="617" operator="greaterThan" dxfId="1">
      <formula>0.03</formula>
    </cfRule>
    <cfRule type="cellIs" priority="618" operator="lessThan" dxfId="0" stopIfTrue="1">
      <formula>-0.03</formula>
    </cfRule>
  </conditionalFormatting>
  <conditionalFormatting sqref="P55">
    <cfRule type="cellIs" priority="615" operator="lessThan" dxfId="1">
      <formula>-0.03</formula>
    </cfRule>
    <cfRule type="cellIs" priority="616" operator="greaterThan" dxfId="0" stopIfTrue="1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priority="613" operator="greaterThan" dxfId="1">
      <formula>0.03</formula>
    </cfRule>
    <cfRule type="cellIs" priority="614" operator="lessThan" dxfId="0" stopIfTrue="1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priority="608" operator="lessThan" dxfId="1" stopIfTrue="1">
      <formula>-0.01</formula>
    </cfRule>
    <cfRule type="cellIs" priority="609" operator="greaterThan" dxfId="0" stopIfTrue="1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N67">
    <cfRule type="cellIs" priority="596" operator="lessThan" dxfId="1" stopIfTrue="1">
      <formula>-0.01</formula>
    </cfRule>
    <cfRule type="cellIs" priority="597" operator="greaterThan" dxfId="0" stopIfTrue="1">
      <formula>0.01</formula>
    </cfRule>
  </conditionalFormatting>
  <conditionalFormatting sqref="N62">
    <cfRule type="cellIs" priority="594" operator="lessThan" dxfId="1" stopIfTrue="1">
      <formula>-0.01</formula>
    </cfRule>
    <cfRule type="cellIs" priority="595" operator="greaterThan" dxfId="0" stopIfTrue="1">
      <formula>0.01</formula>
    </cfRule>
  </conditionalFormatting>
  <conditionalFormatting sqref="N63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N64:N66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P62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P66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priority="584" operator="greaterThan" dxfId="1">
      <formula>0.03</formula>
    </cfRule>
    <cfRule type="cellIs" priority="585" operator="lessThan" dxfId="0" stopIfTrue="1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priority="579" operator="lessThan" dxfId="1" stopIfTrue="1">
      <formula>-0.01</formula>
    </cfRule>
    <cfRule type="cellIs" priority="580" operator="greaterThan" dxfId="0" stopIfTrue="1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78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73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7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75:N77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73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77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priority="550" operator="lessThan" dxfId="1" stopIfTrue="1">
      <formula>-0.01</formula>
    </cfRule>
    <cfRule type="cellIs" priority="551" operator="greaterThan" dxfId="0" stopIfTrue="1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priority="540" operator="greaterThan" dxfId="1">
      <formula>0.03</formula>
    </cfRule>
    <cfRule type="cellIs" priority="541" operator="lessThan" dxfId="0" stopIfTrue="1">
      <formula>-0.03</formula>
    </cfRule>
  </conditionalFormatting>
  <conditionalFormatting sqref="N89">
    <cfRule type="cellIs" priority="538" operator="lessThan" dxfId="1" stopIfTrue="1">
      <formula>-0.01</formula>
    </cfRule>
    <cfRule type="cellIs" priority="539" operator="greaterThan" dxfId="0" stopIfTrue="1">
      <formula>0.01</formula>
    </cfRule>
  </conditionalFormatting>
  <conditionalFormatting sqref="N84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N85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N86:N88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P84">
    <cfRule type="cellIs" priority="530" operator="greaterThan" dxfId="1">
      <formula>0.03</formula>
    </cfRule>
    <cfRule type="cellIs" priority="531" operator="lessThan" dxfId="0" stopIfTrue="1">
      <formula>-0.03</formula>
    </cfRule>
  </conditionalFormatting>
  <conditionalFormatting sqref="P88">
    <cfRule type="cellIs" priority="528" operator="lessThan" dxfId="1">
      <formula>-0.03</formula>
    </cfRule>
    <cfRule type="cellIs" priority="529" operator="greaterThan" dxfId="0" stopIfTrue="1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priority="521" operator="lessThan" dxfId="1" stopIfTrue="1">
      <formula>-0.01</formula>
    </cfRule>
    <cfRule type="cellIs" priority="522" operator="greaterThan" dxfId="0" stopIfTrue="1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N100">
    <cfRule type="cellIs" priority="509" operator="lessThan" dxfId="1" stopIfTrue="1">
      <formula>-0.01</formula>
    </cfRule>
    <cfRule type="cellIs" priority="510" operator="greaterThan" dxfId="0" stopIfTrue="1">
      <formula>0.01</formula>
    </cfRule>
  </conditionalFormatting>
  <conditionalFormatting sqref="N95">
    <cfRule type="cellIs" priority="507" operator="lessThan" dxfId="1" stopIfTrue="1">
      <formula>-0.01</formula>
    </cfRule>
    <cfRule type="cellIs" priority="508" operator="greaterThan" dxfId="0" stopIfTrue="1">
      <formula>0.01</formula>
    </cfRule>
  </conditionalFormatting>
  <conditionalFormatting sqref="N96">
    <cfRule type="cellIs" priority="505" operator="lessThan" dxfId="1" stopIfTrue="1">
      <formula>-0.01</formula>
    </cfRule>
    <cfRule type="cellIs" priority="506" operator="greaterThan" dxfId="0" stopIfTrue="1">
      <formula>0.01</formula>
    </cfRule>
  </conditionalFormatting>
  <conditionalFormatting sqref="N97:N99">
    <cfRule type="cellIs" priority="503" operator="lessThan" dxfId="1" stopIfTrue="1">
      <formula>-0.01</formula>
    </cfRule>
    <cfRule type="cellIs" priority="504" operator="greaterThan" dxfId="0" stopIfTrue="1">
      <formula>0.01</formula>
    </cfRule>
  </conditionalFormatting>
  <conditionalFormatting sqref="P9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P9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priority="482" operator="greaterThan" dxfId="1">
      <formula>0.03</formula>
    </cfRule>
    <cfRule type="cellIs" priority="483" operator="lessThan" dxfId="0" stopIfTrue="1">
      <formula>-0.03</formula>
    </cfRule>
  </conditionalFormatting>
  <conditionalFormatting sqref="N111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N106">
    <cfRule type="cellIs" priority="478" operator="lessThan" dxfId="1" stopIfTrue="1">
      <formula>-0.01</formula>
    </cfRule>
    <cfRule type="cellIs" priority="479" operator="greaterThan" dxfId="0" stopIfTrue="1">
      <formula>0.01</formula>
    </cfRule>
  </conditionalFormatting>
  <conditionalFormatting sqref="N107">
    <cfRule type="cellIs" priority="476" operator="lessThan" dxfId="1" stopIfTrue="1">
      <formula>-0.01</formula>
    </cfRule>
    <cfRule type="cellIs" priority="477" operator="greaterThan" dxfId="0" stopIfTrue="1">
      <formula>0.01</formula>
    </cfRule>
  </conditionalFormatting>
  <conditionalFormatting sqref="N108:N110">
    <cfRule type="cellIs" priority="474" operator="lessThan" dxfId="1" stopIfTrue="1">
      <formula>-0.01</formula>
    </cfRule>
    <cfRule type="cellIs" priority="475" operator="greaterThan" dxfId="0" stopIfTrue="1">
      <formula>0.01</formula>
    </cfRule>
  </conditionalFormatting>
  <conditionalFormatting sqref="P106">
    <cfRule type="cellIs" priority="472" operator="greaterThan" dxfId="1">
      <formula>0.03</formula>
    </cfRule>
    <cfRule type="cellIs" priority="473" operator="lessThan" dxfId="0" stopIfTrue="1">
      <formula>-0.03</formula>
    </cfRule>
  </conditionalFormatting>
  <conditionalFormatting sqref="P110">
    <cfRule type="cellIs" priority="470" operator="lessThan" dxfId="1">
      <formula>-0.03</formula>
    </cfRule>
    <cfRule type="cellIs" priority="471" operator="greaterThan" dxfId="0" stopIfTrue="1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priority="468" operator="greaterThan" dxfId="1">
      <formula>0.03</formula>
    </cfRule>
    <cfRule type="cellIs" priority="469" operator="lessThan" dxfId="0" stopIfTrue="1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priority="463" operator="lessThan" dxfId="1" stopIfTrue="1">
      <formula>-0.01</formula>
    </cfRule>
    <cfRule type="cellIs" priority="464" operator="greaterThan" dxfId="0" stopIfTrue="1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N122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117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118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N119:N121">
    <cfRule type="cellIs" priority="445" operator="lessThan" dxfId="1" stopIfTrue="1">
      <formula>-0.01</formula>
    </cfRule>
    <cfRule type="cellIs" priority="446" operator="greaterThan" dxfId="0" stopIfTrue="1">
      <formula>0.01</formula>
    </cfRule>
  </conditionalFormatting>
  <conditionalFormatting sqref="P117">
    <cfRule type="cellIs" priority="443" operator="greaterThan" dxfId="1">
      <formula>0.03</formula>
    </cfRule>
    <cfRule type="cellIs" priority="444" operator="lessThan" dxfId="0" stopIfTrue="1">
      <formula>-0.03</formula>
    </cfRule>
  </conditionalFormatting>
  <conditionalFormatting sqref="P121">
    <cfRule type="cellIs" priority="441" operator="lessThan" dxfId="1">
      <formula>-0.03</formula>
    </cfRule>
    <cfRule type="cellIs" priority="442" operator="greaterThan" dxfId="0" stopIfTrue="1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priority="439" operator="greaterThan" dxfId="1">
      <formula>0.03</formula>
    </cfRule>
    <cfRule type="cellIs" priority="440" operator="lessThan" dxfId="0" stopIfTrue="1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priority="424" operator="greaterThan" dxfId="1">
      <formula>0.03</formula>
    </cfRule>
    <cfRule type="cellIs" priority="425" operator="lessThan" dxfId="0" stopIfTrue="1">
      <formula>-0.03</formula>
    </cfRule>
  </conditionalFormatting>
  <conditionalFormatting sqref="N133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N128">
    <cfRule type="cellIs" priority="420" operator="lessThan" dxfId="1" stopIfTrue="1">
      <formula>-0.01</formula>
    </cfRule>
    <cfRule type="cellIs" priority="421" operator="greaterThan" dxfId="0" stopIfTrue="1">
      <formula>0.01</formula>
    </cfRule>
  </conditionalFormatting>
  <conditionalFormatting sqref="N129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N130:N132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P128">
    <cfRule type="cellIs" priority="414" operator="greaterThan" dxfId="1">
      <formula>0.03</formula>
    </cfRule>
    <cfRule type="cellIs" priority="415" operator="lessThan" dxfId="0" stopIfTrue="1">
      <formula>-0.03</formula>
    </cfRule>
  </conditionalFormatting>
  <conditionalFormatting sqref="P132">
    <cfRule type="cellIs" priority="412" operator="lessThan" dxfId="1">
      <formula>-0.03</formula>
    </cfRule>
    <cfRule type="cellIs" priority="413" operator="greaterThan" dxfId="0" stopIfTrue="1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priority="405" operator="lessThan" dxfId="1" stopIfTrue="1">
      <formula>-0.01</formula>
    </cfRule>
    <cfRule type="cellIs" priority="406" operator="greaterThan" dxfId="0" stopIfTrue="1">
      <formula>0.01</formula>
    </cfRule>
    <cfRule type="cellIs" priority="374" operator="lessThan" dxfId="1" stopIfTrue="1">
      <formula>-0.01</formula>
    </cfRule>
    <cfRule type="cellIs" priority="374" operator="greaterThan" dxfId="0" stopIfTrue="1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priority="395" operator="greaterThan" dxfId="1">
      <formula>0.03</formula>
    </cfRule>
    <cfRule type="cellIs" priority="396" operator="lessThan" dxfId="0" stopIfTrue="1">
      <formula>-0.03</formula>
    </cfRule>
    <cfRule type="cellIs" priority="364" operator="greaterThan" dxfId="1">
      <formula>0.03</formula>
    </cfRule>
    <cfRule type="cellIs" priority="364" operator="lessThan" dxfId="0" stopIfTrue="1">
      <formula>-0.03</formula>
    </cfRule>
  </conditionalFormatting>
  <conditionalFormatting sqref="N144">
    <cfRule type="cellIs" priority="393" operator="lessThan" dxfId="1" stopIfTrue="1">
      <formula>-0.01</formula>
    </cfRule>
    <cfRule type="cellIs" priority="394" operator="greaterThan" dxfId="0" stopIfTrue="1">
      <formula>0.01</formula>
    </cfRule>
    <cfRule type="cellIs" priority="362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N139">
    <cfRule type="cellIs" priority="391" operator="lessThan" dxfId="1" stopIfTrue="1">
      <formula>-0.01</formula>
    </cfRule>
    <cfRule type="cellIs" priority="392" operator="greaterThan" dxfId="0" stopIfTrue="1">
      <formula>0.01</formula>
    </cfRule>
    <cfRule type="cellIs" priority="360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140">
    <cfRule type="cellIs" priority="389" operator="lessThan" dxfId="1" stopIfTrue="1">
      <formula>-0.01</formula>
    </cfRule>
    <cfRule type="cellIs" priority="390" operator="greaterThan" dxfId="0" stopIfTrue="1">
      <formula>0.01</formula>
    </cfRule>
    <cfRule type="cellIs" priority="358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141:N143">
    <cfRule type="cellIs" priority="387" operator="lessThan" dxfId="1" stopIfTrue="1">
      <formula>-0.01</formula>
    </cfRule>
    <cfRule type="cellIs" priority="388" operator="greaterThan" dxfId="0" stopIfTrue="1">
      <formula>0.01</formula>
    </cfRule>
    <cfRule type="cellIs" priority="356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P139">
    <cfRule type="cellIs" priority="385" operator="greaterThan" dxfId="1">
      <formula>0.03</formula>
    </cfRule>
    <cfRule type="cellIs" priority="386" operator="lessThan" dxfId="0" stopIfTrue="1">
      <formula>-0.03</formula>
    </cfRule>
    <cfRule type="cellIs" priority="354" operator="greaterThan" dxfId="1">
      <formula>0.03</formula>
    </cfRule>
    <cfRule type="cellIs" priority="354" operator="lessThan" dxfId="0" stopIfTrue="1">
      <formula>-0.03</formula>
    </cfRule>
  </conditionalFormatting>
  <conditionalFormatting sqref="P143">
    <cfRule type="cellIs" priority="383" operator="lessThan" dxfId="1">
      <formula>-0.03</formula>
    </cfRule>
    <cfRule type="cellIs" priority="384" operator="greaterThan" dxfId="0" stopIfTrue="1">
      <formula>0.03</formula>
    </cfRule>
    <cfRule type="cellIs" priority="352" operator="lessThan" dxfId="1">
      <formula>-0.03</formula>
    </cfRule>
    <cfRule type="cellIs" priority="352" operator="greaterThan" dxfId="0" stopIfTrue="1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priority="381" operator="greaterThan" dxfId="1">
      <formula>0.03</formula>
    </cfRule>
    <cfRule type="cellIs" priority="382" operator="lessThan" dxfId="0" stopIfTrue="1">
      <formula>-0.03</formula>
    </cfRule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priority="345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priority="335" operator="greaterThan" dxfId="1">
      <formula>0.03</formula>
    </cfRule>
    <cfRule type="cellIs" priority="335" operator="lessThan" dxfId="0" stopIfTrue="1">
      <formula>-0.03</formula>
    </cfRule>
  </conditionalFormatting>
  <conditionalFormatting sqref="N155">
    <cfRule type="cellIs" priority="333" operator="lessThan" dxfId="1" stopIfTrue="1">
      <formula>-0.01</formula>
    </cfRule>
    <cfRule type="cellIs" priority="333" operator="greaterThan" dxfId="0" stopIfTrue="1">
      <formula>0.01</formula>
    </cfRule>
  </conditionalFormatting>
  <conditionalFormatting sqref="N150">
    <cfRule type="cellIs" priority="331" operator="lessThan" dxfId="1" stopIfTrue="1">
      <formula>-0.01</formula>
    </cfRule>
    <cfRule type="cellIs" priority="331" operator="greaterThan" dxfId="0" stopIfTrue="1">
      <formula>0.01</formula>
    </cfRule>
  </conditionalFormatting>
  <conditionalFormatting sqref="N151">
    <cfRule type="cellIs" priority="329" operator="lessThan" dxfId="1" stopIfTrue="1">
      <formula>-0.01</formula>
    </cfRule>
    <cfRule type="cellIs" priority="329" operator="greaterThan" dxfId="0" stopIfTrue="1">
      <formula>0.01</formula>
    </cfRule>
  </conditionalFormatting>
  <conditionalFormatting sqref="N152:N154">
    <cfRule type="cellIs" priority="327" operator="lessThan" dxfId="1" stopIfTrue="1">
      <formula>-0.01</formula>
    </cfRule>
    <cfRule type="cellIs" priority="327" operator="greaterThan" dxfId="0" stopIfTrue="1">
      <formula>0.01</formula>
    </cfRule>
  </conditionalFormatting>
  <conditionalFormatting sqref="P150">
    <cfRule type="cellIs" priority="325" operator="greaterThan" dxfId="1">
      <formula>0.03</formula>
    </cfRule>
    <cfRule type="cellIs" priority="325" operator="lessThan" dxfId="0" stopIfTrue="1">
      <formula>-0.03</formula>
    </cfRule>
  </conditionalFormatting>
  <conditionalFormatting sqref="P154">
    <cfRule type="cellIs" priority="323" operator="lessThan" dxfId="1">
      <formula>-0.03</formula>
    </cfRule>
    <cfRule type="cellIs" priority="323" operator="greaterThan" dxfId="0" stopIfTrue="1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priority="320" operator="greaterThan" dxfId="1">
      <formula>0.03</formula>
    </cfRule>
    <cfRule type="cellIs" priority="321" operator="lessThan" dxfId="0" stopIfTrue="1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priority="316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priority="306" operator="greaterThan" dxfId="1">
      <formula>0.03</formula>
    </cfRule>
    <cfRule type="cellIs" priority="306" operator="lessThan" dxfId="0" stopIfTrue="1">
      <formula>-0.03</formula>
    </cfRule>
  </conditionalFormatting>
  <conditionalFormatting sqref="N166">
    <cfRule type="cellIs" priority="304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161">
    <cfRule type="cellIs" priority="302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162">
    <cfRule type="cellIs" priority="300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163:N165">
    <cfRule type="cellIs" priority="298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P161">
    <cfRule type="cellIs" priority="296" operator="greaterThan" dxfId="1">
      <formula>0.03</formula>
    </cfRule>
    <cfRule type="cellIs" priority="296" operator="lessThan" dxfId="0" stopIfTrue="1">
      <formula>-0.03</formula>
    </cfRule>
  </conditionalFormatting>
  <conditionalFormatting sqref="P165">
    <cfRule type="cellIs" priority="294" operator="lessThan" dxfId="1">
      <formula>-0.03</formula>
    </cfRule>
    <cfRule type="cellIs" priority="294" operator="greaterThan" dxfId="0" stopIfTrue="1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priority="287" operator="lessThan" dxfId="1" stopIfTrue="1">
      <formula>-0.01</formula>
    </cfRule>
    <cfRule type="cellIs" priority="287" operator="greaterThan" dxfId="0" stopIfTrue="1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priority="277" operator="greaterThan" dxfId="1">
      <formula>0.03</formula>
    </cfRule>
    <cfRule type="cellIs" priority="277" operator="lessThan" dxfId="0" stopIfTrue="1">
      <formula>-0.03</formula>
    </cfRule>
  </conditionalFormatting>
  <conditionalFormatting sqref="N177">
    <cfRule type="cellIs" priority="275" operator="lessThan" dxfId="1" stopIfTrue="1">
      <formula>-0.01</formula>
    </cfRule>
    <cfRule type="cellIs" priority="275" operator="greaterThan" dxfId="0" stopIfTrue="1">
      <formula>0.01</formula>
    </cfRule>
  </conditionalFormatting>
  <conditionalFormatting sqref="N172">
    <cfRule type="cellIs" priority="273" operator="lessThan" dxfId="1" stopIfTrue="1">
      <formula>-0.01</formula>
    </cfRule>
    <cfRule type="cellIs" priority="273" operator="greaterThan" dxfId="0" stopIfTrue="1">
      <formula>0.01</formula>
    </cfRule>
  </conditionalFormatting>
  <conditionalFormatting sqref="N173">
    <cfRule type="cellIs" priority="271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N174:N176">
    <cfRule type="cellIs" priority="269" operator="lessThan" dxfId="1" stopIfTrue="1">
      <formula>-0.01</formula>
    </cfRule>
    <cfRule type="cellIs" priority="269" operator="greaterThan" dxfId="0" stopIfTrue="1">
      <formula>0.01</formula>
    </cfRule>
  </conditionalFormatting>
  <conditionalFormatting sqref="P172">
    <cfRule type="cellIs" priority="267" operator="greaterThan" dxfId="1">
      <formula>0.03</formula>
    </cfRule>
    <cfRule type="cellIs" priority="267" operator="lessThan" dxfId="0" stopIfTrue="1">
      <formula>-0.03</formula>
    </cfRule>
  </conditionalFormatting>
  <conditionalFormatting sqref="P176">
    <cfRule type="cellIs" priority="265" operator="lessThan" dxfId="1">
      <formula>-0.03</formula>
    </cfRule>
    <cfRule type="cellIs" priority="265" operator="greaterThan" dxfId="0" stopIfTrue="1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priority="262" operator="greaterThan" dxfId="1">
      <formula>0.03</formula>
    </cfRule>
    <cfRule type="cellIs" priority="263" operator="lessThan" dxfId="0" stopIfTrue="1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priority="258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188">
    <cfRule type="cellIs" priority="246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N183">
    <cfRule type="cellIs" priority="244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N184">
    <cfRule type="cellIs" priority="242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N185:N187">
    <cfRule type="cellIs" priority="240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P183">
    <cfRule type="cellIs" priority="238" operator="greaterThan" dxfId="1">
      <formula>0.03</formula>
    </cfRule>
    <cfRule type="cellIs" priority="238" operator="lessThan" dxfId="0" stopIfTrue="1">
      <formula>-0.03</formula>
    </cfRule>
  </conditionalFormatting>
  <conditionalFormatting sqref="P187">
    <cfRule type="cellIs" priority="236" operator="lessThan" dxfId="1">
      <formula>-0.03</formula>
    </cfRule>
    <cfRule type="cellIs" priority="236" operator="greaterThan" dxfId="0" stopIfTrue="1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priority="233" operator="greaterThan" dxfId="1">
      <formula>0.03</formula>
    </cfRule>
    <cfRule type="cellIs" priority="234" operator="lessThan" dxfId="0" stopIfTrue="1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priority="229" operator="lessThan" dxfId="1" stopIfTrue="1">
      <formula>-0.01</formula>
    </cfRule>
    <cfRule type="cellIs" priority="229" operator="greaterThan" dxfId="0" stopIfTrue="1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priority="219" operator="greaterThan" dxfId="1">
      <formula>0.03</formula>
    </cfRule>
    <cfRule type="cellIs" priority="219" operator="lessThan" dxfId="0" stopIfTrue="1">
      <formula>-0.03</formula>
    </cfRule>
  </conditionalFormatting>
  <conditionalFormatting sqref="N199">
    <cfRule type="cellIs" priority="217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194">
    <cfRule type="cellIs" priority="215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195">
    <cfRule type="cellIs" priority="213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196:N198">
    <cfRule type="cellIs" priority="211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194">
    <cfRule type="cellIs" priority="209" operator="greaterThan" dxfId="1">
      <formula>0.03</formula>
    </cfRule>
    <cfRule type="cellIs" priority="209" operator="lessThan" dxfId="0" stopIfTrue="1">
      <formula>-0.03</formula>
    </cfRule>
  </conditionalFormatting>
  <conditionalFormatting sqref="P198">
    <cfRule type="cellIs" priority="207" operator="lessThan" dxfId="1">
      <formula>-0.03</formula>
    </cfRule>
    <cfRule type="cellIs" priority="207" operator="greaterThan" dxfId="0" stopIfTrue="1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priority="200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priority="190" operator="greaterThan" dxfId="1">
      <formula>0.03</formula>
    </cfRule>
    <cfRule type="cellIs" priority="190" operator="lessThan" dxfId="0" stopIfTrue="1">
      <formula>-0.03</formula>
    </cfRule>
  </conditionalFormatting>
  <conditionalFormatting sqref="N210">
    <cfRule type="cellIs" priority="188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205">
    <cfRule type="cellIs" priority="186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206">
    <cfRule type="cellIs" priority="184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207:N209">
    <cfRule type="cellIs" priority="182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205">
    <cfRule type="cellIs" priority="180" operator="greaterThan" dxfId="1">
      <formula>0.03</formula>
    </cfRule>
    <cfRule type="cellIs" priority="180" operator="lessThan" dxfId="0" stopIfTrue="1">
      <formula>-0.03</formula>
    </cfRule>
  </conditionalFormatting>
  <conditionalFormatting sqref="P209">
    <cfRule type="cellIs" priority="178" operator="lessThan" dxfId="1">
      <formula>-0.03</formula>
    </cfRule>
    <cfRule type="cellIs" priority="178" operator="greaterThan" dxfId="0" stopIfTrue="1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priority="171" operator="lessThan" dxfId="1" stopIfTrue="1">
      <formula>-0.01</formula>
    </cfRule>
    <cfRule type="cellIs" priority="171" operator="greaterThan" dxfId="0" stopIfTrue="1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priority="161" operator="greaterThan" dxfId="1">
      <formula>0.03</formula>
    </cfRule>
    <cfRule type="cellIs" priority="161" operator="lessThan" dxfId="0" stopIfTrue="1">
      <formula>-0.03</formula>
    </cfRule>
  </conditionalFormatting>
  <conditionalFormatting sqref="N221">
    <cfRule type="cellIs" priority="159" operator="lessThan" dxfId="1" stopIfTrue="1">
      <formula>-0.01</formula>
    </cfRule>
    <cfRule type="cellIs" priority="159" operator="greaterThan" dxfId="0" stopIfTrue="1">
      <formula>0.01</formula>
    </cfRule>
  </conditionalFormatting>
  <conditionalFormatting sqref="N216">
    <cfRule type="cellIs" priority="157" operator="lessThan" dxfId="1" stopIfTrue="1">
      <formula>-0.01</formula>
    </cfRule>
    <cfRule type="cellIs" priority="157" operator="greaterThan" dxfId="0" stopIfTrue="1">
      <formula>0.01</formula>
    </cfRule>
  </conditionalFormatting>
  <conditionalFormatting sqref="N217">
    <cfRule type="cellIs" priority="155" operator="lessThan" dxfId="1" stopIfTrue="1">
      <formula>-0.01</formula>
    </cfRule>
    <cfRule type="cellIs" priority="155" operator="greaterThan" dxfId="0" stopIfTrue="1">
      <formula>0.01</formula>
    </cfRule>
  </conditionalFormatting>
  <conditionalFormatting sqref="N218:N220">
    <cfRule type="cellIs" priority="153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P216">
    <cfRule type="cellIs" priority="151" operator="greaterThan" dxfId="1">
      <formula>0.03</formula>
    </cfRule>
    <cfRule type="cellIs" priority="151" operator="lessThan" dxfId="0" stopIfTrue="1">
      <formula>-0.03</formula>
    </cfRule>
  </conditionalFormatting>
  <conditionalFormatting sqref="P220">
    <cfRule type="cellIs" priority="149" operator="lessThan" dxfId="1">
      <formula>-0.03</formula>
    </cfRule>
    <cfRule type="cellIs" priority="149" operator="greaterThan" dxfId="0" stopIfTrue="1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priority="146" operator="greaterThan" dxfId="1">
      <formula>0.03</formula>
    </cfRule>
    <cfRule type="cellIs" priority="147" operator="lessThan" dxfId="0" stopIfTrue="1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priority="142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priority="132" operator="greaterThan" dxfId="1">
      <formula>0.03</formula>
    </cfRule>
    <cfRule type="cellIs" priority="132" operator="lessThan" dxfId="0" stopIfTrue="1">
      <formula>-0.03</formula>
    </cfRule>
  </conditionalFormatting>
  <conditionalFormatting sqref="N232">
    <cfRule type="cellIs" priority="130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27">
    <cfRule type="cellIs" priority="128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8">
    <cfRule type="cellIs" priority="126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229:N231">
    <cfRule type="cellIs" priority="124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P227">
    <cfRule type="cellIs" priority="122" operator="greaterThan" dxfId="1">
      <formula>0.03</formula>
    </cfRule>
    <cfRule type="cellIs" priority="122" operator="lessThan" dxfId="0" stopIfTrue="1">
      <formula>-0.03</formula>
    </cfRule>
  </conditionalFormatting>
  <conditionalFormatting sqref="P231">
    <cfRule type="cellIs" priority="120" operator="lessThan" dxfId="1">
      <formula>-0.03</formula>
    </cfRule>
    <cfRule type="cellIs" priority="120" operator="greaterThan" dxfId="0" stopIfTrue="1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priority="113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priority="103" operator="greaterThan" dxfId="1">
      <formula>0.03</formula>
    </cfRule>
    <cfRule type="cellIs" priority="103" operator="lessThan" dxfId="0" stopIfTrue="1">
      <formula>-0.03</formula>
    </cfRule>
  </conditionalFormatting>
  <conditionalFormatting sqref="N243">
    <cfRule type="cellIs" priority="101" operator="lessThan" dxfId="1" stopIfTrue="1">
      <formula>-0.01</formula>
    </cfRule>
    <cfRule type="cellIs" priority="101" operator="greaterThan" dxfId="0" stopIfTrue="1">
      <formula>0.01</formula>
    </cfRule>
  </conditionalFormatting>
  <conditionalFormatting sqref="N238">
    <cfRule type="cellIs" priority="99" operator="lessThan" dxfId="1" stopIfTrue="1">
      <formula>-0.01</formula>
    </cfRule>
    <cfRule type="cellIs" priority="99" operator="greaterThan" dxfId="0" stopIfTrue="1">
      <formula>0.01</formula>
    </cfRule>
  </conditionalFormatting>
  <conditionalFormatting sqref="N239">
    <cfRule type="cellIs" priority="97" operator="lessThan" dxfId="1" stopIfTrue="1">
      <formula>-0.01</formula>
    </cfRule>
    <cfRule type="cellIs" priority="97" operator="greaterThan" dxfId="0" stopIfTrue="1">
      <formula>0.01</formula>
    </cfRule>
  </conditionalFormatting>
  <conditionalFormatting sqref="N240:N242">
    <cfRule type="cellIs" priority="95" operator="lessThan" dxfId="1" stopIfTrue="1">
      <formula>-0.01</formula>
    </cfRule>
    <cfRule type="cellIs" priority="95" operator="greaterThan" dxfId="0" stopIfTrue="1">
      <formula>0.01</formula>
    </cfRule>
  </conditionalFormatting>
  <conditionalFormatting sqref="P238">
    <cfRule type="cellIs" priority="93" operator="greaterThan" dxfId="1">
      <formula>0.03</formula>
    </cfRule>
    <cfRule type="cellIs" priority="93" operator="lessThan" dxfId="0" stopIfTrue="1">
      <formula>-0.03</formula>
    </cfRule>
  </conditionalFormatting>
  <conditionalFormatting sqref="P242">
    <cfRule type="cellIs" priority="91" operator="lessThan" dxfId="1">
      <formula>-0.03</formula>
    </cfRule>
    <cfRule type="cellIs" priority="91" operator="greaterThan" dxfId="0" stopIfTrue="1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priority="84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priority="74" operator="greaterThan" dxfId="1">
      <formula>0.03</formula>
    </cfRule>
    <cfRule type="cellIs" priority="74" operator="lessThan" dxfId="0" stopIfTrue="1">
      <formula>-0.03</formula>
    </cfRule>
  </conditionalFormatting>
  <conditionalFormatting sqref="N254">
    <cfRule type="cellIs" priority="72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249">
    <cfRule type="cellIs" priority="70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N250">
    <cfRule type="cellIs" priority="68" operator="lessThan" dxfId="1" stopIfTrue="1">
      <formula>-0.01</formula>
    </cfRule>
    <cfRule type="cellIs" priority="68" operator="greaterThan" dxfId="0" stopIfTrue="1">
      <formula>0.01</formula>
    </cfRule>
  </conditionalFormatting>
  <conditionalFormatting sqref="N251:N253">
    <cfRule type="cellIs" priority="66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P249">
    <cfRule type="cellIs" priority="64" operator="greaterThan" dxfId="1">
      <formula>0.03</formula>
    </cfRule>
    <cfRule type="cellIs" priority="64" operator="lessThan" dxfId="0" stopIfTrue="1">
      <formula>-0.03</formula>
    </cfRule>
  </conditionalFormatting>
  <conditionalFormatting sqref="P253">
    <cfRule type="cellIs" priority="62" operator="lessThan" dxfId="1">
      <formula>-0.03</formula>
    </cfRule>
    <cfRule type="cellIs" priority="62" operator="greaterThan" dxfId="0" stopIfTrue="1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priority="55" operator="lessThan" dxfId="1" stopIfTrue="1">
      <formula>-0.01</formula>
    </cfRule>
    <cfRule type="cellIs" priority="55" operator="greaterThan" dxfId="0" stopIfTrue="1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priority="45" operator="greaterThan" dxfId="1">
      <formula>0.03</formula>
    </cfRule>
    <cfRule type="cellIs" priority="45" operator="lessThan" dxfId="0" stopIfTrue="1">
      <formula>-0.03</formula>
    </cfRule>
  </conditionalFormatting>
  <conditionalFormatting sqref="N265">
    <cfRule type="cellIs" priority="43" operator="lessThan" dxfId="1" stopIfTrue="1">
      <formula>-0.01</formula>
    </cfRule>
    <cfRule type="cellIs" priority="43" operator="greaterThan" dxfId="0" stopIfTrue="1">
      <formula>0.01</formula>
    </cfRule>
  </conditionalFormatting>
  <conditionalFormatting sqref="N260">
    <cfRule type="cellIs" priority="41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N261">
    <cfRule type="cellIs" priority="39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N262:N264">
    <cfRule type="cellIs" priority="37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P260">
    <cfRule type="cellIs" priority="35" operator="greaterThan" dxfId="1">
      <formula>0.03</formula>
    </cfRule>
    <cfRule type="cellIs" priority="35" operator="lessThan" dxfId="0" stopIfTrue="1">
      <formula>-0.03</formula>
    </cfRule>
  </conditionalFormatting>
  <conditionalFormatting sqref="P264">
    <cfRule type="cellIs" priority="33" operator="lessThan" dxfId="1">
      <formula>-0.03</formula>
    </cfRule>
    <cfRule type="cellIs" priority="33" operator="greaterThan" dxfId="0" stopIfTrue="1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priority="30" operator="greaterThan" dxfId="1">
      <formula>0.03</formula>
    </cfRule>
    <cfRule type="cellIs" priority="31" operator="lessThan" dxfId="0" stopIfTrue="1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priority="26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priority="16" operator="greaterThan" dxfId="1">
      <formula>0.03</formula>
    </cfRule>
    <cfRule type="cellIs" priority="16" operator="lessThan" dxfId="0" stopIfTrue="1">
      <formula>-0.03</formula>
    </cfRule>
  </conditionalFormatting>
  <conditionalFormatting sqref="N276">
    <cfRule type="cellIs" priority="14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271">
    <cfRule type="cellIs" priority="12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72">
    <cfRule type="cellIs" priority="10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73:N275">
    <cfRule type="cellIs" priority="8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271">
    <cfRule type="cellIs" priority="6" operator="greaterThan" dxfId="1">
      <formula>0.03</formula>
    </cfRule>
    <cfRule type="cellIs" priority="6" operator="lessThan" dxfId="0" stopIfTrue="1">
      <formula>-0.03</formula>
    </cfRule>
  </conditionalFormatting>
  <conditionalFormatting sqref="P275">
    <cfRule type="cellIs" priority="4" operator="lessThan" dxfId="1">
      <formula>-0.03</formula>
    </cfRule>
    <cfRule type="cellIs" priority="4" operator="greaterThan" dxfId="0" stopIfTrue="1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1">
    <outlinePr summaryBelow="1" summaryRight="1"/>
    <pageSetUpPr/>
  </sheetPr>
  <dimension ref="A1:AF233"/>
  <sheetViews>
    <sheetView workbookViewId="0">
      <selection activeCell="BE10" sqref="BE10"/>
    </sheetView>
  </sheetViews>
  <sheetFormatPr baseColWidth="8" defaultColWidth="9" defaultRowHeight="15.6" outlineLevelCol="0"/>
  <cols>
    <col width="1.59765625" bestFit="1" customWidth="1" style="270" min="1" max="1"/>
    <col width="6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6.59765625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16.09765625" bestFit="1" customWidth="1" style="270" min="13" max="13"/>
    <col width="7.59765625" bestFit="1" customWidth="1" style="270" min="14" max="14"/>
    <col width="4.59765625" customWidth="1" style="270" min="15" max="15"/>
    <col width="9.5976562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8.09765625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> </t>
        </is>
      </c>
      <c r="AF1" s="10" t="inlineStr">
        <is>
          <t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>  </t>
        </is>
      </c>
      <c r="L3" s="105" t="inlineStr">
        <is>
          <t>G</t>
        </is>
      </c>
      <c r="M3" s="105" t="inlineStr">
        <is>
          <t>AE</t>
        </is>
      </c>
      <c r="N3" s="268" t="n"/>
      <c r="O3" s="190" t="inlineStr">
        <is>
          <t>  </t>
        </is>
      </c>
      <c r="P3" s="268" t="n"/>
      <c r="U3" s="189" t="inlineStr">
        <is>
          <t>  </t>
        </is>
      </c>
      <c r="W3" s="189" t="inlineStr">
        <is>
          <t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YUV-PSNR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3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25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YUV-PSNR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3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25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YUV-PSNR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3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25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YUV-PSNR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3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25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YUV-PSNR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3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25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YUV-PSNR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3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25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YUV-PSNR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3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25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YUV-PSNR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3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25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5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YUV-PSNR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3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25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5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YUV-PSNR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3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25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/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J115" s="267" t="inlineStr">
        <is>
          <t>%</t>
        </is>
      </c>
      <c r="L115" s="267" t="inlineStr">
        <is>
          <t>YUV-PSNR</t>
        </is>
      </c>
      <c r="N115" s="316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3" t="n"/>
      <c r="AB119" s="320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25" t="n"/>
    </row>
    <row r="121" ht="16.5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 ht="16.5" customHeight="1" s="270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J125" s="265" t="n"/>
      <c r="L125" s="265">
        <f>F125</f>
        <v/>
      </c>
      <c r="M125" s="313" t="n"/>
      <c r="N125" s="314" t="n"/>
      <c r="O125" s="195" t="n"/>
      <c r="P125" s="265" t="n"/>
    </row>
    <row r="126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J126" s="267" t="inlineStr">
        <is>
          <t>%</t>
        </is>
      </c>
      <c r="L126" s="267" t="inlineStr">
        <is>
          <t>YUV-PSNR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  <c r="AB129" s="320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3" t="n"/>
    </row>
    <row r="131" ht="16.5" customHeight="1" s="270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25" t="n"/>
    </row>
    <row r="132" ht="16.5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>
      <c r="J135" s="102">
        <f>MAX(D129:D133,H129:H133)</f>
        <v/>
      </c>
      <c r="L135" s="103">
        <f>L134</f>
        <v/>
      </c>
      <c r="M135" s="104">
        <f>M134</f>
        <v/>
      </c>
      <c r="N135" s="97" t="n"/>
      <c r="O135" s="315" t="n"/>
      <c r="P135" s="5" t="n"/>
    </row>
    <row r="136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J137" s="267" t="inlineStr">
        <is>
          <t>%</t>
        </is>
      </c>
      <c r="L137" s="267" t="inlineStr">
        <is>
          <t>YUV-PSNR</t>
        </is>
      </c>
      <c r="N137" s="316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  <c r="AB139" s="320" t="n"/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 ht="16.5" customHeight="1" s="270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3" t="n"/>
    </row>
    <row r="142" ht="16.5" customHeight="1" s="270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25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2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J147" s="265" t="n"/>
      <c r="L147" s="265">
        <f>F147</f>
        <v/>
      </c>
      <c r="M147" s="313" t="n"/>
      <c r="N147" s="314" t="n"/>
      <c r="O147" s="195" t="n"/>
      <c r="P147" s="265" t="n"/>
    </row>
    <row r="148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J148" s="267" t="inlineStr">
        <is>
          <t>%</t>
        </is>
      </c>
      <c r="L148" s="267" t="inlineStr">
        <is>
          <t>YUV-PSNR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320" t="n"/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 ht="16.5" customHeight="1" s="270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 ht="16.5" customHeight="1" s="270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3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25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2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J159" s="267" t="inlineStr">
        <is>
          <t>%</t>
        </is>
      </c>
      <c r="L159" s="267" t="inlineStr">
        <is>
          <t>YUV-PSNR</t>
        </is>
      </c>
      <c r="N159" s="316" t="n"/>
      <c r="O159" s="85" t="n"/>
      <c r="P159" s="3" t="n"/>
      <c r="AB159" s="320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70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 ht="16.5" customHeight="1" s="270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3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25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2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J169" s="265" t="n"/>
      <c r="L169" s="265">
        <f>F169</f>
        <v/>
      </c>
      <c r="M169" s="313" t="n"/>
      <c r="N169" s="314" t="n"/>
      <c r="O169" s="195" t="n"/>
      <c r="P169" s="265" t="n"/>
      <c r="AB169" s="320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J170" s="267" t="inlineStr">
        <is>
          <t>%</t>
        </is>
      </c>
      <c r="L170" s="267" t="inlineStr">
        <is>
          <t>YUV-PSNR</t>
        </is>
      </c>
      <c r="N170" s="316" t="n"/>
      <c r="O170" s="85" t="n"/>
      <c r="P170" s="3" t="n"/>
    </row>
    <row r="171" ht="16.5" customHeight="1" s="270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70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3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25" t="n"/>
    </row>
    <row r="176" ht="16.2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2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>
      <c r="AB179" s="320" t="n"/>
    </row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J180" s="265" t="n"/>
      <c r="L180" s="265">
        <f>F180</f>
        <v/>
      </c>
      <c r="M180" s="313" t="n"/>
      <c r="N180" s="314" t="n"/>
      <c r="O180" s="195" t="n"/>
      <c r="P180" s="265" t="n"/>
    </row>
    <row r="181" ht="16.5" customHeight="1" s="270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J181" s="267" t="inlineStr">
        <is>
          <t>%</t>
        </is>
      </c>
      <c r="L181" s="267" t="inlineStr">
        <is>
          <t>YUV-PSNR</t>
        </is>
      </c>
      <c r="N181" s="316" t="n"/>
      <c r="O181" s="85" t="n"/>
      <c r="P181" s="3" t="n"/>
    </row>
    <row r="182" ht="16.5" customHeight="1" s="270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3" t="n"/>
    </row>
    <row r="186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25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</row>
    <row r="188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</row>
    <row r="189" ht="16.5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  <c r="AB189" s="320" t="n"/>
    </row>
    <row r="190" ht="16.2" customHeight="1" s="270" thickBot="1"/>
    <row r="191" ht="16.5" customHeight="1" s="270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J191" s="265" t="n"/>
      <c r="L191" s="265">
        <f>F191</f>
        <v/>
      </c>
      <c r="M191" s="313" t="n"/>
      <c r="N191" s="314" t="n"/>
      <c r="O191" s="195" t="n"/>
      <c r="P191" s="265" t="n"/>
    </row>
    <row r="192" ht="16.5" customHeight="1" s="270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J192" s="267" t="inlineStr">
        <is>
          <t>%</t>
        </is>
      </c>
      <c r="L192" s="267" t="inlineStr">
        <is>
          <t>YUV-PSNR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3" t="n"/>
      <c r="AB196" s="320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25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 ht="16.5" customHeight="1" s="270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  <c r="AB199" s="320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5" customHeight="1" s="270" thickBot="1"/>
    <row r="202" ht="16.5" customHeight="1" s="270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J203" s="267" t="inlineStr">
        <is>
          <t>%</t>
        </is>
      </c>
      <c r="L203" s="267" t="inlineStr">
        <is>
          <t>YUV-PSNR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  <c r="AB206" s="320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3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25" t="n"/>
    </row>
    <row r="209" ht="16.5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  <c r="AB209" s="320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5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5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J214" s="267" t="inlineStr">
        <is>
          <t>%</t>
        </is>
      </c>
      <c r="L214" s="267" t="inlineStr">
        <is>
          <t>YUV-PSNR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  <c r="Q216" s="315" t="n"/>
      <c r="R216" s="9" t="n"/>
      <c r="S216" s="9" t="n"/>
      <c r="T216" s="9" t="n"/>
      <c r="U216" s="9" t="n"/>
      <c r="V216" s="319" t="n"/>
      <c r="X216" s="6" t="n"/>
      <c r="Y216" s="6" t="n"/>
      <c r="Z216" s="81" t="n"/>
      <c r="AB216" s="320" t="n"/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  <c r="Q217" s="315" t="n"/>
      <c r="R217" s="9" t="n"/>
      <c r="S217" s="9" t="n"/>
      <c r="T217" s="9" t="n"/>
      <c r="U217" s="9" t="n"/>
      <c r="V217" s="319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3" t="n"/>
      <c r="Q218" s="315" t="n"/>
      <c r="R218" s="9" t="n"/>
      <c r="S218" s="9" t="n"/>
      <c r="T218" s="9" t="n"/>
      <c r="U218" s="9" t="n"/>
      <c r="V218" s="319" t="n"/>
      <c r="X218" s="6" t="n"/>
      <c r="Y218" s="6" t="n"/>
      <c r="Z218" s="81" t="n"/>
    </row>
    <row r="219" ht="16.5" customHeight="1" s="270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25" t="n"/>
      <c r="Q219" s="315" t="n"/>
      <c r="R219" s="9" t="n"/>
      <c r="S219" s="9" t="n"/>
      <c r="T219" s="9" t="n"/>
      <c r="U219" s="9" t="n"/>
      <c r="V219" s="319" t="n"/>
      <c r="X219" s="6" t="n"/>
      <c r="Y219" s="6" t="n"/>
      <c r="Z219" s="81" t="n"/>
      <c r="AB219" s="320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  <c r="Q220" s="315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70">
      <c r="B221" s="109" t="n"/>
      <c r="C221" s="110" t="n"/>
      <c r="D221" s="322" t="n"/>
      <c r="F221" s="109" t="n"/>
      <c r="G221" s="110" t="n"/>
      <c r="H221" s="322" t="n"/>
      <c r="I221" s="9" t="n"/>
      <c r="J221" s="98">
        <f>MIN(D216:D220,H216:H220)</f>
        <v/>
      </c>
      <c r="L221" s="99" t="n"/>
      <c r="M221" s="100" t="n"/>
      <c r="N221" s="101" t="n"/>
      <c r="O221" s="315" t="n"/>
      <c r="P221" s="265" t="n"/>
      <c r="Q221" s="315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J225" s="267" t="inlineStr">
        <is>
          <t>%</t>
        </is>
      </c>
      <c r="L225" s="267" t="inlineStr">
        <is>
          <t>YUV-PSNR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3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25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L4:N4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B170:C170"/>
    <mergeCell ref="L81:N81"/>
    <mergeCell ref="F37:H37"/>
    <mergeCell ref="B82:C82"/>
    <mergeCell ref="B148:C148"/>
    <mergeCell ref="F203:G203"/>
    <mergeCell ref="F181:G181"/>
    <mergeCell ref="L148:N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priority="1097" operator="lessThan" dxfId="1" stopIfTrue="1">
      <formula>-0.01</formula>
    </cfRule>
    <cfRule type="cellIs" priority="1098" operator="greaterThan" dxfId="0" stopIfTrue="1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priority="1092" operator="greaterThan" dxfId="1">
      <formula>0.03</formula>
    </cfRule>
    <cfRule type="cellIs" priority="1093" operator="lessThan" dxfId="0" stopIfTrue="1">
      <formula>-0.03</formula>
    </cfRule>
  </conditionalFormatting>
  <conditionalFormatting sqref="AB22">
    <cfRule type="cellIs" priority="1090" operator="lessThan" dxfId="1">
      <formula>-0.03</formula>
    </cfRule>
    <cfRule type="cellIs" priority="1091" operator="greaterThan" dxfId="0" stopIfTrue="1">
      <formula>0.03</formula>
    </cfRule>
  </conditionalFormatting>
  <conditionalFormatting sqref="Z1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Z19">
    <cfRule type="cellIs" priority="1086" operator="lessThan" dxfId="1" stopIfTrue="1">
      <formula>-0.01</formula>
    </cfRule>
    <cfRule type="cellIs" priority="1087" operator="greaterThan" dxfId="0" stopIfTrue="1">
      <formula>0.01</formula>
    </cfRule>
  </conditionalFormatting>
  <conditionalFormatting sqref="Z20:Z21">
    <cfRule type="cellIs" priority="1084" operator="lessThan" dxfId="1" stopIfTrue="1">
      <formula>-0.01</formula>
    </cfRule>
    <cfRule type="cellIs" priority="1085" operator="greaterThan" dxfId="0" stopIfTrue="1">
      <formula>0.01</formula>
    </cfRule>
  </conditionalFormatting>
  <conditionalFormatting sqref="Z22">
    <cfRule type="cellIs" priority="1082" operator="lessThan" dxfId="1" stopIfTrue="1">
      <formula>-0.01</formula>
    </cfRule>
    <cfRule type="cellIs" priority="1083" operator="greaterThan" dxfId="0" stopIfTrue="1">
      <formula>0.01</formula>
    </cfRule>
  </conditionalFormatting>
  <conditionalFormatting sqref="V18:V22">
    <cfRule type="cellIs" priority="1080" operator="greaterThan" dxfId="1">
      <formula>0.03</formula>
    </cfRule>
    <cfRule type="cellIs" priority="1081" operator="lessThan" dxfId="0" stopIfTrue="1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priority="1070" operator="greaterThan" dxfId="1">
      <formula>0.03</formula>
    </cfRule>
    <cfRule type="cellIs" priority="1071" operator="lessThan" dxfId="0" stopIfTrue="1">
      <formula>-0.03</formula>
    </cfRule>
  </conditionalFormatting>
  <conditionalFormatting sqref="AB33">
    <cfRule type="cellIs" priority="1068" operator="lessThan" dxfId="1">
      <formula>-0.03</formula>
    </cfRule>
    <cfRule type="cellIs" priority="1069" operator="greaterThan" dxfId="0" stopIfTrue="1">
      <formula>0.03</formula>
    </cfRule>
  </conditionalFormatting>
  <conditionalFormatting sqref="Z2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Z30">
    <cfRule type="cellIs" priority="1064" operator="lessThan" dxfId="1" stopIfTrue="1">
      <formula>-0.01</formula>
    </cfRule>
    <cfRule type="cellIs" priority="1065" operator="greaterThan" dxfId="0" stopIfTrue="1">
      <formula>0.01</formula>
    </cfRule>
  </conditionalFormatting>
  <conditionalFormatting sqref="Z31:Z32">
    <cfRule type="cellIs" priority="1062" operator="lessThan" dxfId="1" stopIfTrue="1">
      <formula>-0.01</formula>
    </cfRule>
    <cfRule type="cellIs" priority="1063" operator="greaterThan" dxfId="0" stopIfTrue="1">
      <formula>0.01</formula>
    </cfRule>
  </conditionalFormatting>
  <conditionalFormatting sqref="Z33">
    <cfRule type="cellIs" priority="1060" operator="lessThan" dxfId="1" stopIfTrue="1">
      <formula>-0.01</formula>
    </cfRule>
    <cfRule type="cellIs" priority="1061" operator="greaterThan" dxfId="0" stopIfTrue="1">
      <formula>0.01</formula>
    </cfRule>
  </conditionalFormatting>
  <conditionalFormatting sqref="V29:V33">
    <cfRule type="cellIs" priority="1058" operator="greaterThan" dxfId="1">
      <formula>0.03</formula>
    </cfRule>
    <cfRule type="cellIs" priority="1059" operator="lessThan" dxfId="0" stopIfTrue="1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priority="1048" operator="greaterThan" dxfId="1">
      <formula>0.03</formula>
    </cfRule>
    <cfRule type="cellIs" priority="1049" operator="lessThan" dxfId="0" stopIfTrue="1">
      <formula>-0.03</formula>
    </cfRule>
  </conditionalFormatting>
  <conditionalFormatting sqref="AB44">
    <cfRule type="cellIs" priority="1046" operator="lessThan" dxfId="1">
      <formula>-0.03</formula>
    </cfRule>
    <cfRule type="cellIs" priority="1047" operator="greaterThan" dxfId="0" stopIfTrue="1">
      <formula>0.03</formula>
    </cfRule>
  </conditionalFormatting>
  <conditionalFormatting sqref="Z40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41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Z42:Z43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Z44">
    <cfRule type="cellIs" priority="1038" operator="lessThan" dxfId="1" stopIfTrue="1">
      <formula>-0.01</formula>
    </cfRule>
    <cfRule type="cellIs" priority="1039" operator="greaterThan" dxfId="0" stopIfTrue="1">
      <formula>0.01</formula>
    </cfRule>
  </conditionalFormatting>
  <conditionalFormatting sqref="V40:V44">
    <cfRule type="cellIs" priority="1036" operator="greaterThan" dxfId="1">
      <formula>0.03</formula>
    </cfRule>
    <cfRule type="cellIs" priority="1037" operator="lessThan" dxfId="0" stopIfTrue="1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priority="1030" operator="lessThan" dxfId="1" stopIfTrue="1">
      <formula>-0.01</formula>
    </cfRule>
    <cfRule type="cellIs" priority="1031" operator="greaterThan" dxfId="0" stopIfTrue="1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priority="1026" operator="greaterThan" dxfId="1">
      <formula>0.03</formula>
    </cfRule>
    <cfRule type="cellIs" priority="1027" operator="lessThan" dxfId="0" stopIfTrue="1">
      <formula>-0.03</formula>
    </cfRule>
  </conditionalFormatting>
  <conditionalFormatting sqref="AB55">
    <cfRule type="cellIs" priority="1024" operator="lessThan" dxfId="1">
      <formula>-0.03</formula>
    </cfRule>
    <cfRule type="cellIs" priority="1025" operator="greaterThan" dxfId="0" stopIfTrue="1">
      <formula>0.03</formula>
    </cfRule>
  </conditionalFormatting>
  <conditionalFormatting sqref="Z51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52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Z53:Z54">
    <cfRule type="cellIs" priority="1018" operator="lessThan" dxfId="1" stopIfTrue="1">
      <formula>-0.01</formula>
    </cfRule>
    <cfRule type="cellIs" priority="1019" operator="greaterThan" dxfId="0" stopIfTrue="1">
      <formula>0.01</formula>
    </cfRule>
  </conditionalFormatting>
  <conditionalFormatting sqref="Z55">
    <cfRule type="cellIs" priority="1016" operator="lessThan" dxfId="1" stopIfTrue="1">
      <formula>-0.01</formula>
    </cfRule>
    <cfRule type="cellIs" priority="1017" operator="greaterThan" dxfId="0" stopIfTrue="1">
      <formula>0.01</formula>
    </cfRule>
  </conditionalFormatting>
  <conditionalFormatting sqref="V51:V55">
    <cfRule type="cellIs" priority="1014" operator="greaterThan" dxfId="1">
      <formula>0.03</formula>
    </cfRule>
    <cfRule type="cellIs" priority="1015" operator="lessThan" dxfId="0" stopIfTrue="1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priority="1008" operator="lessThan" dxfId="1" stopIfTrue="1">
      <formula>-0.01</formula>
    </cfRule>
    <cfRule type="cellIs" priority="1009" operator="greaterThan" dxfId="0" stopIfTrue="1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priority="1004" operator="greaterThan" dxfId="1">
      <formula>0.03</formula>
    </cfRule>
    <cfRule type="cellIs" priority="1005" operator="lessThan" dxfId="0" stopIfTrue="1">
      <formula>-0.03</formula>
    </cfRule>
  </conditionalFormatting>
  <conditionalFormatting sqref="AB66">
    <cfRule type="cellIs" priority="1002" operator="lessThan" dxfId="1">
      <formula>-0.03</formula>
    </cfRule>
    <cfRule type="cellIs" priority="1003" operator="greaterThan" dxfId="0" stopIfTrue="1">
      <formula>0.03</formula>
    </cfRule>
  </conditionalFormatting>
  <conditionalFormatting sqref="Z62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63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Z64:Z65">
    <cfRule type="cellIs" priority="996" operator="lessThan" dxfId="1" stopIfTrue="1">
      <formula>-0.01</formula>
    </cfRule>
    <cfRule type="cellIs" priority="997" operator="greaterThan" dxfId="0" stopIfTrue="1">
      <formula>0.01</formula>
    </cfRule>
  </conditionalFormatting>
  <conditionalFormatting sqref="Z66">
    <cfRule type="cellIs" priority="994" operator="lessThan" dxfId="1" stopIfTrue="1">
      <formula>-0.01</formula>
    </cfRule>
    <cfRule type="cellIs" priority="995" operator="greaterThan" dxfId="0" stopIfTrue="1">
      <formula>0.01</formula>
    </cfRule>
  </conditionalFormatting>
  <conditionalFormatting sqref="V62:V66">
    <cfRule type="cellIs" priority="992" operator="greaterThan" dxfId="1">
      <formula>0.03</formula>
    </cfRule>
    <cfRule type="cellIs" priority="993" operator="lessThan" dxfId="0" stopIfTrue="1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priority="986" operator="lessThan" dxfId="1" stopIfTrue="1">
      <formula>-0.01</formula>
    </cfRule>
    <cfRule type="cellIs" priority="987" operator="greaterThan" dxfId="0" stopIfTrue="1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priority="982" operator="greaterThan" dxfId="1">
      <formula>0.03</formula>
    </cfRule>
    <cfRule type="cellIs" priority="983" operator="lessThan" dxfId="0" stopIfTrue="1">
      <formula>-0.03</formula>
    </cfRule>
  </conditionalFormatting>
  <conditionalFormatting sqref="AB77">
    <cfRule type="cellIs" priority="980" operator="lessThan" dxfId="1">
      <formula>-0.03</formula>
    </cfRule>
    <cfRule type="cellIs" priority="981" operator="greaterThan" dxfId="0" stopIfTrue="1">
      <formula>0.03</formula>
    </cfRule>
  </conditionalFormatting>
  <conditionalFormatting sqref="Z73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74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Z75:Z76">
    <cfRule type="cellIs" priority="974" operator="lessThan" dxfId="1" stopIfTrue="1">
      <formula>-0.01</formula>
    </cfRule>
    <cfRule type="cellIs" priority="975" operator="greaterThan" dxfId="0" stopIfTrue="1">
      <formula>0.01</formula>
    </cfRule>
  </conditionalFormatting>
  <conditionalFormatting sqref="Z77">
    <cfRule type="cellIs" priority="972" operator="lessThan" dxfId="1" stopIfTrue="1">
      <formula>-0.01</formula>
    </cfRule>
    <cfRule type="cellIs" priority="973" operator="greaterThan" dxfId="0" stopIfTrue="1">
      <formula>0.01</formula>
    </cfRule>
  </conditionalFormatting>
  <conditionalFormatting sqref="V73:V77">
    <cfRule type="cellIs" priority="970" operator="greaterThan" dxfId="1">
      <formula>0.03</formula>
    </cfRule>
    <cfRule type="cellIs" priority="971" operator="lessThan" dxfId="0" stopIfTrue="1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priority="964" operator="lessThan" dxfId="1" stopIfTrue="1">
      <formula>-0.01</formula>
    </cfRule>
    <cfRule type="cellIs" priority="965" operator="greaterThan" dxfId="0" stopIfTrue="1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priority="961" operator="greaterThan" dxfId="1">
      <formula>0.03</formula>
    </cfRule>
    <cfRule type="cellIs" priority="962" operator="lessThan" dxfId="0" stopIfTrue="1">
      <formula>-0.03</formula>
    </cfRule>
  </conditionalFormatting>
  <conditionalFormatting sqref="AB88">
    <cfRule type="cellIs" priority="959" operator="lessThan" dxfId="1">
      <formula>-0.03</formula>
    </cfRule>
    <cfRule type="cellIs" priority="960" operator="greaterThan" dxfId="0" stopIfTrue="1">
      <formula>0.03</formula>
    </cfRule>
  </conditionalFormatting>
  <conditionalFormatting sqref="Z84">
    <cfRule type="cellIs" priority="957" operator="lessThan" dxfId="1" stopIfTrue="1">
      <formula>-0.01</formula>
    </cfRule>
    <cfRule type="cellIs" priority="958" operator="greaterThan" dxfId="0" stopIfTrue="1">
      <formula>0.01</formula>
    </cfRule>
  </conditionalFormatting>
  <conditionalFormatting sqref="Z85">
    <cfRule type="cellIs" priority="955" operator="lessThan" dxfId="1" stopIfTrue="1">
      <formula>-0.01</formula>
    </cfRule>
    <cfRule type="cellIs" priority="956" operator="greaterThan" dxfId="0" stopIfTrue="1">
      <formula>0.01</formula>
    </cfRule>
  </conditionalFormatting>
  <conditionalFormatting sqref="Z86:Z87">
    <cfRule type="cellIs" priority="953" operator="lessThan" dxfId="1" stopIfTrue="1">
      <formula>-0.01</formula>
    </cfRule>
    <cfRule type="cellIs" priority="954" operator="greaterThan" dxfId="0" stopIfTrue="1">
      <formula>0.01</formula>
    </cfRule>
  </conditionalFormatting>
  <conditionalFormatting sqref="Z88">
    <cfRule type="cellIs" priority="951" operator="lessThan" dxfId="1" stopIfTrue="1">
      <formula>-0.01</formula>
    </cfRule>
    <cfRule type="cellIs" priority="952" operator="greaterThan" dxfId="0" stopIfTrue="1">
      <formula>0.01</formula>
    </cfRule>
  </conditionalFormatting>
  <conditionalFormatting sqref="V84:V88">
    <cfRule type="cellIs" priority="949" operator="greaterThan" dxfId="1">
      <formula>0.03</formula>
    </cfRule>
    <cfRule type="cellIs" priority="950" operator="lessThan" dxfId="0" stopIfTrue="1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priority="943" operator="greaterThan" dxfId="1">
      <formula>0.03</formula>
    </cfRule>
    <cfRule type="cellIs" priority="944" operator="lessThan" dxfId="0" stopIfTrue="1">
      <formula>-0.03</formula>
    </cfRule>
  </conditionalFormatting>
  <conditionalFormatting sqref="AB99">
    <cfRule type="cellIs" priority="941" operator="lessThan" dxfId="1">
      <formula>-0.03</formula>
    </cfRule>
    <cfRule type="cellIs" priority="942" operator="greaterThan" dxfId="0" stopIfTrue="1">
      <formula>0.03</formula>
    </cfRule>
  </conditionalFormatting>
  <conditionalFormatting sqref="Z95">
    <cfRule type="cellIs" priority="939" operator="lessThan" dxfId="1" stopIfTrue="1">
      <formula>-0.01</formula>
    </cfRule>
    <cfRule type="cellIs" priority="940" operator="greaterThan" dxfId="0" stopIfTrue="1">
      <formula>0.01</formula>
    </cfRule>
  </conditionalFormatting>
  <conditionalFormatting sqref="Z96">
    <cfRule type="cellIs" priority="937" operator="lessThan" dxfId="1" stopIfTrue="1">
      <formula>-0.01</formula>
    </cfRule>
    <cfRule type="cellIs" priority="938" operator="greaterThan" dxfId="0" stopIfTrue="1">
      <formula>0.01</formula>
    </cfRule>
  </conditionalFormatting>
  <conditionalFormatting sqref="Z97:Z98">
    <cfRule type="cellIs" priority="935" operator="lessThan" dxfId="1" stopIfTrue="1">
      <formula>-0.01</formula>
    </cfRule>
    <cfRule type="cellIs" priority="936" operator="greaterThan" dxfId="0" stopIfTrue="1">
      <formula>0.01</formula>
    </cfRule>
  </conditionalFormatting>
  <conditionalFormatting sqref="Z99">
    <cfRule type="cellIs" priority="933" operator="lessThan" dxfId="1" stopIfTrue="1">
      <formula>-0.01</formula>
    </cfRule>
    <cfRule type="cellIs" priority="934" operator="greaterThan" dxfId="0" stopIfTrue="1">
      <formula>0.01</formula>
    </cfRule>
  </conditionalFormatting>
  <conditionalFormatting sqref="V95:V99">
    <cfRule type="cellIs" priority="931" operator="greaterThan" dxfId="1">
      <formula>0.03</formula>
    </cfRule>
    <cfRule type="cellIs" priority="932" operator="lessThan" dxfId="0" stopIfTrue="1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priority="907" operator="greaterThan" dxfId="1">
      <formula>0.03</formula>
    </cfRule>
    <cfRule type="cellIs" priority="908" operator="lessThan" dxfId="0" stopIfTrue="1">
      <formula>-0.03</formula>
    </cfRule>
  </conditionalFormatting>
  <conditionalFormatting sqref="AB119">
    <cfRule type="cellIs" priority="905" operator="lessThan" dxfId="1">
      <formula>-0.03</formula>
    </cfRule>
    <cfRule type="cellIs" priority="906" operator="greaterThan" dxfId="0" stopIfTrue="1">
      <formula>0.03</formula>
    </cfRule>
  </conditionalFormatting>
  <conditionalFormatting sqref="AB126">
    <cfRule type="cellIs" priority="903" operator="greaterThan" dxfId="1">
      <formula>0.03</formula>
    </cfRule>
    <cfRule type="cellIs" priority="904" operator="lessThan" dxfId="0" stopIfTrue="1">
      <formula>-0.03</formula>
    </cfRule>
  </conditionalFormatting>
  <conditionalFormatting sqref="AB129">
    <cfRule type="cellIs" priority="901" operator="lessThan" dxfId="1">
      <formula>-0.03</formula>
    </cfRule>
    <cfRule type="cellIs" priority="902" operator="greaterThan" dxfId="0" stopIfTrue="1">
      <formula>0.03</formula>
    </cfRule>
  </conditionalFormatting>
  <conditionalFormatting sqref="AB136">
    <cfRule type="cellIs" priority="899" operator="greaterThan" dxfId="1">
      <formula>0.03</formula>
    </cfRule>
    <cfRule type="cellIs" priority="900" operator="lessThan" dxfId="0" stopIfTrue="1">
      <formula>-0.03</formula>
    </cfRule>
  </conditionalFormatting>
  <conditionalFormatting sqref="AB139">
    <cfRule type="cellIs" priority="897" operator="lessThan" dxfId="1">
      <formula>-0.03</formula>
    </cfRule>
    <cfRule type="cellIs" priority="898" operator="greaterThan" dxfId="0" stopIfTrue="1">
      <formula>0.03</formula>
    </cfRule>
  </conditionalFormatting>
  <conditionalFormatting sqref="AB146">
    <cfRule type="cellIs" priority="895" operator="greaterThan" dxfId="1">
      <formula>0.03</formula>
    </cfRule>
    <cfRule type="cellIs" priority="896" operator="lessThan" dxfId="0" stopIfTrue="1">
      <formula>-0.03</formula>
    </cfRule>
  </conditionalFormatting>
  <conditionalFormatting sqref="AB149">
    <cfRule type="cellIs" priority="893" operator="lessThan" dxfId="1">
      <formula>-0.03</formula>
    </cfRule>
    <cfRule type="cellIs" priority="894" operator="greaterThan" dxfId="0" stopIfTrue="1">
      <formula>0.03</formula>
    </cfRule>
  </conditionalFormatting>
  <conditionalFormatting sqref="AB156">
    <cfRule type="cellIs" priority="891" operator="greaterThan" dxfId="1">
      <formula>0.03</formula>
    </cfRule>
    <cfRule type="cellIs" priority="892" operator="lessThan" dxfId="0" stopIfTrue="1">
      <formula>-0.03</formula>
    </cfRule>
  </conditionalFormatting>
  <conditionalFormatting sqref="AB159">
    <cfRule type="cellIs" priority="889" operator="lessThan" dxfId="1">
      <formula>-0.03</formula>
    </cfRule>
    <cfRule type="cellIs" priority="890" operator="greaterThan" dxfId="0" stopIfTrue="1">
      <formula>0.03</formula>
    </cfRule>
  </conditionalFormatting>
  <conditionalFormatting sqref="AB166">
    <cfRule type="cellIs" priority="887" operator="greaterThan" dxfId="1">
      <formula>0.03</formula>
    </cfRule>
    <cfRule type="cellIs" priority="888" operator="lessThan" dxfId="0" stopIfTrue="1">
      <formula>-0.03</formula>
    </cfRule>
  </conditionalFormatting>
  <conditionalFormatting sqref="AB169">
    <cfRule type="cellIs" priority="885" operator="lessThan" dxfId="1">
      <formula>-0.03</formula>
    </cfRule>
    <cfRule type="cellIs" priority="886" operator="greaterThan" dxfId="0" stopIfTrue="1">
      <formula>0.03</formula>
    </cfRule>
  </conditionalFormatting>
  <conditionalFormatting sqref="AB176">
    <cfRule type="cellIs" priority="883" operator="greaterThan" dxfId="1">
      <formula>0.03</formula>
    </cfRule>
    <cfRule type="cellIs" priority="884" operator="lessThan" dxfId="0" stopIfTrue="1">
      <formula>-0.03</formula>
    </cfRule>
  </conditionalFormatting>
  <conditionalFormatting sqref="AB179">
    <cfRule type="cellIs" priority="881" operator="lessThan" dxfId="1">
      <formula>-0.03</formula>
    </cfRule>
    <cfRule type="cellIs" priority="882" operator="greaterThan" dxfId="0" stopIfTrue="1">
      <formula>0.03</formula>
    </cfRule>
  </conditionalFormatting>
  <conditionalFormatting sqref="AB186">
    <cfRule type="cellIs" priority="879" operator="greaterThan" dxfId="1">
      <formula>0.03</formula>
    </cfRule>
    <cfRule type="cellIs" priority="880" operator="lessThan" dxfId="0" stopIfTrue="1">
      <formula>-0.03</formula>
    </cfRule>
  </conditionalFormatting>
  <conditionalFormatting sqref="AB189">
    <cfRule type="cellIs" priority="877" operator="lessThan" dxfId="1">
      <formula>-0.03</formula>
    </cfRule>
    <cfRule type="cellIs" priority="878" operator="greaterThan" dxfId="0" stopIfTrue="1">
      <formula>0.03</formula>
    </cfRule>
  </conditionalFormatting>
  <conditionalFormatting sqref="AB196">
    <cfRule type="cellIs" priority="875" operator="greaterThan" dxfId="1">
      <formula>0.03</formula>
    </cfRule>
    <cfRule type="cellIs" priority="876" operator="lessThan" dxfId="0" stopIfTrue="1">
      <formula>-0.03</formula>
    </cfRule>
  </conditionalFormatting>
  <conditionalFormatting sqref="AB199">
    <cfRule type="cellIs" priority="873" operator="lessThan" dxfId="1">
      <formula>-0.03</formula>
    </cfRule>
    <cfRule type="cellIs" priority="874" operator="greaterThan" dxfId="0" stopIfTrue="1">
      <formula>0.03</formula>
    </cfRule>
  </conditionalFormatting>
  <conditionalFormatting sqref="AB206">
    <cfRule type="cellIs" priority="871" operator="greaterThan" dxfId="1">
      <formula>0.03</formula>
    </cfRule>
    <cfRule type="cellIs" priority="872" operator="lessThan" dxfId="0" stopIfTrue="1">
      <formula>-0.03</formula>
    </cfRule>
  </conditionalFormatting>
  <conditionalFormatting sqref="AB209">
    <cfRule type="cellIs" priority="869" operator="lessThan" dxfId="1">
      <formula>-0.03</formula>
    </cfRule>
    <cfRule type="cellIs" priority="870" operator="greaterThan" dxfId="0" stopIfTrue="1">
      <formula>0.03</formula>
    </cfRule>
  </conditionalFormatting>
  <conditionalFormatting sqref="Z220:Z221">
    <cfRule type="cellIs" priority="866" operator="lessThan" dxfId="1" stopIfTrue="1">
      <formula>-0.01</formula>
    </cfRule>
    <cfRule type="cellIs" priority="867" operator="greaterThan" dxfId="0" stopIfTrue="1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219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priority="856" operator="lessThan" dxfId="1" stopIfTrue="1">
      <formula>-0.01</formula>
    </cfRule>
    <cfRule type="cellIs" priority="857" operator="greaterThan" dxfId="0" stopIfTrue="1">
      <formula>0.01</formula>
    </cfRule>
  </conditionalFormatting>
  <conditionalFormatting sqref="Z217">
    <cfRule type="cellIs" priority="854" operator="lessThan" dxfId="1" stopIfTrue="1">
      <formula>-0.01</formula>
    </cfRule>
    <cfRule type="cellIs" priority="855" operator="greaterThan" dxfId="0" stopIfTrue="1">
      <formula>0.01</formula>
    </cfRule>
  </conditionalFormatting>
  <conditionalFormatting sqref="Z218">
    <cfRule type="cellIs" priority="852" operator="lessThan" dxfId="1" stopIfTrue="1">
      <formula>-0.01</formula>
    </cfRule>
    <cfRule type="cellIs" priority="853" operator="greaterThan" dxfId="0" stopIfTrue="1">
      <formula>0.01</formula>
    </cfRule>
  </conditionalFormatting>
  <conditionalFormatting sqref="Z219">
    <cfRule type="cellIs" priority="850" operator="lessThan" dxfId="1" stopIfTrue="1">
      <formula>-0.01</formula>
    </cfRule>
    <cfRule type="cellIs" priority="851" operator="greaterThan" dxfId="0" stopIfTrue="1">
      <formula>0.01</formula>
    </cfRule>
  </conditionalFormatting>
  <conditionalFormatting sqref="V216:V219">
    <cfRule type="cellIs" priority="848" operator="greaterThan" dxfId="1">
      <formula>0.03</formula>
    </cfRule>
    <cfRule type="cellIs" priority="849" operator="lessThan" dxfId="0" stopIfTrue="1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AB10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10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Z106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10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108:Z109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Z110">
    <cfRule type="cellIs" priority="555" operator="lessThan" dxfId="1" stopIfTrue="1">
      <formula>-0.01</formula>
    </cfRule>
    <cfRule type="cellIs" priority="556" operator="greaterThan" dxfId="0" stopIfTrue="1">
      <formula>0.01</formula>
    </cfRule>
  </conditionalFormatting>
  <conditionalFormatting sqref="V106:V110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priority="443" operator="lessThan" dxfId="1" stopIfTrue="1">
      <formula>-0.01</formula>
    </cfRule>
    <cfRule type="cellIs" priority="444" operator="greaterThan" dxfId="0" stopIfTrue="1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priority="438" operator="greaterThan" dxfId="1">
      <formula>0.03</formula>
    </cfRule>
    <cfRule type="cellIs" priority="439" operator="lessThan" dxfId="0" stopIfTrue="1">
      <formula>-0.03</formula>
    </cfRule>
  </conditionalFormatting>
  <conditionalFormatting sqref="AB11">
    <cfRule type="cellIs" priority="436" operator="lessThan" dxfId="1">
      <formula>-0.03</formula>
    </cfRule>
    <cfRule type="cellIs" priority="437" operator="greaterThan" dxfId="0" stopIfTrue="1">
      <formula>0.03</formula>
    </cfRule>
  </conditionalFormatting>
  <conditionalFormatting sqref="Z7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Z8">
    <cfRule type="cellIs" priority="432" operator="lessThan" dxfId="1" stopIfTrue="1">
      <formula>-0.01</formula>
    </cfRule>
    <cfRule type="cellIs" priority="433" operator="greaterThan" dxfId="0" stopIfTrue="1">
      <formula>0.01</formula>
    </cfRule>
  </conditionalFormatting>
  <conditionalFormatting sqref="Z9:Z10">
    <cfRule type="cellIs" priority="430" operator="lessThan" dxfId="1" stopIfTrue="1">
      <formula>-0.01</formula>
    </cfRule>
    <cfRule type="cellIs" priority="431" operator="greaterThan" dxfId="0" stopIfTrue="1">
      <formula>0.01</formula>
    </cfRule>
  </conditionalFormatting>
  <conditionalFormatting sqref="Z11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V7:V11">
    <cfRule type="cellIs" priority="426" operator="greaterThan" dxfId="1">
      <formula>0.03</formula>
    </cfRule>
    <cfRule type="cellIs" priority="427" operator="lessThan" dxfId="0" stopIfTrue="1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priority="390" operator="lessThan" dxfId="1" stopIfTrue="1">
      <formula>-0.01</formula>
    </cfRule>
    <cfRule type="cellIs" priority="391" operator="greaterThan" dxfId="0" stopIfTrue="1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priority="380" operator="greaterThan" dxfId="1">
      <formula>0.03</formula>
    </cfRule>
    <cfRule type="cellIs" priority="381" operator="lessThan" dxfId="0" stopIfTrue="1">
      <formula>-0.03</formula>
    </cfRule>
  </conditionalFormatting>
  <conditionalFormatting sqref="N12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N7">
    <cfRule type="cellIs" priority="376" operator="lessThan" dxfId="1" stopIfTrue="1">
      <formula>-0.01</formula>
    </cfRule>
    <cfRule type="cellIs" priority="377" operator="greaterThan" dxfId="0" stopIfTrue="1">
      <formula>0.01</formula>
    </cfRule>
  </conditionalFormatting>
  <conditionalFormatting sqref="N8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N9:N11">
    <cfRule type="cellIs" priority="372" operator="lessThan" dxfId="1" stopIfTrue="1">
      <formula>-0.01</formula>
    </cfRule>
    <cfRule type="cellIs" priority="373" operator="greaterThan" dxfId="0" stopIfTrue="1">
      <formula>0.01</formula>
    </cfRule>
  </conditionalFormatting>
  <conditionalFormatting sqref="P7">
    <cfRule type="cellIs" priority="368" operator="greaterThan" dxfId="1">
      <formula>0.03</formula>
    </cfRule>
    <cfRule type="cellIs" priority="369" operator="lessThan" dxfId="0" stopIfTrue="1">
      <formula>-0.03</formula>
    </cfRule>
  </conditionalFormatting>
  <conditionalFormatting sqref="P11">
    <cfRule type="cellIs" priority="366" operator="lessThan" dxfId="1">
      <formula>-0.03</formula>
    </cfRule>
    <cfRule type="cellIs" priority="367" operator="greaterThan" dxfId="0" stopIfTrue="1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2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18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19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20:N22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18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22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J18:J22">
    <cfRule type="cellIs" priority="321" operator="greaterThan" dxfId="1">
      <formula>0.03</formula>
    </cfRule>
    <cfRule type="cellIs" priority="322" operator="lessThan" dxfId="0" stopIfTrue="1">
      <formula>-0.03</formula>
    </cfRule>
  </conditionalFormatting>
  <conditionalFormatting sqref="N35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N34">
    <cfRule type="cellIs" priority="317" operator="lessThan" dxfId="1" stopIfTrue="1">
      <formula>-0.01</formula>
    </cfRule>
    <cfRule type="cellIs" priority="318" operator="greaterThan" dxfId="0" stopIfTrue="1">
      <formula>0.01</formula>
    </cfRule>
  </conditionalFormatting>
  <conditionalFormatting sqref="N29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30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31:N33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P29">
    <cfRule type="cellIs" priority="309" operator="greaterThan" dxfId="1">
      <formula>0.03</formula>
    </cfRule>
    <cfRule type="cellIs" priority="310" operator="lessThan" dxfId="0" stopIfTrue="1">
      <formula>-0.03</formula>
    </cfRule>
  </conditionalFormatting>
  <conditionalFormatting sqref="P33">
    <cfRule type="cellIs" priority="307" operator="lessThan" dxfId="1">
      <formula>-0.03</formula>
    </cfRule>
    <cfRule type="cellIs" priority="308" operator="greaterThan" dxfId="0" stopIfTrue="1">
      <formula>0.03</formula>
    </cfRule>
  </conditionalFormatting>
  <conditionalFormatting sqref="J29:J33">
    <cfRule type="cellIs" priority="305" operator="greaterThan" dxfId="1">
      <formula>0.03</formula>
    </cfRule>
    <cfRule type="cellIs" priority="306" operator="lessThan" dxfId="0" stopIfTrue="1">
      <formula>-0.03</formula>
    </cfRule>
  </conditionalFormatting>
  <conditionalFormatting sqref="N46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45">
    <cfRule type="cellIs" priority="301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40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41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42:N44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P40">
    <cfRule type="cellIs" priority="293" operator="greaterThan" dxfId="1">
      <formula>0.03</formula>
    </cfRule>
    <cfRule type="cellIs" priority="294" operator="lessThan" dxfId="0" stopIfTrue="1">
      <formula>-0.03</formula>
    </cfRule>
  </conditionalFormatting>
  <conditionalFormatting sqref="P44">
    <cfRule type="cellIs" priority="291" operator="lessThan" dxfId="1">
      <formula>-0.03</formula>
    </cfRule>
    <cfRule type="cellIs" priority="292" operator="greaterThan" dxfId="0" stopIfTrue="1">
      <formula>0.03</formula>
    </cfRule>
  </conditionalFormatting>
  <conditionalFormatting sqref="J40:J44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N57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N56">
    <cfRule type="cellIs" priority="285" operator="lessThan" dxfId="1" stopIfTrue="1">
      <formula>-0.01</formula>
    </cfRule>
    <cfRule type="cellIs" priority="286" operator="greaterThan" dxfId="0" stopIfTrue="1">
      <formula>0.01</formula>
    </cfRule>
  </conditionalFormatting>
  <conditionalFormatting sqref="N51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52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53:N55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P51">
    <cfRule type="cellIs" priority="277" operator="greaterThan" dxfId="1">
      <formula>0.03</formula>
    </cfRule>
    <cfRule type="cellIs" priority="278" operator="lessThan" dxfId="0" stopIfTrue="1">
      <formula>-0.03</formula>
    </cfRule>
  </conditionalFormatting>
  <conditionalFormatting sqref="P55">
    <cfRule type="cellIs" priority="275" operator="lessThan" dxfId="1">
      <formula>-0.03</formula>
    </cfRule>
    <cfRule type="cellIs" priority="276" operator="greaterThan" dxfId="0" stopIfTrue="1">
      <formula>0.03</formula>
    </cfRule>
  </conditionalFormatting>
  <conditionalFormatting sqref="J51:J55">
    <cfRule type="cellIs" priority="273" operator="greaterThan" dxfId="1">
      <formula>0.03</formula>
    </cfRule>
    <cfRule type="cellIs" priority="274" operator="lessThan" dxfId="0" stopIfTrue="1">
      <formula>-0.03</formula>
    </cfRule>
  </conditionalFormatting>
  <conditionalFormatting sqref="N68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N67">
    <cfRule type="cellIs" priority="269" operator="lessThan" dxfId="1" stopIfTrue="1">
      <formula>-0.01</formula>
    </cfRule>
    <cfRule type="cellIs" priority="270" operator="greaterThan" dxfId="0" stopIfTrue="1">
      <formula>0.01</formula>
    </cfRule>
  </conditionalFormatting>
  <conditionalFormatting sqref="N62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63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64:N66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P62">
    <cfRule type="cellIs" priority="261" operator="greaterThan" dxfId="1">
      <formula>0.03</formula>
    </cfRule>
    <cfRule type="cellIs" priority="262" operator="lessThan" dxfId="0" stopIfTrue="1">
      <formula>-0.03</formula>
    </cfRule>
  </conditionalFormatting>
  <conditionalFormatting sqref="P66">
    <cfRule type="cellIs" priority="259" operator="lessThan" dxfId="1">
      <formula>-0.03</formula>
    </cfRule>
    <cfRule type="cellIs" priority="260" operator="greaterThan" dxfId="0" stopIfTrue="1">
      <formula>0.03</formula>
    </cfRule>
  </conditionalFormatting>
  <conditionalFormatting sqref="J62:J66">
    <cfRule type="cellIs" priority="257" operator="greaterThan" dxfId="1">
      <formula>0.03</formula>
    </cfRule>
    <cfRule type="cellIs" priority="258" operator="lessThan" dxfId="0" stopIfTrue="1">
      <formula>-0.03</formula>
    </cfRule>
  </conditionalFormatting>
  <conditionalFormatting sqref="N79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N78">
    <cfRule type="cellIs" priority="253" operator="lessThan" dxfId="1" stopIfTrue="1">
      <formula>-0.01</formula>
    </cfRule>
    <cfRule type="cellIs" priority="254" operator="greaterThan" dxfId="0" stopIfTrue="1">
      <formula>0.01</formula>
    </cfRule>
  </conditionalFormatting>
  <conditionalFormatting sqref="N73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74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75:N77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P73">
    <cfRule type="cellIs" priority="245" operator="greaterThan" dxfId="1">
      <formula>0.03</formula>
    </cfRule>
    <cfRule type="cellIs" priority="246" operator="lessThan" dxfId="0" stopIfTrue="1">
      <formula>-0.03</formula>
    </cfRule>
  </conditionalFormatting>
  <conditionalFormatting sqref="P77">
    <cfRule type="cellIs" priority="243" operator="lessThan" dxfId="1">
      <formula>-0.03</formula>
    </cfRule>
    <cfRule type="cellIs" priority="244" operator="greaterThan" dxfId="0" stopIfTrue="1">
      <formula>0.03</formula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90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89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8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85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86:N8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84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88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J84:J88">
    <cfRule type="cellIs" priority="225" operator="greaterThan" dxfId="1">
      <formula>0.03</formula>
    </cfRule>
    <cfRule type="cellIs" priority="226" operator="lessThan" dxfId="0" stopIfTrue="1">
      <formula>-0.03</formula>
    </cfRule>
  </conditionalFormatting>
  <conditionalFormatting sqref="N10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100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95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96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97:N9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P95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P99">
    <cfRule type="cellIs" priority="211" operator="lessThan" dxfId="1">
      <formula>-0.03</formula>
    </cfRule>
    <cfRule type="cellIs" priority="212" operator="greaterThan" dxfId="0" stopIfTrue="1">
      <formula>0.03</formula>
    </cfRule>
  </conditionalFormatting>
  <conditionalFormatting sqref="J95:J99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N112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N111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N106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107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108:N110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P106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P110">
    <cfRule type="cellIs" priority="195" operator="lessThan" dxfId="1">
      <formula>-0.03</formula>
    </cfRule>
    <cfRule type="cellIs" priority="196" operator="greaterThan" dxfId="0" stopIfTrue="1">
      <formula>0.03</formula>
    </cfRule>
  </conditionalFormatting>
  <conditionalFormatting sqref="J106:J110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23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122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117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1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19:N12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117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121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J117:J121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N135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145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N144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N13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4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41:N143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P139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P143">
    <cfRule type="cellIs" priority="147" operator="lessThan" dxfId="1">
      <formula>-0.03</formula>
    </cfRule>
    <cfRule type="cellIs" priority="148" operator="greaterThan" dxfId="0" stopIfTrue="1">
      <formula>0.03</formula>
    </cfRule>
  </conditionalFormatting>
  <conditionalFormatting sqref="J139:J143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N156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N155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N150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51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52:N154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P150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P154">
    <cfRule type="cellIs" priority="131" operator="lessThan" dxfId="1">
      <formula>-0.03</formula>
    </cfRule>
    <cfRule type="cellIs" priority="132" operator="greaterThan" dxfId="0" stopIfTrue="1">
      <formula>0.03</formula>
    </cfRule>
  </conditionalFormatting>
  <conditionalFormatting sqref="J150:J154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N167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166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161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62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63:N165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P161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P165">
    <cfRule type="cellIs" priority="115" operator="lessThan" dxfId="1">
      <formula>-0.03</formula>
    </cfRule>
    <cfRule type="cellIs" priority="116" operator="greaterThan" dxfId="0" stopIfTrue="1">
      <formula>0.03</formula>
    </cfRule>
  </conditionalFormatting>
  <conditionalFormatting sqref="J161:J165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N178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77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172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73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74:N176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172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176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J172:J176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N189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N188">
    <cfRule type="cellIs" priority="93" operator="lessThan" dxfId="1" stopIfTrue="1">
      <formula>-0.01</formula>
    </cfRule>
    <cfRule type="cellIs" priority="94" operator="greaterThan" dxfId="0" stopIfTrue="1">
      <formula>0.01</formula>
    </cfRule>
  </conditionalFormatting>
  <conditionalFormatting sqref="N183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84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85:N187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P183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P187">
    <cfRule type="cellIs" priority="83" operator="lessThan" dxfId="1">
      <formula>-0.03</formula>
    </cfRule>
    <cfRule type="cellIs" priority="84" operator="greaterThan" dxfId="0" stopIfTrue="1">
      <formula>0.03</formula>
    </cfRule>
  </conditionalFormatting>
  <conditionalFormatting sqref="J183:J187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N200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199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N194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95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96:N198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P194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P198">
    <cfRule type="cellIs" priority="67" operator="lessThan" dxfId="1">
      <formula>-0.03</formula>
    </cfRule>
    <cfRule type="cellIs" priority="68" operator="greaterThan" dxfId="0" stopIfTrue="1">
      <formula>0.03</formula>
    </cfRule>
  </conditionalFormatting>
  <conditionalFormatting sqref="J194:J19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211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210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205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206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207:N209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P2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P209">
    <cfRule type="cellIs" priority="51" operator="lessThan" dxfId="1">
      <formula>-0.03</formula>
    </cfRule>
    <cfRule type="cellIs" priority="52" operator="greaterThan" dxfId="0" stopIfTrue="1">
      <formula>0.03</formula>
    </cfRule>
  </conditionalFormatting>
  <conditionalFormatting sqref="J205:J209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N222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N221">
    <cfRule type="cellIs" priority="45" operator="lessThan" dxfId="1" stopIfTrue="1">
      <formula>-0.01</formula>
    </cfRule>
    <cfRule type="cellIs" priority="46" operator="greaterThan" dxfId="0" stopIfTrue="1">
      <formula>0.01</formula>
    </cfRule>
  </conditionalFormatting>
  <conditionalFormatting sqref="N216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17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18:N220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P216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P220">
    <cfRule type="cellIs" priority="35" operator="lessThan" dxfId="1">
      <formula>-0.03</formula>
    </cfRule>
    <cfRule type="cellIs" priority="36" operator="greaterThan" dxfId="0" stopIfTrue="1">
      <formula>0.03</formula>
    </cfRule>
  </conditionalFormatting>
  <conditionalFormatting sqref="J216:J220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N233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232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N227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28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29:N231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P227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P231">
    <cfRule type="cellIs" priority="19" operator="lessThan" dxfId="1">
      <formula>-0.03</formula>
    </cfRule>
    <cfRule type="cellIs" priority="20" operator="greaterThan" dxfId="0" stopIfTrue="1">
      <formula>0.03</formula>
    </cfRule>
  </conditionalFormatting>
  <conditionalFormatting sqref="J227:J231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N134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N133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128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129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130:N132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128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P132">
    <cfRule type="cellIs" priority="3" operator="lessThan" dxfId="1">
      <formula>-0.03</formula>
    </cfRule>
    <cfRule type="cellIs" priority="4" operator="greaterThan" dxfId="0" stopIfTrue="1">
      <formula>0.03</formula>
    </cfRule>
  </conditionalFormatting>
  <conditionalFormatting sqref="J128:J13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25">
    <outlinePr summaryBelow="1" summaryRight="1"/>
    <pageSetUpPr/>
  </sheetPr>
  <dimension ref="A1:AF233"/>
  <sheetViews>
    <sheetView workbookViewId="0">
      <selection activeCell="BE10" sqref="BE10"/>
    </sheetView>
  </sheetViews>
  <sheetFormatPr baseColWidth="8" defaultColWidth="9" defaultRowHeight="15.6" outlineLevelCol="0"/>
  <cols>
    <col width="1.59765625" bestFit="1" customWidth="1" style="270" min="1" max="1"/>
    <col width="6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6.59765625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16.09765625" bestFit="1" customWidth="1" style="270" min="13" max="13"/>
    <col width="8" bestFit="1" customWidth="1" style="270" min="14" max="14"/>
    <col width="4.59765625" customWidth="1" style="270" min="15" max="15"/>
    <col width="9.6992187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8.09765625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> </t>
        </is>
      </c>
      <c r="AF1" s="10" t="inlineStr">
        <is>
          <t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>  </t>
        </is>
      </c>
      <c r="L3" s="105" t="inlineStr">
        <is>
          <t>H</t>
        </is>
      </c>
      <c r="M3" s="105" t="inlineStr">
        <is>
          <t>AF</t>
        </is>
      </c>
      <c r="N3" s="268" t="n"/>
      <c r="O3" s="190" t="inlineStr">
        <is>
          <t>  </t>
        </is>
      </c>
      <c r="P3" s="268" t="n"/>
      <c r="U3" s="189" t="inlineStr">
        <is>
          <t>  </t>
        </is>
      </c>
      <c r="W3" s="189" t="inlineStr">
        <is>
          <t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YUV-SSIM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217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25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YUV-SSIM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217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25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YUV-SSIM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217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25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YUV-SSIM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217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25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YUV-SSIM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217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25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YUV-SSIM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217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25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YUV-SSIM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217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25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YUV-SSIM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217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25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2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YUV-SSIM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217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25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2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YUV-SSIM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217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25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/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J115" s="267" t="inlineStr">
        <is>
          <t>%</t>
        </is>
      </c>
      <c r="L115" s="267" t="inlineStr">
        <is>
          <t>YUV-SSIM</t>
        </is>
      </c>
      <c r="N115" s="316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217" t="n"/>
      <c r="AB119" s="320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25" t="n"/>
    </row>
    <row r="121" ht="16.5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 ht="16.5" customHeight="1" s="270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J125" s="265" t="n"/>
      <c r="L125" s="265">
        <f>F125</f>
        <v/>
      </c>
      <c r="M125" s="313" t="n"/>
      <c r="N125" s="314" t="n"/>
      <c r="O125" s="195" t="n"/>
      <c r="P125" s="265" t="n"/>
    </row>
    <row r="126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J126" s="267" t="inlineStr">
        <is>
          <t>%</t>
        </is>
      </c>
      <c r="L126" s="267" t="inlineStr">
        <is>
          <t>YUV-SSIM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  <c r="AB129" s="320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217" t="n"/>
    </row>
    <row r="131" ht="16.5" customHeight="1" s="270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25" t="n"/>
    </row>
    <row r="132" ht="16.5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/>
    <row r="136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J137" s="267" t="inlineStr">
        <is>
          <t>%</t>
        </is>
      </c>
      <c r="L137" s="267" t="inlineStr">
        <is>
          <t>YUV-SSIM</t>
        </is>
      </c>
      <c r="N137" s="316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  <c r="AB139" s="320" t="n"/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 ht="16.5" customHeight="1" s="270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217" t="n"/>
    </row>
    <row r="142" ht="16.5" customHeight="1" s="270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25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2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J147" s="265" t="n"/>
      <c r="L147" s="265">
        <f>F147</f>
        <v/>
      </c>
      <c r="M147" s="313" t="n"/>
      <c r="N147" s="314" t="n"/>
      <c r="O147" s="195" t="n"/>
      <c r="P147" s="265" t="n"/>
    </row>
    <row r="148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J148" s="267" t="inlineStr">
        <is>
          <t>%</t>
        </is>
      </c>
      <c r="L148" s="267" t="inlineStr">
        <is>
          <t>YUV-SSIM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320" t="n"/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 ht="16.5" customHeight="1" s="270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 ht="16.5" customHeight="1" s="270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217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25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2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J159" s="267" t="inlineStr">
        <is>
          <t>%</t>
        </is>
      </c>
      <c r="L159" s="267" t="inlineStr">
        <is>
          <t>YUV-SSIM</t>
        </is>
      </c>
      <c r="N159" s="316" t="n"/>
      <c r="O159" s="85" t="n"/>
      <c r="P159" s="3" t="n"/>
      <c r="AB159" s="320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70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 ht="16.5" customHeight="1" s="270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217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25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2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J169" s="265" t="n"/>
      <c r="L169" s="265">
        <f>F169</f>
        <v/>
      </c>
      <c r="M169" s="313" t="n"/>
      <c r="N169" s="314" t="n"/>
      <c r="O169" s="195" t="n"/>
      <c r="P169" s="265" t="n"/>
      <c r="AB169" s="320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J170" s="267" t="inlineStr">
        <is>
          <t>%</t>
        </is>
      </c>
      <c r="L170" s="267" t="inlineStr">
        <is>
          <t>YUV-SSIM</t>
        </is>
      </c>
      <c r="N170" s="316" t="n"/>
      <c r="O170" s="85" t="n"/>
      <c r="P170" s="3" t="n"/>
    </row>
    <row r="171" ht="16.5" customHeight="1" s="270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70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217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25" t="n"/>
    </row>
    <row r="176" ht="16.2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2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>
      <c r="AB179" s="320" t="n"/>
    </row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J180" s="265" t="n"/>
      <c r="L180" s="265">
        <f>F180</f>
        <v/>
      </c>
      <c r="M180" s="313" t="n"/>
      <c r="N180" s="314" t="n"/>
      <c r="O180" s="195" t="n"/>
      <c r="P180" s="265" t="n"/>
    </row>
    <row r="181" ht="16.5" customHeight="1" s="270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J181" s="267" t="inlineStr">
        <is>
          <t>%</t>
        </is>
      </c>
      <c r="L181" s="267" t="inlineStr">
        <is>
          <t>YUV-SSIM</t>
        </is>
      </c>
      <c r="N181" s="316" t="n"/>
      <c r="O181" s="85" t="n"/>
      <c r="P181" s="3" t="n"/>
    </row>
    <row r="182" ht="16.5" customHeight="1" s="270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217" t="n"/>
    </row>
    <row r="186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25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</row>
    <row r="188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</row>
    <row r="189" ht="16.5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  <c r="AB189" s="320" t="n"/>
    </row>
    <row r="190" ht="16.2" customHeight="1" s="270" thickBot="1"/>
    <row r="191" ht="16.5" customHeight="1" s="270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J191" s="265" t="n"/>
      <c r="L191" s="265">
        <f>F191</f>
        <v/>
      </c>
      <c r="M191" s="313" t="n"/>
      <c r="N191" s="314" t="n"/>
      <c r="O191" s="195" t="n"/>
      <c r="P191" s="265" t="n"/>
    </row>
    <row r="192" ht="16.5" customHeight="1" s="270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J192" s="267" t="inlineStr">
        <is>
          <t>%</t>
        </is>
      </c>
      <c r="L192" s="267" t="inlineStr">
        <is>
          <t>YUV-SSIM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217" t="n"/>
      <c r="AB196" s="320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25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 ht="16.5" customHeight="1" s="270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  <c r="AB199" s="320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5" customHeight="1" s="270" thickBot="1"/>
    <row r="202" ht="16.5" customHeight="1" s="270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J203" s="267" t="inlineStr">
        <is>
          <t>%</t>
        </is>
      </c>
      <c r="L203" s="267" t="inlineStr">
        <is>
          <t>YUV-SSIM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  <c r="AB206" s="320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217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25" t="n"/>
    </row>
    <row r="209" ht="16.5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  <c r="AB209" s="320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5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5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J214" s="267" t="inlineStr">
        <is>
          <t>%</t>
        </is>
      </c>
      <c r="L214" s="267" t="inlineStr">
        <is>
          <t>YUV-SSIM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  <c r="Q216" s="315" t="n"/>
      <c r="R216" s="9" t="n"/>
      <c r="S216" s="9" t="n"/>
      <c r="T216" s="9" t="n"/>
      <c r="U216" s="9" t="n"/>
      <c r="V216" s="319" t="n"/>
      <c r="X216" s="6" t="n"/>
      <c r="Y216" s="6" t="n"/>
      <c r="Z216" s="81" t="n"/>
      <c r="AB216" s="320" t="n"/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  <c r="Q217" s="315" t="n"/>
      <c r="R217" s="9" t="n"/>
      <c r="S217" s="9" t="n"/>
      <c r="T217" s="9" t="n"/>
      <c r="U217" s="9" t="n"/>
      <c r="V217" s="319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217" t="n"/>
      <c r="Q218" s="315" t="n"/>
      <c r="R218" s="9" t="n"/>
      <c r="S218" s="9" t="n"/>
      <c r="T218" s="9" t="n"/>
      <c r="U218" s="9" t="n"/>
      <c r="V218" s="319" t="n"/>
      <c r="X218" s="6" t="n"/>
      <c r="Y218" s="6" t="n"/>
      <c r="Z218" s="81" t="n"/>
    </row>
    <row r="219" ht="16.5" customHeight="1" s="270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25" t="n"/>
      <c r="Q219" s="315" t="n"/>
      <c r="R219" s="9" t="n"/>
      <c r="S219" s="9" t="n"/>
      <c r="T219" s="9" t="n"/>
      <c r="U219" s="9" t="n"/>
      <c r="V219" s="319" t="n"/>
      <c r="X219" s="6" t="n"/>
      <c r="Y219" s="6" t="n"/>
      <c r="Z219" s="81" t="n"/>
      <c r="AB219" s="320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  <c r="Q220" s="315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70">
      <c r="B221" s="109" t="n"/>
      <c r="C221" s="110" t="n"/>
      <c r="D221" s="322" t="n"/>
      <c r="F221" s="109" t="n"/>
      <c r="G221" s="110" t="n"/>
      <c r="H221" s="322" t="n"/>
      <c r="I221" s="9" t="n"/>
      <c r="J221" s="98">
        <f>MIN(D216:D220,H216:H220)</f>
        <v/>
      </c>
      <c r="L221" s="99" t="n"/>
      <c r="M221" s="100" t="n"/>
      <c r="N221" s="101" t="n"/>
      <c r="O221" s="315" t="n"/>
      <c r="P221" s="265" t="n"/>
      <c r="Q221" s="315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J225" s="267" t="inlineStr">
        <is>
          <t>%</t>
        </is>
      </c>
      <c r="L225" s="267" t="inlineStr">
        <is>
          <t>YUV-SSIM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217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25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L4:N4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B170:C170"/>
    <mergeCell ref="L81:N81"/>
    <mergeCell ref="F37:H37"/>
    <mergeCell ref="B82:C82"/>
    <mergeCell ref="B148:C148"/>
    <mergeCell ref="F203:G203"/>
    <mergeCell ref="F181:G181"/>
    <mergeCell ref="L148:N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priority="1177" operator="lessThan" dxfId="1" stopIfTrue="1">
      <formula>-0.01</formula>
    </cfRule>
    <cfRule type="cellIs" priority="1178" operator="greaterThan" dxfId="0" stopIfTrue="1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priority="1172" operator="greaterThan" dxfId="1">
      <formula>0.03</formula>
    </cfRule>
    <cfRule type="cellIs" priority="1173" operator="lessThan" dxfId="0" stopIfTrue="1">
      <formula>-0.03</formula>
    </cfRule>
  </conditionalFormatting>
  <conditionalFormatting sqref="AB22">
    <cfRule type="cellIs" priority="1170" operator="lessThan" dxfId="1">
      <formula>-0.03</formula>
    </cfRule>
    <cfRule type="cellIs" priority="1171" operator="greaterThan" dxfId="0" stopIfTrue="1">
      <formula>0.03</formula>
    </cfRule>
  </conditionalFormatting>
  <conditionalFormatting sqref="Z18">
    <cfRule type="cellIs" priority="1168" operator="lessThan" dxfId="1" stopIfTrue="1">
      <formula>-0.01</formula>
    </cfRule>
    <cfRule type="cellIs" priority="1169" operator="greaterThan" dxfId="0" stopIfTrue="1">
      <formula>0.01</formula>
    </cfRule>
  </conditionalFormatting>
  <conditionalFormatting sqref="Z19">
    <cfRule type="cellIs" priority="1166" operator="lessThan" dxfId="1" stopIfTrue="1">
      <formula>-0.01</formula>
    </cfRule>
    <cfRule type="cellIs" priority="1167" operator="greaterThan" dxfId="0" stopIfTrue="1">
      <formula>0.01</formula>
    </cfRule>
  </conditionalFormatting>
  <conditionalFormatting sqref="Z20:Z21">
    <cfRule type="cellIs" priority="1164" operator="lessThan" dxfId="1" stopIfTrue="1">
      <formula>-0.01</formula>
    </cfRule>
    <cfRule type="cellIs" priority="1165" operator="greaterThan" dxfId="0" stopIfTrue="1">
      <formula>0.01</formula>
    </cfRule>
  </conditionalFormatting>
  <conditionalFormatting sqref="Z22">
    <cfRule type="cellIs" priority="1162" operator="lessThan" dxfId="1" stopIfTrue="1">
      <formula>-0.01</formula>
    </cfRule>
    <cfRule type="cellIs" priority="1163" operator="greaterThan" dxfId="0" stopIfTrue="1">
      <formula>0.01</formula>
    </cfRule>
  </conditionalFormatting>
  <conditionalFormatting sqref="V18:V22">
    <cfRule type="cellIs" priority="1160" operator="greaterThan" dxfId="1">
      <formula>0.03</formula>
    </cfRule>
    <cfRule type="cellIs" priority="1161" operator="lessThan" dxfId="0" stopIfTrue="1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priority="1154" operator="lessThan" dxfId="1" stopIfTrue="1">
      <formula>-0.01</formula>
    </cfRule>
    <cfRule type="cellIs" priority="1155" operator="greaterThan" dxfId="0" stopIfTrue="1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priority="1150" operator="greaterThan" dxfId="1">
      <formula>0.03</formula>
    </cfRule>
    <cfRule type="cellIs" priority="1151" operator="lessThan" dxfId="0" stopIfTrue="1">
      <formula>-0.03</formula>
    </cfRule>
  </conditionalFormatting>
  <conditionalFormatting sqref="AB33">
    <cfRule type="cellIs" priority="1148" operator="lessThan" dxfId="1">
      <formula>-0.03</formula>
    </cfRule>
    <cfRule type="cellIs" priority="1149" operator="greaterThan" dxfId="0" stopIfTrue="1">
      <formula>0.03</formula>
    </cfRule>
  </conditionalFormatting>
  <conditionalFormatting sqref="Z29">
    <cfRule type="cellIs" priority="1146" operator="lessThan" dxfId="1" stopIfTrue="1">
      <formula>-0.01</formula>
    </cfRule>
    <cfRule type="cellIs" priority="1147" operator="greaterThan" dxfId="0" stopIfTrue="1">
      <formula>0.01</formula>
    </cfRule>
  </conditionalFormatting>
  <conditionalFormatting sqref="Z30">
    <cfRule type="cellIs" priority="1144" operator="lessThan" dxfId="1" stopIfTrue="1">
      <formula>-0.01</formula>
    </cfRule>
    <cfRule type="cellIs" priority="1145" operator="greaterThan" dxfId="0" stopIfTrue="1">
      <formula>0.01</formula>
    </cfRule>
  </conditionalFormatting>
  <conditionalFormatting sqref="Z31:Z32">
    <cfRule type="cellIs" priority="1142" operator="lessThan" dxfId="1" stopIfTrue="1">
      <formula>-0.01</formula>
    </cfRule>
    <cfRule type="cellIs" priority="1143" operator="greaterThan" dxfId="0" stopIfTrue="1">
      <formula>0.01</formula>
    </cfRule>
  </conditionalFormatting>
  <conditionalFormatting sqref="Z33">
    <cfRule type="cellIs" priority="1140" operator="lessThan" dxfId="1" stopIfTrue="1">
      <formula>-0.01</formula>
    </cfRule>
    <cfRule type="cellIs" priority="1141" operator="greaterThan" dxfId="0" stopIfTrue="1">
      <formula>0.01</formula>
    </cfRule>
  </conditionalFormatting>
  <conditionalFormatting sqref="V29:V33">
    <cfRule type="cellIs" priority="1138" operator="greaterThan" dxfId="1">
      <formula>0.03</formula>
    </cfRule>
    <cfRule type="cellIs" priority="1139" operator="lessThan" dxfId="0" stopIfTrue="1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priority="1132" operator="lessThan" dxfId="1" stopIfTrue="1">
      <formula>-0.01</formula>
    </cfRule>
    <cfRule type="cellIs" priority="1133" operator="greaterThan" dxfId="0" stopIfTrue="1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priority="1128" operator="greaterThan" dxfId="1">
      <formula>0.03</formula>
    </cfRule>
    <cfRule type="cellIs" priority="1129" operator="lessThan" dxfId="0" stopIfTrue="1">
      <formula>-0.03</formula>
    </cfRule>
  </conditionalFormatting>
  <conditionalFormatting sqref="AB44">
    <cfRule type="cellIs" priority="1126" operator="lessThan" dxfId="1">
      <formula>-0.03</formula>
    </cfRule>
    <cfRule type="cellIs" priority="1127" operator="greaterThan" dxfId="0" stopIfTrue="1">
      <formula>0.03</formula>
    </cfRule>
  </conditionalFormatting>
  <conditionalFormatting sqref="Z40">
    <cfRule type="cellIs" priority="1124" operator="lessThan" dxfId="1" stopIfTrue="1">
      <formula>-0.01</formula>
    </cfRule>
    <cfRule type="cellIs" priority="1125" operator="greaterThan" dxfId="0" stopIfTrue="1">
      <formula>0.01</formula>
    </cfRule>
  </conditionalFormatting>
  <conditionalFormatting sqref="Z41">
    <cfRule type="cellIs" priority="1122" operator="lessThan" dxfId="1" stopIfTrue="1">
      <formula>-0.01</formula>
    </cfRule>
    <cfRule type="cellIs" priority="1123" operator="greaterThan" dxfId="0" stopIfTrue="1">
      <formula>0.01</formula>
    </cfRule>
  </conditionalFormatting>
  <conditionalFormatting sqref="Z42:Z43">
    <cfRule type="cellIs" priority="1120" operator="lessThan" dxfId="1" stopIfTrue="1">
      <formula>-0.01</formula>
    </cfRule>
    <cfRule type="cellIs" priority="1121" operator="greaterThan" dxfId="0" stopIfTrue="1">
      <formula>0.01</formula>
    </cfRule>
  </conditionalFormatting>
  <conditionalFormatting sqref="Z44">
    <cfRule type="cellIs" priority="1118" operator="lessThan" dxfId="1" stopIfTrue="1">
      <formula>-0.01</formula>
    </cfRule>
    <cfRule type="cellIs" priority="1119" operator="greaterThan" dxfId="0" stopIfTrue="1">
      <formula>0.01</formula>
    </cfRule>
  </conditionalFormatting>
  <conditionalFormatting sqref="V40:V44">
    <cfRule type="cellIs" priority="1116" operator="greaterThan" dxfId="1">
      <formula>0.03</formula>
    </cfRule>
    <cfRule type="cellIs" priority="1117" operator="lessThan" dxfId="0" stopIfTrue="1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priority="1110" operator="lessThan" dxfId="1" stopIfTrue="1">
      <formula>-0.01</formula>
    </cfRule>
    <cfRule type="cellIs" priority="1111" operator="greaterThan" dxfId="0" stopIfTrue="1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priority="1106" operator="greaterThan" dxfId="1">
      <formula>0.03</formula>
    </cfRule>
    <cfRule type="cellIs" priority="1107" operator="lessThan" dxfId="0" stopIfTrue="1">
      <formula>-0.03</formula>
    </cfRule>
  </conditionalFormatting>
  <conditionalFormatting sqref="AB55">
    <cfRule type="cellIs" priority="1104" operator="lessThan" dxfId="1">
      <formula>-0.03</formula>
    </cfRule>
    <cfRule type="cellIs" priority="1105" operator="greaterThan" dxfId="0" stopIfTrue="1">
      <formula>0.03</formula>
    </cfRule>
  </conditionalFormatting>
  <conditionalFormatting sqref="Z51">
    <cfRule type="cellIs" priority="1102" operator="lessThan" dxfId="1" stopIfTrue="1">
      <formula>-0.01</formula>
    </cfRule>
    <cfRule type="cellIs" priority="1103" operator="greaterThan" dxfId="0" stopIfTrue="1">
      <formula>0.01</formula>
    </cfRule>
  </conditionalFormatting>
  <conditionalFormatting sqref="Z52">
    <cfRule type="cellIs" priority="1100" operator="lessThan" dxfId="1" stopIfTrue="1">
      <formula>-0.01</formula>
    </cfRule>
    <cfRule type="cellIs" priority="1101" operator="greaterThan" dxfId="0" stopIfTrue="1">
      <formula>0.01</formula>
    </cfRule>
  </conditionalFormatting>
  <conditionalFormatting sqref="Z53:Z54">
    <cfRule type="cellIs" priority="1098" operator="lessThan" dxfId="1" stopIfTrue="1">
      <formula>-0.01</formula>
    </cfRule>
    <cfRule type="cellIs" priority="1099" operator="greaterThan" dxfId="0" stopIfTrue="1">
      <formula>0.01</formula>
    </cfRule>
  </conditionalFormatting>
  <conditionalFormatting sqref="Z55">
    <cfRule type="cellIs" priority="1096" operator="lessThan" dxfId="1" stopIfTrue="1">
      <formula>-0.01</formula>
    </cfRule>
    <cfRule type="cellIs" priority="1097" operator="greaterThan" dxfId="0" stopIfTrue="1">
      <formula>0.01</formula>
    </cfRule>
  </conditionalFormatting>
  <conditionalFormatting sqref="V51:V55">
    <cfRule type="cellIs" priority="1094" operator="greaterThan" dxfId="1">
      <formula>0.03</formula>
    </cfRule>
    <cfRule type="cellIs" priority="1095" operator="lessThan" dxfId="0" stopIfTrue="1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priority="1084" operator="greaterThan" dxfId="1">
      <formula>0.03</formula>
    </cfRule>
    <cfRule type="cellIs" priority="1085" operator="lessThan" dxfId="0" stopIfTrue="1">
      <formula>-0.03</formula>
    </cfRule>
  </conditionalFormatting>
  <conditionalFormatting sqref="AB66">
    <cfRule type="cellIs" priority="1082" operator="lessThan" dxfId="1">
      <formula>-0.03</formula>
    </cfRule>
    <cfRule type="cellIs" priority="1083" operator="greaterThan" dxfId="0" stopIfTrue="1">
      <formula>0.03</formula>
    </cfRule>
  </conditionalFormatting>
  <conditionalFormatting sqref="Z62">
    <cfRule type="cellIs" priority="1080" operator="lessThan" dxfId="1" stopIfTrue="1">
      <formula>-0.01</formula>
    </cfRule>
    <cfRule type="cellIs" priority="1081" operator="greaterThan" dxfId="0" stopIfTrue="1">
      <formula>0.01</formula>
    </cfRule>
  </conditionalFormatting>
  <conditionalFormatting sqref="Z63">
    <cfRule type="cellIs" priority="1078" operator="lessThan" dxfId="1" stopIfTrue="1">
      <formula>-0.01</formula>
    </cfRule>
    <cfRule type="cellIs" priority="1079" operator="greaterThan" dxfId="0" stopIfTrue="1">
      <formula>0.01</formula>
    </cfRule>
  </conditionalFormatting>
  <conditionalFormatting sqref="Z64:Z65">
    <cfRule type="cellIs" priority="1076" operator="lessThan" dxfId="1" stopIfTrue="1">
      <formula>-0.01</formula>
    </cfRule>
    <cfRule type="cellIs" priority="1077" operator="greaterThan" dxfId="0" stopIfTrue="1">
      <formula>0.01</formula>
    </cfRule>
  </conditionalFormatting>
  <conditionalFormatting sqref="Z66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V62:V66">
    <cfRule type="cellIs" priority="1072" operator="greaterThan" dxfId="1">
      <formula>0.03</formula>
    </cfRule>
    <cfRule type="cellIs" priority="1073" operator="lessThan" dxfId="0" stopIfTrue="1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priority="1062" operator="greaterThan" dxfId="1">
      <formula>0.03</formula>
    </cfRule>
    <cfRule type="cellIs" priority="1063" operator="lessThan" dxfId="0" stopIfTrue="1">
      <formula>-0.03</formula>
    </cfRule>
  </conditionalFormatting>
  <conditionalFormatting sqref="AB77">
    <cfRule type="cellIs" priority="1060" operator="lessThan" dxfId="1">
      <formula>-0.03</formula>
    </cfRule>
    <cfRule type="cellIs" priority="1061" operator="greaterThan" dxfId="0" stopIfTrue="1">
      <formula>0.03</formula>
    </cfRule>
  </conditionalFormatting>
  <conditionalFormatting sqref="Z73">
    <cfRule type="cellIs" priority="1058" operator="lessThan" dxfId="1" stopIfTrue="1">
      <formula>-0.01</formula>
    </cfRule>
    <cfRule type="cellIs" priority="1059" operator="greaterThan" dxfId="0" stopIfTrue="1">
      <formula>0.01</formula>
    </cfRule>
  </conditionalFormatting>
  <conditionalFormatting sqref="Z74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Z75:Z76">
    <cfRule type="cellIs" priority="1054" operator="lessThan" dxfId="1" stopIfTrue="1">
      <formula>-0.01</formula>
    </cfRule>
    <cfRule type="cellIs" priority="1055" operator="greaterThan" dxfId="0" stopIfTrue="1">
      <formula>0.01</formula>
    </cfRule>
  </conditionalFormatting>
  <conditionalFormatting sqref="Z77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V73:V77">
    <cfRule type="cellIs" priority="1050" operator="greaterThan" dxfId="1">
      <formula>0.03</formula>
    </cfRule>
    <cfRule type="cellIs" priority="1051" operator="lessThan" dxfId="0" stopIfTrue="1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priority="987" operator="greaterThan" dxfId="1">
      <formula>0.03</formula>
    </cfRule>
    <cfRule type="cellIs" priority="988" operator="lessThan" dxfId="0" stopIfTrue="1">
      <formula>-0.03</formula>
    </cfRule>
  </conditionalFormatting>
  <conditionalFormatting sqref="AB119">
    <cfRule type="cellIs" priority="985" operator="lessThan" dxfId="1">
      <formula>-0.03</formula>
    </cfRule>
    <cfRule type="cellIs" priority="986" operator="greaterThan" dxfId="0" stopIfTrue="1">
      <formula>0.03</formula>
    </cfRule>
  </conditionalFormatting>
  <conditionalFormatting sqref="AB126">
    <cfRule type="cellIs" priority="983" operator="greaterThan" dxfId="1">
      <formula>0.03</formula>
    </cfRule>
    <cfRule type="cellIs" priority="984" operator="lessThan" dxfId="0" stopIfTrue="1">
      <formula>-0.03</formula>
    </cfRule>
  </conditionalFormatting>
  <conditionalFormatting sqref="AB129">
    <cfRule type="cellIs" priority="981" operator="lessThan" dxfId="1">
      <formula>-0.03</formula>
    </cfRule>
    <cfRule type="cellIs" priority="982" operator="greaterThan" dxfId="0" stopIfTrue="1">
      <formula>0.03</formula>
    </cfRule>
  </conditionalFormatting>
  <conditionalFormatting sqref="AB136">
    <cfRule type="cellIs" priority="979" operator="greaterThan" dxfId="1">
      <formula>0.03</formula>
    </cfRule>
    <cfRule type="cellIs" priority="980" operator="lessThan" dxfId="0" stopIfTrue="1">
      <formula>-0.03</formula>
    </cfRule>
  </conditionalFormatting>
  <conditionalFormatting sqref="AB139">
    <cfRule type="cellIs" priority="977" operator="lessThan" dxfId="1">
      <formula>-0.03</formula>
    </cfRule>
    <cfRule type="cellIs" priority="978" operator="greaterThan" dxfId="0" stopIfTrue="1">
      <formula>0.03</formula>
    </cfRule>
  </conditionalFormatting>
  <conditionalFormatting sqref="AB146">
    <cfRule type="cellIs" priority="975" operator="greaterThan" dxfId="1">
      <formula>0.03</formula>
    </cfRule>
    <cfRule type="cellIs" priority="976" operator="lessThan" dxfId="0" stopIfTrue="1">
      <formula>-0.03</formula>
    </cfRule>
  </conditionalFormatting>
  <conditionalFormatting sqref="AB149">
    <cfRule type="cellIs" priority="973" operator="lessThan" dxfId="1">
      <formula>-0.03</formula>
    </cfRule>
    <cfRule type="cellIs" priority="974" operator="greaterThan" dxfId="0" stopIfTrue="1">
      <formula>0.03</formula>
    </cfRule>
  </conditionalFormatting>
  <conditionalFormatting sqref="AB156">
    <cfRule type="cellIs" priority="971" operator="greaterThan" dxfId="1">
      <formula>0.03</formula>
    </cfRule>
    <cfRule type="cellIs" priority="972" operator="lessThan" dxfId="0" stopIfTrue="1">
      <formula>-0.03</formula>
    </cfRule>
  </conditionalFormatting>
  <conditionalFormatting sqref="AB159">
    <cfRule type="cellIs" priority="969" operator="lessThan" dxfId="1">
      <formula>-0.03</formula>
    </cfRule>
    <cfRule type="cellIs" priority="970" operator="greaterThan" dxfId="0" stopIfTrue="1">
      <formula>0.03</formula>
    </cfRule>
  </conditionalFormatting>
  <conditionalFormatting sqref="AB166">
    <cfRule type="cellIs" priority="967" operator="greaterThan" dxfId="1">
      <formula>0.03</formula>
    </cfRule>
    <cfRule type="cellIs" priority="968" operator="lessThan" dxfId="0" stopIfTrue="1">
      <formula>-0.03</formula>
    </cfRule>
  </conditionalFormatting>
  <conditionalFormatting sqref="AB169">
    <cfRule type="cellIs" priority="965" operator="lessThan" dxfId="1">
      <formula>-0.03</formula>
    </cfRule>
    <cfRule type="cellIs" priority="966" operator="greaterThan" dxfId="0" stopIfTrue="1">
      <formula>0.03</formula>
    </cfRule>
  </conditionalFormatting>
  <conditionalFormatting sqref="AB176">
    <cfRule type="cellIs" priority="963" operator="greaterThan" dxfId="1">
      <formula>0.03</formula>
    </cfRule>
    <cfRule type="cellIs" priority="964" operator="lessThan" dxfId="0" stopIfTrue="1">
      <formula>-0.03</formula>
    </cfRule>
  </conditionalFormatting>
  <conditionalFormatting sqref="AB179">
    <cfRule type="cellIs" priority="961" operator="lessThan" dxfId="1">
      <formula>-0.03</formula>
    </cfRule>
    <cfRule type="cellIs" priority="962" operator="greaterThan" dxfId="0" stopIfTrue="1">
      <formula>0.03</formula>
    </cfRule>
  </conditionalFormatting>
  <conditionalFormatting sqref="AB186">
    <cfRule type="cellIs" priority="959" operator="greaterThan" dxfId="1">
      <formula>0.03</formula>
    </cfRule>
    <cfRule type="cellIs" priority="960" operator="lessThan" dxfId="0" stopIfTrue="1">
      <formula>-0.03</formula>
    </cfRule>
  </conditionalFormatting>
  <conditionalFormatting sqref="AB189">
    <cfRule type="cellIs" priority="957" operator="lessThan" dxfId="1">
      <formula>-0.03</formula>
    </cfRule>
    <cfRule type="cellIs" priority="958" operator="greaterThan" dxfId="0" stopIfTrue="1">
      <formula>0.03</formula>
    </cfRule>
  </conditionalFormatting>
  <conditionalFormatting sqref="AB196">
    <cfRule type="cellIs" priority="955" operator="greaterThan" dxfId="1">
      <formula>0.03</formula>
    </cfRule>
    <cfRule type="cellIs" priority="956" operator="lessThan" dxfId="0" stopIfTrue="1">
      <formula>-0.03</formula>
    </cfRule>
  </conditionalFormatting>
  <conditionalFormatting sqref="AB199">
    <cfRule type="cellIs" priority="953" operator="lessThan" dxfId="1">
      <formula>-0.03</formula>
    </cfRule>
    <cfRule type="cellIs" priority="954" operator="greaterThan" dxfId="0" stopIfTrue="1">
      <formula>0.03</formula>
    </cfRule>
  </conditionalFormatting>
  <conditionalFormatting sqref="AB206">
    <cfRule type="cellIs" priority="951" operator="greaterThan" dxfId="1">
      <formula>0.03</formula>
    </cfRule>
    <cfRule type="cellIs" priority="952" operator="lessThan" dxfId="0" stopIfTrue="1">
      <formula>-0.03</formula>
    </cfRule>
  </conditionalFormatting>
  <conditionalFormatting sqref="AB209">
    <cfRule type="cellIs" priority="949" operator="lessThan" dxfId="1">
      <formula>-0.03</formula>
    </cfRule>
    <cfRule type="cellIs" priority="950" operator="greaterThan" dxfId="0" stopIfTrue="1">
      <formula>0.03</formula>
    </cfRule>
  </conditionalFormatting>
  <conditionalFormatting sqref="Z220:Z22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priority="941" operator="greaterThan" dxfId="1">
      <formula>0.03</formula>
    </cfRule>
    <cfRule type="cellIs" priority="942" operator="lessThan" dxfId="0" stopIfTrue="1">
      <formula>-0.03</formula>
    </cfRule>
  </conditionalFormatting>
  <conditionalFormatting sqref="AB219">
    <cfRule type="cellIs" priority="939" operator="lessThan" dxfId="1">
      <formula>-0.03</formula>
    </cfRule>
    <cfRule type="cellIs" priority="940" operator="greaterThan" dxfId="0" stopIfTrue="1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priority="936" operator="lessThan" dxfId="1" stopIfTrue="1">
      <formula>-0.01</formula>
    </cfRule>
    <cfRule type="cellIs" priority="937" operator="greaterThan" dxfId="0" stopIfTrue="1">
      <formula>0.01</formula>
    </cfRule>
  </conditionalFormatting>
  <conditionalFormatting sqref="Z217">
    <cfRule type="cellIs" priority="934" operator="lessThan" dxfId="1" stopIfTrue="1">
      <formula>-0.01</formula>
    </cfRule>
    <cfRule type="cellIs" priority="935" operator="greaterThan" dxfId="0" stopIfTrue="1">
      <formula>0.01</formula>
    </cfRule>
  </conditionalFormatting>
  <conditionalFormatting sqref="Z218">
    <cfRule type="cellIs" priority="932" operator="lessThan" dxfId="1" stopIfTrue="1">
      <formula>-0.01</formula>
    </cfRule>
    <cfRule type="cellIs" priority="933" operator="greaterThan" dxfId="0" stopIfTrue="1">
      <formula>0.01</formula>
    </cfRule>
  </conditionalFormatting>
  <conditionalFormatting sqref="Z219">
    <cfRule type="cellIs" priority="930" operator="lessThan" dxfId="1" stopIfTrue="1">
      <formula>-0.01</formula>
    </cfRule>
    <cfRule type="cellIs" priority="931" operator="greaterThan" dxfId="0" stopIfTrue="1">
      <formula>0.01</formula>
    </cfRule>
  </conditionalFormatting>
  <conditionalFormatting sqref="V216:V219">
    <cfRule type="cellIs" priority="928" operator="greaterThan" dxfId="1">
      <formula>0.03</formula>
    </cfRule>
    <cfRule type="cellIs" priority="929" operator="lessThan" dxfId="0" stopIfTrue="1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AB84">
    <cfRule type="cellIs" priority="645" operator="greaterThan" dxfId="1">
      <formula>0.03</formula>
    </cfRule>
    <cfRule type="cellIs" priority="646" operator="lessThan" dxfId="0" stopIfTrue="1">
      <formula>-0.03</formula>
    </cfRule>
  </conditionalFormatting>
  <conditionalFormatting sqref="AB88">
    <cfRule type="cellIs" priority="643" operator="lessThan" dxfId="1">
      <formula>-0.03</formula>
    </cfRule>
    <cfRule type="cellIs" priority="644" operator="greaterThan" dxfId="0" stopIfTrue="1">
      <formula>0.03</formula>
    </cfRule>
  </conditionalFormatting>
  <conditionalFormatting sqref="Z84">
    <cfRule type="cellIs" priority="641" operator="lessThan" dxfId="1" stopIfTrue="1">
      <formula>-0.01</formula>
    </cfRule>
    <cfRule type="cellIs" priority="642" operator="greaterThan" dxfId="0" stopIfTrue="1">
      <formula>0.01</formula>
    </cfRule>
  </conditionalFormatting>
  <conditionalFormatting sqref="Z85">
    <cfRule type="cellIs" priority="639" operator="lessThan" dxfId="1" stopIfTrue="1">
      <formula>-0.01</formula>
    </cfRule>
    <cfRule type="cellIs" priority="640" operator="greaterThan" dxfId="0" stopIfTrue="1">
      <formula>0.01</formula>
    </cfRule>
  </conditionalFormatting>
  <conditionalFormatting sqref="Z86:Z8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Z88">
    <cfRule type="cellIs" priority="635" operator="lessThan" dxfId="1" stopIfTrue="1">
      <formula>-0.01</formula>
    </cfRule>
    <cfRule type="cellIs" priority="636" operator="greaterThan" dxfId="0" stopIfTrue="1">
      <formula>0.01</formula>
    </cfRule>
  </conditionalFormatting>
  <conditionalFormatting sqref="V84:V88">
    <cfRule type="cellIs" priority="633" operator="greaterThan" dxfId="1">
      <formula>0.03</formula>
    </cfRule>
    <cfRule type="cellIs" priority="634" operator="lessThan" dxfId="0" stopIfTrue="1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priority="597" operator="lessThan" dxfId="1" stopIfTrue="1">
      <formula>-0.01</formula>
    </cfRule>
    <cfRule type="cellIs" priority="598" operator="greaterThan" dxfId="0" stopIfTrue="1">
      <formula>0.01</formula>
    </cfRule>
  </conditionalFormatting>
  <conditionalFormatting sqref="AB95">
    <cfRule type="cellIs" priority="594" operator="greaterThan" dxfId="1">
      <formula>0.03</formula>
    </cfRule>
    <cfRule type="cellIs" priority="595" operator="lessThan" dxfId="0" stopIfTrue="1">
      <formula>-0.03</formula>
    </cfRule>
  </conditionalFormatting>
  <conditionalFormatting sqref="AB99">
    <cfRule type="cellIs" priority="592" operator="lessThan" dxfId="1">
      <formula>-0.03</formula>
    </cfRule>
    <cfRule type="cellIs" priority="593" operator="greaterThan" dxfId="0" stopIfTrue="1">
      <formula>0.03</formula>
    </cfRule>
  </conditionalFormatting>
  <conditionalFormatting sqref="Z95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Z96">
    <cfRule type="cellIs" priority="588" operator="lessThan" dxfId="1" stopIfTrue="1">
      <formula>-0.01</formula>
    </cfRule>
    <cfRule type="cellIs" priority="589" operator="greaterThan" dxfId="0" stopIfTrue="1">
      <formula>0.01</formula>
    </cfRule>
  </conditionalFormatting>
  <conditionalFormatting sqref="Z97:Z98">
    <cfRule type="cellIs" priority="586" operator="lessThan" dxfId="1" stopIfTrue="1">
      <formula>-0.01</formula>
    </cfRule>
    <cfRule type="cellIs" priority="587" operator="greaterThan" dxfId="0" stopIfTrue="1">
      <formula>0.01</formula>
    </cfRule>
  </conditionalFormatting>
  <conditionalFormatting sqref="Z99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V95:V99">
    <cfRule type="cellIs" priority="582" operator="greaterThan" dxfId="1">
      <formula>0.03</formula>
    </cfRule>
    <cfRule type="cellIs" priority="583" operator="lessThan" dxfId="0" stopIfTrue="1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priority="546" operator="lessThan" dxfId="1" stopIfTrue="1">
      <formula>-0.01</formula>
    </cfRule>
    <cfRule type="cellIs" priority="547" operator="greaterThan" dxfId="0" stopIfTrue="1">
      <formula>0.01</formula>
    </cfRule>
  </conditionalFormatting>
  <conditionalFormatting sqref="AB106">
    <cfRule type="cellIs" priority="543" operator="greaterThan" dxfId="1">
      <formula>0.03</formula>
    </cfRule>
    <cfRule type="cellIs" priority="544" operator="lessThan" dxfId="0" stopIfTrue="1">
      <formula>-0.03</formula>
    </cfRule>
  </conditionalFormatting>
  <conditionalFormatting sqref="AB110">
    <cfRule type="cellIs" priority="541" operator="lessThan" dxfId="1">
      <formula>-0.03</formula>
    </cfRule>
    <cfRule type="cellIs" priority="542" operator="greaterThan" dxfId="0" stopIfTrue="1">
      <formula>0.03</formula>
    </cfRule>
  </conditionalFormatting>
  <conditionalFormatting sqref="Z106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Z107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Z108:Z109">
    <cfRule type="cellIs" priority="535" operator="lessThan" dxfId="1" stopIfTrue="1">
      <formula>-0.01</formula>
    </cfRule>
    <cfRule type="cellIs" priority="536" operator="greaterThan" dxfId="0" stopIfTrue="1">
      <formula>0.01</formula>
    </cfRule>
  </conditionalFormatting>
  <conditionalFormatting sqref="Z110">
    <cfRule type="cellIs" priority="533" operator="lessThan" dxfId="1" stopIfTrue="1">
      <formula>-0.01</formula>
    </cfRule>
    <cfRule type="cellIs" priority="534" operator="greaterThan" dxfId="0" stopIfTrue="1">
      <formula>0.01</formula>
    </cfRule>
  </conditionalFormatting>
  <conditionalFormatting sqref="V106:V110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priority="422" operator="greaterThan" dxfId="1">
      <formula>0.03</formula>
    </cfRule>
    <cfRule type="cellIs" priority="423" operator="lessThan" dxfId="0" stopIfTrue="1">
      <formula>-0.03</formula>
    </cfRule>
  </conditionalFormatting>
  <conditionalFormatting sqref="AB11">
    <cfRule type="cellIs" priority="420" operator="lessThan" dxfId="1">
      <formula>-0.03</formula>
    </cfRule>
    <cfRule type="cellIs" priority="421" operator="greaterThan" dxfId="0" stopIfTrue="1">
      <formula>0.03</formula>
    </cfRule>
  </conditionalFormatting>
  <conditionalFormatting sqref="Z7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Z8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Z9:Z10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Z11">
    <cfRule type="cellIs" priority="412" operator="lessThan" dxfId="1" stopIfTrue="1">
      <formula>-0.01</formula>
    </cfRule>
    <cfRule type="cellIs" priority="413" operator="greaterThan" dxfId="0" stopIfTrue="1">
      <formula>0.01</formula>
    </cfRule>
  </conditionalFormatting>
  <conditionalFormatting sqref="V7:V1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priority="364" operator="greaterThan" dxfId="1">
      <formula>0.03</formula>
    </cfRule>
    <cfRule type="cellIs" priority="365" operator="lessThan" dxfId="0" stopIfTrue="1">
      <formula>-0.03</formula>
    </cfRule>
  </conditionalFormatting>
  <conditionalFormatting sqref="N12">
    <cfRule type="cellIs" priority="362" operator="lessThan" dxfId="1" stopIfTrue="1">
      <formula>-0.01</formula>
    </cfRule>
    <cfRule type="cellIs" priority="363" operator="greaterThan" dxfId="0" stopIfTrue="1">
      <formula>0.01</formula>
    </cfRule>
  </conditionalFormatting>
  <conditionalFormatting sqref="N7">
    <cfRule type="cellIs" priority="360" operator="lessThan" dxfId="1" stopIfTrue="1">
      <formula>-0.01</formula>
    </cfRule>
    <cfRule type="cellIs" priority="361" operator="greaterThan" dxfId="0" stopIfTrue="1">
      <formula>0.01</formula>
    </cfRule>
  </conditionalFormatting>
  <conditionalFormatting sqref="N8">
    <cfRule type="cellIs" priority="358" operator="lessThan" dxfId="1" stopIfTrue="1">
      <formula>-0.01</formula>
    </cfRule>
    <cfRule type="cellIs" priority="359" operator="greaterThan" dxfId="0" stopIfTrue="1">
      <formula>0.01</formula>
    </cfRule>
  </conditionalFormatting>
  <conditionalFormatting sqref="N9:N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P7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P11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J18:J22">
    <cfRule type="cellIs" priority="317" operator="greaterThan" dxfId="1">
      <formula>0.03</formula>
    </cfRule>
    <cfRule type="cellIs" priority="318" operator="lessThan" dxfId="0" stopIfTrue="1">
      <formula>-0.03</formula>
    </cfRule>
  </conditionalFormatting>
  <conditionalFormatting sqref="N23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18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19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N20:N22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P18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P22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N35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J29:J33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N34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29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30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N31:N33">
    <cfRule type="cellIs" priority="293" operator="lessThan" dxfId="1" stopIfTrue="1">
      <formula>-0.01</formula>
    </cfRule>
    <cfRule type="cellIs" priority="294" operator="greaterThan" dxfId="0" stopIfTrue="1">
      <formula>0.01</formula>
    </cfRule>
  </conditionalFormatting>
  <conditionalFormatting sqref="P29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P33">
    <cfRule type="cellIs" priority="289" operator="lessThan" dxfId="1">
      <formula>-0.03</formula>
    </cfRule>
    <cfRule type="cellIs" priority="290" operator="greaterThan" dxfId="0" stopIfTrue="1">
      <formula>0.03</formula>
    </cfRule>
  </conditionalFormatting>
  <conditionalFormatting sqref="N46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J40:J44">
    <cfRule type="cellIs" priority="285" operator="greaterThan" dxfId="1">
      <formula>0.03</formula>
    </cfRule>
    <cfRule type="cellIs" priority="286" operator="lessThan" dxfId="0" stopIfTrue="1">
      <formula>-0.03</formula>
    </cfRule>
  </conditionalFormatting>
  <conditionalFormatting sqref="N45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40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41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N42:N44">
    <cfRule type="cellIs" priority="277" operator="lessThan" dxfId="1" stopIfTrue="1">
      <formula>-0.01</formula>
    </cfRule>
    <cfRule type="cellIs" priority="278" operator="greaterThan" dxfId="0" stopIfTrue="1">
      <formula>0.01</formula>
    </cfRule>
  </conditionalFormatting>
  <conditionalFormatting sqref="P40">
    <cfRule type="cellIs" priority="275" operator="greaterThan" dxfId="1">
      <formula>0.03</formula>
    </cfRule>
    <cfRule type="cellIs" priority="276" operator="lessThan" dxfId="0" stopIfTrue="1">
      <formula>-0.03</formula>
    </cfRule>
  </conditionalFormatting>
  <conditionalFormatting sqref="P44">
    <cfRule type="cellIs" priority="273" operator="lessThan" dxfId="1">
      <formula>-0.03</formula>
    </cfRule>
    <cfRule type="cellIs" priority="274" operator="greaterThan" dxfId="0" stopIfTrue="1">
      <formula>0.03</formula>
    </cfRule>
  </conditionalFormatting>
  <conditionalFormatting sqref="N57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J51:J55">
    <cfRule type="cellIs" priority="269" operator="greaterThan" dxfId="1">
      <formula>0.03</formula>
    </cfRule>
    <cfRule type="cellIs" priority="270" operator="lessThan" dxfId="0" stopIfTrue="1">
      <formula>-0.03</formula>
    </cfRule>
  </conditionalFormatting>
  <conditionalFormatting sqref="N56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51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52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53:N5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P51">
    <cfRule type="cellIs" priority="259" operator="greaterThan" dxfId="1">
      <formula>0.03</formula>
    </cfRule>
    <cfRule type="cellIs" priority="260" operator="lessThan" dxfId="0" stopIfTrue="1">
      <formula>-0.03</formula>
    </cfRule>
  </conditionalFormatting>
  <conditionalFormatting sqref="P55">
    <cfRule type="cellIs" priority="257" operator="lessThan" dxfId="1">
      <formula>-0.03</formula>
    </cfRule>
    <cfRule type="cellIs" priority="258" operator="greaterThan" dxfId="0" stopIfTrue="1">
      <formula>0.03</formula>
    </cfRule>
  </conditionalFormatting>
  <conditionalFormatting sqref="N68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J62:J66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N67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62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63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N64:N66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P62">
    <cfRule type="cellIs" priority="243" operator="greaterThan" dxfId="1">
      <formula>0.03</formula>
    </cfRule>
    <cfRule type="cellIs" priority="244" operator="lessThan" dxfId="0" stopIfTrue="1">
      <formula>-0.03</formula>
    </cfRule>
  </conditionalFormatting>
  <conditionalFormatting sqref="P66">
    <cfRule type="cellIs" priority="241" operator="lessThan" dxfId="1">
      <formula>-0.03</formula>
    </cfRule>
    <cfRule type="cellIs" priority="242" operator="greaterThan" dxfId="0" stopIfTrue="1">
      <formula>0.03</formula>
    </cfRule>
  </conditionalFormatting>
  <conditionalFormatting sqref="N79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J73:J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N78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3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4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N75:N77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P73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P77">
    <cfRule type="cellIs" priority="225" operator="lessThan" dxfId="1">
      <formula>-0.03</formula>
    </cfRule>
    <cfRule type="cellIs" priority="226" operator="greaterThan" dxfId="0" stopIfTrue="1">
      <formula>0.03</formula>
    </cfRule>
  </conditionalFormatting>
  <conditionalFormatting sqref="N90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J84:J88">
    <cfRule type="cellIs" priority="221" operator="greaterThan" dxfId="1">
      <formula>0.03</formula>
    </cfRule>
    <cfRule type="cellIs" priority="222" operator="lessThan" dxfId="0" stopIfTrue="1">
      <formula>-0.03</formula>
    </cfRule>
  </conditionalFormatting>
  <conditionalFormatting sqref="N89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84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85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6:N88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P84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P88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N101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J95:J99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N100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95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96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N97:N99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P9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P99">
    <cfRule type="cellIs" priority="193" operator="lessThan" dxfId="1">
      <formula>-0.03</formula>
    </cfRule>
    <cfRule type="cellIs" priority="194" operator="greaterThan" dxfId="0" stopIfTrue="1">
      <formula>0.03</formula>
    </cfRule>
  </conditionalFormatting>
  <conditionalFormatting sqref="N112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J106:J110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N111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06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07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108:N110">
    <cfRule type="cellIs" priority="181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106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P110">
    <cfRule type="cellIs" priority="177" operator="lessThan" dxfId="1">
      <formula>-0.03</formula>
    </cfRule>
    <cfRule type="cellIs" priority="178" operator="greaterThan" dxfId="0" stopIfTrue="1">
      <formula>0.03</formula>
    </cfRule>
  </conditionalFormatting>
  <conditionalFormatting sqref="N12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J117:J121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N122">
    <cfRule type="cellIs" priority="171" operator="lessThan" dxfId="1" stopIfTrue="1">
      <formula>-0.01</formula>
    </cfRule>
    <cfRule type="cellIs" priority="172" operator="greaterThan" dxfId="0" stopIfTrue="1">
      <formula>0.01</formula>
    </cfRule>
  </conditionalFormatting>
  <conditionalFormatting sqref="N117">
    <cfRule type="cellIs" priority="169" operator="lessThan" dxfId="1" stopIfTrue="1">
      <formula>-0.01</formula>
    </cfRule>
    <cfRule type="cellIs" priority="170" operator="greaterThan" dxfId="0" stopIfTrue="1">
      <formula>0.01</formula>
    </cfRule>
  </conditionalFormatting>
  <conditionalFormatting sqref="N118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119:N121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P117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P121">
    <cfRule type="cellIs" priority="161" operator="lessThan" dxfId="1">
      <formula>-0.03</formula>
    </cfRule>
    <cfRule type="cellIs" priority="162" operator="greaterThan" dxfId="0" stopIfTrue="1">
      <formula>0.03</formula>
    </cfRule>
  </conditionalFormatting>
  <conditionalFormatting sqref="N1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128:J132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133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28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29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130:N132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128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132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N14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J139:J143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N144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3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40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N141:N143">
    <cfRule type="cellIs" priority="133" operator="lessThan" dxfId="1" stopIfTrue="1">
      <formula>-0.01</formula>
    </cfRule>
    <cfRule type="cellIs" priority="134" operator="greaterThan" dxfId="0" stopIfTrue="1">
      <formula>0.01</formula>
    </cfRule>
  </conditionalFormatting>
  <conditionalFormatting sqref="P139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P143">
    <cfRule type="cellIs" priority="129" operator="lessThan" dxfId="1">
      <formula>-0.03</formula>
    </cfRule>
    <cfRule type="cellIs" priority="130" operator="greaterThan" dxfId="0" stopIfTrue="1">
      <formula>0.03</formula>
    </cfRule>
  </conditionalFormatting>
  <conditionalFormatting sqref="N156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J150:J154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N155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50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51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N152:N154">
    <cfRule type="cellIs" priority="117" operator="lessThan" dxfId="1" stopIfTrue="1">
      <formula>-0.01</formula>
    </cfRule>
    <cfRule type="cellIs" priority="118" operator="greaterThan" dxfId="0" stopIfTrue="1">
      <formula>0.01</formula>
    </cfRule>
  </conditionalFormatting>
  <conditionalFormatting sqref="P150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P154">
    <cfRule type="cellIs" priority="113" operator="lessThan" dxfId="1">
      <formula>-0.03</formula>
    </cfRule>
    <cfRule type="cellIs" priority="114" operator="greaterThan" dxfId="0" stopIfTrue="1">
      <formula>0.03</formula>
    </cfRule>
  </conditionalFormatting>
  <conditionalFormatting sqref="N167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161:J165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166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61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62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63:N165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161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65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N178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J172:J176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N177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72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73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N174:N176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P17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P176">
    <cfRule type="cellIs" priority="81" operator="lessThan" dxfId="1">
      <formula>-0.03</formula>
    </cfRule>
    <cfRule type="cellIs" priority="82" operator="greaterThan" dxfId="0" stopIfTrue="1">
      <formula>0.03</formula>
    </cfRule>
  </conditionalFormatting>
  <conditionalFormatting sqref="N189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J183:J187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N188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83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84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185:N187">
    <cfRule type="cellIs" priority="69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P183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P187">
    <cfRule type="cellIs" priority="65" operator="lessThan" dxfId="1">
      <formula>-0.03</formula>
    </cfRule>
    <cfRule type="cellIs" priority="66" operator="greaterThan" dxfId="0" stopIfTrue="1">
      <formula>0.03</formula>
    </cfRule>
  </conditionalFormatting>
  <conditionalFormatting sqref="N200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J194:J198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N19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9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195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196:N198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194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198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N211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J205:J209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N210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05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06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N207:N20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P205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P209">
    <cfRule type="cellIs" priority="33" operator="lessThan" dxfId="1">
      <formula>-0.03</formula>
    </cfRule>
    <cfRule type="cellIs" priority="34" operator="greaterThan" dxfId="0" stopIfTrue="1">
      <formula>0.03</formula>
    </cfRule>
  </conditionalFormatting>
  <conditionalFormatting sqref="N222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J216:J220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N221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16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17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N218:N220">
    <cfRule type="cellIs" priority="21" operator="lessThan" dxfId="1" stopIfTrue="1">
      <formula>-0.01</formula>
    </cfRule>
    <cfRule type="cellIs" priority="22" operator="greaterThan" dxfId="0" stopIfTrue="1">
      <formula>0.01</formula>
    </cfRule>
  </conditionalFormatting>
  <conditionalFormatting sqref="P216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P220">
    <cfRule type="cellIs" priority="17" operator="lessThan" dxfId="1">
      <formula>-0.03</formula>
    </cfRule>
    <cfRule type="cellIs" priority="18" operator="greaterThan" dxfId="0" stopIfTrue="1">
      <formula>0.03</formula>
    </cfRule>
  </conditionalFormatting>
  <conditionalFormatting sqref="N233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227:J23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232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27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2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229:N23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22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23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>
  <sheetPr codeName="Sheet45">
    <outlinePr summaryBelow="1" summaryRight="1"/>
    <pageSetUpPr/>
  </sheetPr>
  <dimension ref="A1:BR71"/>
  <sheetViews>
    <sheetView topLeftCell="R1" workbookViewId="0">
      <selection activeCell="AE35" sqref="AE35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bartender_track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730200</v>
      </c>
      <c r="F16" s="147" t="n">
        <v>1042252</v>
      </c>
      <c r="G16" s="183" t="n">
        <v>272796</v>
      </c>
      <c r="H16" s="183" t="n">
        <v>137904</v>
      </c>
      <c r="I16" s="183" t="n">
        <v>318115</v>
      </c>
      <c r="J16" s="183" t="n">
        <v>1559649</v>
      </c>
      <c r="K16" s="78" t="n">
        <v>995532</v>
      </c>
      <c r="L16" s="78" t="n">
        <v>338041</v>
      </c>
      <c r="M16" s="78" t="n">
        <v>1655</v>
      </c>
      <c r="N16" s="70" t="n"/>
      <c r="O16" s="353" t="n"/>
      <c r="P16" s="199" t="n">
        <v>35.88</v>
      </c>
      <c r="Q16" s="199" t="n">
        <v>6.667</v>
      </c>
      <c r="R16" s="199" t="n">
        <v>27.371</v>
      </c>
      <c r="S16" s="199" t="n">
        <v>0.98</v>
      </c>
      <c r="T16" s="199" t="n">
        <v>4.463999999999999</v>
      </c>
      <c r="U16" s="199" t="n">
        <v>5.548000000000002</v>
      </c>
      <c r="V16" s="199" t="n">
        <v>1255412</v>
      </c>
      <c r="W16" s="199" t="n">
        <v>443796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730200</v>
      </c>
      <c r="F17" s="162" t="n">
        <v>1356051</v>
      </c>
      <c r="G17" s="184" t="n">
        <v>690006</v>
      </c>
      <c r="H17" s="184" t="n">
        <v>459589</v>
      </c>
      <c r="I17" s="184" t="n">
        <v>1033570</v>
      </c>
      <c r="J17" s="184" t="n">
        <v>1989221</v>
      </c>
      <c r="K17" s="79" t="n">
        <v>1315355</v>
      </c>
      <c r="L17" s="79" t="n">
        <v>442695</v>
      </c>
      <c r="M17" s="79" t="n">
        <v>1655</v>
      </c>
      <c r="N17" s="72" t="n"/>
      <c r="O17" s="339" t="n"/>
      <c r="P17" s="200" t="n">
        <v>35.815</v>
      </c>
      <c r="Q17" s="200" t="n">
        <v>6.209</v>
      </c>
      <c r="R17" s="200" t="n">
        <v>27.33</v>
      </c>
      <c r="S17" s="200" t="n">
        <v>1.132</v>
      </c>
      <c r="T17" s="200" t="n">
        <v>4.485</v>
      </c>
      <c r="U17" s="200" t="n">
        <v>4.960999999999999</v>
      </c>
      <c r="V17" s="200" t="n">
        <v>1284212</v>
      </c>
      <c r="W17" s="200" t="n">
        <v>443120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730200</v>
      </c>
      <c r="F18" s="162" t="n">
        <v>1683040</v>
      </c>
      <c r="G18" s="184" t="n">
        <v>1340001</v>
      </c>
      <c r="H18" s="184" t="n">
        <v>1094265</v>
      </c>
      <c r="I18" s="184" t="n">
        <v>2388873</v>
      </c>
      <c r="J18" s="184" t="n">
        <v>2431253</v>
      </c>
      <c r="K18" s="79" t="n">
        <v>1645437</v>
      </c>
      <c r="L18" s="79" t="n">
        <v>551415</v>
      </c>
      <c r="M18" s="79" t="n">
        <v>1654</v>
      </c>
      <c r="N18" s="72" t="n"/>
      <c r="O18" s="339" t="n"/>
      <c r="P18" s="200" t="n">
        <v>37.136</v>
      </c>
      <c r="Q18" s="200" t="n">
        <v>7.099</v>
      </c>
      <c r="R18" s="200" t="n">
        <v>28.324</v>
      </c>
      <c r="S18" s="200" t="n">
        <v>1.1</v>
      </c>
      <c r="T18" s="200" t="n">
        <v>4.782</v>
      </c>
      <c r="U18" s="200" t="n">
        <v>5.903</v>
      </c>
      <c r="V18" s="200" t="n">
        <v>1283152</v>
      </c>
      <c r="W18" s="200" t="n">
        <v>443132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730200</v>
      </c>
      <c r="F19" s="162" t="n">
        <v>1908667</v>
      </c>
      <c r="G19" s="184" t="n">
        <v>2159217</v>
      </c>
      <c r="H19" s="184" t="n">
        <v>2031458</v>
      </c>
      <c r="I19" s="184" t="n">
        <v>4319191</v>
      </c>
      <c r="J19" s="184" t="n">
        <v>2887635</v>
      </c>
      <c r="K19" s="79" t="n">
        <v>1988174</v>
      </c>
      <c r="L19" s="79" t="n">
        <v>664890</v>
      </c>
      <c r="M19" s="79" t="n">
        <v>1652</v>
      </c>
      <c r="N19" s="72" t="n"/>
      <c r="O19" s="339" t="n"/>
      <c r="P19" s="200" t="n">
        <v>36.881</v>
      </c>
      <c r="Q19" s="200" t="n">
        <v>7.784</v>
      </c>
      <c r="R19" s="200" t="n">
        <v>27.697</v>
      </c>
      <c r="S19" s="200" t="n">
        <v>1.541</v>
      </c>
      <c r="T19" s="200" t="n">
        <v>5.113</v>
      </c>
      <c r="U19" s="200" t="n">
        <v>6.148000000000003</v>
      </c>
      <c r="V19" s="200" t="n">
        <v>1282332</v>
      </c>
      <c r="W19" s="200" t="n">
        <v>444392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730200</v>
      </c>
      <c r="F20" s="220" t="n">
        <v>1995126</v>
      </c>
      <c r="G20" s="184" t="n">
        <v>2763649</v>
      </c>
      <c r="H20" s="184" t="n">
        <v>2972122</v>
      </c>
      <c r="I20" s="184" t="n">
        <v>6289289</v>
      </c>
      <c r="J20" s="184" t="n">
        <v>3352581</v>
      </c>
      <c r="K20" s="79" t="n">
        <v>2338747</v>
      </c>
      <c r="L20" s="79" t="n">
        <v>779990</v>
      </c>
      <c r="M20" s="79" t="n">
        <v>1642</v>
      </c>
      <c r="N20" s="72" t="n"/>
      <c r="O20" s="339" t="n"/>
      <c r="P20" s="200" t="n">
        <v>37.427</v>
      </c>
      <c r="Q20" s="200" t="n">
        <v>7.595</v>
      </c>
      <c r="R20" s="200" t="n">
        <v>28.155</v>
      </c>
      <c r="S20" s="200" t="n">
        <v>1.085</v>
      </c>
      <c r="T20" s="200" t="n">
        <v>5.277000000000003</v>
      </c>
      <c r="U20" s="200" t="n">
        <v>6.405</v>
      </c>
      <c r="V20" s="200" t="n">
        <v>1284044</v>
      </c>
      <c r="W20" s="200" t="n">
        <v>443800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31.56449618</v>
      </c>
      <c r="G33" s="239" t="n">
        <v>33.74276886</v>
      </c>
      <c r="H33" s="239" t="n">
        <v>0.96395192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35.15485663</v>
      </c>
      <c r="G34" s="197" t="n">
        <v>37.65147372</v>
      </c>
      <c r="H34" s="197" t="n">
        <v>0.98068887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39.30839355</v>
      </c>
      <c r="G35" s="197" t="n">
        <v>42.65076686</v>
      </c>
      <c r="H35" s="197" t="n">
        <v>0.99200425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43.2668177</v>
      </c>
      <c r="G36" s="197" t="n">
        <v>46.61909384</v>
      </c>
      <c r="H36" s="197" t="n">
        <v>0.99588159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45.58606708</v>
      </c>
      <c r="G37" s="244" t="n">
        <v>47.9735463</v>
      </c>
      <c r="H37" s="244" t="n">
        <v>0.9967693399999999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C2:X2"/>
    <mergeCell ref="BP3:BR3"/>
    <mergeCell ref="Z5:Z9"/>
    <mergeCell ref="AA31:AV31"/>
    <mergeCell ref="Z33:Z37"/>
    <mergeCell ref="X3:X4"/>
    <mergeCell ref="AO3:AO4"/>
    <mergeCell ref="AY31:BB31"/>
    <mergeCell ref="BH14:BJ14"/>
    <mergeCell ref="AQ3:AQ4"/>
    <mergeCell ref="Z21:Z22"/>
    <mergeCell ref="B5:B9"/>
    <mergeCell ref="Z23:Z27"/>
    <mergeCell ref="AA2:AV2"/>
    <mergeCell ref="C13:X13"/>
    <mergeCell ref="B33:B37"/>
    <mergeCell ref="U3:U4"/>
    <mergeCell ref="W3:W4"/>
    <mergeCell ref="BB14:BC14"/>
    <mergeCell ref="AX33:AX37"/>
    <mergeCell ref="BD14:BE14"/>
    <mergeCell ref="B16:B20"/>
    <mergeCell ref="B62:B66"/>
    <mergeCell ref="P3:P4"/>
    <mergeCell ref="AA13:AV13"/>
    <mergeCell ref="R3:R4"/>
    <mergeCell ref="T3:T4"/>
    <mergeCell ref="AR3:AR4"/>
    <mergeCell ref="BH3:BN3"/>
    <mergeCell ref="AS3:AS4"/>
    <mergeCell ref="AY2:BC2"/>
    <mergeCell ref="AU3:AU4"/>
    <mergeCell ref="B67:B71"/>
    <mergeCell ref="Z16:Z20"/>
    <mergeCell ref="B57:B61"/>
    <mergeCell ref="V3:V4"/>
    <mergeCell ref="C31:X31"/>
    <mergeCell ref="Q3:Q4"/>
    <mergeCell ref="AN3:AN4"/>
    <mergeCell ref="S3:S4"/>
    <mergeCell ref="AP3:AP4"/>
    <mergeCell ref="AX14:AY14"/>
    <mergeCell ref="AZ14:BA1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Sheet46">
    <outlinePr summaryBelow="1" summaryRight="1"/>
    <pageSetUpPr/>
  </sheetPr>
  <dimension ref="A1:BR71"/>
  <sheetViews>
    <sheetView topLeftCell="O1" workbookViewId="0">
      <selection activeCell="AE25" sqref="AE25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breakfast_track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742653</v>
      </c>
      <c r="F16" s="147" t="n">
        <v>949680</v>
      </c>
      <c r="G16" s="183" t="n">
        <v>255985</v>
      </c>
      <c r="H16" s="183" t="n">
        <v>135934</v>
      </c>
      <c r="I16" s="183" t="n">
        <v>314880</v>
      </c>
      <c r="J16" s="183" t="n">
        <v>1522125</v>
      </c>
      <c r="K16" s="78" t="n">
        <v>995008</v>
      </c>
      <c r="L16" s="78" t="n">
        <v>331666</v>
      </c>
      <c r="M16" s="78" t="n">
        <v>1655</v>
      </c>
      <c r="N16" s="70" t="n"/>
      <c r="O16" s="353" t="n"/>
      <c r="P16" s="199" t="n">
        <v>31.476</v>
      </c>
      <c r="Q16" s="199" t="n">
        <v>7.682</v>
      </c>
      <c r="R16" s="199" t="n">
        <v>23.281</v>
      </c>
      <c r="S16" s="199" t="n">
        <v>1.062</v>
      </c>
      <c r="T16" s="199" t="n">
        <v>4.438000000000001</v>
      </c>
      <c r="U16" s="199" t="n">
        <v>6.492</v>
      </c>
      <c r="V16" s="199" t="n">
        <v>1175860</v>
      </c>
      <c r="W16" s="199" t="n">
        <v>411188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742653</v>
      </c>
      <c r="F17" s="162" t="n">
        <v>1234236</v>
      </c>
      <c r="G17" s="184" t="n">
        <v>609148</v>
      </c>
      <c r="H17" s="184" t="n">
        <v>413218</v>
      </c>
      <c r="I17" s="184" t="n">
        <v>909596</v>
      </c>
      <c r="J17" s="184" t="n">
        <v>1928970</v>
      </c>
      <c r="K17" s="79" t="n">
        <v>1295129</v>
      </c>
      <c r="L17" s="79" t="n">
        <v>428947</v>
      </c>
      <c r="M17" s="79" t="n">
        <v>1655</v>
      </c>
      <c r="N17" s="72" t="n"/>
      <c r="O17" s="339" t="n"/>
      <c r="P17" s="200" t="n">
        <v>32.538</v>
      </c>
      <c r="Q17" s="200" t="n">
        <v>6.528</v>
      </c>
      <c r="R17" s="200" t="n">
        <v>23.987</v>
      </c>
      <c r="S17" s="200" t="n">
        <v>0.972</v>
      </c>
      <c r="T17" s="200" t="n">
        <v>4.699000000000001</v>
      </c>
      <c r="U17" s="200" t="n">
        <v>5.413000000000002</v>
      </c>
      <c r="V17" s="200" t="n">
        <v>1176208</v>
      </c>
      <c r="W17" s="200" t="n">
        <v>411184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742653</v>
      </c>
      <c r="F18" s="162" t="n">
        <v>1526364</v>
      </c>
      <c r="G18" s="184" t="n">
        <v>1162904</v>
      </c>
      <c r="H18" s="184" t="n">
        <v>937106</v>
      </c>
      <c r="I18" s="184" t="n">
        <v>1998470</v>
      </c>
      <c r="J18" s="184" t="n">
        <v>2348516</v>
      </c>
      <c r="K18" s="79" t="n">
        <v>1606402</v>
      </c>
      <c r="L18" s="79" t="n">
        <v>530032</v>
      </c>
      <c r="M18" s="79" t="n">
        <v>1654</v>
      </c>
      <c r="N18" s="72" t="n"/>
      <c r="O18" s="339" t="n"/>
      <c r="P18" s="200" t="n">
        <v>32.376</v>
      </c>
      <c r="Q18" s="200" t="n">
        <v>7.023</v>
      </c>
      <c r="R18" s="200" t="n">
        <v>23.414</v>
      </c>
      <c r="S18" s="200" t="n">
        <v>1.009</v>
      </c>
      <c r="T18" s="200" t="n">
        <v>4.900000000000001</v>
      </c>
      <c r="U18" s="200" t="n">
        <v>5.886</v>
      </c>
      <c r="V18" s="200" t="n">
        <v>1177916</v>
      </c>
      <c r="W18" s="200" t="n">
        <v>411184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742653</v>
      </c>
      <c r="F19" s="162" t="n">
        <v>1725653</v>
      </c>
      <c r="G19" s="184" t="n">
        <v>1878933</v>
      </c>
      <c r="H19" s="184" t="n">
        <v>1731159</v>
      </c>
      <c r="I19" s="184" t="n">
        <v>3617411</v>
      </c>
      <c r="J19" s="184" t="n">
        <v>2777320</v>
      </c>
      <c r="K19" s="79" t="n">
        <v>1927573</v>
      </c>
      <c r="L19" s="79" t="n">
        <v>634401</v>
      </c>
      <c r="M19" s="79" t="n">
        <v>1652</v>
      </c>
      <c r="N19" s="72" t="n"/>
      <c r="O19" s="339" t="n"/>
      <c r="P19" s="200" t="n">
        <v>32.449</v>
      </c>
      <c r="Q19" s="200" t="n">
        <v>7.553</v>
      </c>
      <c r="R19" s="200" t="n">
        <v>23.291</v>
      </c>
      <c r="S19" s="200" t="n">
        <v>0.9379999999999999</v>
      </c>
      <c r="T19" s="200" t="n">
        <v>4.904999999999999</v>
      </c>
      <c r="U19" s="200" t="n">
        <v>6.489000000000003</v>
      </c>
      <c r="V19" s="200" t="n">
        <v>1176436</v>
      </c>
      <c r="W19" s="200" t="n">
        <v>411492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742653</v>
      </c>
      <c r="F20" s="220" t="n">
        <v>1802338</v>
      </c>
      <c r="G20" s="184" t="n">
        <v>2420126</v>
      </c>
      <c r="H20" s="184" t="n">
        <v>2556643</v>
      </c>
      <c r="I20" s="184" t="n">
        <v>5333878</v>
      </c>
      <c r="J20" s="184" t="n">
        <v>3210275</v>
      </c>
      <c r="K20" s="79" t="n">
        <v>2252785</v>
      </c>
      <c r="L20" s="79" t="n">
        <v>739342</v>
      </c>
      <c r="M20" s="79" t="n">
        <v>1642</v>
      </c>
      <c r="N20" s="72" t="n"/>
      <c r="O20" s="339" t="n"/>
      <c r="P20" s="200" t="n">
        <v>32.861</v>
      </c>
      <c r="Q20" s="200" t="n">
        <v>7.716</v>
      </c>
      <c r="R20" s="200" t="n">
        <v>23.365</v>
      </c>
      <c r="S20" s="200" t="n">
        <v>0.9399999999999999</v>
      </c>
      <c r="T20" s="200" t="n">
        <v>5.616000000000004</v>
      </c>
      <c r="U20" s="200" t="n">
        <v>6.635000000000003</v>
      </c>
      <c r="V20" s="200" t="n">
        <v>1174632</v>
      </c>
      <c r="W20" s="200" t="n">
        <v>413188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28.6038065</v>
      </c>
      <c r="G33" s="239" t="n">
        <v>30.01580142</v>
      </c>
      <c r="H33" s="239" t="n">
        <v>0.94934093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32.57815685</v>
      </c>
      <c r="G34" s="197" t="n">
        <v>34.19876082</v>
      </c>
      <c r="H34" s="197" t="n">
        <v>0.97088887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37.75425425</v>
      </c>
      <c r="G35" s="197" t="n">
        <v>40.03393747</v>
      </c>
      <c r="H35" s="197" t="n">
        <v>0.98545748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41.11247532</v>
      </c>
      <c r="G36" s="197" t="n">
        <v>43.25059752</v>
      </c>
      <c r="H36" s="197" t="n">
        <v>0.99262467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42.33835373</v>
      </c>
      <c r="G37" s="244" t="n">
        <v>44.11200208</v>
      </c>
      <c r="H37" s="244" t="n">
        <v>0.99486154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>
  <sheetPr codeName="Sheet47">
    <outlinePr summaryBelow="1" summaryRight="1"/>
    <pageSetUpPr/>
  </sheetPr>
  <dimension ref="A1:BR71"/>
  <sheetViews>
    <sheetView workbookViewId="0">
      <selection activeCell="H18" sqref="H18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cinema_track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577809</v>
      </c>
      <c r="F16" s="147" t="n">
        <v>791201</v>
      </c>
      <c r="G16" s="183" t="n">
        <v>155804</v>
      </c>
      <c r="H16" s="183" t="n">
        <v>63516</v>
      </c>
      <c r="I16" s="183" t="n">
        <v>163357</v>
      </c>
      <c r="J16" s="183" t="n">
        <v>1167997</v>
      </c>
      <c r="K16" s="78" t="n">
        <v>696046</v>
      </c>
      <c r="L16" s="78" t="n">
        <v>254783</v>
      </c>
      <c r="M16" s="78" t="n">
        <v>1655</v>
      </c>
      <c r="N16" s="70" t="n"/>
      <c r="O16" s="353" t="n"/>
      <c r="P16" s="199" t="n">
        <v>26.807</v>
      </c>
      <c r="Q16" s="199" t="n">
        <v>5.912</v>
      </c>
      <c r="R16" s="199" t="n">
        <v>20.456</v>
      </c>
      <c r="S16" s="199" t="n">
        <v>0.824</v>
      </c>
      <c r="T16" s="199" t="n">
        <v>3.206999999999999</v>
      </c>
      <c r="U16" s="199" t="n">
        <v>4.882000000000001</v>
      </c>
      <c r="V16" s="199" t="n">
        <v>965356</v>
      </c>
      <c r="W16" s="199" t="n">
        <v>331364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577809</v>
      </c>
      <c r="F17" s="162" t="n">
        <v>1026313</v>
      </c>
      <c r="G17" s="184" t="n">
        <v>449680</v>
      </c>
      <c r="H17" s="184" t="n">
        <v>259833</v>
      </c>
      <c r="I17" s="184" t="n">
        <v>612102</v>
      </c>
      <c r="J17" s="184" t="n">
        <v>1488439</v>
      </c>
      <c r="K17" s="79" t="n">
        <v>931537</v>
      </c>
      <c r="L17" s="79" t="n">
        <v>332055</v>
      </c>
      <c r="M17" s="79" t="n">
        <v>1655</v>
      </c>
      <c r="N17" s="72" t="n"/>
      <c r="O17" s="339" t="n"/>
      <c r="P17" s="200" t="n">
        <v>29.116</v>
      </c>
      <c r="Q17" s="200" t="n">
        <v>6.54</v>
      </c>
      <c r="R17" s="200" t="n">
        <v>21.609</v>
      </c>
      <c r="S17" s="200" t="n">
        <v>0.763</v>
      </c>
      <c r="T17" s="200" t="n">
        <v>4.156000000000001</v>
      </c>
      <c r="U17" s="200" t="n">
        <v>5.595000000000001</v>
      </c>
      <c r="V17" s="200" t="n">
        <v>965936</v>
      </c>
      <c r="W17" s="200" t="n">
        <v>332340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577809</v>
      </c>
      <c r="F18" s="162" t="n">
        <v>1270770</v>
      </c>
      <c r="G18" s="184" t="n">
        <v>923373</v>
      </c>
      <c r="H18" s="184" t="n">
        <v>702558</v>
      </c>
      <c r="I18" s="184" t="n">
        <v>1556095</v>
      </c>
      <c r="J18" s="184" t="n">
        <v>1817817</v>
      </c>
      <c r="K18" s="79" t="n">
        <v>1176080</v>
      </c>
      <c r="L18" s="79" t="n">
        <v>412107</v>
      </c>
      <c r="M18" s="79" t="n">
        <v>1654</v>
      </c>
      <c r="N18" s="72" t="n"/>
      <c r="O18" s="339" t="n"/>
      <c r="P18" s="200" t="n">
        <v>28.449</v>
      </c>
      <c r="Q18" s="200" t="n">
        <v>4.914</v>
      </c>
      <c r="R18" s="200" t="n">
        <v>20.952</v>
      </c>
      <c r="S18" s="200" t="n">
        <v>0.739</v>
      </c>
      <c r="T18" s="200" t="n">
        <v>4.01</v>
      </c>
      <c r="U18" s="200" t="n">
        <v>3.93</v>
      </c>
      <c r="V18" s="200" t="n">
        <v>964796</v>
      </c>
      <c r="W18" s="200" t="n">
        <v>332020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577809</v>
      </c>
      <c r="F19" s="162" t="n">
        <v>1439096</v>
      </c>
      <c r="G19" s="184" t="n">
        <v>1524255</v>
      </c>
      <c r="H19" s="184" t="n">
        <v>1381379</v>
      </c>
      <c r="I19" s="184" t="n">
        <v>2953233</v>
      </c>
      <c r="J19" s="184" t="n">
        <v>2158939</v>
      </c>
      <c r="K19" s="79" t="n">
        <v>1431330</v>
      </c>
      <c r="L19" s="79" t="n">
        <v>495043</v>
      </c>
      <c r="M19" s="79" t="n">
        <v>1652</v>
      </c>
      <c r="N19" s="72" t="n"/>
      <c r="O19" s="339" t="n"/>
      <c r="P19" s="200" t="n">
        <v>27.883</v>
      </c>
      <c r="Q19" s="200" t="n">
        <v>4.969</v>
      </c>
      <c r="R19" s="200" t="n">
        <v>20.359</v>
      </c>
      <c r="S19" s="200" t="n">
        <v>0.778</v>
      </c>
      <c r="T19" s="200" t="n">
        <v>4.388000000000001</v>
      </c>
      <c r="U19" s="200" t="n">
        <v>3.99</v>
      </c>
      <c r="V19" s="200" t="n">
        <v>964940</v>
      </c>
      <c r="W19" s="200" t="n">
        <v>332344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577809</v>
      </c>
      <c r="F20" s="220" t="n">
        <v>1503736</v>
      </c>
      <c r="G20" s="184" t="n">
        <v>1970475</v>
      </c>
      <c r="H20" s="184" t="n">
        <v>2070568</v>
      </c>
      <c r="I20" s="184" t="n">
        <v>4394657</v>
      </c>
      <c r="J20" s="184" t="n">
        <v>2507648</v>
      </c>
      <c r="K20" s="79" t="n">
        <v>1692802</v>
      </c>
      <c r="L20" s="79" t="n">
        <v>579456</v>
      </c>
      <c r="M20" s="79" t="n">
        <v>1642</v>
      </c>
      <c r="N20" s="72" t="n"/>
      <c r="O20" s="339" t="n"/>
      <c r="P20" s="200" t="n">
        <v>29.051</v>
      </c>
      <c r="Q20" s="200" t="n">
        <v>6.864</v>
      </c>
      <c r="R20" s="200" t="n">
        <v>20.96</v>
      </c>
      <c r="S20" s="200" t="n">
        <v>0.797</v>
      </c>
      <c r="T20" s="200" t="n">
        <v>4.874000000000001</v>
      </c>
      <c r="U20" s="200" t="n">
        <v>5.952000000000002</v>
      </c>
      <c r="V20" s="200" t="n">
        <v>966116</v>
      </c>
      <c r="W20" s="200" t="n">
        <v>333852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32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30.92674489</v>
      </c>
      <c r="G33" s="239" t="n">
        <v>32.56592217</v>
      </c>
      <c r="H33" s="239" t="n">
        <v>0.96816501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34.44010449</v>
      </c>
      <c r="G34" s="197" t="n">
        <v>36.57974949</v>
      </c>
      <c r="H34" s="197" t="n">
        <v>0.98306334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38.64500691</v>
      </c>
      <c r="G35" s="197" t="n">
        <v>41.7091519</v>
      </c>
      <c r="H35" s="197" t="n">
        <v>0.99234287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42.6904052</v>
      </c>
      <c r="G36" s="197" t="n">
        <v>45.76491453</v>
      </c>
      <c r="H36" s="197" t="n">
        <v>0.99602717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45.01338616</v>
      </c>
      <c r="G37" s="244" t="n">
        <v>47.28145191</v>
      </c>
      <c r="H37" s="244" t="n">
        <v>0.9969397800000001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50">
    <outlinePr summaryBelow="1" summaryRight="1"/>
    <pageSetUpPr/>
  </sheetPr>
  <dimension ref="A1:BR71"/>
  <sheetViews>
    <sheetView topLeftCell="X1" workbookViewId="0">
      <selection activeCell="AD33" sqref="AD33:AN3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ManWithFruit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90744</v>
      </c>
      <c r="F16" s="147" t="n">
        <v>82158</v>
      </c>
      <c r="G16" s="183" t="n">
        <v>1020</v>
      </c>
      <c r="H16" s="183" t="n">
        <v>260</v>
      </c>
      <c r="I16" s="183" t="n">
        <v>432</v>
      </c>
      <c r="J16" s="183" t="n">
        <v>118763</v>
      </c>
      <c r="K16" s="78" t="n">
        <v>74729</v>
      </c>
      <c r="L16" s="78" t="n">
        <v>22919</v>
      </c>
      <c r="M16" s="78" t="n">
        <v>1655</v>
      </c>
      <c r="N16" s="70" t="n"/>
      <c r="O16" s="353" t="n"/>
      <c r="P16" s="199" t="n">
        <v>2.757</v>
      </c>
      <c r="Q16" s="199" t="n">
        <v>0.28</v>
      </c>
      <c r="R16" s="199" t="n">
        <v>2.008</v>
      </c>
      <c r="S16" s="199" t="n">
        <v>0.109</v>
      </c>
      <c r="T16" s="199" t="n">
        <v>0.2990000000000002</v>
      </c>
      <c r="U16" s="199" t="n">
        <v>0.1400000000000001</v>
      </c>
      <c r="V16" s="199" t="n">
        <v>206196</v>
      </c>
      <c r="W16" s="199" t="n">
        <v>109376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90744</v>
      </c>
      <c r="F17" s="162" t="n">
        <v>107699</v>
      </c>
      <c r="G17" s="184" t="n">
        <v>8857</v>
      </c>
      <c r="H17" s="184" t="n">
        <v>1648</v>
      </c>
      <c r="I17" s="184" t="n">
        <v>1905</v>
      </c>
      <c r="J17" s="184" t="n">
        <v>153418</v>
      </c>
      <c r="K17" s="79" t="n">
        <v>100111</v>
      </c>
      <c r="L17" s="79" t="n">
        <v>31312</v>
      </c>
      <c r="M17" s="79" t="n">
        <v>1655</v>
      </c>
      <c r="N17" s="72" t="n"/>
      <c r="O17" s="339" t="n"/>
      <c r="P17" s="200" t="n">
        <v>2.385</v>
      </c>
      <c r="Q17" s="200" t="n">
        <v>0.297</v>
      </c>
      <c r="R17" s="200" t="n">
        <v>1.774</v>
      </c>
      <c r="S17" s="200" t="n">
        <v>0.114</v>
      </c>
      <c r="T17" s="200" t="n">
        <v>0.2490000000000002</v>
      </c>
      <c r="U17" s="200" t="n">
        <v>0.1470000000000001</v>
      </c>
      <c r="V17" s="200" t="n">
        <v>206776</v>
      </c>
      <c r="W17" s="200" t="n">
        <v>109376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90744</v>
      </c>
      <c r="F18" s="162" t="n">
        <v>134140</v>
      </c>
      <c r="G18" s="184" t="n">
        <v>39485</v>
      </c>
      <c r="H18" s="184" t="n">
        <v>14206</v>
      </c>
      <c r="I18" s="184" t="n">
        <v>16448</v>
      </c>
      <c r="J18" s="184" t="n">
        <v>189369</v>
      </c>
      <c r="K18" s="79" t="n">
        <v>126018</v>
      </c>
      <c r="L18" s="79" t="n">
        <v>40313</v>
      </c>
      <c r="M18" s="79" t="n">
        <v>1654</v>
      </c>
      <c r="N18" s="72" t="n"/>
      <c r="O18" s="339" t="n"/>
      <c r="P18" s="200" t="n">
        <v>2.425</v>
      </c>
      <c r="Q18" s="200" t="n">
        <v>0.287</v>
      </c>
      <c r="R18" s="200" t="n">
        <v>1.798</v>
      </c>
      <c r="S18" s="200" t="n">
        <v>0.096</v>
      </c>
      <c r="T18" s="200" t="n">
        <v>0.2630000000000002</v>
      </c>
      <c r="U18" s="200" t="n">
        <v>0.1560000000000001</v>
      </c>
      <c r="V18" s="200" t="n">
        <v>207144</v>
      </c>
      <c r="W18" s="200" t="n">
        <v>109120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90744</v>
      </c>
      <c r="F19" s="162" t="n">
        <v>152238</v>
      </c>
      <c r="G19" s="184" t="n">
        <v>97386</v>
      </c>
      <c r="H19" s="184" t="n">
        <v>57789</v>
      </c>
      <c r="I19" s="184" t="n">
        <v>81859</v>
      </c>
      <c r="J19" s="184" t="n">
        <v>226418</v>
      </c>
      <c r="K19" s="79" t="n">
        <v>153213</v>
      </c>
      <c r="L19" s="79" t="n">
        <v>49828</v>
      </c>
      <c r="M19" s="79" t="n">
        <v>1652</v>
      </c>
      <c r="N19" s="72" t="n"/>
      <c r="O19" s="339" t="n"/>
      <c r="P19" s="200" t="n">
        <v>3.153</v>
      </c>
      <c r="Q19" s="200" t="n">
        <v>0.292</v>
      </c>
      <c r="R19" s="200" t="n">
        <v>2.302</v>
      </c>
      <c r="S19" s="200" t="n">
        <v>0.1</v>
      </c>
      <c r="T19" s="200" t="n">
        <v>0.3880000000000003</v>
      </c>
      <c r="U19" s="200" t="n">
        <v>0.1630000000000001</v>
      </c>
      <c r="V19" s="200" t="n">
        <v>206920</v>
      </c>
      <c r="W19" s="200" t="n">
        <v>109120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90744</v>
      </c>
      <c r="F20" s="220" t="n">
        <v>159170</v>
      </c>
      <c r="G20" s="184" t="n">
        <v>144396</v>
      </c>
      <c r="H20" s="184" t="n">
        <v>122097</v>
      </c>
      <c r="I20" s="184" t="n">
        <v>196553</v>
      </c>
      <c r="J20" s="184" t="n">
        <v>264217</v>
      </c>
      <c r="K20" s="79" t="n">
        <v>181548</v>
      </c>
      <c r="L20" s="79" t="n">
        <v>59625</v>
      </c>
      <c r="M20" s="79" t="n">
        <v>1642</v>
      </c>
      <c r="N20" s="72" t="n"/>
      <c r="O20" s="339" t="n"/>
      <c r="P20" s="200" t="n">
        <v>3.131</v>
      </c>
      <c r="Q20" s="200" t="n">
        <v>0.36</v>
      </c>
      <c r="R20" s="200" t="n">
        <v>2.247</v>
      </c>
      <c r="S20" s="200" t="n">
        <v>0.123</v>
      </c>
      <c r="T20" s="200" t="n">
        <v>0.4220000000000003</v>
      </c>
      <c r="U20" s="200" t="n">
        <v>0.1980000000000001</v>
      </c>
      <c r="V20" s="200" t="n">
        <v>206800</v>
      </c>
      <c r="W20" s="200" t="n">
        <v>109120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n"/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44.69952493</v>
      </c>
      <c r="G33" s="239" t="n">
        <v>46.58251149</v>
      </c>
      <c r="H33" s="239" t="n">
        <v>0.99737568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47.5794057</v>
      </c>
      <c r="G34" s="197" t="n">
        <v>49.5695222</v>
      </c>
      <c r="H34" s="197" t="n">
        <v>0.99848262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49.09523013</v>
      </c>
      <c r="G35" s="197" t="n">
        <v>51.38837947</v>
      </c>
      <c r="H35" s="197" t="n">
        <v>0.9987977300000001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51.25482462</v>
      </c>
      <c r="G36" s="197" t="n">
        <v>53.75823442</v>
      </c>
      <c r="H36" s="197" t="n">
        <v>0.999047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52.77776981</v>
      </c>
      <c r="G37" s="244" t="n">
        <v>55.07683103</v>
      </c>
      <c r="H37" s="244" t="n">
        <v>0.99916406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51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LEGO_Ferrari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52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LEGO_Bugatti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53">
    <outlinePr summaryBelow="1" summaryRight="1"/>
    <pageSetUpPr/>
  </sheetPr>
  <dimension ref="A1:BR71"/>
  <sheetViews>
    <sheetView topLeftCell="C1"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Plant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54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Tennis_Player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9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Cricket_Player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8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Tango_Duo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55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Solo_Tango_Female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56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Solo_Tango_Male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>
  <sheetPr codeName="Sheet57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BlueBackpack_UVGgs_0100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>
  <sheetPr codeName="Sheet58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BlueBackpack_UVGgs_0200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>
  <sheetPr codeName="Sheet59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bartender_track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>
  <sheetPr codeName="Sheet60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FlowerDance_UVGgs_0200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Sheet61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Gymnast_UVGgs_0100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>
  <sheetPr codeName="Sheet62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Gymnast_UVGgs_0200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>
  <sheetPr codeName="Sheet63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artwork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>
  <sheetPr codeName="Sheet64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panda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>
  <sheetPr codeName="Sheet65">
    <outlinePr summaryBelow="1" summaryRight="1"/>
    <pageSetUpPr/>
  </sheetPr>
  <dimension ref="A1:BR71"/>
  <sheetViews>
    <sheetView workbookViewId="0">
      <selection activeCell="S24" sqref="S24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wukong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2025-08-21T09:11:47Z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0x0101004FF430E06F6A0F47B9C36EBFA05F847B</vt:lpwstr>
  </property>
  <property name="MediaServiceImageTags" fmtid="{D5CDD505-2E9C-101B-9397-08002B2CF9AE}" pid="10">
    <vt:lpwstr/>
  </property>
</Properties>
</file>