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689A29F8-6B1B-4496-A18D-0159AAFB20EC}" xr6:coauthVersionLast="47" xr6:coauthVersionMax="47" xr10:uidLastSave="{00000000-0000-0000-0000-000000000000}"/>
  <bookViews>
    <workbookView xWindow="-108" yWindow="-108" windowWidth="30936" windowHeight="16776" activeTab="3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E27" i="25"/>
  <c r="AC26" i="25"/>
  <c r="E26" i="25"/>
  <c r="AC25" i="25"/>
  <c r="E25" i="25"/>
  <c r="AC24" i="25"/>
  <c r="E24" i="25"/>
  <c r="AC23" i="25"/>
  <c r="E23" i="25"/>
  <c r="BE21" i="25"/>
  <c r="BD21" i="25"/>
  <c r="BC21" i="25"/>
  <c r="BB21" i="25"/>
  <c r="BA21" i="25"/>
  <c r="AZ21" i="25"/>
  <c r="AY21" i="25"/>
  <c r="AX21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D16" i="25"/>
  <c r="BC16" i="25"/>
  <c r="BB16" i="25"/>
  <c r="BA16" i="25"/>
  <c r="AZ16" i="25"/>
  <c r="AY16" i="25"/>
  <c r="AX16" i="25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AC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E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AC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E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AC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E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AC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E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AC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E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E27" i="24"/>
  <c r="AC26" i="24"/>
  <c r="E26" i="24"/>
  <c r="AC25" i="24"/>
  <c r="E25" i="24"/>
  <c r="AC24" i="24"/>
  <c r="E24" i="24"/>
  <c r="AC23" i="24"/>
  <c r="E23" i="24"/>
  <c r="BE21" i="24"/>
  <c r="BD21" i="24"/>
  <c r="BC21" i="24"/>
  <c r="BB21" i="24"/>
  <c r="AZ21" i="24"/>
  <c r="AY21" i="24"/>
  <c r="AX21" i="24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BA21" i="24" s="1"/>
  <c r="AZ17" i="24"/>
  <c r="AY17" i="24"/>
  <c r="AX17" i="24"/>
  <c r="BE16" i="24"/>
  <c r="BD16" i="24"/>
  <c r="BC16" i="24"/>
  <c r="BB16" i="24"/>
  <c r="BA16" i="24"/>
  <c r="AZ16" i="24"/>
  <c r="AY16" i="24"/>
  <c r="AX16" i="24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AC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E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AC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E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AC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E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AC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E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E27" i="23"/>
  <c r="AC26" i="23"/>
  <c r="E26" i="23"/>
  <c r="AC25" i="23"/>
  <c r="E25" i="23"/>
  <c r="AC24" i="23"/>
  <c r="E24" i="23"/>
  <c r="AC23" i="23"/>
  <c r="E23" i="23"/>
  <c r="BE21" i="23"/>
  <c r="BD21" i="23"/>
  <c r="BC21" i="23"/>
  <c r="BB21" i="23"/>
  <c r="BA21" i="23"/>
  <c r="AZ21" i="23"/>
  <c r="AY21" i="23"/>
  <c r="AX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D16" i="23"/>
  <c r="BC16" i="23"/>
  <c r="BB16" i="23"/>
  <c r="BA16" i="23"/>
  <c r="AZ16" i="23"/>
  <c r="AY16" i="23"/>
  <c r="AX16" i="23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AC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E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AC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E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AC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E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AC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E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AC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E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AC9" i="22" s="1"/>
  <c r="E27" i="22"/>
  <c r="AC26" i="22"/>
  <c r="E26" i="22"/>
  <c r="AC25" i="22"/>
  <c r="E25" i="22"/>
  <c r="AC24" i="22"/>
  <c r="E24" i="22"/>
  <c r="AC23" i="22"/>
  <c r="E23" i="22"/>
  <c r="BD21" i="22"/>
  <c r="BB21" i="22"/>
  <c r="BA21" i="22"/>
  <c r="AZ21" i="22"/>
  <c r="AY21" i="22"/>
  <c r="AX21" i="22"/>
  <c r="BE19" i="22"/>
  <c r="BD19" i="22"/>
  <c r="BC19" i="22"/>
  <c r="BB19" i="22"/>
  <c r="BA19" i="22"/>
  <c r="AZ19" i="22"/>
  <c r="AY19" i="22"/>
  <c r="AX19" i="22"/>
  <c r="BE18" i="22"/>
  <c r="BD18" i="22"/>
  <c r="BC18" i="22"/>
  <c r="BC21" i="22" s="1"/>
  <c r="BB18" i="22"/>
  <c r="BA18" i="22"/>
  <c r="AZ18" i="22"/>
  <c r="AY18" i="22"/>
  <c r="AX18" i="22"/>
  <c r="BE17" i="22"/>
  <c r="BE21" i="22" s="1"/>
  <c r="BD17" i="22"/>
  <c r="BC17" i="22"/>
  <c r="BB17" i="22"/>
  <c r="BA17" i="22"/>
  <c r="AZ17" i="22"/>
  <c r="AY17" i="22"/>
  <c r="AX17" i="22"/>
  <c r="BE16" i="22"/>
  <c r="BD16" i="22"/>
  <c r="BC16" i="22"/>
  <c r="BB16" i="22"/>
  <c r="BA16" i="22"/>
  <c r="AZ16" i="22"/>
  <c r="AY16" i="22"/>
  <c r="AX16" i="22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E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AC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AC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AC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E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AC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E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E9" i="21" s="1"/>
  <c r="AC26" i="21"/>
  <c r="E26" i="21"/>
  <c r="AC25" i="21"/>
  <c r="E25" i="21"/>
  <c r="AC24" i="21"/>
  <c r="E24" i="21"/>
  <c r="AC23" i="21"/>
  <c r="E23" i="21"/>
  <c r="BE21" i="21"/>
  <c r="BD21" i="21"/>
  <c r="BC21" i="21"/>
  <c r="BB21" i="21"/>
  <c r="BA21" i="21"/>
  <c r="AZ21" i="21"/>
  <c r="AY21" i="21"/>
  <c r="AX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D16" i="21"/>
  <c r="BC16" i="21"/>
  <c r="BB16" i="21"/>
  <c r="BA16" i="21"/>
  <c r="AZ16" i="21"/>
  <c r="AY16" i="21"/>
  <c r="AX16" i="2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AC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E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AC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E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AC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E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AC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E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E27" i="20"/>
  <c r="AC26" i="20"/>
  <c r="E26" i="20"/>
  <c r="AC25" i="20"/>
  <c r="E25" i="20"/>
  <c r="AC24" i="20"/>
  <c r="E24" i="20"/>
  <c r="AC23" i="20"/>
  <c r="E23" i="20"/>
  <c r="BE21" i="20"/>
  <c r="BD21" i="20"/>
  <c r="BC21" i="20"/>
  <c r="BB21" i="20"/>
  <c r="BA21" i="20"/>
  <c r="AZ21" i="20"/>
  <c r="AX21" i="20"/>
  <c r="BE19" i="20"/>
  <c r="BD19" i="20"/>
  <c r="BC19" i="20"/>
  <c r="BB19" i="20"/>
  <c r="BA19" i="20"/>
  <c r="AZ19" i="20"/>
  <c r="AY19" i="20"/>
  <c r="AY21" i="20" s="1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D16" i="20"/>
  <c r="BC16" i="20"/>
  <c r="BB16" i="20"/>
  <c r="BA16" i="20"/>
  <c r="AZ16" i="20"/>
  <c r="AY16" i="20"/>
  <c r="AX16" i="20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AC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E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AC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E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AC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E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AC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E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AC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E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E27" i="19"/>
  <c r="AC26" i="19"/>
  <c r="E26" i="19"/>
  <c r="AC25" i="19"/>
  <c r="E25" i="19"/>
  <c r="AC24" i="19"/>
  <c r="E24" i="19"/>
  <c r="AC23" i="19"/>
  <c r="E23" i="19"/>
  <c r="BE21" i="19"/>
  <c r="BD21" i="19"/>
  <c r="BB21" i="19"/>
  <c r="BA21" i="19"/>
  <c r="AZ21" i="19"/>
  <c r="AY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AX21" i="19" s="1"/>
  <c r="BE16" i="19"/>
  <c r="BD16" i="19"/>
  <c r="BC16" i="19"/>
  <c r="BC21" i="19" s="1"/>
  <c r="BB16" i="19"/>
  <c r="BA16" i="19"/>
  <c r="AZ16" i="19"/>
  <c r="AY16" i="19"/>
  <c r="AX16" i="19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AC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E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AC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E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AC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E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AC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E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E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E27" i="18"/>
  <c r="AC26" i="18"/>
  <c r="E26" i="18"/>
  <c r="AC25" i="18"/>
  <c r="E25" i="18"/>
  <c r="AC24" i="18"/>
  <c r="E24" i="18"/>
  <c r="AC23" i="18"/>
  <c r="E23" i="18"/>
  <c r="BD21" i="18"/>
  <c r="BB21" i="18"/>
  <c r="BA21" i="18"/>
  <c r="AY21" i="18"/>
  <c r="AX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C21" i="18" s="1"/>
  <c r="BB17" i="18"/>
  <c r="BA17" i="18"/>
  <c r="AZ17" i="18"/>
  <c r="AZ21" i="18" s="1"/>
  <c r="AY17" i="18"/>
  <c r="AX17" i="18"/>
  <c r="BE16" i="18"/>
  <c r="BE21" i="18" s="1"/>
  <c r="BD16" i="18"/>
  <c r="BC16" i="18"/>
  <c r="BB16" i="18"/>
  <c r="BA16" i="18"/>
  <c r="AZ16" i="18"/>
  <c r="AY16" i="18"/>
  <c r="AX16" i="18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AC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E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AC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E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AC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E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AC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E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E27" i="17"/>
  <c r="AC26" i="17"/>
  <c r="E26" i="17"/>
  <c r="E8" i="17" s="1"/>
  <c r="AC25" i="17"/>
  <c r="E25" i="17"/>
  <c r="AC24" i="17"/>
  <c r="AC6" i="17" s="1"/>
  <c r="E24" i="17"/>
  <c r="AC23" i="17"/>
  <c r="E23" i="17"/>
  <c r="E5" i="17" s="1"/>
  <c r="BD21" i="17"/>
  <c r="BC21" i="17"/>
  <c r="BB21" i="17"/>
  <c r="BA21" i="17"/>
  <c r="AY21" i="17"/>
  <c r="AX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Z21" i="17" s="1"/>
  <c r="AY17" i="17"/>
  <c r="AX17" i="17"/>
  <c r="BE16" i="17"/>
  <c r="BE21" i="17" s="1"/>
  <c r="BD16" i="17"/>
  <c r="BC16" i="17"/>
  <c r="BB16" i="17"/>
  <c r="BA16" i="17"/>
  <c r="AZ16" i="17"/>
  <c r="AY16" i="17"/>
  <c r="AX16" i="17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AC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E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AC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AC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E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AC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AC26" i="16"/>
  <c r="E26" i="16"/>
  <c r="AC25" i="16"/>
  <c r="E25" i="16"/>
  <c r="E7" i="16" s="1"/>
  <c r="AC24" i="16"/>
  <c r="AC6" i="16" s="1"/>
  <c r="E24" i="16"/>
  <c r="AC23" i="16"/>
  <c r="E23" i="16"/>
  <c r="BE21" i="16"/>
  <c r="BD21" i="16"/>
  <c r="BC21" i="16"/>
  <c r="BA21" i="16"/>
  <c r="AZ21" i="16"/>
  <c r="AY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AX21" i="16" s="1"/>
  <c r="BE17" i="16"/>
  <c r="BD17" i="16"/>
  <c r="BC17" i="16"/>
  <c r="BB17" i="16"/>
  <c r="BB21" i="16" s="1"/>
  <c r="BA17" i="16"/>
  <c r="AZ17" i="16"/>
  <c r="AY17" i="16"/>
  <c r="AX17" i="16"/>
  <c r="BE16" i="16"/>
  <c r="BD16" i="16"/>
  <c r="BC16" i="16"/>
  <c r="BB16" i="16"/>
  <c r="BA16" i="16"/>
  <c r="AZ16" i="16"/>
  <c r="AY16" i="16"/>
  <c r="AX16" i="16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E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AC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AC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E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AC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E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E27" i="15"/>
  <c r="AC26" i="15"/>
  <c r="E26" i="15"/>
  <c r="AC25" i="15"/>
  <c r="E25" i="15"/>
  <c r="AC24" i="15"/>
  <c r="E24" i="15"/>
  <c r="E6" i="15" s="1"/>
  <c r="AC23" i="15"/>
  <c r="E23" i="15"/>
  <c r="BE21" i="15"/>
  <c r="BA21" i="15"/>
  <c r="AZ21" i="15"/>
  <c r="AX21" i="15"/>
  <c r="BE19" i="15"/>
  <c r="BD19" i="15"/>
  <c r="BC19" i="15"/>
  <c r="BC21" i="15" s="1"/>
  <c r="BB19" i="15"/>
  <c r="BA19" i="15"/>
  <c r="AZ19" i="15"/>
  <c r="AY19" i="15"/>
  <c r="AY21" i="15" s="1"/>
  <c r="AX19" i="15"/>
  <c r="BE18" i="15"/>
  <c r="BD18" i="15"/>
  <c r="BD21" i="15" s="1"/>
  <c r="BC18" i="15"/>
  <c r="BB18" i="15"/>
  <c r="BB21" i="15" s="1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D16" i="15"/>
  <c r="BC16" i="15"/>
  <c r="BB16" i="15"/>
  <c r="BA16" i="15"/>
  <c r="AZ16" i="15"/>
  <c r="AY16" i="15"/>
  <c r="AX16" i="15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AC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E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AC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E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AC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E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AC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AC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E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E27" i="14"/>
  <c r="AC26" i="14"/>
  <c r="E26" i="14"/>
  <c r="AC25" i="14"/>
  <c r="AC7" i="14" s="1"/>
  <c r="E25" i="14"/>
  <c r="AC24" i="14"/>
  <c r="E24" i="14"/>
  <c r="E6" i="14" s="1"/>
  <c r="AC23" i="14"/>
  <c r="E23" i="14"/>
  <c r="BE21" i="14"/>
  <c r="BB21" i="14"/>
  <c r="BA21" i="14"/>
  <c r="AZ21" i="14"/>
  <c r="AY21" i="14"/>
  <c r="AX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D16" i="14"/>
  <c r="BD21" i="14" s="1"/>
  <c r="BC16" i="14"/>
  <c r="BC21" i="14" s="1"/>
  <c r="BB16" i="14"/>
  <c r="BA16" i="14"/>
  <c r="AZ16" i="14"/>
  <c r="AY16" i="14"/>
  <c r="AX16" i="14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AC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E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AC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E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AC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AC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AC26" i="13"/>
  <c r="AC8" i="13" s="1"/>
  <c r="E26" i="13"/>
  <c r="AC25" i="13"/>
  <c r="E25" i="13"/>
  <c r="AC24" i="13"/>
  <c r="E24" i="13"/>
  <c r="AC23" i="13"/>
  <c r="E23" i="13"/>
  <c r="BE21" i="13"/>
  <c r="BD21" i="13"/>
  <c r="BC21" i="13"/>
  <c r="AY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D16" i="13"/>
  <c r="BC16" i="13"/>
  <c r="BB16" i="13"/>
  <c r="BA16" i="13"/>
  <c r="AZ16" i="13"/>
  <c r="AY16" i="13"/>
  <c r="AX16" i="13"/>
  <c r="AX21" i="13" s="1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E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E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AC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E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AC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AC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E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E27" i="12"/>
  <c r="AC26" i="12"/>
  <c r="E26" i="12"/>
  <c r="AC25" i="12"/>
  <c r="E25" i="12"/>
  <c r="AC24" i="12"/>
  <c r="E24" i="12"/>
  <c r="AC23" i="12"/>
  <c r="E23" i="12"/>
  <c r="BD21" i="12"/>
  <c r="AY21" i="12"/>
  <c r="AX21" i="12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D16" i="12"/>
  <c r="BC16" i="12"/>
  <c r="BC21" i="12" s="1"/>
  <c r="BB16" i="12"/>
  <c r="BB21" i="12" s="1"/>
  <c r="BA16" i="12"/>
  <c r="BA21" i="12" s="1"/>
  <c r="AZ16" i="12"/>
  <c r="AY16" i="12"/>
  <c r="AX16" i="12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AC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E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AC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E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AC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E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AC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E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AC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E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AC9" i="11" s="1"/>
  <c r="E27" i="11"/>
  <c r="AC26" i="11"/>
  <c r="E26" i="11"/>
  <c r="AC25" i="11"/>
  <c r="E25" i="11"/>
  <c r="AC24" i="11"/>
  <c r="E24" i="11"/>
  <c r="E6" i="11" s="1"/>
  <c r="AC23" i="11"/>
  <c r="AC5" i="11" s="1"/>
  <c r="E23" i="11"/>
  <c r="BC21" i="11"/>
  <c r="AZ21" i="11"/>
  <c r="AY21" i="11"/>
  <c r="AX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D16" i="11"/>
  <c r="BD21" i="11" s="1"/>
  <c r="BC16" i="11"/>
  <c r="BB16" i="11"/>
  <c r="BB21" i="11" s="1"/>
  <c r="BA16" i="11"/>
  <c r="BA21" i="11" s="1"/>
  <c r="AZ16" i="11"/>
  <c r="AY16" i="11"/>
  <c r="AX16" i="1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E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AC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E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AC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E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AC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E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AC26" i="10"/>
  <c r="E26" i="10"/>
  <c r="E8" i="10" s="1"/>
  <c r="AC25" i="10"/>
  <c r="AC7" i="10" s="1"/>
  <c r="E25" i="10"/>
  <c r="AC24" i="10"/>
  <c r="E24" i="10"/>
  <c r="AC23" i="10"/>
  <c r="AC5" i="10" s="1"/>
  <c r="E23" i="10"/>
  <c r="E5" i="10" s="1"/>
  <c r="BE21" i="10"/>
  <c r="BC21" i="10"/>
  <c r="BB21" i="10"/>
  <c r="BA21" i="10"/>
  <c r="AZ21" i="10"/>
  <c r="AX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D16" i="10"/>
  <c r="BD21" i="10" s="1"/>
  <c r="BC16" i="10"/>
  <c r="BB16" i="10"/>
  <c r="BA16" i="10"/>
  <c r="AZ16" i="10"/>
  <c r="AY16" i="10"/>
  <c r="AX16" i="10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E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AC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E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AC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E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E27" i="9"/>
  <c r="AC26" i="9"/>
  <c r="AC8" i="9" s="1"/>
  <c r="E26" i="9"/>
  <c r="E8" i="9" s="1"/>
  <c r="AC25" i="9"/>
  <c r="AC7" i="9" s="1"/>
  <c r="E25" i="9"/>
  <c r="E7" i="9" s="1"/>
  <c r="AC24" i="9"/>
  <c r="E24" i="9"/>
  <c r="AC23" i="9"/>
  <c r="AC5" i="9" s="1"/>
  <c r="E23" i="9"/>
  <c r="AZ21" i="9"/>
  <c r="BE19" i="9"/>
  <c r="BD19" i="9"/>
  <c r="BC19" i="9"/>
  <c r="BB19" i="9"/>
  <c r="BA19" i="9"/>
  <c r="BA21" i="9" s="1"/>
  <c r="AZ19" i="9"/>
  <c r="AY19" i="9"/>
  <c r="AX19" i="9"/>
  <c r="BE18" i="9"/>
  <c r="BE21" i="9" s="1"/>
  <c r="BD18" i="9"/>
  <c r="BC18" i="9"/>
  <c r="BB18" i="9"/>
  <c r="BB21" i="9" s="1"/>
  <c r="BA18" i="9"/>
  <c r="AZ18" i="9"/>
  <c r="AY18" i="9"/>
  <c r="AY21" i="9" s="1"/>
  <c r="AX18" i="9"/>
  <c r="BE17" i="9"/>
  <c r="BD17" i="9"/>
  <c r="BC17" i="9"/>
  <c r="BC21" i="9" s="1"/>
  <c r="BB17" i="9"/>
  <c r="BA17" i="9"/>
  <c r="AZ17" i="9"/>
  <c r="AY17" i="9"/>
  <c r="AX17" i="9"/>
  <c r="BE16" i="9"/>
  <c r="BD16" i="9"/>
  <c r="BC16" i="9"/>
  <c r="BB16" i="9"/>
  <c r="BA16" i="9"/>
  <c r="AZ16" i="9"/>
  <c r="AY16" i="9"/>
  <c r="AX16" i="9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AC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E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AC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E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E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E27" i="8"/>
  <c r="AC26" i="8"/>
  <c r="AC8" i="8" s="1"/>
  <c r="E26" i="8"/>
  <c r="E8" i="8" s="1"/>
  <c r="AC25" i="8"/>
  <c r="E25" i="8"/>
  <c r="AC24" i="8"/>
  <c r="E24" i="8"/>
  <c r="AC23" i="8"/>
  <c r="E23" i="8"/>
  <c r="BD21" i="8"/>
  <c r="BC21" i="8"/>
  <c r="BA21" i="8"/>
  <c r="AZ21" i="8"/>
  <c r="AY21" i="8"/>
  <c r="AX21" i="8"/>
  <c r="BE19" i="8"/>
  <c r="BD19" i="8"/>
  <c r="BC19" i="8"/>
  <c r="BB19" i="8"/>
  <c r="BA19" i="8"/>
  <c r="AZ19" i="8"/>
  <c r="AY19" i="8"/>
  <c r="AX19" i="8"/>
  <c r="BE18" i="8"/>
  <c r="BD18" i="8"/>
  <c r="BC18" i="8"/>
  <c r="BB18" i="8"/>
  <c r="BA18" i="8"/>
  <c r="AZ18" i="8"/>
  <c r="AY18" i="8"/>
  <c r="AX18" i="8"/>
  <c r="BE17" i="8"/>
  <c r="BD17" i="8"/>
  <c r="BC17" i="8"/>
  <c r="BB17" i="8"/>
  <c r="BA17" i="8"/>
  <c r="AZ17" i="8"/>
  <c r="AY17" i="8"/>
  <c r="AX17" i="8"/>
  <c r="BE16" i="8"/>
  <c r="BE21" i="8" s="1"/>
  <c r="BD16" i="8"/>
  <c r="BC16" i="8"/>
  <c r="BB16" i="8"/>
  <c r="BB21" i="8" s="1"/>
  <c r="BA16" i="8"/>
  <c r="AZ16" i="8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AC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E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AC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E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AC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AC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E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E27" i="7"/>
  <c r="AC26" i="7"/>
  <c r="E26" i="7"/>
  <c r="AC25" i="7"/>
  <c r="E25" i="7"/>
  <c r="AC24" i="7"/>
  <c r="E24" i="7"/>
  <c r="AC23" i="7"/>
  <c r="AC5" i="7" s="1"/>
  <c r="E23" i="7"/>
  <c r="BE21" i="7"/>
  <c r="BD21" i="7"/>
  <c r="BC21" i="7"/>
  <c r="BA21" i="7"/>
  <c r="AZ21" i="7"/>
  <c r="AY21" i="7"/>
  <c r="AX21" i="7"/>
  <c r="BE19" i="7"/>
  <c r="BD19" i="7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D17" i="7"/>
  <c r="BC17" i="7"/>
  <c r="BB17" i="7"/>
  <c r="BA17" i="7"/>
  <c r="AZ17" i="7"/>
  <c r="AY17" i="7"/>
  <c r="AX17" i="7"/>
  <c r="BE16" i="7"/>
  <c r="BD16" i="7"/>
  <c r="BC16" i="7"/>
  <c r="BB16" i="7"/>
  <c r="BB21" i="7" s="1"/>
  <c r="BA16" i="7"/>
  <c r="AZ16" i="7"/>
  <c r="AY16" i="7"/>
  <c r="AX16" i="7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AC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E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AC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AC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AC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E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E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E27" i="6"/>
  <c r="AC26" i="6"/>
  <c r="E26" i="6"/>
  <c r="E8" i="6" s="1"/>
  <c r="AC25" i="6"/>
  <c r="AC7" i="6" s="1"/>
  <c r="E25" i="6"/>
  <c r="AC24" i="6"/>
  <c r="E24" i="6"/>
  <c r="AC23" i="6"/>
  <c r="E23" i="6"/>
  <c r="BE21" i="6"/>
  <c r="BD21" i="6"/>
  <c r="BE19" i="6"/>
  <c r="BD19" i="6"/>
  <c r="BC19" i="6"/>
  <c r="BC21" i="6" s="1"/>
  <c r="BB19" i="6"/>
  <c r="BA19" i="6"/>
  <c r="AZ19" i="6"/>
  <c r="AZ21" i="6" s="1"/>
  <c r="AY19" i="6"/>
  <c r="AX19" i="6"/>
  <c r="BE18" i="6"/>
  <c r="BD18" i="6"/>
  <c r="BC18" i="6"/>
  <c r="BB18" i="6"/>
  <c r="BA18" i="6"/>
  <c r="AZ18" i="6"/>
  <c r="AY18" i="6"/>
  <c r="AX18" i="6"/>
  <c r="BE17" i="6"/>
  <c r="BD17" i="6"/>
  <c r="BC17" i="6"/>
  <c r="BB17" i="6"/>
  <c r="BA17" i="6"/>
  <c r="BA21" i="6" s="1"/>
  <c r="AZ17" i="6"/>
  <c r="AY17" i="6"/>
  <c r="AX17" i="6"/>
  <c r="BE16" i="6"/>
  <c r="BD16" i="6"/>
  <c r="BC16" i="6"/>
  <c r="BB16" i="6"/>
  <c r="BA16" i="6"/>
  <c r="AZ16" i="6"/>
  <c r="AY16" i="6"/>
  <c r="AY21" i="6" s="1"/>
  <c r="AX16" i="6"/>
  <c r="AX21" i="6" s="1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AC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E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AC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AC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AC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E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E27" i="5"/>
  <c r="AC26" i="5"/>
  <c r="E26" i="5"/>
  <c r="AC25" i="5"/>
  <c r="E25" i="5"/>
  <c r="AC24" i="5"/>
  <c r="AC6" i="5" s="1"/>
  <c r="E24" i="5"/>
  <c r="E6" i="5" s="1"/>
  <c r="AC23" i="5"/>
  <c r="AC5" i="5" s="1"/>
  <c r="E23" i="5"/>
  <c r="BE21" i="5"/>
  <c r="BD21" i="5"/>
  <c r="BB21" i="5"/>
  <c r="BA21" i="5"/>
  <c r="AZ21" i="5"/>
  <c r="AY21" i="5"/>
  <c r="AX21" i="5"/>
  <c r="BE19" i="5"/>
  <c r="BD19" i="5"/>
  <c r="BC19" i="5"/>
  <c r="BB19" i="5"/>
  <c r="BA19" i="5"/>
  <c r="AZ19" i="5"/>
  <c r="AY19" i="5"/>
  <c r="AX19" i="5"/>
  <c r="BE18" i="5"/>
  <c r="BD18" i="5"/>
  <c r="BC18" i="5"/>
  <c r="BB18" i="5"/>
  <c r="BA18" i="5"/>
  <c r="AZ18" i="5"/>
  <c r="AY18" i="5"/>
  <c r="AX18" i="5"/>
  <c r="BE17" i="5"/>
  <c r="BD17" i="5"/>
  <c r="BC17" i="5"/>
  <c r="BB17" i="5"/>
  <c r="BA17" i="5"/>
  <c r="AZ17" i="5"/>
  <c r="AY17" i="5"/>
  <c r="AX17" i="5"/>
  <c r="BE16" i="5"/>
  <c r="BD16" i="5"/>
  <c r="BC16" i="5"/>
  <c r="BC21" i="5" s="1"/>
  <c r="BB16" i="5"/>
  <c r="BA16" i="5"/>
  <c r="AZ16" i="5"/>
  <c r="AY16" i="5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AC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AC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AC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E5" i="5"/>
  <c r="AX2" i="5"/>
  <c r="AA2" i="5"/>
  <c r="Z2" i="5"/>
  <c r="C2" i="5"/>
  <c r="M233" i="4"/>
  <c r="L233" i="4"/>
  <c r="B227" i="4"/>
  <c r="F224" i="4"/>
  <c r="M222" i="4"/>
  <c r="L222" i="4"/>
  <c r="B216" i="4"/>
  <c r="F213" i="4"/>
  <c r="M211" i="4"/>
  <c r="L211" i="4"/>
  <c r="F208" i="4"/>
  <c r="F209" i="4" s="1"/>
  <c r="B205" i="4"/>
  <c r="F202" i="4"/>
  <c r="F205" i="4" s="1"/>
  <c r="F206" i="4" s="1"/>
  <c r="F207" i="4" s="1"/>
  <c r="M200" i="4"/>
  <c r="L200" i="4"/>
  <c r="F198" i="4"/>
  <c r="B196" i="4"/>
  <c r="B195" i="4"/>
  <c r="F194" i="4"/>
  <c r="F195" i="4" s="1"/>
  <c r="F196" i="4" s="1"/>
  <c r="F197" i="4" s="1"/>
  <c r="B194" i="4"/>
  <c r="M193" i="4"/>
  <c r="L191" i="4"/>
  <c r="F191" i="4"/>
  <c r="M189" i="4"/>
  <c r="L189" i="4"/>
  <c r="F183" i="4"/>
  <c r="F184" i="4" s="1"/>
  <c r="F185" i="4" s="1"/>
  <c r="F186" i="4" s="1"/>
  <c r="F187" i="4" s="1"/>
  <c r="B183" i="4"/>
  <c r="M182" i="4"/>
  <c r="L182" i="4"/>
  <c r="F180" i="4"/>
  <c r="L180" i="4" s="1"/>
  <c r="M178" i="4"/>
  <c r="L178" i="4"/>
  <c r="B172" i="4"/>
  <c r="F169" i="4"/>
  <c r="M167" i="4"/>
  <c r="L167" i="4"/>
  <c r="F161" i="4"/>
  <c r="F162" i="4" s="1"/>
  <c r="F163" i="4" s="1"/>
  <c r="F164" i="4" s="1"/>
  <c r="F165" i="4" s="1"/>
  <c r="B161" i="4"/>
  <c r="M160" i="4"/>
  <c r="F158" i="4"/>
  <c r="L158" i="4" s="1"/>
  <c r="L160" i="4" s="1"/>
  <c r="M156" i="4"/>
  <c r="L156" i="4"/>
  <c r="F152" i="4"/>
  <c r="F153" i="4" s="1"/>
  <c r="F154" i="4" s="1"/>
  <c r="B152" i="4"/>
  <c r="B151" i="4"/>
  <c r="F150" i="4"/>
  <c r="F151" i="4" s="1"/>
  <c r="B150" i="4"/>
  <c r="M149" i="4"/>
  <c r="L149" i="4"/>
  <c r="L147" i="4"/>
  <c r="F147" i="4"/>
  <c r="M145" i="4"/>
  <c r="L145" i="4"/>
  <c r="F142" i="4"/>
  <c r="F143" i="4" s="1"/>
  <c r="F141" i="4"/>
  <c r="B141" i="4"/>
  <c r="F139" i="4"/>
  <c r="F140" i="4" s="1"/>
  <c r="B139" i="4"/>
  <c r="B140" i="4" s="1"/>
  <c r="F136" i="4"/>
  <c r="L136" i="4" s="1"/>
  <c r="M134" i="4"/>
  <c r="L134" i="4"/>
  <c r="B128" i="4"/>
  <c r="F125" i="4"/>
  <c r="M123" i="4"/>
  <c r="L123" i="4"/>
  <c r="B117" i="4"/>
  <c r="F114" i="4"/>
  <c r="F117" i="4" s="1"/>
  <c r="F118" i="4" s="1"/>
  <c r="F119" i="4" s="1"/>
  <c r="F120" i="4" s="1"/>
  <c r="F121" i="4" s="1"/>
  <c r="M112" i="4"/>
  <c r="L112" i="4"/>
  <c r="B109" i="4"/>
  <c r="F108" i="4"/>
  <c r="F109" i="4" s="1"/>
  <c r="F110" i="4" s="1"/>
  <c r="B108" i="4"/>
  <c r="B107" i="4"/>
  <c r="F106" i="4"/>
  <c r="F107" i="4" s="1"/>
  <c r="B106" i="4"/>
  <c r="M105" i="4"/>
  <c r="L103" i="4"/>
  <c r="F103" i="4"/>
  <c r="M101" i="4"/>
  <c r="L101" i="4"/>
  <c r="B98" i="4"/>
  <c r="B99" i="4" s="1"/>
  <c r="B95" i="4"/>
  <c r="B96" i="4" s="1"/>
  <c r="B97" i="4" s="1"/>
  <c r="F92" i="4"/>
  <c r="L92" i="4" s="1"/>
  <c r="L94" i="4" s="1"/>
  <c r="M90" i="4"/>
  <c r="L90" i="4"/>
  <c r="B86" i="4"/>
  <c r="B85" i="4"/>
  <c r="B84" i="4"/>
  <c r="F81" i="4"/>
  <c r="M79" i="4"/>
  <c r="L79" i="4"/>
  <c r="B73" i="4"/>
  <c r="F70" i="4"/>
  <c r="M68" i="4"/>
  <c r="L68" i="4"/>
  <c r="F66" i="4"/>
  <c r="F65" i="4"/>
  <c r="F64" i="4"/>
  <c r="B63" i="4"/>
  <c r="F62" i="4"/>
  <c r="F63" i="4" s="1"/>
  <c r="B62" i="4"/>
  <c r="M61" i="4"/>
  <c r="L61" i="4"/>
  <c r="L59" i="4"/>
  <c r="F59" i="4"/>
  <c r="M57" i="4"/>
  <c r="L57" i="4"/>
  <c r="B51" i="4"/>
  <c r="F48" i="4"/>
  <c r="M46" i="4"/>
  <c r="L46" i="4"/>
  <c r="B40" i="4"/>
  <c r="F37" i="4"/>
  <c r="M35" i="4"/>
  <c r="L35" i="4"/>
  <c r="B32" i="4"/>
  <c r="B31" i="4"/>
  <c r="F29" i="4"/>
  <c r="F30" i="4" s="1"/>
  <c r="F31" i="4" s="1"/>
  <c r="F32" i="4" s="1"/>
  <c r="F33" i="4" s="1"/>
  <c r="B29" i="4"/>
  <c r="B30" i="4" s="1"/>
  <c r="F26" i="4"/>
  <c r="L26" i="4" s="1"/>
  <c r="L28" i="4" s="1"/>
  <c r="M24" i="4"/>
  <c r="L24" i="4"/>
  <c r="F22" i="4"/>
  <c r="F20" i="4"/>
  <c r="F21" i="4" s="1"/>
  <c r="B19" i="4"/>
  <c r="F18" i="4"/>
  <c r="F19" i="4" s="1"/>
  <c r="B18" i="4"/>
  <c r="M17" i="4"/>
  <c r="L17" i="4"/>
  <c r="L15" i="4"/>
  <c r="F15" i="4"/>
  <c r="M13" i="4"/>
  <c r="L13" i="4"/>
  <c r="B7" i="4"/>
  <c r="F4" i="4"/>
  <c r="F7" i="4" s="1"/>
  <c r="F8" i="4" s="1"/>
  <c r="F9" i="4" s="1"/>
  <c r="F10" i="4" s="1"/>
  <c r="F11" i="4" s="1"/>
  <c r="F2" i="4"/>
  <c r="B2" i="4"/>
  <c r="M233" i="3"/>
  <c r="L233" i="3"/>
  <c r="F228" i="3"/>
  <c r="F229" i="3" s="1"/>
  <c r="F230" i="3" s="1"/>
  <c r="F231" i="3" s="1"/>
  <c r="F227" i="3"/>
  <c r="B227" i="3"/>
  <c r="L224" i="3"/>
  <c r="F224" i="3"/>
  <c r="M222" i="3"/>
  <c r="L222" i="3"/>
  <c r="B218" i="3"/>
  <c r="F217" i="3"/>
  <c r="F218" i="3" s="1"/>
  <c r="F219" i="3" s="1"/>
  <c r="F220" i="3" s="1"/>
  <c r="B217" i="3"/>
  <c r="F216" i="3"/>
  <c r="B216" i="3"/>
  <c r="L213" i="3"/>
  <c r="F213" i="3"/>
  <c r="M211" i="3"/>
  <c r="L211" i="3"/>
  <c r="B206" i="3"/>
  <c r="F205" i="3"/>
  <c r="F206" i="3" s="1"/>
  <c r="F207" i="3" s="1"/>
  <c r="F208" i="3" s="1"/>
  <c r="F209" i="3" s="1"/>
  <c r="B205" i="3"/>
  <c r="L202" i="3"/>
  <c r="M204" i="3" s="1"/>
  <c r="F202" i="3"/>
  <c r="M200" i="3"/>
  <c r="L200" i="3"/>
  <c r="B196" i="3"/>
  <c r="B195" i="3"/>
  <c r="B194" i="3"/>
  <c r="F191" i="3"/>
  <c r="L191" i="3" s="1"/>
  <c r="M193" i="3" s="1"/>
  <c r="M189" i="3"/>
  <c r="L189" i="3"/>
  <c r="B184" i="3"/>
  <c r="B183" i="3"/>
  <c r="F180" i="3"/>
  <c r="L180" i="3" s="1"/>
  <c r="L182" i="3" s="1"/>
  <c r="M178" i="3"/>
  <c r="L178" i="3"/>
  <c r="F174" i="3"/>
  <c r="F175" i="3" s="1"/>
  <c r="F176" i="3" s="1"/>
  <c r="B174" i="3"/>
  <c r="F173" i="3"/>
  <c r="B173" i="3"/>
  <c r="F172" i="3"/>
  <c r="B172" i="3"/>
  <c r="M171" i="3"/>
  <c r="L169" i="3"/>
  <c r="F169" i="3"/>
  <c r="M167" i="3"/>
  <c r="L167" i="3"/>
  <c r="F165" i="3"/>
  <c r="B163" i="3"/>
  <c r="B162" i="3"/>
  <c r="F161" i="3"/>
  <c r="F162" i="3" s="1"/>
  <c r="F163" i="3" s="1"/>
  <c r="F164" i="3" s="1"/>
  <c r="B161" i="3"/>
  <c r="L158" i="3"/>
  <c r="M160" i="3" s="1"/>
  <c r="F158" i="3"/>
  <c r="M156" i="3"/>
  <c r="L156" i="3"/>
  <c r="B152" i="3"/>
  <c r="B151" i="3"/>
  <c r="B150" i="3"/>
  <c r="L147" i="3"/>
  <c r="M149" i="3" s="1"/>
  <c r="F147" i="3"/>
  <c r="F150" i="3" s="1"/>
  <c r="F151" i="3" s="1"/>
  <c r="F152" i="3" s="1"/>
  <c r="F153" i="3" s="1"/>
  <c r="F154" i="3" s="1"/>
  <c r="M145" i="3"/>
  <c r="L145" i="3"/>
  <c r="F143" i="3"/>
  <c r="F139" i="3"/>
  <c r="F140" i="3" s="1"/>
  <c r="F141" i="3" s="1"/>
  <c r="F142" i="3" s="1"/>
  <c r="B139" i="3"/>
  <c r="L136" i="3"/>
  <c r="F136" i="3"/>
  <c r="M134" i="3"/>
  <c r="M135" i="3" s="1"/>
  <c r="L134" i="3"/>
  <c r="L135" i="3" s="1"/>
  <c r="B130" i="3"/>
  <c r="B129" i="3"/>
  <c r="F128" i="3"/>
  <c r="F129" i="3" s="1"/>
  <c r="F130" i="3" s="1"/>
  <c r="F131" i="3" s="1"/>
  <c r="F132" i="3" s="1"/>
  <c r="B128" i="3"/>
  <c r="L125" i="3"/>
  <c r="F125" i="3"/>
  <c r="M123" i="3"/>
  <c r="L123" i="3"/>
  <c r="F118" i="3"/>
  <c r="F119" i="3" s="1"/>
  <c r="F120" i="3" s="1"/>
  <c r="F121" i="3" s="1"/>
  <c r="B118" i="3"/>
  <c r="F117" i="3"/>
  <c r="B117" i="3"/>
  <c r="L114" i="3"/>
  <c r="M116" i="3" s="1"/>
  <c r="F114" i="3"/>
  <c r="M112" i="3"/>
  <c r="L112" i="3"/>
  <c r="B110" i="3"/>
  <c r="F109" i="3"/>
  <c r="F110" i="3" s="1"/>
  <c r="B109" i="3"/>
  <c r="B108" i="3"/>
  <c r="B107" i="3"/>
  <c r="F106" i="3"/>
  <c r="F107" i="3" s="1"/>
  <c r="F108" i="3" s="1"/>
  <c r="B106" i="3"/>
  <c r="M105" i="3"/>
  <c r="L103" i="3"/>
  <c r="F103" i="3"/>
  <c r="M101" i="3"/>
  <c r="L101" i="3"/>
  <c r="F96" i="3"/>
  <c r="F97" i="3" s="1"/>
  <c r="F98" i="3" s="1"/>
  <c r="F99" i="3" s="1"/>
  <c r="F95" i="3"/>
  <c r="B95" i="3"/>
  <c r="M94" i="3"/>
  <c r="L92" i="3"/>
  <c r="F92" i="3"/>
  <c r="M90" i="3"/>
  <c r="L90" i="3"/>
  <c r="F88" i="3"/>
  <c r="F85" i="3"/>
  <c r="F86" i="3" s="1"/>
  <c r="F87" i="3" s="1"/>
  <c r="B85" i="3"/>
  <c r="F84" i="3"/>
  <c r="B84" i="3"/>
  <c r="L81" i="3"/>
  <c r="M83" i="3" s="1"/>
  <c r="F81" i="3"/>
  <c r="M79" i="3"/>
  <c r="L79" i="3"/>
  <c r="F77" i="3"/>
  <c r="F74" i="3"/>
  <c r="F75" i="3" s="1"/>
  <c r="F76" i="3" s="1"/>
  <c r="F73" i="3"/>
  <c r="B73" i="3"/>
  <c r="M72" i="3"/>
  <c r="L70" i="3"/>
  <c r="F70" i="3"/>
  <c r="M68" i="3"/>
  <c r="L68" i="3"/>
  <c r="F64" i="3"/>
  <c r="F65" i="3" s="1"/>
  <c r="F66" i="3" s="1"/>
  <c r="B64" i="3"/>
  <c r="B63" i="3"/>
  <c r="F62" i="3"/>
  <c r="F63" i="3" s="1"/>
  <c r="B62" i="3"/>
  <c r="M61" i="3"/>
  <c r="L59" i="3"/>
  <c r="F59" i="3"/>
  <c r="M57" i="3"/>
  <c r="L57" i="3"/>
  <c r="B52" i="3"/>
  <c r="F51" i="3"/>
  <c r="F52" i="3" s="1"/>
  <c r="F53" i="3" s="1"/>
  <c r="F54" i="3" s="1"/>
  <c r="F55" i="3" s="1"/>
  <c r="B51" i="3"/>
  <c r="M50" i="3"/>
  <c r="L48" i="3"/>
  <c r="F48" i="3"/>
  <c r="M46" i="3"/>
  <c r="L46" i="3"/>
  <c r="B41" i="3"/>
  <c r="B40" i="3"/>
  <c r="F37" i="3"/>
  <c r="F40" i="3" s="1"/>
  <c r="F41" i="3" s="1"/>
  <c r="F42" i="3" s="1"/>
  <c r="F43" i="3" s="1"/>
  <c r="F44" i="3" s="1"/>
  <c r="M35" i="3"/>
  <c r="L35" i="3"/>
  <c r="F31" i="3"/>
  <c r="F32" i="3" s="1"/>
  <c r="F33" i="3" s="1"/>
  <c r="F30" i="3"/>
  <c r="F29" i="3"/>
  <c r="B29" i="3"/>
  <c r="L26" i="3"/>
  <c r="F26" i="3"/>
  <c r="M24" i="3"/>
  <c r="L24" i="3"/>
  <c r="B19" i="3"/>
  <c r="F18" i="3"/>
  <c r="F19" i="3" s="1"/>
  <c r="F20" i="3" s="1"/>
  <c r="F21" i="3" s="1"/>
  <c r="F22" i="3" s="1"/>
  <c r="B18" i="3"/>
  <c r="L15" i="3"/>
  <c r="M17" i="3" s="1"/>
  <c r="F15" i="3"/>
  <c r="M13" i="3"/>
  <c r="L13" i="3"/>
  <c r="F9" i="3"/>
  <c r="F10" i="3" s="1"/>
  <c r="F11" i="3" s="1"/>
  <c r="B9" i="3"/>
  <c r="B8" i="3"/>
  <c r="F7" i="3"/>
  <c r="F8" i="3" s="1"/>
  <c r="B7" i="3"/>
  <c r="L4" i="3"/>
  <c r="M6" i="3" s="1"/>
  <c r="F4" i="3"/>
  <c r="F2" i="3"/>
  <c r="B2" i="3"/>
  <c r="L61" i="3" s="1"/>
  <c r="M233" i="2"/>
  <c r="L233" i="2"/>
  <c r="B228" i="2"/>
  <c r="B227" i="2"/>
  <c r="L224" i="2"/>
  <c r="F224" i="2"/>
  <c r="F227" i="2" s="1"/>
  <c r="F228" i="2" s="1"/>
  <c r="F229" i="2" s="1"/>
  <c r="F230" i="2" s="1"/>
  <c r="F231" i="2" s="1"/>
  <c r="M222" i="2"/>
  <c r="L222" i="2"/>
  <c r="B217" i="2"/>
  <c r="F216" i="2"/>
  <c r="F217" i="2" s="1"/>
  <c r="F218" i="2" s="1"/>
  <c r="F219" i="2" s="1"/>
  <c r="F220" i="2" s="1"/>
  <c r="B216" i="2"/>
  <c r="F213" i="2"/>
  <c r="L213" i="2" s="1"/>
  <c r="M211" i="2"/>
  <c r="L211" i="2"/>
  <c r="F205" i="2"/>
  <c r="F206" i="2" s="1"/>
  <c r="F207" i="2" s="1"/>
  <c r="F208" i="2" s="1"/>
  <c r="F209" i="2" s="1"/>
  <c r="B205" i="2"/>
  <c r="L202" i="2"/>
  <c r="F202" i="2"/>
  <c r="M200" i="2"/>
  <c r="L200" i="2"/>
  <c r="F194" i="2"/>
  <c r="F195" i="2" s="1"/>
  <c r="F196" i="2" s="1"/>
  <c r="F197" i="2" s="1"/>
  <c r="F198" i="2" s="1"/>
  <c r="B194" i="2"/>
  <c r="L191" i="2"/>
  <c r="F191" i="2"/>
  <c r="M189" i="2"/>
  <c r="L189" i="2"/>
  <c r="F186" i="2"/>
  <c r="F187" i="2" s="1"/>
  <c r="F185" i="2"/>
  <c r="B185" i="2"/>
  <c r="F184" i="2"/>
  <c r="B184" i="2"/>
  <c r="B183" i="2"/>
  <c r="L180" i="2"/>
  <c r="F180" i="2"/>
  <c r="F183" i="2" s="1"/>
  <c r="M178" i="2"/>
  <c r="L178" i="2"/>
  <c r="F173" i="2"/>
  <c r="F174" i="2" s="1"/>
  <c r="F175" i="2" s="1"/>
  <c r="F176" i="2" s="1"/>
  <c r="B172" i="2"/>
  <c r="L169" i="2"/>
  <c r="F169" i="2"/>
  <c r="F172" i="2" s="1"/>
  <c r="M167" i="2"/>
  <c r="L167" i="2"/>
  <c r="B162" i="2"/>
  <c r="F161" i="2"/>
  <c r="F162" i="2" s="1"/>
  <c r="F163" i="2" s="1"/>
  <c r="F164" i="2" s="1"/>
  <c r="F165" i="2" s="1"/>
  <c r="B161" i="2"/>
  <c r="F158" i="2"/>
  <c r="L158" i="2" s="1"/>
  <c r="M156" i="2"/>
  <c r="L156" i="2"/>
  <c r="F152" i="2"/>
  <c r="F153" i="2" s="1"/>
  <c r="F154" i="2" s="1"/>
  <c r="F151" i="2"/>
  <c r="B151" i="2"/>
  <c r="F150" i="2"/>
  <c r="B150" i="2"/>
  <c r="M149" i="2"/>
  <c r="L149" i="2"/>
  <c r="L147" i="2"/>
  <c r="F147" i="2"/>
  <c r="M145" i="2"/>
  <c r="L145" i="2"/>
  <c r="F141" i="2"/>
  <c r="F142" i="2" s="1"/>
  <c r="F143" i="2" s="1"/>
  <c r="F140" i="2"/>
  <c r="F139" i="2"/>
  <c r="B139" i="2"/>
  <c r="F136" i="2"/>
  <c r="L136" i="2" s="1"/>
  <c r="M134" i="2"/>
  <c r="L134" i="2"/>
  <c r="B129" i="2"/>
  <c r="F128" i="2"/>
  <c r="F129" i="2" s="1"/>
  <c r="F130" i="2" s="1"/>
  <c r="F131" i="2" s="1"/>
  <c r="F132" i="2" s="1"/>
  <c r="B128" i="2"/>
  <c r="L125" i="2"/>
  <c r="F125" i="2"/>
  <c r="M123" i="2"/>
  <c r="L123" i="2"/>
  <c r="F121" i="2"/>
  <c r="B119" i="2"/>
  <c r="B120" i="2" s="1"/>
  <c r="B118" i="2"/>
  <c r="F117" i="2"/>
  <c r="F118" i="2" s="1"/>
  <c r="F119" i="2" s="1"/>
  <c r="F120" i="2" s="1"/>
  <c r="B117" i="2"/>
  <c r="F114" i="2"/>
  <c r="L114" i="2" s="1"/>
  <c r="M112" i="2"/>
  <c r="L112" i="2"/>
  <c r="F109" i="2"/>
  <c r="F110" i="2" s="1"/>
  <c r="B106" i="2"/>
  <c r="F103" i="2"/>
  <c r="F106" i="2" s="1"/>
  <c r="F107" i="2" s="1"/>
  <c r="F108" i="2" s="1"/>
  <c r="M101" i="2"/>
  <c r="L101" i="2"/>
  <c r="B96" i="2"/>
  <c r="B95" i="2"/>
  <c r="F92" i="2"/>
  <c r="M90" i="2"/>
  <c r="L90" i="2"/>
  <c r="B85" i="2"/>
  <c r="B84" i="2"/>
  <c r="F81" i="2"/>
  <c r="F84" i="2" s="1"/>
  <c r="F85" i="2" s="1"/>
  <c r="F86" i="2" s="1"/>
  <c r="F87" i="2" s="1"/>
  <c r="F88" i="2" s="1"/>
  <c r="M79" i="2"/>
  <c r="L79" i="2"/>
  <c r="F77" i="2"/>
  <c r="B73" i="2"/>
  <c r="F70" i="2"/>
  <c r="F73" i="2" s="1"/>
  <c r="F74" i="2" s="1"/>
  <c r="F75" i="2" s="1"/>
  <c r="F76" i="2" s="1"/>
  <c r="M68" i="2"/>
  <c r="L68" i="2"/>
  <c r="F65" i="2"/>
  <c r="F66" i="2" s="1"/>
  <c r="F63" i="2"/>
  <c r="F64" i="2" s="1"/>
  <c r="F62" i="2"/>
  <c r="B62" i="2"/>
  <c r="F59" i="2"/>
  <c r="L59" i="2" s="1"/>
  <c r="M57" i="2"/>
  <c r="L57" i="2"/>
  <c r="B52" i="2"/>
  <c r="B51" i="2"/>
  <c r="F48" i="2"/>
  <c r="F51" i="2" s="1"/>
  <c r="F52" i="2" s="1"/>
  <c r="F53" i="2" s="1"/>
  <c r="F54" i="2" s="1"/>
  <c r="F55" i="2" s="1"/>
  <c r="M46" i="2"/>
  <c r="L46" i="2"/>
  <c r="B41" i="2"/>
  <c r="F40" i="2"/>
  <c r="F41" i="2" s="1"/>
  <c r="F42" i="2" s="1"/>
  <c r="F43" i="2" s="1"/>
  <c r="F44" i="2" s="1"/>
  <c r="B40" i="2"/>
  <c r="F37" i="2"/>
  <c r="L37" i="2" s="1"/>
  <c r="M35" i="2"/>
  <c r="L35" i="2"/>
  <c r="B30" i="2"/>
  <c r="B29" i="2"/>
  <c r="F26" i="2"/>
  <c r="M24" i="2"/>
  <c r="L24" i="2"/>
  <c r="F18" i="2"/>
  <c r="F19" i="2" s="1"/>
  <c r="F20" i="2" s="1"/>
  <c r="F21" i="2" s="1"/>
  <c r="F22" i="2" s="1"/>
  <c r="B18" i="2"/>
  <c r="F15" i="2"/>
  <c r="L15" i="2" s="1"/>
  <c r="M13" i="2"/>
  <c r="L13" i="2"/>
  <c r="F10" i="2"/>
  <c r="F11" i="2" s="1"/>
  <c r="F9" i="2"/>
  <c r="F8" i="2"/>
  <c r="B8" i="2"/>
  <c r="F7" i="2"/>
  <c r="B7" i="2"/>
  <c r="L4" i="2"/>
  <c r="F4" i="2"/>
  <c r="F2" i="2"/>
  <c r="B2" i="2"/>
  <c r="AZ5" i="24"/>
  <c r="BC5" i="18"/>
  <c r="AY5" i="13"/>
  <c r="BA5" i="7"/>
  <c r="BC5" i="23"/>
  <c r="AZ5" i="23"/>
  <c r="BC5" i="17"/>
  <c r="AY5" i="12"/>
  <c r="BA5" i="6"/>
  <c r="M194" i="3"/>
  <c r="M150" i="3"/>
  <c r="BC5" i="20"/>
  <c r="AY5" i="15"/>
  <c r="BA5" i="9"/>
  <c r="AZ5" i="16"/>
  <c r="BC5" i="8"/>
  <c r="D18" i="3"/>
  <c r="BA5" i="23"/>
  <c r="AY5" i="16"/>
  <c r="BA5" i="8"/>
  <c r="L194" i="3"/>
  <c r="H161" i="3"/>
  <c r="H128" i="3"/>
  <c r="H107" i="3"/>
  <c r="M62" i="3"/>
  <c r="BC5" i="22"/>
  <c r="BA5" i="15"/>
  <c r="AY5" i="19"/>
  <c r="BA5" i="18"/>
  <c r="BA5" i="12"/>
  <c r="L140" i="4"/>
  <c r="D106" i="4"/>
  <c r="L62" i="4"/>
  <c r="H150" i="3"/>
  <c r="AY5" i="23"/>
  <c r="AZ5" i="12"/>
  <c r="D172" i="3"/>
  <c r="D107" i="3"/>
  <c r="H18" i="3"/>
  <c r="BA5" i="22"/>
  <c r="AY5" i="22"/>
  <c r="AZ5" i="15"/>
  <c r="BC5" i="5"/>
  <c r="H194" i="4"/>
  <c r="L150" i="4"/>
  <c r="D30" i="4"/>
  <c r="H117" i="3"/>
  <c r="D62" i="3"/>
  <c r="BC5" i="21"/>
  <c r="M140" i="4"/>
  <c r="H62" i="4"/>
  <c r="M29" i="4"/>
  <c r="N33" i="1"/>
  <c r="J31" i="1"/>
  <c r="F29" i="1"/>
  <c r="J24" i="1"/>
  <c r="F22" i="1"/>
  <c r="F10" i="1"/>
  <c r="I31" i="1"/>
  <c r="M26" i="1"/>
  <c r="E22" i="1"/>
  <c r="BA5" i="21"/>
  <c r="H140" i="4"/>
  <c r="L29" i="4"/>
  <c r="H183" i="2"/>
  <c r="M33" i="1"/>
  <c r="I24" i="1"/>
  <c r="M19" i="1"/>
  <c r="E10" i="1"/>
  <c r="AZ5" i="8"/>
  <c r="M216" i="3"/>
  <c r="M161" i="3"/>
  <c r="L7" i="3"/>
  <c r="K34" i="1"/>
  <c r="G32" i="1"/>
  <c r="K27" i="1"/>
  <c r="AZ5" i="21"/>
  <c r="D139" i="4"/>
  <c r="M7" i="4"/>
  <c r="D205" i="3"/>
  <c r="H195" i="3"/>
  <c r="D161" i="3"/>
  <c r="M84" i="3"/>
  <c r="L51" i="2"/>
  <c r="H29" i="2"/>
  <c r="H32" i="1"/>
  <c r="L29" i="1"/>
  <c r="K24" i="1"/>
  <c r="C22" i="1"/>
  <c r="I19" i="1"/>
  <c r="I9" i="1"/>
  <c r="K29" i="1"/>
  <c r="H24" i="1"/>
  <c r="H19" i="1"/>
  <c r="H9" i="1"/>
  <c r="H85" i="4"/>
  <c r="M34" i="1"/>
  <c r="G24" i="1"/>
  <c r="G19" i="1"/>
  <c r="G9" i="1"/>
  <c r="M108" i="4"/>
  <c r="L26" i="1"/>
  <c r="L21" i="1"/>
  <c r="L11" i="1"/>
  <c r="AY5" i="21"/>
  <c r="H31" i="4"/>
  <c r="L7" i="4"/>
  <c r="D195" i="3"/>
  <c r="M117" i="3"/>
  <c r="L84" i="3"/>
  <c r="F32" i="1"/>
  <c r="D97" i="4"/>
  <c r="L117" i="3"/>
  <c r="H84" i="3"/>
  <c r="H51" i="2"/>
  <c r="E32" i="1"/>
  <c r="M11" i="1"/>
  <c r="D7" i="4"/>
  <c r="H51" i="3"/>
  <c r="L34" i="1"/>
  <c r="I29" i="1"/>
  <c r="F24" i="1"/>
  <c r="F9" i="1"/>
  <c r="M7" i="3"/>
  <c r="J29" i="1"/>
  <c r="BA5" i="20"/>
  <c r="AZ5" i="20"/>
  <c r="L108" i="4"/>
  <c r="D84" i="3"/>
  <c r="BA5" i="5"/>
  <c r="D194" i="4"/>
  <c r="L106" i="4"/>
  <c r="M18" i="4"/>
  <c r="H216" i="3"/>
  <c r="L172" i="3"/>
  <c r="M35" i="1"/>
  <c r="F33" i="1"/>
  <c r="K30" i="1"/>
  <c r="I25" i="1"/>
  <c r="C23" i="1"/>
  <c r="I20" i="1"/>
  <c r="I10" i="1"/>
  <c r="AZ5" i="5"/>
  <c r="D150" i="4"/>
  <c r="L96" i="4"/>
  <c r="L18" i="4"/>
  <c r="L62" i="3"/>
  <c r="L35" i="1"/>
  <c r="E33" i="1"/>
  <c r="J30" i="1"/>
  <c r="H25" i="1"/>
  <c r="H20" i="1"/>
  <c r="H10" i="1"/>
  <c r="BC5" i="24"/>
  <c r="N34" i="1" s="1"/>
  <c r="AY5" i="20"/>
  <c r="C30" i="1" s="1"/>
  <c r="BC5" i="9"/>
  <c r="N19" i="1" s="1"/>
  <c r="BC5" i="6"/>
  <c r="H106" i="3"/>
  <c r="M117" i="2"/>
  <c r="F35" i="1"/>
  <c r="L31" i="1"/>
  <c r="I28" i="1"/>
  <c r="F25" i="1"/>
  <c r="D22" i="1"/>
  <c r="L18" i="1"/>
  <c r="L10" i="1"/>
  <c r="K31" i="1"/>
  <c r="H28" i="1"/>
  <c r="E25" i="1"/>
  <c r="K21" i="1"/>
  <c r="K18" i="1"/>
  <c r="K10" i="1"/>
  <c r="AZ5" i="18"/>
  <c r="D28" i="1" s="1"/>
  <c r="BA5" i="16"/>
  <c r="BC5" i="15"/>
  <c r="BC5" i="7"/>
  <c r="N11" i="1" s="1"/>
  <c r="D106" i="3"/>
  <c r="G28" i="1"/>
  <c r="D25" i="1"/>
  <c r="J18" i="1"/>
  <c r="AZ5" i="17"/>
  <c r="D27" i="1" s="1"/>
  <c r="M8" i="3"/>
  <c r="J34" i="1"/>
  <c r="F28" i="1"/>
  <c r="I21" i="1"/>
  <c r="G10" i="1"/>
  <c r="L8" i="3"/>
  <c r="I34" i="1"/>
  <c r="E28" i="1"/>
  <c r="H21" i="1"/>
  <c r="BC5" i="19"/>
  <c r="BC5" i="16"/>
  <c r="N26" i="1" s="1"/>
  <c r="AZ5" i="9"/>
  <c r="AY5" i="8"/>
  <c r="C18" i="1" s="1"/>
  <c r="AZ5" i="6"/>
  <c r="D10" i="1" s="1"/>
  <c r="BA5" i="19"/>
  <c r="E29" i="1" s="1"/>
  <c r="BA5" i="17"/>
  <c r="E27" i="1" s="1"/>
  <c r="BC5" i="11"/>
  <c r="N21" i="1" s="1"/>
  <c r="AY5" i="9"/>
  <c r="AY5" i="6"/>
  <c r="AY5" i="5"/>
  <c r="H31" i="1"/>
  <c r="J21" i="1"/>
  <c r="AZ5" i="19"/>
  <c r="AY5" i="18"/>
  <c r="C28" i="1" s="1"/>
  <c r="BC5" i="14"/>
  <c r="BA5" i="11"/>
  <c r="BC5" i="10"/>
  <c r="AZ5" i="7"/>
  <c r="M227" i="4"/>
  <c r="L63" i="3"/>
  <c r="M7" i="2"/>
  <c r="G31" i="1"/>
  <c r="C25" i="1"/>
  <c r="I18" i="1"/>
  <c r="L84" i="2"/>
  <c r="L7" i="2"/>
  <c r="F31" i="1"/>
  <c r="N24" i="1"/>
  <c r="H18" i="1"/>
  <c r="AY5" i="17"/>
  <c r="C27" i="1" s="1"/>
  <c r="BA5" i="14"/>
  <c r="BC5" i="13"/>
  <c r="BC5" i="12"/>
  <c r="N22" i="1" s="1"/>
  <c r="AZ5" i="11"/>
  <c r="BA5" i="10"/>
  <c r="AY5" i="7"/>
  <c r="D107" i="4"/>
  <c r="M85" i="4"/>
  <c r="L195" i="3"/>
  <c r="D161" i="2"/>
  <c r="N32" i="1"/>
  <c r="H29" i="1"/>
  <c r="E26" i="1"/>
  <c r="I11" i="1"/>
  <c r="D96" i="4"/>
  <c r="D85" i="4"/>
  <c r="H18" i="4"/>
  <c r="M183" i="3"/>
  <c r="M151" i="3"/>
  <c r="D29" i="2"/>
  <c r="M32" i="1"/>
  <c r="G29" i="1"/>
  <c r="D26" i="1"/>
  <c r="H11" i="1"/>
  <c r="BC5" i="25"/>
  <c r="D140" i="4"/>
  <c r="H29" i="4"/>
  <c r="M205" i="3"/>
  <c r="L183" i="3"/>
  <c r="L150" i="3"/>
  <c r="L32" i="1"/>
  <c r="D29" i="1"/>
  <c r="C26" i="1"/>
  <c r="K19" i="1"/>
  <c r="G11" i="1"/>
  <c r="BA5" i="25"/>
  <c r="E35" i="1" s="1"/>
  <c r="AY5" i="24"/>
  <c r="D216" i="3"/>
  <c r="D174" i="3"/>
  <c r="D85" i="3"/>
  <c r="D205" i="2"/>
  <c r="M128" i="2"/>
  <c r="G35" i="1"/>
  <c r="H30" i="1"/>
  <c r="M25" i="1"/>
  <c r="D21" i="1"/>
  <c r="H173" i="3"/>
  <c r="F30" i="1"/>
  <c r="L161" i="3"/>
  <c r="F34" i="1"/>
  <c r="E30" i="1"/>
  <c r="M20" i="1"/>
  <c r="M109" i="3"/>
  <c r="D30" i="1"/>
  <c r="L20" i="1"/>
  <c r="M172" i="3"/>
  <c r="L40" i="3"/>
  <c r="D34" i="1"/>
  <c r="M24" i="1"/>
  <c r="D11" i="1"/>
  <c r="M63" i="4"/>
  <c r="M216" i="2"/>
  <c r="M29" i="1"/>
  <c r="C11" i="1"/>
  <c r="AZ5" i="10"/>
  <c r="H34" i="1"/>
  <c r="G30" i="1"/>
  <c r="L25" i="1"/>
  <c r="K11" i="1"/>
  <c r="AY5" i="10"/>
  <c r="C20" i="1" s="1"/>
  <c r="M106" i="4"/>
  <c r="G34" i="1"/>
  <c r="K25" i="1"/>
  <c r="N20" i="1"/>
  <c r="J11" i="1"/>
  <c r="AY5" i="11"/>
  <c r="C21" i="1" s="1"/>
  <c r="H106" i="4"/>
  <c r="J25" i="1"/>
  <c r="F11" i="1"/>
  <c r="M40" i="3"/>
  <c r="G25" i="1"/>
  <c r="E11" i="1"/>
  <c r="N29" i="1"/>
  <c r="K20" i="1"/>
  <c r="H195" i="4"/>
  <c r="M51" i="4"/>
  <c r="M107" i="3"/>
  <c r="C34" i="1"/>
  <c r="J20" i="1"/>
  <c r="H172" i="3"/>
  <c r="L24" i="1"/>
  <c r="M150" i="4"/>
  <c r="M139" i="4"/>
  <c r="L109" i="4"/>
  <c r="D29" i="4"/>
  <c r="D128" i="3"/>
  <c r="H62" i="3"/>
  <c r="M183" i="2"/>
  <c r="C32" i="1"/>
  <c r="H27" i="1"/>
  <c r="F23" i="1"/>
  <c r="F18" i="1"/>
  <c r="L139" i="4"/>
  <c r="M97" i="4"/>
  <c r="H84" i="4"/>
  <c r="M217" i="3"/>
  <c r="D194" i="3"/>
  <c r="L183" i="2"/>
  <c r="M51" i="2"/>
  <c r="N31" i="1"/>
  <c r="G27" i="1"/>
  <c r="L22" i="1"/>
  <c r="E18" i="1"/>
  <c r="H150" i="4"/>
  <c r="H139" i="4"/>
  <c r="L97" i="4"/>
  <c r="L217" i="3"/>
  <c r="M18" i="3"/>
  <c r="D183" i="2"/>
  <c r="L117" i="2"/>
  <c r="D51" i="2"/>
  <c r="M31" i="1"/>
  <c r="F27" i="1"/>
  <c r="K22" i="1"/>
  <c r="D18" i="1"/>
  <c r="H108" i="4"/>
  <c r="L205" i="3"/>
  <c r="L18" i="3"/>
  <c r="E31" i="1"/>
  <c r="K26" i="1"/>
  <c r="J22" i="1"/>
  <c r="AY5" i="25"/>
  <c r="C35" i="1" s="1"/>
  <c r="AZ5" i="25"/>
  <c r="D35" i="1" s="1"/>
  <c r="BA5" i="24"/>
  <c r="E34" i="1" s="1"/>
  <c r="AZ5" i="22"/>
  <c r="D32" i="1" s="1"/>
  <c r="M151" i="4"/>
  <c r="H96" i="4"/>
  <c r="H194" i="3"/>
  <c r="D8" i="3"/>
  <c r="I35" i="1"/>
  <c r="J27" i="1"/>
  <c r="D20" i="1"/>
  <c r="D128" i="2"/>
  <c r="H35" i="1"/>
  <c r="I27" i="1"/>
  <c r="J19" i="1"/>
  <c r="L95" i="4"/>
  <c r="H7" i="3"/>
  <c r="J26" i="1"/>
  <c r="E19" i="1"/>
  <c r="AZ5" i="13"/>
  <c r="D23" i="1" s="1"/>
  <c r="I26" i="1"/>
  <c r="AY5" i="14"/>
  <c r="M161" i="2"/>
  <c r="H26" i="1"/>
  <c r="G26" i="1"/>
  <c r="D108" i="4"/>
  <c r="H33" i="1"/>
  <c r="M18" i="1"/>
  <c r="H161" i="2"/>
  <c r="G33" i="1"/>
  <c r="E24" i="1"/>
  <c r="C33" i="1"/>
  <c r="M29" i="2"/>
  <c r="H205" i="3"/>
  <c r="H194" i="2"/>
  <c r="N23" i="1"/>
  <c r="H183" i="3"/>
  <c r="M30" i="1"/>
  <c r="H141" i="4"/>
  <c r="D217" i="3"/>
  <c r="N9" i="1"/>
  <c r="L151" i="4"/>
  <c r="M95" i="4"/>
  <c r="BA5" i="13"/>
  <c r="E23" i="1" s="1"/>
  <c r="L33" i="1"/>
  <c r="AZ5" i="14"/>
  <c r="M109" i="4"/>
  <c r="H95" i="4"/>
  <c r="K33" i="1"/>
  <c r="D19" i="1"/>
  <c r="D7" i="3"/>
  <c r="J33" i="1"/>
  <c r="C19" i="1"/>
  <c r="M30" i="4"/>
  <c r="L161" i="2"/>
  <c r="I33" i="1"/>
  <c r="N18" i="1"/>
  <c r="F26" i="1"/>
  <c r="M107" i="4"/>
  <c r="M63" i="3"/>
  <c r="D216" i="2"/>
  <c r="N25" i="1"/>
  <c r="H30" i="4"/>
  <c r="D33" i="1"/>
  <c r="H40" i="3"/>
  <c r="L29" i="2"/>
  <c r="M23" i="1"/>
  <c r="M141" i="4"/>
  <c r="L128" i="3"/>
  <c r="D110" i="3"/>
  <c r="H7" i="2"/>
  <c r="L109" i="3"/>
  <c r="M227" i="2"/>
  <c r="L30" i="1"/>
  <c r="L30" i="4"/>
  <c r="D24" i="1"/>
  <c r="M194" i="2"/>
  <c r="K32" i="1"/>
  <c r="D117" i="3"/>
  <c r="G18" i="1"/>
  <c r="H217" i="3"/>
  <c r="C24" i="1"/>
  <c r="C10" i="1"/>
  <c r="H205" i="4"/>
  <c r="L107" i="4"/>
  <c r="H62" i="2"/>
  <c r="D150" i="3"/>
  <c r="I32" i="1"/>
  <c r="M10" i="1"/>
  <c r="H107" i="4"/>
  <c r="J32" i="1"/>
  <c r="D40" i="3"/>
  <c r="D194" i="2"/>
  <c r="D8" i="2"/>
  <c r="D31" i="1"/>
  <c r="L23" i="1"/>
  <c r="D183" i="3"/>
  <c r="M128" i="3"/>
  <c r="M62" i="2"/>
  <c r="C31" i="1"/>
  <c r="K23" i="1"/>
  <c r="N10" i="1"/>
  <c r="N30" i="1"/>
  <c r="L216" i="3"/>
  <c r="L40" i="2"/>
  <c r="D7" i="2"/>
  <c r="I30" i="1"/>
  <c r="G23" i="1"/>
  <c r="M9" i="1"/>
  <c r="D195" i="4"/>
  <c r="D141" i="4"/>
  <c r="H109" i="3"/>
  <c r="H117" i="2"/>
  <c r="C29" i="1"/>
  <c r="I22" i="1"/>
  <c r="L9" i="1"/>
  <c r="D151" i="2"/>
  <c r="H40" i="2"/>
  <c r="N28" i="1"/>
  <c r="K9" i="1"/>
  <c r="M194" i="4"/>
  <c r="M62" i="4"/>
  <c r="L107" i="3"/>
  <c r="H205" i="2"/>
  <c r="H150" i="2"/>
  <c r="D117" i="2"/>
  <c r="M28" i="1"/>
  <c r="J9" i="1"/>
  <c r="L194" i="4"/>
  <c r="M174" i="3"/>
  <c r="H52" i="3"/>
  <c r="D40" i="2"/>
  <c r="G21" i="1"/>
  <c r="E9" i="1"/>
  <c r="D62" i="4"/>
  <c r="L174" i="3"/>
  <c r="M106" i="3"/>
  <c r="M51" i="3"/>
  <c r="F21" i="1"/>
  <c r="D9" i="1"/>
  <c r="H152" i="4"/>
  <c r="L106" i="3"/>
  <c r="L51" i="3"/>
  <c r="J28" i="1"/>
  <c r="E21" i="1"/>
  <c r="C9" i="1"/>
  <c r="D18" i="4"/>
  <c r="L85" i="3"/>
  <c r="L184" i="2"/>
  <c r="N27" i="1"/>
  <c r="H162" i="3"/>
  <c r="M40" i="2"/>
  <c r="L28" i="1"/>
  <c r="K28" i="1"/>
  <c r="N35" i="1"/>
  <c r="G22" i="1"/>
  <c r="H97" i="4"/>
  <c r="M195" i="3"/>
  <c r="M29" i="3"/>
  <c r="L128" i="2"/>
  <c r="K35" i="1"/>
  <c r="M27" i="1"/>
  <c r="F20" i="1"/>
  <c r="D139" i="3"/>
  <c r="H85" i="3"/>
  <c r="L29" i="3"/>
  <c r="H8" i="3"/>
  <c r="H184" i="2"/>
  <c r="H128" i="2"/>
  <c r="J35" i="1"/>
  <c r="L27" i="1"/>
  <c r="E20" i="1"/>
  <c r="H128" i="4"/>
  <c r="D73" i="4"/>
  <c r="H161" i="4"/>
  <c r="H130" i="3"/>
  <c r="M163" i="3"/>
  <c r="M110" i="3"/>
  <c r="D86" i="4"/>
  <c r="J128" i="2" l="1"/>
  <c r="J8" i="3"/>
  <c r="J85" i="3"/>
  <c r="N29" i="3"/>
  <c r="N195" i="3"/>
  <c r="J97" i="4"/>
  <c r="N40" i="2"/>
  <c r="C12" i="1"/>
  <c r="D12" i="1"/>
  <c r="N51" i="3"/>
  <c r="N106" i="3"/>
  <c r="E12" i="1"/>
  <c r="J45" i="2"/>
  <c r="J46" i="2"/>
  <c r="N174" i="3"/>
  <c r="J205" i="2"/>
  <c r="N62" i="4"/>
  <c r="N194" i="4"/>
  <c r="K12" i="1"/>
  <c r="J40" i="2"/>
  <c r="L12" i="1"/>
  <c r="J117" i="2"/>
  <c r="M12" i="1"/>
  <c r="J12" i="2"/>
  <c r="J13" i="2"/>
  <c r="N12" i="1"/>
  <c r="N128" i="3"/>
  <c r="J46" i="3"/>
  <c r="J45" i="3"/>
  <c r="J107" i="4"/>
  <c r="J217" i="3"/>
  <c r="J7" i="2"/>
  <c r="J40" i="3"/>
  <c r="J30" i="4"/>
  <c r="N63" i="3"/>
  <c r="N107" i="4"/>
  <c r="N36" i="1"/>
  <c r="N30" i="4"/>
  <c r="J13" i="3"/>
  <c r="J12" i="3"/>
  <c r="N109" i="4"/>
  <c r="N95" i="4"/>
  <c r="J141" i="4"/>
  <c r="J183" i="3"/>
  <c r="J194" i="2"/>
  <c r="J205" i="3"/>
  <c r="N29" i="2"/>
  <c r="J161" i="2"/>
  <c r="N161" i="2"/>
  <c r="J7" i="3"/>
  <c r="J194" i="3"/>
  <c r="J96" i="4"/>
  <c r="N151" i="4"/>
  <c r="J108" i="4"/>
  <c r="D36" i="1"/>
  <c r="N18" i="3"/>
  <c r="J139" i="4"/>
  <c r="J150" i="4"/>
  <c r="E36" i="1"/>
  <c r="N51" i="2"/>
  <c r="N217" i="3"/>
  <c r="N97" i="4"/>
  <c r="N183" i="2"/>
  <c r="J62" i="3"/>
  <c r="J35" i="4"/>
  <c r="J34" i="4"/>
  <c r="N139" i="4"/>
  <c r="N150" i="4"/>
  <c r="J172" i="3"/>
  <c r="N107" i="3"/>
  <c r="J195" i="4"/>
  <c r="N40" i="3"/>
  <c r="J106" i="4"/>
  <c r="N106" i="4"/>
  <c r="N172" i="3"/>
  <c r="N109" i="3"/>
  <c r="N128" i="2"/>
  <c r="N205" i="3"/>
  <c r="J29" i="4"/>
  <c r="J34" i="2"/>
  <c r="J35" i="2"/>
  <c r="N183" i="3"/>
  <c r="J18" i="4"/>
  <c r="N7" i="2"/>
  <c r="C36" i="1"/>
  <c r="N8" i="3"/>
  <c r="K36" i="1"/>
  <c r="N117" i="2"/>
  <c r="J106" i="3"/>
  <c r="J216" i="3"/>
  <c r="N18" i="4"/>
  <c r="N7" i="3"/>
  <c r="F12" i="1"/>
  <c r="J13" i="4"/>
  <c r="J12" i="4"/>
  <c r="J51" i="2"/>
  <c r="J84" i="3"/>
  <c r="N117" i="3"/>
  <c r="N108" i="4"/>
  <c r="G12" i="1"/>
  <c r="J85" i="4"/>
  <c r="H12" i="1"/>
  <c r="I12" i="1"/>
  <c r="J29" i="2"/>
  <c r="N84" i="3"/>
  <c r="J195" i="3"/>
  <c r="N7" i="4"/>
  <c r="N161" i="3"/>
  <c r="N216" i="3"/>
  <c r="J183" i="2"/>
  <c r="J140" i="4"/>
  <c r="N29" i="4"/>
  <c r="J62" i="4"/>
  <c r="N140" i="4"/>
  <c r="J117" i="3"/>
  <c r="J194" i="4"/>
  <c r="J18" i="3"/>
  <c r="J150" i="3"/>
  <c r="N62" i="3"/>
  <c r="J107" i="3"/>
  <c r="J128" i="3"/>
  <c r="J161" i="3"/>
  <c r="N150" i="3"/>
  <c r="N194" i="3"/>
  <c r="B121" i="2"/>
  <c r="B19" i="2"/>
  <c r="B153" i="4"/>
  <c r="F95" i="2"/>
  <c r="F96" i="2" s="1"/>
  <c r="F97" i="2" s="1"/>
  <c r="F98" i="2" s="1"/>
  <c r="F99" i="2" s="1"/>
  <c r="L92" i="2"/>
  <c r="L94" i="2" s="1"/>
  <c r="B130" i="2"/>
  <c r="L114" i="4"/>
  <c r="L171" i="2"/>
  <c r="L127" i="2"/>
  <c r="L215" i="2"/>
  <c r="L160" i="2"/>
  <c r="L50" i="2"/>
  <c r="L39" i="2"/>
  <c r="L193" i="2"/>
  <c r="L17" i="2"/>
  <c r="L116" i="2"/>
  <c r="L204" i="2"/>
  <c r="L61" i="2"/>
  <c r="L138" i="2"/>
  <c r="B186" i="2"/>
  <c r="B20" i="4"/>
  <c r="B41" i="4"/>
  <c r="M171" i="2"/>
  <c r="M127" i="2"/>
  <c r="M160" i="2"/>
  <c r="M94" i="2"/>
  <c r="M6" i="2"/>
  <c r="M215" i="2"/>
  <c r="M193" i="2"/>
  <c r="M39" i="2"/>
  <c r="M17" i="2"/>
  <c r="M116" i="2"/>
  <c r="M61" i="2"/>
  <c r="M204" i="2"/>
  <c r="M138" i="2"/>
  <c r="M50" i="2"/>
  <c r="L226" i="2"/>
  <c r="F84" i="4"/>
  <c r="F85" i="4" s="1"/>
  <c r="F86" i="4" s="1"/>
  <c r="F87" i="4" s="1"/>
  <c r="F88" i="4" s="1"/>
  <c r="L81" i="4"/>
  <c r="B97" i="2"/>
  <c r="M226" i="2"/>
  <c r="B74" i="3"/>
  <c r="B118" i="4"/>
  <c r="B197" i="3"/>
  <c r="L6" i="2"/>
  <c r="B173" i="2"/>
  <c r="B63" i="2"/>
  <c r="B42" i="2"/>
  <c r="B229" i="2"/>
  <c r="B219" i="3"/>
  <c r="L26" i="2"/>
  <c r="L28" i="2" s="1"/>
  <c r="F29" i="2"/>
  <c r="F30" i="2" s="1"/>
  <c r="F31" i="2" s="1"/>
  <c r="F32" i="2" s="1"/>
  <c r="F33" i="2" s="1"/>
  <c r="F183" i="3"/>
  <c r="F184" i="3" s="1"/>
  <c r="F185" i="3" s="1"/>
  <c r="F186" i="3" s="1"/>
  <c r="F187" i="3" s="1"/>
  <c r="L4" i="4"/>
  <c r="B185" i="3"/>
  <c r="F51" i="4"/>
  <c r="F52" i="4" s="1"/>
  <c r="F53" i="4" s="1"/>
  <c r="F54" i="4" s="1"/>
  <c r="F55" i="4" s="1"/>
  <c r="L48" i="4"/>
  <c r="B184" i="4"/>
  <c r="L50" i="3"/>
  <c r="L215" i="3"/>
  <c r="L193" i="3"/>
  <c r="L94" i="3"/>
  <c r="L105" i="3"/>
  <c r="L28" i="3"/>
  <c r="L204" i="3"/>
  <c r="L17" i="3"/>
  <c r="L160" i="3"/>
  <c r="L127" i="3"/>
  <c r="L116" i="3"/>
  <c r="L72" i="3"/>
  <c r="L149" i="3"/>
  <c r="L83" i="3"/>
  <c r="L226" i="3"/>
  <c r="L6" i="3"/>
  <c r="B206" i="4"/>
  <c r="BB21" i="13"/>
  <c r="B31" i="2"/>
  <c r="B162" i="4"/>
  <c r="L37" i="3"/>
  <c r="L39" i="3" s="1"/>
  <c r="B131" i="3"/>
  <c r="B153" i="3"/>
  <c r="L171" i="3"/>
  <c r="B53" i="2"/>
  <c r="M182" i="2"/>
  <c r="B119" i="3"/>
  <c r="B33" i="4"/>
  <c r="B163" i="2"/>
  <c r="L138" i="3"/>
  <c r="BE21" i="11"/>
  <c r="B87" i="4"/>
  <c r="B164" i="3"/>
  <c r="F128" i="4"/>
  <c r="F129" i="4" s="1"/>
  <c r="F130" i="4" s="1"/>
  <c r="F131" i="4" s="1"/>
  <c r="F132" i="4" s="1"/>
  <c r="L125" i="4"/>
  <c r="M127" i="4" s="1"/>
  <c r="L81" i="2"/>
  <c r="M83" i="2" s="1"/>
  <c r="B129" i="4"/>
  <c r="L48" i="2"/>
  <c r="B65" i="3"/>
  <c r="L182" i="2"/>
  <c r="B74" i="4"/>
  <c r="B140" i="3"/>
  <c r="M28" i="4"/>
  <c r="BB21" i="6"/>
  <c r="BD21" i="9"/>
  <c r="F194" i="3"/>
  <c r="F195" i="3" s="1"/>
  <c r="F196" i="3" s="1"/>
  <c r="F197" i="3" s="1"/>
  <c r="F198" i="3" s="1"/>
  <c r="AX21" i="9"/>
  <c r="B86" i="2"/>
  <c r="L224" i="4"/>
  <c r="F227" i="4"/>
  <c r="F228" i="4" s="1"/>
  <c r="F229" i="4" s="1"/>
  <c r="F230" i="4" s="1"/>
  <c r="F231" i="4" s="1"/>
  <c r="F172" i="4"/>
  <c r="F173" i="4" s="1"/>
  <c r="F174" i="4" s="1"/>
  <c r="F175" i="4" s="1"/>
  <c r="F176" i="4" s="1"/>
  <c r="L169" i="4"/>
  <c r="B218" i="2"/>
  <c r="B228" i="3"/>
  <c r="B197" i="4"/>
  <c r="B30" i="3"/>
  <c r="AY21" i="10"/>
  <c r="B206" i="2"/>
  <c r="B86" i="3"/>
  <c r="B175" i="3"/>
  <c r="B140" i="2"/>
  <c r="L70" i="2"/>
  <c r="B152" i="2"/>
  <c r="B74" i="2"/>
  <c r="F40" i="4"/>
  <c r="F41" i="4" s="1"/>
  <c r="F42" i="4" s="1"/>
  <c r="F43" i="4" s="1"/>
  <c r="F44" i="4" s="1"/>
  <c r="L37" i="4"/>
  <c r="B64" i="4"/>
  <c r="B207" i="3"/>
  <c r="F216" i="4"/>
  <c r="F217" i="4" s="1"/>
  <c r="F218" i="4" s="1"/>
  <c r="F219" i="4" s="1"/>
  <c r="F220" i="4" s="1"/>
  <c r="L213" i="4"/>
  <c r="B96" i="3"/>
  <c r="M138" i="4"/>
  <c r="L138" i="4"/>
  <c r="L202" i="4"/>
  <c r="B217" i="4"/>
  <c r="B42" i="3"/>
  <c r="B53" i="3"/>
  <c r="L103" i="2"/>
  <c r="M105" i="2" s="1"/>
  <c r="B20" i="3"/>
  <c r="B10" i="3"/>
  <c r="B9" i="2"/>
  <c r="L70" i="4"/>
  <c r="F73" i="4"/>
  <c r="F74" i="4" s="1"/>
  <c r="F75" i="4" s="1"/>
  <c r="F76" i="4" s="1"/>
  <c r="F77" i="4" s="1"/>
  <c r="B142" i="4"/>
  <c r="AZ21" i="13"/>
  <c r="B173" i="4"/>
  <c r="B107" i="2"/>
  <c r="M94" i="4"/>
  <c r="B52" i="4"/>
  <c r="B110" i="4"/>
  <c r="B228" i="4"/>
  <c r="F95" i="4"/>
  <c r="F96" i="4" s="1"/>
  <c r="F97" i="4" s="1"/>
  <c r="F98" i="4" s="1"/>
  <c r="F99" i="4" s="1"/>
  <c r="B195" i="2"/>
  <c r="AZ21" i="12"/>
  <c r="BA21" i="13"/>
  <c r="M226" i="3"/>
  <c r="M182" i="3"/>
  <c r="M138" i="3"/>
  <c r="M215" i="3"/>
  <c r="M39" i="3"/>
  <c r="M127" i="3"/>
  <c r="M28" i="3"/>
  <c r="B8" i="4"/>
  <c r="L193" i="4"/>
  <c r="L105" i="4"/>
  <c r="BE21" i="12"/>
  <c r="H196" i="3"/>
  <c r="L41" i="2"/>
  <c r="D205" i="4"/>
  <c r="L118" i="3"/>
  <c r="D30" i="2"/>
  <c r="D118" i="2"/>
  <c r="M85" i="2"/>
  <c r="H19" i="3"/>
  <c r="D63" i="3"/>
  <c r="H106" i="2"/>
  <c r="M31" i="4"/>
  <c r="H19" i="4"/>
  <c r="L228" i="2"/>
  <c r="J23" i="1"/>
  <c r="L128" i="4"/>
  <c r="M118" i="2"/>
  <c r="D29" i="3"/>
  <c r="M150" i="2"/>
  <c r="M19" i="3"/>
  <c r="H84" i="2"/>
  <c r="D31" i="4"/>
  <c r="D151" i="4"/>
  <c r="L117" i="4"/>
  <c r="L30" i="2"/>
  <c r="H32" i="4"/>
  <c r="H217" i="2"/>
  <c r="M95" i="3"/>
  <c r="L106" i="2"/>
  <c r="L110" i="3"/>
  <c r="M32" i="4"/>
  <c r="M85" i="3"/>
  <c r="L108" i="3"/>
  <c r="L151" i="3"/>
  <c r="D152" i="4"/>
  <c r="M108" i="3"/>
  <c r="H51" i="4"/>
  <c r="D99" i="4"/>
  <c r="L64" i="3"/>
  <c r="H108" i="3"/>
  <c r="M8" i="2"/>
  <c r="H227" i="2"/>
  <c r="M161" i="4"/>
  <c r="H174" i="3"/>
  <c r="L8" i="2"/>
  <c r="L99" i="4"/>
  <c r="M218" i="3"/>
  <c r="L162" i="2"/>
  <c r="D152" i="3"/>
  <c r="H227" i="3"/>
  <c r="L216" i="4"/>
  <c r="H86" i="4"/>
  <c r="H162" i="2"/>
  <c r="M139" i="2"/>
  <c r="H216" i="4"/>
  <c r="D162" i="2"/>
  <c r="L139" i="2"/>
  <c r="L18" i="2"/>
  <c r="L52" i="3"/>
  <c r="D196" i="3"/>
  <c r="D32" i="4"/>
  <c r="M227" i="3"/>
  <c r="D19" i="3"/>
  <c r="M19" i="4"/>
  <c r="D130" i="3"/>
  <c r="M206" i="3"/>
  <c r="D51" i="3"/>
  <c r="H7" i="4"/>
  <c r="H64" i="3"/>
  <c r="H206" i="3"/>
  <c r="D151" i="3"/>
  <c r="L119" i="2"/>
  <c r="M152" i="4"/>
  <c r="L98" i="4"/>
  <c r="D228" i="2"/>
  <c r="D128" i="4"/>
  <c r="D119" i="2"/>
  <c r="M118" i="3"/>
  <c r="L130" i="3"/>
  <c r="M205" i="2"/>
  <c r="L150" i="2"/>
  <c r="D84" i="2"/>
  <c r="D95" i="2"/>
  <c r="D172" i="4"/>
  <c r="L31" i="4"/>
  <c r="L152" i="4"/>
  <c r="H117" i="4"/>
  <c r="M228" i="2"/>
  <c r="H118" i="3"/>
  <c r="M73" i="4"/>
  <c r="F19" i="1"/>
  <c r="L205" i="2"/>
  <c r="L63" i="4"/>
  <c r="H95" i="3"/>
  <c r="H9" i="3"/>
  <c r="H151" i="4"/>
  <c r="M117" i="4"/>
  <c r="H228" i="2"/>
  <c r="L183" i="4"/>
  <c r="L73" i="4"/>
  <c r="D85" i="2"/>
  <c r="M9" i="3"/>
  <c r="M183" i="4"/>
  <c r="D150" i="2"/>
  <c r="L9" i="3"/>
  <c r="H22" i="1"/>
  <c r="H183" i="4"/>
  <c r="M30" i="2"/>
  <c r="M64" i="3"/>
  <c r="D95" i="3"/>
  <c r="I23" i="1"/>
  <c r="D117" i="4"/>
  <c r="H73" i="4"/>
  <c r="L32" i="4"/>
  <c r="D96" i="2"/>
  <c r="H218" i="3"/>
  <c r="M162" i="2"/>
  <c r="H85" i="2"/>
  <c r="D95" i="4"/>
  <c r="M99" i="4"/>
  <c r="L218" i="3"/>
  <c r="D108" i="3"/>
  <c r="H109" i="4"/>
  <c r="D227" i="2"/>
  <c r="L161" i="4"/>
  <c r="M162" i="3"/>
  <c r="H8" i="2"/>
  <c r="H99" i="4"/>
  <c r="D73" i="3"/>
  <c r="L217" i="2"/>
  <c r="L162" i="3"/>
  <c r="M84" i="2"/>
  <c r="H129" i="2"/>
  <c r="D64" i="3"/>
  <c r="D9" i="3"/>
  <c r="L227" i="4"/>
  <c r="H185" i="2"/>
  <c r="M98" i="4"/>
  <c r="M130" i="3"/>
  <c r="D118" i="3"/>
  <c r="L206" i="3"/>
  <c r="M216" i="4"/>
  <c r="H227" i="4"/>
  <c r="M129" i="2"/>
  <c r="D185" i="2"/>
  <c r="H41" i="2"/>
  <c r="M21" i="1"/>
  <c r="H139" i="2"/>
  <c r="H63" i="3"/>
  <c r="L227" i="3"/>
  <c r="L95" i="3"/>
  <c r="H110" i="3"/>
  <c r="D18" i="2"/>
  <c r="D51" i="4"/>
  <c r="M185" i="2"/>
  <c r="L185" i="2"/>
  <c r="L129" i="2"/>
  <c r="D139" i="2"/>
  <c r="L196" i="3"/>
  <c r="M40" i="4"/>
  <c r="H172" i="2"/>
  <c r="L129" i="3"/>
  <c r="L152" i="3"/>
  <c r="M119" i="2"/>
  <c r="D184" i="2"/>
  <c r="L196" i="4"/>
  <c r="L173" i="3"/>
  <c r="D41" i="3"/>
  <c r="M106" i="2"/>
  <c r="M84" i="4"/>
  <c r="M196" i="3"/>
  <c r="L40" i="4"/>
  <c r="L62" i="2"/>
  <c r="H129" i="3"/>
  <c r="D163" i="3"/>
  <c r="M139" i="3"/>
  <c r="H196" i="4"/>
  <c r="M151" i="2"/>
  <c r="D173" i="3"/>
  <c r="D52" i="3"/>
  <c r="M96" i="4"/>
  <c r="L216" i="2"/>
  <c r="L84" i="4"/>
  <c r="D98" i="4"/>
  <c r="M96" i="2"/>
  <c r="D62" i="2"/>
  <c r="L163" i="3"/>
  <c r="H152" i="3"/>
  <c r="H163" i="3"/>
  <c r="L139" i="3"/>
  <c r="L85" i="2"/>
  <c r="L151" i="2"/>
  <c r="M173" i="3"/>
  <c r="M52" i="3"/>
  <c r="L141" i="4"/>
  <c r="H216" i="2"/>
  <c r="H40" i="4"/>
  <c r="L96" i="2"/>
  <c r="M205" i="4"/>
  <c r="D217" i="2"/>
  <c r="H73" i="2"/>
  <c r="D206" i="3"/>
  <c r="L51" i="4"/>
  <c r="M22" i="1"/>
  <c r="L120" i="2"/>
  <c r="D40" i="4"/>
  <c r="H96" i="2"/>
  <c r="D172" i="2"/>
  <c r="D218" i="3"/>
  <c r="M86" i="4"/>
  <c r="H139" i="3"/>
  <c r="M73" i="2"/>
  <c r="H63" i="4"/>
  <c r="M95" i="2"/>
  <c r="H23" i="1"/>
  <c r="L85" i="4"/>
  <c r="D84" i="4"/>
  <c r="H98" i="4"/>
  <c r="L227" i="2"/>
  <c r="H29" i="3"/>
  <c r="M195" i="4"/>
  <c r="L95" i="2"/>
  <c r="H172" i="4"/>
  <c r="M120" i="2"/>
  <c r="M73" i="3"/>
  <c r="D161" i="4"/>
  <c r="M184" i="3"/>
  <c r="D184" i="3"/>
  <c r="D52" i="2"/>
  <c r="J10" i="1"/>
  <c r="D109" i="3"/>
  <c r="L73" i="2"/>
  <c r="L195" i="4"/>
  <c r="H95" i="2"/>
  <c r="M172" i="4"/>
  <c r="D109" i="4"/>
  <c r="H120" i="2"/>
  <c r="L73" i="3"/>
  <c r="D41" i="2"/>
  <c r="L184" i="3"/>
  <c r="D183" i="4"/>
  <c r="M52" i="2"/>
  <c r="L19" i="1"/>
  <c r="D227" i="3"/>
  <c r="D73" i="2"/>
  <c r="D227" i="4"/>
  <c r="D129" i="3"/>
  <c r="H151" i="2"/>
  <c r="M129" i="3"/>
  <c r="H52" i="2"/>
  <c r="M184" i="2"/>
  <c r="H118" i="2"/>
  <c r="L52" i="2"/>
  <c r="M196" i="4"/>
  <c r="L172" i="2"/>
  <c r="D120" i="2"/>
  <c r="M41" i="3"/>
  <c r="D216" i="4"/>
  <c r="D106" i="2"/>
  <c r="D162" i="3"/>
  <c r="H18" i="2"/>
  <c r="M217" i="2"/>
  <c r="H184" i="3"/>
  <c r="L118" i="2"/>
  <c r="H73" i="3"/>
  <c r="L194" i="2"/>
  <c r="L19" i="4"/>
  <c r="M41" i="2"/>
  <c r="M18" i="2"/>
  <c r="D129" i="2"/>
  <c r="M152" i="3"/>
  <c r="D19" i="4"/>
  <c r="D63" i="4"/>
  <c r="L172" i="4"/>
  <c r="H119" i="2"/>
  <c r="L41" i="3"/>
  <c r="D196" i="4"/>
  <c r="G20" i="1"/>
  <c r="M128" i="4"/>
  <c r="L205" i="4"/>
  <c r="H30" i="2"/>
  <c r="H151" i="3"/>
  <c r="L19" i="3"/>
  <c r="L86" i="4"/>
  <c r="M172" i="2"/>
  <c r="H41" i="3"/>
  <c r="P106" i="3"/>
  <c r="P95" i="4"/>
  <c r="J41" i="3" l="1"/>
  <c r="N172" i="2"/>
  <c r="J151" i="3"/>
  <c r="J30" i="2"/>
  <c r="N128" i="4"/>
  <c r="G36" i="1"/>
  <c r="J119" i="2"/>
  <c r="N152" i="3"/>
  <c r="N18" i="2"/>
  <c r="N41" i="2"/>
  <c r="N194" i="2"/>
  <c r="J73" i="3"/>
  <c r="J184" i="3"/>
  <c r="N217" i="2"/>
  <c r="J18" i="2"/>
  <c r="J162" i="3"/>
  <c r="N41" i="3"/>
  <c r="N196" i="4"/>
  <c r="J118" i="2"/>
  <c r="N184" i="2"/>
  <c r="J52" i="2"/>
  <c r="N129" i="3"/>
  <c r="J151" i="2"/>
  <c r="L36" i="1"/>
  <c r="N52" i="2"/>
  <c r="J120" i="2"/>
  <c r="N172" i="4"/>
  <c r="J95" i="2"/>
  <c r="J109" i="3"/>
  <c r="J12" i="1"/>
  <c r="N184" i="3"/>
  <c r="J161" i="4"/>
  <c r="N73" i="3"/>
  <c r="N120" i="2"/>
  <c r="J172" i="4"/>
  <c r="N195" i="4"/>
  <c r="J29" i="3"/>
  <c r="N227" i="2"/>
  <c r="J98" i="4"/>
  <c r="J84" i="4"/>
  <c r="N85" i="4"/>
  <c r="N95" i="2"/>
  <c r="J63" i="4"/>
  <c r="N73" i="2"/>
  <c r="J139" i="3"/>
  <c r="N86" i="4"/>
  <c r="J96" i="2"/>
  <c r="J46" i="4"/>
  <c r="J45" i="4"/>
  <c r="N51" i="4"/>
  <c r="J73" i="2"/>
  <c r="N205" i="4"/>
  <c r="J40" i="4"/>
  <c r="J216" i="2"/>
  <c r="N141" i="4"/>
  <c r="N52" i="3"/>
  <c r="N173" i="3"/>
  <c r="J163" i="3"/>
  <c r="J152" i="3"/>
  <c r="N163" i="3"/>
  <c r="J62" i="2"/>
  <c r="N96" i="2"/>
  <c r="N216" i="2"/>
  <c r="N96" i="4"/>
  <c r="J52" i="3"/>
  <c r="J173" i="3"/>
  <c r="N151" i="2"/>
  <c r="J196" i="4"/>
  <c r="N139" i="3"/>
  <c r="J129" i="3"/>
  <c r="N62" i="2"/>
  <c r="N196" i="3"/>
  <c r="N84" i="4"/>
  <c r="N106" i="2"/>
  <c r="J184" i="2"/>
  <c r="N119" i="2"/>
  <c r="J172" i="2"/>
  <c r="N40" i="4"/>
  <c r="N185" i="2"/>
  <c r="J110" i="3"/>
  <c r="J63" i="3"/>
  <c r="J139" i="2"/>
  <c r="M36" i="1"/>
  <c r="J41" i="2"/>
  <c r="N129" i="2"/>
  <c r="J227" i="4"/>
  <c r="N216" i="4"/>
  <c r="N130" i="3"/>
  <c r="N98" i="4"/>
  <c r="J185" i="2"/>
  <c r="N227" i="4"/>
  <c r="J129" i="2"/>
  <c r="N84" i="2"/>
  <c r="J99" i="4"/>
  <c r="J8" i="2"/>
  <c r="N162" i="3"/>
  <c r="J109" i="4"/>
  <c r="J112" i="3"/>
  <c r="J111" i="3"/>
  <c r="N99" i="4"/>
  <c r="J101" i="4"/>
  <c r="J100" i="4"/>
  <c r="J95" i="4"/>
  <c r="J85" i="2"/>
  <c r="N162" i="2"/>
  <c r="J218" i="3"/>
  <c r="J73" i="4"/>
  <c r="I36" i="1"/>
  <c r="N64" i="3"/>
  <c r="N30" i="2"/>
  <c r="J183" i="4"/>
  <c r="H36" i="1"/>
  <c r="J150" i="2"/>
  <c r="N183" i="4"/>
  <c r="N9" i="3"/>
  <c r="J228" i="2"/>
  <c r="N117" i="4"/>
  <c r="J151" i="4"/>
  <c r="J9" i="3"/>
  <c r="J95" i="3"/>
  <c r="N63" i="4"/>
  <c r="F36" i="1"/>
  <c r="N73" i="4"/>
  <c r="J118" i="3"/>
  <c r="N228" i="2"/>
  <c r="J117" i="4"/>
  <c r="N205" i="2"/>
  <c r="N118" i="3"/>
  <c r="J128" i="4"/>
  <c r="N152" i="4"/>
  <c r="J206" i="3"/>
  <c r="J64" i="3"/>
  <c r="J7" i="4"/>
  <c r="J51" i="3"/>
  <c r="N206" i="3"/>
  <c r="J130" i="3"/>
  <c r="N19" i="4"/>
  <c r="N227" i="3"/>
  <c r="J216" i="4"/>
  <c r="N139" i="2"/>
  <c r="J162" i="2"/>
  <c r="J86" i="4"/>
  <c r="J227" i="3"/>
  <c r="N218" i="3"/>
  <c r="J174" i="3"/>
  <c r="N161" i="4"/>
  <c r="J227" i="2"/>
  <c r="N8" i="2"/>
  <c r="J108" i="3"/>
  <c r="J51" i="4"/>
  <c r="N108" i="3"/>
  <c r="J152" i="4"/>
  <c r="N151" i="3"/>
  <c r="N85" i="3"/>
  <c r="N32" i="4"/>
  <c r="N110" i="3"/>
  <c r="N95" i="3"/>
  <c r="J217" i="2"/>
  <c r="J32" i="4"/>
  <c r="J31" i="4"/>
  <c r="J84" i="2"/>
  <c r="N19" i="3"/>
  <c r="N150" i="2"/>
  <c r="J35" i="3"/>
  <c r="J34" i="3"/>
  <c r="N118" i="2"/>
  <c r="J36" i="1"/>
  <c r="J19" i="4"/>
  <c r="N31" i="4"/>
  <c r="J106" i="2"/>
  <c r="J19" i="3"/>
  <c r="N85" i="2"/>
  <c r="J205" i="4"/>
  <c r="J196" i="3"/>
  <c r="B43" i="2"/>
  <c r="L72" i="2"/>
  <c r="M72" i="2"/>
  <c r="B21" i="3"/>
  <c r="B196" i="2"/>
  <c r="B75" i="3"/>
  <c r="B130" i="4"/>
  <c r="B198" i="4"/>
  <c r="B186" i="3"/>
  <c r="B207" i="4"/>
  <c r="B21" i="4"/>
  <c r="M215" i="4"/>
  <c r="L215" i="4"/>
  <c r="B108" i="2"/>
  <c r="L72" i="4"/>
  <c r="M72" i="4"/>
  <c r="B174" i="4"/>
  <c r="B75" i="2"/>
  <c r="B54" i="2"/>
  <c r="M6" i="4"/>
  <c r="L6" i="4"/>
  <c r="B31" i="3"/>
  <c r="B143" i="4"/>
  <c r="B54" i="3"/>
  <c r="B141" i="3"/>
  <c r="B165" i="3"/>
  <c r="B64" i="2"/>
  <c r="M116" i="4"/>
  <c r="L116" i="4"/>
  <c r="L127" i="4"/>
  <c r="B42" i="4"/>
  <c r="B154" i="3"/>
  <c r="B98" i="2"/>
  <c r="B153" i="2"/>
  <c r="M83" i="4"/>
  <c r="L83" i="4"/>
  <c r="B75" i="4"/>
  <c r="B187" i="2"/>
  <c r="B229" i="4"/>
  <c r="B163" i="4"/>
  <c r="B185" i="4"/>
  <c r="B132" i="3"/>
  <c r="B229" i="3"/>
  <c r="B208" i="3"/>
  <c r="B219" i="2"/>
  <c r="L171" i="4"/>
  <c r="M171" i="4"/>
  <c r="L204" i="4"/>
  <c r="M204" i="4"/>
  <c r="B164" i="2"/>
  <c r="B220" i="3"/>
  <c r="M226" i="4"/>
  <c r="L226" i="4"/>
  <c r="B119" i="4"/>
  <c r="B87" i="2"/>
  <c r="B65" i="4"/>
  <c r="B207" i="2"/>
  <c r="B32" i="2"/>
  <c r="B53" i="4"/>
  <c r="L83" i="2"/>
  <c r="M28" i="2"/>
  <c r="L105" i="2"/>
  <c r="B43" i="3"/>
  <c r="B176" i="3"/>
  <c r="B88" i="4"/>
  <c r="B174" i="2"/>
  <c r="B9" i="4"/>
  <c r="B141" i="2"/>
  <c r="B131" i="2"/>
  <c r="B218" i="4"/>
  <c r="B198" i="3"/>
  <c r="B10" i="2"/>
  <c r="B87" i="3"/>
  <c r="B66" i="3"/>
  <c r="B11" i="3"/>
  <c r="B230" i="2"/>
  <c r="B97" i="3"/>
  <c r="B120" i="3"/>
  <c r="L50" i="4"/>
  <c r="M50" i="4"/>
  <c r="B154" i="4"/>
  <c r="M39" i="4"/>
  <c r="L39" i="4"/>
  <c r="B20" i="2"/>
  <c r="L195" i="2"/>
  <c r="H206" i="4"/>
  <c r="D152" i="2"/>
  <c r="L184" i="4"/>
  <c r="H163" i="2"/>
  <c r="M206" i="2"/>
  <c r="L175" i="3"/>
  <c r="H217" i="4"/>
  <c r="L20" i="4"/>
  <c r="L164" i="3"/>
  <c r="H152" i="2"/>
  <c r="D175" i="3"/>
  <c r="H195" i="2"/>
  <c r="M163" i="2"/>
  <c r="M217" i="4"/>
  <c r="L19" i="2"/>
  <c r="L121" i="2"/>
  <c r="H219" i="3"/>
  <c r="L197" i="3"/>
  <c r="D74" i="3"/>
  <c r="D121" i="2"/>
  <c r="M63" i="2"/>
  <c r="M219" i="3"/>
  <c r="L33" i="4"/>
  <c r="L63" i="2"/>
  <c r="L219" i="3"/>
  <c r="H87" i="4"/>
  <c r="L74" i="4"/>
  <c r="M31" i="2"/>
  <c r="D31" i="2"/>
  <c r="L129" i="4"/>
  <c r="H74" i="4"/>
  <c r="L173" i="2"/>
  <c r="L107" i="2"/>
  <c r="M228" i="3"/>
  <c r="H110" i="4"/>
  <c r="M41" i="4"/>
  <c r="L118" i="4"/>
  <c r="D110" i="4"/>
  <c r="D42" i="2"/>
  <c r="L96" i="3"/>
  <c r="L197" i="4"/>
  <c r="D186" i="2"/>
  <c r="L9" i="2"/>
  <c r="D142" i="4"/>
  <c r="H86" i="2"/>
  <c r="H119" i="3"/>
  <c r="D206" i="4"/>
  <c r="M140" i="3"/>
  <c r="H64" i="4"/>
  <c r="H65" i="3"/>
  <c r="H20" i="3"/>
  <c r="H53" i="2"/>
  <c r="L97" i="2"/>
  <c r="M175" i="3"/>
  <c r="D153" i="4"/>
  <c r="D195" i="2"/>
  <c r="D20" i="4"/>
  <c r="M53" i="2"/>
  <c r="H164" i="3"/>
  <c r="D184" i="4"/>
  <c r="D163" i="2"/>
  <c r="D206" i="2"/>
  <c r="H175" i="3"/>
  <c r="D217" i="4"/>
  <c r="M10" i="3"/>
  <c r="M195" i="2"/>
  <c r="H184" i="4"/>
  <c r="L206" i="2"/>
  <c r="H10" i="3"/>
  <c r="M19" i="2"/>
  <c r="M20" i="4"/>
  <c r="D164" i="3"/>
  <c r="L152" i="2"/>
  <c r="H206" i="2"/>
  <c r="L10" i="3"/>
  <c r="D33" i="4"/>
  <c r="D10" i="3"/>
  <c r="H19" i="2"/>
  <c r="D19" i="2"/>
  <c r="M131" i="3"/>
  <c r="M197" i="3"/>
  <c r="H107" i="2"/>
  <c r="D63" i="2"/>
  <c r="D219" i="3"/>
  <c r="D173" i="2"/>
  <c r="L229" i="2"/>
  <c r="D129" i="4"/>
  <c r="D228" i="3"/>
  <c r="D197" i="3"/>
  <c r="M30" i="3"/>
  <c r="L228" i="3"/>
  <c r="M173" i="2"/>
  <c r="D229" i="2"/>
  <c r="M107" i="2"/>
  <c r="L110" i="4"/>
  <c r="H129" i="4"/>
  <c r="L186" i="2"/>
  <c r="H31" i="2"/>
  <c r="D207" i="3"/>
  <c r="H52" i="4"/>
  <c r="M173" i="4"/>
  <c r="M207" i="3"/>
  <c r="M8" i="4"/>
  <c r="M197" i="4"/>
  <c r="L41" i="4"/>
  <c r="L52" i="4"/>
  <c r="M74" i="2"/>
  <c r="L130" i="2"/>
  <c r="D97" i="2"/>
  <c r="D130" i="2"/>
  <c r="L53" i="2"/>
  <c r="L153" i="4"/>
  <c r="M184" i="4"/>
  <c r="D65" i="3"/>
  <c r="L31" i="2"/>
  <c r="L142" i="4"/>
  <c r="H186" i="2"/>
  <c r="L87" i="4"/>
  <c r="D131" i="3"/>
  <c r="H96" i="3"/>
  <c r="M96" i="3"/>
  <c r="D173" i="4"/>
  <c r="H207" i="3"/>
  <c r="D53" i="2"/>
  <c r="M74" i="3"/>
  <c r="H20" i="4"/>
  <c r="M121" i="2"/>
  <c r="M164" i="3"/>
  <c r="M152" i="2"/>
  <c r="H131" i="3"/>
  <c r="L163" i="2"/>
  <c r="M33" i="4"/>
  <c r="L217" i="4"/>
  <c r="L74" i="3"/>
  <c r="H63" i="2"/>
  <c r="D87" i="4"/>
  <c r="L131" i="3"/>
  <c r="M87" i="4"/>
  <c r="H121" i="2"/>
  <c r="H33" i="4"/>
  <c r="M229" i="2"/>
  <c r="H74" i="3"/>
  <c r="D30" i="3"/>
  <c r="M74" i="4"/>
  <c r="H197" i="3"/>
  <c r="D107" i="2"/>
  <c r="H229" i="2"/>
  <c r="M129" i="4"/>
  <c r="D74" i="4"/>
  <c r="M110" i="4"/>
  <c r="L30" i="3"/>
  <c r="H30" i="3"/>
  <c r="M118" i="4"/>
  <c r="H173" i="2"/>
  <c r="D96" i="3"/>
  <c r="H228" i="3"/>
  <c r="H8" i="4"/>
  <c r="H41" i="4"/>
  <c r="M186" i="2"/>
  <c r="M52" i="4"/>
  <c r="D9" i="2"/>
  <c r="H197" i="4"/>
  <c r="D41" i="4"/>
  <c r="H118" i="4"/>
  <c r="M9" i="2"/>
  <c r="D52" i="4"/>
  <c r="L42" i="3"/>
  <c r="L65" i="3"/>
  <c r="L206" i="4"/>
  <c r="D197" i="4"/>
  <c r="M142" i="4"/>
  <c r="D8" i="4"/>
  <c r="H42" i="2"/>
  <c r="H142" i="4"/>
  <c r="D118" i="4"/>
  <c r="L173" i="4"/>
  <c r="L228" i="4"/>
  <c r="L8" i="4"/>
  <c r="L20" i="3"/>
  <c r="L162" i="4"/>
  <c r="M153" i="4"/>
  <c r="L140" i="3"/>
  <c r="H130" i="2"/>
  <c r="M42" i="2"/>
  <c r="H173" i="4"/>
  <c r="D53" i="3"/>
  <c r="H153" i="3"/>
  <c r="L207" i="3"/>
  <c r="M140" i="2"/>
  <c r="H9" i="2"/>
  <c r="D119" i="3"/>
  <c r="L42" i="2"/>
  <c r="M153" i="3"/>
  <c r="D228" i="4"/>
  <c r="M218" i="2"/>
  <c r="D86" i="2"/>
  <c r="D140" i="2"/>
  <c r="M86" i="3"/>
  <c r="M119" i="3"/>
  <c r="M185" i="3"/>
  <c r="H74" i="2"/>
  <c r="L53" i="3"/>
  <c r="L153" i="3"/>
  <c r="M228" i="4"/>
  <c r="L86" i="2"/>
  <c r="H140" i="2"/>
  <c r="D86" i="3"/>
  <c r="L119" i="3"/>
  <c r="D185" i="3"/>
  <c r="L74" i="2"/>
  <c r="M53" i="3"/>
  <c r="D153" i="3"/>
  <c r="H228" i="4"/>
  <c r="H218" i="2"/>
  <c r="M86" i="2"/>
  <c r="D42" i="3"/>
  <c r="L140" i="2"/>
  <c r="H86" i="3"/>
  <c r="D20" i="3"/>
  <c r="L185" i="3"/>
  <c r="D74" i="2"/>
  <c r="H53" i="3"/>
  <c r="D162" i="4"/>
  <c r="D218" i="2"/>
  <c r="M64" i="4"/>
  <c r="H42" i="3"/>
  <c r="H185" i="3"/>
  <c r="H140" i="3"/>
  <c r="H97" i="2"/>
  <c r="M162" i="4"/>
  <c r="L218" i="2"/>
  <c r="D64" i="4"/>
  <c r="M42" i="3"/>
  <c r="M130" i="2"/>
  <c r="L86" i="3"/>
  <c r="H153" i="4"/>
  <c r="M20" i="3"/>
  <c r="H162" i="4"/>
  <c r="L64" i="4"/>
  <c r="M65" i="3"/>
  <c r="M206" i="4"/>
  <c r="M97" i="2"/>
  <c r="D140" i="3"/>
  <c r="P117" i="2"/>
  <c r="P29" i="4"/>
  <c r="P106" i="4"/>
  <c r="N97" i="2" l="1"/>
  <c r="N206" i="4"/>
  <c r="N65" i="3"/>
  <c r="J162" i="4"/>
  <c r="N20" i="3"/>
  <c r="J153" i="4"/>
  <c r="N130" i="2"/>
  <c r="N42" i="3"/>
  <c r="N162" i="4"/>
  <c r="J97" i="2"/>
  <c r="J140" i="3"/>
  <c r="J185" i="3"/>
  <c r="J42" i="3"/>
  <c r="N64" i="4"/>
  <c r="J53" i="3"/>
  <c r="J86" i="3"/>
  <c r="N86" i="2"/>
  <c r="J218" i="2"/>
  <c r="J228" i="4"/>
  <c r="N53" i="3"/>
  <c r="J140" i="2"/>
  <c r="N228" i="4"/>
  <c r="J74" i="2"/>
  <c r="N185" i="3"/>
  <c r="N119" i="3"/>
  <c r="N86" i="3"/>
  <c r="N218" i="2"/>
  <c r="N153" i="3"/>
  <c r="J9" i="2"/>
  <c r="N140" i="2"/>
  <c r="J153" i="3"/>
  <c r="J173" i="4"/>
  <c r="N42" i="2"/>
  <c r="J130" i="2"/>
  <c r="N153" i="4"/>
  <c r="J142" i="4"/>
  <c r="J42" i="2"/>
  <c r="N142" i="4"/>
  <c r="N9" i="2"/>
  <c r="J118" i="4"/>
  <c r="J197" i="4"/>
  <c r="N52" i="4"/>
  <c r="N186" i="2"/>
  <c r="J41" i="4"/>
  <c r="J8" i="4"/>
  <c r="J228" i="3"/>
  <c r="J173" i="2"/>
  <c r="N118" i="4"/>
  <c r="J30" i="3"/>
  <c r="N110" i="4"/>
  <c r="N129" i="4"/>
  <c r="J229" i="2"/>
  <c r="J197" i="3"/>
  <c r="N74" i="4"/>
  <c r="J74" i="3"/>
  <c r="N229" i="2"/>
  <c r="J33" i="4"/>
  <c r="J121" i="2"/>
  <c r="N87" i="4"/>
  <c r="J63" i="2"/>
  <c r="N33" i="4"/>
  <c r="J131" i="3"/>
  <c r="N152" i="2"/>
  <c r="N164" i="3"/>
  <c r="N121" i="2"/>
  <c r="J20" i="4"/>
  <c r="N74" i="3"/>
  <c r="J207" i="3"/>
  <c r="N96" i="3"/>
  <c r="J96" i="3"/>
  <c r="J186" i="2"/>
  <c r="N184" i="4"/>
  <c r="N74" i="2"/>
  <c r="N197" i="4"/>
  <c r="N8" i="4"/>
  <c r="N207" i="3"/>
  <c r="N173" i="4"/>
  <c r="J52" i="4"/>
  <c r="J31" i="2"/>
  <c r="J129" i="4"/>
  <c r="N107" i="2"/>
  <c r="N173" i="2"/>
  <c r="N30" i="3"/>
  <c r="J107" i="2"/>
  <c r="N197" i="3"/>
  <c r="N131" i="3"/>
  <c r="J19" i="2"/>
  <c r="J206" i="2"/>
  <c r="N20" i="4"/>
  <c r="N19" i="2"/>
  <c r="J10" i="3"/>
  <c r="J184" i="4"/>
  <c r="N195" i="2"/>
  <c r="N10" i="3"/>
  <c r="J175" i="3"/>
  <c r="J164" i="3"/>
  <c r="N53" i="2"/>
  <c r="N175" i="3"/>
  <c r="J53" i="2"/>
  <c r="J20" i="3"/>
  <c r="J65" i="3"/>
  <c r="J64" i="4"/>
  <c r="N140" i="3"/>
  <c r="J119" i="3"/>
  <c r="J86" i="2"/>
  <c r="J112" i="4"/>
  <c r="J111" i="4"/>
  <c r="N41" i="4"/>
  <c r="J110" i="4"/>
  <c r="N228" i="3"/>
  <c r="J74" i="4"/>
  <c r="N31" i="2"/>
  <c r="J87" i="4"/>
  <c r="N219" i="3"/>
  <c r="N63" i="2"/>
  <c r="J122" i="2"/>
  <c r="J123" i="2"/>
  <c r="J219" i="3"/>
  <c r="N217" i="4"/>
  <c r="N163" i="2"/>
  <c r="J195" i="2"/>
  <c r="J152" i="2"/>
  <c r="J217" i="4"/>
  <c r="N206" i="2"/>
  <c r="J163" i="2"/>
  <c r="J206" i="4"/>
  <c r="B132" i="2"/>
  <c r="B44" i="3"/>
  <c r="B142" i="3"/>
  <c r="B76" i="2"/>
  <c r="B22" i="3"/>
  <c r="B88" i="3"/>
  <c r="B142" i="2"/>
  <c r="B220" i="2"/>
  <c r="B55" i="3"/>
  <c r="B175" i="4"/>
  <c r="B187" i="3"/>
  <c r="B88" i="2"/>
  <c r="B230" i="4"/>
  <c r="B99" i="2"/>
  <c r="B121" i="3"/>
  <c r="B120" i="4"/>
  <c r="B208" i="2"/>
  <c r="B164" i="4"/>
  <c r="B208" i="4"/>
  <c r="B43" i="4"/>
  <c r="B65" i="2"/>
  <c r="B33" i="2"/>
  <c r="B76" i="4"/>
  <c r="B231" i="2"/>
  <c r="B21" i="2"/>
  <c r="B98" i="3"/>
  <c r="B109" i="2"/>
  <c r="B11" i="2"/>
  <c r="B175" i="2"/>
  <c r="B197" i="2"/>
  <c r="B66" i="4"/>
  <c r="B10" i="4"/>
  <c r="B54" i="4"/>
  <c r="B230" i="3"/>
  <c r="B32" i="3"/>
  <c r="B22" i="4"/>
  <c r="B186" i="4"/>
  <c r="B154" i="2"/>
  <c r="B44" i="2"/>
  <c r="B209" i="3"/>
  <c r="B131" i="4"/>
  <c r="B76" i="3"/>
  <c r="B219" i="4"/>
  <c r="B165" i="2"/>
  <c r="B55" i="2"/>
  <c r="L207" i="4"/>
  <c r="H230" i="2"/>
  <c r="M143" i="4"/>
  <c r="D185" i="4"/>
  <c r="D98" i="2"/>
  <c r="M230" i="2"/>
  <c r="H143" i="4"/>
  <c r="M198" i="3"/>
  <c r="D143" i="4"/>
  <c r="D198" i="3"/>
  <c r="M174" i="4"/>
  <c r="D132" i="3"/>
  <c r="L53" i="4"/>
  <c r="H132" i="3"/>
  <c r="L153" i="2"/>
  <c r="L131" i="2"/>
  <c r="M120" i="3"/>
  <c r="L132" i="3"/>
  <c r="L218" i="4"/>
  <c r="H131" i="2"/>
  <c r="M220" i="3"/>
  <c r="L87" i="3"/>
  <c r="H20" i="2"/>
  <c r="H141" i="2"/>
  <c r="D20" i="2"/>
  <c r="D218" i="4"/>
  <c r="M20" i="2"/>
  <c r="H164" i="2"/>
  <c r="D119" i="4"/>
  <c r="L187" i="2"/>
  <c r="L229" i="3"/>
  <c r="M164" i="2"/>
  <c r="H64" i="2"/>
  <c r="D229" i="3"/>
  <c r="M43" i="3"/>
  <c r="L119" i="4"/>
  <c r="L196" i="2"/>
  <c r="D154" i="3"/>
  <c r="D64" i="2"/>
  <c r="H229" i="4"/>
  <c r="M32" i="2"/>
  <c r="H208" i="3"/>
  <c r="L154" i="3"/>
  <c r="L32" i="2"/>
  <c r="D66" i="3"/>
  <c r="H163" i="4"/>
  <c r="H54" i="3"/>
  <c r="L75" i="4"/>
  <c r="D207" i="4"/>
  <c r="L75" i="3"/>
  <c r="H154" i="4"/>
  <c r="M21" i="3"/>
  <c r="D174" i="4"/>
  <c r="M108" i="2"/>
  <c r="H21" i="3"/>
  <c r="M98" i="2"/>
  <c r="D10" i="2"/>
  <c r="M185" i="4"/>
  <c r="D21" i="3"/>
  <c r="H98" i="2"/>
  <c r="H42" i="4"/>
  <c r="L185" i="4"/>
  <c r="H198" i="3"/>
  <c r="D120" i="3"/>
  <c r="H53" i="4"/>
  <c r="M42" i="4"/>
  <c r="M153" i="2"/>
  <c r="D186" i="3"/>
  <c r="H153" i="2"/>
  <c r="H120" i="3"/>
  <c r="D174" i="2"/>
  <c r="H218" i="4"/>
  <c r="M176" i="3"/>
  <c r="H174" i="2"/>
  <c r="H43" i="2"/>
  <c r="D220" i="3"/>
  <c r="M43" i="2"/>
  <c r="L141" i="2"/>
  <c r="L174" i="2"/>
  <c r="M141" i="2"/>
  <c r="D141" i="2"/>
  <c r="D11" i="3"/>
  <c r="L43" i="2"/>
  <c r="M87" i="2"/>
  <c r="L11" i="3"/>
  <c r="D164" i="2"/>
  <c r="D43" i="3"/>
  <c r="M229" i="4"/>
  <c r="M11" i="3"/>
  <c r="L208" i="3"/>
  <c r="D196" i="2"/>
  <c r="H141" i="3"/>
  <c r="M65" i="4"/>
  <c r="H9" i="4"/>
  <c r="D54" i="2"/>
  <c r="H75" i="4"/>
  <c r="M54" i="2"/>
  <c r="L75" i="2"/>
  <c r="M9" i="4"/>
  <c r="L54" i="3"/>
  <c r="D21" i="4"/>
  <c r="L21" i="3"/>
  <c r="D108" i="2"/>
  <c r="H174" i="4"/>
  <c r="M53" i="4"/>
  <c r="L120" i="3"/>
  <c r="M186" i="3"/>
  <c r="D187" i="2"/>
  <c r="M208" i="3"/>
  <c r="H66" i="3"/>
  <c r="M229" i="3"/>
  <c r="L207" i="2"/>
  <c r="D208" i="3"/>
  <c r="H130" i="4"/>
  <c r="M75" i="3"/>
  <c r="D154" i="4"/>
  <c r="H75" i="3"/>
  <c r="D75" i="2"/>
  <c r="H108" i="2"/>
  <c r="L54" i="2"/>
  <c r="H207" i="4"/>
  <c r="L143" i="4"/>
  <c r="D131" i="2"/>
  <c r="L87" i="2"/>
  <c r="H11" i="3"/>
  <c r="D75" i="3"/>
  <c r="H87" i="3"/>
  <c r="L174" i="4"/>
  <c r="L98" i="2"/>
  <c r="L42" i="4"/>
  <c r="M132" i="3"/>
  <c r="M10" i="2"/>
  <c r="D53" i="4"/>
  <c r="D153" i="2"/>
  <c r="L198" i="3"/>
  <c r="M131" i="2"/>
  <c r="D87" i="3"/>
  <c r="D42" i="4"/>
  <c r="H10" i="2"/>
  <c r="H186" i="3"/>
  <c r="L10" i="2"/>
  <c r="M87" i="3"/>
  <c r="M174" i="2"/>
  <c r="M218" i="4"/>
  <c r="D176" i="3"/>
  <c r="L220" i="3"/>
  <c r="H187" i="2"/>
  <c r="L186" i="3"/>
  <c r="H220" i="3"/>
  <c r="M187" i="2"/>
  <c r="L176" i="3"/>
  <c r="M119" i="4"/>
  <c r="H176" i="3"/>
  <c r="D87" i="2"/>
  <c r="L20" i="2"/>
  <c r="D43" i="2"/>
  <c r="H43" i="3"/>
  <c r="H87" i="2"/>
  <c r="L64" i="2"/>
  <c r="L43" i="3"/>
  <c r="H119" i="4"/>
  <c r="M196" i="2"/>
  <c r="L164" i="2"/>
  <c r="M154" i="3"/>
  <c r="M64" i="2"/>
  <c r="H229" i="3"/>
  <c r="H196" i="2"/>
  <c r="H154" i="3"/>
  <c r="M207" i="2"/>
  <c r="H88" i="4"/>
  <c r="L66" i="3"/>
  <c r="D229" i="4"/>
  <c r="D88" i="4"/>
  <c r="M21" i="4"/>
  <c r="L108" i="2"/>
  <c r="H21" i="4"/>
  <c r="L230" i="2"/>
  <c r="D230" i="2"/>
  <c r="H54" i="2"/>
  <c r="D141" i="3"/>
  <c r="H207" i="2"/>
  <c r="M88" i="4"/>
  <c r="L65" i="4"/>
  <c r="M31" i="3"/>
  <c r="M66" i="3"/>
  <c r="M141" i="3"/>
  <c r="H219" i="2"/>
  <c r="L229" i="4"/>
  <c r="D207" i="2"/>
  <c r="H32" i="2"/>
  <c r="L88" i="4"/>
  <c r="H65" i="4"/>
  <c r="L31" i="3"/>
  <c r="D165" i="3"/>
  <c r="L141" i="3"/>
  <c r="D219" i="2"/>
  <c r="M198" i="4"/>
  <c r="M163" i="4"/>
  <c r="D32" i="2"/>
  <c r="L97" i="3"/>
  <c r="D65" i="4"/>
  <c r="H31" i="3"/>
  <c r="D130" i="4"/>
  <c r="M165" i="3"/>
  <c r="L219" i="2"/>
  <c r="H198" i="4"/>
  <c r="D163" i="4"/>
  <c r="M75" i="4"/>
  <c r="H97" i="3"/>
  <c r="D31" i="3"/>
  <c r="M130" i="4"/>
  <c r="L165" i="3"/>
  <c r="M219" i="2"/>
  <c r="D198" i="4"/>
  <c r="L163" i="4"/>
  <c r="D75" i="4"/>
  <c r="D97" i="3"/>
  <c r="D9" i="4"/>
  <c r="L21" i="4"/>
  <c r="L130" i="4"/>
  <c r="H165" i="3"/>
  <c r="H75" i="2"/>
  <c r="D54" i="3"/>
  <c r="L198" i="4"/>
  <c r="M75" i="2"/>
  <c r="M154" i="4"/>
  <c r="M97" i="3"/>
  <c r="M207" i="4"/>
  <c r="L154" i="4"/>
  <c r="L9" i="4"/>
  <c r="M54" i="3"/>
  <c r="H185" i="4"/>
  <c r="P139" i="4"/>
  <c r="P194" i="3"/>
  <c r="P216" i="3"/>
  <c r="P172" i="3"/>
  <c r="P7" i="3"/>
  <c r="P128" i="3"/>
  <c r="P183" i="2"/>
  <c r="P150" i="3"/>
  <c r="P84" i="4"/>
  <c r="P62" i="3"/>
  <c r="P194" i="4"/>
  <c r="P161" i="3"/>
  <c r="P150" i="4"/>
  <c r="J185" i="4" l="1"/>
  <c r="N54" i="3"/>
  <c r="N207" i="4"/>
  <c r="N97" i="3"/>
  <c r="N154" i="4"/>
  <c r="N75" i="2"/>
  <c r="J75" i="2"/>
  <c r="J165" i="3"/>
  <c r="J200" i="4"/>
  <c r="J199" i="4"/>
  <c r="N219" i="2"/>
  <c r="N130" i="4"/>
  <c r="J97" i="3"/>
  <c r="N75" i="4"/>
  <c r="J198" i="4"/>
  <c r="N165" i="3"/>
  <c r="J31" i="3"/>
  <c r="N163" i="4"/>
  <c r="N198" i="4"/>
  <c r="J167" i="3"/>
  <c r="J166" i="3"/>
  <c r="J65" i="4"/>
  <c r="J32" i="2"/>
  <c r="J219" i="2"/>
  <c r="N141" i="3"/>
  <c r="N66" i="3"/>
  <c r="N31" i="3"/>
  <c r="N88" i="4"/>
  <c r="J207" i="2"/>
  <c r="J54" i="2"/>
  <c r="J21" i="4"/>
  <c r="N21" i="4"/>
  <c r="J89" i="4"/>
  <c r="J90" i="4"/>
  <c r="J88" i="4"/>
  <c r="N207" i="2"/>
  <c r="J154" i="3"/>
  <c r="J196" i="2"/>
  <c r="J229" i="3"/>
  <c r="N64" i="2"/>
  <c r="N154" i="3"/>
  <c r="N196" i="2"/>
  <c r="J119" i="4"/>
  <c r="J87" i="2"/>
  <c r="J43" i="3"/>
  <c r="J176" i="3"/>
  <c r="N119" i="4"/>
  <c r="N187" i="2"/>
  <c r="J220" i="3"/>
  <c r="J187" i="2"/>
  <c r="J177" i="3"/>
  <c r="J178" i="3"/>
  <c r="N218" i="4"/>
  <c r="N174" i="2"/>
  <c r="N87" i="3"/>
  <c r="J186" i="3"/>
  <c r="J10" i="2"/>
  <c r="N131" i="2"/>
  <c r="N10" i="2"/>
  <c r="N132" i="3"/>
  <c r="J87" i="3"/>
  <c r="J11" i="3"/>
  <c r="J207" i="4"/>
  <c r="J108" i="2"/>
  <c r="J75" i="3"/>
  <c r="J156" i="4"/>
  <c r="J155" i="4"/>
  <c r="N75" i="3"/>
  <c r="J130" i="4"/>
  <c r="N229" i="3"/>
  <c r="J66" i="3"/>
  <c r="N208" i="3"/>
  <c r="J188" i="2"/>
  <c r="J189" i="2"/>
  <c r="N186" i="3"/>
  <c r="N53" i="4"/>
  <c r="J174" i="4"/>
  <c r="N9" i="4"/>
  <c r="N54" i="2"/>
  <c r="J75" i="4"/>
  <c r="J9" i="4"/>
  <c r="N65" i="4"/>
  <c r="J141" i="3"/>
  <c r="N11" i="3"/>
  <c r="N229" i="4"/>
  <c r="N87" i="2"/>
  <c r="N141" i="2"/>
  <c r="N43" i="2"/>
  <c r="J221" i="3"/>
  <c r="J222" i="3"/>
  <c r="J43" i="2"/>
  <c r="J174" i="2"/>
  <c r="N176" i="3"/>
  <c r="J218" i="4"/>
  <c r="J120" i="3"/>
  <c r="J153" i="2"/>
  <c r="N153" i="2"/>
  <c r="N42" i="4"/>
  <c r="J53" i="4"/>
  <c r="J198" i="3"/>
  <c r="J42" i="4"/>
  <c r="J98" i="2"/>
  <c r="N185" i="4"/>
  <c r="N98" i="2"/>
  <c r="J21" i="3"/>
  <c r="N108" i="2"/>
  <c r="N21" i="3"/>
  <c r="J154" i="4"/>
  <c r="J54" i="3"/>
  <c r="J163" i="4"/>
  <c r="J67" i="3"/>
  <c r="J68" i="3"/>
  <c r="J208" i="3"/>
  <c r="N32" i="2"/>
  <c r="J229" i="4"/>
  <c r="J156" i="3"/>
  <c r="J155" i="3"/>
  <c r="N43" i="3"/>
  <c r="J64" i="2"/>
  <c r="N164" i="2"/>
  <c r="J164" i="2"/>
  <c r="N20" i="2"/>
  <c r="J141" i="2"/>
  <c r="J20" i="2"/>
  <c r="N220" i="3"/>
  <c r="J131" i="2"/>
  <c r="N120" i="3"/>
  <c r="J132" i="3"/>
  <c r="J134" i="3"/>
  <c r="J135" i="3"/>
  <c r="J133" i="3"/>
  <c r="N174" i="4"/>
  <c r="J199" i="3"/>
  <c r="J200" i="3"/>
  <c r="J144" i="4"/>
  <c r="J145" i="4"/>
  <c r="N198" i="3"/>
  <c r="J143" i="4"/>
  <c r="N230" i="2"/>
  <c r="N143" i="4"/>
  <c r="J230" i="2"/>
  <c r="B99" i="3"/>
  <c r="B77" i="2"/>
  <c r="B143" i="3"/>
  <c r="B132" i="4"/>
  <c r="B231" i="4"/>
  <c r="B209" i="2"/>
  <c r="B176" i="2"/>
  <c r="B220" i="4"/>
  <c r="B66" i="2"/>
  <c r="B165" i="4"/>
  <c r="B77" i="4"/>
  <c r="B198" i="2"/>
  <c r="B143" i="2"/>
  <c r="B22" i="2"/>
  <c r="B187" i="4"/>
  <c r="B209" i="4"/>
  <c r="B11" i="4"/>
  <c r="B33" i="3"/>
  <c r="B231" i="3"/>
  <c r="B121" i="4"/>
  <c r="B55" i="4"/>
  <c r="B44" i="4"/>
  <c r="B77" i="3"/>
  <c r="B110" i="2"/>
  <c r="B176" i="4"/>
  <c r="L230" i="4"/>
  <c r="M219" i="4"/>
  <c r="L197" i="2"/>
  <c r="M11" i="2"/>
  <c r="L22" i="4"/>
  <c r="M187" i="3"/>
  <c r="H22" i="3"/>
  <c r="L76" i="2"/>
  <c r="M230" i="4"/>
  <c r="D132" i="2"/>
  <c r="H197" i="2"/>
  <c r="L11" i="2"/>
  <c r="L187" i="3"/>
  <c r="L22" i="3"/>
  <c r="H76" i="2"/>
  <c r="D220" i="2"/>
  <c r="M132" i="2"/>
  <c r="D197" i="2"/>
  <c r="H11" i="2"/>
  <c r="D32" i="3"/>
  <c r="L43" i="4"/>
  <c r="H66" i="4"/>
  <c r="H220" i="2"/>
  <c r="H132" i="2"/>
  <c r="L231" i="2"/>
  <c r="H32" i="3"/>
  <c r="D43" i="4"/>
  <c r="L66" i="4"/>
  <c r="H231" i="2"/>
  <c r="D66" i="4"/>
  <c r="L55" i="3"/>
  <c r="L165" i="2"/>
  <c r="L32" i="3"/>
  <c r="L186" i="4"/>
  <c r="H55" i="3"/>
  <c r="M165" i="2"/>
  <c r="M230" i="3"/>
  <c r="L142" i="3"/>
  <c r="H65" i="2"/>
  <c r="M186" i="4"/>
  <c r="H142" i="3"/>
  <c r="H186" i="4"/>
  <c r="H230" i="3"/>
  <c r="D142" i="3"/>
  <c r="M164" i="4"/>
  <c r="D186" i="4"/>
  <c r="L76" i="3"/>
  <c r="L131" i="4"/>
  <c r="M142" i="2"/>
  <c r="M120" i="4"/>
  <c r="D164" i="4"/>
  <c r="D131" i="4"/>
  <c r="H164" i="4"/>
  <c r="L208" i="4"/>
  <c r="L109" i="2"/>
  <c r="D76" i="4"/>
  <c r="D121" i="3"/>
  <c r="H120" i="4"/>
  <c r="H131" i="4"/>
  <c r="D208" i="4"/>
  <c r="H109" i="2"/>
  <c r="M209" i="3"/>
  <c r="H76" i="4"/>
  <c r="M55" i="2"/>
  <c r="D99" i="2"/>
  <c r="D98" i="3"/>
  <c r="H219" i="4"/>
  <c r="H10" i="4"/>
  <c r="D54" i="4"/>
  <c r="H88" i="2"/>
  <c r="D22" i="3"/>
  <c r="D76" i="2"/>
  <c r="D88" i="2"/>
  <c r="D22" i="4"/>
  <c r="H22" i="4"/>
  <c r="H76" i="3"/>
  <c r="L164" i="4"/>
  <c r="D88" i="3"/>
  <c r="L121" i="3"/>
  <c r="M76" i="2"/>
  <c r="M66" i="4"/>
  <c r="M220" i="2"/>
  <c r="L132" i="2"/>
  <c r="M231" i="2"/>
  <c r="M43" i="4"/>
  <c r="M197" i="2"/>
  <c r="L220" i="2"/>
  <c r="D165" i="2"/>
  <c r="M32" i="3"/>
  <c r="D65" i="2"/>
  <c r="D231" i="2"/>
  <c r="H43" i="4"/>
  <c r="M55" i="3"/>
  <c r="M65" i="2"/>
  <c r="H165" i="2"/>
  <c r="M142" i="3"/>
  <c r="L65" i="2"/>
  <c r="D55" i="3"/>
  <c r="D76" i="3"/>
  <c r="D208" i="2"/>
  <c r="L142" i="2"/>
  <c r="M76" i="3"/>
  <c r="M208" i="2"/>
  <c r="D142" i="2"/>
  <c r="D230" i="3"/>
  <c r="L208" i="2"/>
  <c r="M109" i="2"/>
  <c r="M131" i="4"/>
  <c r="H208" i="2"/>
  <c r="H142" i="2"/>
  <c r="M208" i="4"/>
  <c r="H121" i="3"/>
  <c r="L120" i="4"/>
  <c r="M44" i="2"/>
  <c r="H208" i="4"/>
  <c r="D109" i="2"/>
  <c r="L44" i="2"/>
  <c r="M121" i="3"/>
  <c r="D120" i="4"/>
  <c r="D44" i="2"/>
  <c r="P40" i="2" s="1"/>
  <c r="H154" i="2"/>
  <c r="L88" i="2"/>
  <c r="H175" i="4"/>
  <c r="D230" i="4"/>
  <c r="M22" i="4"/>
  <c r="D11" i="2"/>
  <c r="P7" i="2" s="1"/>
  <c r="M22" i="3"/>
  <c r="L230" i="3"/>
  <c r="H209" i="3"/>
  <c r="H44" i="2"/>
  <c r="M76" i="4"/>
  <c r="D21" i="2"/>
  <c r="L55" i="2"/>
  <c r="D154" i="2"/>
  <c r="L99" i="2"/>
  <c r="L209" i="3"/>
  <c r="H175" i="2"/>
  <c r="L76" i="4"/>
  <c r="L21" i="2"/>
  <c r="H55" i="2"/>
  <c r="M154" i="2"/>
  <c r="H99" i="2"/>
  <c r="D209" i="3"/>
  <c r="M175" i="2"/>
  <c r="L44" i="3"/>
  <c r="D55" i="2"/>
  <c r="L154" i="2"/>
  <c r="M99" i="2"/>
  <c r="L33" i="2"/>
  <c r="H44" i="3"/>
  <c r="M21" i="2"/>
  <c r="D10" i="4"/>
  <c r="L175" i="4"/>
  <c r="H98" i="3"/>
  <c r="D33" i="2"/>
  <c r="L175" i="2"/>
  <c r="D44" i="3"/>
  <c r="H21" i="2"/>
  <c r="M54" i="4"/>
  <c r="M98" i="3"/>
  <c r="M33" i="2"/>
  <c r="D175" i="2"/>
  <c r="M44" i="3"/>
  <c r="L88" i="3"/>
  <c r="M10" i="4"/>
  <c r="L54" i="4"/>
  <c r="D175" i="4"/>
  <c r="L98" i="3"/>
  <c r="H33" i="2"/>
  <c r="L219" i="4"/>
  <c r="M88" i="2"/>
  <c r="M88" i="3"/>
  <c r="L10" i="4"/>
  <c r="H54" i="4"/>
  <c r="M175" i="4"/>
  <c r="H230" i="4"/>
  <c r="H88" i="3"/>
  <c r="D219" i="4"/>
  <c r="H187" i="3"/>
  <c r="D187" i="3"/>
  <c r="P183" i="3"/>
  <c r="P128" i="2"/>
  <c r="P161" i="2"/>
  <c r="P205" i="3"/>
  <c r="P51" i="2"/>
  <c r="P62" i="4"/>
  <c r="P216" i="2"/>
  <c r="P227" i="2"/>
  <c r="P51" i="3"/>
  <c r="P117" i="3"/>
  <c r="P18" i="4"/>
  <c r="P18" i="3"/>
  <c r="P150" i="2"/>
  <c r="P95" i="2"/>
  <c r="P29" i="2"/>
  <c r="P40" i="3"/>
  <c r="P84" i="2"/>
  <c r="P84" i="3"/>
  <c r="J189" i="3" l="1"/>
  <c r="J188" i="3"/>
  <c r="J187" i="3"/>
  <c r="J88" i="3"/>
  <c r="J230" i="4"/>
  <c r="N175" i="4"/>
  <c r="J54" i="4"/>
  <c r="N88" i="3"/>
  <c r="N88" i="2"/>
  <c r="J33" i="2"/>
  <c r="N10" i="4"/>
  <c r="N44" i="3"/>
  <c r="N33" i="2"/>
  <c r="N98" i="3"/>
  <c r="N54" i="4"/>
  <c r="J21" i="2"/>
  <c r="J98" i="3"/>
  <c r="N21" i="2"/>
  <c r="J44" i="3"/>
  <c r="N99" i="2"/>
  <c r="J57" i="2"/>
  <c r="J56" i="2"/>
  <c r="N175" i="2"/>
  <c r="J210" i="3"/>
  <c r="J211" i="3"/>
  <c r="J99" i="2"/>
  <c r="N154" i="2"/>
  <c r="J55" i="2"/>
  <c r="J175" i="2"/>
  <c r="J155" i="2"/>
  <c r="J156" i="2"/>
  <c r="N76" i="4"/>
  <c r="J44" i="2"/>
  <c r="J209" i="3"/>
  <c r="N22" i="3"/>
  <c r="N22" i="4"/>
  <c r="J175" i="4"/>
  <c r="J154" i="2"/>
  <c r="N121" i="3"/>
  <c r="J208" i="4"/>
  <c r="N44" i="2"/>
  <c r="J121" i="3"/>
  <c r="N208" i="4"/>
  <c r="J142" i="2"/>
  <c r="J208" i="2"/>
  <c r="N131" i="4"/>
  <c r="N109" i="2"/>
  <c r="N208" i="2"/>
  <c r="N76" i="3"/>
  <c r="J56" i="3"/>
  <c r="J57" i="3"/>
  <c r="N142" i="3"/>
  <c r="J165" i="2"/>
  <c r="N65" i="2"/>
  <c r="N55" i="3"/>
  <c r="J43" i="4"/>
  <c r="J232" i="2"/>
  <c r="J233" i="2"/>
  <c r="N32" i="3"/>
  <c r="J166" i="2"/>
  <c r="J167" i="2"/>
  <c r="N197" i="2"/>
  <c r="N43" i="4"/>
  <c r="N231" i="2"/>
  <c r="N220" i="2"/>
  <c r="N66" i="4"/>
  <c r="N76" i="2"/>
  <c r="J89" i="3"/>
  <c r="J90" i="3"/>
  <c r="J76" i="3"/>
  <c r="J22" i="4"/>
  <c r="J24" i="4"/>
  <c r="J23" i="4"/>
  <c r="J89" i="2"/>
  <c r="J90" i="2"/>
  <c r="J23" i="3"/>
  <c r="J24" i="3"/>
  <c r="J88" i="2"/>
  <c r="J10" i="4"/>
  <c r="J219" i="4"/>
  <c r="J100" i="2"/>
  <c r="J101" i="2"/>
  <c r="N55" i="2"/>
  <c r="J76" i="4"/>
  <c r="N209" i="3"/>
  <c r="J109" i="2"/>
  <c r="J131" i="4"/>
  <c r="J120" i="4"/>
  <c r="J123" i="3"/>
  <c r="J122" i="3"/>
  <c r="J164" i="4"/>
  <c r="N120" i="4"/>
  <c r="N142" i="2"/>
  <c r="N164" i="4"/>
  <c r="J230" i="3"/>
  <c r="J186" i="4"/>
  <c r="J142" i="3"/>
  <c r="N186" i="4"/>
  <c r="J65" i="2"/>
  <c r="N230" i="3"/>
  <c r="N165" i="2"/>
  <c r="J55" i="3"/>
  <c r="J68" i="4"/>
  <c r="J67" i="4"/>
  <c r="J231" i="2"/>
  <c r="J32" i="3"/>
  <c r="J132" i="2"/>
  <c r="J220" i="2"/>
  <c r="J66" i="4"/>
  <c r="J11" i="2"/>
  <c r="N132" i="2"/>
  <c r="J222" i="2"/>
  <c r="J221" i="2"/>
  <c r="J76" i="2"/>
  <c r="J197" i="2"/>
  <c r="J133" i="2"/>
  <c r="J134" i="2"/>
  <c r="N230" i="4"/>
  <c r="J22" i="3"/>
  <c r="N187" i="3"/>
  <c r="N11" i="2"/>
  <c r="N219" i="4"/>
  <c r="M220" i="4"/>
  <c r="L231" i="4"/>
  <c r="D33" i="3"/>
  <c r="M187" i="4"/>
  <c r="D231" i="4"/>
  <c r="H33" i="3"/>
  <c r="L187" i="4"/>
  <c r="D176" i="4"/>
  <c r="M209" i="2"/>
  <c r="H198" i="2"/>
  <c r="M44" i="4"/>
  <c r="L176" i="4"/>
  <c r="L209" i="2"/>
  <c r="L44" i="4"/>
  <c r="M176" i="4"/>
  <c r="H44" i="4"/>
  <c r="L198" i="2"/>
  <c r="H143" i="3"/>
  <c r="H66" i="2"/>
  <c r="L110" i="2"/>
  <c r="M143" i="3"/>
  <c r="H110" i="2"/>
  <c r="D66" i="2"/>
  <c r="D110" i="2"/>
  <c r="M55" i="4"/>
  <c r="M77" i="2"/>
  <c r="L55" i="4"/>
  <c r="L77" i="2"/>
  <c r="L77" i="4"/>
  <c r="D77" i="4"/>
  <c r="L176" i="2"/>
  <c r="H132" i="4"/>
  <c r="M143" i="2"/>
  <c r="D176" i="2"/>
  <c r="L132" i="4"/>
  <c r="L77" i="3"/>
  <c r="M77" i="3"/>
  <c r="L22" i="2"/>
  <c r="H231" i="3"/>
  <c r="H187" i="4"/>
  <c r="L33" i="3"/>
  <c r="D220" i="4"/>
  <c r="D198" i="2"/>
  <c r="M198" i="2"/>
  <c r="H176" i="4"/>
  <c r="D44" i="4"/>
  <c r="P40" i="4" s="1"/>
  <c r="M110" i="2"/>
  <c r="L66" i="2"/>
  <c r="M11" i="4"/>
  <c r="M66" i="2"/>
  <c r="H77" i="4"/>
  <c r="M77" i="4"/>
  <c r="H55" i="4"/>
  <c r="H77" i="2"/>
  <c r="D55" i="4"/>
  <c r="D77" i="2"/>
  <c r="D143" i="2"/>
  <c r="D132" i="4"/>
  <c r="L121" i="4"/>
  <c r="M121" i="4"/>
  <c r="H99" i="3"/>
  <c r="D121" i="4"/>
  <c r="H22" i="2"/>
  <c r="L165" i="4"/>
  <c r="L231" i="3"/>
  <c r="D22" i="2"/>
  <c r="H231" i="4"/>
  <c r="M33" i="3"/>
  <c r="H220" i="4"/>
  <c r="D187" i="4"/>
  <c r="D209" i="2"/>
  <c r="H209" i="2"/>
  <c r="H11" i="4"/>
  <c r="L11" i="4"/>
  <c r="L143" i="3"/>
  <c r="D11" i="4"/>
  <c r="P7" i="4" s="1"/>
  <c r="D143" i="3"/>
  <c r="M209" i="4"/>
  <c r="L209" i="4"/>
  <c r="H209" i="4"/>
  <c r="D209" i="4"/>
  <c r="M132" i="4"/>
  <c r="H143" i="2"/>
  <c r="H176" i="2"/>
  <c r="D77" i="3"/>
  <c r="M165" i="4"/>
  <c r="D231" i="3"/>
  <c r="H165" i="4"/>
  <c r="L220" i="4"/>
  <c r="M231" i="4"/>
  <c r="L143" i="2"/>
  <c r="M176" i="2"/>
  <c r="D165" i="4"/>
  <c r="D99" i="3"/>
  <c r="H77" i="3"/>
  <c r="M99" i="3"/>
  <c r="H121" i="4"/>
  <c r="L99" i="3"/>
  <c r="M231" i="3"/>
  <c r="M22" i="2"/>
  <c r="P216" i="4"/>
  <c r="P183" i="4"/>
  <c r="P205" i="2"/>
  <c r="P172" i="4"/>
  <c r="P139" i="3"/>
  <c r="P51" i="4"/>
  <c r="P73" i="2"/>
  <c r="P139" i="2"/>
  <c r="P73" i="3"/>
  <c r="P194" i="2"/>
  <c r="P106" i="2"/>
  <c r="P62" i="2"/>
  <c r="P73" i="4"/>
  <c r="P117" i="4"/>
  <c r="P29" i="3"/>
  <c r="P205" i="4"/>
  <c r="P128" i="4"/>
  <c r="P161" i="4"/>
  <c r="P227" i="4"/>
  <c r="P172" i="2"/>
  <c r="P95" i="3"/>
  <c r="P227" i="3"/>
  <c r="P18" i="2"/>
  <c r="N22" i="2" l="1"/>
  <c r="N231" i="3"/>
  <c r="J121" i="4"/>
  <c r="N99" i="3"/>
  <c r="J77" i="3"/>
  <c r="J100" i="3"/>
  <c r="J101" i="3"/>
  <c r="J167" i="4"/>
  <c r="J166" i="4"/>
  <c r="N176" i="2"/>
  <c r="N231" i="4"/>
  <c r="J165" i="4"/>
  <c r="J233" i="3"/>
  <c r="J232" i="3"/>
  <c r="N165" i="4"/>
  <c r="J79" i="3"/>
  <c r="J78" i="3"/>
  <c r="J176" i="2"/>
  <c r="J143" i="2"/>
  <c r="N132" i="4"/>
  <c r="J210" i="4"/>
  <c r="J211" i="4"/>
  <c r="J209" i="4"/>
  <c r="N209" i="4"/>
  <c r="J145" i="3"/>
  <c r="J144" i="3"/>
  <c r="J11" i="4"/>
  <c r="J209" i="2"/>
  <c r="J211" i="2"/>
  <c r="J210" i="2"/>
  <c r="J188" i="4"/>
  <c r="J189" i="4"/>
  <c r="J220" i="4"/>
  <c r="N33" i="3"/>
  <c r="J231" i="4"/>
  <c r="J24" i="2"/>
  <c r="J23" i="2"/>
  <c r="J22" i="2"/>
  <c r="J123" i="4"/>
  <c r="J122" i="4"/>
  <c r="J99" i="3"/>
  <c r="N121" i="4"/>
  <c r="J133" i="4"/>
  <c r="J134" i="4"/>
  <c r="J144" i="2"/>
  <c r="J145" i="2"/>
  <c r="J79" i="2"/>
  <c r="J78" i="2"/>
  <c r="J57" i="4"/>
  <c r="J56" i="4"/>
  <c r="J77" i="2"/>
  <c r="J55" i="4"/>
  <c r="N77" i="4"/>
  <c r="J77" i="4"/>
  <c r="N66" i="2"/>
  <c r="N11" i="4"/>
  <c r="N110" i="2"/>
  <c r="J176" i="4"/>
  <c r="N198" i="2"/>
  <c r="J199" i="2"/>
  <c r="J200" i="2"/>
  <c r="J221" i="4"/>
  <c r="J222" i="4"/>
  <c r="J187" i="4"/>
  <c r="J231" i="3"/>
  <c r="N77" i="3"/>
  <c r="J178" i="2"/>
  <c r="J177" i="2"/>
  <c r="N143" i="2"/>
  <c r="J132" i="4"/>
  <c r="J78" i="4"/>
  <c r="J79" i="4"/>
  <c r="N77" i="2"/>
  <c r="N55" i="4"/>
  <c r="J112" i="2"/>
  <c r="J111" i="2"/>
  <c r="J68" i="2"/>
  <c r="J67" i="2"/>
  <c r="J110" i="2"/>
  <c r="N143" i="3"/>
  <c r="J66" i="2"/>
  <c r="J143" i="3"/>
  <c r="J44" i="4"/>
  <c r="N176" i="4"/>
  <c r="N44" i="4"/>
  <c r="J198" i="2"/>
  <c r="N209" i="2"/>
  <c r="J177" i="4"/>
  <c r="J178" i="4"/>
  <c r="J33" i="3"/>
  <c r="J233" i="4"/>
  <c r="J232" i="4"/>
  <c r="N187" i="4"/>
  <c r="N220" i="4"/>
</calcChain>
</file>

<file path=xl/sharedStrings.xml><?xml version="1.0" encoding="utf-8"?>
<sst xmlns="http://schemas.openxmlformats.org/spreadsheetml/2006/main" count="6123" uniqueCount="114">
  <si>
    <t xml:space="preserve">  </t>
  </si>
  <si>
    <t xml:space="preserve">               </t>
  </si>
  <si>
    <t>Anchor</t>
  </si>
  <si>
    <t>lift</t>
  </si>
  <si>
    <t>Proposal</t>
  </si>
  <si>
    <t>raht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</si>
  <si>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</si>
  <si>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</si>
  <si>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</si>
  <si>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</si>
  <si>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</si>
  <si>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</si>
  <si>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</si>
  <si>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</si>
  <si>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</si>
  <si>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</si>
  <si>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</si>
  <si>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</si>
  <si>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</si>
  <si>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</si>
  <si>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</si>
  <si>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</si>
  <si>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</si>
  <si>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</si>
  <si>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</si>
  <si>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</si>
  <si>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</si>
  <si>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</si>
  <si>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</si>
  <si>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</si>
  <si>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</si>
  <si>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</si>
  <si>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</si>
  <si>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</si>
  <si>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</si>
  <si>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</si>
  <si>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</si>
  <si>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</si>
  <si>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</si>
  <si>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</si>
  <si>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</si>
  <si>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</si>
  <si>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</si>
  <si>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</si>
  <si>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</si>
  <si>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</si>
  <si>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</si>
  <si>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</si>
  <si>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</si>
  <si>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</si>
  <si>
    <t>AD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</si>
  <si>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</si>
  <si>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</si>
  <si>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</si>
  <si>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</si>
  <si>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</si>
  <si>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</si>
  <si>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</si>
  <si>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</si>
  <si>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</si>
  <si>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</si>
  <si>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</si>
  <si>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</si>
  <si>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</si>
  <si>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</si>
  <si>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</si>
  <si>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</si>
  <si>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</si>
  <si>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</si>
  <si>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 xml:space="preserve">    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</si>
  <si>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</si>
  <si>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</si>
  <si>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</si>
  <si>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</si>
  <si>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</si>
  <si>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</si>
  <si>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</si>
  <si>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</si>
  <si>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</si>
  <si>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</si>
  <si>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</si>
  <si>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</si>
  <si>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kbps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</si>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</sst>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26.890747910000002</c:v>
                </c:pt>
                <c:pt idx="1">
                  <c:v>30.349843230000001</c:v>
                </c:pt>
                <c:pt idx="2">
                  <c:v>34.490438670000003</c:v>
                </c:pt>
                <c:pt idx="3">
                  <c:v>36.636777049999999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5-4ED7-BA47-70F64A39DCDE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26.890747910000002</c:v>
                </c:pt>
                <c:pt idx="1">
                  <c:v>30.349843230000001</c:v>
                </c:pt>
                <c:pt idx="2">
                  <c:v>34.490438670000003</c:v>
                </c:pt>
                <c:pt idx="3">
                  <c:v>36.636777049999999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05-4ED7-BA47-70F64A39DCD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05-4ED7-BA47-70F64A39DCD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05-4ED7-BA47-70F64A39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1-42A1-A1FA-A8523BDBAC9D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81-42A1-A1FA-A8523BDBAC9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81-42A1-A1FA-A8523BDBAC9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81-42A1-A1FA-A8523BDBA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8-43B5-8DB7-C77A09935160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08-43B5-8DB7-C77A099351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08-43B5-8DB7-C77A099351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08-43B5-8DB7-C77A09935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7-4222-81E6-1F3BFC6F4104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7-4222-81E6-1F3BFC6F410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7-4222-81E6-1F3BFC6F410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7-4222-81E6-1F3BFC6F4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8-417B-B41F-00E3F325650D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68-417B-B41F-00E3F325650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68-417B-B41F-00E3F325650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68-417B-B41F-00E3F3256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42-4F89-80B1-CD8F23EE3E1F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42-4F89-80B1-CD8F23EE3E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42-4F89-80B1-CD8F23EE3E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42-4F89-80B1-CD8F23EE3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FD-4B15-892F-8207E76FF5E3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FD-4B15-892F-8207E76FF5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FD-4B15-892F-8207E76FF5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FD-4B15-892F-8207E76F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56-4A5D-84E2-051CDCB02E0D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56-4A5D-84E2-051CDCB02E0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56-4A5D-84E2-051CDCB02E0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56-4A5D-84E2-051CDCB02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BB-4473-8FF8-F187D44FF02E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BB-4473-8FF8-F187D44FF02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BB-4473-8FF8-F187D44FF02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BB-4473-8FF8-F187D44FF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A-491D-86D5-BB80CB93FC63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8A-491D-86D5-BB80CB93FC6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8A-491D-86D5-BB80CB93FC6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8A-491D-86D5-BB80CB93F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A-4B06-8850-63D58183771B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A-4B06-8850-63D58183771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0A-4B06-8850-63D58183771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0A-4B06-8850-63D581837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CA-4703-8F6F-9A2F836158E3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CA-4703-8F6F-9A2F836158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CA-4703-8F6F-9A2F836158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CA-4703-8F6F-9A2F8361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C-4945-BA5E-47604AF87050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6C-4945-BA5E-47604AF8705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6C-4945-BA5E-47604AF8705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6C-4945-BA5E-47604AF87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18-4D7F-A36D-58C1A320A70A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18-4D7F-A36D-58C1A320A70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18-4D7F-A36D-58C1A320A70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18-4D7F-A36D-58C1A320A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7-44C7-A79D-3BBA02631644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F7-44C7-A79D-3BBA0263164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F7-44C7-A79D-3BBA0263164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F7-44C7-A79D-3BBA02631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E1-4612-8E68-6F8D8D26C65C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E1-4612-8E68-6F8D8D26C6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E1-4612-8E68-6F8D8D26C6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E1-4612-8E68-6F8D8D26C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0-47C2-87E3-A92744309827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0-47C2-87E3-A9274430982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E0-47C2-87E3-A9274430982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E0-47C2-87E3-A92744309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1-4F29-A79A-58EEE1775D6F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F1-4F29-A79A-58EEE1775D6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F1-4F29-A79A-58EEE1775D6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F1-4F29-A79A-58EEE1775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8-4695-9CC2-8F05F83929A4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8-4695-9CC2-8F05F83929A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8-4695-9CC2-8F05F83929A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28-4695-9CC2-8F05F8392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67-4D98-885D-6DF2C7DEBB39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67-4D98-885D-6DF2C7DEBB3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67-4D98-885D-6DF2C7DEBB3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67-4D98-885D-6DF2C7DEB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3-49F3-A812-C047388A3E73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B3-49F3-A812-C047388A3E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B3-49F3-A812-C047388A3E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B3-49F3-A812-C047388A3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28.567080310000001</c:v>
                </c:pt>
                <c:pt idx="1">
                  <c:v>32.67925236</c:v>
                </c:pt>
                <c:pt idx="2">
                  <c:v>38.36439669</c:v>
                </c:pt>
                <c:pt idx="3">
                  <c:v>41.523211199999999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C-4DBE-A484-532486A946AE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28.567080310000001</c:v>
                </c:pt>
                <c:pt idx="1">
                  <c:v>32.67925236</c:v>
                </c:pt>
                <c:pt idx="2">
                  <c:v>38.36439669</c:v>
                </c:pt>
                <c:pt idx="3">
                  <c:v>41.523211199999999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C-4DBE-A484-532486A946A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4C-4DBE-A484-532486A946A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C-4DBE-A484-532486A94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0-4E63-91EE-DF335A841DE2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0-4E63-91EE-DF335A841DE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A0-4E63-91EE-DF335A841DE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A0-4E63-91EE-DF335A84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6A-4D22-B4C5-605781D3FCE8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6A-4D22-B4C5-605781D3FCE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6A-4D22-B4C5-605781D3FCE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6A-4D22-B4C5-605781D3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8-4CAF-8DE5-DF1970979526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8-4CAF-8DE5-DF197097952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8-4CAF-8DE5-DF197097952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8-4CAF-8DE5-DF1970979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D3-4B58-9669-C46CC8CEF126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D3-4B58-9669-C46CC8CEF12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D3-4B58-9669-C46CC8CEF12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D3-4B58-9669-C46CC8CEF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BB-4053-812B-F0E7DA788C20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BB-4053-812B-F0E7DA788C2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BB-4053-812B-F0E7DA788C2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BB-4053-812B-F0E7DA788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F5-47E0-8802-F837D2AECC4F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F5-47E0-8802-F837D2AECC4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F5-47E0-8802-F837D2AECC4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F5-47E0-8802-F837D2AEC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99-4621-A574-81A14C8A94F3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99-4621-A574-81A14C8A94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99-4621-A574-81A14C8A94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99-4621-A574-81A14C8A9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2D-4BBF-B056-B8466422F718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2D-4BBF-B056-B8466422F71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2D-4BBF-B056-B8466422F71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2D-4BBF-B056-B8466422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59-4717-ACE0-BEB2D32A6AB5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59-4717-ACE0-BEB2D32A6AB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59-4717-ACE0-BEB2D32A6AB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59-4717-ACE0-BEB2D32A6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7-43E4-839A-E6682ADA45B8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17-43E4-839A-E6682ADA45B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17-43E4-839A-E6682ADA45B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17-43E4-839A-E6682ADA4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19-4F63-B8CD-30F1A225DDCB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9-4F63-B8CD-30F1A225DDC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9-4F63-B8CD-30F1A225DDC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9-4F63-B8CD-30F1A225D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91-47AF-8943-A0920F5FCA12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91-47AF-8943-A0920F5FCA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91-47AF-8943-A0920F5FCA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91-47AF-8943-A0920F5F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43-4C5B-B0B6-D2B026C7B3A3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43-4C5B-B0B6-D2B026C7B3A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43-4C5B-B0B6-D2B026C7B3A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43-4C5B-B0B6-D2B026C7B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42-4B38-9654-D968598872A5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42-4B38-9654-D968598872A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42-4B38-9654-D968598872A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42-4B38-9654-D96859887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7-4218-A53D-1FADFC29A4E9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77-4218-A53D-1FADFC29A4E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77-4218-A53D-1FADFC29A4E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77-4218-A53D-1FADFC29A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7E-40A8-A98B-1F075EFCB4AE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7E-40A8-A98B-1F075EFCB4A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E-40A8-A98B-1F075EFCB4A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E-40A8-A98B-1F075EFCB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77-4979-A659-8DAB37E6167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77-4979-A659-8DAB37E6167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77-4979-A659-8DAB37E6167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77-4979-A659-8DAB37E61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B5-4FA5-9565-DCBE26AA2E2E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B5-4FA5-9565-DCBE26AA2E2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B5-4FA5-9565-DCBE26AA2E2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B5-4FA5-9565-DCBE26AA2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68-47EB-B204-D7F223FCB68F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68-47EB-B204-D7F223FCB68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68-47EB-B204-D7F223FCB68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68-47EB-B204-D7F223FC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EC-40B3-B09B-84AAAE87E21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EC-40B3-B09B-84AAAE87E21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EC-40B3-B09B-84AAAE87E21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EC-40B3-B09B-84AAAE87E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0.94600737999999995</c:v>
                </c:pt>
                <c:pt idx="1">
                  <c:v>0.97042530000000005</c:v>
                </c:pt>
                <c:pt idx="2">
                  <c:v>0.98687446999999995</c:v>
                </c:pt>
                <c:pt idx="3">
                  <c:v>0.99272932999999997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8A-4032-9EF7-288B3064239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74.064856000000006</c:v>
                </c:pt>
                <c:pt idx="1">
                  <c:v>106.483952</c:v>
                </c:pt>
                <c:pt idx="2">
                  <c:v>153.53993599999998</c:v>
                </c:pt>
                <c:pt idx="3">
                  <c:v>217.71495200000001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0.94600737999999995</c:v>
                </c:pt>
                <c:pt idx="1">
                  <c:v>0.97042530000000005</c:v>
                </c:pt>
                <c:pt idx="2">
                  <c:v>0.98687446999999995</c:v>
                </c:pt>
                <c:pt idx="3">
                  <c:v>0.99272932999999997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8A-4032-9EF7-288B3064239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'YUV-SSIM'!$J$18:$J$22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0.94600737999999995</c:v>
                </c:pt>
                <c:pt idx="1">
                  <c:v>0.97042530000000005</c:v>
                </c:pt>
                <c:pt idx="2">
                  <c:v>0.98687446999999995</c:v>
                </c:pt>
                <c:pt idx="3">
                  <c:v>0.99272932999999997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8A-4032-9EF7-288B3064239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8A-4032-9EF7-288B30642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A-4EA2-8096-0C99E03AC71A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3A-4EA2-8096-0C99E03AC71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3A-4EA2-8096-0C99E03AC71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3A-4EA2-8096-0C99E03AC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AC-47ED-A5AB-3BFA57E028AC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AC-47ED-A5AB-3BFA57E028A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AC-47ED-A5AB-3BFA57E028A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AC-47ED-A5AB-3BFA57E02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0-47AA-B203-2EAEA1B689C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0-47AA-B203-2EAEA1B689C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0-47AA-B203-2EAEA1B689C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0-47AA-B203-2EAEA1B68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5-4503-B37A-7AB280AAEAC9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E5-4503-B37A-7AB280AAEAC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E5-4503-B37A-7AB280AAEAC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E5-4503-B37A-7AB280AAE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A6-471D-A65E-C95F3F41503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A6-471D-A65E-C95F3F41503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A6-471D-A65E-C95F3F41503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A6-471D-A65E-C95F3F415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62-4568-852F-9BF7DBC3A911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62-4568-852F-9BF7DBC3A91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62-4568-852F-9BF7DBC3A91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62-4568-852F-9BF7DBC3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5-4D19-947B-B092786B97E8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D5-4D19-947B-B092786B97E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D5-4D19-947B-B092786B97E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D5-4D19-947B-B092786B9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F-4B94-A685-E1E4E2ECEEF4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BF-4B94-A685-E1E4E2ECEE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BF-4B94-A685-E1E4E2ECEE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BF-4B94-A685-E1E4E2ECE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E-4517-934C-447026ECF8E2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E-4517-934C-447026ECF8E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6E-4517-934C-447026ECF8E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6E-4517-934C-447026ECF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D-46A8-9BC6-C92E4C38F691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D-46A8-9BC6-C92E4C38F69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7D-46A8-9BC6-C92E4C38F69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7D-46A8-9BC6-C92E4C38F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2A-419F-B42A-3A2AB55793C0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2A-419F-B42A-3A2AB55793C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2A-419F-B42A-3A2AB55793C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2A-419F-B42A-3A2AB5579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8A-4AB5-AF29-BBD52254EF07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8A-4AB5-AF29-BBD52254EF0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8A-4AB5-AF29-BBD52254EF0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8A-4AB5-AF29-BBD52254E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2-460D-98CC-ADA166FD3299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2-460D-98CC-ADA166FD329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02-460D-98CC-ADA166FD329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02-460D-98CC-ADA166FD3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0-425D-B1F7-81094057C8E6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0-425D-B1F7-81094057C8E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D0-425D-B1F7-81094057C8E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0-425D-B1F7-81094057C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BF-4F8A-8AD2-9F10F11DE115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BF-4F8A-8AD2-9F10F11DE11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BF-4F8A-8AD2-9F10F11DE11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BF-4F8A-8AD2-9F10F11DE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CA-447B-9ACE-9A9309F5764E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CA-447B-9ACE-9A9309F5764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A-447B-9ACE-9A9309F5764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CA-447B-9ACE-9A9309F5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94-4083-B8DB-5E92FC8F16EC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94-4083-B8DB-5E92FC8F16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4-4083-B8DB-5E92FC8F16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94-4083-B8DB-5E92FC8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9E-403E-A432-4B20BB920509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9E-403E-A432-4B20BB9205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9E-403E-A432-4B20BB9205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9E-403E-A432-4B20BB92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A7-4F01-AF65-6341BB5E9400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A7-4F01-AF65-6341BB5E940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A7-4F01-AF65-6341BB5E940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A7-4F01-AF65-6341BB5E9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7F-4815-A7D3-4D3746CD4649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7F-4815-A7D3-4D3746CD464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7F-4815-A7D3-4D3746CD464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7F-4815-A7D3-4D3746CD4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workbookViewId="0">
      <selection activeCell="E12" sqref="E12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7" width="8.59765625" style="13" customWidth="1"/>
    <col min="18" max="16384" width="8.59765625" style="13"/>
  </cols>
  <sheetData>
    <row r="1" spans="1:16" x14ac:dyDescent="0.25">
      <c r="A1" s="166" t="s">
        <v>0</v>
      </c>
      <c r="B1" s="187"/>
      <c r="C1" s="187"/>
      <c r="D1" s="166" t="s">
        <v>1</v>
      </c>
      <c r="E1" s="166" t="s">
        <v>1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 t="s">
        <v>0</v>
      </c>
    </row>
    <row r="2" spans="1:16" x14ac:dyDescent="0.25">
      <c r="A2" s="187"/>
      <c r="B2" s="4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x14ac:dyDescent="0.25">
      <c r="A3" s="187"/>
      <c r="B3" s="4" t="s">
        <v>2</v>
      </c>
      <c r="C3" s="254" t="s">
        <v>3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87"/>
    </row>
    <row r="4" spans="1:16" x14ac:dyDescent="0.25">
      <c r="A4" s="187"/>
      <c r="B4" s="4" t="s">
        <v>4</v>
      </c>
      <c r="C4" s="254" t="s">
        <v>5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87"/>
    </row>
    <row r="5" spans="1:16" x14ac:dyDescent="0.25">
      <c r="A5" s="187"/>
      <c r="B5" s="173" t="s">
        <v>6</v>
      </c>
      <c r="C5" s="188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x14ac:dyDescent="0.25">
      <c r="A6" s="187"/>
      <c r="B6" s="174" t="s">
        <v>7</v>
      </c>
      <c r="C6" s="175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s="14" customFormat="1" ht="16.5" customHeight="1" thickBot="1" x14ac:dyDescent="0.3">
      <c r="A7" s="139"/>
      <c r="B7" s="252" t="s">
        <v>8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39"/>
    </row>
    <row r="8" spans="1:16" ht="30" customHeight="1" thickBot="1" x14ac:dyDescent="0.3">
      <c r="A8" s="187"/>
      <c r="B8" s="16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7" t="s">
        <v>18</v>
      </c>
      <c r="L8" s="17" t="s">
        <v>19</v>
      </c>
      <c r="M8" s="17" t="s">
        <v>20</v>
      </c>
      <c r="N8" s="17" t="s">
        <v>21</v>
      </c>
      <c r="O8" s="170"/>
      <c r="P8" s="187"/>
    </row>
    <row r="9" spans="1:16" ht="15.75" customHeight="1" x14ac:dyDescent="0.25">
      <c r="A9" s="187"/>
      <c r="B9" s="171" t="s">
        <v>22</v>
      </c>
      <c r="C9" s="210" t="e">
        <f ca="1">INDIRECT($B9&amp;"!AY$5")</f>
        <v>#VALUE!</v>
      </c>
      <c r="D9" s="210" t="e">
        <f ca="1">INDIRECT($B9&amp;"!AZ$5")</f>
        <v>#VALUE!</v>
      </c>
      <c r="E9" s="210" t="e">
        <f ca="1">INDIRECT($B9&amp;"!BA$5")</f>
        <v>#VALUE!</v>
      </c>
      <c r="F9" s="210" t="e">
        <f ca="1">INDIRECT($B9&amp;"!AX$21")</f>
        <v>#DIV/0!</v>
      </c>
      <c r="G9" s="210" t="e">
        <f ca="1">INDIRECT($B9&amp;"!AY$21")</f>
        <v>#DIV/0!</v>
      </c>
      <c r="H9" s="210" t="e">
        <f ca="1">INDIRECT($B9&amp;"!AZ$21")</f>
        <v>#DIV/0!</v>
      </c>
      <c r="I9" s="210" t="e">
        <f ca="1">INDIRECT($B9&amp;"!BA$21")</f>
        <v>#DIV/0!</v>
      </c>
      <c r="J9" s="210" t="e">
        <f ca="1">INDIRECT($B9&amp;"!BB$21")</f>
        <v>#DIV/0!</v>
      </c>
      <c r="K9" s="210" t="e">
        <f ca="1">INDIRECT($B9&amp;"!BC$21")</f>
        <v>#DIV/0!</v>
      </c>
      <c r="L9" s="210" t="e">
        <f ca="1">INDIRECT($B9&amp;"!BD$21")</f>
        <v>#DIV/0!</v>
      </c>
      <c r="M9" s="210" t="e">
        <f ca="1">INDIRECT($B9&amp;"!BE$21")</f>
        <v>#DIV/0!</v>
      </c>
      <c r="N9" s="210" t="e">
        <f ca="1">INDIRECT($B9&amp;"!BC$5")</f>
        <v>#VALUE!</v>
      </c>
      <c r="O9" s="211"/>
      <c r="P9" s="187"/>
    </row>
    <row r="10" spans="1:16" ht="15.75" customHeight="1" x14ac:dyDescent="0.25">
      <c r="A10" s="187"/>
      <c r="B10" s="171" t="s">
        <v>23</v>
      </c>
      <c r="C10" s="210">
        <f ca="1">INDIRECT($B10&amp;"!AY$5")</f>
        <v>0</v>
      </c>
      <c r="D10" s="210">
        <f ca="1">INDIRECT($B10&amp;"!AZ$5")</f>
        <v>0</v>
      </c>
      <c r="E10" s="210">
        <f ca="1">INDIRECT($B10&amp;"!BA$5")</f>
        <v>0</v>
      </c>
      <c r="F10" s="210">
        <f ca="1">INDIRECT($B10&amp;"!AX$21")</f>
        <v>1.0919388182824254</v>
      </c>
      <c r="G10" s="210">
        <f ca="1">INDIRECT($B10&amp;"!AY$21")</f>
        <v>0.95373780828862331</v>
      </c>
      <c r="H10" s="210">
        <f ca="1">INDIRECT($B10&amp;"!AZ$21")</f>
        <v>1.1397028260916884</v>
      </c>
      <c r="I10" s="210">
        <f ca="1">INDIRECT($B10&amp;"!BA$21")</f>
        <v>1.1397028260916884</v>
      </c>
      <c r="J10" s="210">
        <f ca="1">INDIRECT($B10&amp;"!BB$21")</f>
        <v>1.0629766290422975</v>
      </c>
      <c r="K10" s="210">
        <f ca="1">INDIRECT($B10&amp;"!BC$21")</f>
        <v>1.0629766290422975</v>
      </c>
      <c r="L10" s="210" t="e">
        <f ca="1">INDIRECT($B10&amp;"!BD$21")</f>
        <v>#DIV/0!</v>
      </c>
      <c r="M10" s="210" t="e">
        <f ca="1">INDIRECT($B10&amp;"!BE$21")</f>
        <v>#DIV/0!</v>
      </c>
      <c r="N10" s="210" t="e">
        <f ca="1">INDIRECT($B10&amp;"!BC$5")</f>
        <v>#VALUE!</v>
      </c>
      <c r="O10" s="211"/>
      <c r="P10" s="187"/>
    </row>
    <row r="11" spans="1:16" ht="15.75" customHeight="1" thickBot="1" x14ac:dyDescent="0.3">
      <c r="A11" s="187"/>
      <c r="B11" s="171" t="s">
        <v>24</v>
      </c>
      <c r="C11" s="210" t="e">
        <f ca="1">INDIRECT($B11&amp;"!AY$5")</f>
        <v>#VALUE!</v>
      </c>
      <c r="D11" s="210" t="e">
        <f ca="1">INDIRECT($B11&amp;"!AZ$5")</f>
        <v>#VALUE!</v>
      </c>
      <c r="E11" s="210" t="e">
        <f ca="1">INDIRECT($B11&amp;"!BA$5")</f>
        <v>#VALUE!</v>
      </c>
      <c r="F11" s="210" t="e">
        <f ca="1">INDIRECT($B11&amp;"!AX$21")</f>
        <v>#DIV/0!</v>
      </c>
      <c r="G11" s="210" t="e">
        <f ca="1">INDIRECT($B11&amp;"!AY$21")</f>
        <v>#DIV/0!</v>
      </c>
      <c r="H11" s="210" t="e">
        <f ca="1">INDIRECT($B11&amp;"!AZ$21")</f>
        <v>#DIV/0!</v>
      </c>
      <c r="I11" s="210" t="e">
        <f ca="1">INDIRECT($B11&amp;"!BA$21")</f>
        <v>#DIV/0!</v>
      </c>
      <c r="J11" s="210" t="e">
        <f ca="1">INDIRECT($B11&amp;"!BB$21")</f>
        <v>#DIV/0!</v>
      </c>
      <c r="K11" s="210" t="e">
        <f ca="1">INDIRECT($B11&amp;"!BC$21")</f>
        <v>#DIV/0!</v>
      </c>
      <c r="L11" s="210" t="e">
        <f ca="1">INDIRECT($B11&amp;"!BD$21")</f>
        <v>#DIV/0!</v>
      </c>
      <c r="M11" s="210" t="e">
        <f ca="1">INDIRECT($B11&amp;"!BE$21")</f>
        <v>#DIV/0!</v>
      </c>
      <c r="N11" s="210" t="e">
        <f ca="1">INDIRECT($B11&amp;"!BC$5")</f>
        <v>#VALUE!</v>
      </c>
      <c r="O11" s="211"/>
      <c r="P11" s="187"/>
    </row>
    <row r="12" spans="1:16" ht="15.75" customHeight="1" thickBot="1" x14ac:dyDescent="0.3">
      <c r="A12" s="187"/>
      <c r="B12" s="16" t="s">
        <v>25</v>
      </c>
      <c r="C12" s="212">
        <f t="shared" ref="C12:M12" ca="1" si="0">IF(COUNTIF(C9:C11,"=0")&gt;0,0,AVERAGE(C9:C11))</f>
        <v>0</v>
      </c>
      <c r="D12" s="212">
        <f t="shared" ca="1" si="0"/>
        <v>0</v>
      </c>
      <c r="E12" s="212">
        <f t="shared" ca="1" si="0"/>
        <v>0</v>
      </c>
      <c r="F12" s="212" t="e">
        <f t="shared" ca="1" si="0"/>
        <v>#DIV/0!</v>
      </c>
      <c r="G12" s="212" t="e">
        <f t="shared" ca="1" si="0"/>
        <v>#DIV/0!</v>
      </c>
      <c r="H12" s="212" t="e">
        <f t="shared" ca="1" si="0"/>
        <v>#DIV/0!</v>
      </c>
      <c r="I12" s="212" t="e">
        <f t="shared" ca="1" si="0"/>
        <v>#DIV/0!</v>
      </c>
      <c r="J12" s="212" t="e">
        <f t="shared" ca="1" si="0"/>
        <v>#DIV/0!</v>
      </c>
      <c r="K12" s="212" t="e">
        <f t="shared" ca="1" si="0"/>
        <v>#DIV/0!</v>
      </c>
      <c r="L12" s="212" t="e">
        <f t="shared" ca="1" si="0"/>
        <v>#DIV/0!</v>
      </c>
      <c r="M12" s="212" t="e">
        <f t="shared" ca="1" si="0"/>
        <v>#DIV/0!</v>
      </c>
      <c r="N12" s="213" t="e">
        <f ca="1">IF(COUNTIF(N10:N11,"=0")&gt;0,0,AVERAGE(N10:N11))</f>
        <v>#VALUE!</v>
      </c>
      <c r="O12" s="211"/>
      <c r="P12" s="211"/>
    </row>
    <row r="13" spans="1:16" ht="15.75" customHeight="1" x14ac:dyDescent="0.25">
      <c r="A13" s="187"/>
      <c r="B13" s="189"/>
      <c r="C13" s="190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87"/>
      <c r="B14" s="78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39"/>
    </row>
    <row r="15" spans="1:16" x14ac:dyDescent="0.25">
      <c r="A15" s="187"/>
      <c r="B15" s="187"/>
      <c r="C15" s="18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6.2" customHeight="1" thickBot="1" x14ac:dyDescent="0.3">
      <c r="A16" s="187"/>
      <c r="B16" s="252" t="s">
        <v>26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87"/>
    </row>
    <row r="17" spans="2:14" ht="22.2" customHeight="1" thickBot="1" x14ac:dyDescent="0.3">
      <c r="B17" s="16" t="s">
        <v>9</v>
      </c>
      <c r="C17" s="17" t="s">
        <v>10</v>
      </c>
      <c r="D17" s="17" t="s">
        <v>11</v>
      </c>
      <c r="E17" s="17" t="s">
        <v>12</v>
      </c>
      <c r="F17" s="17" t="s">
        <v>13</v>
      </c>
      <c r="G17" s="17" t="s">
        <v>14</v>
      </c>
      <c r="H17" s="17" t="s">
        <v>15</v>
      </c>
      <c r="I17" s="17" t="s">
        <v>16</v>
      </c>
      <c r="J17" s="17" t="s">
        <v>17</v>
      </c>
      <c r="K17" s="17" t="s">
        <v>18</v>
      </c>
      <c r="L17" s="17" t="s">
        <v>19</v>
      </c>
      <c r="M17" s="17" t="s">
        <v>20</v>
      </c>
      <c r="N17" s="159" t="s">
        <v>21</v>
      </c>
    </row>
    <row r="18" spans="2:14" x14ac:dyDescent="0.25">
      <c r="B18" s="171" t="s">
        <v>27</v>
      </c>
      <c r="C18" s="210" t="e">
        <f t="shared" ref="C18:C35" ca="1" si="1">INDIRECT($B18&amp;"!AY$5")</f>
        <v>#VALUE!</v>
      </c>
      <c r="D18" s="210" t="e">
        <f t="shared" ref="D18:D35" ca="1" si="2">INDIRECT($B18&amp;"!AZ$5")</f>
        <v>#VALUE!</v>
      </c>
      <c r="E18" s="210" t="e">
        <f t="shared" ref="E18:E35" ca="1" si="3">INDIRECT($B18&amp;"!BA$5")</f>
        <v>#VALUE!</v>
      </c>
      <c r="F18" s="210" t="e">
        <f t="shared" ref="F18:F35" ca="1" si="4">INDIRECT($B18&amp;"!AX$21")</f>
        <v>#DIV/0!</v>
      </c>
      <c r="G18" s="210" t="e">
        <f t="shared" ref="G18:G35" ca="1" si="5">INDIRECT($B18&amp;"!AY$21")</f>
        <v>#DIV/0!</v>
      </c>
      <c r="H18" s="210" t="e">
        <f t="shared" ref="H18:H35" ca="1" si="6">INDIRECT($B18&amp;"!AZ$21")</f>
        <v>#DIV/0!</v>
      </c>
      <c r="I18" s="210" t="e">
        <f t="shared" ref="I18:I35" ca="1" si="7">INDIRECT($B18&amp;"!BA$21")</f>
        <v>#DIV/0!</v>
      </c>
      <c r="J18" s="210" t="e">
        <f t="shared" ref="J18:J35" ca="1" si="8">INDIRECT($B18&amp;"!BB$21")</f>
        <v>#DIV/0!</v>
      </c>
      <c r="K18" s="210" t="e">
        <f t="shared" ref="K18:K35" ca="1" si="9">INDIRECT($B18&amp;"!BC$21")</f>
        <v>#DIV/0!</v>
      </c>
      <c r="L18" s="210" t="e">
        <f t="shared" ref="L18:L35" ca="1" si="10">INDIRECT($B18&amp;"!BD$21")</f>
        <v>#DIV/0!</v>
      </c>
      <c r="M18" s="210" t="e">
        <f t="shared" ref="M18:M35" ca="1" si="11">INDIRECT($B18&amp;"!BE$21")</f>
        <v>#DIV/0!</v>
      </c>
      <c r="N18" s="210" t="e">
        <f t="shared" ref="N18:N35" ca="1" si="12">INDIRECT($B18&amp;"!BC$5")</f>
        <v>#VALUE!</v>
      </c>
    </row>
    <row r="19" spans="2:14" x14ac:dyDescent="0.25">
      <c r="B19" s="172" t="s">
        <v>28</v>
      </c>
      <c r="C19" s="210">
        <f t="shared" ca="1" si="1"/>
        <v>-9.0495402199226804E-2</v>
      </c>
      <c r="D19" s="210">
        <f t="shared" ca="1" si="2"/>
        <v>-7.864564328938195E-2</v>
      </c>
      <c r="E19" s="210">
        <f t="shared" ca="1" si="3"/>
        <v>-4.2553701146002321E-2</v>
      </c>
      <c r="F19" s="210">
        <f t="shared" ca="1" si="4"/>
        <v>0.8</v>
      </c>
      <c r="G19" s="210">
        <f t="shared" ca="1" si="5"/>
        <v>0.6</v>
      </c>
      <c r="H19" s="210">
        <f t="shared" ca="1" si="6"/>
        <v>0.8571428571428571</v>
      </c>
      <c r="I19" s="210">
        <f t="shared" ca="1" si="7"/>
        <v>0.66666666666666663</v>
      </c>
      <c r="J19" s="210">
        <f t="shared" ca="1" si="8"/>
        <v>0.66666666666666663</v>
      </c>
      <c r="K19" s="210">
        <f t="shared" ca="1" si="9"/>
        <v>0.5</v>
      </c>
      <c r="L19" s="210">
        <f t="shared" ca="1" si="10"/>
        <v>0.8</v>
      </c>
      <c r="M19" s="210">
        <f t="shared" ca="1" si="11"/>
        <v>0.7</v>
      </c>
      <c r="N19" s="210" t="e">
        <f t="shared" ca="1" si="12"/>
        <v>#VALUE!</v>
      </c>
    </row>
    <row r="20" spans="2:14" x14ac:dyDescent="0.25">
      <c r="B20" s="172" t="s">
        <v>29</v>
      </c>
      <c r="C20" s="210">
        <f t="shared" ca="1" si="1"/>
        <v>-9.0495402199226804E-2</v>
      </c>
      <c r="D20" s="210">
        <f t="shared" ca="1" si="2"/>
        <v>-7.864564328938195E-2</v>
      </c>
      <c r="E20" s="210">
        <f t="shared" ca="1" si="3"/>
        <v>-4.2553701146002321E-2</v>
      </c>
      <c r="F20" s="210">
        <f t="shared" ca="1" si="4"/>
        <v>0.8</v>
      </c>
      <c r="G20" s="210">
        <f t="shared" ca="1" si="5"/>
        <v>0.6</v>
      </c>
      <c r="H20" s="210">
        <f t="shared" ca="1" si="6"/>
        <v>0.8571428571428571</v>
      </c>
      <c r="I20" s="210">
        <f t="shared" ca="1" si="7"/>
        <v>0.66666666666666663</v>
      </c>
      <c r="J20" s="210">
        <f t="shared" ca="1" si="8"/>
        <v>0.66666666666666663</v>
      </c>
      <c r="K20" s="210">
        <f t="shared" ca="1" si="9"/>
        <v>0.5</v>
      </c>
      <c r="L20" s="210">
        <f t="shared" ca="1" si="10"/>
        <v>0.8</v>
      </c>
      <c r="M20" s="210">
        <f t="shared" ca="1" si="11"/>
        <v>0.7</v>
      </c>
      <c r="N20" s="210" t="e">
        <f t="shared" ca="1" si="12"/>
        <v>#VALUE!</v>
      </c>
    </row>
    <row r="21" spans="2:14" x14ac:dyDescent="0.25">
      <c r="B21" s="172" t="s">
        <v>30</v>
      </c>
      <c r="C21" s="210">
        <f t="shared" ca="1" si="1"/>
        <v>-9.0495402199226804E-2</v>
      </c>
      <c r="D21" s="210">
        <f t="shared" ca="1" si="2"/>
        <v>-7.864564328938195E-2</v>
      </c>
      <c r="E21" s="210">
        <f t="shared" ca="1" si="3"/>
        <v>-4.2553701146002321E-2</v>
      </c>
      <c r="F21" s="210">
        <f t="shared" ca="1" si="4"/>
        <v>0.8</v>
      </c>
      <c r="G21" s="210">
        <f t="shared" ca="1" si="5"/>
        <v>0.6</v>
      </c>
      <c r="H21" s="210">
        <f t="shared" ca="1" si="6"/>
        <v>0.8571428571428571</v>
      </c>
      <c r="I21" s="210">
        <f t="shared" ca="1" si="7"/>
        <v>0.66666666666666663</v>
      </c>
      <c r="J21" s="210">
        <f t="shared" ca="1" si="8"/>
        <v>0.66666666666666663</v>
      </c>
      <c r="K21" s="210">
        <f t="shared" ca="1" si="9"/>
        <v>0.5</v>
      </c>
      <c r="L21" s="210">
        <f t="shared" ca="1" si="10"/>
        <v>0.8</v>
      </c>
      <c r="M21" s="210">
        <f t="shared" ca="1" si="11"/>
        <v>0.7</v>
      </c>
      <c r="N21" s="210" t="e">
        <f t="shared" ca="1" si="12"/>
        <v>#VALUE!</v>
      </c>
    </row>
    <row r="22" spans="2:14" x14ac:dyDescent="0.25">
      <c r="B22" s="172" t="s">
        <v>31</v>
      </c>
      <c r="C22" s="210">
        <f t="shared" ca="1" si="1"/>
        <v>-9.0495402199226804E-2</v>
      </c>
      <c r="D22" s="210">
        <f t="shared" ca="1" si="2"/>
        <v>-7.864564328938195E-2</v>
      </c>
      <c r="E22" s="210">
        <f t="shared" ca="1" si="3"/>
        <v>-4.2553701146002321E-2</v>
      </c>
      <c r="F22" s="210">
        <f t="shared" ca="1" si="4"/>
        <v>0.8</v>
      </c>
      <c r="G22" s="210">
        <f t="shared" ca="1" si="5"/>
        <v>0.6</v>
      </c>
      <c r="H22" s="210">
        <f t="shared" ca="1" si="6"/>
        <v>0.8571428571428571</v>
      </c>
      <c r="I22" s="210">
        <f t="shared" ca="1" si="7"/>
        <v>0.66666666666666663</v>
      </c>
      <c r="J22" s="210">
        <f t="shared" ca="1" si="8"/>
        <v>0.66666666666666663</v>
      </c>
      <c r="K22" s="210">
        <f t="shared" ca="1" si="9"/>
        <v>0.5</v>
      </c>
      <c r="L22" s="210">
        <f t="shared" ca="1" si="10"/>
        <v>0.8</v>
      </c>
      <c r="M22" s="210">
        <f t="shared" ca="1" si="11"/>
        <v>0.7</v>
      </c>
      <c r="N22" s="210" t="e">
        <f t="shared" ca="1" si="12"/>
        <v>#VALUE!</v>
      </c>
    </row>
    <row r="23" spans="2:14" x14ac:dyDescent="0.25">
      <c r="B23" s="172" t="s">
        <v>32</v>
      </c>
      <c r="C23" s="210">
        <f t="shared" ca="1" si="1"/>
        <v>-9.0495402199226804E-2</v>
      </c>
      <c r="D23" s="210">
        <f t="shared" ca="1" si="2"/>
        <v>-7.864564328938195E-2</v>
      </c>
      <c r="E23" s="210">
        <f t="shared" ca="1" si="3"/>
        <v>-4.2553701146002321E-2</v>
      </c>
      <c r="F23" s="210">
        <f t="shared" ca="1" si="4"/>
        <v>0.8</v>
      </c>
      <c r="G23" s="210">
        <f t="shared" ca="1" si="5"/>
        <v>0.6</v>
      </c>
      <c r="H23" s="210">
        <f t="shared" ca="1" si="6"/>
        <v>0.8571428571428571</v>
      </c>
      <c r="I23" s="210">
        <f t="shared" ca="1" si="7"/>
        <v>0.66666666666666663</v>
      </c>
      <c r="J23" s="210">
        <f t="shared" ca="1" si="8"/>
        <v>0.66666666666666663</v>
      </c>
      <c r="K23" s="210">
        <f t="shared" ca="1" si="9"/>
        <v>0.5</v>
      </c>
      <c r="L23" s="210">
        <f t="shared" ca="1" si="10"/>
        <v>0.8</v>
      </c>
      <c r="M23" s="210">
        <f t="shared" ca="1" si="11"/>
        <v>0.7</v>
      </c>
      <c r="N23" s="210" t="e">
        <f t="shared" ca="1" si="12"/>
        <v>#VALUE!</v>
      </c>
    </row>
    <row r="24" spans="2:14" x14ac:dyDescent="0.25">
      <c r="B24" s="172" t="s">
        <v>33</v>
      </c>
      <c r="C24" s="210">
        <f t="shared" ca="1" si="1"/>
        <v>-9.0495402199226804E-2</v>
      </c>
      <c r="D24" s="210">
        <f t="shared" ca="1" si="2"/>
        <v>-7.864564328938195E-2</v>
      </c>
      <c r="E24" s="210">
        <f t="shared" ca="1" si="3"/>
        <v>-4.2553701146002321E-2</v>
      </c>
      <c r="F24" s="210">
        <f t="shared" ca="1" si="4"/>
        <v>0.8</v>
      </c>
      <c r="G24" s="210">
        <f t="shared" ca="1" si="5"/>
        <v>0.6</v>
      </c>
      <c r="H24" s="210">
        <f t="shared" ca="1" si="6"/>
        <v>0.8571428571428571</v>
      </c>
      <c r="I24" s="210">
        <f t="shared" ca="1" si="7"/>
        <v>0.66666666666666663</v>
      </c>
      <c r="J24" s="210">
        <f t="shared" ca="1" si="8"/>
        <v>0.66666666666666663</v>
      </c>
      <c r="K24" s="210">
        <f t="shared" ca="1" si="9"/>
        <v>0.5</v>
      </c>
      <c r="L24" s="210">
        <f t="shared" ca="1" si="10"/>
        <v>0.8</v>
      </c>
      <c r="M24" s="210">
        <f t="shared" ca="1" si="11"/>
        <v>0.7</v>
      </c>
      <c r="N24" s="210" t="e">
        <f t="shared" ca="1" si="12"/>
        <v>#VALUE!</v>
      </c>
    </row>
    <row r="25" spans="2:14" x14ac:dyDescent="0.25">
      <c r="B25" s="172" t="s">
        <v>34</v>
      </c>
      <c r="C25" s="210">
        <f t="shared" ca="1" si="1"/>
        <v>-9.0495402199226804E-2</v>
      </c>
      <c r="D25" s="210">
        <f t="shared" ca="1" si="2"/>
        <v>-7.864564328938195E-2</v>
      </c>
      <c r="E25" s="210">
        <f t="shared" ca="1" si="3"/>
        <v>-4.2553701146002321E-2</v>
      </c>
      <c r="F25" s="210">
        <f t="shared" ca="1" si="4"/>
        <v>0.8</v>
      </c>
      <c r="G25" s="210">
        <f t="shared" ca="1" si="5"/>
        <v>0.6</v>
      </c>
      <c r="H25" s="210">
        <f t="shared" ca="1" si="6"/>
        <v>0.8571428571428571</v>
      </c>
      <c r="I25" s="210">
        <f t="shared" ca="1" si="7"/>
        <v>0.66666666666666663</v>
      </c>
      <c r="J25" s="210">
        <f t="shared" ca="1" si="8"/>
        <v>0.66666666666666663</v>
      </c>
      <c r="K25" s="210">
        <f t="shared" ca="1" si="9"/>
        <v>0.5</v>
      </c>
      <c r="L25" s="210">
        <f t="shared" ca="1" si="10"/>
        <v>0.8</v>
      </c>
      <c r="M25" s="210">
        <f t="shared" ca="1" si="11"/>
        <v>0.7</v>
      </c>
      <c r="N25" s="210" t="e">
        <f t="shared" ca="1" si="12"/>
        <v>#VALUE!</v>
      </c>
    </row>
    <row r="26" spans="2:14" x14ac:dyDescent="0.25">
      <c r="B26" s="172" t="s">
        <v>35</v>
      </c>
      <c r="C26" s="210">
        <f t="shared" ca="1" si="1"/>
        <v>-9.0495402199226804E-2</v>
      </c>
      <c r="D26" s="210">
        <f t="shared" ca="1" si="2"/>
        <v>-7.864564328938195E-2</v>
      </c>
      <c r="E26" s="210">
        <f t="shared" ca="1" si="3"/>
        <v>-4.2553701146002321E-2</v>
      </c>
      <c r="F26" s="210">
        <f t="shared" ca="1" si="4"/>
        <v>0.8</v>
      </c>
      <c r="G26" s="210">
        <f t="shared" ca="1" si="5"/>
        <v>0.6</v>
      </c>
      <c r="H26" s="210">
        <f t="shared" ca="1" si="6"/>
        <v>0.8571428571428571</v>
      </c>
      <c r="I26" s="210">
        <f t="shared" ca="1" si="7"/>
        <v>0.66666666666666663</v>
      </c>
      <c r="J26" s="210">
        <f t="shared" ca="1" si="8"/>
        <v>0.66666666666666663</v>
      </c>
      <c r="K26" s="210">
        <f t="shared" ca="1" si="9"/>
        <v>0.5</v>
      </c>
      <c r="L26" s="210">
        <f t="shared" ca="1" si="10"/>
        <v>0.8</v>
      </c>
      <c r="M26" s="210">
        <f t="shared" ca="1" si="11"/>
        <v>0.7</v>
      </c>
      <c r="N26" s="210" t="e">
        <f t="shared" ca="1" si="12"/>
        <v>#VALUE!</v>
      </c>
    </row>
    <row r="27" spans="2:14" x14ac:dyDescent="0.25">
      <c r="B27" s="172" t="s">
        <v>36</v>
      </c>
      <c r="C27" s="210">
        <f t="shared" ca="1" si="1"/>
        <v>-9.0495402199226804E-2</v>
      </c>
      <c r="D27" s="210">
        <f t="shared" ca="1" si="2"/>
        <v>-7.864564328938195E-2</v>
      </c>
      <c r="E27" s="210">
        <f t="shared" ca="1" si="3"/>
        <v>-4.2553701146002321E-2</v>
      </c>
      <c r="F27" s="210">
        <f t="shared" ca="1" si="4"/>
        <v>0.8</v>
      </c>
      <c r="G27" s="210">
        <f t="shared" ca="1" si="5"/>
        <v>0.6</v>
      </c>
      <c r="H27" s="210">
        <f t="shared" ca="1" si="6"/>
        <v>0.8571428571428571</v>
      </c>
      <c r="I27" s="210">
        <f t="shared" ca="1" si="7"/>
        <v>0.66666666666666663</v>
      </c>
      <c r="J27" s="210">
        <f t="shared" ca="1" si="8"/>
        <v>0.66666666666666663</v>
      </c>
      <c r="K27" s="210">
        <f t="shared" ca="1" si="9"/>
        <v>0.5</v>
      </c>
      <c r="L27" s="210">
        <f t="shared" ca="1" si="10"/>
        <v>0.8</v>
      </c>
      <c r="M27" s="210">
        <f t="shared" ca="1" si="11"/>
        <v>0.7</v>
      </c>
      <c r="N27" s="210" t="e">
        <f t="shared" ca="1" si="12"/>
        <v>#VALUE!</v>
      </c>
    </row>
    <row r="28" spans="2:14" x14ac:dyDescent="0.25">
      <c r="B28" s="172" t="s">
        <v>37</v>
      </c>
      <c r="C28" s="210">
        <f t="shared" ca="1" si="1"/>
        <v>-9.0495402199226804E-2</v>
      </c>
      <c r="D28" s="210">
        <f t="shared" ca="1" si="2"/>
        <v>-7.864564328938195E-2</v>
      </c>
      <c r="E28" s="210">
        <f t="shared" ca="1" si="3"/>
        <v>-4.2553701146002321E-2</v>
      </c>
      <c r="F28" s="210">
        <f t="shared" ca="1" si="4"/>
        <v>0.8</v>
      </c>
      <c r="G28" s="210">
        <f t="shared" ca="1" si="5"/>
        <v>0.6</v>
      </c>
      <c r="H28" s="210">
        <f t="shared" ca="1" si="6"/>
        <v>0.8571428571428571</v>
      </c>
      <c r="I28" s="210">
        <f t="shared" ca="1" si="7"/>
        <v>0.66666666666666663</v>
      </c>
      <c r="J28" s="210">
        <f t="shared" ca="1" si="8"/>
        <v>0.66666666666666663</v>
      </c>
      <c r="K28" s="210">
        <f t="shared" ca="1" si="9"/>
        <v>0.5</v>
      </c>
      <c r="L28" s="210">
        <f t="shared" ca="1" si="10"/>
        <v>0.8</v>
      </c>
      <c r="M28" s="210">
        <f t="shared" ca="1" si="11"/>
        <v>0.7</v>
      </c>
      <c r="N28" s="210" t="e">
        <f t="shared" ca="1" si="12"/>
        <v>#VALUE!</v>
      </c>
    </row>
    <row r="29" spans="2:14" x14ac:dyDescent="0.25">
      <c r="B29" s="172" t="s">
        <v>38</v>
      </c>
      <c r="C29" s="210">
        <f t="shared" ca="1" si="1"/>
        <v>-9.0495402199226804E-2</v>
      </c>
      <c r="D29" s="210">
        <f t="shared" ca="1" si="2"/>
        <v>-7.864564328938195E-2</v>
      </c>
      <c r="E29" s="210">
        <f t="shared" ca="1" si="3"/>
        <v>-4.2553701146002321E-2</v>
      </c>
      <c r="F29" s="210">
        <f t="shared" ca="1" si="4"/>
        <v>0.8</v>
      </c>
      <c r="G29" s="210">
        <f t="shared" ca="1" si="5"/>
        <v>0.6</v>
      </c>
      <c r="H29" s="210">
        <f t="shared" ca="1" si="6"/>
        <v>0.8571428571428571</v>
      </c>
      <c r="I29" s="210">
        <f t="shared" ca="1" si="7"/>
        <v>0.66666666666666663</v>
      </c>
      <c r="J29" s="210">
        <f t="shared" ca="1" si="8"/>
        <v>0.66666666666666663</v>
      </c>
      <c r="K29" s="210">
        <f t="shared" ca="1" si="9"/>
        <v>0.5</v>
      </c>
      <c r="L29" s="210">
        <f t="shared" ca="1" si="10"/>
        <v>0.8</v>
      </c>
      <c r="M29" s="210">
        <f t="shared" ca="1" si="11"/>
        <v>0.7</v>
      </c>
      <c r="N29" s="210" t="e">
        <f t="shared" ca="1" si="12"/>
        <v>#VALUE!</v>
      </c>
    </row>
    <row r="30" spans="2:14" x14ac:dyDescent="0.25">
      <c r="B30" s="172" t="s">
        <v>39</v>
      </c>
      <c r="C30" s="210">
        <f t="shared" ca="1" si="1"/>
        <v>-9.0495402199226804E-2</v>
      </c>
      <c r="D30" s="210">
        <f t="shared" ca="1" si="2"/>
        <v>-7.864564328938195E-2</v>
      </c>
      <c r="E30" s="210">
        <f t="shared" ca="1" si="3"/>
        <v>-4.2553701146002321E-2</v>
      </c>
      <c r="F30" s="210">
        <f t="shared" ca="1" si="4"/>
        <v>0.8</v>
      </c>
      <c r="G30" s="210">
        <f t="shared" ca="1" si="5"/>
        <v>0.6</v>
      </c>
      <c r="H30" s="210">
        <f t="shared" ca="1" si="6"/>
        <v>0.8571428571428571</v>
      </c>
      <c r="I30" s="210">
        <f t="shared" ca="1" si="7"/>
        <v>0.66666666666666663</v>
      </c>
      <c r="J30" s="210">
        <f t="shared" ca="1" si="8"/>
        <v>0.66666666666666663</v>
      </c>
      <c r="K30" s="210">
        <f t="shared" ca="1" si="9"/>
        <v>0.5</v>
      </c>
      <c r="L30" s="210">
        <f t="shared" ca="1" si="10"/>
        <v>0.8</v>
      </c>
      <c r="M30" s="210">
        <f t="shared" ca="1" si="11"/>
        <v>0.7</v>
      </c>
      <c r="N30" s="210" t="e">
        <f t="shared" ca="1" si="12"/>
        <v>#VALUE!</v>
      </c>
    </row>
    <row r="31" spans="2:14" x14ac:dyDescent="0.25">
      <c r="B31" s="172" t="s">
        <v>40</v>
      </c>
      <c r="C31" s="210">
        <f t="shared" ca="1" si="1"/>
        <v>-9.0495402199226804E-2</v>
      </c>
      <c r="D31" s="210">
        <f t="shared" ca="1" si="2"/>
        <v>-7.864564328938195E-2</v>
      </c>
      <c r="E31" s="210">
        <f t="shared" ca="1" si="3"/>
        <v>-4.2553701146002321E-2</v>
      </c>
      <c r="F31" s="210">
        <f t="shared" ca="1" si="4"/>
        <v>0.8</v>
      </c>
      <c r="G31" s="210">
        <f t="shared" ca="1" si="5"/>
        <v>0.6</v>
      </c>
      <c r="H31" s="210">
        <f t="shared" ca="1" si="6"/>
        <v>0.8571428571428571</v>
      </c>
      <c r="I31" s="210">
        <f t="shared" ca="1" si="7"/>
        <v>0.66666666666666663</v>
      </c>
      <c r="J31" s="210">
        <f t="shared" ca="1" si="8"/>
        <v>0.66666666666666663</v>
      </c>
      <c r="K31" s="210">
        <f t="shared" ca="1" si="9"/>
        <v>0.5</v>
      </c>
      <c r="L31" s="210">
        <f t="shared" ca="1" si="10"/>
        <v>0.8</v>
      </c>
      <c r="M31" s="210">
        <f t="shared" ca="1" si="11"/>
        <v>0.7</v>
      </c>
      <c r="N31" s="210" t="e">
        <f t="shared" ca="1" si="12"/>
        <v>#VALUE!</v>
      </c>
    </row>
    <row r="32" spans="2:14" x14ac:dyDescent="0.25">
      <c r="B32" s="172" t="s">
        <v>41</v>
      </c>
      <c r="C32" s="210">
        <f t="shared" ca="1" si="1"/>
        <v>-9.0495402199226804E-2</v>
      </c>
      <c r="D32" s="210">
        <f t="shared" ca="1" si="2"/>
        <v>-7.864564328938195E-2</v>
      </c>
      <c r="E32" s="210">
        <f t="shared" ca="1" si="3"/>
        <v>-4.2553701146002321E-2</v>
      </c>
      <c r="F32" s="210">
        <f t="shared" ca="1" si="4"/>
        <v>0.8</v>
      </c>
      <c r="G32" s="210">
        <f t="shared" ca="1" si="5"/>
        <v>0.6</v>
      </c>
      <c r="H32" s="210">
        <f t="shared" ca="1" si="6"/>
        <v>0.8571428571428571</v>
      </c>
      <c r="I32" s="210">
        <f t="shared" ca="1" si="7"/>
        <v>0.66666666666666663</v>
      </c>
      <c r="J32" s="210">
        <f t="shared" ca="1" si="8"/>
        <v>0.66666666666666663</v>
      </c>
      <c r="K32" s="210">
        <f t="shared" ca="1" si="9"/>
        <v>0.5</v>
      </c>
      <c r="L32" s="210">
        <f t="shared" ca="1" si="10"/>
        <v>0.8</v>
      </c>
      <c r="M32" s="210">
        <f t="shared" ca="1" si="11"/>
        <v>0.7</v>
      </c>
      <c r="N32" s="210" t="e">
        <f t="shared" ca="1" si="12"/>
        <v>#VALUE!</v>
      </c>
    </row>
    <row r="33" spans="2:14" x14ac:dyDescent="0.25">
      <c r="B33" s="172" t="s">
        <v>42</v>
      </c>
      <c r="C33" s="210">
        <f t="shared" ca="1" si="1"/>
        <v>-9.0495402199226804E-2</v>
      </c>
      <c r="D33" s="210">
        <f t="shared" ca="1" si="2"/>
        <v>-7.864564328938195E-2</v>
      </c>
      <c r="E33" s="210">
        <f t="shared" ca="1" si="3"/>
        <v>-4.2553701146002321E-2</v>
      </c>
      <c r="F33" s="210">
        <f t="shared" ca="1" si="4"/>
        <v>0.8</v>
      </c>
      <c r="G33" s="210">
        <f t="shared" ca="1" si="5"/>
        <v>0.6</v>
      </c>
      <c r="H33" s="210">
        <f t="shared" ca="1" si="6"/>
        <v>0.8571428571428571</v>
      </c>
      <c r="I33" s="210">
        <f t="shared" ca="1" si="7"/>
        <v>0.66666666666666663</v>
      </c>
      <c r="J33" s="210">
        <f t="shared" ca="1" si="8"/>
        <v>0.66666666666666663</v>
      </c>
      <c r="K33" s="210">
        <f t="shared" ca="1" si="9"/>
        <v>0.5</v>
      </c>
      <c r="L33" s="210">
        <f t="shared" ca="1" si="10"/>
        <v>0.8</v>
      </c>
      <c r="M33" s="210">
        <f t="shared" ca="1" si="11"/>
        <v>0.7</v>
      </c>
      <c r="N33" s="210" t="e">
        <f t="shared" ca="1" si="12"/>
        <v>#VALUE!</v>
      </c>
    </row>
    <row r="34" spans="2:14" x14ac:dyDescent="0.25">
      <c r="B34" s="172" t="s">
        <v>43</v>
      </c>
      <c r="C34" s="210">
        <f t="shared" ca="1" si="1"/>
        <v>-9.0495402199226804E-2</v>
      </c>
      <c r="D34" s="210">
        <f t="shared" ca="1" si="2"/>
        <v>-7.864564328938195E-2</v>
      </c>
      <c r="E34" s="210">
        <f t="shared" ca="1" si="3"/>
        <v>-4.2553701146002321E-2</v>
      </c>
      <c r="F34" s="210">
        <f t="shared" ca="1" si="4"/>
        <v>0.8</v>
      </c>
      <c r="G34" s="210">
        <f t="shared" ca="1" si="5"/>
        <v>0.6</v>
      </c>
      <c r="H34" s="210">
        <f t="shared" ca="1" si="6"/>
        <v>0.8571428571428571</v>
      </c>
      <c r="I34" s="210">
        <f t="shared" ca="1" si="7"/>
        <v>0.66666666666666663</v>
      </c>
      <c r="J34" s="210">
        <f t="shared" ca="1" si="8"/>
        <v>0.66666666666666663</v>
      </c>
      <c r="K34" s="210">
        <f t="shared" ca="1" si="9"/>
        <v>0.5</v>
      </c>
      <c r="L34" s="210">
        <f t="shared" ca="1" si="10"/>
        <v>0.8</v>
      </c>
      <c r="M34" s="210">
        <f t="shared" ca="1" si="11"/>
        <v>0.7</v>
      </c>
      <c r="N34" s="210" t="e">
        <f t="shared" ca="1" si="12"/>
        <v>#VALUE!</v>
      </c>
    </row>
    <row r="35" spans="2:14" ht="15" customHeight="1" thickBot="1" x14ac:dyDescent="0.3">
      <c r="B35" s="172" t="s">
        <v>44</v>
      </c>
      <c r="C35" s="210">
        <f t="shared" ca="1" si="1"/>
        <v>-9.0495402199226804E-2</v>
      </c>
      <c r="D35" s="210">
        <f t="shared" ca="1" si="2"/>
        <v>-7.864564328938195E-2</v>
      </c>
      <c r="E35" s="210">
        <f t="shared" ca="1" si="3"/>
        <v>-4.2553701146002321E-2</v>
      </c>
      <c r="F35" s="210">
        <f t="shared" ca="1" si="4"/>
        <v>0.8</v>
      </c>
      <c r="G35" s="210">
        <f t="shared" ca="1" si="5"/>
        <v>0.6</v>
      </c>
      <c r="H35" s="210">
        <f t="shared" ca="1" si="6"/>
        <v>0.8571428571428571</v>
      </c>
      <c r="I35" s="210">
        <f t="shared" ca="1" si="7"/>
        <v>0.66666666666666663</v>
      </c>
      <c r="J35" s="210">
        <f t="shared" ca="1" si="8"/>
        <v>0.66666666666666663</v>
      </c>
      <c r="K35" s="210">
        <f t="shared" ca="1" si="9"/>
        <v>0.5</v>
      </c>
      <c r="L35" s="210">
        <f t="shared" ca="1" si="10"/>
        <v>0.8</v>
      </c>
      <c r="M35" s="210">
        <f t="shared" ca="1" si="11"/>
        <v>0.7</v>
      </c>
      <c r="N35" s="210" t="e">
        <f t="shared" ca="1" si="12"/>
        <v>#VALUE!</v>
      </c>
    </row>
    <row r="36" spans="2:14" ht="16.2" customHeight="1" thickBot="1" x14ac:dyDescent="0.3">
      <c r="B36" s="16" t="s">
        <v>25</v>
      </c>
      <c r="C36" s="212" t="e">
        <f t="shared" ref="C36:N36" ca="1" si="13">IF(COUNTIF(C18:C35,"=0")&gt;0,0,AVERAGE(C18:C35))</f>
        <v>#VALUE!</v>
      </c>
      <c r="D36" s="212" t="e">
        <f t="shared" ca="1" si="13"/>
        <v>#VALUE!</v>
      </c>
      <c r="E36" s="212" t="e">
        <f t="shared" ca="1" si="13"/>
        <v>#VALUE!</v>
      </c>
      <c r="F36" s="212" t="e">
        <f t="shared" ca="1" si="13"/>
        <v>#DIV/0!</v>
      </c>
      <c r="G36" s="212" t="e">
        <f t="shared" ca="1" si="13"/>
        <v>#DIV/0!</v>
      </c>
      <c r="H36" s="212" t="e">
        <f t="shared" ca="1" si="13"/>
        <v>#DIV/0!</v>
      </c>
      <c r="I36" s="212" t="e">
        <f t="shared" ca="1" si="13"/>
        <v>#DIV/0!</v>
      </c>
      <c r="J36" s="212" t="e">
        <f t="shared" ca="1" si="13"/>
        <v>#DIV/0!</v>
      </c>
      <c r="K36" s="212" t="e">
        <f t="shared" ca="1" si="13"/>
        <v>#DIV/0!</v>
      </c>
      <c r="L36" s="212" t="e">
        <f t="shared" ca="1" si="13"/>
        <v>#DIV/0!</v>
      </c>
      <c r="M36" s="212" t="e">
        <f t="shared" ca="1" si="13"/>
        <v>#DIV/0!</v>
      </c>
      <c r="N36" s="212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3" bestFit="1" customWidth="1"/>
    <col min="2" max="2" width="19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18.5" style="203" bestFit="1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21.5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9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lift</v>
      </c>
      <c r="C2" s="257"/>
      <c r="D2" s="257"/>
      <c r="E2" s="199"/>
      <c r="F2" s="264" t="str">
        <f>'Summary (auto)'!C4</f>
        <v>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49</v>
      </c>
      <c r="M3" s="77" t="s">
        <v>50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54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lift bartender_track</v>
      </c>
      <c r="M6" s="144" t="str">
        <f>CONCATENATE(F$2," ",L4)</f>
        <v>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 t="str">
        <f ca="1">INDIRECT($B7&amp;"!"&amp;L$3&amp;"5")</f>
        <v/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#VALUE!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 t="str">
        <f ca="1">INDIRECT($B8&amp;"!"&amp;L$3&amp;"6")</f>
        <v/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 t="str">
        <f ca="1">INDIRECT($B9&amp;"!"&amp;L$3&amp;"7")</f>
        <v/>
      </c>
      <c r="M9" s="67" t="str">
        <f ca="1">INDIRECT($B9&amp;"!"&amp;M$3&amp;"7")</f>
        <v/>
      </c>
      <c r="N9" s="68" t="e">
        <f ca="1">M9-L9</f>
        <v>#VALUE!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 t="str">
        <f ca="1">INDIRECT($B10&amp;"!"&amp;L$3&amp;"8")</f>
        <v/>
      </c>
      <c r="M10" s="67" t="str">
        <f ca="1">INDIRECT($B10&amp;"!"&amp;M$3&amp;"8")</f>
        <v/>
      </c>
      <c r="N10" s="68" t="e">
        <f ca="1">M10-L10</f>
        <v>#VALUE!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 t="str">
        <f ca="1">INDIRECT($B11&amp;"!"&amp;L$3&amp;"9")</f>
        <v/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  <c r="I14" s="9"/>
      <c r="J14" s="160"/>
      <c r="L14" s="161"/>
      <c r="M14" s="161"/>
      <c r="N14" s="162"/>
      <c r="O14" s="216"/>
      <c r="P14" s="201"/>
      <c r="Q14" s="216"/>
      <c r="R14" s="9"/>
      <c r="S14" s="9"/>
      <c r="T14" s="9"/>
      <c r="U14" s="9"/>
      <c r="V14" s="58"/>
      <c r="X14" s="59"/>
      <c r="Y14" s="59"/>
      <c r="Z14" s="57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54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lift breakfast_track</v>
      </c>
      <c r="M17" s="144" t="str">
        <f>CONCATENATE(F$2," ",L15)</f>
        <v>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74.064856000000006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74.064856000000006</v>
      </c>
      <c r="I18" s="9"/>
      <c r="J18" s="218">
        <f ca="1">H18/D18-1</f>
        <v>0</v>
      </c>
      <c r="L18" s="66">
        <f ca="1">INDIRECT($B18&amp;"!"&amp;L$3&amp;"5")</f>
        <v>26.890747910000002</v>
      </c>
      <c r="M18" s="67">
        <f ca="1">INDIRECT($B18&amp;"!"&amp;M$3&amp;"5")</f>
        <v>26.890747910000002</v>
      </c>
      <c r="N18" s="68">
        <f ca="1">M18-L18</f>
        <v>0</v>
      </c>
      <c r="O18" s="216"/>
      <c r="P18" s="218" t="e">
        <f ca="1">bdRateExtend(D18:D22,L18:L22,H18:H22,M18:M22)</f>
        <v>#VALUE!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106.483952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106.483952</v>
      </c>
      <c r="I19" s="9"/>
      <c r="J19" s="218">
        <f ca="1">H19/D19-1</f>
        <v>0</v>
      </c>
      <c r="L19" s="66">
        <f ca="1">INDIRECT($B19&amp;"!"&amp;L$3&amp;"6")</f>
        <v>30.349843230000001</v>
      </c>
      <c r="M19" s="67">
        <f ca="1">INDIRECT($B19&amp;"!"&amp;M$3&amp;"6")</f>
        <v>30.349843230000001</v>
      </c>
      <c r="N19" s="68">
        <f ca="1">M19-L19</f>
        <v>0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153.53993599999998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153.53993599999998</v>
      </c>
      <c r="I20" s="9"/>
      <c r="J20" s="218">
        <f ca="1">H20/D20-1</f>
        <v>0</v>
      </c>
      <c r="L20" s="66">
        <f ca="1">INDIRECT($B20&amp;"!"&amp;L$3&amp;"7")</f>
        <v>34.490438670000003</v>
      </c>
      <c r="M20" s="67">
        <f ca="1">INDIRECT($B20&amp;"!"&amp;M$3&amp;"7")</f>
        <v>34.490438670000003</v>
      </c>
      <c r="N20" s="68">
        <f ca="1">M20-L20</f>
        <v>0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217.71495200000001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217.71495200000001</v>
      </c>
      <c r="I21" s="9"/>
      <c r="J21" s="218">
        <f ca="1">H21/D21-1</f>
        <v>0</v>
      </c>
      <c r="L21" s="66">
        <f ca="1">INDIRECT($B21&amp;"!"&amp;L$3&amp;"8")</f>
        <v>36.636777049999999</v>
      </c>
      <c r="M21" s="67">
        <f ca="1">INDIRECT($B21&amp;"!"&amp;M$3&amp;"8")</f>
        <v>36.636777049999999</v>
      </c>
      <c r="N21" s="68">
        <f ca="1">M21-L21</f>
        <v>0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 t="str">
        <f ca="1">INDIRECT($B22&amp;"!"&amp;L$3&amp;"9")</f>
        <v/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54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lift cinema_track</v>
      </c>
      <c r="M28" s="144" t="str">
        <f>CONCATENATE(F$2," ",L26)</f>
        <v>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 t="str">
        <f ca="1">INDIRECT($B29&amp;"!"&amp;L$3&amp;"5")</f>
        <v/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#VALUE!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 t="str">
        <f ca="1">INDIRECT($B30&amp;"!"&amp;L$3&amp;"6")</f>
        <v/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 t="str">
        <f ca="1">INDIRECT($B31&amp;"!"&amp;L$3&amp;"7")</f>
        <v/>
      </c>
      <c r="M31" s="67" t="str">
        <f ca="1">INDIRECT($B31&amp;"!"&amp;M$3&amp;"7")</f>
        <v/>
      </c>
      <c r="N31" s="68" t="e">
        <f ca="1">M31-L31</f>
        <v>#VALUE!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 t="str">
        <f ca="1">INDIRECT($B32&amp;"!"&amp;L$3&amp;"8")</f>
        <v/>
      </c>
      <c r="M32" s="67" t="str">
        <f ca="1">INDIRECT($B32&amp;"!"&amp;M$3&amp;"8")</f>
        <v/>
      </c>
      <c r="N32" s="68" t="e">
        <f ca="1">M32-L32</f>
        <v>#VALUE!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 t="str">
        <f ca="1">INDIRECT($B33&amp;"!"&amp;L$3&amp;"9")</f>
        <v/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54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lift ManWithFruit</v>
      </c>
      <c r="M39" s="144" t="str">
        <f>CONCATENATE(F$2," ",L37)</f>
        <v>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 t="str">
        <f ca="1">INDIRECT($B40&amp;"!"&amp;L$3&amp;"5")</f>
        <v/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#VALUE!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 t="str">
        <f ca="1">INDIRECT($B41&amp;"!"&amp;L$3&amp;"6")</f>
        <v/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 t="str">
        <f ca="1">INDIRECT($B42&amp;"!"&amp;L$3&amp;"7")</f>
        <v/>
      </c>
      <c r="M42" s="67" t="str">
        <f ca="1">INDIRECT($B42&amp;"!"&amp;M$3&amp;"7")</f>
        <v/>
      </c>
      <c r="N42" s="68" t="e">
        <f ca="1">M42-L42</f>
        <v>#VALUE!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 t="str">
        <f ca="1">INDIRECT($B43&amp;"!"&amp;L$3&amp;"8")</f>
        <v/>
      </c>
      <c r="M43" s="67" t="str">
        <f ca="1">INDIRECT($B43&amp;"!"&amp;M$3&amp;"8")</f>
        <v/>
      </c>
      <c r="N43" s="68" t="e">
        <f ca="1">M43-L43</f>
        <v>#VALUE!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 t="str">
        <f ca="1">INDIRECT($B44&amp;"!"&amp;L$3&amp;"9")</f>
        <v/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54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lift LEGO_Ferrari</v>
      </c>
      <c r="M50" s="144" t="str">
        <f>CONCATENATE(F$2," ",L48)</f>
        <v>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22.508037130000002</v>
      </c>
      <c r="M51" s="67">
        <f ca="1">INDIRECT($B51&amp;"!"&amp;M$3&amp;"5")</f>
        <v>23.756519340000001</v>
      </c>
      <c r="N51" s="68">
        <f ca="1">M51-L51</f>
        <v>1.2484822099999988</v>
      </c>
      <c r="O51" s="216"/>
      <c r="P51" s="218">
        <f ca="1">bdRateExtend(D51:D55,L51:L55,H51:H55,M51:M55)</f>
        <v>-9.0495402199225694E-2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25.175530779999999</v>
      </c>
      <c r="M52" s="67">
        <f ca="1">INDIRECT($B52&amp;"!"&amp;M$3&amp;"6")</f>
        <v>26.026247720000001</v>
      </c>
      <c r="N52" s="68">
        <f ca="1">M52-L52</f>
        <v>0.85071694000000164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27.01614056</v>
      </c>
      <c r="M53" s="67">
        <f ca="1">INDIRECT($B53&amp;"!"&amp;M$3&amp;"7")</f>
        <v>27.49510141</v>
      </c>
      <c r="N53" s="68">
        <f ca="1">M53-L53</f>
        <v>0.47896084999999999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28.719952559999999</v>
      </c>
      <c r="M54" s="67">
        <f ca="1">INDIRECT($B54&amp;"!"&amp;M$3&amp;"8")</f>
        <v>29.121687720000001</v>
      </c>
      <c r="N54" s="68">
        <f ca="1">M54-L54</f>
        <v>0.4017351600000012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30.651994340000002</v>
      </c>
      <c r="M55" s="67">
        <f ca="1">INDIRECT($B55&amp;"!"&amp;M$3&amp;"9")</f>
        <v>31.181195689999999</v>
      </c>
      <c r="N55" s="68">
        <f ca="1">M55-L55</f>
        <v>0.52920134999999746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54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lift LEGO_Bugatti</v>
      </c>
      <c r="M61" s="144" t="str">
        <f>CONCATENATE(F$2," ",L59)</f>
        <v>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22.508037130000002</v>
      </c>
      <c r="M62" s="67">
        <f ca="1">INDIRECT($B62&amp;"!"&amp;M$3&amp;"5")</f>
        <v>23.756519340000001</v>
      </c>
      <c r="N62" s="68">
        <f ca="1">M62-L62</f>
        <v>1.2484822099999988</v>
      </c>
      <c r="O62" s="216"/>
      <c r="P62" s="218">
        <f ca="1">bdRateExtend(D62:D66,L62:L66,H62:H66,M62:M66)</f>
        <v>-9.0495402199225694E-2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25.175530779999999</v>
      </c>
      <c r="M63" s="67">
        <f ca="1">INDIRECT($B63&amp;"!"&amp;M$3&amp;"6")</f>
        <v>26.026247720000001</v>
      </c>
      <c r="N63" s="68">
        <f ca="1">M63-L63</f>
        <v>0.85071694000000164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27.01614056</v>
      </c>
      <c r="M64" s="67">
        <f ca="1">INDIRECT($B64&amp;"!"&amp;M$3&amp;"7")</f>
        <v>27.49510141</v>
      </c>
      <c r="N64" s="68">
        <f ca="1">M64-L64</f>
        <v>0.47896084999999999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28.719952559999999</v>
      </c>
      <c r="M65" s="67">
        <f ca="1">INDIRECT($B65&amp;"!"&amp;M$3&amp;"8")</f>
        <v>29.121687720000001</v>
      </c>
      <c r="N65" s="68">
        <f ca="1">M65-L65</f>
        <v>0.4017351600000012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30.651994340000002</v>
      </c>
      <c r="M66" s="67">
        <f ca="1">INDIRECT($B66&amp;"!"&amp;M$3&amp;"9")</f>
        <v>31.181195689999999</v>
      </c>
      <c r="N66" s="68">
        <f ca="1">M66-L66</f>
        <v>0.52920134999999746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54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lift Plant</v>
      </c>
      <c r="M72" s="144" t="str">
        <f>CONCATENATE(F$2," ",L70)</f>
        <v>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22.508037130000002</v>
      </c>
      <c r="M73" s="67">
        <f ca="1">INDIRECT($B73&amp;"!"&amp;M$3&amp;"5")</f>
        <v>23.756519340000001</v>
      </c>
      <c r="N73" s="68">
        <f ca="1">M73-L73</f>
        <v>1.2484822099999988</v>
      </c>
      <c r="O73" s="216"/>
      <c r="P73" s="218">
        <f ca="1">bdRateExtend(D73:D77,L73:L77,H73:H77,M73:M77)</f>
        <v>-9.0495402199225694E-2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25.175530779999999</v>
      </c>
      <c r="M74" s="67">
        <f ca="1">INDIRECT($B74&amp;"!"&amp;M$3&amp;"6")</f>
        <v>26.026247720000001</v>
      </c>
      <c r="N74" s="68">
        <f ca="1">M74-L74</f>
        <v>0.85071694000000164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27.01614056</v>
      </c>
      <c r="M75" s="67">
        <f ca="1">INDIRECT($B75&amp;"!"&amp;M$3&amp;"7")</f>
        <v>27.49510141</v>
      </c>
      <c r="N75" s="68">
        <f ca="1">M75-L75</f>
        <v>0.47896084999999999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28.719952559999999</v>
      </c>
      <c r="M76" s="67">
        <f ca="1">INDIRECT($B76&amp;"!"&amp;M$3&amp;"8")</f>
        <v>29.121687720000001</v>
      </c>
      <c r="N76" s="68">
        <f ca="1">M76-L76</f>
        <v>0.4017351600000012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30.651994340000002</v>
      </c>
      <c r="M77" s="67">
        <f ca="1">INDIRECT($B77&amp;"!"&amp;M$3&amp;"9")</f>
        <v>31.181195689999999</v>
      </c>
      <c r="N77" s="68">
        <f ca="1">M77-L77</f>
        <v>0.52920134999999746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2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54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lift Tennis_Player</v>
      </c>
      <c r="M83" s="144" t="str">
        <f>CONCATENATE(F$2," ",L81)</f>
        <v>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22.508037130000002</v>
      </c>
      <c r="M84" s="67">
        <f ca="1">INDIRECT($B84&amp;"!"&amp;M$3&amp;"5")</f>
        <v>23.756519340000001</v>
      </c>
      <c r="N84" s="68">
        <f ca="1">M84-L84</f>
        <v>1.2484822099999988</v>
      </c>
      <c r="O84" s="216"/>
      <c r="P84" s="218">
        <f ca="1">bdRateExtend(D84:D88,L84:L88,H84:H88,M84:M88)</f>
        <v>-9.0495402199225694E-2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25.175530779999999</v>
      </c>
      <c r="M85" s="67">
        <f ca="1">INDIRECT($B85&amp;"!"&amp;M$3&amp;"6")</f>
        <v>26.026247720000001</v>
      </c>
      <c r="N85" s="68">
        <f ca="1">M85-L85</f>
        <v>0.85071694000000164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27.01614056</v>
      </c>
      <c r="M86" s="67">
        <f ca="1">INDIRECT($B86&amp;"!"&amp;M$3&amp;"7")</f>
        <v>27.49510141</v>
      </c>
      <c r="N86" s="68">
        <f ca="1">M86-L86</f>
        <v>0.47896084999999999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28.719952559999999</v>
      </c>
      <c r="M87" s="67">
        <f ca="1">INDIRECT($B87&amp;"!"&amp;M$3&amp;"8")</f>
        <v>29.121687720000001</v>
      </c>
      <c r="N87" s="68">
        <f ca="1">M87-L87</f>
        <v>0.4017351600000012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30.651994340000002</v>
      </c>
      <c r="M88" s="67">
        <f ca="1">INDIRECT($B88&amp;"!"&amp;M$3&amp;"9")</f>
        <v>31.181195689999999</v>
      </c>
      <c r="N88" s="68">
        <f ca="1">M88-L88</f>
        <v>0.52920134999999746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54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lift Cricket_Player</v>
      </c>
      <c r="M94" s="144" t="str">
        <f>CONCATENATE(F$2," ",L92)</f>
        <v>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22.508037130000002</v>
      </c>
      <c r="M95" s="67">
        <f ca="1">INDIRECT($B95&amp;"!"&amp;M$3&amp;"5")</f>
        <v>23.756519340000001</v>
      </c>
      <c r="N95" s="68">
        <f ca="1">M95-L95</f>
        <v>1.2484822099999988</v>
      </c>
      <c r="O95" s="216"/>
      <c r="P95" s="218">
        <f ca="1">bdRateExtend(D95:D99,L95:L99,H95:H99,M95:M99)</f>
        <v>-9.0495402199225694E-2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25.175530779999999</v>
      </c>
      <c r="M96" s="67">
        <f ca="1">INDIRECT($B96&amp;"!"&amp;M$3&amp;"6")</f>
        <v>26.026247720000001</v>
      </c>
      <c r="N96" s="68">
        <f ca="1">M96-L96</f>
        <v>0.85071694000000164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27.01614056</v>
      </c>
      <c r="M97" s="67">
        <f ca="1">INDIRECT($B97&amp;"!"&amp;M$3&amp;"7")</f>
        <v>27.49510141</v>
      </c>
      <c r="N97" s="68">
        <f ca="1">M97-L97</f>
        <v>0.47896084999999999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28.719952559999999</v>
      </c>
      <c r="M98" s="67">
        <f ca="1">INDIRECT($B98&amp;"!"&amp;M$3&amp;"8")</f>
        <v>29.121687720000001</v>
      </c>
      <c r="N98" s="68">
        <f ca="1">M98-L98</f>
        <v>0.4017351600000012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30.651994340000002</v>
      </c>
      <c r="M99" s="67">
        <f ca="1">INDIRECT($B99&amp;"!"&amp;M$3&amp;"9")</f>
        <v>31.181195689999999</v>
      </c>
      <c r="N99" s="68">
        <f ca="1">M99-L99</f>
        <v>0.52920134999999746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54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lift Tango_Duo</v>
      </c>
      <c r="M105" s="144" t="str">
        <f>CONCATENATE(F$2," ",L103)</f>
        <v>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22.508037130000002</v>
      </c>
      <c r="M106" s="67">
        <f ca="1">INDIRECT($B106&amp;"!"&amp;M$3&amp;"5")</f>
        <v>23.756519340000001</v>
      </c>
      <c r="N106" s="68">
        <f ca="1">M106-L106</f>
        <v>1.2484822099999988</v>
      </c>
      <c r="O106" s="216"/>
      <c r="P106" s="218">
        <f ca="1">bdRateExtend(D106:D110,L106:L110,H106:H110,M106:M110)</f>
        <v>-9.0495402199225694E-2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25.175530779999999</v>
      </c>
      <c r="M107" s="67">
        <f ca="1">INDIRECT($B107&amp;"!"&amp;M$3&amp;"6")</f>
        <v>26.026247720000001</v>
      </c>
      <c r="N107" s="68">
        <f ca="1">M107-L107</f>
        <v>0.85071694000000164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27.01614056</v>
      </c>
      <c r="M108" s="67">
        <f ca="1">INDIRECT($B108&amp;"!"&amp;M$3&amp;"7")</f>
        <v>27.49510141</v>
      </c>
      <c r="N108" s="68">
        <f ca="1">M108-L108</f>
        <v>0.47896084999999999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28.719952559999999</v>
      </c>
      <c r="M109" s="67">
        <f ca="1">INDIRECT($B109&amp;"!"&amp;M$3&amp;"8")</f>
        <v>29.121687720000001</v>
      </c>
      <c r="N109" s="68">
        <f ca="1">M109-L109</f>
        <v>0.4017351600000012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30.651994340000002</v>
      </c>
      <c r="M110" s="67">
        <f ca="1">INDIRECT($B110&amp;"!"&amp;M$3&amp;"9")</f>
        <v>31.181195689999999</v>
      </c>
      <c r="N110" s="68">
        <f ca="1">M110-L110</f>
        <v>0.52920134999999746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>
      <c r="AB113" s="220"/>
    </row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I115" s="9"/>
      <c r="J115" s="200" t="s">
        <v>53</v>
      </c>
      <c r="L115" s="256" t="s">
        <v>54</v>
      </c>
      <c r="M115" s="257"/>
      <c r="N115" s="258"/>
      <c r="O115" s="60"/>
      <c r="P115" s="3"/>
    </row>
    <row r="116" spans="2:28" ht="16.5" customHeight="1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I116" s="9"/>
      <c r="J116" s="65"/>
      <c r="L116" s="143" t="str">
        <f>CONCATENATE(B$2," ",L114)</f>
        <v>lift Solo_Tango_Female</v>
      </c>
      <c r="M116" s="144" t="str">
        <f>CONCATENATE(F$2," ",L114)</f>
        <v>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I117" s="9"/>
      <c r="J117" s="218">
        <f ca="1">H117/D117-1</f>
        <v>0</v>
      </c>
      <c r="L117" s="66">
        <f ca="1">INDIRECT($B117&amp;"!"&amp;L$3&amp;"5")</f>
        <v>22.508037130000002</v>
      </c>
      <c r="M117" s="67">
        <f ca="1">INDIRECT($B117&amp;"!"&amp;M$3&amp;"5")</f>
        <v>23.756519340000001</v>
      </c>
      <c r="N117" s="68">
        <f ca="1">M117-L117</f>
        <v>1.2484822099999988</v>
      </c>
      <c r="O117" s="216"/>
      <c r="P117" s="218">
        <f ca="1">bdRateExtend(D117:D121,L117:L121,H117:H121,M117:M121)</f>
        <v>-9.0495402199225694E-2</v>
      </c>
    </row>
    <row r="118" spans="2:28" ht="16.5" customHeight="1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I118" s="9"/>
      <c r="J118" s="218">
        <f ca="1">H118/D118-1</f>
        <v>0</v>
      </c>
      <c r="L118" s="66">
        <f ca="1">INDIRECT($B118&amp;"!"&amp;L$3&amp;"6")</f>
        <v>25.175530779999999</v>
      </c>
      <c r="M118" s="67">
        <f ca="1">INDIRECT($B118&amp;"!"&amp;M$3&amp;"6")</f>
        <v>26.026247720000001</v>
      </c>
      <c r="N118" s="68">
        <f ca="1">M118-L118</f>
        <v>0.85071694000000164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I119" s="9"/>
      <c r="J119" s="218">
        <f ca="1">H119/D119-1</f>
        <v>0</v>
      </c>
      <c r="L119" s="66">
        <f ca="1">INDIRECT($B119&amp;"!"&amp;L$3&amp;"7")</f>
        <v>27.01614056</v>
      </c>
      <c r="M119" s="67">
        <f ca="1">INDIRECT($B119&amp;"!"&amp;M$3&amp;"7")</f>
        <v>27.49510141</v>
      </c>
      <c r="N119" s="68">
        <f ca="1">M119-L119</f>
        <v>0.47896084999999999</v>
      </c>
      <c r="O119" s="216"/>
      <c r="P119" s="3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I120" s="9"/>
      <c r="J120" s="218">
        <f ca="1">H120/D120-1</f>
        <v>0</v>
      </c>
      <c r="L120" s="66">
        <f ca="1">INDIRECT($B120&amp;"!"&amp;L$3&amp;"8")</f>
        <v>28.719952559999999</v>
      </c>
      <c r="M120" s="67">
        <f ca="1">INDIRECT($B120&amp;"!"&amp;M$3&amp;"8")</f>
        <v>29.121687720000001</v>
      </c>
      <c r="N120" s="68">
        <f ca="1">M120-L120</f>
        <v>0.4017351600000012</v>
      </c>
      <c r="O120" s="216"/>
      <c r="P120" s="218"/>
    </row>
    <row r="121" spans="2:28" ht="16.2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I121" s="9"/>
      <c r="J121" s="218">
        <f ca="1">H121/D121-1</f>
        <v>0</v>
      </c>
      <c r="L121" s="66">
        <f ca="1">INDIRECT($B121&amp;"!"&amp;L$3&amp;"9")</f>
        <v>30.651994340000002</v>
      </c>
      <c r="M121" s="67">
        <f ca="1">INDIRECT($B121&amp;"!"&amp;M$3&amp;"9")</f>
        <v>31.181195689999999</v>
      </c>
      <c r="N121" s="68">
        <f ca="1">M121-L121</f>
        <v>0.52920134999999746</v>
      </c>
      <c r="O121" s="216"/>
      <c r="P121" s="221"/>
    </row>
    <row r="122" spans="2:28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I123" s="9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  <c r="AB123" s="220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ht="16.5" customHeight="1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I126" s="9"/>
      <c r="J126" s="200" t="s">
        <v>53</v>
      </c>
      <c r="L126" s="256" t="s">
        <v>54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I127" s="9"/>
      <c r="J127" s="65"/>
      <c r="L127" s="143" t="str">
        <f>CONCATENATE(B$2," ",L125)</f>
        <v>lift Solo_Tango_Male</v>
      </c>
      <c r="M127" s="144" t="str">
        <f>CONCATENATE(F$2," ",L125)</f>
        <v>raht Solo_Tango_Male</v>
      </c>
      <c r="N127" s="145" t="s">
        <v>57</v>
      </c>
      <c r="O127" s="2"/>
      <c r="P127" s="3" t="s">
        <v>48</v>
      </c>
    </row>
    <row r="128" spans="2:28" ht="16.5" customHeight="1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I128" s="9"/>
      <c r="J128" s="218">
        <f ca="1">H128/D128-1</f>
        <v>0</v>
      </c>
      <c r="L128" s="66">
        <f ca="1">INDIRECT($B128&amp;"!"&amp;L$3&amp;"5")</f>
        <v>22.508037130000002</v>
      </c>
      <c r="M128" s="67">
        <f ca="1">INDIRECT($B128&amp;"!"&amp;M$3&amp;"5")</f>
        <v>23.756519340000001</v>
      </c>
      <c r="N128" s="68">
        <f ca="1">M128-L128</f>
        <v>1.2484822099999988</v>
      </c>
      <c r="O128" s="216"/>
      <c r="P128" s="218">
        <f ca="1">bdRateExtend(D128:D132,L128:L132,H128:H132,M128:M132)</f>
        <v>-9.0495402199225694E-2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I129" s="9"/>
      <c r="J129" s="218">
        <f ca="1">H129/D129-1</f>
        <v>0</v>
      </c>
      <c r="L129" s="66">
        <f ca="1">INDIRECT($B129&amp;"!"&amp;L$3&amp;"6")</f>
        <v>25.175530779999999</v>
      </c>
      <c r="M129" s="67">
        <f ca="1">INDIRECT($B129&amp;"!"&amp;M$3&amp;"6")</f>
        <v>26.026247720000001</v>
      </c>
      <c r="N129" s="68">
        <f ca="1">M129-L129</f>
        <v>0.85071694000000164</v>
      </c>
      <c r="O129" s="216"/>
      <c r="P129" s="3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I130" s="9"/>
      <c r="J130" s="218">
        <f ca="1">H130/D130-1</f>
        <v>0</v>
      </c>
      <c r="L130" s="66">
        <f ca="1">INDIRECT($B130&amp;"!"&amp;L$3&amp;"7")</f>
        <v>27.01614056</v>
      </c>
      <c r="M130" s="67">
        <f ca="1">INDIRECT($B130&amp;"!"&amp;M$3&amp;"7")</f>
        <v>27.49510141</v>
      </c>
      <c r="N130" s="68">
        <f ca="1">M130-L130</f>
        <v>0.47896084999999999</v>
      </c>
      <c r="O130" s="216"/>
      <c r="P130" s="3"/>
    </row>
    <row r="131" spans="2:28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I131" s="9"/>
      <c r="J131" s="218">
        <f ca="1">H131/D131-1</f>
        <v>0</v>
      </c>
      <c r="L131" s="66">
        <f ca="1">INDIRECT($B131&amp;"!"&amp;L$3&amp;"8")</f>
        <v>28.719952559999999</v>
      </c>
      <c r="M131" s="67">
        <f ca="1">INDIRECT($B131&amp;"!"&amp;M$3&amp;"8")</f>
        <v>29.121687720000001</v>
      </c>
      <c r="N131" s="68">
        <f ca="1">M131-L131</f>
        <v>0.4017351600000012</v>
      </c>
      <c r="O131" s="216"/>
      <c r="P131" s="218"/>
    </row>
    <row r="132" spans="2:28" ht="16.2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I132" s="9"/>
      <c r="J132" s="218">
        <f ca="1">H132/D132-1</f>
        <v>0</v>
      </c>
      <c r="L132" s="66">
        <f ca="1">INDIRECT($B132&amp;"!"&amp;L$3&amp;"9")</f>
        <v>30.651994340000002</v>
      </c>
      <c r="M132" s="67">
        <f ca="1">INDIRECT($B132&amp;"!"&amp;M$3&amp;"9")</f>
        <v>31.181195689999999</v>
      </c>
      <c r="N132" s="68">
        <f ca="1">M132-L132</f>
        <v>0.52920134999999746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  <c r="AB133" s="220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I134" s="9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ht="16.5" customHeight="1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I137" s="9"/>
      <c r="J137" s="200" t="s">
        <v>53</v>
      </c>
      <c r="L137" s="256" t="s">
        <v>54</v>
      </c>
      <c r="M137" s="257"/>
      <c r="N137" s="258"/>
      <c r="O137" s="60"/>
      <c r="P137" s="3"/>
    </row>
    <row r="138" spans="2:28" ht="16.5" customHeight="1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I138" s="9"/>
      <c r="J138" s="65"/>
      <c r="L138" s="143" t="str">
        <f>CONCATENATE(B$2," ",L136)</f>
        <v>lift BlueBackpack_UVGgs_0100</v>
      </c>
      <c r="M138" s="144" t="str">
        <f>CONCATENATE(F$2," ",L136)</f>
        <v>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I139" s="9"/>
      <c r="J139" s="218">
        <f ca="1">H139/D139-1</f>
        <v>0</v>
      </c>
      <c r="L139" s="66">
        <f ca="1">INDIRECT($B139&amp;"!"&amp;L$3&amp;"5")</f>
        <v>22.508037130000002</v>
      </c>
      <c r="M139" s="67">
        <f ca="1">INDIRECT($B139&amp;"!"&amp;M$3&amp;"5")</f>
        <v>23.756519340000001</v>
      </c>
      <c r="N139" s="68">
        <f ca="1">M139-L139</f>
        <v>1.2484822099999988</v>
      </c>
      <c r="O139" s="216"/>
      <c r="P139" s="218">
        <f ca="1">bdRateExtend(D139:D143,L139:L143,H139:H143,M139:M143)</f>
        <v>-9.0495402199225694E-2</v>
      </c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I140" s="9"/>
      <c r="J140" s="218">
        <f ca="1">H140/D140-1</f>
        <v>0</v>
      </c>
      <c r="L140" s="66">
        <f ca="1">INDIRECT($B140&amp;"!"&amp;L$3&amp;"6")</f>
        <v>25.175530779999999</v>
      </c>
      <c r="M140" s="67">
        <f ca="1">INDIRECT($B140&amp;"!"&amp;M$3&amp;"6")</f>
        <v>26.026247720000001</v>
      </c>
      <c r="N140" s="68">
        <f ca="1">M140-L140</f>
        <v>0.85071694000000164</v>
      </c>
      <c r="O140" s="216"/>
      <c r="P140" s="3"/>
    </row>
    <row r="141" spans="2:28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I141" s="9"/>
      <c r="J141" s="218">
        <f ca="1">H141/D141-1</f>
        <v>0</v>
      </c>
      <c r="L141" s="66">
        <f ca="1">INDIRECT($B141&amp;"!"&amp;L$3&amp;"7")</f>
        <v>27.01614056</v>
      </c>
      <c r="M141" s="67">
        <f ca="1">INDIRECT($B141&amp;"!"&amp;M$3&amp;"7")</f>
        <v>27.49510141</v>
      </c>
      <c r="N141" s="68">
        <f ca="1">M141-L141</f>
        <v>0.47896084999999999</v>
      </c>
      <c r="O141" s="216"/>
      <c r="P141" s="3"/>
    </row>
    <row r="142" spans="2:28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I142" s="9"/>
      <c r="J142" s="218">
        <f ca="1">H142/D142-1</f>
        <v>0</v>
      </c>
      <c r="L142" s="66">
        <f ca="1">INDIRECT($B142&amp;"!"&amp;L$3&amp;"8")</f>
        <v>28.719952559999999</v>
      </c>
      <c r="M142" s="67">
        <f ca="1">INDIRECT($B142&amp;"!"&amp;M$3&amp;"8")</f>
        <v>29.121687720000001</v>
      </c>
      <c r="N142" s="68">
        <f ca="1">M142-L142</f>
        <v>0.4017351600000012</v>
      </c>
      <c r="O142" s="216"/>
      <c r="P142" s="218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I143" s="9"/>
      <c r="J143" s="218">
        <f ca="1">H143/D143-1</f>
        <v>0</v>
      </c>
      <c r="L143" s="66">
        <f ca="1">INDIRECT($B143&amp;"!"&amp;L$3&amp;"9")</f>
        <v>30.651994340000002</v>
      </c>
      <c r="M143" s="67">
        <f ca="1">INDIRECT($B143&amp;"!"&amp;M$3&amp;"9")</f>
        <v>31.181195689999999</v>
      </c>
      <c r="N143" s="68">
        <f ca="1">M143-L143</f>
        <v>0.52920134999999746</v>
      </c>
      <c r="O143" s="216"/>
      <c r="P143" s="221"/>
      <c r="AB143" s="220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I145" s="9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5" customHeight="1" thickBot="1" x14ac:dyDescent="0.3">
      <c r="B146" s="199"/>
      <c r="C146" s="199"/>
      <c r="D146" s="224"/>
      <c r="E146" s="216"/>
      <c r="F146" s="199"/>
      <c r="G146" s="199"/>
      <c r="H146" s="224"/>
      <c r="I146" s="9"/>
      <c r="J146" s="160"/>
      <c r="L146" s="161"/>
      <c r="M146" s="161"/>
      <c r="N146" s="162"/>
      <c r="O146" s="216"/>
      <c r="P146" s="201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ht="16.5" customHeight="1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I148" s="9"/>
      <c r="J148" s="200" t="s">
        <v>53</v>
      </c>
      <c r="L148" s="256" t="s">
        <v>54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I149" s="9"/>
      <c r="J149" s="65"/>
      <c r="L149" s="143" t="str">
        <f>CONCATENATE(B$2," ",L147)</f>
        <v>lift BlueBackpack_UVGgs_0200</v>
      </c>
      <c r="M149" s="144" t="str">
        <f>CONCATENATE(F$2," ",L147)</f>
        <v>raht BlueBackpack_UVGgs_0200</v>
      </c>
      <c r="N149" s="145" t="s">
        <v>57</v>
      </c>
      <c r="O149" s="2"/>
      <c r="P149" s="3" t="s">
        <v>48</v>
      </c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I150" s="9"/>
      <c r="J150" s="218">
        <f ca="1">H150/D150-1</f>
        <v>0</v>
      </c>
      <c r="L150" s="66">
        <f ca="1">INDIRECT($B150&amp;"!"&amp;L$3&amp;"5")</f>
        <v>22.508037130000002</v>
      </c>
      <c r="M150" s="67">
        <f ca="1">INDIRECT($B150&amp;"!"&amp;M$3&amp;"5")</f>
        <v>23.756519340000001</v>
      </c>
      <c r="N150" s="68">
        <f ca="1">M150-L150</f>
        <v>1.2484822099999988</v>
      </c>
      <c r="O150" s="216"/>
      <c r="P150" s="218">
        <f ca="1">bdRateExtend(D150:D154,L150:L154,H150:H154,M150:M154)</f>
        <v>-9.0495402199225694E-2</v>
      </c>
    </row>
    <row r="151" spans="2:28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I151" s="9"/>
      <c r="J151" s="218">
        <f ca="1">H151/D151-1</f>
        <v>0</v>
      </c>
      <c r="L151" s="66">
        <f ca="1">INDIRECT($B151&amp;"!"&amp;L$3&amp;"6")</f>
        <v>25.175530779999999</v>
      </c>
      <c r="M151" s="67">
        <f ca="1">INDIRECT($B151&amp;"!"&amp;M$3&amp;"6")</f>
        <v>26.026247720000001</v>
      </c>
      <c r="N151" s="68">
        <f ca="1">M151-L151</f>
        <v>0.85071694000000164</v>
      </c>
      <c r="O151" s="216"/>
      <c r="P151" s="3"/>
    </row>
    <row r="152" spans="2:28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I152" s="9"/>
      <c r="J152" s="218">
        <f ca="1">H152/D152-1</f>
        <v>0</v>
      </c>
      <c r="L152" s="66">
        <f ca="1">INDIRECT($B152&amp;"!"&amp;L$3&amp;"7")</f>
        <v>27.01614056</v>
      </c>
      <c r="M152" s="67">
        <f ca="1">INDIRECT($B152&amp;"!"&amp;M$3&amp;"7")</f>
        <v>27.49510141</v>
      </c>
      <c r="N152" s="68">
        <f ca="1">M152-L152</f>
        <v>0.47896084999999999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I153" s="9"/>
      <c r="J153" s="218">
        <f ca="1">H153/D153-1</f>
        <v>0</v>
      </c>
      <c r="L153" s="66">
        <f ca="1">INDIRECT($B153&amp;"!"&amp;L$3&amp;"8")</f>
        <v>28.719952559999999</v>
      </c>
      <c r="M153" s="67">
        <f ca="1">INDIRECT($B153&amp;"!"&amp;M$3&amp;"8")</f>
        <v>29.121687720000001</v>
      </c>
      <c r="N153" s="68">
        <f ca="1">M153-L153</f>
        <v>0.4017351600000012</v>
      </c>
      <c r="O153" s="216"/>
      <c r="P153" s="218"/>
      <c r="AB153" s="220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I154" s="9"/>
      <c r="J154" s="218">
        <f ca="1">H154/D154-1</f>
        <v>0</v>
      </c>
      <c r="L154" s="66">
        <f ca="1">INDIRECT($B154&amp;"!"&amp;L$3&amp;"9")</f>
        <v>30.651994340000002</v>
      </c>
      <c r="M154" s="67">
        <f ca="1">INDIRECT($B154&amp;"!"&amp;M$3&amp;"9")</f>
        <v>31.181195689999999</v>
      </c>
      <c r="N154" s="68">
        <f ca="1">M154-L154</f>
        <v>0.52920134999999746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5" customHeight="1" thickBot="1" x14ac:dyDescent="0.3">
      <c r="B156" s="63"/>
      <c r="C156" s="64"/>
      <c r="D156" s="223"/>
      <c r="E156" s="216"/>
      <c r="F156" s="63"/>
      <c r="G156" s="64"/>
      <c r="H156" s="223"/>
      <c r="I156" s="9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ht="16.5" customHeight="1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I159" s="9"/>
      <c r="J159" s="200" t="s">
        <v>53</v>
      </c>
      <c r="L159" s="256" t="s">
        <v>54</v>
      </c>
      <c r="M159" s="257"/>
      <c r="N159" s="258"/>
      <c r="O159" s="60"/>
      <c r="P159" s="3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I160" s="9"/>
      <c r="J160" s="65"/>
      <c r="L160" s="143" t="str">
        <f>CONCATENATE(B$2," ",L158)</f>
        <v>lift FlowerDance_UVGgs_0000</v>
      </c>
      <c r="M160" s="144" t="str">
        <f>CONCATENATE(F$2," ",L158)</f>
        <v>raht FlowerDance_UVGgs_0000</v>
      </c>
      <c r="N160" s="145" t="s">
        <v>57</v>
      </c>
      <c r="O160" s="2"/>
      <c r="P160" s="3" t="s">
        <v>48</v>
      </c>
    </row>
    <row r="161" spans="2:28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I161" s="9"/>
      <c r="J161" s="218">
        <f ca="1">H161/D161-1</f>
        <v>0</v>
      </c>
      <c r="L161" s="66">
        <f ca="1">INDIRECT($B161&amp;"!"&amp;L$3&amp;"5")</f>
        <v>22.508037130000002</v>
      </c>
      <c r="M161" s="67">
        <f ca="1">INDIRECT($B161&amp;"!"&amp;M$3&amp;"5")</f>
        <v>23.756519340000001</v>
      </c>
      <c r="N161" s="68">
        <f ca="1">M161-L161</f>
        <v>1.2484822099999988</v>
      </c>
      <c r="O161" s="216"/>
      <c r="P161" s="218">
        <f ca="1">bdRateExtend(D161:D165,L161:L165,H161:H165,M161:M165)</f>
        <v>-9.0495402199225694E-2</v>
      </c>
    </row>
    <row r="162" spans="2:28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I162" s="9"/>
      <c r="J162" s="218">
        <f ca="1">H162/D162-1</f>
        <v>0</v>
      </c>
      <c r="L162" s="66">
        <f ca="1">INDIRECT($B162&amp;"!"&amp;L$3&amp;"6")</f>
        <v>25.175530779999999</v>
      </c>
      <c r="M162" s="67">
        <f ca="1">INDIRECT($B162&amp;"!"&amp;M$3&amp;"6")</f>
        <v>26.026247720000001</v>
      </c>
      <c r="N162" s="68">
        <f ca="1">M162-L162</f>
        <v>0.85071694000000164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I163" s="9"/>
      <c r="J163" s="218">
        <f ca="1">H163/D163-1</f>
        <v>0</v>
      </c>
      <c r="L163" s="66">
        <f ca="1">INDIRECT($B163&amp;"!"&amp;L$3&amp;"7")</f>
        <v>27.01614056</v>
      </c>
      <c r="M163" s="67">
        <f ca="1">INDIRECT($B163&amp;"!"&amp;M$3&amp;"7")</f>
        <v>27.49510141</v>
      </c>
      <c r="N163" s="68">
        <f ca="1">M163-L163</f>
        <v>0.47896084999999999</v>
      </c>
      <c r="O163" s="216"/>
      <c r="P163" s="3"/>
      <c r="AB163" s="220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I164" s="9"/>
      <c r="J164" s="218">
        <f ca="1">H164/D164-1</f>
        <v>0</v>
      </c>
      <c r="L164" s="66">
        <f ca="1">INDIRECT($B164&amp;"!"&amp;L$3&amp;"8")</f>
        <v>28.719952559999999</v>
      </c>
      <c r="M164" s="67">
        <f ca="1">INDIRECT($B164&amp;"!"&amp;M$3&amp;"8")</f>
        <v>29.121687720000001</v>
      </c>
      <c r="N164" s="68">
        <f ca="1">M164-L164</f>
        <v>0.4017351600000012</v>
      </c>
      <c r="O164" s="216"/>
      <c r="P164" s="218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I165" s="9"/>
      <c r="J165" s="218">
        <f ca="1">H165/D165-1</f>
        <v>0</v>
      </c>
      <c r="L165" s="66">
        <f ca="1">INDIRECT($B165&amp;"!"&amp;L$3&amp;"9")</f>
        <v>30.651994340000002</v>
      </c>
      <c r="M165" s="67">
        <f ca="1">INDIRECT($B165&amp;"!"&amp;M$3&amp;"9")</f>
        <v>31.181195689999999</v>
      </c>
      <c r="N165" s="68">
        <f ca="1">M165-L165</f>
        <v>0.52920134999999746</v>
      </c>
      <c r="O165" s="216"/>
      <c r="P165" s="221"/>
    </row>
    <row r="166" spans="2:28" ht="16.5" customHeight="1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I167" s="9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198"/>
      <c r="L169" s="259" t="str">
        <f>F169</f>
        <v>FlowerDance_UVGgs_0200</v>
      </c>
      <c r="M169" s="260"/>
      <c r="N169" s="261"/>
      <c r="O169" s="146"/>
      <c r="P169" s="198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I170" s="9"/>
      <c r="J170" s="200" t="s">
        <v>53</v>
      </c>
      <c r="L170" s="256" t="s">
        <v>54</v>
      </c>
      <c r="M170" s="257"/>
      <c r="N170" s="258"/>
      <c r="O170" s="60"/>
      <c r="P170" s="3"/>
    </row>
    <row r="171" spans="2:28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I171" s="9"/>
      <c r="J171" s="65"/>
      <c r="L171" s="143" t="str">
        <f>CONCATENATE(B$2," ",L169)</f>
        <v>lift FlowerDance_UVGgs_0200</v>
      </c>
      <c r="M171" s="144" t="str">
        <f>CONCATENATE(F$2," ",L169)</f>
        <v>raht FlowerDance_UVGgs_0200</v>
      </c>
      <c r="N171" s="145" t="s">
        <v>57</v>
      </c>
      <c r="O171" s="2"/>
      <c r="P171" s="3" t="s">
        <v>48</v>
      </c>
    </row>
    <row r="172" spans="2:28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I172" s="9"/>
      <c r="J172" s="218">
        <f ca="1">H172/D172-1</f>
        <v>0</v>
      </c>
      <c r="L172" s="66">
        <f ca="1">INDIRECT($B172&amp;"!"&amp;L$3&amp;"5")</f>
        <v>22.508037130000002</v>
      </c>
      <c r="M172" s="67">
        <f ca="1">INDIRECT($B172&amp;"!"&amp;M$3&amp;"5")</f>
        <v>23.756519340000001</v>
      </c>
      <c r="N172" s="68">
        <f ca="1">M172-L172</f>
        <v>1.2484822099999988</v>
      </c>
      <c r="O172" s="216"/>
      <c r="P172" s="218">
        <f ca="1">bdRateExtend(D172:D176,L172:L176,H172:H176,M172:M176)</f>
        <v>-9.0495402199225694E-2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I173" s="9"/>
      <c r="J173" s="218">
        <f ca="1">H173/D173-1</f>
        <v>0</v>
      </c>
      <c r="L173" s="66">
        <f ca="1">INDIRECT($B173&amp;"!"&amp;L$3&amp;"6")</f>
        <v>25.175530779999999</v>
      </c>
      <c r="M173" s="67">
        <f ca="1">INDIRECT($B173&amp;"!"&amp;M$3&amp;"6")</f>
        <v>26.026247720000001</v>
      </c>
      <c r="N173" s="68">
        <f ca="1">M173-L173</f>
        <v>0.85071694000000164</v>
      </c>
      <c r="O173" s="216"/>
      <c r="P173" s="3"/>
      <c r="AB173" s="220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I174" s="9"/>
      <c r="J174" s="218">
        <f ca="1">H174/D174-1</f>
        <v>0</v>
      </c>
      <c r="L174" s="66">
        <f ca="1">INDIRECT($B174&amp;"!"&amp;L$3&amp;"7")</f>
        <v>27.01614056</v>
      </c>
      <c r="M174" s="67">
        <f ca="1">INDIRECT($B174&amp;"!"&amp;M$3&amp;"7")</f>
        <v>27.49510141</v>
      </c>
      <c r="N174" s="68">
        <f ca="1">M174-L174</f>
        <v>0.47896084999999999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I175" s="9"/>
      <c r="J175" s="218">
        <f ca="1">H175/D175-1</f>
        <v>0</v>
      </c>
      <c r="L175" s="66">
        <f ca="1">INDIRECT($B175&amp;"!"&amp;L$3&amp;"8")</f>
        <v>28.719952559999999</v>
      </c>
      <c r="M175" s="67">
        <f ca="1">INDIRECT($B175&amp;"!"&amp;M$3&amp;"8")</f>
        <v>29.121687720000001</v>
      </c>
      <c r="N175" s="68">
        <f ca="1">M175-L175</f>
        <v>0.4017351600000012</v>
      </c>
      <c r="O175" s="216"/>
      <c r="P175" s="218"/>
    </row>
    <row r="176" spans="2:28" ht="16.5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I176" s="9"/>
      <c r="J176" s="218">
        <f ca="1">H176/D176-1</f>
        <v>0</v>
      </c>
      <c r="L176" s="66">
        <f ca="1">INDIRECT($B176&amp;"!"&amp;L$3&amp;"9")</f>
        <v>30.651994340000002</v>
      </c>
      <c r="M176" s="67">
        <f ca="1">INDIRECT($B176&amp;"!"&amp;M$3&amp;"9")</f>
        <v>31.181195689999999</v>
      </c>
      <c r="N176" s="68">
        <f ca="1">M176-L176</f>
        <v>0.52920134999999746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5" customHeight="1" thickBot="1" x14ac:dyDescent="0.3">
      <c r="B178" s="63"/>
      <c r="C178" s="64"/>
      <c r="D178" s="223"/>
      <c r="E178" s="216"/>
      <c r="F178" s="63"/>
      <c r="G178" s="64"/>
      <c r="H178" s="223"/>
      <c r="I178" s="9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/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I181" s="9"/>
      <c r="J181" s="200" t="s">
        <v>53</v>
      </c>
      <c r="L181" s="256" t="s">
        <v>54</v>
      </c>
      <c r="M181" s="257"/>
      <c r="N181" s="258"/>
      <c r="O181" s="60"/>
      <c r="P181" s="3"/>
    </row>
    <row r="182" spans="2:28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I182" s="9"/>
      <c r="J182" s="65"/>
      <c r="L182" s="143" t="str">
        <f>CONCATENATE(B$2," ",L180)</f>
        <v>lift Gymnast_UVGgs_0100</v>
      </c>
      <c r="M182" s="144" t="str">
        <f>CONCATENATE(F$2," ",L180)</f>
        <v>raht Gymnast_UVGgs_0100</v>
      </c>
      <c r="N182" s="145" t="s">
        <v>57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46"/>
      <c r="Y182" s="146"/>
      <c r="Z182" s="146"/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I183" s="9"/>
      <c r="J183" s="218">
        <f ca="1">H183/D183-1</f>
        <v>0</v>
      </c>
      <c r="L183" s="66">
        <f ca="1">INDIRECT($B183&amp;"!"&amp;L$3&amp;"5")</f>
        <v>22.508037130000002</v>
      </c>
      <c r="M183" s="67">
        <f ca="1">INDIRECT($B183&amp;"!"&amp;M$3&amp;"5")</f>
        <v>23.756519340000001</v>
      </c>
      <c r="N183" s="68">
        <f ca="1">M183-L183</f>
        <v>1.2484822099999988</v>
      </c>
      <c r="O183" s="216"/>
      <c r="P183" s="218">
        <f ca="1">bdRateExtend(D183:D187,L183:L187,H183:H187,M183:M187)</f>
        <v>-9.0495402199225694E-2</v>
      </c>
      <c r="Q183" s="216"/>
      <c r="R183" s="9"/>
      <c r="S183" s="9"/>
      <c r="T183" s="9"/>
      <c r="U183" s="9"/>
      <c r="V183" s="219"/>
      <c r="X183" s="6"/>
      <c r="Y183" s="6"/>
      <c r="Z183" s="57"/>
      <c r="AB183" s="220"/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I184" s="9"/>
      <c r="J184" s="218">
        <f ca="1">H184/D184-1</f>
        <v>0</v>
      </c>
      <c r="L184" s="66">
        <f ca="1">INDIRECT($B184&amp;"!"&amp;L$3&amp;"6")</f>
        <v>25.175530779999999</v>
      </c>
      <c r="M184" s="67">
        <f ca="1">INDIRECT($B184&amp;"!"&amp;M$3&amp;"6")</f>
        <v>26.026247720000001</v>
      </c>
      <c r="N184" s="68">
        <f ca="1">M184-L184</f>
        <v>0.85071694000000164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7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I185" s="9"/>
      <c r="J185" s="218">
        <f ca="1">H185/D185-1</f>
        <v>0</v>
      </c>
      <c r="L185" s="66">
        <f ca="1">INDIRECT($B185&amp;"!"&amp;L$3&amp;"7")</f>
        <v>27.01614056</v>
      </c>
      <c r="M185" s="67">
        <f ca="1">INDIRECT($B185&amp;"!"&amp;M$3&amp;"7")</f>
        <v>27.49510141</v>
      </c>
      <c r="N185" s="68">
        <f ca="1">M185-L185</f>
        <v>0.47896084999999999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7"/>
    </row>
    <row r="186" spans="2:28" ht="16.5" customHeight="1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I186" s="9"/>
      <c r="J186" s="218">
        <f ca="1">H186/D186-1</f>
        <v>0</v>
      </c>
      <c r="L186" s="66">
        <f ca="1">INDIRECT($B186&amp;"!"&amp;L$3&amp;"8")</f>
        <v>28.719952559999999</v>
      </c>
      <c r="M186" s="67">
        <f ca="1">INDIRECT($B186&amp;"!"&amp;M$3&amp;"8")</f>
        <v>29.121687720000001</v>
      </c>
      <c r="N186" s="68">
        <f ca="1">M186-L186</f>
        <v>0.4017351600000012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7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I187" s="9"/>
      <c r="J187" s="218">
        <f ca="1">H187/D187-1</f>
        <v>0</v>
      </c>
      <c r="L187" s="66">
        <f ca="1">INDIRECT($B187&amp;"!"&amp;L$3&amp;"9")</f>
        <v>30.651994340000002</v>
      </c>
      <c r="M187" s="67">
        <f ca="1">INDIRECT($B187&amp;"!"&amp;M$3&amp;"9")</f>
        <v>31.181195689999999</v>
      </c>
      <c r="N187" s="68">
        <f ca="1">M187-L187</f>
        <v>0.52920134999999746</v>
      </c>
      <c r="O187" s="216"/>
      <c r="P187" s="221"/>
      <c r="Q187" s="216"/>
      <c r="R187" s="9"/>
      <c r="S187" s="9"/>
      <c r="T187" s="9"/>
      <c r="U187" s="9"/>
      <c r="V187" s="58"/>
      <c r="X187" s="6"/>
      <c r="Y187" s="6"/>
      <c r="Z187" s="57"/>
    </row>
    <row r="188" spans="2:28" ht="16.5" customHeight="1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  <c r="Q188" s="216"/>
      <c r="R188" s="9"/>
      <c r="S188" s="9"/>
      <c r="T188" s="9"/>
      <c r="U188" s="9"/>
      <c r="V188" s="58"/>
      <c r="X188" s="59"/>
      <c r="Y188" s="59"/>
      <c r="Z188" s="57"/>
    </row>
    <row r="189" spans="2:28" ht="16.2" customHeight="1" thickBot="1" x14ac:dyDescent="0.3">
      <c r="B189" s="63"/>
      <c r="C189" s="64"/>
      <c r="D189" s="223"/>
      <c r="E189" s="216"/>
      <c r="F189" s="63"/>
      <c r="G189" s="64"/>
      <c r="H189" s="223"/>
      <c r="I189" s="9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</row>
    <row r="190" spans="2:28" ht="16.2" customHeight="1" thickBot="1" x14ac:dyDescent="0.3"/>
    <row r="191" spans="2:28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I192" s="9"/>
      <c r="J192" s="200" t="s">
        <v>53</v>
      </c>
      <c r="L192" s="256" t="s">
        <v>54</v>
      </c>
      <c r="M192" s="257"/>
      <c r="N192" s="258"/>
      <c r="O192" s="60"/>
      <c r="P192" s="3"/>
    </row>
    <row r="193" spans="2:16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I193" s="9"/>
      <c r="J193" s="65"/>
      <c r="L193" s="143" t="str">
        <f>CONCATENATE(B$2," ",L191)</f>
        <v>lift Gymnast_UVGgs_0200</v>
      </c>
      <c r="M193" s="144" t="str">
        <f>CONCATENATE(F$2," ",L191)</f>
        <v>raht Gymnast_UVGgs_0200</v>
      </c>
      <c r="N193" s="145" t="s">
        <v>57</v>
      </c>
      <c r="O193" s="2"/>
      <c r="P193" s="3" t="s">
        <v>48</v>
      </c>
    </row>
    <row r="194" spans="2:16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I194" s="9"/>
      <c r="J194" s="218">
        <f ca="1">H194/D194-1</f>
        <v>0</v>
      </c>
      <c r="L194" s="66">
        <f ca="1">INDIRECT($B194&amp;"!"&amp;L$3&amp;"5")</f>
        <v>22.508037130000002</v>
      </c>
      <c r="M194" s="67">
        <f ca="1">INDIRECT($B194&amp;"!"&amp;M$3&amp;"5")</f>
        <v>23.756519340000001</v>
      </c>
      <c r="N194" s="68">
        <f ca="1">M194-L194</f>
        <v>1.2484822099999988</v>
      </c>
      <c r="O194" s="216"/>
      <c r="P194" s="218">
        <f ca="1">bdRateExtend(D194:D198,L194:L198,H194:H198,M194:M198)</f>
        <v>-9.0495402199225694E-2</v>
      </c>
    </row>
    <row r="195" spans="2:16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I195" s="9"/>
      <c r="J195" s="218">
        <f ca="1">H195/D195-1</f>
        <v>0</v>
      </c>
      <c r="L195" s="66">
        <f ca="1">INDIRECT($B195&amp;"!"&amp;L$3&amp;"6")</f>
        <v>25.175530779999999</v>
      </c>
      <c r="M195" s="67">
        <f ca="1">INDIRECT($B195&amp;"!"&amp;M$3&amp;"6")</f>
        <v>26.026247720000001</v>
      </c>
      <c r="N195" s="68">
        <f ca="1">M195-L195</f>
        <v>0.85071694000000164</v>
      </c>
      <c r="O195" s="216"/>
      <c r="P195" s="3"/>
    </row>
    <row r="196" spans="2:16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I196" s="9"/>
      <c r="J196" s="218">
        <f ca="1">H196/D196-1</f>
        <v>0</v>
      </c>
      <c r="L196" s="66">
        <f ca="1">INDIRECT($B196&amp;"!"&amp;L$3&amp;"7")</f>
        <v>27.01614056</v>
      </c>
      <c r="M196" s="67">
        <f ca="1">INDIRECT($B196&amp;"!"&amp;M$3&amp;"7")</f>
        <v>27.49510141</v>
      </c>
      <c r="N196" s="68">
        <f ca="1">M196-L196</f>
        <v>0.47896084999999999</v>
      </c>
      <c r="O196" s="216"/>
      <c r="P196" s="3"/>
    </row>
    <row r="197" spans="2:16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I197" s="9"/>
      <c r="J197" s="218">
        <f ca="1">H197/D197-1</f>
        <v>0</v>
      </c>
      <c r="L197" s="66">
        <f ca="1">INDIRECT($B197&amp;"!"&amp;L$3&amp;"8")</f>
        <v>28.719952559999999</v>
      </c>
      <c r="M197" s="67">
        <f ca="1">INDIRECT($B197&amp;"!"&amp;M$3&amp;"8")</f>
        <v>29.121687720000001</v>
      </c>
      <c r="N197" s="68">
        <f ca="1">M197-L197</f>
        <v>0.4017351600000012</v>
      </c>
      <c r="O197" s="216"/>
      <c r="P197" s="218"/>
    </row>
    <row r="198" spans="2:16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I198" s="9"/>
      <c r="J198" s="218">
        <f ca="1">H198/D198-1</f>
        <v>0</v>
      </c>
      <c r="L198" s="66">
        <f ca="1">INDIRECT($B198&amp;"!"&amp;L$3&amp;"9")</f>
        <v>30.651994340000002</v>
      </c>
      <c r="M198" s="67">
        <f ca="1">INDIRECT($B198&amp;"!"&amp;M$3&amp;"9")</f>
        <v>31.181195689999999</v>
      </c>
      <c r="N198" s="68">
        <f ca="1">M198-L198</f>
        <v>0.52920134999999746</v>
      </c>
      <c r="O198" s="216"/>
      <c r="P198" s="221"/>
    </row>
    <row r="199" spans="2:16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</row>
    <row r="200" spans="2:16" ht="16.2" customHeight="1" thickBot="1" x14ac:dyDescent="0.3">
      <c r="B200" s="63"/>
      <c r="C200" s="64"/>
      <c r="D200" s="223"/>
      <c r="E200" s="216"/>
      <c r="F200" s="63"/>
      <c r="G200" s="64"/>
      <c r="H200" s="223"/>
      <c r="I200" s="9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16" ht="16.2" customHeight="1" thickBot="1" x14ac:dyDescent="0.3"/>
    <row r="202" spans="2:16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198"/>
      <c r="L202" s="259" t="str">
        <f>F202</f>
        <v>artwork</v>
      </c>
      <c r="M202" s="260"/>
      <c r="N202" s="261"/>
      <c r="O202" s="146"/>
      <c r="P202" s="198"/>
    </row>
    <row r="203" spans="2:16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I203" s="9"/>
      <c r="J203" s="200" t="s">
        <v>53</v>
      </c>
      <c r="L203" s="256" t="s">
        <v>54</v>
      </c>
      <c r="M203" s="257"/>
      <c r="N203" s="258"/>
      <c r="O203" s="60"/>
      <c r="P203" s="3"/>
    </row>
    <row r="204" spans="2:16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I204" s="9"/>
      <c r="J204" s="65"/>
      <c r="L204" s="143" t="str">
        <f>CONCATENATE(B$2," ",L202)</f>
        <v>lift artwork</v>
      </c>
      <c r="M204" s="144" t="str">
        <f>CONCATENATE(F$2," ",L202)</f>
        <v>raht artwork</v>
      </c>
      <c r="N204" s="145" t="s">
        <v>57</v>
      </c>
      <c r="O204" s="2"/>
      <c r="P204" s="3" t="s">
        <v>48</v>
      </c>
    </row>
    <row r="205" spans="2:16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I205" s="9"/>
      <c r="J205" s="218">
        <f ca="1">H205/D205-1</f>
        <v>0</v>
      </c>
      <c r="L205" s="66">
        <f ca="1">INDIRECT($B205&amp;"!"&amp;L$3&amp;"5")</f>
        <v>22.508037130000002</v>
      </c>
      <c r="M205" s="67">
        <f ca="1">INDIRECT($B205&amp;"!"&amp;M$3&amp;"5")</f>
        <v>23.756519340000001</v>
      </c>
      <c r="N205" s="68">
        <f ca="1">M205-L205</f>
        <v>1.2484822099999988</v>
      </c>
      <c r="O205" s="216"/>
      <c r="P205" s="218">
        <f ca="1">bdRateExtend(D205:D209,L205:L209,H205:H209,M205:M209)</f>
        <v>-9.0495402199225694E-2</v>
      </c>
    </row>
    <row r="206" spans="2:16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I206" s="9"/>
      <c r="J206" s="218">
        <f ca="1">H206/D206-1</f>
        <v>0</v>
      </c>
      <c r="L206" s="66">
        <f ca="1">INDIRECT($B206&amp;"!"&amp;L$3&amp;"6")</f>
        <v>25.175530779999999</v>
      </c>
      <c r="M206" s="67">
        <f ca="1">INDIRECT($B206&amp;"!"&amp;M$3&amp;"6")</f>
        <v>26.026247720000001</v>
      </c>
      <c r="N206" s="68">
        <f ca="1">M206-L206</f>
        <v>0.85071694000000164</v>
      </c>
      <c r="O206" s="216"/>
      <c r="P206" s="3"/>
    </row>
    <row r="207" spans="2:16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I207" s="9"/>
      <c r="J207" s="218">
        <f ca="1">H207/D207-1</f>
        <v>0</v>
      </c>
      <c r="L207" s="66">
        <f ca="1">INDIRECT($B207&amp;"!"&amp;L$3&amp;"7")</f>
        <v>27.01614056</v>
      </c>
      <c r="M207" s="67">
        <f ca="1">INDIRECT($B207&amp;"!"&amp;M$3&amp;"7")</f>
        <v>27.49510141</v>
      </c>
      <c r="N207" s="68">
        <f ca="1">M207-L207</f>
        <v>0.47896084999999999</v>
      </c>
      <c r="O207" s="216"/>
      <c r="P207" s="3"/>
    </row>
    <row r="208" spans="2:16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I208" s="9"/>
      <c r="J208" s="218">
        <f ca="1">H208/D208-1</f>
        <v>0</v>
      </c>
      <c r="L208" s="66">
        <f ca="1">INDIRECT($B208&amp;"!"&amp;L$3&amp;"8")</f>
        <v>28.719952559999999</v>
      </c>
      <c r="M208" s="67">
        <f ca="1">INDIRECT($B208&amp;"!"&amp;M$3&amp;"8")</f>
        <v>29.121687720000001</v>
      </c>
      <c r="N208" s="68">
        <f ca="1">M208-L208</f>
        <v>0.4017351600000012</v>
      </c>
      <c r="O208" s="216"/>
      <c r="P208" s="218"/>
    </row>
    <row r="209" spans="2:16" ht="16.2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I209" s="9"/>
      <c r="J209" s="218">
        <f ca="1">H209/D209-1</f>
        <v>0</v>
      </c>
      <c r="L209" s="66">
        <f ca="1">INDIRECT($B209&amp;"!"&amp;L$3&amp;"9")</f>
        <v>30.651994340000002</v>
      </c>
      <c r="M209" s="67">
        <f ca="1">INDIRECT($B209&amp;"!"&amp;M$3&amp;"9")</f>
        <v>31.181195689999999</v>
      </c>
      <c r="N209" s="68">
        <f ca="1">M209-L209</f>
        <v>0.52920134999999746</v>
      </c>
      <c r="O209" s="216"/>
      <c r="P209" s="221"/>
    </row>
    <row r="210" spans="2:16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16" ht="16.2" customHeight="1" thickBot="1" x14ac:dyDescent="0.3">
      <c r="B211" s="63"/>
      <c r="C211" s="64"/>
      <c r="D211" s="223"/>
      <c r="E211" s="216"/>
      <c r="F211" s="63"/>
      <c r="G211" s="64"/>
      <c r="H211" s="223"/>
      <c r="I211" s="9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16" ht="16.2" customHeight="1" thickBot="1" x14ac:dyDescent="0.3"/>
    <row r="213" spans="2:16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198"/>
      <c r="L213" s="259" t="str">
        <f>F213</f>
        <v>panda</v>
      </c>
      <c r="M213" s="260"/>
      <c r="N213" s="261"/>
      <c r="O213" s="146"/>
      <c r="P213" s="198"/>
    </row>
    <row r="214" spans="2:16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I214" s="9"/>
      <c r="J214" s="200" t="s">
        <v>53</v>
      </c>
      <c r="L214" s="256" t="s">
        <v>54</v>
      </c>
      <c r="M214" s="257"/>
      <c r="N214" s="258"/>
      <c r="O214" s="60"/>
      <c r="P214" s="3"/>
    </row>
    <row r="215" spans="2:16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9"/>
      <c r="J215" s="65"/>
      <c r="L215" s="143" t="str">
        <f>CONCATENATE(B$2," ",L213)</f>
        <v>lift panda</v>
      </c>
      <c r="M215" s="144" t="str">
        <f>CONCATENATE(F$2," ",L213)</f>
        <v>raht panda</v>
      </c>
      <c r="N215" s="145" t="s">
        <v>57</v>
      </c>
      <c r="O215" s="2"/>
      <c r="P215" s="3" t="s">
        <v>48</v>
      </c>
    </row>
    <row r="216" spans="2:16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22.508037130000002</v>
      </c>
      <c r="M216" s="67">
        <f ca="1">INDIRECT($B216&amp;"!"&amp;M$3&amp;"5")</f>
        <v>23.756519340000001</v>
      </c>
      <c r="N216" s="68">
        <f ca="1">M216-L216</f>
        <v>1.2484822099999988</v>
      </c>
      <c r="O216" s="216"/>
      <c r="P216" s="218">
        <f ca="1">bdRateExtend(D216:D220,L216:L220,H216:H220,M216:M220)</f>
        <v>-9.0495402199225694E-2</v>
      </c>
    </row>
    <row r="217" spans="2:16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25.175530779999999</v>
      </c>
      <c r="M217" s="67">
        <f ca="1">INDIRECT($B217&amp;"!"&amp;M$3&amp;"6")</f>
        <v>26.026247720000001</v>
      </c>
      <c r="N217" s="68">
        <f ca="1">M217-L217</f>
        <v>0.85071694000000164</v>
      </c>
      <c r="O217" s="216"/>
      <c r="P217" s="3"/>
    </row>
    <row r="218" spans="2:16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27.01614056</v>
      </c>
      <c r="M218" s="67">
        <f ca="1">INDIRECT($B218&amp;"!"&amp;M$3&amp;"7")</f>
        <v>27.49510141</v>
      </c>
      <c r="N218" s="68">
        <f ca="1">M218-L218</f>
        <v>0.47896084999999999</v>
      </c>
      <c r="O218" s="216"/>
      <c r="P218" s="3"/>
    </row>
    <row r="219" spans="2:16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28.719952559999999</v>
      </c>
      <c r="M219" s="67">
        <f ca="1">INDIRECT($B219&amp;"!"&amp;M$3&amp;"8")</f>
        <v>29.121687720000001</v>
      </c>
      <c r="N219" s="68">
        <f ca="1">M219-L219</f>
        <v>0.4017351600000012</v>
      </c>
      <c r="O219" s="216"/>
      <c r="P219" s="218"/>
    </row>
    <row r="220" spans="2:16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30.651994340000002</v>
      </c>
      <c r="M220" s="67">
        <f ca="1">INDIRECT($B220&amp;"!"&amp;M$3&amp;"9")</f>
        <v>31.181195689999999</v>
      </c>
      <c r="N220" s="68">
        <f ca="1">M220-L220</f>
        <v>0.52920134999999746</v>
      </c>
      <c r="O220" s="216"/>
      <c r="P220" s="221"/>
    </row>
    <row r="221" spans="2:16" x14ac:dyDescent="0.25">
      <c r="B221" s="81"/>
      <c r="C221" s="82"/>
      <c r="D221" s="222"/>
      <c r="F221" s="81"/>
      <c r="G221" s="82"/>
      <c r="H221" s="222"/>
      <c r="J221" s="70">
        <f ca="1">MIN(D216:D220,H216:H220)</f>
        <v>1012.6914449999999</v>
      </c>
      <c r="L221" s="71"/>
      <c r="M221" s="72"/>
      <c r="N221" s="73"/>
      <c r="O221" s="216"/>
      <c r="P221" s="198"/>
    </row>
    <row r="222" spans="2:16" ht="16.2" customHeight="1" thickBot="1" x14ac:dyDescent="0.3">
      <c r="B222" s="63"/>
      <c r="C222" s="64"/>
      <c r="D222" s="223"/>
      <c r="E222" s="216"/>
      <c r="F222" s="63"/>
      <c r="G222" s="64"/>
      <c r="H222" s="223"/>
      <c r="I222" s="9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16" ht="16.2" customHeight="1" thickBot="1" x14ac:dyDescent="0.3"/>
    <row r="224" spans="2:16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I225" s="9"/>
      <c r="J225" s="200" t="s">
        <v>53</v>
      </c>
      <c r="L225" s="256" t="s">
        <v>54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I226" s="9"/>
      <c r="J226" s="65"/>
      <c r="L226" s="143" t="str">
        <f>CONCATENATE(B$2," ",L224)</f>
        <v>lift wukong</v>
      </c>
      <c r="M226" s="144" t="str">
        <f>CONCATENATE(F$2," ",L224)</f>
        <v>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I227" s="9"/>
      <c r="J227" s="218">
        <f ca="1">H227/D227-1</f>
        <v>0</v>
      </c>
      <c r="L227" s="66">
        <f ca="1">INDIRECT($B227&amp;"!"&amp;L$3&amp;"5")</f>
        <v>22.508037130000002</v>
      </c>
      <c r="M227" s="67">
        <f ca="1">INDIRECT($B227&amp;"!"&amp;M$3&amp;"5")</f>
        <v>23.756519340000001</v>
      </c>
      <c r="N227" s="68">
        <f ca="1">M227-L227</f>
        <v>1.2484822099999988</v>
      </c>
      <c r="O227" s="216"/>
      <c r="P227" s="218">
        <f ca="1">bdRateExtend(D227:D231,L227:L231,H227:H231,M227:M231)</f>
        <v>-9.0495402199225694E-2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I228" s="9"/>
      <c r="J228" s="218">
        <f ca="1">H228/D228-1</f>
        <v>0</v>
      </c>
      <c r="L228" s="66">
        <f ca="1">INDIRECT($B228&amp;"!"&amp;L$3&amp;"6")</f>
        <v>25.175530779999999</v>
      </c>
      <c r="M228" s="67">
        <f ca="1">INDIRECT($B228&amp;"!"&amp;M$3&amp;"6")</f>
        <v>26.026247720000001</v>
      </c>
      <c r="N228" s="68">
        <f ca="1">M228-L228</f>
        <v>0.85071694000000164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I229" s="9"/>
      <c r="J229" s="218">
        <f ca="1">H229/D229-1</f>
        <v>0</v>
      </c>
      <c r="L229" s="66">
        <f ca="1">INDIRECT($B229&amp;"!"&amp;L$3&amp;"7")</f>
        <v>27.01614056</v>
      </c>
      <c r="M229" s="67">
        <f ca="1">INDIRECT($B229&amp;"!"&amp;M$3&amp;"7")</f>
        <v>27.49510141</v>
      </c>
      <c r="N229" s="68">
        <f ca="1">M229-L229</f>
        <v>0.47896084999999999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I230" s="9"/>
      <c r="J230" s="218">
        <f ca="1">H230/D230-1</f>
        <v>0</v>
      </c>
      <c r="L230" s="66">
        <f ca="1">INDIRECT($B230&amp;"!"&amp;L$3&amp;"8")</f>
        <v>28.719952559999999</v>
      </c>
      <c r="M230" s="67">
        <f ca="1">INDIRECT($B230&amp;"!"&amp;M$3&amp;"8")</f>
        <v>29.121687720000001</v>
      </c>
      <c r="N230" s="68">
        <f ca="1">M230-L230</f>
        <v>0.4017351600000012</v>
      </c>
      <c r="O230" s="216"/>
      <c r="P230" s="218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I231" s="9"/>
      <c r="J231" s="218">
        <f ca="1">H231/D231-1</f>
        <v>0</v>
      </c>
      <c r="L231" s="66">
        <f ca="1">INDIRECT($B231&amp;"!"&amp;L$3&amp;"9")</f>
        <v>30.651994340000002</v>
      </c>
      <c r="M231" s="67">
        <f ca="1">INDIRECT($B231&amp;"!"&amp;M$3&amp;"9")</f>
        <v>31.181195689999999</v>
      </c>
      <c r="N231" s="68">
        <f ca="1">M231-L231</f>
        <v>0.52920134999999746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I233" s="9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  <row r="234" spans="2:16" ht="16.2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198"/>
      <c r="L235" s="259"/>
      <c r="M235" s="260"/>
      <c r="N235" s="261"/>
      <c r="O235" s="146"/>
      <c r="P235" s="198"/>
    </row>
    <row r="236" spans="2:16" x14ac:dyDescent="0.25">
      <c r="B236" s="262"/>
      <c r="C236" s="257"/>
      <c r="D236" s="62"/>
      <c r="E236" s="216"/>
      <c r="F236" s="262"/>
      <c r="G236" s="257"/>
      <c r="H236" s="62"/>
      <c r="I236" s="9"/>
      <c r="J236" s="200"/>
      <c r="L236" s="256"/>
      <c r="M236" s="257"/>
      <c r="N236" s="258"/>
      <c r="O236" s="60"/>
      <c r="P236" s="3"/>
    </row>
    <row r="237" spans="2:16" x14ac:dyDescent="0.25">
      <c r="B237" s="142"/>
      <c r="C237" s="91"/>
      <c r="D237" s="61"/>
      <c r="E237" s="216"/>
      <c r="F237" s="142"/>
      <c r="G237" s="91"/>
      <c r="H237" s="61"/>
      <c r="I237" s="9"/>
      <c r="J237" s="65"/>
      <c r="L237" s="143"/>
      <c r="M237" s="144"/>
      <c r="N237" s="145"/>
      <c r="O237" s="2"/>
      <c r="P237" s="3"/>
    </row>
    <row r="238" spans="2:16" x14ac:dyDescent="0.25">
      <c r="B238" s="85"/>
      <c r="C238" s="91"/>
      <c r="D238" s="217"/>
      <c r="E238" s="216"/>
      <c r="F238" s="85"/>
      <c r="G238" s="91"/>
      <c r="H238" s="217"/>
      <c r="I238" s="9"/>
      <c r="J238" s="218"/>
      <c r="L238" s="66"/>
      <c r="M238" s="67"/>
      <c r="N238" s="68"/>
      <c r="O238" s="216"/>
      <c r="P238" s="218"/>
    </row>
    <row r="239" spans="2:16" x14ac:dyDescent="0.25">
      <c r="B239" s="85"/>
      <c r="C239" s="91"/>
      <c r="D239" s="217"/>
      <c r="E239" s="216"/>
      <c r="F239" s="85"/>
      <c r="G239" s="91"/>
      <c r="H239" s="217"/>
      <c r="I239" s="9"/>
      <c r="J239" s="218"/>
      <c r="L239" s="66"/>
      <c r="M239" s="67"/>
      <c r="N239" s="68"/>
      <c r="O239" s="216"/>
      <c r="P239" s="3"/>
    </row>
    <row r="240" spans="2:16" x14ac:dyDescent="0.25">
      <c r="B240" s="85"/>
      <c r="C240" s="91"/>
      <c r="D240" s="217"/>
      <c r="E240" s="216"/>
      <c r="F240" s="85"/>
      <c r="G240" s="91"/>
      <c r="H240" s="217"/>
      <c r="I240" s="9"/>
      <c r="J240" s="218"/>
      <c r="L240" s="66"/>
      <c r="M240" s="67"/>
      <c r="N240" s="68"/>
      <c r="O240" s="216"/>
      <c r="P240" s="3"/>
    </row>
    <row r="241" spans="2:16" x14ac:dyDescent="0.25">
      <c r="B241" s="85"/>
      <c r="C241" s="91"/>
      <c r="D241" s="217"/>
      <c r="E241" s="216"/>
      <c r="F241" s="85"/>
      <c r="G241" s="91"/>
      <c r="H241" s="217"/>
      <c r="I241" s="9"/>
      <c r="J241" s="218"/>
      <c r="L241" s="66"/>
      <c r="M241" s="67"/>
      <c r="N241" s="68"/>
      <c r="O241" s="216"/>
      <c r="P241" s="218"/>
    </row>
    <row r="242" spans="2:16" ht="16.2" customHeight="1" thickBot="1" x14ac:dyDescent="0.3">
      <c r="B242" s="85"/>
      <c r="C242" s="91"/>
      <c r="D242" s="217"/>
      <c r="E242" s="216"/>
      <c r="F242" s="85"/>
      <c r="G242" s="91"/>
      <c r="H242" s="217"/>
      <c r="I242" s="9"/>
      <c r="J242" s="218"/>
      <c r="L242" s="66"/>
      <c r="M242" s="67"/>
      <c r="N242" s="68"/>
      <c r="O242" s="216"/>
      <c r="P242" s="221"/>
    </row>
    <row r="243" spans="2:16" x14ac:dyDescent="0.25">
      <c r="B243" s="81"/>
      <c r="C243" s="82"/>
      <c r="D243" s="222"/>
      <c r="F243" s="81"/>
      <c r="G243" s="82"/>
      <c r="H243" s="222"/>
      <c r="J243" s="70"/>
      <c r="L243" s="71"/>
      <c r="M243" s="72"/>
      <c r="N243" s="73"/>
      <c r="O243" s="216"/>
      <c r="P243" s="198"/>
    </row>
    <row r="244" spans="2:16" ht="16.2" customHeight="1" thickBot="1" x14ac:dyDescent="0.3">
      <c r="B244" s="63"/>
      <c r="C244" s="64"/>
      <c r="D244" s="223"/>
      <c r="E244" s="216"/>
      <c r="F244" s="63"/>
      <c r="G244" s="64"/>
      <c r="H244" s="223"/>
      <c r="I244" s="9"/>
      <c r="J244" s="74"/>
      <c r="L244" s="75"/>
      <c r="M244" s="76"/>
      <c r="N244" s="69"/>
      <c r="O244" s="216"/>
      <c r="P244" s="5"/>
    </row>
    <row r="245" spans="2:16" ht="16.2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198"/>
      <c r="L246" s="259"/>
      <c r="M246" s="260"/>
      <c r="N246" s="261"/>
      <c r="O246" s="146"/>
      <c r="P246" s="198"/>
    </row>
    <row r="247" spans="2:16" x14ac:dyDescent="0.25">
      <c r="B247" s="262"/>
      <c r="C247" s="257"/>
      <c r="D247" s="62"/>
      <c r="E247" s="216"/>
      <c r="F247" s="262"/>
      <c r="G247" s="257"/>
      <c r="H247" s="62"/>
      <c r="I247" s="9"/>
      <c r="J247" s="200"/>
      <c r="L247" s="256"/>
      <c r="M247" s="257"/>
      <c r="N247" s="258"/>
      <c r="O247" s="60"/>
      <c r="P247" s="3"/>
    </row>
    <row r="248" spans="2:16" x14ac:dyDescent="0.25">
      <c r="B248" s="142"/>
      <c r="C248" s="91"/>
      <c r="D248" s="61"/>
      <c r="E248" s="216"/>
      <c r="F248" s="142"/>
      <c r="G248" s="91"/>
      <c r="H248" s="61"/>
      <c r="I248" s="9"/>
      <c r="J248" s="65"/>
      <c r="L248" s="143"/>
      <c r="M248" s="144"/>
      <c r="N248" s="145"/>
      <c r="O248" s="2"/>
      <c r="P248" s="3"/>
    </row>
    <row r="249" spans="2:16" x14ac:dyDescent="0.25">
      <c r="B249" s="85"/>
      <c r="C249" s="91"/>
      <c r="D249" s="217"/>
      <c r="E249" s="216"/>
      <c r="F249" s="85"/>
      <c r="G249" s="91"/>
      <c r="H249" s="217"/>
      <c r="I249" s="9"/>
      <c r="J249" s="218"/>
      <c r="L249" s="66"/>
      <c r="M249" s="67"/>
      <c r="N249" s="68"/>
      <c r="O249" s="216"/>
      <c r="P249" s="218"/>
    </row>
    <row r="250" spans="2:16" x14ac:dyDescent="0.25">
      <c r="B250" s="85"/>
      <c r="C250" s="91"/>
      <c r="D250" s="217"/>
      <c r="E250" s="216"/>
      <c r="F250" s="85"/>
      <c r="G250" s="91"/>
      <c r="H250" s="217"/>
      <c r="I250" s="9"/>
      <c r="J250" s="218"/>
      <c r="L250" s="66"/>
      <c r="M250" s="67"/>
      <c r="N250" s="68"/>
      <c r="O250" s="216"/>
      <c r="P250" s="3"/>
    </row>
    <row r="251" spans="2:16" x14ac:dyDescent="0.25">
      <c r="B251" s="85"/>
      <c r="C251" s="91"/>
      <c r="D251" s="217"/>
      <c r="E251" s="216"/>
      <c r="F251" s="85"/>
      <c r="G251" s="91"/>
      <c r="H251" s="217"/>
      <c r="I251" s="9"/>
      <c r="J251" s="218"/>
      <c r="L251" s="66"/>
      <c r="M251" s="67"/>
      <c r="N251" s="68"/>
      <c r="O251" s="216"/>
      <c r="P251" s="3"/>
    </row>
    <row r="252" spans="2:16" x14ac:dyDescent="0.25">
      <c r="B252" s="85"/>
      <c r="C252" s="91"/>
      <c r="D252" s="217"/>
      <c r="E252" s="216"/>
      <c r="F252" s="85"/>
      <c r="G252" s="91"/>
      <c r="H252" s="217"/>
      <c r="I252" s="9"/>
      <c r="J252" s="218"/>
      <c r="L252" s="66"/>
      <c r="M252" s="67"/>
      <c r="N252" s="68"/>
      <c r="O252" s="216"/>
      <c r="P252" s="218"/>
    </row>
    <row r="253" spans="2:16" ht="16.2" customHeight="1" thickBot="1" x14ac:dyDescent="0.3">
      <c r="B253" s="85"/>
      <c r="C253" s="91"/>
      <c r="D253" s="217"/>
      <c r="E253" s="216"/>
      <c r="F253" s="85"/>
      <c r="G253" s="91"/>
      <c r="H253" s="217"/>
      <c r="I253" s="9"/>
      <c r="J253" s="218"/>
      <c r="L253" s="66"/>
      <c r="M253" s="67"/>
      <c r="N253" s="68"/>
      <c r="O253" s="216"/>
      <c r="P253" s="221"/>
    </row>
    <row r="254" spans="2:16" x14ac:dyDescent="0.25">
      <c r="B254" s="81"/>
      <c r="C254" s="82"/>
      <c r="D254" s="222"/>
      <c r="F254" s="81"/>
      <c r="G254" s="82"/>
      <c r="H254" s="222"/>
      <c r="J254" s="70"/>
      <c r="L254" s="71"/>
      <c r="M254" s="72"/>
      <c r="N254" s="73"/>
      <c r="O254" s="216"/>
      <c r="P254" s="198"/>
    </row>
    <row r="255" spans="2:16" ht="16.2" customHeight="1" thickBot="1" x14ac:dyDescent="0.3">
      <c r="B255" s="63"/>
      <c r="C255" s="64"/>
      <c r="D255" s="223"/>
      <c r="E255" s="216"/>
      <c r="F255" s="63"/>
      <c r="G255" s="64"/>
      <c r="H255" s="223"/>
      <c r="I255" s="9"/>
      <c r="J255" s="74"/>
      <c r="L255" s="75"/>
      <c r="M255" s="76"/>
      <c r="N255" s="69"/>
      <c r="O255" s="216"/>
      <c r="P255" s="5"/>
    </row>
    <row r="256" spans="2:16" ht="16.2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198"/>
      <c r="L257" s="259"/>
      <c r="M257" s="260"/>
      <c r="N257" s="261"/>
      <c r="O257" s="146"/>
      <c r="P257" s="198"/>
    </row>
    <row r="258" spans="2:16" x14ac:dyDescent="0.25">
      <c r="B258" s="262"/>
      <c r="C258" s="257"/>
      <c r="D258" s="62"/>
      <c r="E258" s="216"/>
      <c r="F258" s="262"/>
      <c r="G258" s="257"/>
      <c r="H258" s="62"/>
      <c r="I258" s="9"/>
      <c r="J258" s="200"/>
      <c r="L258" s="256"/>
      <c r="M258" s="257"/>
      <c r="N258" s="258"/>
      <c r="O258" s="60"/>
      <c r="P258" s="3"/>
    </row>
    <row r="259" spans="2:16" x14ac:dyDescent="0.25">
      <c r="B259" s="142"/>
      <c r="C259" s="91"/>
      <c r="D259" s="61"/>
      <c r="E259" s="216"/>
      <c r="F259" s="142"/>
      <c r="G259" s="91"/>
      <c r="H259" s="61"/>
      <c r="I259" s="9"/>
      <c r="J259" s="65"/>
      <c r="L259" s="143"/>
      <c r="M259" s="144"/>
      <c r="N259" s="145"/>
      <c r="O259" s="2"/>
      <c r="P259" s="3"/>
    </row>
    <row r="260" spans="2:16" x14ac:dyDescent="0.25">
      <c r="B260" s="85"/>
      <c r="C260" s="91"/>
      <c r="D260" s="217"/>
      <c r="E260" s="216"/>
      <c r="F260" s="85"/>
      <c r="G260" s="91"/>
      <c r="H260" s="217"/>
      <c r="I260" s="9"/>
      <c r="J260" s="218"/>
      <c r="L260" s="66"/>
      <c r="M260" s="67"/>
      <c r="N260" s="68"/>
      <c r="O260" s="216"/>
      <c r="P260" s="218"/>
    </row>
    <row r="261" spans="2:16" x14ac:dyDescent="0.25">
      <c r="B261" s="85"/>
      <c r="C261" s="91"/>
      <c r="D261" s="217"/>
      <c r="E261" s="216"/>
      <c r="F261" s="85"/>
      <c r="G261" s="91"/>
      <c r="H261" s="217"/>
      <c r="I261" s="9"/>
      <c r="J261" s="218"/>
      <c r="L261" s="66"/>
      <c r="M261" s="67"/>
      <c r="N261" s="68"/>
      <c r="O261" s="216"/>
      <c r="P261" s="3"/>
    </row>
    <row r="262" spans="2:16" x14ac:dyDescent="0.25">
      <c r="B262" s="85"/>
      <c r="C262" s="91"/>
      <c r="D262" s="217"/>
      <c r="E262" s="216"/>
      <c r="F262" s="85"/>
      <c r="G262" s="91"/>
      <c r="H262" s="217"/>
      <c r="I262" s="9"/>
      <c r="J262" s="218"/>
      <c r="L262" s="66"/>
      <c r="M262" s="67"/>
      <c r="N262" s="68"/>
      <c r="O262" s="216"/>
      <c r="P262" s="3"/>
    </row>
    <row r="263" spans="2:16" x14ac:dyDescent="0.25">
      <c r="B263" s="85"/>
      <c r="C263" s="91"/>
      <c r="D263" s="217"/>
      <c r="E263" s="216"/>
      <c r="F263" s="85"/>
      <c r="G263" s="91"/>
      <c r="H263" s="217"/>
      <c r="I263" s="9"/>
      <c r="J263" s="218"/>
      <c r="L263" s="66"/>
      <c r="M263" s="67"/>
      <c r="N263" s="68"/>
      <c r="O263" s="216"/>
      <c r="P263" s="218"/>
    </row>
    <row r="264" spans="2:16" ht="16.2" customHeight="1" thickBot="1" x14ac:dyDescent="0.3">
      <c r="B264" s="85"/>
      <c r="C264" s="91"/>
      <c r="D264" s="217"/>
      <c r="E264" s="216"/>
      <c r="F264" s="85"/>
      <c r="G264" s="91"/>
      <c r="H264" s="217"/>
      <c r="I264" s="9"/>
      <c r="J264" s="218"/>
      <c r="L264" s="66"/>
      <c r="M264" s="67"/>
      <c r="N264" s="68"/>
      <c r="O264" s="216"/>
      <c r="P264" s="221"/>
    </row>
    <row r="265" spans="2:16" x14ac:dyDescent="0.25">
      <c r="B265" s="81"/>
      <c r="C265" s="82"/>
      <c r="D265" s="222"/>
      <c r="F265" s="81"/>
      <c r="G265" s="82"/>
      <c r="H265" s="222"/>
      <c r="J265" s="70"/>
      <c r="L265" s="71"/>
      <c r="M265" s="72"/>
      <c r="N265" s="73"/>
      <c r="O265" s="216"/>
      <c r="P265" s="198"/>
    </row>
    <row r="266" spans="2:16" ht="16.2" customHeight="1" thickBot="1" x14ac:dyDescent="0.3">
      <c r="B266" s="63"/>
      <c r="C266" s="64"/>
      <c r="D266" s="223"/>
      <c r="E266" s="216"/>
      <c r="F266" s="63"/>
      <c r="G266" s="64"/>
      <c r="H266" s="223"/>
      <c r="I266" s="9"/>
      <c r="J266" s="74"/>
      <c r="L266" s="75"/>
      <c r="M266" s="76"/>
      <c r="N266" s="69"/>
      <c r="O266" s="216"/>
      <c r="P266" s="5"/>
    </row>
    <row r="267" spans="2:16" ht="16.2" customHeight="1" thickBot="1" x14ac:dyDescent="0.3"/>
    <row r="268" spans="2:16" x14ac:dyDescent="0.25">
      <c r="B268" s="193"/>
      <c r="C268" s="194"/>
      <c r="D268" s="195"/>
      <c r="E268" s="2"/>
      <c r="F268" s="193"/>
      <c r="G268" s="194"/>
      <c r="H268" s="195"/>
      <c r="I268" s="2"/>
      <c r="J268" s="198"/>
      <c r="L268" s="198"/>
      <c r="M268" s="191"/>
      <c r="N268" s="192"/>
      <c r="O268" s="146"/>
      <c r="P268" s="198"/>
    </row>
    <row r="269" spans="2:16" x14ac:dyDescent="0.25">
      <c r="B269" s="197"/>
      <c r="C269" s="199"/>
      <c r="D269" s="62"/>
      <c r="E269" s="216"/>
      <c r="F269" s="197"/>
      <c r="G269" s="199"/>
      <c r="H269" s="62"/>
      <c r="I269" s="9"/>
      <c r="J269" s="200"/>
      <c r="L269" s="200"/>
      <c r="M269" s="201"/>
      <c r="N269" s="202"/>
      <c r="O269" s="60"/>
      <c r="P269" s="3"/>
    </row>
    <row r="270" spans="2:16" x14ac:dyDescent="0.25">
      <c r="B270" s="142"/>
      <c r="C270" s="91"/>
      <c r="D270" s="61"/>
      <c r="E270" s="216"/>
      <c r="F270" s="142"/>
      <c r="G270" s="91"/>
      <c r="H270" s="61"/>
      <c r="I270" s="9"/>
      <c r="J270" s="65"/>
      <c r="L270" s="143"/>
      <c r="M270" s="144"/>
      <c r="N270" s="145"/>
      <c r="O270" s="2"/>
      <c r="P270" s="3"/>
    </row>
    <row r="271" spans="2:16" x14ac:dyDescent="0.25">
      <c r="B271" s="85"/>
      <c r="C271" s="91"/>
      <c r="D271" s="217"/>
      <c r="E271" s="216"/>
      <c r="F271" s="85"/>
      <c r="G271" s="91"/>
      <c r="H271" s="217"/>
      <c r="I271" s="9"/>
      <c r="J271" s="218"/>
      <c r="L271" s="66"/>
      <c r="M271" s="67"/>
      <c r="N271" s="68"/>
      <c r="O271" s="216"/>
      <c r="P271" s="218"/>
    </row>
    <row r="272" spans="2:16" x14ac:dyDescent="0.25">
      <c r="B272" s="85"/>
      <c r="C272" s="91"/>
      <c r="D272" s="217"/>
      <c r="E272" s="216"/>
      <c r="F272" s="85"/>
      <c r="G272" s="91"/>
      <c r="H272" s="217"/>
      <c r="I272" s="9"/>
      <c r="J272" s="218"/>
      <c r="L272" s="66"/>
      <c r="M272" s="67"/>
      <c r="N272" s="68"/>
      <c r="O272" s="216"/>
      <c r="P272" s="3"/>
    </row>
    <row r="273" spans="2:16" x14ac:dyDescent="0.25">
      <c r="B273" s="85"/>
      <c r="C273" s="91"/>
      <c r="D273" s="217"/>
      <c r="E273" s="216"/>
      <c r="F273" s="85"/>
      <c r="G273" s="91"/>
      <c r="H273" s="217"/>
      <c r="I273" s="9"/>
      <c r="J273" s="218"/>
      <c r="L273" s="66"/>
      <c r="M273" s="67"/>
      <c r="N273" s="68"/>
      <c r="O273" s="216"/>
      <c r="P273" s="3"/>
    </row>
    <row r="274" spans="2:16" x14ac:dyDescent="0.25">
      <c r="B274" s="85"/>
      <c r="C274" s="91"/>
      <c r="D274" s="217"/>
      <c r="E274" s="216"/>
      <c r="F274" s="85"/>
      <c r="G274" s="91"/>
      <c r="H274" s="217"/>
      <c r="I274" s="9"/>
      <c r="J274" s="218"/>
      <c r="L274" s="66"/>
      <c r="M274" s="67"/>
      <c r="N274" s="68"/>
      <c r="O274" s="216"/>
      <c r="P274" s="218"/>
    </row>
    <row r="275" spans="2:16" ht="16.2" customHeight="1" thickBot="1" x14ac:dyDescent="0.3">
      <c r="B275" s="85"/>
      <c r="C275" s="91"/>
      <c r="D275" s="217"/>
      <c r="E275" s="216"/>
      <c r="F275" s="85"/>
      <c r="G275" s="91"/>
      <c r="H275" s="217"/>
      <c r="I275" s="9"/>
      <c r="J275" s="218"/>
      <c r="L275" s="66"/>
      <c r="M275" s="67"/>
      <c r="N275" s="68"/>
      <c r="O275" s="216"/>
      <c r="P275" s="221"/>
    </row>
    <row r="276" spans="2:16" x14ac:dyDescent="0.25">
      <c r="B276" s="81"/>
      <c r="C276" s="82"/>
      <c r="D276" s="222"/>
      <c r="F276" s="81"/>
      <c r="G276" s="82"/>
      <c r="H276" s="222"/>
      <c r="J276" s="70"/>
      <c r="L276" s="71"/>
      <c r="M276" s="72"/>
      <c r="N276" s="73"/>
      <c r="O276" s="216"/>
      <c r="P276" s="198"/>
    </row>
    <row r="277" spans="2:16" ht="16.2" customHeight="1" thickBot="1" x14ac:dyDescent="0.3">
      <c r="B277" s="63"/>
      <c r="C277" s="64"/>
      <c r="D277" s="223"/>
      <c r="E277" s="216"/>
      <c r="F277" s="63"/>
      <c r="G277" s="64"/>
      <c r="H277" s="223"/>
      <c r="I277" s="9"/>
      <c r="J277" s="74"/>
      <c r="L277" s="75"/>
      <c r="M277" s="76"/>
      <c r="N277" s="69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lift</v>
      </c>
      <c r="C2" s="257"/>
      <c r="D2" s="257"/>
      <c r="E2" s="199"/>
      <c r="F2" s="264" t="str">
        <f>'Summary (auto)'!C4</f>
        <v>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63</v>
      </c>
      <c r="M3" s="77" t="s">
        <v>64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65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lift bartender_track</v>
      </c>
      <c r="M6" s="144" t="str">
        <f>CONCATENATE(F$2," ",L4)</f>
        <v>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 t="str">
        <f ca="1">INDIRECT($B7&amp;"!"&amp;L$3&amp;"5")</f>
        <v/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#VALUE!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 t="str">
        <f ca="1">INDIRECT($B8&amp;"!"&amp;L$3&amp;"6")</f>
        <v/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 t="str">
        <f ca="1">INDIRECT($B9&amp;"!"&amp;L$3&amp;"7")</f>
        <v/>
      </c>
      <c r="M9" s="67" t="str">
        <f ca="1">INDIRECT($B9&amp;"!"&amp;M$3&amp;"7")</f>
        <v/>
      </c>
      <c r="N9" s="68" t="e">
        <f ca="1">M9-L9</f>
        <v>#VALUE!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 t="str">
        <f ca="1">INDIRECT($B10&amp;"!"&amp;L$3&amp;"8")</f>
        <v/>
      </c>
      <c r="M10" s="67" t="str">
        <f ca="1">INDIRECT($B10&amp;"!"&amp;M$3&amp;"8")</f>
        <v/>
      </c>
      <c r="N10" s="68" t="e">
        <f ca="1">M10-L10</f>
        <v>#VALUE!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 t="str">
        <f ca="1">INDIRECT($B11&amp;"!"&amp;L$3&amp;"9")</f>
        <v/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65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lift breakfast_track</v>
      </c>
      <c r="M17" s="144" t="str">
        <f>CONCATENATE(F$2," ",L15)</f>
        <v>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74.064856000000006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74.064856000000006</v>
      </c>
      <c r="I18" s="9"/>
      <c r="J18" s="218">
        <f ca="1">H18/D18-1</f>
        <v>0</v>
      </c>
      <c r="L18" s="66">
        <f ca="1">INDIRECT($B18&amp;"!"&amp;L$3&amp;"5")</f>
        <v>28.567080310000001</v>
      </c>
      <c r="M18" s="67">
        <f ca="1">INDIRECT($B18&amp;"!"&amp;M$3&amp;"5")</f>
        <v>28.567080310000001</v>
      </c>
      <c r="N18" s="68">
        <f ca="1">M18-L18</f>
        <v>0</v>
      </c>
      <c r="O18" s="216"/>
      <c r="P18" s="218" t="e">
        <f ca="1">bdRateExtend(D18:D22,L18:L22,H18:H22,M18:M22)</f>
        <v>#VALUE!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106.483952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106.483952</v>
      </c>
      <c r="I19" s="9"/>
      <c r="J19" s="218">
        <f ca="1">H19/D19-1</f>
        <v>0</v>
      </c>
      <c r="L19" s="66">
        <f ca="1">INDIRECT($B19&amp;"!"&amp;L$3&amp;"6")</f>
        <v>32.67925236</v>
      </c>
      <c r="M19" s="67">
        <f ca="1">INDIRECT($B19&amp;"!"&amp;M$3&amp;"6")</f>
        <v>32.67925236</v>
      </c>
      <c r="N19" s="68">
        <f ca="1">M19-L19</f>
        <v>0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153.53993599999998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153.53993599999998</v>
      </c>
      <c r="I20" s="9"/>
      <c r="J20" s="218">
        <f ca="1">H20/D20-1</f>
        <v>0</v>
      </c>
      <c r="L20" s="66">
        <f ca="1">INDIRECT($B20&amp;"!"&amp;L$3&amp;"7")</f>
        <v>38.36439669</v>
      </c>
      <c r="M20" s="67">
        <f ca="1">INDIRECT($B20&amp;"!"&amp;M$3&amp;"7")</f>
        <v>38.36439669</v>
      </c>
      <c r="N20" s="68">
        <f ca="1">M20-L20</f>
        <v>0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217.71495200000001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217.71495200000001</v>
      </c>
      <c r="I21" s="9"/>
      <c r="J21" s="218">
        <f ca="1">H21/D21-1</f>
        <v>0</v>
      </c>
      <c r="L21" s="66">
        <f ca="1">INDIRECT($B21&amp;"!"&amp;L$3&amp;"8")</f>
        <v>41.523211199999999</v>
      </c>
      <c r="M21" s="67">
        <f ca="1">INDIRECT($B21&amp;"!"&amp;M$3&amp;"8")</f>
        <v>41.523211199999999</v>
      </c>
      <c r="N21" s="68">
        <f ca="1">M21-L21</f>
        <v>0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 t="str">
        <f ca="1">INDIRECT($B22&amp;"!"&amp;L$3&amp;"9")</f>
        <v/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65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lift cinema_track</v>
      </c>
      <c r="M28" s="144" t="str">
        <f>CONCATENATE(F$2," ",L26)</f>
        <v>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 t="str">
        <f ca="1">INDIRECT($B29&amp;"!"&amp;L$3&amp;"5")</f>
        <v/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#VALUE!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 t="str">
        <f ca="1">INDIRECT($B30&amp;"!"&amp;L$3&amp;"6")</f>
        <v/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 t="str">
        <f ca="1">INDIRECT($B31&amp;"!"&amp;L$3&amp;"7")</f>
        <v/>
      </c>
      <c r="M31" s="67" t="str">
        <f ca="1">INDIRECT($B31&amp;"!"&amp;M$3&amp;"7")</f>
        <v/>
      </c>
      <c r="N31" s="68" t="e">
        <f ca="1">M31-L31</f>
        <v>#VALUE!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 t="str">
        <f ca="1">INDIRECT($B32&amp;"!"&amp;L$3&amp;"8")</f>
        <v/>
      </c>
      <c r="M32" s="67" t="str">
        <f ca="1">INDIRECT($B32&amp;"!"&amp;M$3&amp;"8")</f>
        <v/>
      </c>
      <c r="N32" s="68" t="e">
        <f ca="1">M32-L32</f>
        <v>#VALUE!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 t="str">
        <f ca="1">INDIRECT($B33&amp;"!"&amp;L$3&amp;"9")</f>
        <v/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65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lift ManWithFruit</v>
      </c>
      <c r="M39" s="144" t="str">
        <f>CONCATENATE(F$2," ",L37)</f>
        <v>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 t="str">
        <f ca="1">INDIRECT($B40&amp;"!"&amp;L$3&amp;"5")</f>
        <v/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#VALUE!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 t="str">
        <f ca="1">INDIRECT($B41&amp;"!"&amp;L$3&amp;"6")</f>
        <v/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 t="str">
        <f ca="1">INDIRECT($B42&amp;"!"&amp;L$3&amp;"7")</f>
        <v/>
      </c>
      <c r="M42" s="67" t="str">
        <f ca="1">INDIRECT($B42&amp;"!"&amp;M$3&amp;"7")</f>
        <v/>
      </c>
      <c r="N42" s="68" t="e">
        <f ca="1">M42-L42</f>
        <v>#VALUE!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 t="str">
        <f ca="1">INDIRECT($B43&amp;"!"&amp;L$3&amp;"8")</f>
        <v/>
      </c>
      <c r="M43" s="67" t="str">
        <f ca="1">INDIRECT($B43&amp;"!"&amp;M$3&amp;"8")</f>
        <v/>
      </c>
      <c r="N43" s="68" t="e">
        <f ca="1">M43-L43</f>
        <v>#VALUE!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 t="str">
        <f ca="1">INDIRECT($B44&amp;"!"&amp;L$3&amp;"9")</f>
        <v/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65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lift LEGO_Ferrari</v>
      </c>
      <c r="M50" s="144" t="str">
        <f>CONCATENATE(F$2," ",L48)</f>
        <v>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27.105021409999999</v>
      </c>
      <c r="M51" s="67">
        <f ca="1">INDIRECT($B51&amp;"!"&amp;M$3&amp;"5")</f>
        <v>28.157919339999999</v>
      </c>
      <c r="N51" s="68">
        <f ca="1">M51-L51</f>
        <v>1.0528979300000003</v>
      </c>
      <c r="O51" s="216"/>
      <c r="P51" s="218">
        <f ca="1">bdRateExtend(D51:D55,L51:L55,H51:H55,M51:M55)</f>
        <v>-7.8645643289388167E-2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29.448546220000001</v>
      </c>
      <c r="M52" s="67">
        <f ca="1">INDIRECT($B52&amp;"!"&amp;M$3&amp;"6")</f>
        <v>30.103456940000001</v>
      </c>
      <c r="N52" s="68">
        <f ca="1">M52-L52</f>
        <v>0.65491072000000017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31.03753188</v>
      </c>
      <c r="M53" s="67">
        <f ca="1">INDIRECT($B53&amp;"!"&amp;M$3&amp;"7")</f>
        <v>31.36979578</v>
      </c>
      <c r="N53" s="68">
        <f ca="1">M53-L53</f>
        <v>0.33226390000000094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32.51285609</v>
      </c>
      <c r="M54" s="67">
        <f ca="1">INDIRECT($B54&amp;"!"&amp;M$3&amp;"8")</f>
        <v>32.801705720000001</v>
      </c>
      <c r="N54" s="68">
        <f ca="1">M54-L54</f>
        <v>0.28884963000000141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34.259280750000002</v>
      </c>
      <c r="M55" s="67">
        <f ca="1">INDIRECT($B55&amp;"!"&amp;M$3&amp;"9")</f>
        <v>34.705752969999999</v>
      </c>
      <c r="N55" s="68">
        <f ca="1">M55-L55</f>
        <v>0.44647221999999687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65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lift LEGO_Bugatti</v>
      </c>
      <c r="M61" s="144" t="str">
        <f>CONCATENATE(F$2," ",L59)</f>
        <v>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27.105021409999999</v>
      </c>
      <c r="M62" s="67">
        <f ca="1">INDIRECT($B62&amp;"!"&amp;M$3&amp;"5")</f>
        <v>28.157919339999999</v>
      </c>
      <c r="N62" s="68">
        <f ca="1">M62-L62</f>
        <v>1.0528979300000003</v>
      </c>
      <c r="O62" s="216"/>
      <c r="P62" s="218">
        <f ca="1">bdRateExtend(D62:D66,L62:L66,H62:H66,M62:M66)</f>
        <v>-7.8645643289388167E-2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29.448546220000001</v>
      </c>
      <c r="M63" s="67">
        <f ca="1">INDIRECT($B63&amp;"!"&amp;M$3&amp;"6")</f>
        <v>30.103456940000001</v>
      </c>
      <c r="N63" s="68">
        <f ca="1">M63-L63</f>
        <v>0.65491072000000017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31.03753188</v>
      </c>
      <c r="M64" s="67">
        <f ca="1">INDIRECT($B64&amp;"!"&amp;M$3&amp;"7")</f>
        <v>31.36979578</v>
      </c>
      <c r="N64" s="68">
        <f ca="1">M64-L64</f>
        <v>0.33226390000000094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32.51285609</v>
      </c>
      <c r="M65" s="67">
        <f ca="1">INDIRECT($B65&amp;"!"&amp;M$3&amp;"8")</f>
        <v>32.801705720000001</v>
      </c>
      <c r="N65" s="68">
        <f ca="1">M65-L65</f>
        <v>0.28884963000000141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34.259280750000002</v>
      </c>
      <c r="M66" s="67">
        <f ca="1">INDIRECT($B66&amp;"!"&amp;M$3&amp;"9")</f>
        <v>34.705752969999999</v>
      </c>
      <c r="N66" s="68">
        <f ca="1">M66-L66</f>
        <v>0.44647221999999687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65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lift Plant</v>
      </c>
      <c r="M72" s="144" t="str">
        <f>CONCATENATE(F$2," ",L70)</f>
        <v>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27.105021409999999</v>
      </c>
      <c r="M73" s="67">
        <f ca="1">INDIRECT($B73&amp;"!"&amp;M$3&amp;"5")</f>
        <v>28.157919339999999</v>
      </c>
      <c r="N73" s="68">
        <f ca="1">M73-L73</f>
        <v>1.0528979300000003</v>
      </c>
      <c r="O73" s="216"/>
      <c r="P73" s="218">
        <f ca="1">bdRateExtend(D73:D77,L73:L77,H73:H77,M73:M77)</f>
        <v>-7.8645643289388167E-2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29.448546220000001</v>
      </c>
      <c r="M74" s="67">
        <f ca="1">INDIRECT($B74&amp;"!"&amp;M$3&amp;"6")</f>
        <v>30.103456940000001</v>
      </c>
      <c r="N74" s="68">
        <f ca="1">M74-L74</f>
        <v>0.65491072000000017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31.03753188</v>
      </c>
      <c r="M75" s="67">
        <f ca="1">INDIRECT($B75&amp;"!"&amp;M$3&amp;"7")</f>
        <v>31.36979578</v>
      </c>
      <c r="N75" s="68">
        <f ca="1">M75-L75</f>
        <v>0.33226390000000094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32.51285609</v>
      </c>
      <c r="M76" s="67">
        <f ca="1">INDIRECT($B76&amp;"!"&amp;M$3&amp;"8")</f>
        <v>32.801705720000001</v>
      </c>
      <c r="N76" s="68">
        <f ca="1">M76-L76</f>
        <v>0.28884963000000141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34.259280750000002</v>
      </c>
      <c r="M77" s="67">
        <f ca="1">INDIRECT($B77&amp;"!"&amp;M$3&amp;"9")</f>
        <v>34.705752969999999</v>
      </c>
      <c r="N77" s="68">
        <f ca="1">M77-L77</f>
        <v>0.44647221999999687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65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lift Tennis_Player</v>
      </c>
      <c r="M83" s="144" t="str">
        <f>CONCATENATE(F$2," ",L81)</f>
        <v>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27.105021409999999</v>
      </c>
      <c r="M84" s="67">
        <f ca="1">INDIRECT($B84&amp;"!"&amp;M$3&amp;"5")</f>
        <v>28.157919339999999</v>
      </c>
      <c r="N84" s="68">
        <f ca="1">M84-L84</f>
        <v>1.0528979300000003</v>
      </c>
      <c r="O84" s="216"/>
      <c r="P84" s="218">
        <f ca="1">bdRateExtend(D84:D88,L84:L88,H84:H88,M84:M88)</f>
        <v>-7.8645643289388167E-2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29.448546220000001</v>
      </c>
      <c r="M85" s="67">
        <f ca="1">INDIRECT($B85&amp;"!"&amp;M$3&amp;"6")</f>
        <v>30.103456940000001</v>
      </c>
      <c r="N85" s="68">
        <f ca="1">M85-L85</f>
        <v>0.65491072000000017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31.03753188</v>
      </c>
      <c r="M86" s="67">
        <f ca="1">INDIRECT($B86&amp;"!"&amp;M$3&amp;"7")</f>
        <v>31.36979578</v>
      </c>
      <c r="N86" s="68">
        <f ca="1">M86-L86</f>
        <v>0.33226390000000094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32.51285609</v>
      </c>
      <c r="M87" s="67">
        <f ca="1">INDIRECT($B87&amp;"!"&amp;M$3&amp;"8")</f>
        <v>32.801705720000001</v>
      </c>
      <c r="N87" s="68">
        <f ca="1">M87-L87</f>
        <v>0.28884963000000141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34.259280750000002</v>
      </c>
      <c r="M88" s="67">
        <f ca="1">INDIRECT($B88&amp;"!"&amp;M$3&amp;"9")</f>
        <v>34.705752969999999</v>
      </c>
      <c r="N88" s="68">
        <f ca="1">M88-L88</f>
        <v>0.44647221999999687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5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65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lift Cricket_Player</v>
      </c>
      <c r="M94" s="144" t="str">
        <f>CONCATENATE(F$2," ",L92)</f>
        <v>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27.105021409999999</v>
      </c>
      <c r="M95" s="67">
        <f ca="1">INDIRECT($B95&amp;"!"&amp;M$3&amp;"5")</f>
        <v>28.157919339999999</v>
      </c>
      <c r="N95" s="68">
        <f ca="1">M95-L95</f>
        <v>1.0528979300000003</v>
      </c>
      <c r="O95" s="216"/>
      <c r="P95" s="218">
        <f ca="1">bdRateExtend(D95:D99,L95:L99,H95:H99,M95:M99)</f>
        <v>-7.8645643289388167E-2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29.448546220000001</v>
      </c>
      <c r="M96" s="67">
        <f ca="1">INDIRECT($B96&amp;"!"&amp;M$3&amp;"6")</f>
        <v>30.103456940000001</v>
      </c>
      <c r="N96" s="68">
        <f ca="1">M96-L96</f>
        <v>0.65491072000000017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31.03753188</v>
      </c>
      <c r="M97" s="67">
        <f ca="1">INDIRECT($B97&amp;"!"&amp;M$3&amp;"7")</f>
        <v>31.36979578</v>
      </c>
      <c r="N97" s="68">
        <f ca="1">M97-L97</f>
        <v>0.33226390000000094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32.51285609</v>
      </c>
      <c r="M98" s="67">
        <f ca="1">INDIRECT($B98&amp;"!"&amp;M$3&amp;"8")</f>
        <v>32.801705720000001</v>
      </c>
      <c r="N98" s="68">
        <f ca="1">M98-L98</f>
        <v>0.28884963000000141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34.259280750000002</v>
      </c>
      <c r="M99" s="67">
        <f ca="1">INDIRECT($B99&amp;"!"&amp;M$3&amp;"9")</f>
        <v>34.705752969999999</v>
      </c>
      <c r="N99" s="68">
        <f ca="1">M99-L99</f>
        <v>0.44647221999999687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5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65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lift Tango_Duo</v>
      </c>
      <c r="M105" s="144" t="str">
        <f>CONCATENATE(F$2," ",L103)</f>
        <v>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27.105021409999999</v>
      </c>
      <c r="M106" s="67">
        <f ca="1">INDIRECT($B106&amp;"!"&amp;M$3&amp;"5")</f>
        <v>28.157919339999999</v>
      </c>
      <c r="N106" s="68">
        <f ca="1">M106-L106</f>
        <v>1.0528979300000003</v>
      </c>
      <c r="O106" s="216"/>
      <c r="P106" s="218">
        <f ca="1">bdRateExtend(D106:D110,L106:L110,H106:H110,M106:M110)</f>
        <v>-7.8645643289388167E-2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29.448546220000001</v>
      </c>
      <c r="M107" s="67">
        <f ca="1">INDIRECT($B107&amp;"!"&amp;M$3&amp;"6")</f>
        <v>30.103456940000001</v>
      </c>
      <c r="N107" s="68">
        <f ca="1">M107-L107</f>
        <v>0.65491072000000017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31.03753188</v>
      </c>
      <c r="M108" s="67">
        <f ca="1">INDIRECT($B108&amp;"!"&amp;M$3&amp;"7")</f>
        <v>31.36979578</v>
      </c>
      <c r="N108" s="68">
        <f ca="1">M108-L108</f>
        <v>0.33226390000000094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32.51285609</v>
      </c>
      <c r="M109" s="67">
        <f ca="1">INDIRECT($B109&amp;"!"&amp;M$3&amp;"8")</f>
        <v>32.801705720000001</v>
      </c>
      <c r="N109" s="68">
        <f ca="1">M109-L109</f>
        <v>0.28884963000000141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34.259280750000002</v>
      </c>
      <c r="M110" s="67">
        <f ca="1">INDIRECT($B110&amp;"!"&amp;M$3&amp;"9")</f>
        <v>34.705752969999999</v>
      </c>
      <c r="N110" s="68">
        <f ca="1">M110-L110</f>
        <v>0.44647221999999687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65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lift Solo_Tango_Female</v>
      </c>
      <c r="M116" s="144" t="str">
        <f>CONCATENATE(F$2," ",L114)</f>
        <v>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>
        <f ca="1">H117/D117-1</f>
        <v>0</v>
      </c>
      <c r="L117" s="66">
        <f ca="1">INDIRECT($B117&amp;"!"&amp;L$3&amp;"5")</f>
        <v>27.105021409999999</v>
      </c>
      <c r="M117" s="67">
        <f ca="1">INDIRECT($B117&amp;"!"&amp;M$3&amp;"5")</f>
        <v>28.157919339999999</v>
      </c>
      <c r="N117" s="68">
        <f ca="1">M117-L117</f>
        <v>1.0528979300000003</v>
      </c>
      <c r="O117" s="216"/>
      <c r="P117" s="218">
        <f ca="1">bdRateExtend(D117:D121,L117:L121,H117:H121,M117:M121)</f>
        <v>-7.8645643289388167E-2</v>
      </c>
    </row>
    <row r="118" spans="2:28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>
        <f ca="1">H118/D118-1</f>
        <v>0</v>
      </c>
      <c r="L118" s="66">
        <f ca="1">INDIRECT($B118&amp;"!"&amp;L$3&amp;"6")</f>
        <v>29.448546220000001</v>
      </c>
      <c r="M118" s="67">
        <f ca="1">INDIRECT($B118&amp;"!"&amp;M$3&amp;"6")</f>
        <v>30.103456940000001</v>
      </c>
      <c r="N118" s="68">
        <f ca="1">M118-L118</f>
        <v>0.65491072000000017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>
        <f ca="1">H119/D119-1</f>
        <v>0</v>
      </c>
      <c r="L119" s="66">
        <f ca="1">INDIRECT($B119&amp;"!"&amp;L$3&amp;"7")</f>
        <v>31.03753188</v>
      </c>
      <c r="M119" s="67">
        <f ca="1">INDIRECT($B119&amp;"!"&amp;M$3&amp;"7")</f>
        <v>31.36979578</v>
      </c>
      <c r="N119" s="68">
        <f ca="1">M119-L119</f>
        <v>0.33226390000000094</v>
      </c>
      <c r="O119" s="216"/>
      <c r="P119" s="3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>
        <f ca="1">H120/D120-1</f>
        <v>0</v>
      </c>
      <c r="L120" s="66">
        <f ca="1">INDIRECT($B120&amp;"!"&amp;L$3&amp;"8")</f>
        <v>32.51285609</v>
      </c>
      <c r="M120" s="67">
        <f ca="1">INDIRECT($B120&amp;"!"&amp;M$3&amp;"8")</f>
        <v>32.801705720000001</v>
      </c>
      <c r="N120" s="68">
        <f ca="1">M120-L120</f>
        <v>0.28884963000000141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>
        <f ca="1">H121/D121-1</f>
        <v>0</v>
      </c>
      <c r="L121" s="66">
        <f ca="1">INDIRECT($B121&amp;"!"&amp;L$3&amp;"9")</f>
        <v>34.259280750000002</v>
      </c>
      <c r="M121" s="67">
        <f ca="1">INDIRECT($B121&amp;"!"&amp;M$3&amp;"9")</f>
        <v>34.705752969999999</v>
      </c>
      <c r="N121" s="68">
        <f ca="1">M121-L121</f>
        <v>0.44647221999999687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65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lift Solo_Tango_Male</v>
      </c>
      <c r="M127" s="144" t="str">
        <f>CONCATENATE(F$2," ",L125)</f>
        <v>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>
        <f ca="1">H128/D128-1</f>
        <v>0</v>
      </c>
      <c r="L128" s="66">
        <f ca="1">INDIRECT($B128&amp;"!"&amp;L$3&amp;"5")</f>
        <v>27.105021409999999</v>
      </c>
      <c r="M128" s="67">
        <f ca="1">INDIRECT($B128&amp;"!"&amp;M$3&amp;"5")</f>
        <v>28.157919339999999</v>
      </c>
      <c r="N128" s="68">
        <f ca="1">M128-L128</f>
        <v>1.0528979300000003</v>
      </c>
      <c r="O128" s="216"/>
      <c r="P128" s="218">
        <f ca="1">bdRateExtend(D128:D132,L128:L132,H128:H132,M128:M132)</f>
        <v>-7.8645643289388167E-2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>
        <f ca="1">H129/D129-1</f>
        <v>0</v>
      </c>
      <c r="L129" s="66">
        <f ca="1">INDIRECT($B129&amp;"!"&amp;L$3&amp;"6")</f>
        <v>29.448546220000001</v>
      </c>
      <c r="M129" s="67">
        <f ca="1">INDIRECT($B129&amp;"!"&amp;M$3&amp;"6")</f>
        <v>30.103456940000001</v>
      </c>
      <c r="N129" s="68">
        <f ca="1">M129-L129</f>
        <v>0.65491072000000017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>
        <f ca="1">H130/D130-1</f>
        <v>0</v>
      </c>
      <c r="L130" s="66">
        <f ca="1">INDIRECT($B130&amp;"!"&amp;L$3&amp;"7")</f>
        <v>31.03753188</v>
      </c>
      <c r="M130" s="67">
        <f ca="1">INDIRECT($B130&amp;"!"&amp;M$3&amp;"7")</f>
        <v>31.36979578</v>
      </c>
      <c r="N130" s="68">
        <f ca="1">M130-L130</f>
        <v>0.33226390000000094</v>
      </c>
      <c r="O130" s="216"/>
      <c r="P130" s="3"/>
    </row>
    <row r="131" spans="2:28" ht="16.5" customHeight="1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>
        <f ca="1">H131/D131-1</f>
        <v>0</v>
      </c>
      <c r="L131" s="66">
        <f ca="1">INDIRECT($B131&amp;"!"&amp;L$3&amp;"8")</f>
        <v>32.51285609</v>
      </c>
      <c r="M131" s="67">
        <f ca="1">INDIRECT($B131&amp;"!"&amp;M$3&amp;"8")</f>
        <v>32.801705720000001</v>
      </c>
      <c r="N131" s="68">
        <f ca="1">M131-L131</f>
        <v>0.28884963000000141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>
        <f ca="1">H132/D132-1</f>
        <v>0</v>
      </c>
      <c r="L132" s="66">
        <f ca="1">INDIRECT($B132&amp;"!"&amp;L$3&amp;"9")</f>
        <v>34.259280750000002</v>
      </c>
      <c r="M132" s="67">
        <f ca="1">INDIRECT($B132&amp;"!"&amp;M$3&amp;"9")</f>
        <v>34.705752969999999</v>
      </c>
      <c r="N132" s="68">
        <f ca="1">M132-L132</f>
        <v>0.44647221999999687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>
      <c r="J135" s="74">
        <f ca="1">MAX(D129:D133,H129:H133)</f>
        <v>3223.9739700000005</v>
      </c>
      <c r="L135" s="75">
        <f>L134</f>
        <v>0</v>
      </c>
      <c r="M135" s="76">
        <f>M134</f>
        <v>0</v>
      </c>
      <c r="N135" s="69"/>
      <c r="O135" s="216"/>
      <c r="P135" s="5"/>
    </row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65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lift BlueBackpack_UVGgs_0100</v>
      </c>
      <c r="M138" s="144" t="str">
        <f>CONCATENATE(F$2," ",L136)</f>
        <v>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>
        <f ca="1">H139/D139-1</f>
        <v>0</v>
      </c>
      <c r="L139" s="66">
        <f ca="1">INDIRECT($B139&amp;"!"&amp;L$3&amp;"5")</f>
        <v>27.105021409999999</v>
      </c>
      <c r="M139" s="67">
        <f ca="1">INDIRECT($B139&amp;"!"&amp;M$3&amp;"5")</f>
        <v>28.157919339999999</v>
      </c>
      <c r="N139" s="68">
        <f ca="1">M139-L139</f>
        <v>1.0528979300000003</v>
      </c>
      <c r="O139" s="216"/>
      <c r="P139" s="218">
        <f ca="1">bdRateExtend(D139:D143,L139:L143,H139:H143,M139:M143)</f>
        <v>-7.8645643289388167E-2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>
        <f ca="1">H140/D140-1</f>
        <v>0</v>
      </c>
      <c r="L140" s="66">
        <f ca="1">INDIRECT($B140&amp;"!"&amp;L$3&amp;"6")</f>
        <v>29.448546220000001</v>
      </c>
      <c r="M140" s="67">
        <f ca="1">INDIRECT($B140&amp;"!"&amp;M$3&amp;"6")</f>
        <v>30.103456940000001</v>
      </c>
      <c r="N140" s="68">
        <f ca="1">M140-L140</f>
        <v>0.65491072000000017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>
        <f ca="1">H141/D141-1</f>
        <v>0</v>
      </c>
      <c r="L141" s="66">
        <f ca="1">INDIRECT($B141&amp;"!"&amp;L$3&amp;"7")</f>
        <v>31.03753188</v>
      </c>
      <c r="M141" s="67">
        <f ca="1">INDIRECT($B141&amp;"!"&amp;M$3&amp;"7")</f>
        <v>31.36979578</v>
      </c>
      <c r="N141" s="68">
        <f ca="1">M141-L141</f>
        <v>0.33226390000000094</v>
      </c>
      <c r="O141" s="216"/>
      <c r="P141" s="3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>
        <f ca="1">H142/D142-1</f>
        <v>0</v>
      </c>
      <c r="L142" s="66">
        <f ca="1">INDIRECT($B142&amp;"!"&amp;L$3&amp;"8")</f>
        <v>32.51285609</v>
      </c>
      <c r="M142" s="67">
        <f ca="1">INDIRECT($B142&amp;"!"&amp;M$3&amp;"8")</f>
        <v>32.801705720000001</v>
      </c>
      <c r="N142" s="68">
        <f ca="1">M142-L142</f>
        <v>0.28884963000000141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>
        <f ca="1">H143/D143-1</f>
        <v>0</v>
      </c>
      <c r="L143" s="66">
        <f ca="1">INDIRECT($B143&amp;"!"&amp;L$3&amp;"9")</f>
        <v>34.259280750000002</v>
      </c>
      <c r="M143" s="67">
        <f ca="1">INDIRECT($B143&amp;"!"&amp;M$3&amp;"9")</f>
        <v>34.705752969999999</v>
      </c>
      <c r="N143" s="68">
        <f ca="1">M143-L143</f>
        <v>0.44647221999999687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65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lift BlueBackpack_UVGgs_0200</v>
      </c>
      <c r="M149" s="144" t="str">
        <f>CONCATENATE(F$2," ",L147)</f>
        <v>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>
        <f ca="1">H150/D150-1</f>
        <v>0</v>
      </c>
      <c r="L150" s="66">
        <f ca="1">INDIRECT($B150&amp;"!"&amp;L$3&amp;"5")</f>
        <v>27.105021409999999</v>
      </c>
      <c r="M150" s="67">
        <f ca="1">INDIRECT($B150&amp;"!"&amp;M$3&amp;"5")</f>
        <v>28.157919339999999</v>
      </c>
      <c r="N150" s="68">
        <f ca="1">M150-L150</f>
        <v>1.0528979300000003</v>
      </c>
      <c r="O150" s="216"/>
      <c r="P150" s="218">
        <f ca="1">bdRateExtend(D150:D154,L150:L154,H150:H154,M150:M154)</f>
        <v>-7.8645643289388167E-2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>
        <f ca="1">H151/D151-1</f>
        <v>0</v>
      </c>
      <c r="L151" s="66">
        <f ca="1">INDIRECT($B151&amp;"!"&amp;L$3&amp;"6")</f>
        <v>29.448546220000001</v>
      </c>
      <c r="M151" s="67">
        <f ca="1">INDIRECT($B151&amp;"!"&amp;M$3&amp;"6")</f>
        <v>30.103456940000001</v>
      </c>
      <c r="N151" s="68">
        <f ca="1">M151-L151</f>
        <v>0.65491072000000017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>
        <f ca="1">H152/D152-1</f>
        <v>0</v>
      </c>
      <c r="L152" s="66">
        <f ca="1">INDIRECT($B152&amp;"!"&amp;L$3&amp;"7")</f>
        <v>31.03753188</v>
      </c>
      <c r="M152" s="67">
        <f ca="1">INDIRECT($B152&amp;"!"&amp;M$3&amp;"7")</f>
        <v>31.36979578</v>
      </c>
      <c r="N152" s="68">
        <f ca="1">M152-L152</f>
        <v>0.33226390000000094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>
        <f ca="1">H153/D153-1</f>
        <v>0</v>
      </c>
      <c r="L153" s="66">
        <f ca="1">INDIRECT($B153&amp;"!"&amp;L$3&amp;"8")</f>
        <v>32.51285609</v>
      </c>
      <c r="M153" s="67">
        <f ca="1">INDIRECT($B153&amp;"!"&amp;M$3&amp;"8")</f>
        <v>32.801705720000001</v>
      </c>
      <c r="N153" s="68">
        <f ca="1">M153-L153</f>
        <v>0.28884963000000141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>
        <f ca="1">H154/D154-1</f>
        <v>0</v>
      </c>
      <c r="L154" s="66">
        <f ca="1">INDIRECT($B154&amp;"!"&amp;L$3&amp;"9")</f>
        <v>34.259280750000002</v>
      </c>
      <c r="M154" s="67">
        <f ca="1">INDIRECT($B154&amp;"!"&amp;M$3&amp;"9")</f>
        <v>34.705752969999999</v>
      </c>
      <c r="N154" s="68">
        <f ca="1">M154-L154</f>
        <v>0.44647221999999687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65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lift FlowerDance_UVGgs_0000</v>
      </c>
      <c r="M160" s="144" t="str">
        <f>CONCATENATE(F$2," ",L158)</f>
        <v>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>
        <f ca="1">H161/D161-1</f>
        <v>0</v>
      </c>
      <c r="L161" s="66">
        <f ca="1">INDIRECT($B161&amp;"!"&amp;L$3&amp;"5")</f>
        <v>27.105021409999999</v>
      </c>
      <c r="M161" s="67">
        <f ca="1">INDIRECT($B161&amp;"!"&amp;M$3&amp;"5")</f>
        <v>28.157919339999999</v>
      </c>
      <c r="N161" s="68">
        <f ca="1">M161-L161</f>
        <v>1.0528979300000003</v>
      </c>
      <c r="O161" s="216"/>
      <c r="P161" s="218">
        <f ca="1">bdRateExtend(D161:D165,L161:L165,H161:H165,M161:M165)</f>
        <v>-7.8645643289388167E-2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>
        <f ca="1">H162/D162-1</f>
        <v>0</v>
      </c>
      <c r="L162" s="66">
        <f ca="1">INDIRECT($B162&amp;"!"&amp;L$3&amp;"6")</f>
        <v>29.448546220000001</v>
      </c>
      <c r="M162" s="67">
        <f ca="1">INDIRECT($B162&amp;"!"&amp;M$3&amp;"6")</f>
        <v>30.103456940000001</v>
      </c>
      <c r="N162" s="68">
        <f ca="1">M162-L162</f>
        <v>0.65491072000000017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>
        <f ca="1">H163/D163-1</f>
        <v>0</v>
      </c>
      <c r="L163" s="66">
        <f ca="1">INDIRECT($B163&amp;"!"&amp;L$3&amp;"7")</f>
        <v>31.03753188</v>
      </c>
      <c r="M163" s="67">
        <f ca="1">INDIRECT($B163&amp;"!"&amp;M$3&amp;"7")</f>
        <v>31.36979578</v>
      </c>
      <c r="N163" s="68">
        <f ca="1">M163-L163</f>
        <v>0.33226390000000094</v>
      </c>
      <c r="O163" s="216"/>
      <c r="P163" s="3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>
        <f ca="1">H164/D164-1</f>
        <v>0</v>
      </c>
      <c r="L164" s="66">
        <f ca="1">INDIRECT($B164&amp;"!"&amp;L$3&amp;"8")</f>
        <v>32.51285609</v>
      </c>
      <c r="M164" s="67">
        <f ca="1">INDIRECT($B164&amp;"!"&amp;M$3&amp;"8")</f>
        <v>32.801705720000001</v>
      </c>
      <c r="N164" s="68">
        <f ca="1">M164-L164</f>
        <v>0.28884963000000141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>
        <f ca="1">H165/D165-1</f>
        <v>0</v>
      </c>
      <c r="L165" s="66">
        <f ca="1">INDIRECT($B165&amp;"!"&amp;L$3&amp;"9")</f>
        <v>34.259280750000002</v>
      </c>
      <c r="M165" s="67">
        <f ca="1">INDIRECT($B165&amp;"!"&amp;M$3&amp;"9")</f>
        <v>34.705752969999999</v>
      </c>
      <c r="N165" s="68">
        <f ca="1">M165-L165</f>
        <v>0.44647221999999687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65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lift FlowerDance_UVGgs_0200</v>
      </c>
      <c r="M171" s="144" t="str">
        <f>CONCATENATE(F$2," ",L169)</f>
        <v>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>
        <f ca="1">H172/D172-1</f>
        <v>0</v>
      </c>
      <c r="L172" s="66">
        <f ca="1">INDIRECT($B172&amp;"!"&amp;L$3&amp;"5")</f>
        <v>27.105021409999999</v>
      </c>
      <c r="M172" s="67">
        <f ca="1">INDIRECT($B172&amp;"!"&amp;M$3&amp;"5")</f>
        <v>28.157919339999999</v>
      </c>
      <c r="N172" s="68">
        <f ca="1">M172-L172</f>
        <v>1.0528979300000003</v>
      </c>
      <c r="O172" s="216"/>
      <c r="P172" s="218">
        <f ca="1">bdRateExtend(D172:D176,L172:L176,H172:H176,M172:M176)</f>
        <v>-7.8645643289388167E-2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>
        <f ca="1">H173/D173-1</f>
        <v>0</v>
      </c>
      <c r="L173" s="66">
        <f ca="1">INDIRECT($B173&amp;"!"&amp;L$3&amp;"6")</f>
        <v>29.448546220000001</v>
      </c>
      <c r="M173" s="67">
        <f ca="1">INDIRECT($B173&amp;"!"&amp;M$3&amp;"6")</f>
        <v>30.103456940000001</v>
      </c>
      <c r="N173" s="68">
        <f ca="1">M173-L173</f>
        <v>0.65491072000000017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>
        <f ca="1">H174/D174-1</f>
        <v>0</v>
      </c>
      <c r="L174" s="66">
        <f ca="1">INDIRECT($B174&amp;"!"&amp;L$3&amp;"7")</f>
        <v>31.03753188</v>
      </c>
      <c r="M174" s="67">
        <f ca="1">INDIRECT($B174&amp;"!"&amp;M$3&amp;"7")</f>
        <v>31.36979578</v>
      </c>
      <c r="N174" s="68">
        <f ca="1">M174-L174</f>
        <v>0.33226390000000094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>
        <f ca="1">H175/D175-1</f>
        <v>0</v>
      </c>
      <c r="L175" s="66">
        <f ca="1">INDIRECT($B175&amp;"!"&amp;L$3&amp;"8")</f>
        <v>32.51285609</v>
      </c>
      <c r="M175" s="67">
        <f ca="1">INDIRECT($B175&amp;"!"&amp;M$3&amp;"8")</f>
        <v>32.801705720000001</v>
      </c>
      <c r="N175" s="68">
        <f ca="1">M175-L175</f>
        <v>0.28884963000000141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>
        <f ca="1">H176/D176-1</f>
        <v>0</v>
      </c>
      <c r="L176" s="66">
        <f ca="1">INDIRECT($B176&amp;"!"&amp;L$3&amp;"9")</f>
        <v>34.259280750000002</v>
      </c>
      <c r="M176" s="67">
        <f ca="1">INDIRECT($B176&amp;"!"&amp;M$3&amp;"9")</f>
        <v>34.705752969999999</v>
      </c>
      <c r="N176" s="68">
        <f ca="1">M176-L176</f>
        <v>0.44647221999999687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65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lift Gymnast_UVGgs_0100</v>
      </c>
      <c r="M182" s="144" t="str">
        <f>CONCATENATE(F$2," ",L180)</f>
        <v>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>
        <f ca="1">H183/D183-1</f>
        <v>0</v>
      </c>
      <c r="L183" s="66">
        <f ca="1">INDIRECT($B183&amp;"!"&amp;L$3&amp;"5")</f>
        <v>27.105021409999999</v>
      </c>
      <c r="M183" s="67">
        <f ca="1">INDIRECT($B183&amp;"!"&amp;M$3&amp;"5")</f>
        <v>28.157919339999999</v>
      </c>
      <c r="N183" s="68">
        <f ca="1">M183-L183</f>
        <v>1.0528979300000003</v>
      </c>
      <c r="O183" s="216"/>
      <c r="P183" s="218">
        <f ca="1">bdRateExtend(D183:D187,L183:L187,H183:H187,M183:M187)</f>
        <v>-7.8645643289388167E-2</v>
      </c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>
        <f ca="1">H184/D184-1</f>
        <v>0</v>
      </c>
      <c r="L184" s="66">
        <f ca="1">INDIRECT($B184&amp;"!"&amp;L$3&amp;"6")</f>
        <v>29.448546220000001</v>
      </c>
      <c r="M184" s="67">
        <f ca="1">INDIRECT($B184&amp;"!"&amp;M$3&amp;"6")</f>
        <v>30.103456940000001</v>
      </c>
      <c r="N184" s="68">
        <f ca="1">M184-L184</f>
        <v>0.65491072000000017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>
        <f ca="1">H185/D185-1</f>
        <v>0</v>
      </c>
      <c r="L185" s="66">
        <f ca="1">INDIRECT($B185&amp;"!"&amp;L$3&amp;"7")</f>
        <v>31.03753188</v>
      </c>
      <c r="M185" s="67">
        <f ca="1">INDIRECT($B185&amp;"!"&amp;M$3&amp;"7")</f>
        <v>31.36979578</v>
      </c>
      <c r="N185" s="68">
        <f ca="1">M185-L185</f>
        <v>0.33226390000000094</v>
      </c>
      <c r="O185" s="216"/>
      <c r="P185" s="3"/>
    </row>
    <row r="186" spans="2:28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>
        <f ca="1">H186/D186-1</f>
        <v>0</v>
      </c>
      <c r="L186" s="66">
        <f ca="1">INDIRECT($B186&amp;"!"&amp;L$3&amp;"8")</f>
        <v>32.51285609</v>
      </c>
      <c r="M186" s="67">
        <f ca="1">INDIRECT($B186&amp;"!"&amp;M$3&amp;"8")</f>
        <v>32.801705720000001</v>
      </c>
      <c r="N186" s="68">
        <f ca="1">M186-L186</f>
        <v>0.28884963000000141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>
        <f ca="1">H187/D187-1</f>
        <v>0</v>
      </c>
      <c r="L187" s="66">
        <f ca="1">INDIRECT($B187&amp;"!"&amp;L$3&amp;"9")</f>
        <v>34.259280750000002</v>
      </c>
      <c r="M187" s="67">
        <f ca="1">INDIRECT($B187&amp;"!"&amp;M$3&amp;"9")</f>
        <v>34.705752969999999</v>
      </c>
      <c r="N187" s="68">
        <f ca="1">M187-L187</f>
        <v>0.44647221999999687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65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lift Gymnast_UVGgs_0200</v>
      </c>
      <c r="M193" s="144" t="str">
        <f>CONCATENATE(F$2," ",L191)</f>
        <v>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>
        <f ca="1">H194/D194-1</f>
        <v>0</v>
      </c>
      <c r="L194" s="66">
        <f ca="1">INDIRECT($B194&amp;"!"&amp;L$3&amp;"5")</f>
        <v>27.105021409999999</v>
      </c>
      <c r="M194" s="67">
        <f ca="1">INDIRECT($B194&amp;"!"&amp;M$3&amp;"5")</f>
        <v>28.157919339999999</v>
      </c>
      <c r="N194" s="68">
        <f ca="1">M194-L194</f>
        <v>1.0528979300000003</v>
      </c>
      <c r="O194" s="216"/>
      <c r="P194" s="218">
        <f ca="1">bdRateExtend(D194:D198,L194:L198,H194:H198,M194:M198)</f>
        <v>-7.8645643289388167E-2</v>
      </c>
    </row>
    <row r="195" spans="2:28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>
        <f ca="1">H195/D195-1</f>
        <v>0</v>
      </c>
      <c r="L195" s="66">
        <f ca="1">INDIRECT($B195&amp;"!"&amp;L$3&amp;"6")</f>
        <v>29.448546220000001</v>
      </c>
      <c r="M195" s="67">
        <f ca="1">INDIRECT($B195&amp;"!"&amp;M$3&amp;"6")</f>
        <v>30.103456940000001</v>
      </c>
      <c r="N195" s="68">
        <f ca="1">M195-L195</f>
        <v>0.65491072000000017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>
        <f ca="1">H196/D196-1</f>
        <v>0</v>
      </c>
      <c r="L196" s="66">
        <f ca="1">INDIRECT($B196&amp;"!"&amp;L$3&amp;"7")</f>
        <v>31.03753188</v>
      </c>
      <c r="M196" s="67">
        <f ca="1">INDIRECT($B196&amp;"!"&amp;M$3&amp;"7")</f>
        <v>31.36979578</v>
      </c>
      <c r="N196" s="68">
        <f ca="1">M196-L196</f>
        <v>0.33226390000000094</v>
      </c>
      <c r="O196" s="216"/>
      <c r="P196" s="3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>
        <f ca="1">H197/D197-1</f>
        <v>0</v>
      </c>
      <c r="L197" s="66">
        <f ca="1">INDIRECT($B197&amp;"!"&amp;L$3&amp;"8")</f>
        <v>32.51285609</v>
      </c>
      <c r="M197" s="67">
        <f ca="1">INDIRECT($B197&amp;"!"&amp;M$3&amp;"8")</f>
        <v>32.801705720000001</v>
      </c>
      <c r="N197" s="68">
        <f ca="1">M197-L197</f>
        <v>0.28884963000000141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>
        <f ca="1">H198/D198-1</f>
        <v>0</v>
      </c>
      <c r="L198" s="66">
        <f ca="1">INDIRECT($B198&amp;"!"&amp;L$3&amp;"9")</f>
        <v>34.259280750000002</v>
      </c>
      <c r="M198" s="67">
        <f ca="1">INDIRECT($B198&amp;"!"&amp;M$3&amp;"9")</f>
        <v>34.705752969999999</v>
      </c>
      <c r="N198" s="68">
        <f ca="1">M198-L198</f>
        <v>0.44647221999999687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65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lift artwork</v>
      </c>
      <c r="M204" s="144" t="str">
        <f>CONCATENATE(F$2," ",L202)</f>
        <v>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>
        <f ca="1">H205/D205-1</f>
        <v>0</v>
      </c>
      <c r="L205" s="66">
        <f ca="1">INDIRECT($B205&amp;"!"&amp;L$3&amp;"5")</f>
        <v>27.105021409999999</v>
      </c>
      <c r="M205" s="67">
        <f ca="1">INDIRECT($B205&amp;"!"&amp;M$3&amp;"5")</f>
        <v>28.157919339999999</v>
      </c>
      <c r="N205" s="68">
        <f ca="1">M205-L205</f>
        <v>1.0528979300000003</v>
      </c>
      <c r="O205" s="216"/>
      <c r="P205" s="218">
        <f ca="1">bdRateExtend(D205:D209,L205:L209,H205:H209,M205:M209)</f>
        <v>-7.8645643289388167E-2</v>
      </c>
    </row>
    <row r="206" spans="2:28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>
        <f ca="1">H206/D206-1</f>
        <v>0</v>
      </c>
      <c r="L206" s="66">
        <f ca="1">INDIRECT($B206&amp;"!"&amp;L$3&amp;"6")</f>
        <v>29.448546220000001</v>
      </c>
      <c r="M206" s="67">
        <f ca="1">INDIRECT($B206&amp;"!"&amp;M$3&amp;"6")</f>
        <v>30.103456940000001</v>
      </c>
      <c r="N206" s="68">
        <f ca="1">M206-L206</f>
        <v>0.65491072000000017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>
        <f ca="1">H207/D207-1</f>
        <v>0</v>
      </c>
      <c r="L207" s="66">
        <f ca="1">INDIRECT($B207&amp;"!"&amp;L$3&amp;"7")</f>
        <v>31.03753188</v>
      </c>
      <c r="M207" s="67">
        <f ca="1">INDIRECT($B207&amp;"!"&amp;M$3&amp;"7")</f>
        <v>31.36979578</v>
      </c>
      <c r="N207" s="68">
        <f ca="1">M207-L207</f>
        <v>0.33226390000000094</v>
      </c>
      <c r="O207" s="216"/>
      <c r="P207" s="3"/>
    </row>
    <row r="208" spans="2:28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>
        <f ca="1">H208/D208-1</f>
        <v>0</v>
      </c>
      <c r="L208" s="66">
        <f ca="1">INDIRECT($B208&amp;"!"&amp;L$3&amp;"8")</f>
        <v>32.51285609</v>
      </c>
      <c r="M208" s="67">
        <f ca="1">INDIRECT($B208&amp;"!"&amp;M$3&amp;"8")</f>
        <v>32.801705720000001</v>
      </c>
      <c r="N208" s="68">
        <f ca="1">M208-L208</f>
        <v>0.28884963000000141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>
        <f ca="1">H209/D209-1</f>
        <v>0</v>
      </c>
      <c r="L209" s="66">
        <f ca="1">INDIRECT($B209&amp;"!"&amp;L$3&amp;"9")</f>
        <v>34.259280750000002</v>
      </c>
      <c r="M209" s="67">
        <f ca="1">INDIRECT($B209&amp;"!"&amp;M$3&amp;"9")</f>
        <v>34.705752969999999</v>
      </c>
      <c r="N209" s="68">
        <f ca="1">M209-L209</f>
        <v>0.44647221999999687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65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lift panda</v>
      </c>
      <c r="M215" s="144" t="str">
        <f>CONCATENATE(F$2," ",L213)</f>
        <v>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27.105021409999999</v>
      </c>
      <c r="M216" s="67">
        <f ca="1">INDIRECT($B216&amp;"!"&amp;M$3&amp;"5")</f>
        <v>28.157919339999999</v>
      </c>
      <c r="N216" s="68">
        <f ca="1">M216-L216</f>
        <v>1.0528979300000003</v>
      </c>
      <c r="O216" s="216"/>
      <c r="P216" s="218">
        <f ca="1">bdRateExtend(D216:D220,L216:L220,H216:H220,M216:M220)</f>
        <v>-7.8645643289388167E-2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29.448546220000001</v>
      </c>
      <c r="M217" s="67">
        <f ca="1">INDIRECT($B217&amp;"!"&amp;M$3&amp;"6")</f>
        <v>30.103456940000001</v>
      </c>
      <c r="N217" s="68">
        <f ca="1">M217-L217</f>
        <v>0.65491072000000017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31.03753188</v>
      </c>
      <c r="M218" s="67">
        <f ca="1">INDIRECT($B218&amp;"!"&amp;M$3&amp;"7")</f>
        <v>31.36979578</v>
      </c>
      <c r="N218" s="68">
        <f ca="1">M218-L218</f>
        <v>0.33226390000000094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32.51285609</v>
      </c>
      <c r="M219" s="67">
        <f ca="1">INDIRECT($B219&amp;"!"&amp;M$3&amp;"8")</f>
        <v>32.801705720000001</v>
      </c>
      <c r="N219" s="68">
        <f ca="1">M219-L219</f>
        <v>0.28884963000000141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34.259280750000002</v>
      </c>
      <c r="M220" s="67">
        <f ca="1">INDIRECT($B220&amp;"!"&amp;M$3&amp;"9")</f>
        <v>34.705752969999999</v>
      </c>
      <c r="N220" s="68">
        <f ca="1">M220-L220</f>
        <v>0.44647221999999687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>
        <f ca="1">MIN(D216:D220,H216:H220)</f>
        <v>1012.6914449999999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65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lift wukong</v>
      </c>
      <c r="M226" s="144" t="str">
        <f>CONCATENATE(F$2," ",L224)</f>
        <v>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>
        <f ca="1">H227/D227-1</f>
        <v>0</v>
      </c>
      <c r="L227" s="66">
        <f ca="1">INDIRECT($B227&amp;"!"&amp;L$3&amp;"5")</f>
        <v>27.105021409999999</v>
      </c>
      <c r="M227" s="67">
        <f ca="1">INDIRECT($B227&amp;"!"&amp;M$3&amp;"5")</f>
        <v>28.157919339999999</v>
      </c>
      <c r="N227" s="68">
        <f ca="1">M227-L227</f>
        <v>1.0528979300000003</v>
      </c>
      <c r="O227" s="216"/>
      <c r="P227" s="218">
        <f ca="1">bdRateExtend(D227:D231,L227:L231,H227:H231,M227:M231)</f>
        <v>-7.8645643289388167E-2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>
        <f ca="1">H228/D228-1</f>
        <v>0</v>
      </c>
      <c r="L228" s="66">
        <f ca="1">INDIRECT($B228&amp;"!"&amp;L$3&amp;"6")</f>
        <v>29.448546220000001</v>
      </c>
      <c r="M228" s="67">
        <f ca="1">INDIRECT($B228&amp;"!"&amp;M$3&amp;"6")</f>
        <v>30.103456940000001</v>
      </c>
      <c r="N228" s="68">
        <f ca="1">M228-L228</f>
        <v>0.65491072000000017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>
        <f ca="1">H229/D229-1</f>
        <v>0</v>
      </c>
      <c r="L229" s="66">
        <f ca="1">INDIRECT($B229&amp;"!"&amp;L$3&amp;"7")</f>
        <v>31.03753188</v>
      </c>
      <c r="M229" s="67">
        <f ca="1">INDIRECT($B229&amp;"!"&amp;M$3&amp;"7")</f>
        <v>31.36979578</v>
      </c>
      <c r="N229" s="68">
        <f ca="1">M229-L229</f>
        <v>0.33226390000000094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>
        <f ca="1">H230/D230-1</f>
        <v>0</v>
      </c>
      <c r="L230" s="66">
        <f ca="1">INDIRECT($B230&amp;"!"&amp;L$3&amp;"8")</f>
        <v>32.51285609</v>
      </c>
      <c r="M230" s="67">
        <f ca="1">INDIRECT($B230&amp;"!"&amp;M$3&amp;"8")</f>
        <v>32.801705720000001</v>
      </c>
      <c r="N230" s="68">
        <f ca="1">M230-L230</f>
        <v>0.28884963000000141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>
        <f ca="1">H231/D231-1</f>
        <v>0</v>
      </c>
      <c r="L231" s="66">
        <f ca="1">INDIRECT($B231&amp;"!"&amp;L$3&amp;"9")</f>
        <v>34.259280750000002</v>
      </c>
      <c r="M231" s="67">
        <f ca="1">INDIRECT($B231&amp;"!"&amp;M$3&amp;"9")</f>
        <v>34.705752969999999</v>
      </c>
      <c r="N231" s="68">
        <f ca="1">M231-L231</f>
        <v>0.44647221999999687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tabSelected="1" workbookViewId="0">
      <selection activeCell="L18" sqref="L18:N22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8" style="203" bestFit="1" customWidth="1"/>
    <col min="15" max="15" width="4.59765625" style="203" customWidth="1"/>
    <col min="16" max="16" width="9.6992187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lift</v>
      </c>
      <c r="C2" s="257"/>
      <c r="D2" s="257"/>
      <c r="E2" s="199"/>
      <c r="F2" s="264" t="str">
        <f>'Summary (auto)'!C4</f>
        <v>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66</v>
      </c>
      <c r="M3" s="77" t="s">
        <v>67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68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lift bartender_track</v>
      </c>
      <c r="M6" s="144" t="str">
        <f>CONCATENATE(F$2," ",L4)</f>
        <v>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 t="str">
        <f ca="1">INDIRECT($B7&amp;"!"&amp;L$3&amp;"5")</f>
        <v/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#VALUE!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 t="str">
        <f ca="1">INDIRECT($B8&amp;"!"&amp;L$3&amp;"6")</f>
        <v/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 t="str">
        <f ca="1">INDIRECT($B9&amp;"!"&amp;L$3&amp;"7")</f>
        <v/>
      </c>
      <c r="M9" s="67" t="str">
        <f ca="1">INDIRECT($B9&amp;"!"&amp;M$3&amp;"7")</f>
        <v/>
      </c>
      <c r="N9" s="68" t="e">
        <f ca="1">M9-L9</f>
        <v>#VALUE!</v>
      </c>
      <c r="O9" s="216"/>
      <c r="P9" s="165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 t="str">
        <f ca="1">INDIRECT($B10&amp;"!"&amp;L$3&amp;"8")</f>
        <v/>
      </c>
      <c r="M10" s="67" t="str">
        <f ca="1">INDIRECT($B10&amp;"!"&amp;M$3&amp;"8")</f>
        <v/>
      </c>
      <c r="N10" s="68" t="e">
        <f ca="1">M10-L10</f>
        <v>#VALUE!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 t="str">
        <f ca="1">INDIRECT($B11&amp;"!"&amp;L$3&amp;"9")</f>
        <v/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68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lift breakfast_track</v>
      </c>
      <c r="M17" s="144" t="str">
        <f>CONCATENATE(F$2," ",L15)</f>
        <v>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74.064856000000006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74.064856000000006</v>
      </c>
      <c r="I18" s="9"/>
      <c r="J18" s="218">
        <f ca="1">H18/D18-1</f>
        <v>0</v>
      </c>
      <c r="L18" s="66">
        <f ca="1">INDIRECT($B18&amp;"!"&amp;L$3&amp;"5")</f>
        <v>0.94600737999999995</v>
      </c>
      <c r="M18" s="67">
        <f ca="1">INDIRECT($B18&amp;"!"&amp;M$3&amp;"5")</f>
        <v>0.94600737999999995</v>
      </c>
      <c r="N18" s="68">
        <f ca="1">M18-L18</f>
        <v>0</v>
      </c>
      <c r="O18" s="216"/>
      <c r="P18" s="218" t="e">
        <f ca="1">bdRateExtend(D18:D22,L18:L22,H18:H22,M18:M22)</f>
        <v>#VALUE!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106.483952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106.483952</v>
      </c>
      <c r="I19" s="9"/>
      <c r="J19" s="218">
        <f ca="1">H19/D19-1</f>
        <v>0</v>
      </c>
      <c r="L19" s="66">
        <f ca="1">INDIRECT($B19&amp;"!"&amp;L$3&amp;"6")</f>
        <v>0.97042530000000005</v>
      </c>
      <c r="M19" s="67">
        <f ca="1">INDIRECT($B19&amp;"!"&amp;M$3&amp;"6")</f>
        <v>0.97042530000000005</v>
      </c>
      <c r="N19" s="68">
        <f ca="1">M19-L19</f>
        <v>0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153.53993599999998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153.53993599999998</v>
      </c>
      <c r="I20" s="9"/>
      <c r="J20" s="218">
        <f ca="1">H20/D20-1</f>
        <v>0</v>
      </c>
      <c r="L20" s="66">
        <f ca="1">INDIRECT($B20&amp;"!"&amp;L$3&amp;"7")</f>
        <v>0.98687446999999995</v>
      </c>
      <c r="M20" s="67">
        <f ca="1">INDIRECT($B20&amp;"!"&amp;M$3&amp;"7")</f>
        <v>0.98687446999999995</v>
      </c>
      <c r="N20" s="68">
        <f ca="1">M20-L20</f>
        <v>0</v>
      </c>
      <c r="O20" s="216"/>
      <c r="P20" s="165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217.71495200000001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217.71495200000001</v>
      </c>
      <c r="I21" s="9"/>
      <c r="J21" s="218">
        <f ca="1">H21/D21-1</f>
        <v>0</v>
      </c>
      <c r="L21" s="66">
        <f ca="1">INDIRECT($B21&amp;"!"&amp;L$3&amp;"8")</f>
        <v>0.99272932999999997</v>
      </c>
      <c r="M21" s="67">
        <f ca="1">INDIRECT($B21&amp;"!"&amp;M$3&amp;"8")</f>
        <v>0.99272932999999997</v>
      </c>
      <c r="N21" s="68">
        <f ca="1">M21-L21</f>
        <v>0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 t="str">
        <f ca="1">INDIRECT($B22&amp;"!"&amp;L$3&amp;"9")</f>
        <v/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68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lift cinema_track</v>
      </c>
      <c r="M28" s="144" t="str">
        <f>CONCATENATE(F$2," ",L26)</f>
        <v>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 t="str">
        <f ca="1">INDIRECT($B29&amp;"!"&amp;L$3&amp;"5")</f>
        <v/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#VALUE!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 t="str">
        <f ca="1">INDIRECT($B30&amp;"!"&amp;L$3&amp;"6")</f>
        <v/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 t="str">
        <f ca="1">INDIRECT($B31&amp;"!"&amp;L$3&amp;"7")</f>
        <v/>
      </c>
      <c r="M31" s="67" t="str">
        <f ca="1">INDIRECT($B31&amp;"!"&amp;M$3&amp;"7")</f>
        <v/>
      </c>
      <c r="N31" s="68" t="e">
        <f ca="1">M31-L31</f>
        <v>#VALUE!</v>
      </c>
      <c r="O31" s="216"/>
      <c r="P31" s="165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 t="str">
        <f ca="1">INDIRECT($B32&amp;"!"&amp;L$3&amp;"8")</f>
        <v/>
      </c>
      <c r="M32" s="67" t="str">
        <f ca="1">INDIRECT($B32&amp;"!"&amp;M$3&amp;"8")</f>
        <v/>
      </c>
      <c r="N32" s="68" t="e">
        <f ca="1">M32-L32</f>
        <v>#VALUE!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 t="str">
        <f ca="1">INDIRECT($B33&amp;"!"&amp;L$3&amp;"9")</f>
        <v/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68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lift ManWithFruit</v>
      </c>
      <c r="M39" s="144" t="str">
        <f>CONCATENATE(F$2," ",L37)</f>
        <v>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 t="str">
        <f ca="1">INDIRECT($B40&amp;"!"&amp;L$3&amp;"5")</f>
        <v/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#VALUE!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 t="str">
        <f ca="1">INDIRECT($B41&amp;"!"&amp;L$3&amp;"6")</f>
        <v/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 t="str">
        <f ca="1">INDIRECT($B42&amp;"!"&amp;L$3&amp;"7")</f>
        <v/>
      </c>
      <c r="M42" s="67" t="str">
        <f ca="1">INDIRECT($B42&amp;"!"&amp;M$3&amp;"7")</f>
        <v/>
      </c>
      <c r="N42" s="68" t="e">
        <f ca="1">M42-L42</f>
        <v>#VALUE!</v>
      </c>
      <c r="O42" s="216"/>
      <c r="P42" s="165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 t="str">
        <f ca="1">INDIRECT($B43&amp;"!"&amp;L$3&amp;"8")</f>
        <v/>
      </c>
      <c r="M43" s="67" t="str">
        <f ca="1">INDIRECT($B43&amp;"!"&amp;M$3&amp;"8")</f>
        <v/>
      </c>
      <c r="N43" s="68" t="e">
        <f ca="1">M43-L43</f>
        <v>#VALUE!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 t="str">
        <f ca="1">INDIRECT($B44&amp;"!"&amp;L$3&amp;"9")</f>
        <v/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68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lift LEGO_Ferrari</v>
      </c>
      <c r="M50" s="144" t="str">
        <f>CONCATENATE(F$2," ",L48)</f>
        <v>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0.83646063999999998</v>
      </c>
      <c r="M51" s="67">
        <f ca="1">INDIRECT($B51&amp;"!"&amp;M$3&amp;"5")</f>
        <v>0.85835676999999999</v>
      </c>
      <c r="N51" s="68">
        <f ca="1">M51-L51</f>
        <v>2.1896130000000014E-2</v>
      </c>
      <c r="O51" s="216"/>
      <c r="P51" s="218">
        <f ca="1">bdRateExtend(D51:D55,L51:L55,H51:H55,M51:M55)</f>
        <v>-4.2553701146004985E-2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0.88776290999999996</v>
      </c>
      <c r="M52" s="67">
        <f ca="1">INDIRECT($B52&amp;"!"&amp;M$3&amp;"6")</f>
        <v>0.89436479999999996</v>
      </c>
      <c r="N52" s="68">
        <f ca="1">M52-L52</f>
        <v>6.6018899999999991E-3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0.91706679000000002</v>
      </c>
      <c r="M53" s="67">
        <f ca="1">INDIRECT($B53&amp;"!"&amp;M$3&amp;"7")</f>
        <v>0.91721472999999998</v>
      </c>
      <c r="N53" s="68">
        <f ca="1">M53-L53</f>
        <v>1.4793999999995755E-4</v>
      </c>
      <c r="O53" s="216"/>
      <c r="P53" s="165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0.93577821999999999</v>
      </c>
      <c r="M54" s="67">
        <f ca="1">INDIRECT($B54&amp;"!"&amp;M$3&amp;"8")</f>
        <v>0.93649420000000005</v>
      </c>
      <c r="N54" s="68">
        <f ca="1">M54-L54</f>
        <v>7.1598000000006046E-4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0.95211639000000003</v>
      </c>
      <c r="M55" s="67">
        <f ca="1">INDIRECT($B55&amp;"!"&amp;M$3&amp;"9")</f>
        <v>0.95430932999999996</v>
      </c>
      <c r="N55" s="68">
        <f ca="1">M55-L55</f>
        <v>2.1929399999999211E-3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68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lift LEGO_Bugatti</v>
      </c>
      <c r="M61" s="144" t="str">
        <f>CONCATENATE(F$2," ",L59)</f>
        <v>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0.83646063999999998</v>
      </c>
      <c r="M62" s="67">
        <f ca="1">INDIRECT($B62&amp;"!"&amp;M$3&amp;"5")</f>
        <v>0.85835676999999999</v>
      </c>
      <c r="N62" s="68">
        <f ca="1">M62-L62</f>
        <v>2.1896130000000014E-2</v>
      </c>
      <c r="O62" s="216"/>
      <c r="P62" s="218">
        <f ca="1">bdRateExtend(D62:D66,L62:L66,H62:H66,M62:M66)</f>
        <v>-4.2553701146004985E-2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0.88776290999999996</v>
      </c>
      <c r="M63" s="67">
        <f ca="1">INDIRECT($B63&amp;"!"&amp;M$3&amp;"6")</f>
        <v>0.89436479999999996</v>
      </c>
      <c r="N63" s="68">
        <f ca="1">M63-L63</f>
        <v>6.6018899999999991E-3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0.91706679000000002</v>
      </c>
      <c r="M64" s="67">
        <f ca="1">INDIRECT($B64&amp;"!"&amp;M$3&amp;"7")</f>
        <v>0.91721472999999998</v>
      </c>
      <c r="N64" s="68">
        <f ca="1">M64-L64</f>
        <v>1.4793999999995755E-4</v>
      </c>
      <c r="O64" s="216"/>
      <c r="P64" s="165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0.93577821999999999</v>
      </c>
      <c r="M65" s="67">
        <f ca="1">INDIRECT($B65&amp;"!"&amp;M$3&amp;"8")</f>
        <v>0.93649420000000005</v>
      </c>
      <c r="N65" s="68">
        <f ca="1">M65-L65</f>
        <v>7.1598000000006046E-4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0.95211639000000003</v>
      </c>
      <c r="M66" s="67">
        <f ca="1">INDIRECT($B66&amp;"!"&amp;M$3&amp;"9")</f>
        <v>0.95430932999999996</v>
      </c>
      <c r="N66" s="68">
        <f ca="1">M66-L66</f>
        <v>2.1929399999999211E-3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68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lift Plant</v>
      </c>
      <c r="M72" s="144" t="str">
        <f>CONCATENATE(F$2," ",L70)</f>
        <v>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0.83646063999999998</v>
      </c>
      <c r="M73" s="67">
        <f ca="1">INDIRECT($B73&amp;"!"&amp;M$3&amp;"5")</f>
        <v>0.85835676999999999</v>
      </c>
      <c r="N73" s="68">
        <f ca="1">M73-L73</f>
        <v>2.1896130000000014E-2</v>
      </c>
      <c r="O73" s="216"/>
      <c r="P73" s="218">
        <f ca="1">bdRateExtend(D73:D77,L73:L77,H73:H77,M73:M77)</f>
        <v>-4.2553701146004985E-2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0.88776290999999996</v>
      </c>
      <c r="M74" s="67">
        <f ca="1">INDIRECT($B74&amp;"!"&amp;M$3&amp;"6")</f>
        <v>0.89436479999999996</v>
      </c>
      <c r="N74" s="68">
        <f ca="1">M74-L74</f>
        <v>6.6018899999999991E-3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0.91706679000000002</v>
      </c>
      <c r="M75" s="67">
        <f ca="1">INDIRECT($B75&amp;"!"&amp;M$3&amp;"7")</f>
        <v>0.91721472999999998</v>
      </c>
      <c r="N75" s="68">
        <f ca="1">M75-L75</f>
        <v>1.4793999999995755E-4</v>
      </c>
      <c r="O75" s="216"/>
      <c r="P75" s="165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0.93577821999999999</v>
      </c>
      <c r="M76" s="67">
        <f ca="1">INDIRECT($B76&amp;"!"&amp;M$3&amp;"8")</f>
        <v>0.93649420000000005</v>
      </c>
      <c r="N76" s="68">
        <f ca="1">M76-L76</f>
        <v>7.1598000000006046E-4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0.95211639000000003</v>
      </c>
      <c r="M77" s="67">
        <f ca="1">INDIRECT($B77&amp;"!"&amp;M$3&amp;"9")</f>
        <v>0.95430932999999996</v>
      </c>
      <c r="N77" s="68">
        <f ca="1">M77-L77</f>
        <v>2.1929399999999211E-3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68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lift Tennis_Player</v>
      </c>
      <c r="M83" s="144" t="str">
        <f>CONCATENATE(F$2," ",L81)</f>
        <v>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0.83646063999999998</v>
      </c>
      <c r="M84" s="67">
        <f ca="1">INDIRECT($B84&amp;"!"&amp;M$3&amp;"5")</f>
        <v>0.85835676999999999</v>
      </c>
      <c r="N84" s="68">
        <f ca="1">M84-L84</f>
        <v>2.1896130000000014E-2</v>
      </c>
      <c r="O84" s="216"/>
      <c r="P84" s="218">
        <f ca="1">bdRateExtend(D84:D88,L84:L88,H84:H88,M84:M88)</f>
        <v>-4.2553701146004985E-2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0.88776290999999996</v>
      </c>
      <c r="M85" s="67">
        <f ca="1">INDIRECT($B85&amp;"!"&amp;M$3&amp;"6")</f>
        <v>0.89436479999999996</v>
      </c>
      <c r="N85" s="68">
        <f ca="1">M85-L85</f>
        <v>6.6018899999999991E-3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0.91706679000000002</v>
      </c>
      <c r="M86" s="67">
        <f ca="1">INDIRECT($B86&amp;"!"&amp;M$3&amp;"7")</f>
        <v>0.91721472999999998</v>
      </c>
      <c r="N86" s="68">
        <f ca="1">M86-L86</f>
        <v>1.4793999999995755E-4</v>
      </c>
      <c r="O86" s="216"/>
      <c r="P86" s="165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0.93577821999999999</v>
      </c>
      <c r="M87" s="67">
        <f ca="1">INDIRECT($B87&amp;"!"&amp;M$3&amp;"8")</f>
        <v>0.93649420000000005</v>
      </c>
      <c r="N87" s="68">
        <f ca="1">M87-L87</f>
        <v>7.1598000000006046E-4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0.95211639000000003</v>
      </c>
      <c r="M88" s="67">
        <f ca="1">INDIRECT($B88&amp;"!"&amp;M$3&amp;"9")</f>
        <v>0.95430932999999996</v>
      </c>
      <c r="N88" s="68">
        <f ca="1">M88-L88</f>
        <v>2.1929399999999211E-3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68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lift Cricket_Player</v>
      </c>
      <c r="M94" s="144" t="str">
        <f>CONCATENATE(F$2," ",L92)</f>
        <v>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0.83646063999999998</v>
      </c>
      <c r="M95" s="67">
        <f ca="1">INDIRECT($B95&amp;"!"&amp;M$3&amp;"5")</f>
        <v>0.85835676999999999</v>
      </c>
      <c r="N95" s="68">
        <f ca="1">M95-L95</f>
        <v>2.1896130000000014E-2</v>
      </c>
      <c r="O95" s="216"/>
      <c r="P95" s="218">
        <f ca="1">bdRateExtend(D95:D99,L95:L99,H95:H99,M95:M99)</f>
        <v>-4.2553701146004985E-2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0.88776290999999996</v>
      </c>
      <c r="M96" s="67">
        <f ca="1">INDIRECT($B96&amp;"!"&amp;M$3&amp;"6")</f>
        <v>0.89436479999999996</v>
      </c>
      <c r="N96" s="68">
        <f ca="1">M96-L96</f>
        <v>6.6018899999999991E-3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0.91706679000000002</v>
      </c>
      <c r="M97" s="67">
        <f ca="1">INDIRECT($B97&amp;"!"&amp;M$3&amp;"7")</f>
        <v>0.91721472999999998</v>
      </c>
      <c r="N97" s="68">
        <f ca="1">M97-L97</f>
        <v>1.4793999999995755E-4</v>
      </c>
      <c r="O97" s="216"/>
      <c r="P97" s="165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0.93577821999999999</v>
      </c>
      <c r="M98" s="67">
        <f ca="1">INDIRECT($B98&amp;"!"&amp;M$3&amp;"8")</f>
        <v>0.93649420000000005</v>
      </c>
      <c r="N98" s="68">
        <f ca="1">M98-L98</f>
        <v>7.1598000000006046E-4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0.95211639000000003</v>
      </c>
      <c r="M99" s="67">
        <f ca="1">INDIRECT($B99&amp;"!"&amp;M$3&amp;"9")</f>
        <v>0.95430932999999996</v>
      </c>
      <c r="N99" s="68">
        <f ca="1">M99-L99</f>
        <v>2.1929399999999211E-3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68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lift Tango_Duo</v>
      </c>
      <c r="M105" s="144" t="str">
        <f>CONCATENATE(F$2," ",L103)</f>
        <v>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0.83646063999999998</v>
      </c>
      <c r="M106" s="67">
        <f ca="1">INDIRECT($B106&amp;"!"&amp;M$3&amp;"5")</f>
        <v>0.85835676999999999</v>
      </c>
      <c r="N106" s="68">
        <f ca="1">M106-L106</f>
        <v>2.1896130000000014E-2</v>
      </c>
      <c r="O106" s="216"/>
      <c r="P106" s="218">
        <f ca="1">bdRateExtend(D106:D110,L106:L110,H106:H110,M106:M110)</f>
        <v>-4.2553701146004985E-2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0.88776290999999996</v>
      </c>
      <c r="M107" s="67">
        <f ca="1">INDIRECT($B107&amp;"!"&amp;M$3&amp;"6")</f>
        <v>0.89436479999999996</v>
      </c>
      <c r="N107" s="68">
        <f ca="1">M107-L107</f>
        <v>6.6018899999999991E-3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0.91706679000000002</v>
      </c>
      <c r="M108" s="67">
        <f ca="1">INDIRECT($B108&amp;"!"&amp;M$3&amp;"7")</f>
        <v>0.91721472999999998</v>
      </c>
      <c r="N108" s="68">
        <f ca="1">M108-L108</f>
        <v>1.4793999999995755E-4</v>
      </c>
      <c r="O108" s="216"/>
      <c r="P108" s="165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0.93577821999999999</v>
      </c>
      <c r="M109" s="67">
        <f ca="1">INDIRECT($B109&amp;"!"&amp;M$3&amp;"8")</f>
        <v>0.93649420000000005</v>
      </c>
      <c r="N109" s="68">
        <f ca="1">M109-L109</f>
        <v>7.1598000000006046E-4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0.95211639000000003</v>
      </c>
      <c r="M110" s="67">
        <f ca="1">INDIRECT($B110&amp;"!"&amp;M$3&amp;"9")</f>
        <v>0.95430932999999996</v>
      </c>
      <c r="N110" s="68">
        <f ca="1">M110-L110</f>
        <v>2.1929399999999211E-3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68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lift Solo_Tango_Female</v>
      </c>
      <c r="M116" s="144" t="str">
        <f>CONCATENATE(F$2," ",L114)</f>
        <v>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>
        <f ca="1">H117/D117-1</f>
        <v>0</v>
      </c>
      <c r="L117" s="66">
        <f ca="1">INDIRECT($B117&amp;"!"&amp;L$3&amp;"5")</f>
        <v>0.83646063999999998</v>
      </c>
      <c r="M117" s="67">
        <f ca="1">INDIRECT($B117&amp;"!"&amp;M$3&amp;"5")</f>
        <v>0.85835676999999999</v>
      </c>
      <c r="N117" s="68">
        <f ca="1">M117-L117</f>
        <v>2.1896130000000014E-2</v>
      </c>
      <c r="O117" s="216"/>
      <c r="P117" s="218">
        <f ca="1">bdRateExtend(D117:D121,L117:L121,H117:H121,M117:M121)</f>
        <v>-4.2553701146004985E-2</v>
      </c>
    </row>
    <row r="118" spans="2:28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>
        <f ca="1">H118/D118-1</f>
        <v>0</v>
      </c>
      <c r="L118" s="66">
        <f ca="1">INDIRECT($B118&amp;"!"&amp;L$3&amp;"6")</f>
        <v>0.88776290999999996</v>
      </c>
      <c r="M118" s="67">
        <f ca="1">INDIRECT($B118&amp;"!"&amp;M$3&amp;"6")</f>
        <v>0.89436479999999996</v>
      </c>
      <c r="N118" s="68">
        <f ca="1">M118-L118</f>
        <v>6.6018899999999991E-3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>
        <f ca="1">H119/D119-1</f>
        <v>0</v>
      </c>
      <c r="L119" s="66">
        <f ca="1">INDIRECT($B119&amp;"!"&amp;L$3&amp;"7")</f>
        <v>0.91706679000000002</v>
      </c>
      <c r="M119" s="67">
        <f ca="1">INDIRECT($B119&amp;"!"&amp;M$3&amp;"7")</f>
        <v>0.91721472999999998</v>
      </c>
      <c r="N119" s="68">
        <f ca="1">M119-L119</f>
        <v>1.4793999999995755E-4</v>
      </c>
      <c r="O119" s="216"/>
      <c r="P119" s="165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>
        <f ca="1">H120/D120-1</f>
        <v>0</v>
      </c>
      <c r="L120" s="66">
        <f ca="1">INDIRECT($B120&amp;"!"&amp;L$3&amp;"8")</f>
        <v>0.93577821999999999</v>
      </c>
      <c r="M120" s="67">
        <f ca="1">INDIRECT($B120&amp;"!"&amp;M$3&amp;"8")</f>
        <v>0.93649420000000005</v>
      </c>
      <c r="N120" s="68">
        <f ca="1">M120-L120</f>
        <v>7.1598000000006046E-4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>
        <f ca="1">H121/D121-1</f>
        <v>0</v>
      </c>
      <c r="L121" s="66">
        <f ca="1">INDIRECT($B121&amp;"!"&amp;L$3&amp;"9")</f>
        <v>0.95211639000000003</v>
      </c>
      <c r="M121" s="67">
        <f ca="1">INDIRECT($B121&amp;"!"&amp;M$3&amp;"9")</f>
        <v>0.95430932999999996</v>
      </c>
      <c r="N121" s="68">
        <f ca="1">M121-L121</f>
        <v>2.1929399999999211E-3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68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lift Solo_Tango_Male</v>
      </c>
      <c r="M127" s="144" t="str">
        <f>CONCATENATE(F$2," ",L125)</f>
        <v>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>
        <f ca="1">H128/D128-1</f>
        <v>0</v>
      </c>
      <c r="L128" s="66">
        <f ca="1">INDIRECT($B128&amp;"!"&amp;L$3&amp;"5")</f>
        <v>0.83646063999999998</v>
      </c>
      <c r="M128" s="67">
        <f ca="1">INDIRECT($B128&amp;"!"&amp;M$3&amp;"5")</f>
        <v>0.85835676999999999</v>
      </c>
      <c r="N128" s="68">
        <f ca="1">M128-L128</f>
        <v>2.1896130000000014E-2</v>
      </c>
      <c r="O128" s="216"/>
      <c r="P128" s="218">
        <f ca="1">bdRateExtend(D128:D132,L128:L132,H128:H132,M128:M132)</f>
        <v>-4.2553701146004985E-2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>
        <f ca="1">H129/D129-1</f>
        <v>0</v>
      </c>
      <c r="L129" s="66">
        <f ca="1">INDIRECT($B129&amp;"!"&amp;L$3&amp;"6")</f>
        <v>0.88776290999999996</v>
      </c>
      <c r="M129" s="67">
        <f ca="1">INDIRECT($B129&amp;"!"&amp;M$3&amp;"6")</f>
        <v>0.89436479999999996</v>
      </c>
      <c r="N129" s="68">
        <f ca="1">M129-L129</f>
        <v>6.6018899999999991E-3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>
        <f ca="1">H130/D130-1</f>
        <v>0</v>
      </c>
      <c r="L130" s="66">
        <f ca="1">INDIRECT($B130&amp;"!"&amp;L$3&amp;"7")</f>
        <v>0.91706679000000002</v>
      </c>
      <c r="M130" s="67">
        <f ca="1">INDIRECT($B130&amp;"!"&amp;M$3&amp;"7")</f>
        <v>0.91721472999999998</v>
      </c>
      <c r="N130" s="68">
        <f ca="1">M130-L130</f>
        <v>1.4793999999995755E-4</v>
      </c>
      <c r="O130" s="216"/>
      <c r="P130" s="165"/>
    </row>
    <row r="131" spans="2:28" ht="16.5" customHeight="1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>
        <f ca="1">H131/D131-1</f>
        <v>0</v>
      </c>
      <c r="L131" s="66">
        <f ca="1">INDIRECT($B131&amp;"!"&amp;L$3&amp;"8")</f>
        <v>0.93577821999999999</v>
      </c>
      <c r="M131" s="67">
        <f ca="1">INDIRECT($B131&amp;"!"&amp;M$3&amp;"8")</f>
        <v>0.93649420000000005</v>
      </c>
      <c r="N131" s="68">
        <f ca="1">M131-L131</f>
        <v>7.1598000000006046E-4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>
        <f ca="1">H132/D132-1</f>
        <v>0</v>
      </c>
      <c r="L132" s="66">
        <f ca="1">INDIRECT($B132&amp;"!"&amp;L$3&amp;"9")</f>
        <v>0.95211639000000003</v>
      </c>
      <c r="M132" s="67">
        <f ca="1">INDIRECT($B132&amp;"!"&amp;M$3&amp;"9")</f>
        <v>0.95430932999999996</v>
      </c>
      <c r="N132" s="68">
        <f ca="1">M132-L132</f>
        <v>2.1929399999999211E-3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68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lift BlueBackpack_UVGgs_0100</v>
      </c>
      <c r="M138" s="144" t="str">
        <f>CONCATENATE(F$2," ",L136)</f>
        <v>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>
        <f ca="1">H139/D139-1</f>
        <v>0</v>
      </c>
      <c r="L139" s="66">
        <f ca="1">INDIRECT($B139&amp;"!"&amp;L$3&amp;"5")</f>
        <v>0.83646063999999998</v>
      </c>
      <c r="M139" s="67">
        <f ca="1">INDIRECT($B139&amp;"!"&amp;M$3&amp;"5")</f>
        <v>0.85835676999999999</v>
      </c>
      <c r="N139" s="68">
        <f ca="1">M139-L139</f>
        <v>2.1896130000000014E-2</v>
      </c>
      <c r="O139" s="216"/>
      <c r="P139" s="218">
        <f ca="1">bdRateExtend(D139:D143,L139:L143,H139:H143,M139:M143)</f>
        <v>-4.2553701146004985E-2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>
        <f ca="1">H140/D140-1</f>
        <v>0</v>
      </c>
      <c r="L140" s="66">
        <f ca="1">INDIRECT($B140&amp;"!"&amp;L$3&amp;"6")</f>
        <v>0.88776290999999996</v>
      </c>
      <c r="M140" s="67">
        <f ca="1">INDIRECT($B140&amp;"!"&amp;M$3&amp;"6")</f>
        <v>0.89436479999999996</v>
      </c>
      <c r="N140" s="68">
        <f ca="1">M140-L140</f>
        <v>6.6018899999999991E-3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>
        <f ca="1">H141/D141-1</f>
        <v>0</v>
      </c>
      <c r="L141" s="66">
        <f ca="1">INDIRECT($B141&amp;"!"&amp;L$3&amp;"7")</f>
        <v>0.91706679000000002</v>
      </c>
      <c r="M141" s="67">
        <f ca="1">INDIRECT($B141&amp;"!"&amp;M$3&amp;"7")</f>
        <v>0.91721472999999998</v>
      </c>
      <c r="N141" s="68">
        <f ca="1">M141-L141</f>
        <v>1.4793999999995755E-4</v>
      </c>
      <c r="O141" s="216"/>
      <c r="P141" s="165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>
        <f ca="1">H142/D142-1</f>
        <v>0</v>
      </c>
      <c r="L142" s="66">
        <f ca="1">INDIRECT($B142&amp;"!"&amp;L$3&amp;"8")</f>
        <v>0.93577821999999999</v>
      </c>
      <c r="M142" s="67">
        <f ca="1">INDIRECT($B142&amp;"!"&amp;M$3&amp;"8")</f>
        <v>0.93649420000000005</v>
      </c>
      <c r="N142" s="68">
        <f ca="1">M142-L142</f>
        <v>7.1598000000006046E-4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>
        <f ca="1">H143/D143-1</f>
        <v>0</v>
      </c>
      <c r="L143" s="66">
        <f ca="1">INDIRECT($B143&amp;"!"&amp;L$3&amp;"9")</f>
        <v>0.95211639000000003</v>
      </c>
      <c r="M143" s="67">
        <f ca="1">INDIRECT($B143&amp;"!"&amp;M$3&amp;"9")</f>
        <v>0.95430932999999996</v>
      </c>
      <c r="N143" s="68">
        <f ca="1">M143-L143</f>
        <v>2.1929399999999211E-3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68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lift BlueBackpack_UVGgs_0200</v>
      </c>
      <c r="M149" s="144" t="str">
        <f>CONCATENATE(F$2," ",L147)</f>
        <v>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>
        <f ca="1">H150/D150-1</f>
        <v>0</v>
      </c>
      <c r="L150" s="66">
        <f ca="1">INDIRECT($B150&amp;"!"&amp;L$3&amp;"5")</f>
        <v>0.83646063999999998</v>
      </c>
      <c r="M150" s="67">
        <f ca="1">INDIRECT($B150&amp;"!"&amp;M$3&amp;"5")</f>
        <v>0.85835676999999999</v>
      </c>
      <c r="N150" s="68">
        <f ca="1">M150-L150</f>
        <v>2.1896130000000014E-2</v>
      </c>
      <c r="O150" s="216"/>
      <c r="P150" s="218">
        <f ca="1">bdRateExtend(D150:D154,L150:L154,H150:H154,M150:M154)</f>
        <v>-4.2553701146004985E-2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>
        <f ca="1">H151/D151-1</f>
        <v>0</v>
      </c>
      <c r="L151" s="66">
        <f ca="1">INDIRECT($B151&amp;"!"&amp;L$3&amp;"6")</f>
        <v>0.88776290999999996</v>
      </c>
      <c r="M151" s="67">
        <f ca="1">INDIRECT($B151&amp;"!"&amp;M$3&amp;"6")</f>
        <v>0.89436479999999996</v>
      </c>
      <c r="N151" s="68">
        <f ca="1">M151-L151</f>
        <v>6.6018899999999991E-3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>
        <f ca="1">H152/D152-1</f>
        <v>0</v>
      </c>
      <c r="L152" s="66">
        <f ca="1">INDIRECT($B152&amp;"!"&amp;L$3&amp;"7")</f>
        <v>0.91706679000000002</v>
      </c>
      <c r="M152" s="67">
        <f ca="1">INDIRECT($B152&amp;"!"&amp;M$3&amp;"7")</f>
        <v>0.91721472999999998</v>
      </c>
      <c r="N152" s="68">
        <f ca="1">M152-L152</f>
        <v>1.4793999999995755E-4</v>
      </c>
      <c r="O152" s="216"/>
      <c r="P152" s="165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>
        <f ca="1">H153/D153-1</f>
        <v>0</v>
      </c>
      <c r="L153" s="66">
        <f ca="1">INDIRECT($B153&amp;"!"&amp;L$3&amp;"8")</f>
        <v>0.93577821999999999</v>
      </c>
      <c r="M153" s="67">
        <f ca="1">INDIRECT($B153&amp;"!"&amp;M$3&amp;"8")</f>
        <v>0.93649420000000005</v>
      </c>
      <c r="N153" s="68">
        <f ca="1">M153-L153</f>
        <v>7.1598000000006046E-4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>
        <f ca="1">H154/D154-1</f>
        <v>0</v>
      </c>
      <c r="L154" s="66">
        <f ca="1">INDIRECT($B154&amp;"!"&amp;L$3&amp;"9")</f>
        <v>0.95211639000000003</v>
      </c>
      <c r="M154" s="67">
        <f ca="1">INDIRECT($B154&amp;"!"&amp;M$3&amp;"9")</f>
        <v>0.95430932999999996</v>
      </c>
      <c r="N154" s="68">
        <f ca="1">M154-L154</f>
        <v>2.1929399999999211E-3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68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lift FlowerDance_UVGgs_0000</v>
      </c>
      <c r="M160" s="144" t="str">
        <f>CONCATENATE(F$2," ",L158)</f>
        <v>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>
        <f ca="1">H161/D161-1</f>
        <v>0</v>
      </c>
      <c r="L161" s="66">
        <f ca="1">INDIRECT($B161&amp;"!"&amp;L$3&amp;"5")</f>
        <v>0.83646063999999998</v>
      </c>
      <c r="M161" s="67">
        <f ca="1">INDIRECT($B161&amp;"!"&amp;M$3&amp;"5")</f>
        <v>0.85835676999999999</v>
      </c>
      <c r="N161" s="68">
        <f ca="1">M161-L161</f>
        <v>2.1896130000000014E-2</v>
      </c>
      <c r="O161" s="216"/>
      <c r="P161" s="218">
        <f ca="1">bdRateExtend(D161:D165,L161:L165,H161:H165,M161:M165)</f>
        <v>-4.2553701146004985E-2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>
        <f ca="1">H162/D162-1</f>
        <v>0</v>
      </c>
      <c r="L162" s="66">
        <f ca="1">INDIRECT($B162&amp;"!"&amp;L$3&amp;"6")</f>
        <v>0.88776290999999996</v>
      </c>
      <c r="M162" s="67">
        <f ca="1">INDIRECT($B162&amp;"!"&amp;M$3&amp;"6")</f>
        <v>0.89436479999999996</v>
      </c>
      <c r="N162" s="68">
        <f ca="1">M162-L162</f>
        <v>6.6018899999999991E-3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>
        <f ca="1">H163/D163-1</f>
        <v>0</v>
      </c>
      <c r="L163" s="66">
        <f ca="1">INDIRECT($B163&amp;"!"&amp;L$3&amp;"7")</f>
        <v>0.91706679000000002</v>
      </c>
      <c r="M163" s="67">
        <f ca="1">INDIRECT($B163&amp;"!"&amp;M$3&amp;"7")</f>
        <v>0.91721472999999998</v>
      </c>
      <c r="N163" s="68">
        <f ca="1">M163-L163</f>
        <v>1.4793999999995755E-4</v>
      </c>
      <c r="O163" s="216"/>
      <c r="P163" s="165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>
        <f ca="1">H164/D164-1</f>
        <v>0</v>
      </c>
      <c r="L164" s="66">
        <f ca="1">INDIRECT($B164&amp;"!"&amp;L$3&amp;"8")</f>
        <v>0.93577821999999999</v>
      </c>
      <c r="M164" s="67">
        <f ca="1">INDIRECT($B164&amp;"!"&amp;M$3&amp;"8")</f>
        <v>0.93649420000000005</v>
      </c>
      <c r="N164" s="68">
        <f ca="1">M164-L164</f>
        <v>7.1598000000006046E-4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>
        <f ca="1">H165/D165-1</f>
        <v>0</v>
      </c>
      <c r="L165" s="66">
        <f ca="1">INDIRECT($B165&amp;"!"&amp;L$3&amp;"9")</f>
        <v>0.95211639000000003</v>
      </c>
      <c r="M165" s="67">
        <f ca="1">INDIRECT($B165&amp;"!"&amp;M$3&amp;"9")</f>
        <v>0.95430932999999996</v>
      </c>
      <c r="N165" s="68">
        <f ca="1">M165-L165</f>
        <v>2.1929399999999211E-3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68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lift FlowerDance_UVGgs_0200</v>
      </c>
      <c r="M171" s="144" t="str">
        <f>CONCATENATE(F$2," ",L169)</f>
        <v>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>
        <f ca="1">H172/D172-1</f>
        <v>0</v>
      </c>
      <c r="L172" s="66">
        <f ca="1">INDIRECT($B172&amp;"!"&amp;L$3&amp;"5")</f>
        <v>0.83646063999999998</v>
      </c>
      <c r="M172" s="67">
        <f ca="1">INDIRECT($B172&amp;"!"&amp;M$3&amp;"5")</f>
        <v>0.85835676999999999</v>
      </c>
      <c r="N172" s="68">
        <f ca="1">M172-L172</f>
        <v>2.1896130000000014E-2</v>
      </c>
      <c r="O172" s="216"/>
      <c r="P172" s="218">
        <f ca="1">bdRateExtend(D172:D176,L172:L176,H172:H176,M172:M176)</f>
        <v>-4.2553701146004985E-2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>
        <f ca="1">H173/D173-1</f>
        <v>0</v>
      </c>
      <c r="L173" s="66">
        <f ca="1">INDIRECT($B173&amp;"!"&amp;L$3&amp;"6")</f>
        <v>0.88776290999999996</v>
      </c>
      <c r="M173" s="67">
        <f ca="1">INDIRECT($B173&amp;"!"&amp;M$3&amp;"6")</f>
        <v>0.89436479999999996</v>
      </c>
      <c r="N173" s="68">
        <f ca="1">M173-L173</f>
        <v>6.6018899999999991E-3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>
        <f ca="1">H174/D174-1</f>
        <v>0</v>
      </c>
      <c r="L174" s="66">
        <f ca="1">INDIRECT($B174&amp;"!"&amp;L$3&amp;"7")</f>
        <v>0.91706679000000002</v>
      </c>
      <c r="M174" s="67">
        <f ca="1">INDIRECT($B174&amp;"!"&amp;M$3&amp;"7")</f>
        <v>0.91721472999999998</v>
      </c>
      <c r="N174" s="68">
        <f ca="1">M174-L174</f>
        <v>1.4793999999995755E-4</v>
      </c>
      <c r="O174" s="216"/>
      <c r="P174" s="165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>
        <f ca="1">H175/D175-1</f>
        <v>0</v>
      </c>
      <c r="L175" s="66">
        <f ca="1">INDIRECT($B175&amp;"!"&amp;L$3&amp;"8")</f>
        <v>0.93577821999999999</v>
      </c>
      <c r="M175" s="67">
        <f ca="1">INDIRECT($B175&amp;"!"&amp;M$3&amp;"8")</f>
        <v>0.93649420000000005</v>
      </c>
      <c r="N175" s="68">
        <f ca="1">M175-L175</f>
        <v>7.1598000000006046E-4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>
        <f ca="1">H176/D176-1</f>
        <v>0</v>
      </c>
      <c r="L176" s="66">
        <f ca="1">INDIRECT($B176&amp;"!"&amp;L$3&amp;"9")</f>
        <v>0.95211639000000003</v>
      </c>
      <c r="M176" s="67">
        <f ca="1">INDIRECT($B176&amp;"!"&amp;M$3&amp;"9")</f>
        <v>0.95430932999999996</v>
      </c>
      <c r="N176" s="68">
        <f ca="1">M176-L176</f>
        <v>2.1929399999999211E-3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68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lift Gymnast_UVGgs_0100</v>
      </c>
      <c r="M182" s="144" t="str">
        <f>CONCATENATE(F$2," ",L180)</f>
        <v>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>
        <f ca="1">H183/D183-1</f>
        <v>0</v>
      </c>
      <c r="L183" s="66">
        <f ca="1">INDIRECT($B183&amp;"!"&amp;L$3&amp;"5")</f>
        <v>0.83646063999999998</v>
      </c>
      <c r="M183" s="67">
        <f ca="1">INDIRECT($B183&amp;"!"&amp;M$3&amp;"5")</f>
        <v>0.85835676999999999</v>
      </c>
      <c r="N183" s="68">
        <f ca="1">M183-L183</f>
        <v>2.1896130000000014E-2</v>
      </c>
      <c r="O183" s="216"/>
      <c r="P183" s="218">
        <f ca="1">bdRateExtend(D183:D187,L183:L187,H183:H187,M183:M187)</f>
        <v>-4.2553701146004985E-2</v>
      </c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>
        <f ca="1">H184/D184-1</f>
        <v>0</v>
      </c>
      <c r="L184" s="66">
        <f ca="1">INDIRECT($B184&amp;"!"&amp;L$3&amp;"6")</f>
        <v>0.88776290999999996</v>
      </c>
      <c r="M184" s="67">
        <f ca="1">INDIRECT($B184&amp;"!"&amp;M$3&amp;"6")</f>
        <v>0.89436479999999996</v>
      </c>
      <c r="N184" s="68">
        <f ca="1">M184-L184</f>
        <v>6.6018899999999991E-3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>
        <f ca="1">H185/D185-1</f>
        <v>0</v>
      </c>
      <c r="L185" s="66">
        <f ca="1">INDIRECT($B185&amp;"!"&amp;L$3&amp;"7")</f>
        <v>0.91706679000000002</v>
      </c>
      <c r="M185" s="67">
        <f ca="1">INDIRECT($B185&amp;"!"&amp;M$3&amp;"7")</f>
        <v>0.91721472999999998</v>
      </c>
      <c r="N185" s="68">
        <f ca="1">M185-L185</f>
        <v>1.4793999999995755E-4</v>
      </c>
      <c r="O185" s="216"/>
      <c r="P185" s="165"/>
    </row>
    <row r="186" spans="2:28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>
        <f ca="1">H186/D186-1</f>
        <v>0</v>
      </c>
      <c r="L186" s="66">
        <f ca="1">INDIRECT($B186&amp;"!"&amp;L$3&amp;"8")</f>
        <v>0.93577821999999999</v>
      </c>
      <c r="M186" s="67">
        <f ca="1">INDIRECT($B186&amp;"!"&amp;M$3&amp;"8")</f>
        <v>0.93649420000000005</v>
      </c>
      <c r="N186" s="68">
        <f ca="1">M186-L186</f>
        <v>7.1598000000006046E-4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>
        <f ca="1">H187/D187-1</f>
        <v>0</v>
      </c>
      <c r="L187" s="66">
        <f ca="1">INDIRECT($B187&amp;"!"&amp;L$3&amp;"9")</f>
        <v>0.95211639000000003</v>
      </c>
      <c r="M187" s="67">
        <f ca="1">INDIRECT($B187&amp;"!"&amp;M$3&amp;"9")</f>
        <v>0.95430932999999996</v>
      </c>
      <c r="N187" s="68">
        <f ca="1">M187-L187</f>
        <v>2.1929399999999211E-3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68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lift Gymnast_UVGgs_0200</v>
      </c>
      <c r="M193" s="144" t="str">
        <f>CONCATENATE(F$2," ",L191)</f>
        <v>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>
        <f ca="1">H194/D194-1</f>
        <v>0</v>
      </c>
      <c r="L194" s="66">
        <f ca="1">INDIRECT($B194&amp;"!"&amp;L$3&amp;"5")</f>
        <v>0.83646063999999998</v>
      </c>
      <c r="M194" s="67">
        <f ca="1">INDIRECT($B194&amp;"!"&amp;M$3&amp;"5")</f>
        <v>0.85835676999999999</v>
      </c>
      <c r="N194" s="68">
        <f ca="1">M194-L194</f>
        <v>2.1896130000000014E-2</v>
      </c>
      <c r="O194" s="216"/>
      <c r="P194" s="218">
        <f ca="1">bdRateExtend(D194:D198,L194:L198,H194:H198,M194:M198)</f>
        <v>-4.2553701146004985E-2</v>
      </c>
    </row>
    <row r="195" spans="2:28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>
        <f ca="1">H195/D195-1</f>
        <v>0</v>
      </c>
      <c r="L195" s="66">
        <f ca="1">INDIRECT($B195&amp;"!"&amp;L$3&amp;"6")</f>
        <v>0.88776290999999996</v>
      </c>
      <c r="M195" s="67">
        <f ca="1">INDIRECT($B195&amp;"!"&amp;M$3&amp;"6")</f>
        <v>0.89436479999999996</v>
      </c>
      <c r="N195" s="68">
        <f ca="1">M195-L195</f>
        <v>6.6018899999999991E-3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>
        <f ca="1">H196/D196-1</f>
        <v>0</v>
      </c>
      <c r="L196" s="66">
        <f ca="1">INDIRECT($B196&amp;"!"&amp;L$3&amp;"7")</f>
        <v>0.91706679000000002</v>
      </c>
      <c r="M196" s="67">
        <f ca="1">INDIRECT($B196&amp;"!"&amp;M$3&amp;"7")</f>
        <v>0.91721472999999998</v>
      </c>
      <c r="N196" s="68">
        <f ca="1">M196-L196</f>
        <v>1.4793999999995755E-4</v>
      </c>
      <c r="O196" s="216"/>
      <c r="P196" s="165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>
        <f ca="1">H197/D197-1</f>
        <v>0</v>
      </c>
      <c r="L197" s="66">
        <f ca="1">INDIRECT($B197&amp;"!"&amp;L$3&amp;"8")</f>
        <v>0.93577821999999999</v>
      </c>
      <c r="M197" s="67">
        <f ca="1">INDIRECT($B197&amp;"!"&amp;M$3&amp;"8")</f>
        <v>0.93649420000000005</v>
      </c>
      <c r="N197" s="68">
        <f ca="1">M197-L197</f>
        <v>7.1598000000006046E-4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>
        <f ca="1">H198/D198-1</f>
        <v>0</v>
      </c>
      <c r="L198" s="66">
        <f ca="1">INDIRECT($B198&amp;"!"&amp;L$3&amp;"9")</f>
        <v>0.95211639000000003</v>
      </c>
      <c r="M198" s="67">
        <f ca="1">INDIRECT($B198&amp;"!"&amp;M$3&amp;"9")</f>
        <v>0.95430932999999996</v>
      </c>
      <c r="N198" s="68">
        <f ca="1">M198-L198</f>
        <v>2.1929399999999211E-3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68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lift artwork</v>
      </c>
      <c r="M204" s="144" t="str">
        <f>CONCATENATE(F$2," ",L202)</f>
        <v>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>
        <f ca="1">H205/D205-1</f>
        <v>0</v>
      </c>
      <c r="L205" s="66">
        <f ca="1">INDIRECT($B205&amp;"!"&amp;L$3&amp;"5")</f>
        <v>0.83646063999999998</v>
      </c>
      <c r="M205" s="67">
        <f ca="1">INDIRECT($B205&amp;"!"&amp;M$3&amp;"5")</f>
        <v>0.85835676999999999</v>
      </c>
      <c r="N205" s="68">
        <f ca="1">M205-L205</f>
        <v>2.1896130000000014E-2</v>
      </c>
      <c r="O205" s="216"/>
      <c r="P205" s="218">
        <f ca="1">bdRateExtend(D205:D209,L205:L209,H205:H209,M205:M209)</f>
        <v>-4.2553701146004985E-2</v>
      </c>
    </row>
    <row r="206" spans="2:28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>
        <f ca="1">H206/D206-1</f>
        <v>0</v>
      </c>
      <c r="L206" s="66">
        <f ca="1">INDIRECT($B206&amp;"!"&amp;L$3&amp;"6")</f>
        <v>0.88776290999999996</v>
      </c>
      <c r="M206" s="67">
        <f ca="1">INDIRECT($B206&amp;"!"&amp;M$3&amp;"6")</f>
        <v>0.89436479999999996</v>
      </c>
      <c r="N206" s="68">
        <f ca="1">M206-L206</f>
        <v>6.6018899999999991E-3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>
        <f ca="1">H207/D207-1</f>
        <v>0</v>
      </c>
      <c r="L207" s="66">
        <f ca="1">INDIRECT($B207&amp;"!"&amp;L$3&amp;"7")</f>
        <v>0.91706679000000002</v>
      </c>
      <c r="M207" s="67">
        <f ca="1">INDIRECT($B207&amp;"!"&amp;M$3&amp;"7")</f>
        <v>0.91721472999999998</v>
      </c>
      <c r="N207" s="68">
        <f ca="1">M207-L207</f>
        <v>1.4793999999995755E-4</v>
      </c>
      <c r="O207" s="216"/>
      <c r="P207" s="165"/>
    </row>
    <row r="208" spans="2:28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>
        <f ca="1">H208/D208-1</f>
        <v>0</v>
      </c>
      <c r="L208" s="66">
        <f ca="1">INDIRECT($B208&amp;"!"&amp;L$3&amp;"8")</f>
        <v>0.93577821999999999</v>
      </c>
      <c r="M208" s="67">
        <f ca="1">INDIRECT($B208&amp;"!"&amp;M$3&amp;"8")</f>
        <v>0.93649420000000005</v>
      </c>
      <c r="N208" s="68">
        <f ca="1">M208-L208</f>
        <v>7.1598000000006046E-4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>
        <f ca="1">H209/D209-1</f>
        <v>0</v>
      </c>
      <c r="L209" s="66">
        <f ca="1">INDIRECT($B209&amp;"!"&amp;L$3&amp;"9")</f>
        <v>0.95211639000000003</v>
      </c>
      <c r="M209" s="67">
        <f ca="1">INDIRECT($B209&amp;"!"&amp;M$3&amp;"9")</f>
        <v>0.95430932999999996</v>
      </c>
      <c r="N209" s="68">
        <f ca="1">M209-L209</f>
        <v>2.1929399999999211E-3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68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lift panda</v>
      </c>
      <c r="M215" s="144" t="str">
        <f>CONCATENATE(F$2," ",L213)</f>
        <v>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0.83646063999999998</v>
      </c>
      <c r="M216" s="67">
        <f ca="1">INDIRECT($B216&amp;"!"&amp;M$3&amp;"5")</f>
        <v>0.85835676999999999</v>
      </c>
      <c r="N216" s="68">
        <f ca="1">M216-L216</f>
        <v>2.1896130000000014E-2</v>
      </c>
      <c r="O216" s="216"/>
      <c r="P216" s="218">
        <f ca="1">bdRateExtend(D216:D220,L216:L220,H216:H220,M216:M220)</f>
        <v>-4.2553701146004985E-2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0.88776290999999996</v>
      </c>
      <c r="M217" s="67">
        <f ca="1">INDIRECT($B217&amp;"!"&amp;M$3&amp;"6")</f>
        <v>0.89436479999999996</v>
      </c>
      <c r="N217" s="68">
        <f ca="1">M217-L217</f>
        <v>6.6018899999999991E-3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0.91706679000000002</v>
      </c>
      <c r="M218" s="67">
        <f ca="1">INDIRECT($B218&amp;"!"&amp;M$3&amp;"7")</f>
        <v>0.91721472999999998</v>
      </c>
      <c r="N218" s="68">
        <f ca="1">M218-L218</f>
        <v>1.4793999999995755E-4</v>
      </c>
      <c r="O218" s="216"/>
      <c r="P218" s="165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0.93577821999999999</v>
      </c>
      <c r="M219" s="67">
        <f ca="1">INDIRECT($B219&amp;"!"&amp;M$3&amp;"8")</f>
        <v>0.93649420000000005</v>
      </c>
      <c r="N219" s="68">
        <f ca="1">M219-L219</f>
        <v>7.1598000000006046E-4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0.95211639000000003</v>
      </c>
      <c r="M220" s="67">
        <f ca="1">INDIRECT($B220&amp;"!"&amp;M$3&amp;"9")</f>
        <v>0.95430932999999996</v>
      </c>
      <c r="N220" s="68">
        <f ca="1">M220-L220</f>
        <v>2.1929399999999211E-3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>
        <f ca="1">MIN(D216:D220,H216:H220)</f>
        <v>1012.6914449999999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68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lift wukong</v>
      </c>
      <c r="M226" s="144" t="str">
        <f>CONCATENATE(F$2," ",L224)</f>
        <v>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>
        <f ca="1">H227/D227-1</f>
        <v>0</v>
      </c>
      <c r="L227" s="66">
        <f ca="1">INDIRECT($B227&amp;"!"&amp;L$3&amp;"5")</f>
        <v>0.83646063999999998</v>
      </c>
      <c r="M227" s="67">
        <f ca="1">INDIRECT($B227&amp;"!"&amp;M$3&amp;"5")</f>
        <v>0.85835676999999999</v>
      </c>
      <c r="N227" s="68">
        <f ca="1">M227-L227</f>
        <v>2.1896130000000014E-2</v>
      </c>
      <c r="O227" s="216"/>
      <c r="P227" s="218">
        <f ca="1">bdRateExtend(D227:D231,L227:L231,H227:H231,M227:M231)</f>
        <v>-4.2553701146004985E-2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>
        <f ca="1">H228/D228-1</f>
        <v>0</v>
      </c>
      <c r="L228" s="66">
        <f ca="1">INDIRECT($B228&amp;"!"&amp;L$3&amp;"6")</f>
        <v>0.88776290999999996</v>
      </c>
      <c r="M228" s="67">
        <f ca="1">INDIRECT($B228&amp;"!"&amp;M$3&amp;"6")</f>
        <v>0.89436479999999996</v>
      </c>
      <c r="N228" s="68">
        <f ca="1">M228-L228</f>
        <v>6.6018899999999991E-3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>
        <f ca="1">H229/D229-1</f>
        <v>0</v>
      </c>
      <c r="L229" s="66">
        <f ca="1">INDIRECT($B229&amp;"!"&amp;L$3&amp;"7")</f>
        <v>0.91706679000000002</v>
      </c>
      <c r="M229" s="67">
        <f ca="1">INDIRECT($B229&amp;"!"&amp;M$3&amp;"7")</f>
        <v>0.91721472999999998</v>
      </c>
      <c r="N229" s="68">
        <f ca="1">M229-L229</f>
        <v>1.4793999999995755E-4</v>
      </c>
      <c r="O229" s="216"/>
      <c r="P229" s="165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>
        <f ca="1">H230/D230-1</f>
        <v>0</v>
      </c>
      <c r="L230" s="66">
        <f ca="1">INDIRECT($B230&amp;"!"&amp;L$3&amp;"8")</f>
        <v>0.93577821999999999</v>
      </c>
      <c r="M230" s="67">
        <f ca="1">INDIRECT($B230&amp;"!"&amp;M$3&amp;"8")</f>
        <v>0.93649420000000005</v>
      </c>
      <c r="N230" s="68">
        <f ca="1">M230-L230</f>
        <v>7.1598000000006046E-4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>
        <f ca="1">H231/D231-1</f>
        <v>0</v>
      </c>
      <c r="L231" s="66">
        <f ca="1">INDIRECT($B231&amp;"!"&amp;L$3&amp;"9")</f>
        <v>0.95211639000000003</v>
      </c>
      <c r="M231" s="67">
        <f ca="1">INDIRECT($B231&amp;"!"&amp;M$3&amp;"9")</f>
        <v>0.95430932999999996</v>
      </c>
      <c r="N231" s="68">
        <f ca="1">M231-L231</f>
        <v>2.1929399999999211E-3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Z33:Z37"/>
    <mergeCell ref="X3:X4"/>
    <mergeCell ref="AO3:AO4"/>
    <mergeCell ref="AY31:BB31"/>
    <mergeCell ref="BH14:BJ14"/>
    <mergeCell ref="AQ3:AQ4"/>
    <mergeCell ref="Z21:Z22"/>
    <mergeCell ref="BB14:BC14"/>
    <mergeCell ref="AX33:AX37"/>
    <mergeCell ref="BD14:BE14"/>
    <mergeCell ref="BH3:BN3"/>
    <mergeCell ref="AX14:AY14"/>
    <mergeCell ref="AZ14:BA14"/>
    <mergeCell ref="BH21:BJ21"/>
    <mergeCell ref="C2:X2"/>
    <mergeCell ref="BP3:BR3"/>
    <mergeCell ref="Z5:Z9"/>
    <mergeCell ref="AA31:AV31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zoomScale="70" zoomScaleNormal="70" workbookViewId="0">
      <selection activeCell="H57" sqref="H5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23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breakfast_track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breakfast_track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74064.856</v>
      </c>
      <c r="F5" s="83">
        <f t="shared" ref="F5:K9" si="0">IF(ISBLANK(F33),"",F33)</f>
        <v>26.890747910000002</v>
      </c>
      <c r="G5" s="83">
        <f t="shared" si="0"/>
        <v>28.567080310000001</v>
      </c>
      <c r="H5" s="83">
        <f t="shared" si="0"/>
        <v>0.94600737999999995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53.374000000000002</v>
      </c>
      <c r="Q5" s="122">
        <f t="shared" si="1"/>
        <v>24.983000000000001</v>
      </c>
      <c r="R5" s="105">
        <f t="shared" si="1"/>
        <v>23.218</v>
      </c>
      <c r="S5" s="122">
        <f t="shared" si="1"/>
        <v>23.218</v>
      </c>
      <c r="T5" s="105">
        <f t="shared" si="1"/>
        <v>25.765999999999998</v>
      </c>
      <c r="U5" s="122">
        <f t="shared" si="1"/>
        <v>25.765999999999998</v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74064.856</v>
      </c>
      <c r="AD5" s="26">
        <f t="shared" ref="AD5:AI9" si="2">IF(ISBLANK(AD33),"",AD33)</f>
        <v>26.890747910000002</v>
      </c>
      <c r="AE5" s="26">
        <f t="shared" si="2"/>
        <v>28.567080310000001</v>
      </c>
      <c r="AF5" s="26">
        <f t="shared" si="2"/>
        <v>0.94600737999999995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58.280999999999999</v>
      </c>
      <c r="AO5" s="122">
        <f t="shared" si="3"/>
        <v>23.608000000000001</v>
      </c>
      <c r="AP5" s="105">
        <f t="shared" si="3"/>
        <v>26.343</v>
      </c>
      <c r="AQ5" s="122">
        <f t="shared" si="3"/>
        <v>26.343</v>
      </c>
      <c r="AR5" s="105">
        <f t="shared" si="3"/>
        <v>27.486000000000001</v>
      </c>
      <c r="AS5" s="122">
        <f t="shared" si="3"/>
        <v>27.486000000000001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0</v>
      </c>
      <c r="AZ5" s="234">
        <f>bdRateExtend($E5:$E9,G5:G9,$AC5:$AC9,AE5:AE9)</f>
        <v>0</v>
      </c>
      <c r="BA5" s="234">
        <f>bdRateExtend($E5:$E9,H5:H9,$AC5:$AC9,AF5:AF9)</f>
        <v>0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106483.952</v>
      </c>
      <c r="F6" s="83">
        <f t="shared" si="0"/>
        <v>30.349843230000001</v>
      </c>
      <c r="G6" s="83">
        <f t="shared" si="0"/>
        <v>32.67925236</v>
      </c>
      <c r="H6" s="83">
        <f t="shared" si="0"/>
        <v>0.97042530000000005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53.451999999999998</v>
      </c>
      <c r="Q6" s="105">
        <f t="shared" si="1"/>
        <v>25.218</v>
      </c>
      <c r="R6" s="105">
        <f t="shared" si="1"/>
        <v>22.920999999999999</v>
      </c>
      <c r="S6" s="105">
        <f t="shared" si="1"/>
        <v>22.920999999999999</v>
      </c>
      <c r="T6" s="105">
        <f t="shared" si="1"/>
        <v>26.155999999999999</v>
      </c>
      <c r="U6" s="105">
        <f t="shared" si="1"/>
        <v>26.155999999999999</v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106483.952</v>
      </c>
      <c r="AD6" s="83">
        <f t="shared" si="2"/>
        <v>30.349843230000001</v>
      </c>
      <c r="AE6" s="83">
        <f t="shared" si="2"/>
        <v>32.67925236</v>
      </c>
      <c r="AF6" s="83">
        <f t="shared" si="2"/>
        <v>0.97042530000000005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58.858999999999988</v>
      </c>
      <c r="AO6" s="105">
        <f t="shared" si="3"/>
        <v>23.89</v>
      </c>
      <c r="AP6" s="105">
        <f t="shared" si="3"/>
        <v>26.436</v>
      </c>
      <c r="AQ6" s="105">
        <f t="shared" si="3"/>
        <v>26.436</v>
      </c>
      <c r="AR6" s="105">
        <f t="shared" si="3"/>
        <v>27.845999999999989</v>
      </c>
      <c r="AS6" s="105">
        <f t="shared" si="3"/>
        <v>27.845999999999989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153539.93599999999</v>
      </c>
      <c r="F7" s="83">
        <f t="shared" si="0"/>
        <v>34.490438670000003</v>
      </c>
      <c r="G7" s="83">
        <f t="shared" si="0"/>
        <v>38.36439669</v>
      </c>
      <c r="H7" s="83">
        <f t="shared" si="0"/>
        <v>0.98687446999999995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54.155000000000001</v>
      </c>
      <c r="Q7" s="105">
        <f t="shared" si="1"/>
        <v>25.702000000000002</v>
      </c>
      <c r="R7" s="105">
        <f t="shared" si="1"/>
        <v>23.03</v>
      </c>
      <c r="S7" s="105">
        <f t="shared" si="1"/>
        <v>23.03</v>
      </c>
      <c r="T7" s="105">
        <f t="shared" si="1"/>
        <v>26.751999999999999</v>
      </c>
      <c r="U7" s="105">
        <f t="shared" si="1"/>
        <v>26.751999999999999</v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153539.93599999999</v>
      </c>
      <c r="AD7" s="83">
        <f t="shared" si="2"/>
        <v>34.490438670000003</v>
      </c>
      <c r="AE7" s="83">
        <f t="shared" si="2"/>
        <v>38.36439669</v>
      </c>
      <c r="AF7" s="83">
        <f t="shared" si="2"/>
        <v>0.98687446999999995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58.749000000000002</v>
      </c>
      <c r="AO7" s="105">
        <f t="shared" si="3"/>
        <v>24.498999999999999</v>
      </c>
      <c r="AP7" s="105">
        <f t="shared" si="3"/>
        <v>26.202000000000002</v>
      </c>
      <c r="AQ7" s="105">
        <f t="shared" si="3"/>
        <v>26.202000000000002</v>
      </c>
      <c r="AR7" s="105">
        <f t="shared" si="3"/>
        <v>28.202999999999999</v>
      </c>
      <c r="AS7" s="105">
        <f t="shared" si="3"/>
        <v>28.202999999999999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217714.95200000002</v>
      </c>
      <c r="F8" s="83">
        <f t="shared" si="0"/>
        <v>36.636777049999999</v>
      </c>
      <c r="G8" s="83">
        <f t="shared" si="0"/>
        <v>41.523211199999999</v>
      </c>
      <c r="H8" s="83">
        <f t="shared" si="0"/>
        <v>0.99272932999999997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55.107999999999997</v>
      </c>
      <c r="Q8" s="105">
        <f t="shared" si="1"/>
        <v>25.765000000000001</v>
      </c>
      <c r="R8" s="105">
        <f t="shared" si="1"/>
        <v>23.108000000000001</v>
      </c>
      <c r="S8" s="105">
        <f t="shared" si="1"/>
        <v>23.108000000000001</v>
      </c>
      <c r="T8" s="105">
        <f t="shared" si="1"/>
        <v>27.581</v>
      </c>
      <c r="U8" s="105">
        <f t="shared" si="1"/>
        <v>27.581</v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217714.95200000002</v>
      </c>
      <c r="AD8" s="83">
        <f t="shared" si="2"/>
        <v>36.636777049999999</v>
      </c>
      <c r="AE8" s="83">
        <f t="shared" si="2"/>
        <v>41.523211199999999</v>
      </c>
      <c r="AF8" s="83">
        <f t="shared" si="2"/>
        <v>0.99272932999999997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60.061999999999998</v>
      </c>
      <c r="AO8" s="105">
        <f t="shared" si="3"/>
        <v>24.983000000000001</v>
      </c>
      <c r="AP8" s="105">
        <f t="shared" si="3"/>
        <v>26.187000000000001</v>
      </c>
      <c r="AQ8" s="105">
        <f t="shared" si="3"/>
        <v>26.187000000000001</v>
      </c>
      <c r="AR8" s="105">
        <f t="shared" si="3"/>
        <v>29.411000000000001</v>
      </c>
      <c r="AS8" s="105">
        <f t="shared" si="3"/>
        <v>29.411000000000001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11880.584000000001</v>
      </c>
      <c r="F16" s="104">
        <v>13899.88</v>
      </c>
      <c r="G16" s="135">
        <v>2787.5279999999998</v>
      </c>
      <c r="H16" s="135">
        <v>1906.8879999999999</v>
      </c>
      <c r="I16" s="135">
        <v>2330.672</v>
      </c>
      <c r="J16" s="135">
        <v>22201.376</v>
      </c>
      <c r="K16" s="55">
        <v>14321.136</v>
      </c>
      <c r="L16" s="55">
        <v>4736.7919999999986</v>
      </c>
      <c r="M16" s="55">
        <v>15.776</v>
      </c>
      <c r="N16" s="50"/>
      <c r="O16" s="245"/>
      <c r="P16" s="149">
        <v>53.374000000000002</v>
      </c>
      <c r="Q16" s="149">
        <v>24.983000000000001</v>
      </c>
      <c r="R16" s="149">
        <v>23.218</v>
      </c>
      <c r="S16" s="149">
        <v>23.218</v>
      </c>
      <c r="T16" s="149">
        <v>25.765999999999998</v>
      </c>
      <c r="U16" s="149">
        <v>25.765999999999998</v>
      </c>
      <c r="V16" s="149"/>
      <c r="W16" s="149"/>
      <c r="X16" s="115"/>
      <c r="Y16" s="204"/>
      <c r="Z16" s="285"/>
      <c r="AA16" s="21" t="s">
        <v>58</v>
      </c>
      <c r="AB16" s="22"/>
      <c r="AC16" s="104">
        <v>11880.584000000001</v>
      </c>
      <c r="AD16" s="104">
        <v>13899.88</v>
      </c>
      <c r="AE16" s="135">
        <v>2787.5279999999998</v>
      </c>
      <c r="AF16" s="135">
        <v>1906.8879999999999</v>
      </c>
      <c r="AG16" s="135">
        <v>2330.672</v>
      </c>
      <c r="AH16" s="135">
        <v>22201.376</v>
      </c>
      <c r="AI16" s="55">
        <v>14321.136</v>
      </c>
      <c r="AJ16" s="55">
        <v>4736.7919999999986</v>
      </c>
      <c r="AK16" s="55">
        <v>15.776</v>
      </c>
      <c r="AL16" s="50"/>
      <c r="AM16" s="245"/>
      <c r="AN16" s="149">
        <v>58.280999999999999</v>
      </c>
      <c r="AO16" s="149">
        <v>23.608000000000001</v>
      </c>
      <c r="AP16" s="149">
        <v>26.343</v>
      </c>
      <c r="AQ16" s="149">
        <v>26.343</v>
      </c>
      <c r="AR16" s="149">
        <v>27.486000000000001</v>
      </c>
      <c r="AS16" s="149">
        <v>27.486000000000001</v>
      </c>
      <c r="AT16" s="149"/>
      <c r="AU16" s="149"/>
      <c r="AV16" s="115"/>
      <c r="AW16" s="87"/>
      <c r="AX16" s="152">
        <f t="shared" ref="AX16:BE19" si="4">AN16/P16</f>
        <v>1.0919361486866264</v>
      </c>
      <c r="AY16" s="185">
        <f t="shared" si="4"/>
        <v>0.94496257455069443</v>
      </c>
      <c r="AZ16" s="152">
        <f t="shared" si="4"/>
        <v>1.1345938495994488</v>
      </c>
      <c r="BA16" s="185">
        <f t="shared" si="4"/>
        <v>1.1345938495994488</v>
      </c>
      <c r="BB16" s="152">
        <f t="shared" si="4"/>
        <v>1.0667546378949004</v>
      </c>
      <c r="BC16" s="185">
        <f t="shared" si="4"/>
        <v>1.0667546378949004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11880.584000000001</v>
      </c>
      <c r="F17" s="116">
        <v>18414.335999999999</v>
      </c>
      <c r="G17" s="136">
        <v>7399.6959999999999</v>
      </c>
      <c r="H17" s="136">
        <v>6600.7520000000004</v>
      </c>
      <c r="I17" s="136">
        <v>8381.7360000000008</v>
      </c>
      <c r="J17" s="136">
        <v>28577.592000000001</v>
      </c>
      <c r="K17" s="56">
        <v>18982.464</v>
      </c>
      <c r="L17" s="56">
        <v>6246.7920000000004</v>
      </c>
      <c r="M17" s="56">
        <v>15.76</v>
      </c>
      <c r="N17" s="51"/>
      <c r="O17" s="233"/>
      <c r="P17" s="150">
        <v>53.451999999999998</v>
      </c>
      <c r="Q17" s="150">
        <v>25.218</v>
      </c>
      <c r="R17" s="150">
        <v>22.920999999999999</v>
      </c>
      <c r="S17" s="150">
        <v>22.920999999999999</v>
      </c>
      <c r="T17" s="150">
        <v>26.155999999999999</v>
      </c>
      <c r="U17" s="150">
        <v>26.155999999999999</v>
      </c>
      <c r="V17" s="150"/>
      <c r="W17" s="150"/>
      <c r="X17" s="117"/>
      <c r="Y17" s="204"/>
      <c r="Z17" s="271"/>
      <c r="AA17" s="23" t="s">
        <v>59</v>
      </c>
      <c r="AB17" s="24"/>
      <c r="AC17" s="116">
        <v>11880.584000000001</v>
      </c>
      <c r="AD17" s="116">
        <v>18414.335999999999</v>
      </c>
      <c r="AE17" s="136">
        <v>7399.6959999999999</v>
      </c>
      <c r="AF17" s="136">
        <v>6600.7520000000004</v>
      </c>
      <c r="AG17" s="136">
        <v>8381.7360000000008</v>
      </c>
      <c r="AH17" s="136">
        <v>28577.592000000001</v>
      </c>
      <c r="AI17" s="56">
        <v>18982.464</v>
      </c>
      <c r="AJ17" s="56">
        <v>6246.7920000000004</v>
      </c>
      <c r="AK17" s="56">
        <v>15.76</v>
      </c>
      <c r="AL17" s="51"/>
      <c r="AM17" s="233"/>
      <c r="AN17" s="150">
        <v>58.858999999999988</v>
      </c>
      <c r="AO17" s="150">
        <v>23.89</v>
      </c>
      <c r="AP17" s="150">
        <v>26.436</v>
      </c>
      <c r="AQ17" s="150">
        <v>26.436</v>
      </c>
      <c r="AR17" s="150">
        <v>27.845999999999989</v>
      </c>
      <c r="AS17" s="150">
        <v>27.845999999999989</v>
      </c>
      <c r="AT17" s="150"/>
      <c r="AU17" s="150"/>
      <c r="AV17" s="117"/>
      <c r="AW17" s="87"/>
      <c r="AX17" s="153">
        <f t="shared" si="4"/>
        <v>1.1011561775050511</v>
      </c>
      <c r="AY17" s="154">
        <f t="shared" si="4"/>
        <v>0.94733920215718936</v>
      </c>
      <c r="AZ17" s="153">
        <f t="shared" si="4"/>
        <v>1.1533528205575674</v>
      </c>
      <c r="BA17" s="154">
        <f t="shared" si="4"/>
        <v>1.1533528205575674</v>
      </c>
      <c r="BB17" s="153">
        <f t="shared" si="4"/>
        <v>1.0646123260437372</v>
      </c>
      <c r="BC17" s="154">
        <f t="shared" si="4"/>
        <v>1.0646123260437372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11880.584000000001</v>
      </c>
      <c r="F18" s="116">
        <v>23045.392</v>
      </c>
      <c r="G18" s="136">
        <v>15240.856</v>
      </c>
      <c r="H18" s="136">
        <v>15913.12</v>
      </c>
      <c r="I18" s="136">
        <v>20629.912</v>
      </c>
      <c r="J18" s="136">
        <v>35191.103999999999</v>
      </c>
      <c r="K18" s="56">
        <v>23843.696</v>
      </c>
      <c r="L18" s="56">
        <v>7795.2719999999999</v>
      </c>
      <c r="M18" s="56">
        <v>15.728</v>
      </c>
      <c r="N18" s="51"/>
      <c r="O18" s="233"/>
      <c r="P18" s="150">
        <v>54.155000000000001</v>
      </c>
      <c r="Q18" s="150">
        <v>25.702000000000002</v>
      </c>
      <c r="R18" s="150">
        <v>23.03</v>
      </c>
      <c r="S18" s="150">
        <v>23.03</v>
      </c>
      <c r="T18" s="150">
        <v>26.751999999999999</v>
      </c>
      <c r="U18" s="150">
        <v>26.751999999999999</v>
      </c>
      <c r="V18" s="150"/>
      <c r="W18" s="150"/>
      <c r="X18" s="117"/>
      <c r="Y18" s="204"/>
      <c r="Z18" s="271"/>
      <c r="AA18" s="23" t="s">
        <v>60</v>
      </c>
      <c r="AB18" s="24"/>
      <c r="AC18" s="116">
        <v>11880.584000000001</v>
      </c>
      <c r="AD18" s="116">
        <v>23045.392</v>
      </c>
      <c r="AE18" s="136">
        <v>15240.856</v>
      </c>
      <c r="AF18" s="136">
        <v>15913.12</v>
      </c>
      <c r="AG18" s="136">
        <v>20629.912</v>
      </c>
      <c r="AH18" s="136">
        <v>35191.103999999999</v>
      </c>
      <c r="AI18" s="56">
        <v>23843.696</v>
      </c>
      <c r="AJ18" s="56">
        <v>7795.2719999999999</v>
      </c>
      <c r="AK18" s="56">
        <v>15.728</v>
      </c>
      <c r="AL18" s="51"/>
      <c r="AM18" s="233"/>
      <c r="AN18" s="150">
        <v>58.749000000000002</v>
      </c>
      <c r="AO18" s="150">
        <v>24.498999999999999</v>
      </c>
      <c r="AP18" s="150">
        <v>26.202000000000002</v>
      </c>
      <c r="AQ18" s="150">
        <v>26.202000000000002</v>
      </c>
      <c r="AR18" s="150">
        <v>28.202999999999999</v>
      </c>
      <c r="AS18" s="150">
        <v>28.202999999999999</v>
      </c>
      <c r="AT18" s="150"/>
      <c r="AU18" s="150"/>
      <c r="AV18" s="117"/>
      <c r="AW18" s="87"/>
      <c r="AX18" s="153">
        <f t="shared" si="4"/>
        <v>1.0848305788939157</v>
      </c>
      <c r="AY18" s="154">
        <f t="shared" si="4"/>
        <v>0.9531943039452182</v>
      </c>
      <c r="AZ18" s="153">
        <f t="shared" si="4"/>
        <v>1.1377333912288319</v>
      </c>
      <c r="BA18" s="154">
        <f t="shared" si="4"/>
        <v>1.1377333912288319</v>
      </c>
      <c r="BB18" s="153">
        <f t="shared" si="4"/>
        <v>1.0542389354066986</v>
      </c>
      <c r="BC18" s="154">
        <f t="shared" si="4"/>
        <v>1.0542389354066986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11880.584000000001</v>
      </c>
      <c r="F19" s="116">
        <v>27447.68</v>
      </c>
      <c r="G19" s="136">
        <v>26017.648000000001</v>
      </c>
      <c r="H19" s="136">
        <v>30732.312000000002</v>
      </c>
      <c r="I19" s="136">
        <v>41271.624000000003</v>
      </c>
      <c r="J19" s="136">
        <v>42014.928</v>
      </c>
      <c r="K19" s="56">
        <v>28937.191999999999</v>
      </c>
      <c r="L19" s="56">
        <v>9412.9840000000004</v>
      </c>
      <c r="M19" s="56">
        <v>15.472</v>
      </c>
      <c r="N19" s="51"/>
      <c r="O19" s="233"/>
      <c r="P19" s="150">
        <v>55.107999999999997</v>
      </c>
      <c r="Q19" s="150">
        <v>25.765000000000001</v>
      </c>
      <c r="R19" s="150">
        <v>23.108000000000001</v>
      </c>
      <c r="S19" s="150">
        <v>23.108000000000001</v>
      </c>
      <c r="T19" s="150">
        <v>27.581</v>
      </c>
      <c r="U19" s="150">
        <v>27.581</v>
      </c>
      <c r="V19" s="150"/>
      <c r="W19" s="150"/>
      <c r="X19" s="117"/>
      <c r="Y19" s="204"/>
      <c r="Z19" s="271"/>
      <c r="AA19" s="23" t="s">
        <v>61</v>
      </c>
      <c r="AB19" s="24"/>
      <c r="AC19" s="116">
        <v>11880.584000000001</v>
      </c>
      <c r="AD19" s="116">
        <v>27447.68</v>
      </c>
      <c r="AE19" s="136">
        <v>26017.648000000001</v>
      </c>
      <c r="AF19" s="136">
        <v>30732.312000000002</v>
      </c>
      <c r="AG19" s="136">
        <v>41271.624000000003</v>
      </c>
      <c r="AH19" s="136">
        <v>42014.928</v>
      </c>
      <c r="AI19" s="56">
        <v>28937.191999999999</v>
      </c>
      <c r="AJ19" s="56">
        <v>9412.9840000000004</v>
      </c>
      <c r="AK19" s="56">
        <v>15.472</v>
      </c>
      <c r="AL19" s="51"/>
      <c r="AM19" s="233"/>
      <c r="AN19" s="150">
        <v>60.061999999999998</v>
      </c>
      <c r="AO19" s="150">
        <v>24.983000000000001</v>
      </c>
      <c r="AP19" s="150">
        <v>26.187000000000001</v>
      </c>
      <c r="AQ19" s="150">
        <v>26.187000000000001</v>
      </c>
      <c r="AR19" s="150">
        <v>29.411000000000001</v>
      </c>
      <c r="AS19" s="150">
        <v>29.411000000000001</v>
      </c>
      <c r="AT19" s="150"/>
      <c r="AU19" s="150"/>
      <c r="AV19" s="117"/>
      <c r="AW19" s="87"/>
      <c r="AX19" s="153">
        <f t="shared" si="4"/>
        <v>1.0898962038179574</v>
      </c>
      <c r="AY19" s="154">
        <f t="shared" si="4"/>
        <v>0.96964874830196002</v>
      </c>
      <c r="AZ19" s="153">
        <f t="shared" si="4"/>
        <v>1.1332438982170676</v>
      </c>
      <c r="BA19" s="154">
        <f t="shared" si="4"/>
        <v>1.1332438982170676</v>
      </c>
      <c r="BB19" s="153">
        <f t="shared" si="4"/>
        <v>1.0663500235669483</v>
      </c>
      <c r="BC19" s="154">
        <f t="shared" si="4"/>
        <v>1.0663500235669483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1.0919388182824254</v>
      </c>
      <c r="AY21" s="158">
        <f t="shared" si="5"/>
        <v>0.95373780828862331</v>
      </c>
      <c r="AZ21" s="157">
        <f t="shared" si="5"/>
        <v>1.1397028260916884</v>
      </c>
      <c r="BA21" s="158">
        <f t="shared" si="5"/>
        <v>1.1397028260916884</v>
      </c>
      <c r="BB21" s="157">
        <f t="shared" si="5"/>
        <v>1.0629766290422975</v>
      </c>
      <c r="BC21" s="158">
        <f t="shared" si="5"/>
        <v>1.0629766290422975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74064.856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74064.856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106483.952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106483.952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153539.93599999999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153539.93599999999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217714.95200000002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217714.95200000002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26.890747910000002</v>
      </c>
      <c r="G33" s="180">
        <v>28.567080310000001</v>
      </c>
      <c r="H33" s="180">
        <v>0.94600737999999995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26.890747910000002</v>
      </c>
      <c r="AE33" s="180">
        <v>28.567080310000001</v>
      </c>
      <c r="AF33" s="180">
        <v>0.94600737999999995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0</v>
      </c>
      <c r="AZ33" s="88">
        <f t="shared" si="6"/>
        <v>0</v>
      </c>
      <c r="BA33" s="88">
        <f t="shared" si="6"/>
        <v>0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30.349843230000001</v>
      </c>
      <c r="G34" s="148">
        <v>32.67925236</v>
      </c>
      <c r="H34" s="148">
        <v>0.97042530000000005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30.349843230000001</v>
      </c>
      <c r="AE34" s="148">
        <v>32.67925236</v>
      </c>
      <c r="AF34" s="148">
        <v>0.97042530000000005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</v>
      </c>
      <c r="AZ34" s="98">
        <f t="shared" si="6"/>
        <v>0</v>
      </c>
      <c r="BA34" s="98">
        <f t="shared" si="6"/>
        <v>0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34.490438670000003</v>
      </c>
      <c r="G35" s="148">
        <v>38.36439669</v>
      </c>
      <c r="H35" s="148">
        <v>0.98687446999999995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34.490438670000003</v>
      </c>
      <c r="AE35" s="148">
        <v>38.36439669</v>
      </c>
      <c r="AF35" s="148">
        <v>0.98687446999999995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</v>
      </c>
      <c r="AZ35" s="98">
        <f t="shared" si="6"/>
        <v>0</v>
      </c>
      <c r="BA35" s="98">
        <f t="shared" si="6"/>
        <v>0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36.636777049999999</v>
      </c>
      <c r="G36" s="148">
        <v>41.523211199999999</v>
      </c>
      <c r="H36" s="148">
        <v>0.99272932999999997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36.636777049999999</v>
      </c>
      <c r="AE36" s="148">
        <v>41.523211199999999</v>
      </c>
      <c r="AF36" s="148">
        <v>0.99272932999999997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</v>
      </c>
      <c r="AZ36" s="98">
        <f t="shared" si="6"/>
        <v>0</v>
      </c>
      <c r="BA36" s="98">
        <f t="shared" si="6"/>
        <v>0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24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cinema_track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cinema_track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29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ManWithFruit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ManWithFruit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LEGO_Ferrari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LEGO_Ferrari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LEGO_Bugatti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LEGO_Bugatti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Plant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Plant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Tennis_Player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Tennis_Player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32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Cricket_Player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Cricket_Player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33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Tango_Duo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Tango_Duo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34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Solo_Tango_Female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Solo_Tango_Female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35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Solo_Tango_Male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36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BlueBackpack_UVGgs_0100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FlowerDance_UVGgs_0200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FlowerDance_UVGgs_0200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Gymnast_UVGgs_0100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41</v>
      </c>
      <c r="C2" s="269" t="str">
        <f>CONCATENATE("Summary [ ",'Summary (auto)'!$C$3," ]")</f>
        <v>Summary [ 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Gymnast_UVGgs_0200</v>
      </c>
      <c r="AA2" s="272" t="str">
        <f>CONCATENATE("Summary [ ",'Summary (auto)'!$C$4," ]")</f>
        <v>Summary [ 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artwork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artwork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43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panda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panda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wukong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wukong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2025-07-25T03:42:28Z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