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增加精度\"/>
    </mc:Choice>
  </mc:AlternateContent>
  <xr:revisionPtr revIDLastSave="0" documentId="13_ncr:1_{D049FF69-AD53-4AC7-A721-016D2E47B8E3}" xr6:coauthVersionLast="47" xr6:coauthVersionMax="47" xr10:uidLastSave="{00000000-0000-0000-0000-000000000000}"/>
  <bookViews>
    <workbookView xWindow="2688" yWindow="2688" windowWidth="11904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54" i="10" l="1"/>
  <c r="F654" i="10"/>
  <c r="Y653" i="10"/>
  <c r="G653" i="10"/>
  <c r="AA652" i="10"/>
  <c r="I652" i="10"/>
  <c r="I651" i="10"/>
  <c r="H651" i="10"/>
  <c r="AB649" i="10"/>
  <c r="AB654" i="10" s="1"/>
  <c r="AA649" i="10"/>
  <c r="AA654" i="10" s="1"/>
  <c r="Z649" i="10"/>
  <c r="Z654" i="10" s="1"/>
  <c r="Y649" i="10"/>
  <c r="Y654" i="10" s="1"/>
  <c r="X649" i="10"/>
  <c r="X654" i="10" s="1"/>
  <c r="J649" i="10"/>
  <c r="J654" i="10" s="1"/>
  <c r="I649" i="10"/>
  <c r="I654" i="10" s="1"/>
  <c r="H649" i="10"/>
  <c r="H654" i="10" s="1"/>
  <c r="G649" i="10"/>
  <c r="F649" i="10"/>
  <c r="AB648" i="10"/>
  <c r="AB653" i="10" s="1"/>
  <c r="AA648" i="10"/>
  <c r="AA653" i="10" s="1"/>
  <c r="Z648" i="10"/>
  <c r="Y648" i="10"/>
  <c r="X648" i="10"/>
  <c r="X653" i="10" s="1"/>
  <c r="J648" i="10"/>
  <c r="J653" i="10" s="1"/>
  <c r="I648" i="10"/>
  <c r="H648" i="10"/>
  <c r="G648" i="10"/>
  <c r="F648" i="10"/>
  <c r="AB647" i="10"/>
  <c r="AA647" i="10"/>
  <c r="Z647" i="10"/>
  <c r="Y647" i="10"/>
  <c r="X647" i="10"/>
  <c r="X652" i="10" s="1"/>
  <c r="J647" i="10"/>
  <c r="I647" i="10"/>
  <c r="H647" i="10"/>
  <c r="G647" i="10"/>
  <c r="G652" i="10" s="1"/>
  <c r="F647" i="10"/>
  <c r="F652" i="10" s="1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J651" i="10" s="1"/>
  <c r="I646" i="10"/>
  <c r="H646" i="10"/>
  <c r="G646" i="10"/>
  <c r="G651" i="10" s="1"/>
  <c r="F646" i="10"/>
  <c r="F651" i="10" s="1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Z653" i="10" s="1"/>
  <c r="Y643" i="10"/>
  <c r="X643" i="10"/>
  <c r="J643" i="10"/>
  <c r="I643" i="10"/>
  <c r="I653" i="10" s="1"/>
  <c r="H643" i="10"/>
  <c r="H653" i="10" s="1"/>
  <c r="G643" i="10"/>
  <c r="F643" i="10"/>
  <c r="F653" i="10" s="1"/>
  <c r="AB642" i="10"/>
  <c r="AB652" i="10" s="1"/>
  <c r="AA642" i="10"/>
  <c r="Z642" i="10"/>
  <c r="Z652" i="10" s="1"/>
  <c r="Y642" i="10"/>
  <c r="Y652" i="10" s="1"/>
  <c r="X642" i="10"/>
  <c r="J642" i="10"/>
  <c r="I642" i="10"/>
  <c r="H642" i="10"/>
  <c r="H652" i="10" s="1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W7" i="10" s="1"/>
  <c r="E25" i="10"/>
  <c r="W24" i="10"/>
  <c r="E24" i="10"/>
  <c r="E6" i="10" s="1"/>
  <c r="W23" i="10"/>
  <c r="W5" i="10" s="1"/>
  <c r="E23" i="10"/>
  <c r="U13" i="10"/>
  <c r="C13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AJ5" i="10"/>
  <c r="AJ10" i="10" s="1"/>
  <c r="AI5" i="10"/>
  <c r="AH5" i="10"/>
  <c r="AB5" i="10"/>
  <c r="AA5" i="10"/>
  <c r="Z5" i="10"/>
  <c r="Y5" i="10"/>
  <c r="X5" i="10"/>
  <c r="R5" i="10"/>
  <c r="R10" i="10" s="1"/>
  <c r="Q5" i="10"/>
  <c r="P5" i="10"/>
  <c r="P10" i="10" s="1"/>
  <c r="J5" i="10"/>
  <c r="I5" i="10"/>
  <c r="H5" i="10"/>
  <c r="G5" i="10"/>
  <c r="F5" i="10"/>
  <c r="E5" i="10"/>
  <c r="AL2" i="10"/>
  <c r="U2" i="10"/>
  <c r="T2" i="10"/>
  <c r="C2" i="10"/>
  <c r="Z654" i="9"/>
  <c r="Y654" i="9"/>
  <c r="F654" i="9"/>
  <c r="AB653" i="9"/>
  <c r="Z653" i="9"/>
  <c r="J653" i="9"/>
  <c r="AA652" i="9"/>
  <c r="AB651" i="9"/>
  <c r="AA651" i="9"/>
  <c r="X651" i="9"/>
  <c r="H651" i="9"/>
  <c r="G651" i="9"/>
  <c r="AB649" i="9"/>
  <c r="AB654" i="9" s="1"/>
  <c r="AA649" i="9"/>
  <c r="AA654" i="9" s="1"/>
  <c r="Z649" i="9"/>
  <c r="Y649" i="9"/>
  <c r="X649" i="9"/>
  <c r="X654" i="9" s="1"/>
  <c r="J649" i="9"/>
  <c r="I649" i="9"/>
  <c r="I654" i="9" s="1"/>
  <c r="H649" i="9"/>
  <c r="G649" i="9"/>
  <c r="G654" i="9" s="1"/>
  <c r="F649" i="9"/>
  <c r="AB648" i="9"/>
  <c r="AA648" i="9"/>
  <c r="Z648" i="9"/>
  <c r="Y648" i="9"/>
  <c r="X648" i="9"/>
  <c r="J648" i="9"/>
  <c r="I648" i="9"/>
  <c r="H648" i="9"/>
  <c r="H653" i="9" s="1"/>
  <c r="G648" i="9"/>
  <c r="G653" i="9" s="1"/>
  <c r="F648" i="9"/>
  <c r="F653" i="9" s="1"/>
  <c r="AB647" i="9"/>
  <c r="AA647" i="9"/>
  <c r="Z647" i="9"/>
  <c r="Z652" i="9" s="1"/>
  <c r="Y647" i="9"/>
  <c r="Y652" i="9" s="1"/>
  <c r="X647" i="9"/>
  <c r="J647" i="9"/>
  <c r="J652" i="9" s="1"/>
  <c r="I647" i="9"/>
  <c r="I652" i="9" s="1"/>
  <c r="H647" i="9"/>
  <c r="H652" i="9" s="1"/>
  <c r="G647" i="9"/>
  <c r="G652" i="9" s="1"/>
  <c r="F647" i="9"/>
  <c r="F652" i="9" s="1"/>
  <c r="AB646" i="9"/>
  <c r="AA646" i="9"/>
  <c r="Z646" i="9"/>
  <c r="Z651" i="9" s="1"/>
  <c r="Y646" i="9"/>
  <c r="X646" i="9"/>
  <c r="J646" i="9"/>
  <c r="I646" i="9"/>
  <c r="I651" i="9" s="1"/>
  <c r="H646" i="9"/>
  <c r="G646" i="9"/>
  <c r="F646" i="9"/>
  <c r="AB644" i="9"/>
  <c r="AA644" i="9"/>
  <c r="Z644" i="9"/>
  <c r="Y644" i="9"/>
  <c r="X644" i="9"/>
  <c r="J644" i="9"/>
  <c r="I644" i="9"/>
  <c r="H644" i="9"/>
  <c r="H654" i="9" s="1"/>
  <c r="G644" i="9"/>
  <c r="F644" i="9"/>
  <c r="AB643" i="9"/>
  <c r="AA643" i="9"/>
  <c r="AA653" i="9" s="1"/>
  <c r="Z643" i="9"/>
  <c r="Y643" i="9"/>
  <c r="Y653" i="9" s="1"/>
  <c r="X643" i="9"/>
  <c r="X653" i="9" s="1"/>
  <c r="J643" i="9"/>
  <c r="I643" i="9"/>
  <c r="I653" i="9" s="1"/>
  <c r="H643" i="9"/>
  <c r="G643" i="9"/>
  <c r="F643" i="9"/>
  <c r="AB642" i="9"/>
  <c r="AB652" i="9" s="1"/>
  <c r="AA642" i="9"/>
  <c r="Z642" i="9"/>
  <c r="Y642" i="9"/>
  <c r="X642" i="9"/>
  <c r="J642" i="9"/>
  <c r="I642" i="9"/>
  <c r="H642" i="9"/>
  <c r="G642" i="9"/>
  <c r="F642" i="9"/>
  <c r="AB641" i="9"/>
  <c r="AA641" i="9"/>
  <c r="Z641" i="9"/>
  <c r="Y641" i="9"/>
  <c r="X641" i="9"/>
  <c r="J641" i="9"/>
  <c r="J651" i="9" s="1"/>
  <c r="I641" i="9"/>
  <c r="H641" i="9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E25" i="9"/>
  <c r="W24" i="9"/>
  <c r="E24" i="9"/>
  <c r="W23" i="9"/>
  <c r="E23" i="9"/>
  <c r="U13" i="9"/>
  <c r="C13" i="9"/>
  <c r="AJ10" i="9"/>
  <c r="AJ8" i="9"/>
  <c r="AI8" i="9"/>
  <c r="AH8" i="9"/>
  <c r="AH10" i="9" s="1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W7" i="9"/>
  <c r="R7" i="9"/>
  <c r="Q7" i="9"/>
  <c r="Q10" i="9" s="1"/>
  <c r="P7" i="9"/>
  <c r="P10" i="9" s="1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E6" i="9"/>
  <c r="AJ5" i="9"/>
  <c r="AI5" i="9"/>
  <c r="AI10" i="9" s="1"/>
  <c r="AH5" i="9"/>
  <c r="AB5" i="9"/>
  <c r="AA5" i="9"/>
  <c r="Z5" i="9"/>
  <c r="Y5" i="9"/>
  <c r="X5" i="9"/>
  <c r="W5" i="9"/>
  <c r="R5" i="9"/>
  <c r="R10" i="9" s="1"/>
  <c r="Q5" i="9"/>
  <c r="P5" i="9"/>
  <c r="J5" i="9"/>
  <c r="I5" i="9"/>
  <c r="H5" i="9"/>
  <c r="G5" i="9"/>
  <c r="F5" i="9"/>
  <c r="E5" i="9"/>
  <c r="AL2" i="9"/>
  <c r="U2" i="9"/>
  <c r="T2" i="9"/>
  <c r="C2" i="9"/>
  <c r="X654" i="8"/>
  <c r="J654" i="8"/>
  <c r="I654" i="8"/>
  <c r="H654" i="8"/>
  <c r="F654" i="8"/>
  <c r="AB653" i="8"/>
  <c r="Z653" i="8"/>
  <c r="Y652" i="8"/>
  <c r="X652" i="8"/>
  <c r="Z651" i="8"/>
  <c r="Y651" i="8"/>
  <c r="X651" i="8"/>
  <c r="J651" i="8"/>
  <c r="H651" i="8"/>
  <c r="AB649" i="8"/>
  <c r="AB654" i="8" s="1"/>
  <c r="AA649" i="8"/>
  <c r="Z649" i="8"/>
  <c r="Z654" i="8" s="1"/>
  <c r="Y649" i="8"/>
  <c r="Y654" i="8" s="1"/>
  <c r="X649" i="8"/>
  <c r="J649" i="8"/>
  <c r="I649" i="8"/>
  <c r="H649" i="8"/>
  <c r="G649" i="8"/>
  <c r="F649" i="8"/>
  <c r="AB648" i="8"/>
  <c r="AA648" i="8"/>
  <c r="Z648" i="8"/>
  <c r="Y648" i="8"/>
  <c r="X648" i="8"/>
  <c r="J648" i="8"/>
  <c r="I648" i="8"/>
  <c r="H648" i="8"/>
  <c r="G648" i="8"/>
  <c r="F648" i="8"/>
  <c r="AB647" i="8"/>
  <c r="AB652" i="8" s="1"/>
  <c r="AA647" i="8"/>
  <c r="AA652" i="8" s="1"/>
  <c r="Z647" i="8"/>
  <c r="Z652" i="8" s="1"/>
  <c r="Y647" i="8"/>
  <c r="X647" i="8"/>
  <c r="J647" i="8"/>
  <c r="J652" i="8" s="1"/>
  <c r="I647" i="8"/>
  <c r="I652" i="8" s="1"/>
  <c r="H647" i="8"/>
  <c r="H652" i="8" s="1"/>
  <c r="G647" i="8"/>
  <c r="G652" i="8" s="1"/>
  <c r="F647" i="8"/>
  <c r="AB646" i="8"/>
  <c r="AB651" i="8" s="1"/>
  <c r="AA646" i="8"/>
  <c r="AA651" i="8" s="1"/>
  <c r="Z646" i="8"/>
  <c r="Y646" i="8"/>
  <c r="X646" i="8"/>
  <c r="J646" i="8"/>
  <c r="I646" i="8"/>
  <c r="H646" i="8"/>
  <c r="G646" i="8"/>
  <c r="F646" i="8"/>
  <c r="AB644" i="8"/>
  <c r="AA644" i="8"/>
  <c r="Z644" i="8"/>
  <c r="Y644" i="8"/>
  <c r="X644" i="8"/>
  <c r="J644" i="8"/>
  <c r="I644" i="8"/>
  <c r="H644" i="8"/>
  <c r="G644" i="8"/>
  <c r="G654" i="8" s="1"/>
  <c r="F644" i="8"/>
  <c r="AB643" i="8"/>
  <c r="AA643" i="8"/>
  <c r="AA653" i="8" s="1"/>
  <c r="Z643" i="8"/>
  <c r="Y643" i="8"/>
  <c r="X643" i="8"/>
  <c r="X653" i="8" s="1"/>
  <c r="J643" i="8"/>
  <c r="J653" i="8" s="1"/>
  <c r="I643" i="8"/>
  <c r="H643" i="8"/>
  <c r="G643" i="8"/>
  <c r="F643" i="8"/>
  <c r="AB642" i="8"/>
  <c r="AA642" i="8"/>
  <c r="Z642" i="8"/>
  <c r="Y642" i="8"/>
  <c r="X642" i="8"/>
  <c r="J642" i="8"/>
  <c r="I642" i="8"/>
  <c r="H642" i="8"/>
  <c r="G642" i="8"/>
  <c r="F642" i="8"/>
  <c r="AB641" i="8"/>
  <c r="AA641" i="8"/>
  <c r="Z641" i="8"/>
  <c r="Y641" i="8"/>
  <c r="X641" i="8"/>
  <c r="J641" i="8"/>
  <c r="I641" i="8"/>
  <c r="I651" i="8" s="1"/>
  <c r="H641" i="8"/>
  <c r="G641" i="8"/>
  <c r="G651" i="8" s="1"/>
  <c r="F641" i="8"/>
  <c r="F651" i="8" s="1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E25" i="8"/>
  <c r="E7" i="8" s="1"/>
  <c r="W24" i="8"/>
  <c r="W6" i="8" s="1"/>
  <c r="E24" i="8"/>
  <c r="W23" i="8"/>
  <c r="W5" i="8" s="1"/>
  <c r="E23" i="8"/>
  <c r="U13" i="8"/>
  <c r="C13" i="8"/>
  <c r="AI10" i="8"/>
  <c r="R10" i="8"/>
  <c r="AJ8" i="8"/>
  <c r="AI8" i="8"/>
  <c r="AH8" i="8"/>
  <c r="AH10" i="8" s="1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W7" i="8"/>
  <c r="R7" i="8"/>
  <c r="Q7" i="8"/>
  <c r="Q10" i="8" s="1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E6" i="8"/>
  <c r="AJ5" i="8"/>
  <c r="AJ10" i="8" s="1"/>
  <c r="AI5" i="8"/>
  <c r="AH5" i="8"/>
  <c r="AB5" i="8"/>
  <c r="AA5" i="8"/>
  <c r="Z5" i="8"/>
  <c r="Y5" i="8"/>
  <c r="X5" i="8"/>
  <c r="R5" i="8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AA654" i="7"/>
  <c r="X654" i="7"/>
  <c r="J654" i="7"/>
  <c r="G654" i="7"/>
  <c r="F654" i="7"/>
  <c r="G653" i="7"/>
  <c r="AA652" i="7"/>
  <c r="J652" i="7"/>
  <c r="Y651" i="7"/>
  <c r="H651" i="7"/>
  <c r="AB649" i="7"/>
  <c r="AA649" i="7"/>
  <c r="Z649" i="7"/>
  <c r="Y649" i="7"/>
  <c r="X649" i="7"/>
  <c r="J649" i="7"/>
  <c r="I649" i="7"/>
  <c r="I654" i="7" s="1"/>
  <c r="H649" i="7"/>
  <c r="H654" i="7" s="1"/>
  <c r="G649" i="7"/>
  <c r="F649" i="7"/>
  <c r="AB648" i="7"/>
  <c r="AB653" i="7" s="1"/>
  <c r="AA648" i="7"/>
  <c r="AA653" i="7" s="1"/>
  <c r="Z648" i="7"/>
  <c r="Z653" i="7" s="1"/>
  <c r="Y648" i="7"/>
  <c r="Y653" i="7" s="1"/>
  <c r="X648" i="7"/>
  <c r="X653" i="7" s="1"/>
  <c r="J648" i="7"/>
  <c r="J653" i="7" s="1"/>
  <c r="I648" i="7"/>
  <c r="I653" i="7" s="1"/>
  <c r="H648" i="7"/>
  <c r="H653" i="7" s="1"/>
  <c r="G648" i="7"/>
  <c r="F648" i="7"/>
  <c r="F653" i="7" s="1"/>
  <c r="AB647" i="7"/>
  <c r="AB652" i="7" s="1"/>
  <c r="AA647" i="7"/>
  <c r="Z647" i="7"/>
  <c r="Y647" i="7"/>
  <c r="Y652" i="7" s="1"/>
  <c r="X647" i="7"/>
  <c r="J647" i="7"/>
  <c r="I647" i="7"/>
  <c r="H647" i="7"/>
  <c r="G647" i="7"/>
  <c r="F647" i="7"/>
  <c r="AB646" i="7"/>
  <c r="AA646" i="7"/>
  <c r="Z646" i="7"/>
  <c r="Y646" i="7"/>
  <c r="X646" i="7"/>
  <c r="X651" i="7" s="1"/>
  <c r="J646" i="7"/>
  <c r="J651" i="7" s="1"/>
  <c r="I646" i="7"/>
  <c r="I651" i="7" s="1"/>
  <c r="H646" i="7"/>
  <c r="G646" i="7"/>
  <c r="G651" i="7" s="1"/>
  <c r="F646" i="7"/>
  <c r="F651" i="7" s="1"/>
  <c r="AB644" i="7"/>
  <c r="AB654" i="7" s="1"/>
  <c r="AA644" i="7"/>
  <c r="Z644" i="7"/>
  <c r="Z654" i="7" s="1"/>
  <c r="Y644" i="7"/>
  <c r="Y654" i="7" s="1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H643" i="7"/>
  <c r="G643" i="7"/>
  <c r="F643" i="7"/>
  <c r="AB642" i="7"/>
  <c r="AA642" i="7"/>
  <c r="Z642" i="7"/>
  <c r="Z652" i="7" s="1"/>
  <c r="Y642" i="7"/>
  <c r="X642" i="7"/>
  <c r="X652" i="7" s="1"/>
  <c r="J642" i="7"/>
  <c r="I642" i="7"/>
  <c r="I652" i="7" s="1"/>
  <c r="H642" i="7"/>
  <c r="H652" i="7" s="1"/>
  <c r="G642" i="7"/>
  <c r="G652" i="7" s="1"/>
  <c r="F642" i="7"/>
  <c r="F652" i="7" s="1"/>
  <c r="AB641" i="7"/>
  <c r="AB651" i="7" s="1"/>
  <c r="AA641" i="7"/>
  <c r="AA651" i="7" s="1"/>
  <c r="Z641" i="7"/>
  <c r="Z651" i="7" s="1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W7" i="7" s="1"/>
  <c r="E25" i="7"/>
  <c r="E7" i="7" s="1"/>
  <c r="W24" i="7"/>
  <c r="E24" i="7"/>
  <c r="E6" i="7" s="1"/>
  <c r="W23" i="7"/>
  <c r="W5" i="7" s="1"/>
  <c r="E23" i="7"/>
  <c r="U13" i="7"/>
  <c r="C13" i="7"/>
  <c r="AJ10" i="7"/>
  <c r="R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Q10" i="7" s="1"/>
  <c r="P6" i="7"/>
  <c r="J6" i="7"/>
  <c r="I6" i="7"/>
  <c r="H6" i="7"/>
  <c r="G6" i="7"/>
  <c r="F6" i="7"/>
  <c r="AJ5" i="7"/>
  <c r="AI5" i="7"/>
  <c r="AH5" i="7"/>
  <c r="AB5" i="7"/>
  <c r="AA5" i="7"/>
  <c r="Z5" i="7"/>
  <c r="Y5" i="7"/>
  <c r="X5" i="7"/>
  <c r="R5" i="7"/>
  <c r="Q5" i="7"/>
  <c r="P5" i="7"/>
  <c r="J5" i="7"/>
  <c r="I5" i="7"/>
  <c r="H5" i="7"/>
  <c r="G5" i="7"/>
  <c r="F5" i="7"/>
  <c r="E5" i="7"/>
  <c r="AL2" i="7"/>
  <c r="U2" i="7"/>
  <c r="T2" i="7"/>
  <c r="C2" i="7"/>
  <c r="M112" i="6"/>
  <c r="L112" i="6"/>
  <c r="B107" i="6"/>
  <c r="B106" i="6"/>
  <c r="F103" i="6"/>
  <c r="F106" i="6" s="1"/>
  <c r="F107" i="6" s="1"/>
  <c r="F108" i="6" s="1"/>
  <c r="F109" i="6" s="1"/>
  <c r="M101" i="6"/>
  <c r="L101" i="6"/>
  <c r="B96" i="6"/>
  <c r="B95" i="6"/>
  <c r="F92" i="6"/>
  <c r="M90" i="6"/>
  <c r="L90" i="6"/>
  <c r="B87" i="6"/>
  <c r="B86" i="6"/>
  <c r="F85" i="6"/>
  <c r="F86" i="6" s="1"/>
  <c r="F87" i="6" s="1"/>
  <c r="B85" i="6"/>
  <c r="B84" i="6"/>
  <c r="L81" i="6"/>
  <c r="L83" i="6" s="1"/>
  <c r="F81" i="6"/>
  <c r="F84" i="6" s="1"/>
  <c r="M79" i="6"/>
  <c r="L79" i="6"/>
  <c r="F73" i="6"/>
  <c r="F74" i="6" s="1"/>
  <c r="F75" i="6" s="1"/>
  <c r="F76" i="6" s="1"/>
  <c r="B73" i="6"/>
  <c r="B74" i="6" s="1"/>
  <c r="L70" i="6"/>
  <c r="M72" i="6" s="1"/>
  <c r="F70" i="6"/>
  <c r="M68" i="6"/>
  <c r="L68" i="6"/>
  <c r="B63" i="6"/>
  <c r="B62" i="6"/>
  <c r="L59" i="6"/>
  <c r="L61" i="6" s="1"/>
  <c r="F59" i="6"/>
  <c r="F62" i="6" s="1"/>
  <c r="F63" i="6" s="1"/>
  <c r="F64" i="6" s="1"/>
  <c r="F65" i="6" s="1"/>
  <c r="M57" i="6"/>
  <c r="L57" i="6"/>
  <c r="F51" i="6"/>
  <c r="F52" i="6" s="1"/>
  <c r="F53" i="6" s="1"/>
  <c r="F54" i="6" s="1"/>
  <c r="B51" i="6"/>
  <c r="B52" i="6" s="1"/>
  <c r="L48" i="6"/>
  <c r="F48" i="6"/>
  <c r="M46" i="6"/>
  <c r="L46" i="6"/>
  <c r="B41" i="6"/>
  <c r="B40" i="6"/>
  <c r="F37" i="6"/>
  <c r="M35" i="6"/>
  <c r="L35" i="6"/>
  <c r="B30" i="6"/>
  <c r="F29" i="6"/>
  <c r="F30" i="6" s="1"/>
  <c r="F31" i="6" s="1"/>
  <c r="F32" i="6" s="1"/>
  <c r="B29" i="6"/>
  <c r="L28" i="6"/>
  <c r="L26" i="6"/>
  <c r="F26" i="6"/>
  <c r="M24" i="6"/>
  <c r="L24" i="6"/>
  <c r="B21" i="6"/>
  <c r="B20" i="6"/>
  <c r="B19" i="6"/>
  <c r="B18" i="6"/>
  <c r="F15" i="6"/>
  <c r="F18" i="6" s="1"/>
  <c r="F19" i="6" s="1"/>
  <c r="F20" i="6" s="1"/>
  <c r="F21" i="6" s="1"/>
  <c r="M13" i="6"/>
  <c r="L13" i="6"/>
  <c r="F7" i="6"/>
  <c r="F8" i="6" s="1"/>
  <c r="F9" i="6" s="1"/>
  <c r="F10" i="6" s="1"/>
  <c r="B7" i="6"/>
  <c r="L4" i="6"/>
  <c r="F4" i="6"/>
  <c r="F2" i="6"/>
  <c r="B2" i="6"/>
  <c r="M112" i="5"/>
  <c r="L112" i="5"/>
  <c r="F107" i="5"/>
  <c r="F108" i="5" s="1"/>
  <c r="F109" i="5" s="1"/>
  <c r="B107" i="5"/>
  <c r="B106" i="5"/>
  <c r="L105" i="5"/>
  <c r="L103" i="5"/>
  <c r="M105" i="5" s="1"/>
  <c r="F103" i="5"/>
  <c r="F106" i="5" s="1"/>
  <c r="M101" i="5"/>
  <c r="L101" i="5"/>
  <c r="F95" i="5"/>
  <c r="F96" i="5" s="1"/>
  <c r="F97" i="5" s="1"/>
  <c r="F98" i="5" s="1"/>
  <c r="B95" i="5"/>
  <c r="B96" i="5" s="1"/>
  <c r="L92" i="5"/>
  <c r="L94" i="5" s="1"/>
  <c r="F92" i="5"/>
  <c r="M90" i="5"/>
  <c r="L90" i="5"/>
  <c r="F85" i="5"/>
  <c r="F86" i="5" s="1"/>
  <c r="F87" i="5" s="1"/>
  <c r="B85" i="5"/>
  <c r="B84" i="5"/>
  <c r="M83" i="5"/>
  <c r="L83" i="5"/>
  <c r="L81" i="5"/>
  <c r="F81" i="5"/>
  <c r="F84" i="5" s="1"/>
  <c r="M79" i="5"/>
  <c r="L79" i="5"/>
  <c r="B74" i="5"/>
  <c r="B73" i="5"/>
  <c r="F70" i="5"/>
  <c r="M68" i="5"/>
  <c r="L68" i="5"/>
  <c r="B63" i="5"/>
  <c r="B62" i="5"/>
  <c r="F59" i="5"/>
  <c r="F62" i="5" s="1"/>
  <c r="F63" i="5" s="1"/>
  <c r="F64" i="5" s="1"/>
  <c r="F65" i="5" s="1"/>
  <c r="M57" i="5"/>
  <c r="L57" i="5"/>
  <c r="B52" i="5"/>
  <c r="F51" i="5"/>
  <c r="F52" i="5" s="1"/>
  <c r="F53" i="5" s="1"/>
  <c r="F54" i="5" s="1"/>
  <c r="B51" i="5"/>
  <c r="M50" i="5"/>
  <c r="L48" i="5"/>
  <c r="L50" i="5" s="1"/>
  <c r="F48" i="5"/>
  <c r="M46" i="5"/>
  <c r="L46" i="5"/>
  <c r="B40" i="5"/>
  <c r="B41" i="5" s="1"/>
  <c r="F37" i="5"/>
  <c r="F40" i="5" s="1"/>
  <c r="F41" i="5" s="1"/>
  <c r="F42" i="5" s="1"/>
  <c r="F43" i="5" s="1"/>
  <c r="M35" i="5"/>
  <c r="L35" i="5"/>
  <c r="F29" i="5"/>
  <c r="F30" i="5" s="1"/>
  <c r="F31" i="5" s="1"/>
  <c r="F32" i="5" s="1"/>
  <c r="B29" i="5"/>
  <c r="B30" i="5" s="1"/>
  <c r="L28" i="5"/>
  <c r="L26" i="5"/>
  <c r="M28" i="5" s="1"/>
  <c r="F26" i="5"/>
  <c r="M24" i="5"/>
  <c r="L24" i="5"/>
  <c r="B18" i="5"/>
  <c r="F15" i="5"/>
  <c r="F18" i="5" s="1"/>
  <c r="F19" i="5" s="1"/>
  <c r="F20" i="5" s="1"/>
  <c r="F21" i="5" s="1"/>
  <c r="M13" i="5"/>
  <c r="L13" i="5"/>
  <c r="B8" i="5"/>
  <c r="F7" i="5"/>
  <c r="F8" i="5" s="1"/>
  <c r="F9" i="5" s="1"/>
  <c r="F10" i="5" s="1"/>
  <c r="B7" i="5"/>
  <c r="L4" i="5"/>
  <c r="L6" i="5" s="1"/>
  <c r="F4" i="5"/>
  <c r="F2" i="5"/>
  <c r="M6" i="5" s="1"/>
  <c r="B2" i="5"/>
  <c r="M112" i="4"/>
  <c r="L112" i="4"/>
  <c r="B106" i="4"/>
  <c r="F103" i="4"/>
  <c r="F106" i="4" s="1"/>
  <c r="F107" i="4" s="1"/>
  <c r="F108" i="4" s="1"/>
  <c r="F109" i="4" s="1"/>
  <c r="M101" i="4"/>
  <c r="L101" i="4"/>
  <c r="F95" i="4"/>
  <c r="F96" i="4" s="1"/>
  <c r="F97" i="4" s="1"/>
  <c r="F98" i="4" s="1"/>
  <c r="B95" i="4"/>
  <c r="B96" i="4" s="1"/>
  <c r="L92" i="4"/>
  <c r="L94" i="4" s="1"/>
  <c r="F92" i="4"/>
  <c r="M90" i="4"/>
  <c r="L90" i="4"/>
  <c r="B84" i="4"/>
  <c r="M83" i="4"/>
  <c r="L83" i="4"/>
  <c r="F81" i="4"/>
  <c r="L81" i="4" s="1"/>
  <c r="M79" i="4"/>
  <c r="L79" i="4"/>
  <c r="B74" i="4"/>
  <c r="F73" i="4"/>
  <c r="F74" i="4" s="1"/>
  <c r="F75" i="4" s="1"/>
  <c r="F76" i="4" s="1"/>
  <c r="B73" i="4"/>
  <c r="L72" i="4"/>
  <c r="L70" i="4"/>
  <c r="M72" i="4" s="1"/>
  <c r="F70" i="4"/>
  <c r="M68" i="4"/>
  <c r="L68" i="4"/>
  <c r="F62" i="4"/>
  <c r="F63" i="4" s="1"/>
  <c r="F64" i="4" s="1"/>
  <c r="F65" i="4" s="1"/>
  <c r="B62" i="4"/>
  <c r="L61" i="4"/>
  <c r="L59" i="4"/>
  <c r="M61" i="4" s="1"/>
  <c r="F59" i="4"/>
  <c r="M57" i="4"/>
  <c r="L57" i="4"/>
  <c r="F52" i="4"/>
  <c r="F53" i="4" s="1"/>
  <c r="F54" i="4" s="1"/>
  <c r="B52" i="4"/>
  <c r="B53" i="4" s="1"/>
  <c r="B51" i="4"/>
  <c r="L50" i="4"/>
  <c r="L48" i="4"/>
  <c r="M50" i="4" s="1"/>
  <c r="F48" i="4"/>
  <c r="F51" i="4" s="1"/>
  <c r="M46" i="4"/>
  <c r="L46" i="4"/>
  <c r="B40" i="4"/>
  <c r="F37" i="4"/>
  <c r="L37" i="4" s="1"/>
  <c r="M35" i="4"/>
  <c r="L35" i="4"/>
  <c r="F30" i="4"/>
  <c r="F31" i="4" s="1"/>
  <c r="F32" i="4" s="1"/>
  <c r="B30" i="4"/>
  <c r="B29" i="4"/>
  <c r="L26" i="4"/>
  <c r="M28" i="4" s="1"/>
  <c r="F26" i="4"/>
  <c r="F29" i="4" s="1"/>
  <c r="M24" i="4"/>
  <c r="L24" i="4"/>
  <c r="F18" i="4"/>
  <c r="F19" i="4" s="1"/>
  <c r="F20" i="4" s="1"/>
  <c r="F21" i="4" s="1"/>
  <c r="B18" i="4"/>
  <c r="L15" i="4"/>
  <c r="M17" i="4" s="1"/>
  <c r="F15" i="4"/>
  <c r="M13" i="4"/>
  <c r="L13" i="4"/>
  <c r="F8" i="4"/>
  <c r="F9" i="4" s="1"/>
  <c r="F10" i="4" s="1"/>
  <c r="B8" i="4"/>
  <c r="B9" i="4" s="1"/>
  <c r="F7" i="4"/>
  <c r="B7" i="4"/>
  <c r="M6" i="4"/>
  <c r="L6" i="4"/>
  <c r="F4" i="4"/>
  <c r="L4" i="4" s="1"/>
  <c r="F2" i="4"/>
  <c r="B2" i="4"/>
  <c r="M112" i="3"/>
  <c r="L112" i="3"/>
  <c r="F106" i="3"/>
  <c r="F107" i="3" s="1"/>
  <c r="F108" i="3" s="1"/>
  <c r="F109" i="3" s="1"/>
  <c r="B106" i="3"/>
  <c r="M105" i="3"/>
  <c r="L105" i="3"/>
  <c r="L103" i="3"/>
  <c r="F103" i="3"/>
  <c r="M101" i="3"/>
  <c r="L101" i="3"/>
  <c r="F98" i="3"/>
  <c r="F95" i="3"/>
  <c r="F96" i="3" s="1"/>
  <c r="F97" i="3" s="1"/>
  <c r="B95" i="3"/>
  <c r="M94" i="3"/>
  <c r="F92" i="3"/>
  <c r="L92" i="3" s="1"/>
  <c r="L94" i="3" s="1"/>
  <c r="M90" i="3"/>
  <c r="L90" i="3"/>
  <c r="F86" i="3"/>
  <c r="F87" i="3" s="1"/>
  <c r="F84" i="3"/>
  <c r="F85" i="3" s="1"/>
  <c r="B84" i="3"/>
  <c r="M83" i="3"/>
  <c r="L81" i="3"/>
  <c r="L83" i="3" s="1"/>
  <c r="F81" i="3"/>
  <c r="M79" i="3"/>
  <c r="L79" i="3"/>
  <c r="F74" i="3"/>
  <c r="F75" i="3" s="1"/>
  <c r="F76" i="3" s="1"/>
  <c r="B74" i="3"/>
  <c r="F73" i="3"/>
  <c r="B73" i="3"/>
  <c r="L72" i="3"/>
  <c r="F70" i="3"/>
  <c r="L70" i="3" s="1"/>
  <c r="M72" i="3" s="1"/>
  <c r="M68" i="3"/>
  <c r="L68" i="3"/>
  <c r="F64" i="3"/>
  <c r="F65" i="3" s="1"/>
  <c r="B62" i="3"/>
  <c r="L59" i="3"/>
  <c r="F59" i="3"/>
  <c r="F62" i="3" s="1"/>
  <c r="F63" i="3" s="1"/>
  <c r="M57" i="3"/>
  <c r="L57" i="3"/>
  <c r="F54" i="3"/>
  <c r="B52" i="3"/>
  <c r="F51" i="3"/>
  <c r="F52" i="3" s="1"/>
  <c r="F53" i="3" s="1"/>
  <c r="B51" i="3"/>
  <c r="F48" i="3"/>
  <c r="L48" i="3" s="1"/>
  <c r="M46" i="3"/>
  <c r="L46" i="3"/>
  <c r="B40" i="3"/>
  <c r="F37" i="3"/>
  <c r="M35" i="3"/>
  <c r="L35" i="3"/>
  <c r="B30" i="3"/>
  <c r="F29" i="3"/>
  <c r="F30" i="3" s="1"/>
  <c r="F31" i="3" s="1"/>
  <c r="F32" i="3" s="1"/>
  <c r="B29" i="3"/>
  <c r="M28" i="3"/>
  <c r="L28" i="3"/>
  <c r="F26" i="3"/>
  <c r="L26" i="3" s="1"/>
  <c r="M24" i="3"/>
  <c r="L24" i="3"/>
  <c r="B18" i="3"/>
  <c r="F15" i="3"/>
  <c r="M13" i="3"/>
  <c r="L13" i="3"/>
  <c r="F10" i="3"/>
  <c r="F8" i="3"/>
  <c r="F9" i="3" s="1"/>
  <c r="B8" i="3"/>
  <c r="F7" i="3"/>
  <c r="B7" i="3"/>
  <c r="F4" i="3"/>
  <c r="L4" i="3" s="1"/>
  <c r="M6" i="3" s="1"/>
  <c r="F2" i="3"/>
  <c r="B2" i="3"/>
  <c r="M112" i="2"/>
  <c r="L112" i="2"/>
  <c r="B106" i="2"/>
  <c r="B107" i="2" s="1"/>
  <c r="F103" i="2"/>
  <c r="L103" i="2" s="1"/>
  <c r="L105" i="2" s="1"/>
  <c r="M101" i="2"/>
  <c r="L101" i="2"/>
  <c r="B96" i="2"/>
  <c r="F95" i="2"/>
  <c r="F96" i="2" s="1"/>
  <c r="F97" i="2" s="1"/>
  <c r="F98" i="2" s="1"/>
  <c r="B95" i="2"/>
  <c r="F92" i="2"/>
  <c r="L92" i="2" s="1"/>
  <c r="L94" i="2" s="1"/>
  <c r="M90" i="2"/>
  <c r="L90" i="2"/>
  <c r="B84" i="2"/>
  <c r="F81" i="2"/>
  <c r="M79" i="2"/>
  <c r="L79" i="2"/>
  <c r="F74" i="2"/>
  <c r="F75" i="2" s="1"/>
  <c r="F76" i="2" s="1"/>
  <c r="B74" i="2"/>
  <c r="B75" i="2" s="1"/>
  <c r="F73" i="2"/>
  <c r="B73" i="2"/>
  <c r="F70" i="2"/>
  <c r="L70" i="2" s="1"/>
  <c r="L72" i="2" s="1"/>
  <c r="M68" i="2"/>
  <c r="L68" i="2"/>
  <c r="B62" i="2"/>
  <c r="L59" i="2"/>
  <c r="M61" i="2" s="1"/>
  <c r="F59" i="2"/>
  <c r="F62" i="2" s="1"/>
  <c r="F63" i="2" s="1"/>
  <c r="F64" i="2" s="1"/>
  <c r="F65" i="2" s="1"/>
  <c r="M57" i="2"/>
  <c r="L57" i="2"/>
  <c r="F53" i="2"/>
  <c r="F54" i="2" s="1"/>
  <c r="B52" i="2"/>
  <c r="F51" i="2"/>
  <c r="F52" i="2" s="1"/>
  <c r="B51" i="2"/>
  <c r="F48" i="2"/>
  <c r="L48" i="2" s="1"/>
  <c r="L50" i="2" s="1"/>
  <c r="M46" i="2"/>
  <c r="L46" i="2"/>
  <c r="F42" i="2"/>
  <c r="F43" i="2" s="1"/>
  <c r="F40" i="2"/>
  <c r="F41" i="2" s="1"/>
  <c r="B40" i="2"/>
  <c r="M39" i="2"/>
  <c r="L39" i="2"/>
  <c r="L37" i="2"/>
  <c r="F37" i="2"/>
  <c r="M35" i="2"/>
  <c r="L35" i="2"/>
  <c r="B31" i="2"/>
  <c r="B30" i="2"/>
  <c r="F29" i="2"/>
  <c r="F30" i="2" s="1"/>
  <c r="F31" i="2" s="1"/>
  <c r="F32" i="2" s="1"/>
  <c r="B29" i="2"/>
  <c r="F26" i="2"/>
  <c r="L26" i="2" s="1"/>
  <c r="L28" i="2" s="1"/>
  <c r="M24" i="2"/>
  <c r="L24" i="2"/>
  <c r="B21" i="2"/>
  <c r="B20" i="2"/>
  <c r="F18" i="2"/>
  <c r="F19" i="2" s="1"/>
  <c r="F20" i="2" s="1"/>
  <c r="F21" i="2" s="1"/>
  <c r="B18" i="2"/>
  <c r="B19" i="2" s="1"/>
  <c r="L15" i="2"/>
  <c r="L17" i="2" s="1"/>
  <c r="F15" i="2"/>
  <c r="M13" i="2"/>
  <c r="L13" i="2"/>
  <c r="B8" i="2"/>
  <c r="F7" i="2"/>
  <c r="F8" i="2" s="1"/>
  <c r="F9" i="2" s="1"/>
  <c r="F10" i="2" s="1"/>
  <c r="B7" i="2"/>
  <c r="F4" i="2"/>
  <c r="L4" i="2" s="1"/>
  <c r="L6" i="2" s="1"/>
  <c r="F2" i="2"/>
  <c r="B2" i="2"/>
  <c r="AQ5" i="7"/>
  <c r="AP5" i="7"/>
  <c r="AO5" i="7"/>
  <c r="AN5" i="7"/>
  <c r="AQ5" i="10"/>
  <c r="AQ5" i="9"/>
  <c r="AP5" i="10"/>
  <c r="AP5" i="9"/>
  <c r="AQ5" i="8"/>
  <c r="AO5" i="10"/>
  <c r="AO5" i="9"/>
  <c r="AP5" i="8"/>
  <c r="AN5" i="10"/>
  <c r="AN5" i="9"/>
  <c r="AO5" i="8"/>
  <c r="AM5" i="7"/>
  <c r="AM5" i="10"/>
  <c r="AM5" i="9"/>
  <c r="AN5" i="8"/>
  <c r="AM5" i="8"/>
  <c r="D18" i="3"/>
  <c r="H73" i="2"/>
  <c r="H14" i="1"/>
  <c r="D8" i="4"/>
  <c r="M85" i="6"/>
  <c r="H73" i="4"/>
  <c r="D73" i="4"/>
  <c r="E17" i="1"/>
  <c r="H20" i="2"/>
  <c r="L18" i="2"/>
  <c r="L95" i="6"/>
  <c r="H73" i="3"/>
  <c r="D41" i="6"/>
  <c r="D9" i="1"/>
  <c r="H19" i="6"/>
  <c r="L62" i="6"/>
  <c r="L8" i="5"/>
  <c r="L51" i="2"/>
  <c r="L84" i="6"/>
  <c r="M95" i="4"/>
  <c r="L85" i="5"/>
  <c r="M84" i="6"/>
  <c r="L19" i="6"/>
  <c r="L30" i="2"/>
  <c r="L40" i="6"/>
  <c r="H74" i="3"/>
  <c r="D10" i="1"/>
  <c r="F9" i="1"/>
  <c r="H51" i="6"/>
  <c r="B16" i="1"/>
  <c r="H30" i="2"/>
  <c r="H85" i="6"/>
  <c r="M20" i="6"/>
  <c r="D11" i="1"/>
  <c r="D13" i="1"/>
  <c r="M95" i="3"/>
  <c r="M20" i="2"/>
  <c r="M73" i="2"/>
  <c r="B17" i="1"/>
  <c r="D73" i="3"/>
  <c r="M30" i="2"/>
  <c r="M29" i="2"/>
  <c r="M29" i="4"/>
  <c r="D12" i="1"/>
  <c r="B9" i="1"/>
  <c r="L29" i="5"/>
  <c r="D74" i="3"/>
  <c r="M19" i="2"/>
  <c r="D14" i="1"/>
  <c r="L106" i="2"/>
  <c r="F16" i="1"/>
  <c r="L21" i="2"/>
  <c r="L29" i="2"/>
  <c r="D95" i="2"/>
  <c r="M73" i="4"/>
  <c r="H73" i="5"/>
  <c r="D16" i="1"/>
  <c r="G11" i="1"/>
  <c r="H51" i="2"/>
  <c r="L73" i="2"/>
  <c r="M18" i="6"/>
  <c r="D18" i="1"/>
  <c r="H18" i="2"/>
  <c r="M7" i="3"/>
  <c r="M74" i="3"/>
  <c r="H17" i="1"/>
  <c r="H74" i="5"/>
  <c r="M51" i="6"/>
  <c r="G16" i="1"/>
  <c r="D19" i="6"/>
  <c r="H29" i="5"/>
  <c r="D29" i="5"/>
  <c r="D106" i="4"/>
  <c r="D84" i="4"/>
  <c r="H85" i="5"/>
  <c r="F12" i="1"/>
  <c r="M106" i="6"/>
  <c r="D85" i="5"/>
  <c r="E9" i="1"/>
  <c r="L74" i="3"/>
  <c r="F11" i="1"/>
  <c r="D73" i="2"/>
  <c r="M7" i="2"/>
  <c r="H8" i="2"/>
  <c r="H11" i="1"/>
  <c r="L51" i="3"/>
  <c r="D52" i="5"/>
  <c r="M29" i="5"/>
  <c r="D17" i="1"/>
  <c r="M21" i="2"/>
  <c r="L95" i="4"/>
  <c r="B14" i="1"/>
  <c r="M95" i="2"/>
  <c r="B18" i="1"/>
  <c r="L85" i="6"/>
  <c r="D20" i="2"/>
  <c r="E11" i="1"/>
  <c r="G9" i="1"/>
  <c r="L73" i="3"/>
  <c r="H95" i="6"/>
  <c r="H95" i="4"/>
  <c r="M40" i="6"/>
  <c r="H18" i="1"/>
  <c r="H7" i="4"/>
  <c r="H15" i="1"/>
  <c r="D95" i="6"/>
  <c r="D106" i="2"/>
  <c r="L18" i="6"/>
  <c r="M7" i="4"/>
  <c r="D73" i="5"/>
  <c r="E18" i="1"/>
  <c r="D74" i="5"/>
  <c r="G15" i="1"/>
  <c r="E16" i="1"/>
  <c r="G12" i="1"/>
  <c r="D31" i="2"/>
  <c r="M29" i="3"/>
  <c r="D62" i="4"/>
  <c r="D52" i="3"/>
  <c r="M19" i="6"/>
  <c r="F15" i="1"/>
  <c r="H62" i="3"/>
  <c r="M73" i="3"/>
  <c r="G14" i="1"/>
  <c r="L41" i="6"/>
  <c r="M86" i="6"/>
  <c r="G18" i="1"/>
  <c r="H7" i="5"/>
  <c r="E13" i="1"/>
  <c r="M73" i="6"/>
  <c r="B15" i="1"/>
  <c r="D95" i="3"/>
  <c r="E12" i="1"/>
  <c r="L51" i="6"/>
  <c r="E10" i="1"/>
  <c r="D29" i="4"/>
  <c r="D87" i="6"/>
  <c r="H7" i="6"/>
  <c r="L106" i="6"/>
  <c r="H29" i="6"/>
  <c r="L20" i="6"/>
  <c r="M7" i="5"/>
  <c r="L7" i="5"/>
  <c r="L96" i="2"/>
  <c r="B11" i="1"/>
  <c r="L107" i="2"/>
  <c r="H10" i="1"/>
  <c r="H13" i="1"/>
  <c r="H21" i="2"/>
  <c r="L20" i="2"/>
  <c r="L29" i="6"/>
  <c r="M73" i="5"/>
  <c r="D96" i="6"/>
  <c r="L8" i="3"/>
  <c r="E15" i="1"/>
  <c r="G13" i="1"/>
  <c r="G17" i="1"/>
  <c r="F14" i="1"/>
  <c r="L7" i="4"/>
  <c r="D74" i="4"/>
  <c r="D29" i="2"/>
  <c r="H95" i="2"/>
  <c r="G10" i="1"/>
  <c r="L7" i="2"/>
  <c r="M51" i="2"/>
  <c r="D96" i="4"/>
  <c r="D30" i="2"/>
  <c r="D18" i="2"/>
  <c r="L73" i="4"/>
  <c r="H107" i="6"/>
  <c r="D15" i="1"/>
  <c r="F13" i="1"/>
  <c r="F17" i="1"/>
  <c r="D40" i="4"/>
  <c r="L19" i="2"/>
  <c r="B10" i="1"/>
  <c r="M106" i="2"/>
  <c r="L95" i="2"/>
  <c r="F10" i="1"/>
  <c r="H74" i="6"/>
  <c r="E14" i="1"/>
  <c r="H7" i="2"/>
  <c r="L73" i="5"/>
  <c r="D95" i="4"/>
  <c r="D20" i="6"/>
  <c r="L30" i="3"/>
  <c r="H29" i="2"/>
  <c r="L29" i="4"/>
  <c r="P29" i="4" s="1"/>
  <c r="H18" i="3"/>
  <c r="M29" i="6"/>
  <c r="H9" i="1"/>
  <c r="H96" i="6"/>
  <c r="B13" i="1"/>
  <c r="D21" i="2"/>
  <c r="L51" i="4"/>
  <c r="F18" i="1"/>
  <c r="M95" i="6"/>
  <c r="H16" i="1"/>
  <c r="M62" i="6"/>
  <c r="M18" i="2"/>
  <c r="M85" i="5"/>
  <c r="D52" i="2"/>
  <c r="H29" i="4"/>
  <c r="D7" i="4"/>
  <c r="P7" i="4" s="1"/>
  <c r="H12" i="1"/>
  <c r="M51" i="5"/>
  <c r="D95" i="5"/>
  <c r="B12" i="1"/>
  <c r="D7" i="5"/>
  <c r="D51" i="5"/>
  <c r="P76" i="2"/>
  <c r="P73" i="2"/>
  <c r="P73" i="4"/>
  <c r="P76" i="4"/>
  <c r="P95" i="2"/>
  <c r="P98" i="2"/>
  <c r="P73" i="5"/>
  <c r="P76" i="5"/>
  <c r="P98" i="4"/>
  <c r="P95" i="4"/>
  <c r="J95" i="2" l="1"/>
  <c r="J7" i="5"/>
  <c r="N106" i="6"/>
  <c r="N19" i="6"/>
  <c r="J7" i="4"/>
  <c r="N20" i="6"/>
  <c r="J74" i="3"/>
  <c r="N84" i="6"/>
  <c r="N73" i="4"/>
  <c r="J79" i="4"/>
  <c r="J78" i="4"/>
  <c r="J57" i="5"/>
  <c r="J56" i="5"/>
  <c r="J96" i="6"/>
  <c r="J101" i="4"/>
  <c r="J100" i="4"/>
  <c r="N106" i="2"/>
  <c r="J85" i="5"/>
  <c r="N51" i="6"/>
  <c r="J101" i="2"/>
  <c r="J100" i="2"/>
  <c r="N29" i="4"/>
  <c r="J73" i="4"/>
  <c r="N85" i="5"/>
  <c r="J29" i="2"/>
  <c r="N73" i="5"/>
  <c r="J68" i="4"/>
  <c r="J67" i="4"/>
  <c r="J79" i="5"/>
  <c r="J78" i="5"/>
  <c r="N40" i="6"/>
  <c r="N95" i="2"/>
  <c r="N74" i="3"/>
  <c r="N29" i="2"/>
  <c r="N85" i="6"/>
  <c r="N18" i="2"/>
  <c r="N7" i="4"/>
  <c r="J95" i="4"/>
  <c r="J29" i="5"/>
  <c r="J74" i="5"/>
  <c r="N95" i="4"/>
  <c r="N29" i="5"/>
  <c r="J20" i="2"/>
  <c r="N30" i="2"/>
  <c r="J100" i="5"/>
  <c r="J101" i="5"/>
  <c r="N62" i="6"/>
  <c r="N29" i="6"/>
  <c r="N20" i="2"/>
  <c r="J90" i="4"/>
  <c r="J89" i="4"/>
  <c r="J95" i="6"/>
  <c r="J30" i="2"/>
  <c r="N18" i="6"/>
  <c r="J73" i="3"/>
  <c r="N7" i="2"/>
  <c r="J79" i="3"/>
  <c r="J78" i="3"/>
  <c r="J101" i="3"/>
  <c r="J100" i="3"/>
  <c r="N51" i="2"/>
  <c r="J21" i="2"/>
  <c r="N73" i="3"/>
  <c r="J29" i="4"/>
  <c r="J112" i="2"/>
  <c r="J111" i="2"/>
  <c r="N21" i="2"/>
  <c r="N19" i="2"/>
  <c r="J79" i="2"/>
  <c r="J78" i="2"/>
  <c r="J73" i="2"/>
  <c r="N7" i="5"/>
  <c r="J18" i="3"/>
  <c r="J112" i="4"/>
  <c r="J111" i="4"/>
  <c r="J101" i="6"/>
  <c r="J100" i="6"/>
  <c r="D19" i="1"/>
  <c r="J18" i="2"/>
  <c r="J73" i="5"/>
  <c r="J19" i="6"/>
  <c r="N73" i="2"/>
  <c r="N95" i="6"/>
  <c r="E19" i="1"/>
  <c r="F19" i="1"/>
  <c r="G19" i="1"/>
  <c r="H19" i="1"/>
  <c r="B41" i="2"/>
  <c r="F40" i="3"/>
  <c r="F41" i="3" s="1"/>
  <c r="F42" i="3" s="1"/>
  <c r="F43" i="3" s="1"/>
  <c r="L37" i="3"/>
  <c r="B9" i="3"/>
  <c r="B97" i="5"/>
  <c r="B31" i="4"/>
  <c r="L37" i="5"/>
  <c r="L70" i="5"/>
  <c r="F73" i="5"/>
  <c r="F74" i="5" s="1"/>
  <c r="F75" i="5" s="1"/>
  <c r="F76" i="5" s="1"/>
  <c r="B42" i="5"/>
  <c r="B53" i="3"/>
  <c r="L17" i="4"/>
  <c r="L103" i="4"/>
  <c r="B19" i="4"/>
  <c r="B53" i="2"/>
  <c r="L39" i="4"/>
  <c r="M39" i="4"/>
  <c r="B8" i="6"/>
  <c r="F40" i="6"/>
  <c r="F41" i="6" s="1"/>
  <c r="F42" i="6" s="1"/>
  <c r="F43" i="6" s="1"/>
  <c r="L37" i="6"/>
  <c r="L81" i="2"/>
  <c r="F84" i="2"/>
  <c r="F85" i="2" s="1"/>
  <c r="F86" i="2" s="1"/>
  <c r="F87" i="2" s="1"/>
  <c r="B53" i="5"/>
  <c r="B85" i="2"/>
  <c r="B41" i="3"/>
  <c r="B75" i="4"/>
  <c r="B86" i="5"/>
  <c r="B75" i="3"/>
  <c r="B42" i="6"/>
  <c r="B75" i="6"/>
  <c r="B97" i="2"/>
  <c r="M94" i="4"/>
  <c r="L103" i="6"/>
  <c r="L105" i="6" s="1"/>
  <c r="P10" i="7"/>
  <c r="B97" i="4"/>
  <c r="B31" i="5"/>
  <c r="B75" i="5"/>
  <c r="B107" i="3"/>
  <c r="B54" i="4"/>
  <c r="B108" i="5"/>
  <c r="L59" i="5"/>
  <c r="L61" i="5" s="1"/>
  <c r="L15" i="3"/>
  <c r="F18" i="3"/>
  <c r="F19" i="3" s="1"/>
  <c r="F20" i="3" s="1"/>
  <c r="F21" i="3" s="1"/>
  <c r="F95" i="6"/>
  <c r="F96" i="6" s="1"/>
  <c r="F97" i="6" s="1"/>
  <c r="F98" i="6" s="1"/>
  <c r="L92" i="6"/>
  <c r="B76" i="2"/>
  <c r="B64" i="5"/>
  <c r="L61" i="2"/>
  <c r="B85" i="3"/>
  <c r="L15" i="5"/>
  <c r="L15" i="6"/>
  <c r="L17" i="6" s="1"/>
  <c r="B31" i="6"/>
  <c r="B32" i="2"/>
  <c r="L6" i="3"/>
  <c r="F40" i="4"/>
  <c r="F41" i="4" s="1"/>
  <c r="F42" i="4" s="1"/>
  <c r="F43" i="4" s="1"/>
  <c r="B85" i="4"/>
  <c r="B9" i="2"/>
  <c r="B63" i="2"/>
  <c r="B64" i="6"/>
  <c r="B108" i="6"/>
  <c r="M61" i="3"/>
  <c r="L61" i="3"/>
  <c r="L28" i="4"/>
  <c r="M105" i="2"/>
  <c r="L72" i="5"/>
  <c r="L39" i="6"/>
  <c r="L72" i="6"/>
  <c r="L6" i="6"/>
  <c r="L50" i="6"/>
  <c r="M94" i="5"/>
  <c r="B96" i="3"/>
  <c r="F84" i="4"/>
  <c r="F85" i="4" s="1"/>
  <c r="F86" i="4" s="1"/>
  <c r="F87" i="4" s="1"/>
  <c r="B108" i="2"/>
  <c r="B31" i="3"/>
  <c r="B10" i="4"/>
  <c r="B19" i="5"/>
  <c r="M83" i="6"/>
  <c r="M61" i="6"/>
  <c r="M39" i="6"/>
  <c r="M17" i="6"/>
  <c r="M28" i="6"/>
  <c r="M50" i="6"/>
  <c r="F106" i="2"/>
  <c r="F107" i="2" s="1"/>
  <c r="F108" i="2" s="1"/>
  <c r="F109" i="2" s="1"/>
  <c r="M50" i="3"/>
  <c r="L50" i="3"/>
  <c r="B53" i="6"/>
  <c r="B97" i="6"/>
  <c r="M6" i="6"/>
  <c r="F652" i="8"/>
  <c r="AA654" i="8"/>
  <c r="B41" i="4"/>
  <c r="Y653" i="8"/>
  <c r="X652" i="9"/>
  <c r="AH10" i="7"/>
  <c r="M94" i="2"/>
  <c r="B9" i="5"/>
  <c r="AI10" i="7"/>
  <c r="M17" i="2"/>
  <c r="Q10" i="10"/>
  <c r="J652" i="10"/>
  <c r="AH10" i="10"/>
  <c r="F653" i="8"/>
  <c r="AI10" i="10"/>
  <c r="G653" i="8"/>
  <c r="H653" i="8"/>
  <c r="B107" i="4"/>
  <c r="I653" i="8"/>
  <c r="B63" i="3"/>
  <c r="M72" i="5"/>
  <c r="B19" i="3"/>
  <c r="B63" i="4"/>
  <c r="Y651" i="9"/>
  <c r="J654" i="9"/>
  <c r="M6" i="2"/>
  <c r="M28" i="2"/>
  <c r="M50" i="2"/>
  <c r="M72" i="2"/>
  <c r="P7" i="5"/>
  <c r="P87" i="4"/>
  <c r="P106" i="2"/>
  <c r="P51" i="4"/>
  <c r="P98" i="6"/>
  <c r="P54" i="5"/>
  <c r="P73" i="3"/>
  <c r="P51" i="2"/>
  <c r="P98" i="3"/>
  <c r="P18" i="2"/>
  <c r="P51" i="3"/>
  <c r="P29" i="5"/>
  <c r="P109" i="2"/>
  <c r="P65" i="4"/>
  <c r="P29" i="2"/>
  <c r="P76" i="3"/>
  <c r="P51" i="6"/>
  <c r="P95" i="6"/>
  <c r="D40" i="5"/>
  <c r="H40" i="6"/>
  <c r="M40" i="5"/>
  <c r="L52" i="6"/>
  <c r="H73" i="6"/>
  <c r="D51" i="3"/>
  <c r="L74" i="4"/>
  <c r="D62" i="2"/>
  <c r="L31" i="2"/>
  <c r="M52" i="5"/>
  <c r="D19" i="2"/>
  <c r="M107" i="5"/>
  <c r="M30" i="6"/>
  <c r="H107" i="2"/>
  <c r="L7" i="3"/>
  <c r="H84" i="3"/>
  <c r="M18" i="4"/>
  <c r="H96" i="5"/>
  <c r="D74" i="2"/>
  <c r="D8" i="2"/>
  <c r="M107" i="6"/>
  <c r="H62" i="6"/>
  <c r="M41" i="5"/>
  <c r="H52" i="6"/>
  <c r="H106" i="3"/>
  <c r="H40" i="3"/>
  <c r="H74" i="2"/>
  <c r="L40" i="2"/>
  <c r="M62" i="3"/>
  <c r="D53" i="4"/>
  <c r="H87" i="6"/>
  <c r="L106" i="4"/>
  <c r="L40" i="5"/>
  <c r="D62" i="5"/>
  <c r="L30" i="4"/>
  <c r="D62" i="6"/>
  <c r="H95" i="3"/>
  <c r="L18" i="4"/>
  <c r="M21" i="6"/>
  <c r="H41" i="5"/>
  <c r="L63" i="6"/>
  <c r="L62" i="2"/>
  <c r="P65" i="2" s="1"/>
  <c r="H96" i="4"/>
  <c r="M30" i="3"/>
  <c r="L8" i="4"/>
  <c r="H40" i="2"/>
  <c r="D62" i="3"/>
  <c r="D84" i="5"/>
  <c r="L52" i="5"/>
  <c r="H106" i="6"/>
  <c r="H51" i="4"/>
  <c r="M106" i="3"/>
  <c r="L53" i="4"/>
  <c r="L84" i="3"/>
  <c r="D40" i="6"/>
  <c r="H95" i="5"/>
  <c r="M74" i="6"/>
  <c r="L95" i="5"/>
  <c r="M62" i="4"/>
  <c r="D86" i="6"/>
  <c r="D29" i="6"/>
  <c r="L52" i="4"/>
  <c r="M96" i="4"/>
  <c r="H8" i="3"/>
  <c r="M107" i="2"/>
  <c r="H52" i="3"/>
  <c r="D40" i="3"/>
  <c r="M84" i="4"/>
  <c r="D51" i="4"/>
  <c r="P54" i="4" s="1"/>
  <c r="M63" i="6"/>
  <c r="D96" i="2"/>
  <c r="L30" i="5"/>
  <c r="D7" i="2"/>
  <c r="M63" i="5"/>
  <c r="M7" i="6"/>
  <c r="H31" i="2"/>
  <c r="L74" i="5"/>
  <c r="H41" i="6"/>
  <c r="H30" i="5"/>
  <c r="M40" i="2"/>
  <c r="M96" i="6"/>
  <c r="H20" i="6"/>
  <c r="M84" i="2"/>
  <c r="M95" i="5"/>
  <c r="L9" i="4"/>
  <c r="D63" i="5"/>
  <c r="H18" i="5"/>
  <c r="L87" i="6"/>
  <c r="D7" i="3"/>
  <c r="D51" i="6"/>
  <c r="P54" i="6" s="1"/>
  <c r="L7" i="6"/>
  <c r="D18" i="5"/>
  <c r="H84" i="5"/>
  <c r="M52" i="3"/>
  <c r="H52" i="5"/>
  <c r="H52" i="4"/>
  <c r="D30" i="3"/>
  <c r="L73" i="6"/>
  <c r="M75" i="2"/>
  <c r="D30" i="5"/>
  <c r="H30" i="4"/>
  <c r="D107" i="2"/>
  <c r="D52" i="6"/>
  <c r="H74" i="4"/>
  <c r="M106" i="5"/>
  <c r="M40" i="4"/>
  <c r="L62" i="3"/>
  <c r="L51" i="5"/>
  <c r="P51" i="5" s="1"/>
  <c r="D106" i="3"/>
  <c r="L30" i="6"/>
  <c r="L75" i="2"/>
  <c r="D18" i="6"/>
  <c r="H84" i="6"/>
  <c r="M96" i="5"/>
  <c r="L29" i="3"/>
  <c r="P29" i="3" s="1"/>
  <c r="D30" i="4"/>
  <c r="L41" i="5"/>
  <c r="H29" i="3"/>
  <c r="L40" i="3"/>
  <c r="H8" i="5"/>
  <c r="L40" i="4"/>
  <c r="M18" i="3"/>
  <c r="D8" i="3"/>
  <c r="M106" i="4"/>
  <c r="L8" i="2"/>
  <c r="H8" i="4"/>
  <c r="L84" i="4"/>
  <c r="P84" i="4" s="1"/>
  <c r="H7" i="3"/>
  <c r="L18" i="5"/>
  <c r="D75" i="2"/>
  <c r="L74" i="2"/>
  <c r="M51" i="3"/>
  <c r="L62" i="4"/>
  <c r="P62" i="4" s="1"/>
  <c r="H106" i="4"/>
  <c r="M8" i="3"/>
  <c r="H106" i="2"/>
  <c r="M52" i="2"/>
  <c r="H30" i="6"/>
  <c r="M74" i="4"/>
  <c r="L96" i="6"/>
  <c r="M41" i="6"/>
  <c r="H53" i="4"/>
  <c r="M30" i="4"/>
  <c r="D7" i="6"/>
  <c r="P7" i="6" s="1"/>
  <c r="L107" i="5"/>
  <c r="D40" i="2"/>
  <c r="D85" i="6"/>
  <c r="D74" i="6"/>
  <c r="D107" i="5"/>
  <c r="M40" i="3"/>
  <c r="H96" i="2"/>
  <c r="H63" i="5"/>
  <c r="M8" i="4"/>
  <c r="M18" i="5"/>
  <c r="H18" i="4"/>
  <c r="D73" i="6"/>
  <c r="D29" i="3"/>
  <c r="M74" i="5"/>
  <c r="D96" i="5"/>
  <c r="M84" i="3"/>
  <c r="D84" i="6"/>
  <c r="D84" i="3"/>
  <c r="H52" i="2"/>
  <c r="H84" i="2"/>
  <c r="M62" i="5"/>
  <c r="L21" i="6"/>
  <c r="D41" i="5"/>
  <c r="L84" i="2"/>
  <c r="D52" i="4"/>
  <c r="H40" i="4"/>
  <c r="M62" i="2"/>
  <c r="P62" i="2" s="1"/>
  <c r="H107" i="5"/>
  <c r="H21" i="6"/>
  <c r="D106" i="6"/>
  <c r="H75" i="2"/>
  <c r="L106" i="5"/>
  <c r="H62" i="2"/>
  <c r="M51" i="4"/>
  <c r="H30" i="3"/>
  <c r="L74" i="6"/>
  <c r="D30" i="6"/>
  <c r="D63" i="6"/>
  <c r="L84" i="5"/>
  <c r="P87" i="5" s="1"/>
  <c r="H18" i="6"/>
  <c r="D21" i="6"/>
  <c r="M31" i="2"/>
  <c r="H84" i="4"/>
  <c r="M9" i="4"/>
  <c r="M96" i="2"/>
  <c r="D9" i="4"/>
  <c r="L62" i="5"/>
  <c r="H9" i="4"/>
  <c r="M8" i="5"/>
  <c r="H51" i="3"/>
  <c r="P54" i="3" s="1"/>
  <c r="M84" i="5"/>
  <c r="P84" i="5" s="1"/>
  <c r="H63" i="6"/>
  <c r="L95" i="3"/>
  <c r="P95" i="3" s="1"/>
  <c r="M30" i="5"/>
  <c r="D107" i="6"/>
  <c r="D84" i="2"/>
  <c r="L107" i="6"/>
  <c r="H86" i="6"/>
  <c r="D8" i="5"/>
  <c r="L86" i="6"/>
  <c r="L18" i="3"/>
  <c r="P18" i="3" s="1"/>
  <c r="H51" i="5"/>
  <c r="M8" i="2"/>
  <c r="H62" i="5"/>
  <c r="H19" i="2"/>
  <c r="M52" i="4"/>
  <c r="L96" i="5"/>
  <c r="L63" i="5"/>
  <c r="D18" i="4"/>
  <c r="D51" i="2"/>
  <c r="P54" i="2" s="1"/>
  <c r="L106" i="3"/>
  <c r="H62" i="4"/>
  <c r="H106" i="5"/>
  <c r="M87" i="6"/>
  <c r="M52" i="6"/>
  <c r="D106" i="5"/>
  <c r="M53" i="4"/>
  <c r="H40" i="5"/>
  <c r="L52" i="3"/>
  <c r="L96" i="4"/>
  <c r="M74" i="2"/>
  <c r="L52" i="2"/>
  <c r="P62" i="3"/>
  <c r="P65" i="3"/>
  <c r="P76" i="6"/>
  <c r="P73" i="6"/>
  <c r="P87" i="3"/>
  <c r="P84" i="3"/>
  <c r="P62" i="5"/>
  <c r="P65" i="5"/>
  <c r="P106" i="3"/>
  <c r="P109" i="3"/>
  <c r="P109" i="5"/>
  <c r="P106" i="5"/>
  <c r="J51" i="5" l="1"/>
  <c r="N95" i="3"/>
  <c r="N62" i="4"/>
  <c r="J7" i="3"/>
  <c r="J84" i="2"/>
  <c r="N84" i="3"/>
  <c r="J79" i="6"/>
  <c r="J78" i="6"/>
  <c r="N8" i="4"/>
  <c r="J96" i="4"/>
  <c r="J30" i="4"/>
  <c r="J87" i="6"/>
  <c r="J74" i="2"/>
  <c r="J8" i="2"/>
  <c r="N95" i="5"/>
  <c r="J68" i="2"/>
  <c r="J67" i="2"/>
  <c r="N30" i="4"/>
  <c r="N87" i="6"/>
  <c r="J30" i="3"/>
  <c r="J62" i="2"/>
  <c r="N96" i="4"/>
  <c r="J21" i="6"/>
  <c r="J63" i="6"/>
  <c r="N62" i="2"/>
  <c r="N18" i="3"/>
  <c r="J8" i="5"/>
  <c r="J90" i="5"/>
  <c r="J89" i="5"/>
  <c r="N30" i="3"/>
  <c r="J112" i="3"/>
  <c r="J111" i="3"/>
  <c r="J74" i="4"/>
  <c r="N21" i="6"/>
  <c r="J84" i="5"/>
  <c r="N107" i="5"/>
  <c r="N84" i="2"/>
  <c r="J85" i="6"/>
  <c r="J7" i="2"/>
  <c r="N74" i="4"/>
  <c r="N52" i="2"/>
  <c r="N8" i="3"/>
  <c r="J29" i="6"/>
  <c r="N86" i="6"/>
  <c r="N84" i="5"/>
  <c r="J95" i="5"/>
  <c r="J52" i="2"/>
  <c r="J68" i="3"/>
  <c r="J67" i="3"/>
  <c r="J62" i="3"/>
  <c r="N29" i="3"/>
  <c r="N51" i="5"/>
  <c r="J52" i="4"/>
  <c r="J40" i="3"/>
  <c r="J96" i="5"/>
  <c r="J24" i="2"/>
  <c r="J23" i="2"/>
  <c r="J20" i="6"/>
  <c r="J57" i="3"/>
  <c r="J56" i="3"/>
  <c r="J31" i="2"/>
  <c r="J84" i="4"/>
  <c r="J53" i="4"/>
  <c r="J56" i="4"/>
  <c r="J57" i="4"/>
  <c r="J19" i="2"/>
  <c r="J51" i="3"/>
  <c r="J51" i="4"/>
  <c r="J18" i="4"/>
  <c r="N96" i="5"/>
  <c r="J63" i="5"/>
  <c r="N40" i="3"/>
  <c r="J68" i="5"/>
  <c r="J67" i="5"/>
  <c r="J106" i="3"/>
  <c r="N18" i="4"/>
  <c r="J18" i="5"/>
  <c r="N96" i="6"/>
  <c r="J73" i="6"/>
  <c r="N96" i="2"/>
  <c r="N63" i="5"/>
  <c r="N53" i="4"/>
  <c r="N107" i="2"/>
  <c r="J75" i="2"/>
  <c r="N51" i="3"/>
  <c r="J86" i="6"/>
  <c r="N8" i="5"/>
  <c r="N62" i="5"/>
  <c r="J90" i="3"/>
  <c r="J89" i="3"/>
  <c r="J40" i="2"/>
  <c r="J84" i="6"/>
  <c r="N75" i="2"/>
  <c r="J52" i="5"/>
  <c r="N62" i="3"/>
  <c r="J52" i="6"/>
  <c r="J84" i="3"/>
  <c r="N52" i="5"/>
  <c r="N40" i="2"/>
  <c r="J74" i="6"/>
  <c r="J18" i="6"/>
  <c r="N52" i="6"/>
  <c r="J106" i="5"/>
  <c r="J30" i="6"/>
  <c r="J106" i="4"/>
  <c r="J107" i="5"/>
  <c r="J9" i="4"/>
  <c r="J40" i="4"/>
  <c r="N106" i="4"/>
  <c r="N74" i="5"/>
  <c r="J23" i="6"/>
  <c r="J24" i="6"/>
  <c r="N40" i="4"/>
  <c r="J95" i="3"/>
  <c r="N41" i="5"/>
  <c r="N7" i="3"/>
  <c r="J30" i="5"/>
  <c r="N40" i="5"/>
  <c r="N7" i="6"/>
  <c r="N41" i="6"/>
  <c r="N84" i="4"/>
  <c r="N51" i="4"/>
  <c r="J106" i="2"/>
  <c r="J62" i="5"/>
  <c r="J90" i="2"/>
  <c r="J89" i="2"/>
  <c r="J8" i="4"/>
  <c r="N106" i="3"/>
  <c r="J106" i="6"/>
  <c r="J29" i="3"/>
  <c r="N18" i="5"/>
  <c r="J96" i="2"/>
  <c r="N73" i="6"/>
  <c r="N52" i="3"/>
  <c r="J62" i="6"/>
  <c r="J107" i="2"/>
  <c r="J41" i="6"/>
  <c r="J40" i="6"/>
  <c r="N74" i="2"/>
  <c r="N31" i="2"/>
  <c r="J112" i="5"/>
  <c r="J111" i="5"/>
  <c r="J52" i="3"/>
  <c r="J8" i="3"/>
  <c r="J111" i="6"/>
  <c r="J112" i="6"/>
  <c r="J107" i="6"/>
  <c r="N74" i="6"/>
  <c r="J90" i="6"/>
  <c r="J89" i="6"/>
  <c r="N106" i="5"/>
  <c r="J41" i="5"/>
  <c r="J67" i="6"/>
  <c r="J68" i="6"/>
  <c r="J57" i="6"/>
  <c r="J56" i="6"/>
  <c r="J51" i="6"/>
  <c r="N107" i="6"/>
  <c r="N30" i="6"/>
  <c r="N9" i="4"/>
  <c r="J40" i="5"/>
  <c r="J7" i="6"/>
  <c r="N63" i="6"/>
  <c r="J62" i="4"/>
  <c r="J57" i="2"/>
  <c r="J56" i="2"/>
  <c r="J51" i="2"/>
  <c r="N52" i="4"/>
  <c r="N8" i="2"/>
  <c r="N30" i="5"/>
  <c r="B32" i="5"/>
  <c r="B76" i="3"/>
  <c r="M39" i="5"/>
  <c r="L39" i="5"/>
  <c r="B64" i="4"/>
  <c r="B86" i="3"/>
  <c r="B87" i="5"/>
  <c r="B64" i="2"/>
  <c r="B98" i="4"/>
  <c r="B20" i="3"/>
  <c r="B10" i="2"/>
  <c r="B32" i="4"/>
  <c r="B109" i="5"/>
  <c r="B76" i="4"/>
  <c r="B54" i="2"/>
  <c r="M105" i="6"/>
  <c r="B65" i="5"/>
  <c r="B10" i="3"/>
  <c r="B20" i="5"/>
  <c r="B98" i="5"/>
  <c r="B20" i="4"/>
  <c r="B86" i="2"/>
  <c r="B86" i="4"/>
  <c r="B32" i="3"/>
  <c r="M39" i="3"/>
  <c r="L39" i="3"/>
  <c r="B10" i="5"/>
  <c r="M105" i="4"/>
  <c r="L105" i="4"/>
  <c r="B98" i="6"/>
  <c r="B109" i="2"/>
  <c r="B108" i="3"/>
  <c r="B98" i="2"/>
  <c r="B64" i="3"/>
  <c r="M94" i="6"/>
  <c r="L94" i="6"/>
  <c r="M61" i="5"/>
  <c r="B54" i="6"/>
  <c r="M83" i="2"/>
  <c r="L83" i="2"/>
  <c r="B76" i="6"/>
  <c r="B109" i="6"/>
  <c r="B32" i="6"/>
  <c r="B76" i="5"/>
  <c r="B65" i="6"/>
  <c r="M17" i="5"/>
  <c r="L17" i="5"/>
  <c r="M17" i="3"/>
  <c r="L17" i="3"/>
  <c r="B9" i="6"/>
  <c r="B42" i="3"/>
  <c r="B54" i="3"/>
  <c r="B54" i="5"/>
  <c r="B42" i="2"/>
  <c r="B97" i="3"/>
  <c r="B43" i="5"/>
  <c r="B108" i="4"/>
  <c r="B42" i="4"/>
  <c r="B43" i="6"/>
  <c r="P18" i="4"/>
  <c r="P84" i="6"/>
  <c r="P106" i="4"/>
  <c r="P95" i="5"/>
  <c r="P84" i="2"/>
  <c r="P7" i="2"/>
  <c r="P29" i="6"/>
  <c r="P98" i="5"/>
  <c r="P109" i="6"/>
  <c r="P62" i="6"/>
  <c r="P21" i="6"/>
  <c r="P87" i="6"/>
  <c r="P18" i="6"/>
  <c r="P18" i="5"/>
  <c r="P109" i="4"/>
  <c r="P106" i="6"/>
  <c r="P21" i="2"/>
  <c r="P87" i="2"/>
  <c r="P7" i="3"/>
  <c r="P65" i="6"/>
  <c r="H85" i="4"/>
  <c r="M19" i="5"/>
  <c r="H9" i="5"/>
  <c r="L63" i="3"/>
  <c r="H64" i="5"/>
  <c r="D63" i="4"/>
  <c r="M85" i="2"/>
  <c r="M107" i="3"/>
  <c r="H96" i="3"/>
  <c r="D41" i="3"/>
  <c r="H10" i="4"/>
  <c r="H97" i="6"/>
  <c r="M9" i="2"/>
  <c r="M53" i="5"/>
  <c r="D10" i="4"/>
  <c r="D64" i="6"/>
  <c r="D96" i="3"/>
  <c r="D19" i="5"/>
  <c r="L9" i="2"/>
  <c r="D31" i="5"/>
  <c r="D108" i="2"/>
  <c r="D75" i="4"/>
  <c r="D107" i="4"/>
  <c r="M19" i="4"/>
  <c r="D97" i="2"/>
  <c r="M54" i="4"/>
  <c r="D76" i="2"/>
  <c r="D107" i="3"/>
  <c r="L31" i="3"/>
  <c r="M76" i="2"/>
  <c r="M107" i="4"/>
  <c r="H53" i="6"/>
  <c r="H31" i="5"/>
  <c r="L97" i="5"/>
  <c r="L53" i="2"/>
  <c r="L41" i="4"/>
  <c r="D19" i="4"/>
  <c r="H108" i="2"/>
  <c r="M41" i="2"/>
  <c r="D63" i="2"/>
  <c r="M9" i="5"/>
  <c r="D9" i="5"/>
  <c r="L85" i="3"/>
  <c r="M97" i="6"/>
  <c r="L64" i="6"/>
  <c r="M97" i="4"/>
  <c r="L108" i="5"/>
  <c r="L41" i="3"/>
  <c r="M63" i="3"/>
  <c r="L64" i="5"/>
  <c r="H75" i="5"/>
  <c r="H86" i="5"/>
  <c r="L75" i="4"/>
  <c r="L19" i="5"/>
  <c r="D75" i="3"/>
  <c r="M31" i="5"/>
  <c r="L108" i="2"/>
  <c r="D53" i="3"/>
  <c r="M9" i="3"/>
  <c r="L97" i="2"/>
  <c r="M31" i="3"/>
  <c r="L9" i="5"/>
  <c r="L63" i="2"/>
  <c r="M75" i="5"/>
  <c r="M41" i="4"/>
  <c r="M108" i="2"/>
  <c r="D97" i="4"/>
  <c r="D75" i="6"/>
  <c r="L54" i="4"/>
  <c r="H85" i="3"/>
  <c r="L63" i="4"/>
  <c r="H97" i="2"/>
  <c r="H19" i="3"/>
  <c r="D64" i="5"/>
  <c r="L42" i="6"/>
  <c r="D42" i="5"/>
  <c r="L107" i="4"/>
  <c r="H31" i="3"/>
  <c r="M64" i="5"/>
  <c r="D86" i="5"/>
  <c r="M63" i="2"/>
  <c r="H76" i="2"/>
  <c r="L75" i="5"/>
  <c r="L9" i="3"/>
  <c r="M8" i="6"/>
  <c r="D31" i="6"/>
  <c r="L31" i="5"/>
  <c r="D8" i="6"/>
  <c r="M19" i="3"/>
  <c r="H31" i="4"/>
  <c r="D41" i="4"/>
  <c r="M53" i="2"/>
  <c r="H108" i="5"/>
  <c r="H54" i="4"/>
  <c r="L97" i="4"/>
  <c r="H53" i="2"/>
  <c r="L85" i="2"/>
  <c r="H9" i="2"/>
  <c r="M53" i="3"/>
  <c r="H75" i="4"/>
  <c r="H42" i="6"/>
  <c r="H31" i="6"/>
  <c r="M31" i="4"/>
  <c r="H75" i="3"/>
  <c r="H32" i="2"/>
  <c r="M108" i="5"/>
  <c r="H41" i="4"/>
  <c r="L53" i="5"/>
  <c r="H9" i="3"/>
  <c r="M31" i="6"/>
  <c r="L96" i="3"/>
  <c r="D19" i="3"/>
  <c r="H41" i="3"/>
  <c r="M63" i="4"/>
  <c r="D9" i="3"/>
  <c r="H97" i="5"/>
  <c r="H108" i="6"/>
  <c r="L19" i="4"/>
  <c r="D53" i="6"/>
  <c r="H85" i="2"/>
  <c r="D31" i="3"/>
  <c r="D97" i="6"/>
  <c r="M32" i="2"/>
  <c r="M97" i="5"/>
  <c r="L41" i="2"/>
  <c r="D85" i="2"/>
  <c r="L75" i="3"/>
  <c r="L32" i="2"/>
  <c r="D108" i="5"/>
  <c r="D63" i="3"/>
  <c r="L85" i="4"/>
  <c r="L19" i="3"/>
  <c r="M86" i="5"/>
  <c r="H53" i="3"/>
  <c r="H8" i="6"/>
  <c r="H63" i="2"/>
  <c r="D85" i="3"/>
  <c r="L31" i="4"/>
  <c r="M85" i="3"/>
  <c r="L76" i="2"/>
  <c r="D75" i="5"/>
  <c r="L75" i="6"/>
  <c r="D85" i="4"/>
  <c r="L42" i="5"/>
  <c r="H41" i="2"/>
  <c r="L8" i="6"/>
  <c r="D9" i="2"/>
  <c r="D97" i="5"/>
  <c r="H63" i="4"/>
  <c r="L86" i="5"/>
  <c r="D53" i="2"/>
  <c r="M42" i="5"/>
  <c r="L108" i="6"/>
  <c r="H107" i="3"/>
  <c r="M41" i="3"/>
  <c r="M10" i="4"/>
  <c r="L10" i="4"/>
  <c r="L97" i="6"/>
  <c r="H107" i="4"/>
  <c r="D32" i="2"/>
  <c r="M64" i="6"/>
  <c r="D54" i="4"/>
  <c r="L107" i="3"/>
  <c r="M75" i="6"/>
  <c r="M75" i="3"/>
  <c r="L31" i="6"/>
  <c r="D31" i="4"/>
  <c r="D53" i="5"/>
  <c r="M53" i="6"/>
  <c r="L53" i="3"/>
  <c r="D41" i="2"/>
  <c r="D108" i="6"/>
  <c r="M85" i="4"/>
  <c r="H75" i="6"/>
  <c r="L53" i="6"/>
  <c r="H19" i="4"/>
  <c r="M75" i="4"/>
  <c r="M97" i="2"/>
  <c r="M96" i="3"/>
  <c r="H63" i="3"/>
  <c r="H97" i="4"/>
  <c r="D42" i="6"/>
  <c r="H19" i="5"/>
  <c r="H64" i="6"/>
  <c r="H42" i="5"/>
  <c r="M108" i="6"/>
  <c r="H53" i="5"/>
  <c r="M42" i="6"/>
  <c r="N53" i="3" l="1"/>
  <c r="N53" i="2"/>
  <c r="N107" i="4"/>
  <c r="J41" i="3"/>
  <c r="J64" i="6"/>
  <c r="N108" i="2"/>
  <c r="N9" i="3"/>
  <c r="J86" i="5"/>
  <c r="J108" i="2"/>
  <c r="N53" i="5"/>
  <c r="N85" i="2"/>
  <c r="J32" i="2"/>
  <c r="N31" i="4"/>
  <c r="J42" i="6"/>
  <c r="N32" i="2"/>
  <c r="J85" i="2"/>
  <c r="J9" i="2"/>
  <c r="J53" i="5"/>
  <c r="J35" i="2"/>
  <c r="J34" i="2"/>
  <c r="N19" i="4"/>
  <c r="N64" i="5"/>
  <c r="N41" i="4"/>
  <c r="J75" i="5"/>
  <c r="N97" i="6"/>
  <c r="N9" i="2"/>
  <c r="N31" i="6"/>
  <c r="J63" i="3"/>
  <c r="N41" i="3"/>
  <c r="N85" i="4"/>
  <c r="J41" i="2"/>
  <c r="J31" i="4"/>
  <c r="N42" i="6"/>
  <c r="N64" i="6"/>
  <c r="N85" i="3"/>
  <c r="J85" i="3"/>
  <c r="N75" i="5"/>
  <c r="J97" i="6"/>
  <c r="J64" i="5"/>
  <c r="J41" i="4"/>
  <c r="J53" i="3"/>
  <c r="J31" i="6"/>
  <c r="J19" i="4"/>
  <c r="J63" i="4"/>
  <c r="J53" i="2"/>
  <c r="N19" i="3"/>
  <c r="N63" i="4"/>
  <c r="N76" i="2"/>
  <c r="N8" i="6"/>
  <c r="J76" i="2"/>
  <c r="J31" i="3"/>
  <c r="N31" i="5"/>
  <c r="N63" i="3"/>
  <c r="J10" i="4"/>
  <c r="N10" i="4"/>
  <c r="J75" i="3"/>
  <c r="J75" i="4"/>
  <c r="N97" i="5"/>
  <c r="N75" i="3"/>
  <c r="J108" i="6"/>
  <c r="J42" i="5"/>
  <c r="J19" i="3"/>
  <c r="J13" i="4"/>
  <c r="J12" i="4"/>
  <c r="N9" i="5"/>
  <c r="J9" i="5"/>
  <c r="J97" i="4"/>
  <c r="J8" i="6"/>
  <c r="N97" i="2"/>
  <c r="N75" i="4"/>
  <c r="N42" i="5"/>
  <c r="J75" i="6"/>
  <c r="N75" i="6"/>
  <c r="J97" i="5"/>
  <c r="J54" i="4"/>
  <c r="J19" i="5"/>
  <c r="N54" i="4"/>
  <c r="N63" i="2"/>
  <c r="N31" i="3"/>
  <c r="J31" i="5"/>
  <c r="J96" i="3"/>
  <c r="N19" i="5"/>
  <c r="J63" i="2"/>
  <c r="N96" i="3"/>
  <c r="J107" i="3"/>
  <c r="N53" i="6"/>
  <c r="J108" i="5"/>
  <c r="N108" i="6"/>
  <c r="J107" i="4"/>
  <c r="J97" i="2"/>
  <c r="N97" i="4"/>
  <c r="N41" i="2"/>
  <c r="J53" i="6"/>
  <c r="N107" i="3"/>
  <c r="J85" i="4"/>
  <c r="J9" i="3"/>
  <c r="N108" i="5"/>
  <c r="N86" i="5"/>
  <c r="B87" i="3"/>
  <c r="B87" i="2"/>
  <c r="B65" i="4"/>
  <c r="B43" i="2"/>
  <c r="B87" i="4"/>
  <c r="B43" i="4"/>
  <c r="B65" i="3"/>
  <c r="B109" i="4"/>
  <c r="B65" i="2"/>
  <c r="B21" i="3"/>
  <c r="B43" i="3"/>
  <c r="B98" i="3"/>
  <c r="B10" i="6"/>
  <c r="B109" i="3"/>
  <c r="B21" i="5"/>
  <c r="B21" i="4"/>
  <c r="P32" i="2"/>
  <c r="P10" i="4"/>
  <c r="D109" i="5"/>
  <c r="L87" i="5"/>
  <c r="M108" i="3"/>
  <c r="L42" i="4"/>
  <c r="M109" i="2"/>
  <c r="D108" i="3"/>
  <c r="L43" i="5"/>
  <c r="M42" i="3"/>
  <c r="H108" i="4"/>
  <c r="M64" i="2"/>
  <c r="L42" i="3"/>
  <c r="H54" i="3"/>
  <c r="M76" i="3"/>
  <c r="L42" i="2"/>
  <c r="M43" i="6"/>
  <c r="D108" i="4"/>
  <c r="L98" i="2"/>
  <c r="M32" i="5"/>
  <c r="H97" i="3"/>
  <c r="H76" i="4"/>
  <c r="M43" i="5"/>
  <c r="M98" i="2"/>
  <c r="M76" i="6"/>
  <c r="L10" i="2"/>
  <c r="L32" i="3"/>
  <c r="H10" i="2"/>
  <c r="L43" i="6"/>
  <c r="M54" i="6"/>
  <c r="H20" i="5"/>
  <c r="H98" i="4"/>
  <c r="L32" i="4"/>
  <c r="L97" i="3"/>
  <c r="H86" i="3"/>
  <c r="D86" i="2"/>
  <c r="L20" i="3"/>
  <c r="H76" i="6"/>
  <c r="M20" i="3"/>
  <c r="M98" i="6"/>
  <c r="L76" i="4"/>
  <c r="M109" i="6"/>
  <c r="D76" i="4"/>
  <c r="D98" i="5"/>
  <c r="H98" i="2"/>
  <c r="L32" i="5"/>
  <c r="M32" i="4"/>
  <c r="M97" i="3"/>
  <c r="M65" i="6"/>
  <c r="D87" i="5"/>
  <c r="M10" i="5"/>
  <c r="M86" i="2"/>
  <c r="D32" i="5"/>
  <c r="D42" i="4"/>
  <c r="H42" i="2"/>
  <c r="M54" i="2"/>
  <c r="L108" i="3"/>
  <c r="D76" i="5"/>
  <c r="L98" i="5"/>
  <c r="H109" i="6"/>
  <c r="H64" i="2"/>
  <c r="D20" i="5"/>
  <c r="L54" i="2"/>
  <c r="H9" i="6"/>
  <c r="H43" i="6"/>
  <c r="H109" i="2"/>
  <c r="M64" i="4"/>
  <c r="D10" i="3"/>
  <c r="M76" i="5"/>
  <c r="D54" i="6"/>
  <c r="H42" i="4"/>
  <c r="H76" i="3"/>
  <c r="H98" i="6"/>
  <c r="L10" i="5"/>
  <c r="H42" i="3"/>
  <c r="D65" i="5"/>
  <c r="D76" i="3"/>
  <c r="H20" i="3"/>
  <c r="L86" i="3"/>
  <c r="M32" i="6"/>
  <c r="H65" i="6"/>
  <c r="M108" i="4"/>
  <c r="M32" i="3"/>
  <c r="M10" i="2"/>
  <c r="D98" i="6"/>
  <c r="M87" i="5"/>
  <c r="L108" i="4"/>
  <c r="M42" i="2"/>
  <c r="L32" i="6"/>
  <c r="H86" i="2"/>
  <c r="H32" i="4"/>
  <c r="H32" i="6"/>
  <c r="M54" i="3"/>
  <c r="H54" i="2"/>
  <c r="D32" i="6"/>
  <c r="H76" i="5"/>
  <c r="D109" i="6"/>
  <c r="L54" i="5"/>
  <c r="M9" i="6"/>
  <c r="D64" i="2"/>
  <c r="D97" i="3"/>
  <c r="M20" i="4"/>
  <c r="H65" i="5"/>
  <c r="D98" i="2"/>
  <c r="M10" i="3"/>
  <c r="L109" i="6"/>
  <c r="L20" i="4"/>
  <c r="M98" i="5"/>
  <c r="H20" i="4"/>
  <c r="D54" i="5"/>
  <c r="H109" i="5"/>
  <c r="D32" i="4"/>
  <c r="D20" i="4"/>
  <c r="D64" i="4"/>
  <c r="D54" i="3"/>
  <c r="L109" i="2"/>
  <c r="H54" i="6"/>
  <c r="M76" i="4"/>
  <c r="H98" i="5"/>
  <c r="D86" i="4"/>
  <c r="H43" i="5"/>
  <c r="L76" i="3"/>
  <c r="M54" i="5"/>
  <c r="L10" i="3"/>
  <c r="M65" i="5"/>
  <c r="D43" i="6"/>
  <c r="D32" i="3"/>
  <c r="L9" i="6"/>
  <c r="H86" i="4"/>
  <c r="M98" i="4"/>
  <c r="D9" i="6"/>
  <c r="L20" i="5"/>
  <c r="M109" i="5"/>
  <c r="D76" i="6"/>
  <c r="H64" i="3"/>
  <c r="L98" i="4"/>
  <c r="L98" i="6"/>
  <c r="H108" i="3"/>
  <c r="D10" i="5"/>
  <c r="D86" i="3"/>
  <c r="D109" i="2"/>
  <c r="H10" i="3"/>
  <c r="D65" i="6"/>
  <c r="H10" i="5"/>
  <c r="L54" i="3"/>
  <c r="H32" i="3"/>
  <c r="L76" i="5"/>
  <c r="H32" i="5"/>
  <c r="D98" i="4"/>
  <c r="L65" i="5"/>
  <c r="D64" i="3"/>
  <c r="D20" i="3"/>
  <c r="D43" i="5"/>
  <c r="L54" i="6"/>
  <c r="D42" i="3"/>
  <c r="D42" i="2"/>
  <c r="L86" i="2"/>
  <c r="H54" i="5"/>
  <c r="L109" i="5"/>
  <c r="L64" i="2"/>
  <c r="M86" i="3"/>
  <c r="M86" i="4"/>
  <c r="L64" i="3"/>
  <c r="L86" i="4"/>
  <c r="D10" i="2"/>
  <c r="L64" i="4"/>
  <c r="M64" i="3"/>
  <c r="L65" i="6"/>
  <c r="M20" i="5"/>
  <c r="M42" i="4"/>
  <c r="H87" i="5"/>
  <c r="D54" i="2"/>
  <c r="L76" i="6"/>
  <c r="H64" i="4"/>
  <c r="P43" i="6"/>
  <c r="P40" i="6"/>
  <c r="P43" i="5"/>
  <c r="P40" i="5"/>
  <c r="J46" i="6" l="1"/>
  <c r="J45" i="6"/>
  <c r="J46" i="5"/>
  <c r="J45" i="5"/>
  <c r="N42" i="3"/>
  <c r="J76" i="5"/>
  <c r="J43" i="6"/>
  <c r="J98" i="4"/>
  <c r="J10" i="5"/>
  <c r="N32" i="3"/>
  <c r="N76" i="6"/>
  <c r="J12" i="5"/>
  <c r="J13" i="5"/>
  <c r="N43" i="5"/>
  <c r="J108" i="3"/>
  <c r="N43" i="6"/>
  <c r="N98" i="4"/>
  <c r="N20" i="3"/>
  <c r="N9" i="6"/>
  <c r="N64" i="4"/>
  <c r="J34" i="6"/>
  <c r="J35" i="6"/>
  <c r="J9" i="6"/>
  <c r="N109" i="2"/>
  <c r="N54" i="5"/>
  <c r="N42" i="2"/>
  <c r="N54" i="2"/>
  <c r="N76" i="4"/>
  <c r="N64" i="3"/>
  <c r="N32" i="6"/>
  <c r="J76" i="4"/>
  <c r="J20" i="3"/>
  <c r="J20" i="4"/>
  <c r="J86" i="4"/>
  <c r="J54" i="5"/>
  <c r="N20" i="4"/>
  <c r="N64" i="2"/>
  <c r="J54" i="2"/>
  <c r="J86" i="2"/>
  <c r="J43" i="5"/>
  <c r="N87" i="5"/>
  <c r="J98" i="5"/>
  <c r="J54" i="6"/>
  <c r="N86" i="2"/>
  <c r="N97" i="3"/>
  <c r="N86" i="4"/>
  <c r="J42" i="4"/>
  <c r="N76" i="5"/>
  <c r="J76" i="6"/>
  <c r="N65" i="5"/>
  <c r="N54" i="3"/>
  <c r="J86" i="3"/>
  <c r="N108" i="3"/>
  <c r="J64" i="4"/>
  <c r="J87" i="5"/>
  <c r="N42" i="4"/>
  <c r="N10" i="2"/>
  <c r="J34" i="5"/>
  <c r="J35" i="5"/>
  <c r="J65" i="6"/>
  <c r="J35" i="4"/>
  <c r="J34" i="4"/>
  <c r="J109" i="5"/>
  <c r="J12" i="2"/>
  <c r="J13" i="2"/>
  <c r="N65" i="6"/>
  <c r="N32" i="4"/>
  <c r="N86" i="3"/>
  <c r="J76" i="3"/>
  <c r="N98" i="6"/>
  <c r="J13" i="3"/>
  <c r="J12" i="3"/>
  <c r="J109" i="2"/>
  <c r="J32" i="6"/>
  <c r="J64" i="2"/>
  <c r="J20" i="5"/>
  <c r="N54" i="6"/>
  <c r="J10" i="2"/>
  <c r="N20" i="5"/>
  <c r="N98" i="2"/>
  <c r="N109" i="5"/>
  <c r="J42" i="3"/>
  <c r="J98" i="6"/>
  <c r="N10" i="3"/>
  <c r="J65" i="5"/>
  <c r="J54" i="3"/>
  <c r="J32" i="5"/>
  <c r="J32" i="4"/>
  <c r="J109" i="6"/>
  <c r="J32" i="3"/>
  <c r="J42" i="2"/>
  <c r="J10" i="3"/>
  <c r="N108" i="4"/>
  <c r="N10" i="5"/>
  <c r="J97" i="3"/>
  <c r="J64" i="3"/>
  <c r="N32" i="5"/>
  <c r="N98" i="5"/>
  <c r="J98" i="2"/>
  <c r="N109" i="6"/>
  <c r="N76" i="3"/>
  <c r="J35" i="3"/>
  <c r="J34" i="3"/>
  <c r="J108" i="4"/>
  <c r="P10" i="2"/>
  <c r="P32" i="6"/>
  <c r="P10" i="3"/>
  <c r="P32" i="3"/>
  <c r="P10" i="5"/>
  <c r="P32" i="4"/>
  <c r="P32" i="5"/>
  <c r="H65" i="4"/>
  <c r="H98" i="3"/>
  <c r="H43" i="4"/>
  <c r="M65" i="2"/>
  <c r="H87" i="3"/>
  <c r="M109" i="4"/>
  <c r="D109" i="4"/>
  <c r="D87" i="2"/>
  <c r="L10" i="6"/>
  <c r="M43" i="4"/>
  <c r="M43" i="3"/>
  <c r="L87" i="4"/>
  <c r="H65" i="3"/>
  <c r="L65" i="3"/>
  <c r="D65" i="3"/>
  <c r="H43" i="3"/>
  <c r="D98" i="3"/>
  <c r="D21" i="3"/>
  <c r="M87" i="3"/>
  <c r="H87" i="2"/>
  <c r="H65" i="2"/>
  <c r="D109" i="3"/>
  <c r="M21" i="3"/>
  <c r="L21" i="3"/>
  <c r="M87" i="4"/>
  <c r="M87" i="2"/>
  <c r="M65" i="4"/>
  <c r="D21" i="4"/>
  <c r="M43" i="2"/>
  <c r="L109" i="4"/>
  <c r="M109" i="3"/>
  <c r="H109" i="3"/>
  <c r="D65" i="2"/>
  <c r="M98" i="3"/>
  <c r="H21" i="3"/>
  <c r="D43" i="2"/>
  <c r="L87" i="2"/>
  <c r="L87" i="3"/>
  <c r="H109" i="4"/>
  <c r="L43" i="2"/>
  <c r="L43" i="3"/>
  <c r="H21" i="4"/>
  <c r="M65" i="3"/>
  <c r="D10" i="6"/>
  <c r="D43" i="3"/>
  <c r="D43" i="4"/>
  <c r="H21" i="5"/>
  <c r="L98" i="3"/>
  <c r="L43" i="4"/>
  <c r="D87" i="3"/>
  <c r="H43" i="2"/>
  <c r="L65" i="2"/>
  <c r="L65" i="4"/>
  <c r="H87" i="4"/>
  <c r="D65" i="4"/>
  <c r="L21" i="4"/>
  <c r="M21" i="5"/>
  <c r="L21" i="5"/>
  <c r="D21" i="5"/>
  <c r="H10" i="6"/>
  <c r="D87" i="4"/>
  <c r="M21" i="4"/>
  <c r="L109" i="3"/>
  <c r="M10" i="6"/>
  <c r="P43" i="3"/>
  <c r="P40" i="3"/>
  <c r="P40" i="4"/>
  <c r="P43" i="4"/>
  <c r="P43" i="2"/>
  <c r="P40" i="2"/>
  <c r="N65" i="4" l="1"/>
  <c r="N65" i="2"/>
  <c r="N87" i="4"/>
  <c r="J43" i="4"/>
  <c r="N10" i="6"/>
  <c r="J13" i="6"/>
  <c r="J12" i="6"/>
  <c r="N65" i="3"/>
  <c r="N87" i="3"/>
  <c r="J23" i="3"/>
  <c r="J24" i="3"/>
  <c r="J23" i="5"/>
  <c r="J24" i="5"/>
  <c r="N21" i="5"/>
  <c r="J21" i="3"/>
  <c r="N98" i="3"/>
  <c r="J109" i="3"/>
  <c r="N109" i="3"/>
  <c r="N43" i="2"/>
  <c r="J24" i="4"/>
  <c r="J23" i="4"/>
  <c r="J87" i="3"/>
  <c r="J98" i="3"/>
  <c r="J45" i="4"/>
  <c r="J46" i="4"/>
  <c r="J45" i="3"/>
  <c r="J46" i="3"/>
  <c r="J87" i="2"/>
  <c r="J21" i="4"/>
  <c r="N21" i="4"/>
  <c r="J43" i="3"/>
  <c r="J109" i="4"/>
  <c r="J10" i="6"/>
  <c r="J65" i="3"/>
  <c r="J45" i="2"/>
  <c r="J46" i="2"/>
  <c r="N43" i="3"/>
  <c r="N43" i="4"/>
  <c r="J87" i="4"/>
  <c r="N109" i="4"/>
  <c r="J43" i="2"/>
  <c r="N87" i="2"/>
  <c r="J21" i="5"/>
  <c r="N21" i="3"/>
  <c r="J65" i="4"/>
  <c r="J65" i="2"/>
  <c r="P21" i="5"/>
  <c r="P10" i="6"/>
  <c r="P21" i="4"/>
  <c r="P21" i="3"/>
</calcChain>
</file>

<file path=xl/sharedStrings.xml><?xml version="1.0" encoding="utf-8"?>
<sst xmlns="http://schemas.openxmlformats.org/spreadsheetml/2006/main" count="7317" uniqueCount="190">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</sst>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14" fontId="13" fillId="2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A-4CD8-AA22-88B24002F65A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A-4CD8-AA22-88B24002F65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8A-4CD8-AA22-88B24002F65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8A-4CD8-AA22-88B24002F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7E-4408-B6A2-5E92B18CFD3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7E-4408-B6A2-5E92B18CFD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7E-4408-B6A2-5E92B18CFD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7E-4408-B6A2-5E92B18CF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6-4047-A627-9FB9AB0719FF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30.533488190476191</c:v>
                </c:pt>
                <c:pt idx="1">
                  <c:v>33.916929428571429</c:v>
                </c:pt>
                <c:pt idx="2">
                  <c:v>38.20902814285715</c:v>
                </c:pt>
                <c:pt idx="3">
                  <c:v>42.420346047619041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66-4047-A627-9FB9AB0719F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6-4047-A627-9FB9AB0719F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66-4047-A627-9FB9AB071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C8-44E4-8EBD-FBC1009A102E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C8-44E4-8EBD-FBC1009A102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C8-44E4-8EBD-FBC1009A102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C8-44E4-8EBD-FBC1009A1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A-4D1D-B619-D3A85F2C7781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A-4D1D-B619-D3A85F2C778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6A-4D1D-B619-D3A85F2C778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6A-4D1D-B619-D3A85F2C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9-4B63-AAEA-053DB756493D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49-4B63-AAEA-053DB75649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49-4B63-AAEA-053DB75649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49-4B63-AAEA-053DB756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4-479A-AEED-3E9148A94A9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74-479A-AEED-3E9148A94A9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74-479A-AEED-3E9148A94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F2-41F6-A53D-1680974A222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F2-41F6-A53D-1680974A222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F2-41F6-A53D-1680974A2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2-4243-8EDC-69F88DE1B6D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2-4243-8EDC-69F88DE1B6D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02-4243-8EDC-69F88DE1B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7-4BF3-AEBE-C6414F6CEFF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7-4BF3-AEBE-C6414F6CEF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7-4BF3-AEBE-C6414F6CEF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F7-4BF3-AEBE-C6414F6CE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3C-4A1D-8143-4F1BC6E649A9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3C-4A1D-8143-4F1BC6E649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3C-4A1D-8143-4F1BC6E649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3C-4A1D-8143-4F1BC6E64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A3-42B5-BD81-3454A499731D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A3-42B5-BD81-3454A499731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A3-42B5-BD81-3454A499731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A3-42B5-BD81-3454A4997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D9-42FD-A701-26FC61B9B713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34.457169095238093</c:v>
                </c:pt>
                <c:pt idx="1">
                  <c:v>37.269417904761909</c:v>
                </c:pt>
                <c:pt idx="2">
                  <c:v>41.519320571428565</c:v>
                </c:pt>
                <c:pt idx="3">
                  <c:v>45.470923047619038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D9-42FD-A701-26FC61B9B7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D9-42FD-A701-26FC61B9B7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D9-42FD-A701-26FC61B9B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BE-44D0-AF2E-F04F768E0EF6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BE-44D0-AF2E-F04F768E0EF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BE-44D0-AF2E-F04F768E0EF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BE-44D0-AF2E-F04F768E0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E8-418C-961C-8279942791E0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E8-418C-961C-8279942791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E8-418C-961C-8279942791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E8-418C-961C-827994279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A7-4F7F-95C2-DFD9E3E12208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A7-4F7F-95C2-DFD9E3E1220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A7-4F7F-95C2-DFD9E3E1220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A7-4F7F-95C2-DFD9E3E12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C6-4731-B6BC-319CE67370A4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C6-4731-B6BC-319CE67370A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C6-4731-B6BC-319CE67370A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C6-4731-B6BC-319CE6737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E6-4459-B7BB-1DCA5E1D2297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E6-4459-B7BB-1DCA5E1D229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E6-4459-B7BB-1DCA5E1D229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E6-4459-B7BB-1DCA5E1D2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D0-456B-924E-0C565EF6E83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D0-456B-924E-0C565EF6E83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D0-456B-924E-0C565EF6E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AA-461F-925C-1ABCAD802A73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AA-461F-925C-1ABCAD802A7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AA-461F-925C-1ABCAD802A7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AA-461F-925C-1ABCAD802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9-4E7B-B86F-2679982E4626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79-4E7B-B86F-2679982E46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79-4E7B-B86F-2679982E46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79-4E7B-B86F-2679982E4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10-4822-88EE-A4A10CF3072D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10-4822-88EE-A4A10CF3072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10-4822-88EE-A4A10CF3072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10-4822-88EE-A4A10CF30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6D-4B21-A8B2-D67A488DB878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0.9660450561904762</c:v>
                </c:pt>
                <c:pt idx="1">
                  <c:v>0.97917853666666688</c:v>
                </c:pt>
                <c:pt idx="2">
                  <c:v>0.98902881047619051</c:v>
                </c:pt>
                <c:pt idx="3">
                  <c:v>0.99384558761904784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D-4B21-A8B2-D67A488DB8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6D-4B21-A8B2-D67A488DB8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6D-4B21-A8B2-D67A488DB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A7-41D5-8737-F75C7BB6DCC1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A7-41D5-8737-F75C7BB6DCC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A7-41D5-8737-F75C7BB6DCC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A7-41D5-8737-F75C7BB6D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8E-466B-982D-D85F12D4C44D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8E-466B-982D-D85F12D4C4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8E-466B-982D-D85F12D4C4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8E-466B-982D-D85F12D4C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F8-4153-8A7D-FFBC9BC2ACA7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F8-4153-8A7D-FFBC9BC2AC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F8-4153-8A7D-FFBC9BC2AC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F8-4153-8A7D-FFBC9BC2A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23-4A3E-942C-502F6DF57C9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23-4A3E-942C-502F6DF57C9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23-4A3E-942C-502F6DF5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47-4ABF-80A0-6715FE7CA7B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47-4ABF-80A0-6715FE7CA7B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47-4ABF-80A0-6715FE7C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35-499E-899A-2D46A6AB79B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35-499E-899A-2D46A6AB79B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35-499E-899A-2D46A6AB7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29-4293-B68E-C355F7A16F3F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29-4293-B68E-C355F7A16F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29-4293-B68E-C355F7A16F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29-4293-B68E-C355F7A16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4C-486C-AC12-20FE2EB1E5D3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4C-486C-AC12-20FE2EB1E5D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4C-486C-AC12-20FE2EB1E5D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4C-486C-AC12-20FE2EB1E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8B-43BD-84C6-F0A7C1446C82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8B-43BD-84C6-F0A7C1446C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8B-43BD-84C6-F0A7C1446C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8B-43BD-84C6-F0A7C1446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DA-4A17-B1B7-9B0737C23952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0.97320885523809508</c:v>
                </c:pt>
                <c:pt idx="1">
                  <c:v>0.98441209285714304</c:v>
                </c:pt>
                <c:pt idx="2">
                  <c:v>0.99265441809523802</c:v>
                </c:pt>
                <c:pt idx="3">
                  <c:v>0.99643372047619061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DA-4A17-B1B7-9B0737C239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DA-4A17-B1B7-9B0737C239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DA-4A17-B1B7-9B0737C23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13-49B5-98F8-3861401E5321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3-49B5-98F8-3861401E532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3-49B5-98F8-3861401E532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13-49B5-98F8-3861401E5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92-437A-90DC-0799FE7FC63A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92-437A-90DC-0799FE7FC6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92-437A-90DC-0799FE7FC6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92-437A-90DC-0799FE7FC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AE-4A06-B182-AD2FF2A6777D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AE-4A06-B182-AD2FF2A6777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AE-4A06-B182-AD2FF2A6777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AE-4A06-B182-AD2FF2A67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A7-43DC-A194-21A8E1D2B3E3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A7-43DC-A194-21A8E1D2B3E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A7-43DC-A194-21A8E1D2B3E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A7-43DC-A194-21A8E1D2B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CD-4DA5-AB7A-B44523B2047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CD-4DA5-AB7A-B44523B2047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CD-4DA5-AB7A-B44523B20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14-4AC2-9B4D-0034EC5E067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14-4AC2-9B4D-0034EC5E067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14-4AC2-9B4D-0034EC5E0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00-4994-ABFD-DA30580CAA7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00-4994-ABFD-DA30580CAA7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00-4994-ABFD-DA30580CA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28-4AA5-B7A1-07BB42E9EADD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28-4AA5-B7A1-07BB42E9EA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28-4AA5-B7A1-07BB42E9EA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28-4AA5-B7A1-07BB42E9E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03-4F18-B5B1-D81E0279586C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03-4F18-B5B1-D81E0279586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03-4F18-B5B1-D81E0279586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03-4F18-B5B1-D81E02795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D5-4A2F-92ED-5BF2AA6A061B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D5-4A2F-92ED-5BF2AA6A061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D5-4A2F-92ED-5BF2AA6A061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D5-4A2F-92ED-5BF2AA6A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52-4339-80DE-ABB081042D20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5.7060401714285704E-2</c:v>
                </c:pt>
                <c:pt idx="1">
                  <c:v>3.7247994999999999E-2</c:v>
                </c:pt>
                <c:pt idx="2">
                  <c:v>2.0657761761904758E-2</c:v>
                </c:pt>
                <c:pt idx="3">
                  <c:v>9.1025859523809517E-3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52-4339-80DE-ABB081042D2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52-4339-80DE-ABB081042D2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52-4339-80DE-ABB081042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8C-436A-8B71-71F813EAD742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8C-436A-8B71-71F813EAD74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8C-436A-8B71-71F813EAD74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8C-436A-8B71-71F813EAD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0C-4612-B931-F6A4C13C973F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C-4612-B931-F6A4C13C97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0C-4612-B931-F6A4C13C97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C-4612-B931-F6A4C13C9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D8-475E-94FA-1ED623060A59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D8-475E-94FA-1ED623060A5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D8-475E-94FA-1ED623060A5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D8-475E-94FA-1ED623060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BC-4959-A22E-8DB97403CBA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BC-4959-A22E-8DB97403CBA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BC-4959-A22E-8DB97403C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E5-471A-9AE4-E4663676777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E5-471A-9AE4-E4663676777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E5-471A-9AE4-E4663676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E3-4049-B97E-91E43E5CDAE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E3-4049-B97E-91E43E5CDAE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E3-4049-B97E-91E43E5CD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99-4743-B5D8-36EA08D29D6C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9-4743-B5D8-36EA08D29D6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99-4743-B5D8-36EA08D29D6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99-4743-B5D8-36EA08D29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H12" sqref="H12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3" t="s">
        <v>0</v>
      </c>
      <c r="B1" s="168"/>
      <c r="C1" s="168"/>
      <c r="D1" s="173" t="s">
        <v>0</v>
      </c>
      <c r="E1" s="173" t="s">
        <v>0</v>
      </c>
      <c r="F1" s="173"/>
      <c r="G1" s="173"/>
      <c r="H1" s="173"/>
      <c r="I1" s="173" t="s">
        <v>0</v>
      </c>
    </row>
    <row r="2" spans="1:9" x14ac:dyDescent="0.25">
      <c r="A2" s="168"/>
      <c r="B2" s="5"/>
      <c r="C2" s="150"/>
      <c r="D2" s="168"/>
      <c r="E2" s="168"/>
      <c r="F2" s="168"/>
      <c r="G2" s="168"/>
      <c r="H2" s="168"/>
      <c r="I2" s="168"/>
    </row>
    <row r="3" spans="1:9" x14ac:dyDescent="0.25">
      <c r="A3" s="168"/>
      <c r="B3" s="5" t="s">
        <v>1</v>
      </c>
      <c r="C3" s="274" t="s">
        <v>2</v>
      </c>
      <c r="D3" s="275"/>
      <c r="E3" s="275"/>
      <c r="F3" s="275"/>
      <c r="G3" s="275"/>
      <c r="H3" s="275"/>
      <c r="I3" s="168"/>
    </row>
    <row r="4" spans="1:9" x14ac:dyDescent="0.25">
      <c r="A4" s="168"/>
      <c r="B4" s="5" t="s">
        <v>3</v>
      </c>
      <c r="C4" s="274" t="s">
        <v>4</v>
      </c>
      <c r="D4" s="275"/>
      <c r="E4" s="275"/>
      <c r="F4" s="275"/>
      <c r="G4" s="275"/>
      <c r="H4" s="275"/>
      <c r="I4" s="168"/>
    </row>
    <row r="5" spans="1:9" x14ac:dyDescent="0.25">
      <c r="A5" s="168"/>
      <c r="B5" s="5"/>
      <c r="C5" s="150"/>
      <c r="D5" s="168"/>
      <c r="E5" s="168"/>
      <c r="F5" s="168"/>
      <c r="G5" s="168"/>
      <c r="H5" s="168"/>
      <c r="I5" s="168"/>
    </row>
    <row r="6" spans="1:9" x14ac:dyDescent="0.25">
      <c r="A6" s="168"/>
      <c r="B6" s="2"/>
      <c r="C6" s="2"/>
      <c r="D6" s="168"/>
      <c r="E6" s="168"/>
      <c r="F6" s="168"/>
      <c r="G6" s="168"/>
      <c r="H6" s="168"/>
      <c r="I6" s="168"/>
    </row>
    <row r="7" spans="1:9" s="16" customFormat="1" ht="16.5" customHeight="1" thickBot="1" x14ac:dyDescent="0.3">
      <c r="A7" s="174"/>
      <c r="B7" s="276"/>
      <c r="C7" s="277"/>
      <c r="D7" s="277"/>
      <c r="E7" s="277"/>
      <c r="F7" s="277"/>
      <c r="G7" s="277"/>
      <c r="H7" s="277"/>
      <c r="I7" s="174"/>
    </row>
    <row r="8" spans="1:9" ht="30" customHeight="1" thickBot="1" x14ac:dyDescent="0.3">
      <c r="A8" s="168"/>
      <c r="B8" s="203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8" t="s">
        <v>10</v>
      </c>
      <c r="I8" s="14"/>
    </row>
    <row r="9" spans="1:9" ht="15.75" customHeight="1" x14ac:dyDescent="0.25">
      <c r="A9" s="168"/>
      <c r="B9" s="175" t="str">
        <f t="shared" ref="B9:B18" ca="1" si="0">INDIRECT(C9&amp;"!B2")</f>
        <v>breakfast_track</v>
      </c>
      <c r="C9" s="196" t="s">
        <v>11</v>
      </c>
      <c r="D9" s="218" t="e">
        <f t="shared" ref="D9:D18" ca="1" si="1">INDIRECT($C9&amp;"!AM$5")</f>
        <v>#VALUE!</v>
      </c>
      <c r="E9" s="218" t="e">
        <f t="shared" ref="E9:E18" ca="1" si="2">INDIRECT($C9&amp;"!AN$5")</f>
        <v>#VALUE!</v>
      </c>
      <c r="F9" s="218" t="e">
        <f t="shared" ref="F9:F18" ca="1" si="3">INDIRECT($C9&amp;"!AO$5")</f>
        <v>#VALUE!</v>
      </c>
      <c r="G9" s="218" t="e">
        <f t="shared" ref="G9:G18" ca="1" si="4">INDIRECT($C9&amp;"!AP$5")</f>
        <v>#VALUE!</v>
      </c>
      <c r="H9" s="219" t="e">
        <f t="shared" ref="H9:H18" ca="1" si="5">INDIRECT($C9&amp;"!AQ$5")</f>
        <v>#VALUE!</v>
      </c>
      <c r="I9" s="220"/>
    </row>
    <row r="10" spans="1:9" ht="15.75" customHeight="1" x14ac:dyDescent="0.25">
      <c r="A10" s="168"/>
      <c r="B10" s="175" t="str">
        <f t="shared" ca="1" si="0"/>
        <v>breakfast_semitrack</v>
      </c>
      <c r="C10" s="196" t="s">
        <v>12</v>
      </c>
      <c r="D10" s="218" t="e">
        <f t="shared" ca="1" si="1"/>
        <v>#VALUE!</v>
      </c>
      <c r="E10" s="218" t="e">
        <f t="shared" ca="1" si="2"/>
        <v>#VALUE!</v>
      </c>
      <c r="F10" s="218" t="e">
        <f t="shared" ca="1" si="3"/>
        <v>#VALUE!</v>
      </c>
      <c r="G10" s="218" t="e">
        <f t="shared" ca="1" si="4"/>
        <v>#VALUE!</v>
      </c>
      <c r="H10" s="221" t="e">
        <f t="shared" ca="1" si="5"/>
        <v>#VALUE!</v>
      </c>
      <c r="I10" s="220"/>
    </row>
    <row r="11" spans="1:9" ht="15.75" customHeight="1" x14ac:dyDescent="0.25">
      <c r="A11" s="168"/>
      <c r="B11" s="175" t="str">
        <f t="shared" ca="1" si="0"/>
        <v>cinema_track</v>
      </c>
      <c r="C11" s="196" t="s">
        <v>13</v>
      </c>
      <c r="D11" s="218" t="e">
        <f t="shared" ca="1" si="1"/>
        <v>#VALUE!</v>
      </c>
      <c r="E11" s="218" t="e">
        <f t="shared" ca="1" si="2"/>
        <v>#VALUE!</v>
      </c>
      <c r="F11" s="218" t="e">
        <f t="shared" ca="1" si="3"/>
        <v>#VALUE!</v>
      </c>
      <c r="G11" s="218" t="e">
        <f t="shared" ca="1" si="4"/>
        <v>#VALUE!</v>
      </c>
      <c r="H11" s="221" t="e">
        <f t="shared" ca="1" si="5"/>
        <v>#VALUE!</v>
      </c>
      <c r="I11" s="220"/>
    </row>
    <row r="12" spans="1:9" ht="15.75" customHeight="1" x14ac:dyDescent="0.25">
      <c r="A12" s="168"/>
      <c r="B12" s="175" t="str">
        <f t="shared" ca="1" si="0"/>
        <v>cinema_semitrack</v>
      </c>
      <c r="C12" s="197" t="s">
        <v>14</v>
      </c>
      <c r="D12" s="218">
        <f t="shared" ca="1" si="1"/>
        <v>-0.14063705160764717</v>
      </c>
      <c r="E12" s="218">
        <f t="shared" ca="1" si="2"/>
        <v>-0.10990880197638075</v>
      </c>
      <c r="F12" s="218">
        <f t="shared" ca="1" si="3"/>
        <v>-1.2071638997684153E-2</v>
      </c>
      <c r="G12" s="218">
        <f t="shared" ca="1" si="4"/>
        <v>-3.1157712437316243E-2</v>
      </c>
      <c r="H12" s="221">
        <f t="shared" ca="1" si="5"/>
        <v>-0.1596249042284873</v>
      </c>
      <c r="I12" s="220"/>
    </row>
    <row r="13" spans="1:9" ht="15.75" customHeight="1" x14ac:dyDescent="0.25">
      <c r="A13" s="168"/>
      <c r="B13" s="175" t="e">
        <f t="shared" ca="1" si="0"/>
        <v>#REF!</v>
      </c>
      <c r="C13" s="197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8"/>
      <c r="B14" s="175" t="e">
        <f t="shared" ca="1" si="0"/>
        <v>#REF!</v>
      </c>
      <c r="C14" s="196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8"/>
      <c r="B15" s="175" t="e">
        <f t="shared" ca="1" si="0"/>
        <v>#REF!</v>
      </c>
      <c r="C15" s="196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8"/>
      <c r="B16" s="175" t="e">
        <f t="shared" ca="1" si="0"/>
        <v>#REF!</v>
      </c>
      <c r="C16" s="196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8"/>
      <c r="B17" s="175" t="e">
        <f t="shared" ca="1" si="0"/>
        <v>#REF!</v>
      </c>
      <c r="C17" s="196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8"/>
      <c r="B18" s="175" t="e">
        <f t="shared" ca="1" si="0"/>
        <v>#REF!</v>
      </c>
      <c r="C18" s="196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8"/>
      <c r="B19" s="272" t="s">
        <v>15</v>
      </c>
      <c r="C19" s="273"/>
      <c r="D19" s="222" t="e">
        <f ca="1">IF(COUNTIF(D10:D15,"=0")&gt;0,0,AVERAGE(D10:D15))</f>
        <v>#VALUE!</v>
      </c>
      <c r="E19" s="222" t="e">
        <f ca="1">IF(COUNTIF(E10:E15,"=0")&gt;0,0,AVERAGE(E10:E15))</f>
        <v>#VALUE!</v>
      </c>
      <c r="F19" s="222" t="e">
        <f ca="1">IF(COUNTIF(F10:F15,"=0")&gt;0,0,AVERAGE(F10:F15))</f>
        <v>#VALUE!</v>
      </c>
      <c r="G19" s="222" t="e">
        <f ca="1">IF(COUNTIF(G10:G15,"=0")&gt;0,0,AVERAGE(G10:G15))</f>
        <v>#VALUE!</v>
      </c>
      <c r="H19" s="223" t="e">
        <f ca="1">IF(COUNTIF(H10:H15,"=0")&gt;0,0,AVERAGE(H10:H15))</f>
        <v>#VALUE!</v>
      </c>
      <c r="I19" s="220"/>
    </row>
    <row r="20" spans="1:9" ht="15.75" customHeight="1" x14ac:dyDescent="0.25">
      <c r="B20" s="176"/>
      <c r="C20" s="177"/>
      <c r="D20" s="220"/>
      <c r="E20" s="220"/>
      <c r="F20" s="220"/>
      <c r="G20" s="220"/>
      <c r="H20" s="220"/>
      <c r="I20" s="220"/>
    </row>
    <row r="21" spans="1:9" ht="15.75" customHeight="1" x14ac:dyDescent="0.25">
      <c r="B21" s="176"/>
      <c r="C21" s="177"/>
      <c r="D21" s="220"/>
      <c r="E21" s="220"/>
      <c r="F21" s="220"/>
      <c r="G21" s="220"/>
      <c r="H21" s="220"/>
      <c r="I21" s="220"/>
    </row>
    <row r="22" spans="1:9" ht="15.75" customHeight="1" x14ac:dyDescent="0.25">
      <c r="B22" s="88"/>
      <c r="D22" s="224"/>
      <c r="E22" s="224"/>
      <c r="F22" s="224"/>
      <c r="G22" s="224"/>
      <c r="H22" s="224"/>
      <c r="I22" s="174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6" bestFit="1" customWidth="1"/>
    <col min="2" max="2" width="19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18.5" style="206" bestFit="1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21.5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9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8" t="str">
        <f>'Summary (auto)'!C3</f>
        <v>MPEG-151</v>
      </c>
      <c r="C2" s="279"/>
      <c r="D2" s="279"/>
      <c r="E2" s="207"/>
      <c r="F2" s="288" t="str">
        <f>'Summary (auto)'!C4</f>
        <v>my</v>
      </c>
      <c r="G2" s="279"/>
      <c r="H2" s="279"/>
      <c r="I2" s="205"/>
      <c r="J2" s="209" t="s">
        <v>16</v>
      </c>
      <c r="K2" s="205"/>
      <c r="L2" s="284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19</v>
      </c>
      <c r="M3" s="87" t="s">
        <v>20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1" t="s">
        <v>11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04"/>
      <c r="L4" s="285" t="str">
        <f>F4</f>
        <v>breakfast_track</v>
      </c>
      <c r="M4" s="282"/>
      <c r="N4" s="283"/>
      <c r="O4" s="183"/>
      <c r="P4" s="204"/>
      <c r="Q4" s="183"/>
      <c r="R4" s="183"/>
      <c r="S4" s="183"/>
      <c r="T4" s="183"/>
      <c r="U4" s="205"/>
      <c r="V4" s="205"/>
      <c r="X4" s="280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8" t="s">
        <v>23</v>
      </c>
      <c r="L5" s="286" t="s">
        <v>24</v>
      </c>
      <c r="M5" s="279"/>
      <c r="N5" s="287"/>
      <c r="O5" s="69"/>
      <c r="P5" s="4"/>
      <c r="Q5" s="69"/>
      <c r="R5" s="284"/>
      <c r="S5" s="279"/>
      <c r="T5" s="279"/>
      <c r="U5" s="209"/>
      <c r="V5" s="209"/>
      <c r="X5" s="284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7"/>
      <c r="C14" s="207"/>
      <c r="D14" s="235"/>
      <c r="E14" s="226"/>
      <c r="F14" s="207"/>
      <c r="G14" s="207"/>
      <c r="H14" s="235"/>
      <c r="I14" s="10"/>
      <c r="J14" s="200"/>
      <c r="L14" s="201"/>
      <c r="M14" s="201"/>
      <c r="N14" s="202"/>
      <c r="O14" s="226"/>
      <c r="P14" s="205"/>
      <c r="Q14" s="226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1" t="s">
        <v>12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04"/>
      <c r="L15" s="285" t="str">
        <f>F15</f>
        <v>breakfast_semitrack</v>
      </c>
      <c r="M15" s="282"/>
      <c r="N15" s="283"/>
      <c r="O15" s="183"/>
      <c r="P15" s="204"/>
      <c r="Q15" s="183"/>
      <c r="R15" s="183"/>
      <c r="S15" s="183"/>
      <c r="T15" s="183"/>
      <c r="U15" s="205"/>
      <c r="V15" s="205"/>
      <c r="X15" s="280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8" t="s">
        <v>23</v>
      </c>
      <c r="L16" s="286" t="s">
        <v>24</v>
      </c>
      <c r="M16" s="279"/>
      <c r="N16" s="287"/>
      <c r="O16" s="69"/>
      <c r="P16" s="4"/>
      <c r="Q16" s="69"/>
      <c r="R16" s="284"/>
      <c r="S16" s="279"/>
      <c r="T16" s="279"/>
      <c r="U16" s="209"/>
      <c r="V16" s="209"/>
      <c r="X16" s="284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1" t="s">
        <v>13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04"/>
      <c r="L26" s="285" t="str">
        <f>F26</f>
        <v>cinema_track</v>
      </c>
      <c r="M26" s="282"/>
      <c r="N26" s="283"/>
      <c r="O26" s="183"/>
      <c r="P26" s="204"/>
      <c r="U26" s="205"/>
      <c r="V26" s="205"/>
      <c r="X26" s="280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8" t="s">
        <v>23</v>
      </c>
      <c r="L27" s="286" t="s">
        <v>24</v>
      </c>
      <c r="M27" s="279"/>
      <c r="N27" s="287"/>
      <c r="O27" s="69"/>
      <c r="P27" s="4"/>
      <c r="R27" s="284"/>
      <c r="S27" s="279"/>
      <c r="T27" s="279"/>
      <c r="U27" s="209"/>
      <c r="V27" s="209"/>
      <c r="X27" s="284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1" t="s">
        <v>14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04"/>
      <c r="L37" s="285" t="str">
        <f>F37</f>
        <v>cinema_semitrack</v>
      </c>
      <c r="M37" s="282"/>
      <c r="N37" s="283"/>
      <c r="O37" s="183"/>
      <c r="P37" s="204"/>
      <c r="U37" s="205"/>
      <c r="V37" s="205"/>
      <c r="X37" s="280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8" t="s">
        <v>23</v>
      </c>
      <c r="L38" s="286" t="s">
        <v>24</v>
      </c>
      <c r="M38" s="279"/>
      <c r="N38" s="287"/>
      <c r="O38" s="69"/>
      <c r="P38" s="4"/>
      <c r="R38" s="284"/>
      <c r="S38" s="279"/>
      <c r="T38" s="279"/>
      <c r="U38" s="209"/>
      <c r="V38" s="209"/>
      <c r="X38" s="284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28.276047999999999</v>
      </c>
      <c r="I40" s="10"/>
      <c r="J40" s="228">
        <f ca="1">H40/D40-1</f>
        <v>-1.440838330593941E-3</v>
      </c>
      <c r="L40" s="76">
        <f ca="1">INDIRECT($B40&amp;"!"&amp;L$3&amp;"5")</f>
        <v>30.214093190476195</v>
      </c>
      <c r="M40" s="77">
        <f ca="1">INDIRECT($B40&amp;"!"&amp;M$3&amp;"5")</f>
        <v>30.533488190476191</v>
      </c>
      <c r="N40" s="78">
        <f ca="1">M40-L40</f>
        <v>0.31939499999999654</v>
      </c>
      <c r="O40" s="226"/>
      <c r="P40" s="228">
        <f ca="1">bdrate(D40:D43,L40:L43,H40:H43,M40:M43)</f>
        <v>-0.14063705160764428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41.070520000000002</v>
      </c>
      <c r="I41" s="10"/>
      <c r="J41" s="228">
        <f ca="1">H41/D41-1</f>
        <v>-1.3606805153273394E-3</v>
      </c>
      <c r="L41" s="76">
        <f ca="1">INDIRECT($B41&amp;"!"&amp;L$3&amp;"6")</f>
        <v>32.999578714285725</v>
      </c>
      <c r="M41" s="77">
        <f ca="1">INDIRECT($B41&amp;"!"&amp;M$3&amp;"6")</f>
        <v>33.916929428571429</v>
      </c>
      <c r="N41" s="78">
        <f ca="1">M41-L41</f>
        <v>0.91735071428570336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61.787448000000005</v>
      </c>
      <c r="I42" s="10"/>
      <c r="J42" s="228">
        <f ca="1">H42/D42-1</f>
        <v>-1.2542140116614808E-3</v>
      </c>
      <c r="L42" s="76">
        <f ca="1">INDIRECT($B42&amp;"!"&amp;L$3&amp;"7")</f>
        <v>36.248342999999991</v>
      </c>
      <c r="M42" s="77">
        <f ca="1">INDIRECT($B42&amp;"!"&amp;M$3&amp;"7")</f>
        <v>38.20902814285715</v>
      </c>
      <c r="N42" s="78">
        <f ca="1">M42-L42</f>
        <v>1.9606851428571588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90.327991999999995</v>
      </c>
      <c r="I43" s="10"/>
      <c r="J43" s="228">
        <f ca="1">H43/D43-1</f>
        <v>-9.8176488518297855E-4</v>
      </c>
      <c r="L43" s="76">
        <f ca="1">INDIRECT($B43&amp;"!"&amp;L$3&amp;"8")</f>
        <v>39.028174857142858</v>
      </c>
      <c r="M43" s="77">
        <f ca="1">INDIRECT($B43&amp;"!"&amp;M$3&amp;"8")</f>
        <v>42.420346047619041</v>
      </c>
      <c r="N43" s="78">
        <f ca="1">M43-L43</f>
        <v>3.3921711904761835</v>
      </c>
      <c r="O43" s="226"/>
      <c r="P43" s="231">
        <f ca="1">bdrate(L40:L43,D40:D43,M40:M43,H40:H43)</f>
        <v>5.0379837999289245E-2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28.276047999999999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04"/>
      <c r="L48" s="285">
        <f>F48</f>
        <v>0</v>
      </c>
      <c r="M48" s="282"/>
      <c r="N48" s="283"/>
      <c r="O48" s="183"/>
      <c r="P48" s="204"/>
      <c r="U48" s="205"/>
      <c r="V48" s="205"/>
      <c r="X48" s="280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8" t="s">
        <v>23</v>
      </c>
      <c r="L49" s="286" t="s">
        <v>24</v>
      </c>
      <c r="M49" s="279"/>
      <c r="N49" s="287"/>
      <c r="O49" s="69"/>
      <c r="P49" s="4"/>
      <c r="R49" s="284"/>
      <c r="S49" s="279"/>
      <c r="T49" s="279"/>
      <c r="U49" s="209"/>
      <c r="V49" s="209"/>
      <c r="X49" s="284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04"/>
      <c r="L59" s="285">
        <f>F59</f>
        <v>0</v>
      </c>
      <c r="M59" s="282"/>
      <c r="N59" s="283"/>
      <c r="O59" s="183"/>
      <c r="P59" s="204"/>
      <c r="U59" s="205"/>
      <c r="V59" s="205"/>
      <c r="X59" s="280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8" t="s">
        <v>23</v>
      </c>
      <c r="L60" s="286" t="s">
        <v>24</v>
      </c>
      <c r="M60" s="279"/>
      <c r="N60" s="287"/>
      <c r="O60" s="69"/>
      <c r="P60" s="4"/>
      <c r="R60" s="284"/>
      <c r="S60" s="279"/>
      <c r="T60" s="279"/>
      <c r="U60" s="209"/>
      <c r="V60" s="209"/>
      <c r="X60" s="284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04"/>
      <c r="L70" s="285">
        <f>F70</f>
        <v>0</v>
      </c>
      <c r="M70" s="282"/>
      <c r="N70" s="283"/>
      <c r="O70" s="183"/>
      <c r="P70" s="204"/>
      <c r="U70" s="205"/>
      <c r="V70" s="205"/>
      <c r="X70" s="280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8" t="s">
        <v>23</v>
      </c>
      <c r="L71" s="286" t="s">
        <v>24</v>
      </c>
      <c r="M71" s="279"/>
      <c r="N71" s="287"/>
      <c r="O71" s="69"/>
      <c r="P71" s="4"/>
      <c r="R71" s="284"/>
      <c r="S71" s="279"/>
      <c r="T71" s="279"/>
      <c r="U71" s="209"/>
      <c r="V71" s="209"/>
      <c r="X71" s="284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04"/>
      <c r="L81" s="285">
        <f>F81</f>
        <v>0</v>
      </c>
      <c r="M81" s="282"/>
      <c r="N81" s="283"/>
      <c r="O81" s="183"/>
      <c r="P81" s="204"/>
      <c r="U81" s="205"/>
      <c r="V81" s="205"/>
      <c r="X81" s="280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8" t="s">
        <v>23</v>
      </c>
      <c r="L82" s="286" t="s">
        <v>24</v>
      </c>
      <c r="M82" s="279"/>
      <c r="N82" s="287"/>
      <c r="O82" s="69"/>
      <c r="P82" s="4"/>
      <c r="R82" s="284"/>
      <c r="S82" s="279"/>
      <c r="T82" s="279"/>
      <c r="U82" s="209"/>
      <c r="V82" s="209"/>
      <c r="X82" s="284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04"/>
      <c r="L92" s="285">
        <f>F92</f>
        <v>0</v>
      </c>
      <c r="M92" s="282"/>
      <c r="N92" s="283"/>
      <c r="O92" s="183"/>
      <c r="P92" s="204"/>
      <c r="U92" s="205"/>
      <c r="V92" s="205"/>
      <c r="X92" s="280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8" t="s">
        <v>23</v>
      </c>
      <c r="L93" s="286" t="s">
        <v>24</v>
      </c>
      <c r="M93" s="279"/>
      <c r="N93" s="287"/>
      <c r="O93" s="69"/>
      <c r="P93" s="4"/>
      <c r="R93" s="284"/>
      <c r="S93" s="279"/>
      <c r="T93" s="279"/>
      <c r="U93" s="209"/>
      <c r="V93" s="209"/>
      <c r="X93" s="284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04"/>
      <c r="L103" s="285">
        <f>F103</f>
        <v>0</v>
      </c>
      <c r="M103" s="282"/>
      <c r="N103" s="283"/>
      <c r="O103" s="183"/>
      <c r="P103" s="204"/>
      <c r="U103" s="205"/>
      <c r="V103" s="205"/>
      <c r="X103" s="280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8" t="s">
        <v>23</v>
      </c>
      <c r="L104" s="286" t="s">
        <v>24</v>
      </c>
      <c r="M104" s="279"/>
      <c r="N104" s="287"/>
      <c r="O104" s="69"/>
      <c r="P104" s="4"/>
      <c r="R104" s="284"/>
      <c r="S104" s="279"/>
      <c r="T104" s="279"/>
      <c r="U104" s="209"/>
      <c r="V104" s="209"/>
      <c r="X104" s="284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3"/>
      <c r="C182" s="183"/>
      <c r="D182" s="3"/>
      <c r="E182" s="3"/>
      <c r="F182" s="3"/>
      <c r="G182" s="3"/>
      <c r="H182" s="3"/>
      <c r="I182" s="3"/>
      <c r="J182" s="3"/>
      <c r="L182" s="183"/>
      <c r="M182" s="183"/>
      <c r="N182" s="3"/>
      <c r="O182" s="3"/>
      <c r="P182" s="3"/>
      <c r="Q182" s="3"/>
      <c r="R182" s="3"/>
      <c r="S182" s="3"/>
      <c r="T182" s="3"/>
      <c r="U182" s="3"/>
      <c r="V182" s="3"/>
      <c r="X182" s="183"/>
      <c r="Y182" s="183"/>
      <c r="Z182" s="183"/>
    </row>
    <row r="183" spans="2:28" x14ac:dyDescent="0.25">
      <c r="B183" s="40"/>
      <c r="C183" s="183"/>
      <c r="D183" s="226"/>
      <c r="E183" s="226"/>
      <c r="F183" s="226"/>
      <c r="G183" s="226"/>
      <c r="H183" s="10"/>
      <c r="I183" s="10"/>
      <c r="J183" s="10"/>
      <c r="L183" s="40"/>
      <c r="M183" s="183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6"/>
      <c r="AB183" s="230"/>
    </row>
    <row r="184" spans="2:28" x14ac:dyDescent="0.25">
      <c r="B184" s="40"/>
      <c r="C184" s="183"/>
      <c r="D184" s="226"/>
      <c r="E184" s="226"/>
      <c r="F184" s="226"/>
      <c r="G184" s="226"/>
      <c r="H184" s="10"/>
      <c r="I184" s="10"/>
      <c r="J184" s="10"/>
      <c r="L184" s="40"/>
      <c r="M184" s="183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6"/>
    </row>
    <row r="185" spans="2:28" x14ac:dyDescent="0.25">
      <c r="B185" s="40"/>
      <c r="C185" s="183"/>
      <c r="D185" s="226"/>
      <c r="E185" s="226"/>
      <c r="F185" s="226"/>
      <c r="G185" s="226"/>
      <c r="H185" s="10"/>
      <c r="I185" s="10"/>
      <c r="J185" s="10"/>
      <c r="L185" s="40"/>
      <c r="M185" s="183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6"/>
    </row>
    <row r="186" spans="2:28" ht="16.5" customHeight="1" x14ac:dyDescent="0.25">
      <c r="B186" s="40"/>
      <c r="C186" s="183"/>
      <c r="D186" s="226"/>
      <c r="E186" s="226"/>
      <c r="F186" s="226"/>
      <c r="G186" s="226"/>
      <c r="H186" s="10"/>
      <c r="I186" s="10"/>
      <c r="J186" s="10"/>
      <c r="L186" s="40"/>
      <c r="M186" s="183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6"/>
      <c r="AB186" s="230"/>
    </row>
    <row r="187" spans="2:28" x14ac:dyDescent="0.25">
      <c r="B187" s="40"/>
      <c r="C187" s="183"/>
      <c r="D187" s="226"/>
      <c r="E187" s="226"/>
      <c r="F187" s="226"/>
      <c r="G187" s="226"/>
      <c r="H187" s="10"/>
      <c r="I187" s="10"/>
      <c r="J187" s="10"/>
      <c r="L187" s="40"/>
      <c r="M187" s="183"/>
      <c r="N187" s="226"/>
      <c r="O187" s="226"/>
      <c r="P187" s="226"/>
      <c r="Q187" s="226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6"/>
      <c r="E188" s="226"/>
      <c r="F188" s="226"/>
      <c r="G188" s="226"/>
      <c r="H188" s="10"/>
      <c r="I188" s="10"/>
      <c r="J188" s="10"/>
      <c r="L188" s="40"/>
      <c r="M188" s="183"/>
      <c r="N188" s="226"/>
      <c r="O188" s="226"/>
      <c r="P188" s="226"/>
      <c r="Q188" s="226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8" t="str">
        <f>'Summary (auto)'!C3</f>
        <v>MPEG-151</v>
      </c>
      <c r="C2" s="279"/>
      <c r="D2" s="279"/>
      <c r="E2" s="207"/>
      <c r="F2" s="288" t="str">
        <f>'Summary (auto)'!C4</f>
        <v>my</v>
      </c>
      <c r="G2" s="279"/>
      <c r="H2" s="279"/>
      <c r="I2" s="205"/>
      <c r="J2" s="209" t="s">
        <v>16</v>
      </c>
      <c r="K2" s="205"/>
      <c r="L2" s="284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33</v>
      </c>
      <c r="M3" s="87" t="s">
        <v>34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1" t="s">
        <v>11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04"/>
      <c r="L4" s="285" t="str">
        <f>F4</f>
        <v>breakfast_track</v>
      </c>
      <c r="M4" s="282"/>
      <c r="N4" s="283"/>
      <c r="O4" s="183"/>
      <c r="P4" s="204"/>
      <c r="Q4" s="183"/>
      <c r="R4" s="183"/>
      <c r="S4" s="183"/>
      <c r="T4" s="183"/>
      <c r="U4" s="205"/>
      <c r="V4" s="205"/>
      <c r="X4" s="280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8" t="s">
        <v>23</v>
      </c>
      <c r="L5" s="286" t="s">
        <v>35</v>
      </c>
      <c r="M5" s="279"/>
      <c r="N5" s="287"/>
      <c r="O5" s="69"/>
      <c r="P5" s="4"/>
      <c r="Q5" s="69"/>
      <c r="R5" s="284"/>
      <c r="S5" s="279"/>
      <c r="T5" s="279"/>
      <c r="U5" s="209"/>
      <c r="V5" s="209"/>
      <c r="X5" s="284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1" t="s">
        <v>12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04"/>
      <c r="L15" s="285" t="str">
        <f>F15</f>
        <v>breakfast_semitrack</v>
      </c>
      <c r="M15" s="282"/>
      <c r="N15" s="283"/>
      <c r="O15" s="183"/>
      <c r="P15" s="204"/>
      <c r="Q15" s="183"/>
      <c r="R15" s="183"/>
      <c r="S15" s="183"/>
      <c r="T15" s="183"/>
      <c r="U15" s="205"/>
      <c r="V15" s="205"/>
      <c r="X15" s="280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8" t="s">
        <v>23</v>
      </c>
      <c r="L16" s="286" t="s">
        <v>35</v>
      </c>
      <c r="M16" s="279"/>
      <c r="N16" s="287"/>
      <c r="O16" s="69"/>
      <c r="P16" s="4"/>
      <c r="Q16" s="69"/>
      <c r="R16" s="284"/>
      <c r="S16" s="279"/>
      <c r="T16" s="279"/>
      <c r="U16" s="209"/>
      <c r="V16" s="209"/>
      <c r="X16" s="284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1" t="s">
        <v>13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04"/>
      <c r="L26" s="285" t="str">
        <f>F26</f>
        <v>cinema_track</v>
      </c>
      <c r="M26" s="282"/>
      <c r="N26" s="283"/>
      <c r="O26" s="183"/>
      <c r="P26" s="204"/>
      <c r="U26" s="205"/>
      <c r="V26" s="205"/>
      <c r="X26" s="280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8" t="s">
        <v>23</v>
      </c>
      <c r="L27" s="286" t="s">
        <v>35</v>
      </c>
      <c r="M27" s="279"/>
      <c r="N27" s="287"/>
      <c r="O27" s="69"/>
      <c r="P27" s="4"/>
      <c r="R27" s="284"/>
      <c r="S27" s="279"/>
      <c r="T27" s="279"/>
      <c r="U27" s="209"/>
      <c r="V27" s="209"/>
      <c r="X27" s="284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1" t="s">
        <v>14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04"/>
      <c r="L37" s="285" t="str">
        <f>F37</f>
        <v>cinema_semitrack</v>
      </c>
      <c r="M37" s="282"/>
      <c r="N37" s="283"/>
      <c r="O37" s="183"/>
      <c r="P37" s="204"/>
      <c r="U37" s="205"/>
      <c r="V37" s="205"/>
      <c r="X37" s="280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8" t="s">
        <v>23</v>
      </c>
      <c r="L38" s="286" t="s">
        <v>35</v>
      </c>
      <c r="M38" s="279"/>
      <c r="N38" s="287"/>
      <c r="O38" s="69"/>
      <c r="P38" s="4"/>
      <c r="R38" s="284"/>
      <c r="S38" s="279"/>
      <c r="T38" s="279"/>
      <c r="U38" s="209"/>
      <c r="V38" s="209"/>
      <c r="X38" s="284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28.276047999999999</v>
      </c>
      <c r="I40" s="10"/>
      <c r="J40" s="228">
        <f ca="1">H40/D40-1</f>
        <v>-1.440838330593941E-3</v>
      </c>
      <c r="L40" s="76">
        <f ca="1">INDIRECT($B40&amp;"!"&amp;L$3&amp;"5")</f>
        <v>33.832055285714283</v>
      </c>
      <c r="M40" s="77">
        <f ca="1">INDIRECT($B40&amp;"!"&amp;M$3&amp;"5")</f>
        <v>34.457169095238093</v>
      </c>
      <c r="N40" s="78">
        <f ca="1">M40-L40</f>
        <v>0.62511380952381046</v>
      </c>
      <c r="O40" s="226"/>
      <c r="P40" s="228">
        <f ca="1">bdrate(D40:D43,L40:L43,H40:H43,M40:M43)</f>
        <v>-0.10990880197638042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41.070520000000002</v>
      </c>
      <c r="I41" s="10"/>
      <c r="J41" s="228">
        <f ca="1">H41/D41-1</f>
        <v>-1.3606805153273394E-3</v>
      </c>
      <c r="L41" s="76">
        <f ca="1">INDIRECT($B41&amp;"!"&amp;L$3&amp;"6")</f>
        <v>36.531831238095236</v>
      </c>
      <c r="M41" s="77">
        <f ca="1">INDIRECT($B41&amp;"!"&amp;M$3&amp;"6")</f>
        <v>37.269417904761909</v>
      </c>
      <c r="N41" s="78">
        <f ca="1">M41-L41</f>
        <v>0.73758666666667239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61.787448000000005</v>
      </c>
      <c r="I42" s="10"/>
      <c r="J42" s="228">
        <f ca="1">H42/D42-1</f>
        <v>-1.2542140116614808E-3</v>
      </c>
      <c r="L42" s="76">
        <f ca="1">INDIRECT($B42&amp;"!"&amp;L$3&amp;"7")</f>
        <v>40.276491190476186</v>
      </c>
      <c r="M42" s="77">
        <f ca="1">INDIRECT($B42&amp;"!"&amp;M$3&amp;"7")</f>
        <v>41.519320571428565</v>
      </c>
      <c r="N42" s="78">
        <f ca="1">M42-L42</f>
        <v>1.2428293809523794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90.327991999999995</v>
      </c>
      <c r="I43" s="10"/>
      <c r="J43" s="228">
        <f ca="1">H43/D43-1</f>
        <v>-9.8176488518297855E-4</v>
      </c>
      <c r="L43" s="76">
        <f ca="1">INDIRECT($B43&amp;"!"&amp;L$3&amp;"8")</f>
        <v>43.229996952380951</v>
      </c>
      <c r="M43" s="77">
        <f ca="1">INDIRECT($B43&amp;"!"&amp;M$3&amp;"8")</f>
        <v>45.470923047619038</v>
      </c>
      <c r="N43" s="78">
        <f ca="1">M43-L43</f>
        <v>2.2409260952380876</v>
      </c>
      <c r="O43" s="226"/>
      <c r="P43" s="231">
        <f ca="1">bdrate(L40:L43,D40:D43,M40:M43,H40:H43)</f>
        <v>3.1301639328336295E-2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28.276047999999999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04"/>
      <c r="L48" s="285">
        <f>F48</f>
        <v>0</v>
      </c>
      <c r="M48" s="282"/>
      <c r="N48" s="283"/>
      <c r="O48" s="183"/>
      <c r="P48" s="204"/>
      <c r="U48" s="205"/>
      <c r="V48" s="205"/>
      <c r="X48" s="280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8" t="s">
        <v>23</v>
      </c>
      <c r="L49" s="286" t="s">
        <v>35</v>
      </c>
      <c r="M49" s="279"/>
      <c r="N49" s="287"/>
      <c r="O49" s="69"/>
      <c r="P49" s="4"/>
      <c r="R49" s="284"/>
      <c r="S49" s="279"/>
      <c r="T49" s="279"/>
      <c r="U49" s="209"/>
      <c r="V49" s="209"/>
      <c r="X49" s="284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04"/>
      <c r="L59" s="285">
        <f>F59</f>
        <v>0</v>
      </c>
      <c r="M59" s="282"/>
      <c r="N59" s="283"/>
      <c r="O59" s="183"/>
      <c r="P59" s="204"/>
      <c r="U59" s="205"/>
      <c r="V59" s="205"/>
      <c r="X59" s="280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8" t="s">
        <v>23</v>
      </c>
      <c r="L60" s="286" t="s">
        <v>35</v>
      </c>
      <c r="M60" s="279"/>
      <c r="N60" s="287"/>
      <c r="O60" s="69"/>
      <c r="P60" s="4"/>
      <c r="R60" s="284"/>
      <c r="S60" s="279"/>
      <c r="T60" s="279"/>
      <c r="U60" s="209"/>
      <c r="V60" s="209"/>
      <c r="X60" s="284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04"/>
      <c r="L70" s="285">
        <f>F70</f>
        <v>0</v>
      </c>
      <c r="M70" s="282"/>
      <c r="N70" s="283"/>
      <c r="O70" s="183"/>
      <c r="P70" s="204"/>
      <c r="U70" s="205"/>
      <c r="V70" s="205"/>
      <c r="X70" s="280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8" t="s">
        <v>23</v>
      </c>
      <c r="L71" s="286" t="s">
        <v>35</v>
      </c>
      <c r="M71" s="279"/>
      <c r="N71" s="287"/>
      <c r="O71" s="69"/>
      <c r="P71" s="4"/>
      <c r="R71" s="284"/>
      <c r="S71" s="279"/>
      <c r="T71" s="279"/>
      <c r="U71" s="209"/>
      <c r="V71" s="209"/>
      <c r="X71" s="284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04"/>
      <c r="L81" s="285">
        <f>F81</f>
        <v>0</v>
      </c>
      <c r="M81" s="282"/>
      <c r="N81" s="283"/>
      <c r="O81" s="183"/>
      <c r="P81" s="204"/>
      <c r="U81" s="205"/>
      <c r="V81" s="205"/>
      <c r="X81" s="280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8" t="s">
        <v>23</v>
      </c>
      <c r="L82" s="286" t="s">
        <v>35</v>
      </c>
      <c r="M82" s="279"/>
      <c r="N82" s="287"/>
      <c r="O82" s="69"/>
      <c r="P82" s="4"/>
      <c r="R82" s="284"/>
      <c r="S82" s="279"/>
      <c r="T82" s="279"/>
      <c r="U82" s="209"/>
      <c r="V82" s="209"/>
      <c r="X82" s="284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04"/>
      <c r="L92" s="285">
        <f>F92</f>
        <v>0</v>
      </c>
      <c r="M92" s="282"/>
      <c r="N92" s="283"/>
      <c r="O92" s="183"/>
      <c r="P92" s="204"/>
      <c r="U92" s="205"/>
      <c r="V92" s="205"/>
      <c r="X92" s="280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8" t="s">
        <v>23</v>
      </c>
      <c r="L93" s="286" t="s">
        <v>35</v>
      </c>
      <c r="M93" s="279"/>
      <c r="N93" s="287"/>
      <c r="O93" s="69"/>
      <c r="P93" s="4"/>
      <c r="R93" s="284"/>
      <c r="S93" s="279"/>
      <c r="T93" s="279"/>
      <c r="U93" s="209"/>
      <c r="V93" s="209"/>
      <c r="X93" s="284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04"/>
      <c r="L103" s="285">
        <f>F103</f>
        <v>0</v>
      </c>
      <c r="M103" s="282"/>
      <c r="N103" s="283"/>
      <c r="O103" s="183"/>
      <c r="P103" s="204"/>
      <c r="U103" s="205"/>
      <c r="V103" s="205"/>
      <c r="X103" s="280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8" t="s">
        <v>23</v>
      </c>
      <c r="L104" s="286" t="s">
        <v>35</v>
      </c>
      <c r="M104" s="279"/>
      <c r="N104" s="287"/>
      <c r="O104" s="69"/>
      <c r="P104" s="4"/>
      <c r="R104" s="284"/>
      <c r="S104" s="279"/>
      <c r="T104" s="279"/>
      <c r="U104" s="209"/>
      <c r="V104" s="209"/>
      <c r="X104" s="284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8" style="206" bestFit="1" customWidth="1"/>
    <col min="15" max="15" width="4.59765625" style="206" customWidth="1"/>
    <col min="16" max="16" width="9.6992187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8" t="str">
        <f>'Summary (auto)'!C3</f>
        <v>MPEG-151</v>
      </c>
      <c r="C2" s="279"/>
      <c r="D2" s="279"/>
      <c r="E2" s="207"/>
      <c r="F2" s="288" t="str">
        <f>'Summary (auto)'!C4</f>
        <v>my</v>
      </c>
      <c r="G2" s="279"/>
      <c r="H2" s="279"/>
      <c r="I2" s="205"/>
      <c r="J2" s="209" t="s">
        <v>16</v>
      </c>
      <c r="K2" s="205"/>
      <c r="L2" s="284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36</v>
      </c>
      <c r="M3" s="87" t="s">
        <v>37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1" t="s">
        <v>11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04"/>
      <c r="L4" s="285" t="str">
        <f>F4</f>
        <v>breakfast_track</v>
      </c>
      <c r="M4" s="282"/>
      <c r="N4" s="283"/>
      <c r="O4" s="183"/>
      <c r="P4" s="204"/>
      <c r="Q4" s="183"/>
      <c r="R4" s="183"/>
      <c r="S4" s="183"/>
      <c r="T4" s="183"/>
      <c r="U4" s="205"/>
      <c r="V4" s="205"/>
      <c r="X4" s="280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8" t="s">
        <v>23</v>
      </c>
      <c r="L5" s="286" t="s">
        <v>38</v>
      </c>
      <c r="M5" s="279"/>
      <c r="N5" s="287"/>
      <c r="O5" s="69"/>
      <c r="P5" s="4"/>
      <c r="Q5" s="69"/>
      <c r="R5" s="284"/>
      <c r="S5" s="279"/>
      <c r="T5" s="279"/>
      <c r="U5" s="209"/>
      <c r="V5" s="209"/>
      <c r="X5" s="284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1" t="s">
        <v>12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04"/>
      <c r="L15" s="285" t="str">
        <f>F15</f>
        <v>breakfast_semitrack</v>
      </c>
      <c r="M15" s="282"/>
      <c r="N15" s="283"/>
      <c r="O15" s="183"/>
      <c r="P15" s="204"/>
      <c r="Q15" s="183"/>
      <c r="R15" s="183"/>
      <c r="S15" s="183"/>
      <c r="T15" s="183"/>
      <c r="U15" s="205"/>
      <c r="V15" s="205"/>
      <c r="X15" s="280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8" t="s">
        <v>23</v>
      </c>
      <c r="L16" s="286" t="s">
        <v>38</v>
      </c>
      <c r="M16" s="279"/>
      <c r="N16" s="287"/>
      <c r="O16" s="69"/>
      <c r="P16" s="4"/>
      <c r="Q16" s="69"/>
      <c r="R16" s="284"/>
      <c r="S16" s="279"/>
      <c r="T16" s="279"/>
      <c r="U16" s="209"/>
      <c r="V16" s="209"/>
      <c r="X16" s="284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1" t="s">
        <v>13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04"/>
      <c r="L26" s="285" t="str">
        <f>F26</f>
        <v>cinema_track</v>
      </c>
      <c r="M26" s="282"/>
      <c r="N26" s="283"/>
      <c r="O26" s="183"/>
      <c r="P26" s="204"/>
      <c r="U26" s="205"/>
      <c r="V26" s="205"/>
      <c r="X26" s="280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8" t="s">
        <v>23</v>
      </c>
      <c r="L27" s="286" t="s">
        <v>38</v>
      </c>
      <c r="M27" s="279"/>
      <c r="N27" s="287"/>
      <c r="O27" s="69"/>
      <c r="P27" s="4"/>
      <c r="R27" s="284"/>
      <c r="S27" s="279"/>
      <c r="T27" s="279"/>
      <c r="U27" s="209"/>
      <c r="V27" s="209"/>
      <c r="X27" s="284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1" t="s">
        <v>14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04"/>
      <c r="L37" s="285" t="str">
        <f>F37</f>
        <v>cinema_semitrack</v>
      </c>
      <c r="M37" s="282"/>
      <c r="N37" s="283"/>
      <c r="O37" s="183"/>
      <c r="P37" s="204"/>
      <c r="U37" s="205"/>
      <c r="V37" s="205"/>
      <c r="X37" s="280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8" t="s">
        <v>23</v>
      </c>
      <c r="L38" s="286" t="s">
        <v>38</v>
      </c>
      <c r="M38" s="279"/>
      <c r="N38" s="287"/>
      <c r="O38" s="69"/>
      <c r="P38" s="4"/>
      <c r="R38" s="284"/>
      <c r="S38" s="279"/>
      <c r="T38" s="279"/>
      <c r="U38" s="209"/>
      <c r="V38" s="209"/>
      <c r="X38" s="284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28.276047999999999</v>
      </c>
      <c r="I40" s="10"/>
      <c r="J40" s="228">
        <f ca="1">H40/D40-1</f>
        <v>-1.440838330593941E-3</v>
      </c>
      <c r="L40" s="76">
        <f ca="1">INDIRECT($B40&amp;"!"&amp;L$3&amp;"5")</f>
        <v>0.96582942476190481</v>
      </c>
      <c r="M40" s="77">
        <f ca="1">INDIRECT($B40&amp;"!"&amp;M$3&amp;"5")</f>
        <v>0.9660450561904762</v>
      </c>
      <c r="N40" s="78">
        <f ca="1">M40-L40</f>
        <v>2.156314285713945E-4</v>
      </c>
      <c r="O40" s="226"/>
      <c r="P40" s="228">
        <f ca="1">bdrate(D40:D43,L40:L43,H40:H43,M40:M43)</f>
        <v>-1.2071638997681822E-2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41.070520000000002</v>
      </c>
      <c r="I41" s="10"/>
      <c r="J41" s="228">
        <f ca="1">H41/D41-1</f>
        <v>-1.3606805153273394E-3</v>
      </c>
      <c r="L41" s="76">
        <f ca="1">INDIRECT($B41&amp;"!"&amp;L$3&amp;"6")</f>
        <v>0.97901262523809529</v>
      </c>
      <c r="M41" s="77">
        <f ca="1">INDIRECT($B41&amp;"!"&amp;M$3&amp;"6")</f>
        <v>0.97917853666666688</v>
      </c>
      <c r="N41" s="78">
        <f ca="1">M41-L41</f>
        <v>1.659114285715857E-4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61.787448000000005</v>
      </c>
      <c r="I42" s="10"/>
      <c r="J42" s="228">
        <f ca="1">H42/D42-1</f>
        <v>-1.2542140116614808E-3</v>
      </c>
      <c r="L42" s="76">
        <f ca="1">INDIRECT($B42&amp;"!"&amp;L$3&amp;"7")</f>
        <v>0.98868709857142867</v>
      </c>
      <c r="M42" s="77">
        <f ca="1">INDIRECT($B42&amp;"!"&amp;M$3&amp;"7")</f>
        <v>0.98902881047619051</v>
      </c>
      <c r="N42" s="78">
        <f ca="1">M42-L42</f>
        <v>3.4171190476184332E-4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90.327991999999995</v>
      </c>
      <c r="I43" s="10"/>
      <c r="J43" s="228">
        <f ca="1">H43/D43-1</f>
        <v>-9.8176488518297855E-4</v>
      </c>
      <c r="L43" s="76">
        <f ca="1">INDIRECT($B43&amp;"!"&amp;L$3&amp;"8")</f>
        <v>0.99344393809523812</v>
      </c>
      <c r="M43" s="77">
        <f ca="1">INDIRECT($B43&amp;"!"&amp;M$3&amp;"8")</f>
        <v>0.99384558761904784</v>
      </c>
      <c r="N43" s="78">
        <f ca="1">M43-L43</f>
        <v>4.0164952380972174E-4</v>
      </c>
      <c r="O43" s="226"/>
      <c r="P43" s="231">
        <f ca="1">bdrate(L40:L43,D40:D43,M40:M43,H40:H43)</f>
        <v>3.2852901664903733E-4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28.276047999999999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04"/>
      <c r="L48" s="285">
        <f>F48</f>
        <v>0</v>
      </c>
      <c r="M48" s="282"/>
      <c r="N48" s="283"/>
      <c r="O48" s="183"/>
      <c r="P48" s="204"/>
      <c r="U48" s="205"/>
      <c r="V48" s="205"/>
      <c r="X48" s="280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8" t="s">
        <v>23</v>
      </c>
      <c r="L49" s="286" t="s">
        <v>38</v>
      </c>
      <c r="M49" s="279"/>
      <c r="N49" s="287"/>
      <c r="O49" s="69"/>
      <c r="P49" s="4"/>
      <c r="R49" s="284"/>
      <c r="S49" s="279"/>
      <c r="T49" s="279"/>
      <c r="U49" s="209"/>
      <c r="V49" s="209"/>
      <c r="X49" s="284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04"/>
      <c r="L59" s="285">
        <f>F59</f>
        <v>0</v>
      </c>
      <c r="M59" s="282"/>
      <c r="N59" s="283"/>
      <c r="O59" s="183"/>
      <c r="P59" s="204"/>
      <c r="U59" s="205"/>
      <c r="V59" s="205"/>
      <c r="X59" s="280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8" t="s">
        <v>23</v>
      </c>
      <c r="L60" s="286" t="s">
        <v>38</v>
      </c>
      <c r="M60" s="279"/>
      <c r="N60" s="287"/>
      <c r="O60" s="69"/>
      <c r="P60" s="4"/>
      <c r="R60" s="284"/>
      <c r="S60" s="279"/>
      <c r="T60" s="279"/>
      <c r="U60" s="209"/>
      <c r="V60" s="209"/>
      <c r="X60" s="284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04"/>
      <c r="L70" s="285">
        <f>F70</f>
        <v>0</v>
      </c>
      <c r="M70" s="282"/>
      <c r="N70" s="283"/>
      <c r="O70" s="183"/>
      <c r="P70" s="204"/>
      <c r="U70" s="205"/>
      <c r="V70" s="205"/>
      <c r="X70" s="280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8" t="s">
        <v>23</v>
      </c>
      <c r="L71" s="286" t="s">
        <v>38</v>
      </c>
      <c r="M71" s="279"/>
      <c r="N71" s="287"/>
      <c r="O71" s="69"/>
      <c r="P71" s="4"/>
      <c r="R71" s="284"/>
      <c r="S71" s="279"/>
      <c r="T71" s="279"/>
      <c r="U71" s="209"/>
      <c r="V71" s="209"/>
      <c r="X71" s="284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04"/>
      <c r="L81" s="285">
        <f>F81</f>
        <v>0</v>
      </c>
      <c r="M81" s="282"/>
      <c r="N81" s="283"/>
      <c r="O81" s="183"/>
      <c r="P81" s="204"/>
      <c r="U81" s="205"/>
      <c r="V81" s="205"/>
      <c r="X81" s="280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8" t="s">
        <v>23</v>
      </c>
      <c r="L82" s="286" t="s">
        <v>38</v>
      </c>
      <c r="M82" s="279"/>
      <c r="N82" s="287"/>
      <c r="O82" s="69"/>
      <c r="P82" s="4"/>
      <c r="R82" s="284"/>
      <c r="S82" s="279"/>
      <c r="T82" s="279"/>
      <c r="U82" s="209"/>
      <c r="V82" s="209"/>
      <c r="X82" s="284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04"/>
      <c r="L92" s="285">
        <f>F92</f>
        <v>0</v>
      </c>
      <c r="M92" s="282"/>
      <c r="N92" s="283"/>
      <c r="O92" s="183"/>
      <c r="P92" s="204"/>
      <c r="U92" s="205"/>
      <c r="V92" s="205"/>
      <c r="X92" s="280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8" t="s">
        <v>23</v>
      </c>
      <c r="L93" s="286" t="s">
        <v>38</v>
      </c>
      <c r="M93" s="279"/>
      <c r="N93" s="287"/>
      <c r="O93" s="69"/>
      <c r="P93" s="4"/>
      <c r="R93" s="284"/>
      <c r="S93" s="279"/>
      <c r="T93" s="279"/>
      <c r="U93" s="209"/>
      <c r="V93" s="209"/>
      <c r="X93" s="284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04"/>
      <c r="L103" s="285">
        <f>F103</f>
        <v>0</v>
      </c>
      <c r="M103" s="282"/>
      <c r="N103" s="283"/>
      <c r="O103" s="183"/>
      <c r="P103" s="204"/>
      <c r="U103" s="205"/>
      <c r="V103" s="205"/>
      <c r="X103" s="280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8" t="s">
        <v>23</v>
      </c>
      <c r="L104" s="286" t="s">
        <v>38</v>
      </c>
      <c r="M104" s="279"/>
      <c r="N104" s="287"/>
      <c r="O104" s="69"/>
      <c r="P104" s="4"/>
      <c r="R104" s="284"/>
      <c r="S104" s="279"/>
      <c r="T104" s="279"/>
      <c r="U104" s="209"/>
      <c r="V104" s="209"/>
      <c r="X104" s="284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8" t="str">
        <f>'Summary (auto)'!C3</f>
        <v>MPEG-151</v>
      </c>
      <c r="C2" s="279"/>
      <c r="D2" s="279"/>
      <c r="E2" s="207"/>
      <c r="F2" s="288" t="str">
        <f>'Summary (auto)'!C4</f>
        <v>my</v>
      </c>
      <c r="G2" s="279"/>
      <c r="H2" s="279"/>
      <c r="I2" s="205"/>
      <c r="J2" s="209" t="s">
        <v>16</v>
      </c>
      <c r="K2" s="205"/>
      <c r="L2" s="284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39</v>
      </c>
      <c r="M3" s="87" t="s">
        <v>40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1" t="s">
        <v>11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04"/>
      <c r="L4" s="285" t="str">
        <f>F4</f>
        <v>breakfast_track</v>
      </c>
      <c r="M4" s="282"/>
      <c r="N4" s="283"/>
      <c r="O4" s="183"/>
      <c r="P4" s="204"/>
      <c r="Q4" s="183"/>
      <c r="R4" s="183"/>
      <c r="S4" s="183"/>
      <c r="T4" s="183"/>
      <c r="U4" s="205"/>
      <c r="V4" s="205"/>
      <c r="X4" s="280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8" t="s">
        <v>23</v>
      </c>
      <c r="L5" s="286" t="s">
        <v>41</v>
      </c>
      <c r="M5" s="279"/>
      <c r="N5" s="287"/>
      <c r="O5" s="69"/>
      <c r="P5" s="4"/>
      <c r="Q5" s="69"/>
      <c r="R5" s="284"/>
      <c r="S5" s="279"/>
      <c r="T5" s="279"/>
      <c r="U5" s="209"/>
      <c r="V5" s="209"/>
      <c r="X5" s="284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1" t="s">
        <v>12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04"/>
      <c r="L15" s="285" t="str">
        <f>F15</f>
        <v>breakfast_semitrack</v>
      </c>
      <c r="M15" s="282"/>
      <c r="N15" s="283"/>
      <c r="O15" s="183"/>
      <c r="P15" s="204"/>
      <c r="Q15" s="183"/>
      <c r="R15" s="183"/>
      <c r="S15" s="183"/>
      <c r="T15" s="183"/>
      <c r="U15" s="205"/>
      <c r="V15" s="205"/>
      <c r="X15" s="280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8" t="s">
        <v>23</v>
      </c>
      <c r="L16" s="286" t="s">
        <v>41</v>
      </c>
      <c r="M16" s="279"/>
      <c r="N16" s="287"/>
      <c r="O16" s="69"/>
      <c r="P16" s="4"/>
      <c r="Q16" s="69"/>
      <c r="R16" s="284"/>
      <c r="S16" s="279"/>
      <c r="T16" s="279"/>
      <c r="U16" s="209"/>
      <c r="V16" s="209"/>
      <c r="X16" s="284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1" t="s">
        <v>13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04"/>
      <c r="L26" s="285" t="str">
        <f>F26</f>
        <v>cinema_track</v>
      </c>
      <c r="M26" s="282"/>
      <c r="N26" s="283"/>
      <c r="O26" s="183"/>
      <c r="P26" s="204"/>
      <c r="U26" s="205"/>
      <c r="V26" s="205"/>
      <c r="X26" s="280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8" t="s">
        <v>23</v>
      </c>
      <c r="L27" s="286" t="s">
        <v>41</v>
      </c>
      <c r="M27" s="279"/>
      <c r="N27" s="287"/>
      <c r="O27" s="69"/>
      <c r="P27" s="4"/>
      <c r="R27" s="284"/>
      <c r="S27" s="279"/>
      <c r="T27" s="279"/>
      <c r="U27" s="209"/>
      <c r="V27" s="209"/>
      <c r="X27" s="284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1" t="s">
        <v>14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04"/>
      <c r="L37" s="285" t="str">
        <f>F37</f>
        <v>cinema_semitrack</v>
      </c>
      <c r="M37" s="282"/>
      <c r="N37" s="283"/>
      <c r="O37" s="183"/>
      <c r="P37" s="204"/>
      <c r="U37" s="205"/>
      <c r="V37" s="205"/>
      <c r="X37" s="280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8" t="s">
        <v>23</v>
      </c>
      <c r="L38" s="286" t="s">
        <v>41</v>
      </c>
      <c r="M38" s="279"/>
      <c r="N38" s="287"/>
      <c r="O38" s="69"/>
      <c r="P38" s="4"/>
      <c r="R38" s="284"/>
      <c r="S38" s="279"/>
      <c r="T38" s="279"/>
      <c r="U38" s="209"/>
      <c r="V38" s="209"/>
      <c r="X38" s="284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28.276047999999999</v>
      </c>
      <c r="I40" s="10"/>
      <c r="J40" s="228">
        <f ca="1">H40/D40-1</f>
        <v>-1.440838330593941E-3</v>
      </c>
      <c r="L40" s="76">
        <f ca="1">INDIRECT($B40&amp;"!"&amp;L$3&amp;"5")</f>
        <v>0.9725471133333331</v>
      </c>
      <c r="M40" s="77">
        <f ca="1">INDIRECT($B40&amp;"!"&amp;M$3&amp;"5")</f>
        <v>0.97320885523809508</v>
      </c>
      <c r="N40" s="78">
        <f ca="1">M40-L40</f>
        <v>6.6174190476198103E-4</v>
      </c>
      <c r="O40" s="226"/>
      <c r="P40" s="228">
        <f ca="1">bdrate(D40:D43,L40:L43,H40:H43,M40:M43)</f>
        <v>-3.1157712437310914E-2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41.070520000000002</v>
      </c>
      <c r="I41" s="10"/>
      <c r="J41" s="228">
        <f ca="1">H41/D41-1</f>
        <v>-1.3606805153273394E-3</v>
      </c>
      <c r="L41" s="76">
        <f ca="1">INDIRECT($B41&amp;"!"&amp;L$3&amp;"6")</f>
        <v>0.98376468238095238</v>
      </c>
      <c r="M41" s="77">
        <f ca="1">INDIRECT($B41&amp;"!"&amp;M$3&amp;"6")</f>
        <v>0.98441209285714304</v>
      </c>
      <c r="N41" s="78">
        <f ca="1">M41-L41</f>
        <v>6.4741047619065739E-4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61.787448000000005</v>
      </c>
      <c r="I42" s="10"/>
      <c r="J42" s="228">
        <f ca="1">H42/D42-1</f>
        <v>-1.2542140116614808E-3</v>
      </c>
      <c r="L42" s="76">
        <f ca="1">INDIRECT($B42&amp;"!"&amp;L$3&amp;"7")</f>
        <v>0.99210457047619049</v>
      </c>
      <c r="M42" s="77">
        <f ca="1">INDIRECT($B42&amp;"!"&amp;M$3&amp;"7")</f>
        <v>0.99265441809523802</v>
      </c>
      <c r="N42" s="78">
        <f ca="1">M42-L42</f>
        <v>5.4984761904752766E-4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90.327991999999995</v>
      </c>
      <c r="I43" s="10"/>
      <c r="J43" s="228">
        <f ca="1">H43/D43-1</f>
        <v>-9.8176488518297855E-4</v>
      </c>
      <c r="L43" s="76">
        <f ca="1">INDIRECT($B43&amp;"!"&amp;L$3&amp;"8")</f>
        <v>0.99578089857142849</v>
      </c>
      <c r="M43" s="77">
        <f ca="1">INDIRECT($B43&amp;"!"&amp;M$3&amp;"8")</f>
        <v>0.99643372047619061</v>
      </c>
      <c r="N43" s="78">
        <f ca="1">M43-L43</f>
        <v>6.5282190476212421E-4</v>
      </c>
      <c r="O43" s="226"/>
      <c r="P43" s="231">
        <f ca="1">bdrate(L40:L43,D40:D43,M40:M43,H40:H43)</f>
        <v>6.4108010254271264E-4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28.276047999999999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04"/>
      <c r="L48" s="285">
        <f>F48</f>
        <v>0</v>
      </c>
      <c r="M48" s="282"/>
      <c r="N48" s="283"/>
      <c r="O48" s="183"/>
      <c r="P48" s="204"/>
      <c r="U48" s="205"/>
      <c r="V48" s="205"/>
      <c r="X48" s="280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8" t="s">
        <v>23</v>
      </c>
      <c r="L49" s="286" t="s">
        <v>41</v>
      </c>
      <c r="M49" s="279"/>
      <c r="N49" s="287"/>
      <c r="O49" s="69"/>
      <c r="P49" s="4"/>
      <c r="R49" s="284"/>
      <c r="S49" s="279"/>
      <c r="T49" s="279"/>
      <c r="U49" s="209"/>
      <c r="V49" s="209"/>
      <c r="X49" s="284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04"/>
      <c r="L59" s="285">
        <f>F59</f>
        <v>0</v>
      </c>
      <c r="M59" s="282"/>
      <c r="N59" s="283"/>
      <c r="O59" s="183"/>
      <c r="P59" s="204"/>
      <c r="U59" s="205"/>
      <c r="V59" s="205"/>
      <c r="X59" s="280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8" t="s">
        <v>23</v>
      </c>
      <c r="L60" s="286" t="s">
        <v>41</v>
      </c>
      <c r="M60" s="279"/>
      <c r="N60" s="287"/>
      <c r="O60" s="69"/>
      <c r="P60" s="4"/>
      <c r="R60" s="284"/>
      <c r="S60" s="279"/>
      <c r="T60" s="279"/>
      <c r="U60" s="209"/>
      <c r="V60" s="209"/>
      <c r="X60" s="284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04"/>
      <c r="L70" s="285">
        <f>F70</f>
        <v>0</v>
      </c>
      <c r="M70" s="282"/>
      <c r="N70" s="283"/>
      <c r="O70" s="183"/>
      <c r="P70" s="204"/>
      <c r="U70" s="205"/>
      <c r="V70" s="205"/>
      <c r="X70" s="280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8" t="s">
        <v>23</v>
      </c>
      <c r="L71" s="286" t="s">
        <v>41</v>
      </c>
      <c r="M71" s="279"/>
      <c r="N71" s="287"/>
      <c r="O71" s="69"/>
      <c r="P71" s="4"/>
      <c r="R71" s="284"/>
      <c r="S71" s="279"/>
      <c r="T71" s="279"/>
      <c r="U71" s="209"/>
      <c r="V71" s="209"/>
      <c r="X71" s="284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04"/>
      <c r="L81" s="285">
        <f>F81</f>
        <v>0</v>
      </c>
      <c r="M81" s="282"/>
      <c r="N81" s="283"/>
      <c r="O81" s="183"/>
      <c r="P81" s="204"/>
      <c r="U81" s="205"/>
      <c r="V81" s="205"/>
      <c r="X81" s="280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8" t="s">
        <v>23</v>
      </c>
      <c r="L82" s="286" t="s">
        <v>41</v>
      </c>
      <c r="M82" s="279"/>
      <c r="N82" s="287"/>
      <c r="O82" s="69"/>
      <c r="P82" s="4"/>
      <c r="R82" s="284"/>
      <c r="S82" s="279"/>
      <c r="T82" s="279"/>
      <c r="U82" s="209"/>
      <c r="V82" s="209"/>
      <c r="X82" s="284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04"/>
      <c r="L92" s="285">
        <f>F92</f>
        <v>0</v>
      </c>
      <c r="M92" s="282"/>
      <c r="N92" s="283"/>
      <c r="O92" s="183"/>
      <c r="P92" s="204"/>
      <c r="U92" s="205"/>
      <c r="V92" s="205"/>
      <c r="X92" s="280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8" t="s">
        <v>23</v>
      </c>
      <c r="L93" s="286" t="s">
        <v>41</v>
      </c>
      <c r="M93" s="279"/>
      <c r="N93" s="287"/>
      <c r="O93" s="69"/>
      <c r="P93" s="4"/>
      <c r="R93" s="284"/>
      <c r="S93" s="279"/>
      <c r="T93" s="279"/>
      <c r="U93" s="209"/>
      <c r="V93" s="209"/>
      <c r="X93" s="284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04"/>
      <c r="L103" s="285">
        <f>F103</f>
        <v>0</v>
      </c>
      <c r="M103" s="282"/>
      <c r="N103" s="283"/>
      <c r="O103" s="183"/>
      <c r="P103" s="204"/>
      <c r="U103" s="205"/>
      <c r="V103" s="205"/>
      <c r="X103" s="280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8" t="s">
        <v>23</v>
      </c>
      <c r="L104" s="286" t="s">
        <v>41</v>
      </c>
      <c r="M104" s="279"/>
      <c r="N104" s="287"/>
      <c r="O104" s="69"/>
      <c r="P104" s="4"/>
      <c r="R104" s="284"/>
      <c r="S104" s="279"/>
      <c r="T104" s="279"/>
      <c r="U104" s="209"/>
      <c r="V104" s="209"/>
      <c r="X104" s="284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9" width="9" style="206" customWidth="1"/>
    <col min="40" max="16384" width="9" style="206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8" t="str">
        <f>'Summary (auto)'!C3</f>
        <v>MPEG-151</v>
      </c>
      <c r="C2" s="279"/>
      <c r="D2" s="279"/>
      <c r="E2" s="207"/>
      <c r="F2" s="288" t="str">
        <f>'Summary (auto)'!C4</f>
        <v>my</v>
      </c>
      <c r="G2" s="279"/>
      <c r="H2" s="279"/>
      <c r="I2" s="205"/>
      <c r="J2" s="209" t="s">
        <v>16</v>
      </c>
      <c r="K2" s="205"/>
      <c r="L2" s="284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42</v>
      </c>
      <c r="M3" s="87" t="s">
        <v>43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1" t="s">
        <v>11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04"/>
      <c r="L4" s="285" t="str">
        <f>F4</f>
        <v>breakfast_track</v>
      </c>
      <c r="M4" s="282"/>
      <c r="N4" s="283"/>
      <c r="O4" s="183"/>
      <c r="P4" s="204"/>
      <c r="Q4" s="183"/>
      <c r="R4" s="183"/>
      <c r="S4" s="183"/>
      <c r="T4" s="183"/>
      <c r="U4" s="205"/>
      <c r="V4" s="205"/>
      <c r="X4" s="280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8" t="s">
        <v>23</v>
      </c>
      <c r="L5" s="286" t="s">
        <v>41</v>
      </c>
      <c r="M5" s="279"/>
      <c r="N5" s="287"/>
      <c r="O5" s="69"/>
      <c r="P5" s="4"/>
      <c r="Q5" s="69"/>
      <c r="R5" s="284"/>
      <c r="S5" s="279"/>
      <c r="T5" s="279"/>
      <c r="U5" s="209"/>
      <c r="V5" s="209"/>
      <c r="X5" s="284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1" t="s">
        <v>12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04"/>
      <c r="L15" s="285" t="str">
        <f>F15</f>
        <v>breakfast_semitrack</v>
      </c>
      <c r="M15" s="282"/>
      <c r="N15" s="283"/>
      <c r="O15" s="183"/>
      <c r="P15" s="204"/>
      <c r="Q15" s="183"/>
      <c r="R15" s="183"/>
      <c r="S15" s="183"/>
      <c r="T15" s="183"/>
      <c r="U15" s="205"/>
      <c r="V15" s="205"/>
      <c r="X15" s="280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8" t="s">
        <v>23</v>
      </c>
      <c r="L16" s="286" t="s">
        <v>41</v>
      </c>
      <c r="M16" s="279"/>
      <c r="N16" s="287"/>
      <c r="O16" s="69"/>
      <c r="P16" s="4"/>
      <c r="Q16" s="69"/>
      <c r="R16" s="284"/>
      <c r="S16" s="279"/>
      <c r="T16" s="279"/>
      <c r="U16" s="209"/>
      <c r="V16" s="209"/>
      <c r="X16" s="284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1" t="s">
        <v>13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04"/>
      <c r="L26" s="285" t="str">
        <f>F26</f>
        <v>cinema_track</v>
      </c>
      <c r="M26" s="282"/>
      <c r="N26" s="283"/>
      <c r="O26" s="183"/>
      <c r="P26" s="204"/>
      <c r="U26" s="205"/>
      <c r="V26" s="205"/>
      <c r="X26" s="280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8" t="s">
        <v>23</v>
      </c>
      <c r="L27" s="286" t="s">
        <v>41</v>
      </c>
      <c r="M27" s="279"/>
      <c r="N27" s="287"/>
      <c r="O27" s="69"/>
      <c r="P27" s="4"/>
      <c r="R27" s="284"/>
      <c r="S27" s="279"/>
      <c r="T27" s="279"/>
      <c r="U27" s="209"/>
      <c r="V27" s="209"/>
      <c r="X27" s="284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1" t="s">
        <v>14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04"/>
      <c r="L37" s="285" t="str">
        <f>F37</f>
        <v>cinema_semitrack</v>
      </c>
      <c r="M37" s="282"/>
      <c r="N37" s="283"/>
      <c r="O37" s="183"/>
      <c r="P37" s="204"/>
      <c r="U37" s="205"/>
      <c r="V37" s="205"/>
      <c r="X37" s="280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8" t="s">
        <v>23</v>
      </c>
      <c r="L38" s="286" t="s">
        <v>41</v>
      </c>
      <c r="M38" s="279"/>
      <c r="N38" s="287"/>
      <c r="O38" s="69"/>
      <c r="P38" s="4"/>
      <c r="R38" s="284"/>
      <c r="S38" s="279"/>
      <c r="T38" s="279"/>
      <c r="U38" s="209"/>
      <c r="V38" s="209"/>
      <c r="X38" s="284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28.276047999999999</v>
      </c>
      <c r="I40" s="10"/>
      <c r="J40" s="228">
        <f ca="1">H40/D40-1</f>
        <v>-1.440838330593941E-3</v>
      </c>
      <c r="L40" s="76">
        <f ca="1">INDIRECT($B40&amp;"!"&amp;L$3&amp;"5")</f>
        <v>6.5973396238095255E-2</v>
      </c>
      <c r="M40" s="77">
        <f ca="1">INDIRECT($B40&amp;"!"&amp;M$3&amp;"5")</f>
        <v>5.7060401714285704E-2</v>
      </c>
      <c r="N40" s="78">
        <f ca="1">M40-L40</f>
        <v>-8.9129945238095518E-3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41.070520000000002</v>
      </c>
      <c r="I41" s="10"/>
      <c r="J41" s="228">
        <f ca="1">H41/D41-1</f>
        <v>-1.3606805153273394E-3</v>
      </c>
      <c r="L41" s="76">
        <f ca="1">INDIRECT($B41&amp;"!"&amp;L$3&amp;"6")</f>
        <v>4.448833447619048E-2</v>
      </c>
      <c r="M41" s="77">
        <f ca="1">INDIRECT($B41&amp;"!"&amp;M$3&amp;"6")</f>
        <v>3.7247994999999999E-2</v>
      </c>
      <c r="N41" s="78">
        <f ca="1">M41-L41</f>
        <v>-7.2403394761904813E-3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61.787448000000005</v>
      </c>
      <c r="I42" s="10"/>
      <c r="J42" s="228">
        <f ca="1">H42/D42-1</f>
        <v>-1.2542140116614808E-3</v>
      </c>
      <c r="L42" s="76">
        <f ca="1">INDIRECT($B42&amp;"!"&amp;L$3&amp;"7")</f>
        <v>2.7850360190476191E-2</v>
      </c>
      <c r="M42" s="77">
        <f ca="1">INDIRECT($B42&amp;"!"&amp;M$3&amp;"7")</f>
        <v>2.0657761761904758E-2</v>
      </c>
      <c r="N42" s="78">
        <f ca="1">M42-L42</f>
        <v>-7.1925984285714333E-3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90.327991999999995</v>
      </c>
      <c r="I43" s="10"/>
      <c r="J43" s="228">
        <f ca="1">H43/D43-1</f>
        <v>-9.8176488518297855E-4</v>
      </c>
      <c r="L43" s="76">
        <f ca="1">INDIRECT($B43&amp;"!"&amp;L$3&amp;"8")</f>
        <v>1.5608584595238097E-2</v>
      </c>
      <c r="M43" s="77">
        <f ca="1">INDIRECT($B43&amp;"!"&amp;M$3&amp;"8")</f>
        <v>9.1025859523809517E-3</v>
      </c>
      <c r="N43" s="78">
        <f ca="1">M43-L43</f>
        <v>-6.5059986428571449E-3</v>
      </c>
      <c r="O43" s="226"/>
      <c r="P43" s="231">
        <f ca="1">bdrate(L40:L43,D40:D43,M40:M43,H40:H43)</f>
        <v>-0.26062436618880769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28.276047999999999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04"/>
      <c r="L48" s="285">
        <f>F48</f>
        <v>0</v>
      </c>
      <c r="M48" s="282"/>
      <c r="N48" s="283"/>
      <c r="O48" s="183"/>
      <c r="P48" s="204"/>
      <c r="U48" s="205"/>
      <c r="V48" s="205"/>
      <c r="X48" s="280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8" t="s">
        <v>23</v>
      </c>
      <c r="L49" s="286" t="s">
        <v>41</v>
      </c>
      <c r="M49" s="279"/>
      <c r="N49" s="287"/>
      <c r="O49" s="69"/>
      <c r="P49" s="4"/>
      <c r="R49" s="284"/>
      <c r="S49" s="279"/>
      <c r="T49" s="279"/>
      <c r="U49" s="209"/>
      <c r="V49" s="209"/>
      <c r="X49" s="284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04"/>
      <c r="L59" s="285">
        <f>F59</f>
        <v>0</v>
      </c>
      <c r="M59" s="282"/>
      <c r="N59" s="283"/>
      <c r="O59" s="183"/>
      <c r="P59" s="204"/>
      <c r="U59" s="205"/>
      <c r="V59" s="205"/>
      <c r="X59" s="280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8" t="s">
        <v>23</v>
      </c>
      <c r="L60" s="286" t="s">
        <v>41</v>
      </c>
      <c r="M60" s="279"/>
      <c r="N60" s="287"/>
      <c r="O60" s="69"/>
      <c r="P60" s="4"/>
      <c r="R60" s="284"/>
      <c r="S60" s="279"/>
      <c r="T60" s="279"/>
      <c r="U60" s="209"/>
      <c r="V60" s="209"/>
      <c r="X60" s="284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04"/>
      <c r="L70" s="285">
        <f>F70</f>
        <v>0</v>
      </c>
      <c r="M70" s="282"/>
      <c r="N70" s="283"/>
      <c r="O70" s="183"/>
      <c r="P70" s="204"/>
      <c r="U70" s="205"/>
      <c r="V70" s="205"/>
      <c r="X70" s="280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8" t="s">
        <v>23</v>
      </c>
      <c r="L71" s="286" t="s">
        <v>41</v>
      </c>
      <c r="M71" s="279"/>
      <c r="N71" s="287"/>
      <c r="O71" s="69"/>
      <c r="P71" s="4"/>
      <c r="R71" s="284"/>
      <c r="S71" s="279"/>
      <c r="T71" s="279"/>
      <c r="U71" s="209"/>
      <c r="V71" s="209"/>
      <c r="X71" s="284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04"/>
      <c r="L81" s="285">
        <f>F81</f>
        <v>0</v>
      </c>
      <c r="M81" s="282"/>
      <c r="N81" s="283"/>
      <c r="O81" s="183"/>
      <c r="P81" s="204"/>
      <c r="U81" s="205"/>
      <c r="V81" s="205"/>
      <c r="X81" s="280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8" t="s">
        <v>23</v>
      </c>
      <c r="L82" s="286" t="s">
        <v>41</v>
      </c>
      <c r="M82" s="279"/>
      <c r="N82" s="287"/>
      <c r="O82" s="69"/>
      <c r="P82" s="4"/>
      <c r="R82" s="284"/>
      <c r="S82" s="279"/>
      <c r="T82" s="279"/>
      <c r="U82" s="209"/>
      <c r="V82" s="209"/>
      <c r="X82" s="284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04"/>
      <c r="L92" s="285">
        <f>F92</f>
        <v>0</v>
      </c>
      <c r="M92" s="282"/>
      <c r="N92" s="283"/>
      <c r="O92" s="183"/>
      <c r="P92" s="204"/>
      <c r="U92" s="205"/>
      <c r="V92" s="205"/>
      <c r="X92" s="280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8" t="s">
        <v>23</v>
      </c>
      <c r="L93" s="286" t="s">
        <v>41</v>
      </c>
      <c r="M93" s="279"/>
      <c r="N93" s="287"/>
      <c r="O93" s="69"/>
      <c r="P93" s="4"/>
      <c r="R93" s="284"/>
      <c r="S93" s="279"/>
      <c r="T93" s="279"/>
      <c r="U93" s="209"/>
      <c r="V93" s="209"/>
      <c r="X93" s="284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04"/>
      <c r="L103" s="285">
        <f>F103</f>
        <v>0</v>
      </c>
      <c r="M103" s="282"/>
      <c r="N103" s="283"/>
      <c r="O103" s="183"/>
      <c r="P103" s="204"/>
      <c r="U103" s="205"/>
      <c r="V103" s="205"/>
      <c r="X103" s="280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8" t="s">
        <v>23</v>
      </c>
      <c r="L104" s="286" t="s">
        <v>41</v>
      </c>
      <c r="M104" s="279"/>
      <c r="N104" s="287"/>
      <c r="O104" s="69"/>
      <c r="P104" s="4"/>
      <c r="R104" s="284"/>
      <c r="S104" s="279"/>
      <c r="T104" s="279"/>
      <c r="U104" s="209"/>
      <c r="V104" s="209"/>
      <c r="X104" s="284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11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4" t="str">
        <f>$B$2</f>
        <v>breakfast_track</v>
      </c>
      <c r="U2" s="295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6"/>
      <c r="AK2" s="216"/>
      <c r="AL2" s="164" t="str">
        <f>$B$2</f>
        <v>breakfast_track</v>
      </c>
      <c r="AM2" s="302" t="s">
        <v>44</v>
      </c>
      <c r="AN2" s="273"/>
      <c r="AO2" s="273"/>
      <c r="AP2" s="273"/>
      <c r="AQ2" s="296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10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10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7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3" t="e">
        <f t="shared" si="0"/>
        <v>#DIV/0!</v>
      </c>
      <c r="J5" s="93" t="e">
        <f t="shared" si="0"/>
        <v>#DIV/0!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2"/>
      <c r="C6" s="29" t="s">
        <v>29</v>
      </c>
      <c r="D6" s="30"/>
      <c r="E6" s="159">
        <f>E24</f>
        <v>0</v>
      </c>
      <c r="F6" s="93" t="e">
        <f t="shared" si="0"/>
        <v>#DIV/0!</v>
      </c>
      <c r="G6" s="93" t="e">
        <f t="shared" si="0"/>
        <v>#DIV/0!</v>
      </c>
      <c r="H6" s="93" t="e">
        <f t="shared" si="0"/>
        <v>#DIV/0!</v>
      </c>
      <c r="I6" s="93" t="e">
        <f t="shared" si="0"/>
        <v>#DIV/0!</v>
      </c>
      <c r="J6" s="93" t="e">
        <f t="shared" si="0"/>
        <v>#DIV/0!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2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2"/>
      <c r="C7" s="29" t="s">
        <v>30</v>
      </c>
      <c r="D7" s="30"/>
      <c r="E7" s="159">
        <f>E25</f>
        <v>0</v>
      </c>
      <c r="F7" s="93" t="e">
        <f t="shared" si="0"/>
        <v>#DIV/0!</v>
      </c>
      <c r="G7" s="93" t="e">
        <f t="shared" si="0"/>
        <v>#DIV/0!</v>
      </c>
      <c r="H7" s="93" t="e">
        <f t="shared" si="0"/>
        <v>#DIV/0!</v>
      </c>
      <c r="I7" s="93" t="e">
        <f t="shared" si="0"/>
        <v>#DIV/0!</v>
      </c>
      <c r="J7" s="93" t="e">
        <f t="shared" si="0"/>
        <v>#DIV/0!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2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2"/>
      <c r="C8" s="29" t="s">
        <v>32</v>
      </c>
      <c r="D8" s="30"/>
      <c r="E8" s="159">
        <f>E26</f>
        <v>0</v>
      </c>
      <c r="F8" s="93" t="e">
        <f t="shared" si="0"/>
        <v>#DIV/0!</v>
      </c>
      <c r="G8" s="93" t="e">
        <f t="shared" si="0"/>
        <v>#DIV/0!</v>
      </c>
      <c r="H8" s="93" t="e">
        <f t="shared" si="0"/>
        <v>#DIV/0!</v>
      </c>
      <c r="I8" s="93" t="e">
        <f t="shared" si="0"/>
        <v>#DIV/0!</v>
      </c>
      <c r="J8" s="93" t="e">
        <f t="shared" si="0"/>
        <v>#DIV/0!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2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3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2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5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6"/>
      <c r="T13" s="23"/>
      <c r="U13" s="295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6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298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/>
      <c r="F16" s="169"/>
      <c r="G16" s="169"/>
      <c r="H16" s="169"/>
      <c r="I16" s="169"/>
      <c r="J16" s="169"/>
      <c r="K16" s="62"/>
      <c r="L16" s="62"/>
      <c r="M16" s="62"/>
      <c r="N16" s="57"/>
      <c r="O16" s="257"/>
      <c r="P16" s="132"/>
      <c r="Q16" s="132"/>
      <c r="R16" s="145"/>
      <c r="S16" s="217"/>
      <c r="T16" s="307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2"/>
      <c r="C17" s="29" t="s">
        <v>29</v>
      </c>
      <c r="D17" s="30"/>
      <c r="E17" s="146"/>
      <c r="F17" s="170"/>
      <c r="G17" s="170"/>
      <c r="H17" s="170"/>
      <c r="I17" s="170"/>
      <c r="J17" s="170"/>
      <c r="K17" s="64"/>
      <c r="L17" s="64"/>
      <c r="M17" s="64"/>
      <c r="N17" s="58"/>
      <c r="O17" s="243"/>
      <c r="P17" s="147"/>
      <c r="Q17" s="147"/>
      <c r="R17" s="148"/>
      <c r="S17" s="217"/>
      <c r="T17" s="292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2"/>
      <c r="C18" s="29" t="s">
        <v>30</v>
      </c>
      <c r="D18" s="30"/>
      <c r="E18" s="146"/>
      <c r="F18" s="170"/>
      <c r="G18" s="170"/>
      <c r="H18" s="170"/>
      <c r="I18" s="170"/>
      <c r="J18" s="170"/>
      <c r="K18" s="64"/>
      <c r="L18" s="64"/>
      <c r="M18" s="64"/>
      <c r="N18" s="58"/>
      <c r="O18" s="243"/>
      <c r="P18" s="147"/>
      <c r="Q18" s="147"/>
      <c r="R18" s="148"/>
      <c r="S18" s="217"/>
      <c r="T18" s="292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2"/>
      <c r="C19" s="29" t="s">
        <v>32</v>
      </c>
      <c r="D19" s="30"/>
      <c r="E19" s="146"/>
      <c r="F19" s="170"/>
      <c r="G19" s="170"/>
      <c r="H19" s="170"/>
      <c r="I19" s="170"/>
      <c r="J19" s="170"/>
      <c r="K19" s="64"/>
      <c r="L19" s="64"/>
      <c r="M19" s="64"/>
      <c r="N19" s="58"/>
      <c r="O19" s="243"/>
      <c r="P19" s="147"/>
      <c r="Q19" s="147"/>
      <c r="R19" s="148"/>
      <c r="S19" s="217"/>
      <c r="T19" s="292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2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2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299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299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89"/>
      <c r="AW21" s="290"/>
      <c r="AX21" s="290"/>
    </row>
    <row r="22" spans="2:56" s="8" customFormat="1" ht="13.5" customHeight="1" thickBot="1" x14ac:dyDescent="0.3">
      <c r="B22" s="300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0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30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2"/>
      <c r="C24" s="29" t="s">
        <v>29</v>
      </c>
      <c r="D24" s="30"/>
      <c r="E24" s="130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2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2"/>
      <c r="C25" s="29" t="s">
        <v>30</v>
      </c>
      <c r="D25" s="30"/>
      <c r="E25" s="130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2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2"/>
      <c r="C26" s="29" t="s">
        <v>32</v>
      </c>
      <c r="D26" s="30"/>
      <c r="E26" s="130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2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3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3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5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6"/>
      <c r="S31" s="217"/>
      <c r="T31" s="23"/>
      <c r="U31" s="295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6"/>
      <c r="AK31" s="216"/>
      <c r="AL31" s="216"/>
      <c r="AM31" s="309" t="s">
        <v>64</v>
      </c>
      <c r="AN31" s="282"/>
      <c r="AO31" s="282"/>
      <c r="AP31" s="282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4" t="s">
        <v>66</v>
      </c>
      <c r="C33" s="27" t="s">
        <v>28</v>
      </c>
      <c r="D33" s="41"/>
      <c r="E33" s="57"/>
      <c r="F33" s="99"/>
      <c r="G33" s="99"/>
      <c r="H33" s="99"/>
      <c r="I33" s="62"/>
      <c r="J33" s="62"/>
      <c r="K33" s="63"/>
      <c r="L33" s="262"/>
      <c r="M33" s="262"/>
      <c r="N33" s="57"/>
      <c r="O33" s="28"/>
      <c r="P33" s="57"/>
      <c r="Q33" s="28"/>
      <c r="R33" s="134"/>
      <c r="S33" s="217"/>
      <c r="T33" s="294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4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2"/>
      <c r="C34" s="29" t="s">
        <v>29</v>
      </c>
      <c r="D34" s="191"/>
      <c r="E34" s="58"/>
      <c r="F34" s="192"/>
      <c r="G34" s="192"/>
      <c r="H34" s="192"/>
      <c r="I34" s="64"/>
      <c r="J34" s="64"/>
      <c r="K34" s="193"/>
      <c r="L34" s="263"/>
      <c r="M34" s="263"/>
      <c r="N34" s="58"/>
      <c r="O34" s="30"/>
      <c r="P34" s="58"/>
      <c r="Q34" s="30"/>
      <c r="R34" s="135"/>
      <c r="S34" s="217"/>
      <c r="T34" s="292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2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2"/>
      <c r="C35" s="29" t="s">
        <v>30</v>
      </c>
      <c r="D35" s="191"/>
      <c r="E35" s="58"/>
      <c r="F35" s="192"/>
      <c r="G35" s="192"/>
      <c r="H35" s="192"/>
      <c r="I35" s="64"/>
      <c r="J35" s="64"/>
      <c r="K35" s="193"/>
      <c r="L35" s="263"/>
      <c r="M35" s="263"/>
      <c r="N35" s="58"/>
      <c r="O35" s="30"/>
      <c r="P35" s="58"/>
      <c r="Q35" s="30"/>
      <c r="R35" s="135"/>
      <c r="S35" s="217"/>
      <c r="T35" s="292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2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2"/>
      <c r="C36" s="29" t="s">
        <v>32</v>
      </c>
      <c r="D36" s="191"/>
      <c r="E36" s="58"/>
      <c r="F36" s="192"/>
      <c r="G36" s="192"/>
      <c r="H36" s="192"/>
      <c r="I36" s="64"/>
      <c r="J36" s="64"/>
      <c r="K36" s="193"/>
      <c r="L36" s="263"/>
      <c r="M36" s="263"/>
      <c r="N36" s="58"/>
      <c r="O36" s="30"/>
      <c r="P36" s="58"/>
      <c r="Q36" s="30"/>
      <c r="R36" s="135"/>
      <c r="S36" s="217"/>
      <c r="T36" s="292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2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2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2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2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4" t="s">
        <v>67</v>
      </c>
      <c r="C38" s="27" t="s">
        <v>28</v>
      </c>
      <c r="D38" s="41"/>
      <c r="E38" s="57"/>
      <c r="F38" s="99"/>
      <c r="G38" s="99"/>
      <c r="H38" s="99"/>
      <c r="I38" s="62"/>
      <c r="J38" s="62"/>
      <c r="K38" s="63"/>
      <c r="L38" s="262"/>
      <c r="M38" s="262"/>
      <c r="N38" s="57"/>
      <c r="O38" s="28"/>
      <c r="P38" s="57"/>
      <c r="Q38" s="28"/>
      <c r="R38" s="134"/>
      <c r="S38" s="217"/>
      <c r="T38" s="294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4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2"/>
      <c r="C39" s="29" t="s">
        <v>29</v>
      </c>
      <c r="D39" s="191"/>
      <c r="E39" s="58"/>
      <c r="F39" s="192"/>
      <c r="G39" s="192"/>
      <c r="H39" s="192"/>
      <c r="I39" s="64"/>
      <c r="J39" s="64"/>
      <c r="K39" s="193"/>
      <c r="L39" s="263"/>
      <c r="M39" s="263"/>
      <c r="N39" s="58"/>
      <c r="O39" s="30"/>
      <c r="P39" s="58"/>
      <c r="Q39" s="30"/>
      <c r="R39" s="135"/>
      <c r="S39" s="217"/>
      <c r="T39" s="292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2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2"/>
      <c r="C40" s="29" t="s">
        <v>30</v>
      </c>
      <c r="D40" s="191"/>
      <c r="E40" s="58"/>
      <c r="F40" s="192"/>
      <c r="G40" s="192"/>
      <c r="H40" s="192"/>
      <c r="I40" s="64"/>
      <c r="J40" s="64"/>
      <c r="K40" s="193"/>
      <c r="L40" s="263"/>
      <c r="M40" s="263"/>
      <c r="N40" s="58"/>
      <c r="O40" s="30"/>
      <c r="P40" s="58"/>
      <c r="Q40" s="30"/>
      <c r="R40" s="135"/>
      <c r="S40" s="217"/>
      <c r="T40" s="292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2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2"/>
      <c r="C41" s="29" t="s">
        <v>32</v>
      </c>
      <c r="D41" s="191"/>
      <c r="E41" s="58"/>
      <c r="F41" s="192"/>
      <c r="G41" s="192"/>
      <c r="H41" s="192"/>
      <c r="I41" s="64"/>
      <c r="J41" s="64"/>
      <c r="K41" s="193"/>
      <c r="L41" s="263"/>
      <c r="M41" s="263"/>
      <c r="N41" s="58"/>
      <c r="O41" s="30"/>
      <c r="P41" s="58"/>
      <c r="Q41" s="30"/>
      <c r="R41" s="135"/>
      <c r="S41" s="217"/>
      <c r="T41" s="292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2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2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2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2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4" t="s">
        <v>68</v>
      </c>
      <c r="C43" s="27" t="s">
        <v>28</v>
      </c>
      <c r="D43" s="41"/>
      <c r="E43" s="57"/>
      <c r="F43" s="99"/>
      <c r="G43" s="99"/>
      <c r="H43" s="99"/>
      <c r="I43" s="62"/>
      <c r="J43" s="62"/>
      <c r="K43" s="63"/>
      <c r="L43" s="262"/>
      <c r="M43" s="262"/>
      <c r="N43" s="57"/>
      <c r="O43" s="28"/>
      <c r="P43" s="57"/>
      <c r="Q43" s="28"/>
      <c r="R43" s="134"/>
      <c r="S43" s="217"/>
      <c r="T43" s="294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4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2"/>
      <c r="C44" s="29" t="s">
        <v>29</v>
      </c>
      <c r="D44" s="191"/>
      <c r="E44" s="58"/>
      <c r="F44" s="192"/>
      <c r="G44" s="192"/>
      <c r="H44" s="192"/>
      <c r="I44" s="64"/>
      <c r="J44" s="64"/>
      <c r="K44" s="193"/>
      <c r="L44" s="263"/>
      <c r="M44" s="263"/>
      <c r="N44" s="58"/>
      <c r="O44" s="30"/>
      <c r="P44" s="58"/>
      <c r="Q44" s="30"/>
      <c r="R44" s="135"/>
      <c r="S44" s="217"/>
      <c r="T44" s="292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2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2"/>
      <c r="C45" s="29" t="s">
        <v>30</v>
      </c>
      <c r="D45" s="191"/>
      <c r="E45" s="58"/>
      <c r="F45" s="192"/>
      <c r="G45" s="192"/>
      <c r="H45" s="192"/>
      <c r="I45" s="64"/>
      <c r="J45" s="64"/>
      <c r="K45" s="193"/>
      <c r="L45" s="263"/>
      <c r="M45" s="263"/>
      <c r="N45" s="58"/>
      <c r="O45" s="30"/>
      <c r="P45" s="58"/>
      <c r="Q45" s="30"/>
      <c r="R45" s="135"/>
      <c r="S45" s="217"/>
      <c r="T45" s="292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2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2"/>
      <c r="C46" s="29" t="s">
        <v>32</v>
      </c>
      <c r="D46" s="191"/>
      <c r="E46" s="58"/>
      <c r="F46" s="192"/>
      <c r="G46" s="192"/>
      <c r="H46" s="192"/>
      <c r="I46" s="64"/>
      <c r="J46" s="64"/>
      <c r="K46" s="193"/>
      <c r="L46" s="263"/>
      <c r="M46" s="263"/>
      <c r="N46" s="58"/>
      <c r="O46" s="30"/>
      <c r="P46" s="58"/>
      <c r="Q46" s="30"/>
      <c r="R46" s="135"/>
      <c r="S46" s="217"/>
      <c r="T46" s="292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2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2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2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2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4" t="s">
        <v>69</v>
      </c>
      <c r="C48" s="27" t="s">
        <v>28</v>
      </c>
      <c r="D48" s="41"/>
      <c r="E48" s="57"/>
      <c r="F48" s="99"/>
      <c r="G48" s="99"/>
      <c r="H48" s="99"/>
      <c r="I48" s="62"/>
      <c r="J48" s="62"/>
      <c r="K48" s="63"/>
      <c r="L48" s="262"/>
      <c r="M48" s="262"/>
      <c r="N48" s="57"/>
      <c r="O48" s="28"/>
      <c r="P48" s="57"/>
      <c r="Q48" s="28"/>
      <c r="R48" s="134"/>
      <c r="S48" s="217"/>
      <c r="T48" s="294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4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2"/>
      <c r="C49" s="29" t="s">
        <v>29</v>
      </c>
      <c r="D49" s="191"/>
      <c r="E49" s="58"/>
      <c r="F49" s="192"/>
      <c r="G49" s="192"/>
      <c r="H49" s="192"/>
      <c r="I49" s="64"/>
      <c r="J49" s="64"/>
      <c r="K49" s="193"/>
      <c r="L49" s="263"/>
      <c r="M49" s="263"/>
      <c r="N49" s="58"/>
      <c r="O49" s="30"/>
      <c r="P49" s="58"/>
      <c r="Q49" s="30"/>
      <c r="R49" s="135"/>
      <c r="S49" s="217"/>
      <c r="T49" s="292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2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2"/>
      <c r="C50" s="29" t="s">
        <v>30</v>
      </c>
      <c r="D50" s="191"/>
      <c r="E50" s="58"/>
      <c r="F50" s="192"/>
      <c r="G50" s="192"/>
      <c r="H50" s="192"/>
      <c r="I50" s="64"/>
      <c r="J50" s="64"/>
      <c r="K50" s="193"/>
      <c r="L50" s="263"/>
      <c r="M50" s="263"/>
      <c r="N50" s="58"/>
      <c r="O50" s="30"/>
      <c r="P50" s="58"/>
      <c r="Q50" s="30"/>
      <c r="R50" s="135"/>
      <c r="S50" s="217"/>
      <c r="T50" s="292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2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2"/>
      <c r="C51" s="29" t="s">
        <v>32</v>
      </c>
      <c r="D51" s="191"/>
      <c r="E51" s="58"/>
      <c r="F51" s="192"/>
      <c r="G51" s="192"/>
      <c r="H51" s="192"/>
      <c r="I51" s="64"/>
      <c r="J51" s="64"/>
      <c r="K51" s="193"/>
      <c r="L51" s="263"/>
      <c r="M51" s="263"/>
      <c r="N51" s="58"/>
      <c r="O51" s="30"/>
      <c r="P51" s="58"/>
      <c r="Q51" s="30"/>
      <c r="R51" s="135"/>
      <c r="S51" s="217"/>
      <c r="T51" s="292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2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2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2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2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4" t="s">
        <v>70</v>
      </c>
      <c r="C53" s="27" t="s">
        <v>28</v>
      </c>
      <c r="D53" s="41"/>
      <c r="E53" s="57"/>
      <c r="F53" s="99"/>
      <c r="G53" s="99"/>
      <c r="H53" s="99"/>
      <c r="I53" s="62"/>
      <c r="J53" s="62"/>
      <c r="K53" s="63"/>
      <c r="L53" s="262"/>
      <c r="M53" s="262"/>
      <c r="N53" s="57"/>
      <c r="O53" s="28"/>
      <c r="P53" s="57"/>
      <c r="Q53" s="28"/>
      <c r="R53" s="134"/>
      <c r="S53" s="217"/>
      <c r="T53" s="294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4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2"/>
      <c r="C54" s="29" t="s">
        <v>29</v>
      </c>
      <c r="D54" s="191"/>
      <c r="E54" s="58"/>
      <c r="F54" s="192"/>
      <c r="G54" s="192"/>
      <c r="H54" s="192"/>
      <c r="I54" s="64"/>
      <c r="J54" s="64"/>
      <c r="K54" s="193"/>
      <c r="L54" s="263"/>
      <c r="M54" s="263"/>
      <c r="N54" s="58"/>
      <c r="O54" s="30"/>
      <c r="P54" s="58"/>
      <c r="Q54" s="30"/>
      <c r="R54" s="135"/>
      <c r="S54" s="217"/>
      <c r="T54" s="292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2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2"/>
      <c r="C55" s="29" t="s">
        <v>30</v>
      </c>
      <c r="D55" s="191"/>
      <c r="E55" s="58"/>
      <c r="F55" s="192"/>
      <c r="G55" s="192"/>
      <c r="H55" s="192"/>
      <c r="I55" s="64"/>
      <c r="J55" s="64"/>
      <c r="K55" s="193"/>
      <c r="L55" s="263"/>
      <c r="M55" s="263"/>
      <c r="N55" s="58"/>
      <c r="O55" s="30"/>
      <c r="P55" s="58"/>
      <c r="Q55" s="30"/>
      <c r="R55" s="135"/>
      <c r="S55" s="217"/>
      <c r="T55" s="292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2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2"/>
      <c r="C56" s="29" t="s">
        <v>32</v>
      </c>
      <c r="D56" s="191"/>
      <c r="E56" s="58"/>
      <c r="F56" s="192"/>
      <c r="G56" s="192"/>
      <c r="H56" s="192"/>
      <c r="I56" s="64"/>
      <c r="J56" s="64"/>
      <c r="K56" s="193"/>
      <c r="L56" s="263"/>
      <c r="M56" s="263"/>
      <c r="N56" s="58"/>
      <c r="O56" s="30"/>
      <c r="P56" s="58"/>
      <c r="Q56" s="30"/>
      <c r="R56" s="135"/>
      <c r="S56" s="217"/>
      <c r="T56" s="292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2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2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2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2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4" t="s">
        <v>71</v>
      </c>
      <c r="C58" s="27" t="s">
        <v>28</v>
      </c>
      <c r="D58" s="41"/>
      <c r="E58" s="57"/>
      <c r="F58" s="99"/>
      <c r="G58" s="99"/>
      <c r="H58" s="99"/>
      <c r="I58" s="62"/>
      <c r="J58" s="62"/>
      <c r="K58" s="63"/>
      <c r="L58" s="262"/>
      <c r="M58" s="262"/>
      <c r="N58" s="57"/>
      <c r="O58" s="28"/>
      <c r="P58" s="57"/>
      <c r="Q58" s="28"/>
      <c r="R58" s="134"/>
      <c r="S58" s="217"/>
      <c r="T58" s="294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4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2"/>
      <c r="C59" s="29" t="s">
        <v>29</v>
      </c>
      <c r="D59" s="191"/>
      <c r="E59" s="58"/>
      <c r="F59" s="192"/>
      <c r="G59" s="192"/>
      <c r="H59" s="192"/>
      <c r="I59" s="64"/>
      <c r="J59" s="64"/>
      <c r="K59" s="193"/>
      <c r="L59" s="263"/>
      <c r="M59" s="263"/>
      <c r="N59" s="58"/>
      <c r="O59" s="30"/>
      <c r="P59" s="58"/>
      <c r="Q59" s="30"/>
      <c r="R59" s="135"/>
      <c r="S59" s="217"/>
      <c r="T59" s="292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2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2"/>
      <c r="C60" s="29" t="s">
        <v>30</v>
      </c>
      <c r="D60" s="191"/>
      <c r="E60" s="58"/>
      <c r="F60" s="192"/>
      <c r="G60" s="192"/>
      <c r="H60" s="192"/>
      <c r="I60" s="64"/>
      <c r="J60" s="64"/>
      <c r="K60" s="193"/>
      <c r="L60" s="263"/>
      <c r="M60" s="263"/>
      <c r="N60" s="58"/>
      <c r="O60" s="30"/>
      <c r="P60" s="58"/>
      <c r="Q60" s="30"/>
      <c r="R60" s="135"/>
      <c r="S60" s="217"/>
      <c r="T60" s="292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2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2"/>
      <c r="C61" s="29" t="s">
        <v>32</v>
      </c>
      <c r="D61" s="191"/>
      <c r="E61" s="58"/>
      <c r="F61" s="192"/>
      <c r="G61" s="192"/>
      <c r="H61" s="192"/>
      <c r="I61" s="64"/>
      <c r="J61" s="64"/>
      <c r="K61" s="193"/>
      <c r="L61" s="263"/>
      <c r="M61" s="263"/>
      <c r="N61" s="58"/>
      <c r="O61" s="30"/>
      <c r="P61" s="58"/>
      <c r="Q61" s="30"/>
      <c r="R61" s="135"/>
      <c r="S61" s="217"/>
      <c r="T61" s="292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2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2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2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2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4" t="s">
        <v>72</v>
      </c>
      <c r="C63" s="27" t="s">
        <v>28</v>
      </c>
      <c r="D63" s="41"/>
      <c r="E63" s="57"/>
      <c r="F63" s="99"/>
      <c r="G63" s="99"/>
      <c r="H63" s="99"/>
      <c r="I63" s="62"/>
      <c r="J63" s="62"/>
      <c r="K63" s="63"/>
      <c r="L63" s="262"/>
      <c r="M63" s="262"/>
      <c r="N63" s="57"/>
      <c r="O63" s="28"/>
      <c r="P63" s="57"/>
      <c r="Q63" s="28"/>
      <c r="R63" s="134"/>
      <c r="S63" s="217"/>
      <c r="T63" s="294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4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2"/>
      <c r="C64" s="29" t="s">
        <v>29</v>
      </c>
      <c r="D64" s="191"/>
      <c r="E64" s="58"/>
      <c r="F64" s="192"/>
      <c r="G64" s="192"/>
      <c r="H64" s="192"/>
      <c r="I64" s="64"/>
      <c r="J64" s="64"/>
      <c r="K64" s="193"/>
      <c r="L64" s="263"/>
      <c r="M64" s="263"/>
      <c r="N64" s="58"/>
      <c r="O64" s="30"/>
      <c r="P64" s="58"/>
      <c r="Q64" s="30"/>
      <c r="R64" s="135"/>
      <c r="S64" s="217"/>
      <c r="T64" s="292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2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2"/>
      <c r="C65" s="29" t="s">
        <v>30</v>
      </c>
      <c r="D65" s="191"/>
      <c r="E65" s="58"/>
      <c r="F65" s="192"/>
      <c r="G65" s="192"/>
      <c r="H65" s="192"/>
      <c r="I65" s="64"/>
      <c r="J65" s="64"/>
      <c r="K65" s="193"/>
      <c r="L65" s="263"/>
      <c r="M65" s="263"/>
      <c r="N65" s="58"/>
      <c r="O65" s="30"/>
      <c r="P65" s="58"/>
      <c r="Q65" s="30"/>
      <c r="R65" s="135"/>
      <c r="S65" s="217"/>
      <c r="T65" s="292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2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2"/>
      <c r="C66" s="29" t="s">
        <v>32</v>
      </c>
      <c r="D66" s="191"/>
      <c r="E66" s="58"/>
      <c r="F66" s="192"/>
      <c r="G66" s="192"/>
      <c r="H66" s="192"/>
      <c r="I66" s="64"/>
      <c r="J66" s="64"/>
      <c r="K66" s="193"/>
      <c r="L66" s="263"/>
      <c r="M66" s="263"/>
      <c r="N66" s="58"/>
      <c r="O66" s="30"/>
      <c r="P66" s="58"/>
      <c r="Q66" s="30"/>
      <c r="R66" s="135"/>
      <c r="S66" s="217"/>
      <c r="T66" s="292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2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2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2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2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4" t="s">
        <v>73</v>
      </c>
      <c r="C68" s="27" t="s">
        <v>28</v>
      </c>
      <c r="D68" s="41"/>
      <c r="E68" s="57"/>
      <c r="F68" s="99"/>
      <c r="G68" s="99"/>
      <c r="H68" s="99"/>
      <c r="I68" s="62"/>
      <c r="J68" s="62"/>
      <c r="K68" s="63"/>
      <c r="L68" s="262"/>
      <c r="M68" s="262"/>
      <c r="N68" s="57"/>
      <c r="O68" s="28"/>
      <c r="P68" s="57"/>
      <c r="Q68" s="28"/>
      <c r="R68" s="134"/>
      <c r="S68" s="217"/>
      <c r="T68" s="294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4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2"/>
      <c r="C69" s="29" t="s">
        <v>29</v>
      </c>
      <c r="D69" s="191"/>
      <c r="E69" s="58"/>
      <c r="F69" s="192"/>
      <c r="G69" s="192"/>
      <c r="H69" s="192"/>
      <c r="I69" s="64"/>
      <c r="J69" s="64"/>
      <c r="K69" s="193"/>
      <c r="L69" s="263"/>
      <c r="M69" s="263"/>
      <c r="N69" s="58"/>
      <c r="O69" s="30"/>
      <c r="P69" s="58"/>
      <c r="Q69" s="30"/>
      <c r="R69" s="135"/>
      <c r="S69" s="217"/>
      <c r="T69" s="292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2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2"/>
      <c r="C70" s="29" t="s">
        <v>30</v>
      </c>
      <c r="D70" s="191"/>
      <c r="E70" s="58"/>
      <c r="F70" s="192"/>
      <c r="G70" s="192"/>
      <c r="H70" s="192"/>
      <c r="I70" s="64"/>
      <c r="J70" s="64"/>
      <c r="K70" s="193"/>
      <c r="L70" s="263"/>
      <c r="M70" s="263"/>
      <c r="N70" s="58"/>
      <c r="O70" s="30"/>
      <c r="P70" s="58"/>
      <c r="Q70" s="30"/>
      <c r="R70" s="135"/>
      <c r="S70" s="217"/>
      <c r="T70" s="292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2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2"/>
      <c r="C71" s="29" t="s">
        <v>32</v>
      </c>
      <c r="D71" s="191"/>
      <c r="E71" s="58"/>
      <c r="F71" s="192"/>
      <c r="G71" s="192"/>
      <c r="H71" s="192"/>
      <c r="I71" s="64"/>
      <c r="J71" s="64"/>
      <c r="K71" s="193"/>
      <c r="L71" s="263"/>
      <c r="M71" s="263"/>
      <c r="N71" s="58"/>
      <c r="O71" s="30"/>
      <c r="P71" s="58"/>
      <c r="Q71" s="30"/>
      <c r="R71" s="135"/>
      <c r="S71" s="217"/>
      <c r="T71" s="292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2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2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2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2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4" t="s">
        <v>74</v>
      </c>
      <c r="C73" s="27" t="s">
        <v>28</v>
      </c>
      <c r="D73" s="41"/>
      <c r="E73" s="57"/>
      <c r="F73" s="99"/>
      <c r="G73" s="99"/>
      <c r="H73" s="99"/>
      <c r="I73" s="62"/>
      <c r="J73" s="62"/>
      <c r="K73" s="63"/>
      <c r="L73" s="262"/>
      <c r="M73" s="262"/>
      <c r="N73" s="57"/>
      <c r="O73" s="28"/>
      <c r="P73" s="57"/>
      <c r="Q73" s="28"/>
      <c r="R73" s="134"/>
      <c r="S73" s="217"/>
      <c r="T73" s="294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4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2"/>
      <c r="C74" s="29" t="s">
        <v>29</v>
      </c>
      <c r="D74" s="191"/>
      <c r="E74" s="58"/>
      <c r="F74" s="192"/>
      <c r="G74" s="192"/>
      <c r="H74" s="192"/>
      <c r="I74" s="64"/>
      <c r="J74" s="64"/>
      <c r="K74" s="193"/>
      <c r="L74" s="263"/>
      <c r="M74" s="263"/>
      <c r="N74" s="58"/>
      <c r="O74" s="30"/>
      <c r="P74" s="58"/>
      <c r="Q74" s="30"/>
      <c r="R74" s="135"/>
      <c r="S74" s="217"/>
      <c r="T74" s="292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2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2"/>
      <c r="C75" s="29" t="s">
        <v>30</v>
      </c>
      <c r="D75" s="191"/>
      <c r="E75" s="58"/>
      <c r="F75" s="192"/>
      <c r="G75" s="192"/>
      <c r="H75" s="192"/>
      <c r="I75" s="64"/>
      <c r="J75" s="64"/>
      <c r="K75" s="193"/>
      <c r="L75" s="263"/>
      <c r="M75" s="263"/>
      <c r="N75" s="58"/>
      <c r="O75" s="30"/>
      <c r="P75" s="58"/>
      <c r="Q75" s="30"/>
      <c r="R75" s="135"/>
      <c r="S75" s="217"/>
      <c r="T75" s="292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2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2"/>
      <c r="C76" s="29" t="s">
        <v>32</v>
      </c>
      <c r="D76" s="191"/>
      <c r="E76" s="58"/>
      <c r="F76" s="192"/>
      <c r="G76" s="192"/>
      <c r="H76" s="192"/>
      <c r="I76" s="64"/>
      <c r="J76" s="64"/>
      <c r="K76" s="193"/>
      <c r="L76" s="263"/>
      <c r="M76" s="263"/>
      <c r="N76" s="58"/>
      <c r="O76" s="30"/>
      <c r="P76" s="58"/>
      <c r="Q76" s="30"/>
      <c r="R76" s="135"/>
      <c r="S76" s="217"/>
      <c r="T76" s="292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2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2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2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2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4" t="s">
        <v>75</v>
      </c>
      <c r="C78" s="27" t="s">
        <v>28</v>
      </c>
      <c r="D78" s="41"/>
      <c r="E78" s="57"/>
      <c r="F78" s="99"/>
      <c r="G78" s="99"/>
      <c r="H78" s="99"/>
      <c r="I78" s="62"/>
      <c r="J78" s="62"/>
      <c r="K78" s="63"/>
      <c r="L78" s="262"/>
      <c r="M78" s="262"/>
      <c r="N78" s="57"/>
      <c r="O78" s="28"/>
      <c r="P78" s="57"/>
      <c r="Q78" s="28"/>
      <c r="R78" s="134"/>
      <c r="S78" s="217"/>
      <c r="T78" s="294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4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2"/>
      <c r="C79" s="29" t="s">
        <v>29</v>
      </c>
      <c r="D79" s="191"/>
      <c r="E79" s="58"/>
      <c r="F79" s="192"/>
      <c r="G79" s="192"/>
      <c r="H79" s="192"/>
      <c r="I79" s="64"/>
      <c r="J79" s="64"/>
      <c r="K79" s="193"/>
      <c r="L79" s="263"/>
      <c r="M79" s="263"/>
      <c r="N79" s="58"/>
      <c r="O79" s="30"/>
      <c r="P79" s="58"/>
      <c r="Q79" s="30"/>
      <c r="R79" s="135"/>
      <c r="S79" s="217"/>
      <c r="T79" s="292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2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2"/>
      <c r="C80" s="29" t="s">
        <v>30</v>
      </c>
      <c r="D80" s="191"/>
      <c r="E80" s="58"/>
      <c r="F80" s="192"/>
      <c r="G80" s="192"/>
      <c r="H80" s="192"/>
      <c r="I80" s="64"/>
      <c r="J80" s="64"/>
      <c r="K80" s="193"/>
      <c r="L80" s="263"/>
      <c r="M80" s="263"/>
      <c r="N80" s="58"/>
      <c r="O80" s="30"/>
      <c r="P80" s="58"/>
      <c r="Q80" s="30"/>
      <c r="R80" s="135"/>
      <c r="S80" s="217"/>
      <c r="T80" s="292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2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2"/>
      <c r="C81" s="29" t="s">
        <v>32</v>
      </c>
      <c r="D81" s="191"/>
      <c r="E81" s="58"/>
      <c r="F81" s="192"/>
      <c r="G81" s="192"/>
      <c r="H81" s="192"/>
      <c r="I81" s="64"/>
      <c r="J81" s="64"/>
      <c r="K81" s="193"/>
      <c r="L81" s="263"/>
      <c r="M81" s="263"/>
      <c r="N81" s="58"/>
      <c r="O81" s="30"/>
      <c r="P81" s="58"/>
      <c r="Q81" s="30"/>
      <c r="R81" s="135"/>
      <c r="S81" s="217"/>
      <c r="T81" s="292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2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2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2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2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1" t="s">
        <v>76</v>
      </c>
      <c r="C83" s="27" t="s">
        <v>28</v>
      </c>
      <c r="D83" s="41"/>
      <c r="E83" s="57"/>
      <c r="F83" s="99"/>
      <c r="G83" s="99"/>
      <c r="H83" s="99"/>
      <c r="I83" s="62"/>
      <c r="J83" s="62"/>
      <c r="K83" s="63"/>
      <c r="L83" s="262"/>
      <c r="M83" s="262"/>
      <c r="N83" s="57"/>
      <c r="O83" s="28"/>
      <c r="P83" s="57"/>
      <c r="Q83" s="28"/>
      <c r="R83" s="134"/>
      <c r="S83" s="217"/>
      <c r="T83" s="291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91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2"/>
      <c r="C84" s="29" t="s">
        <v>29</v>
      </c>
      <c r="D84" s="191"/>
      <c r="E84" s="58"/>
      <c r="F84" s="192"/>
      <c r="G84" s="192"/>
      <c r="H84" s="192"/>
      <c r="I84" s="64"/>
      <c r="J84" s="64"/>
      <c r="K84" s="193"/>
      <c r="L84" s="263"/>
      <c r="M84" s="263"/>
      <c r="N84" s="58"/>
      <c r="O84" s="30"/>
      <c r="P84" s="58"/>
      <c r="Q84" s="30"/>
      <c r="R84" s="135"/>
      <c r="S84" s="217"/>
      <c r="T84" s="292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2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2"/>
      <c r="C85" s="29" t="s">
        <v>30</v>
      </c>
      <c r="D85" s="191"/>
      <c r="E85" s="58"/>
      <c r="F85" s="192"/>
      <c r="G85" s="192"/>
      <c r="H85" s="192"/>
      <c r="I85" s="64"/>
      <c r="J85" s="64"/>
      <c r="K85" s="193"/>
      <c r="L85" s="263"/>
      <c r="M85" s="263"/>
      <c r="N85" s="58"/>
      <c r="O85" s="30"/>
      <c r="P85" s="58"/>
      <c r="Q85" s="30"/>
      <c r="R85" s="135"/>
      <c r="S85" s="217"/>
      <c r="T85" s="292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2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2"/>
      <c r="C86" s="29" t="s">
        <v>32</v>
      </c>
      <c r="D86" s="191"/>
      <c r="E86" s="58"/>
      <c r="F86" s="192"/>
      <c r="G86" s="192"/>
      <c r="H86" s="192"/>
      <c r="I86" s="64"/>
      <c r="J86" s="64"/>
      <c r="K86" s="193"/>
      <c r="L86" s="263"/>
      <c r="M86" s="263"/>
      <c r="N86" s="58"/>
      <c r="O86" s="30"/>
      <c r="P86" s="58"/>
      <c r="Q86" s="30"/>
      <c r="R86" s="135"/>
      <c r="S86" s="217"/>
      <c r="T86" s="292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2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3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3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3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1" t="s">
        <v>77</v>
      </c>
      <c r="C88" s="27" t="s">
        <v>28</v>
      </c>
      <c r="D88" s="41"/>
      <c r="E88" s="57"/>
      <c r="F88" s="99"/>
      <c r="G88" s="99"/>
      <c r="H88" s="99"/>
      <c r="I88" s="62"/>
      <c r="J88" s="62"/>
      <c r="K88" s="63"/>
      <c r="L88" s="262"/>
      <c r="M88" s="262"/>
      <c r="N88" s="57"/>
      <c r="O88" s="28"/>
      <c r="P88" s="57"/>
      <c r="Q88" s="28"/>
      <c r="R88" s="134"/>
      <c r="S88" s="217"/>
      <c r="T88" s="291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91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2"/>
      <c r="C89" s="29" t="s">
        <v>29</v>
      </c>
      <c r="D89" s="191"/>
      <c r="E89" s="58"/>
      <c r="F89" s="192"/>
      <c r="G89" s="192"/>
      <c r="H89" s="192"/>
      <c r="I89" s="64"/>
      <c r="J89" s="64"/>
      <c r="K89" s="193"/>
      <c r="L89" s="263"/>
      <c r="M89" s="263"/>
      <c r="N89" s="58"/>
      <c r="O89" s="30"/>
      <c r="P89" s="58"/>
      <c r="Q89" s="30"/>
      <c r="R89" s="135"/>
      <c r="S89" s="217"/>
      <c r="T89" s="292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2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2"/>
      <c r="C90" s="29" t="s">
        <v>30</v>
      </c>
      <c r="D90" s="191"/>
      <c r="E90" s="58"/>
      <c r="F90" s="192"/>
      <c r="G90" s="192"/>
      <c r="H90" s="192"/>
      <c r="I90" s="64"/>
      <c r="J90" s="64"/>
      <c r="K90" s="193"/>
      <c r="L90" s="263"/>
      <c r="M90" s="263"/>
      <c r="N90" s="58"/>
      <c r="O90" s="30"/>
      <c r="P90" s="58"/>
      <c r="Q90" s="30"/>
      <c r="R90" s="135"/>
      <c r="S90" s="217"/>
      <c r="T90" s="292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2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2"/>
      <c r="C91" s="29" t="s">
        <v>32</v>
      </c>
      <c r="D91" s="191"/>
      <c r="E91" s="58"/>
      <c r="F91" s="192"/>
      <c r="G91" s="192"/>
      <c r="H91" s="192"/>
      <c r="I91" s="64"/>
      <c r="J91" s="64"/>
      <c r="K91" s="193"/>
      <c r="L91" s="263"/>
      <c r="M91" s="263"/>
      <c r="N91" s="58"/>
      <c r="O91" s="30"/>
      <c r="P91" s="58"/>
      <c r="Q91" s="30"/>
      <c r="R91" s="135"/>
      <c r="S91" s="217"/>
      <c r="T91" s="292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2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3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3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3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1" t="s">
        <v>78</v>
      </c>
      <c r="C93" s="27" t="s">
        <v>28</v>
      </c>
      <c r="D93" s="41"/>
      <c r="E93" s="57"/>
      <c r="F93" s="99"/>
      <c r="G93" s="99"/>
      <c r="H93" s="99"/>
      <c r="I93" s="62"/>
      <c r="J93" s="62"/>
      <c r="K93" s="63"/>
      <c r="L93" s="262"/>
      <c r="M93" s="262"/>
      <c r="N93" s="57"/>
      <c r="O93" s="28"/>
      <c r="P93" s="57"/>
      <c r="Q93" s="28"/>
      <c r="R93" s="134"/>
      <c r="S93" s="217"/>
      <c r="T93" s="291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91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2"/>
      <c r="C94" s="29" t="s">
        <v>29</v>
      </c>
      <c r="D94" s="191"/>
      <c r="E94" s="58"/>
      <c r="F94" s="192"/>
      <c r="G94" s="192"/>
      <c r="H94" s="192"/>
      <c r="I94" s="64"/>
      <c r="J94" s="64"/>
      <c r="K94" s="193"/>
      <c r="L94" s="263"/>
      <c r="M94" s="263"/>
      <c r="N94" s="58"/>
      <c r="O94" s="30"/>
      <c r="P94" s="58"/>
      <c r="Q94" s="30"/>
      <c r="R94" s="135"/>
      <c r="S94" s="217"/>
      <c r="T94" s="292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2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2"/>
      <c r="C95" s="29" t="s">
        <v>30</v>
      </c>
      <c r="D95" s="191"/>
      <c r="E95" s="58"/>
      <c r="F95" s="192"/>
      <c r="G95" s="192"/>
      <c r="H95" s="192"/>
      <c r="I95" s="64"/>
      <c r="J95" s="64"/>
      <c r="K95" s="193"/>
      <c r="L95" s="263"/>
      <c r="M95" s="263"/>
      <c r="N95" s="58"/>
      <c r="O95" s="30"/>
      <c r="P95" s="58"/>
      <c r="Q95" s="30"/>
      <c r="R95" s="135"/>
      <c r="S95" s="217"/>
      <c r="T95" s="292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2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2"/>
      <c r="C96" s="29" t="s">
        <v>32</v>
      </c>
      <c r="D96" s="191"/>
      <c r="E96" s="58"/>
      <c r="F96" s="192"/>
      <c r="G96" s="192"/>
      <c r="H96" s="192"/>
      <c r="I96" s="64"/>
      <c r="J96" s="64"/>
      <c r="K96" s="193"/>
      <c r="L96" s="263"/>
      <c r="M96" s="263"/>
      <c r="N96" s="58"/>
      <c r="O96" s="30"/>
      <c r="P96" s="58"/>
      <c r="Q96" s="30"/>
      <c r="R96" s="135"/>
      <c r="S96" s="217"/>
      <c r="T96" s="292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2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3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3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3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1" t="s">
        <v>79</v>
      </c>
      <c r="C98" s="27" t="s">
        <v>28</v>
      </c>
      <c r="D98" s="41"/>
      <c r="E98" s="57"/>
      <c r="F98" s="99"/>
      <c r="G98" s="99"/>
      <c r="H98" s="99"/>
      <c r="I98" s="62"/>
      <c r="J98" s="62"/>
      <c r="K98" s="63"/>
      <c r="L98" s="262"/>
      <c r="M98" s="262"/>
      <c r="N98" s="57"/>
      <c r="O98" s="28"/>
      <c r="P98" s="57"/>
      <c r="Q98" s="28"/>
      <c r="R98" s="134"/>
      <c r="S98" s="217"/>
      <c r="T98" s="291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91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2"/>
      <c r="C99" s="29" t="s">
        <v>29</v>
      </c>
      <c r="D99" s="191"/>
      <c r="E99" s="58"/>
      <c r="F99" s="192"/>
      <c r="G99" s="192"/>
      <c r="H99" s="192"/>
      <c r="I99" s="64"/>
      <c r="J99" s="64"/>
      <c r="K99" s="193"/>
      <c r="L99" s="263"/>
      <c r="M99" s="263"/>
      <c r="N99" s="58"/>
      <c r="O99" s="30"/>
      <c r="P99" s="58"/>
      <c r="Q99" s="30"/>
      <c r="R99" s="135"/>
      <c r="S99" s="217"/>
      <c r="T99" s="292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2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2"/>
      <c r="C100" s="29" t="s">
        <v>30</v>
      </c>
      <c r="D100" s="191"/>
      <c r="E100" s="58"/>
      <c r="F100" s="192"/>
      <c r="G100" s="192"/>
      <c r="H100" s="192"/>
      <c r="I100" s="64"/>
      <c r="J100" s="64"/>
      <c r="K100" s="193"/>
      <c r="L100" s="263"/>
      <c r="M100" s="263"/>
      <c r="N100" s="58"/>
      <c r="O100" s="30"/>
      <c r="P100" s="58"/>
      <c r="Q100" s="30"/>
      <c r="R100" s="135"/>
      <c r="S100" s="217"/>
      <c r="T100" s="292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2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2"/>
      <c r="C101" s="29" t="s">
        <v>32</v>
      </c>
      <c r="D101" s="191"/>
      <c r="E101" s="58"/>
      <c r="F101" s="192"/>
      <c r="G101" s="192"/>
      <c r="H101" s="192"/>
      <c r="I101" s="64"/>
      <c r="J101" s="64"/>
      <c r="K101" s="193"/>
      <c r="L101" s="263"/>
      <c r="M101" s="263"/>
      <c r="N101" s="58"/>
      <c r="O101" s="30"/>
      <c r="P101" s="58"/>
      <c r="Q101" s="30"/>
      <c r="R101" s="135"/>
      <c r="S101" s="217"/>
      <c r="T101" s="292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2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3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3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3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1" t="s">
        <v>80</v>
      </c>
      <c r="C103" s="27" t="s">
        <v>28</v>
      </c>
      <c r="D103" s="41"/>
      <c r="E103" s="57"/>
      <c r="F103" s="99"/>
      <c r="G103" s="99"/>
      <c r="H103" s="99"/>
      <c r="I103" s="62"/>
      <c r="J103" s="62"/>
      <c r="K103" s="63"/>
      <c r="L103" s="262"/>
      <c r="M103" s="262"/>
      <c r="N103" s="57"/>
      <c r="O103" s="28"/>
      <c r="P103" s="57"/>
      <c r="Q103" s="28"/>
      <c r="R103" s="134"/>
      <c r="S103" s="217"/>
      <c r="T103" s="291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91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2"/>
      <c r="C104" s="29" t="s">
        <v>29</v>
      </c>
      <c r="D104" s="191"/>
      <c r="E104" s="58"/>
      <c r="F104" s="192"/>
      <c r="G104" s="192"/>
      <c r="H104" s="192"/>
      <c r="I104" s="64"/>
      <c r="J104" s="64"/>
      <c r="K104" s="193"/>
      <c r="L104" s="263"/>
      <c r="M104" s="263"/>
      <c r="N104" s="58"/>
      <c r="O104" s="30"/>
      <c r="P104" s="58"/>
      <c r="Q104" s="30"/>
      <c r="R104" s="135"/>
      <c r="S104" s="217"/>
      <c r="T104" s="292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2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2"/>
      <c r="C105" s="29" t="s">
        <v>30</v>
      </c>
      <c r="D105" s="191"/>
      <c r="E105" s="58"/>
      <c r="F105" s="192"/>
      <c r="G105" s="192"/>
      <c r="H105" s="192"/>
      <c r="I105" s="64"/>
      <c r="J105" s="64"/>
      <c r="K105" s="193"/>
      <c r="L105" s="263"/>
      <c r="M105" s="263"/>
      <c r="N105" s="58"/>
      <c r="O105" s="30"/>
      <c r="P105" s="58"/>
      <c r="Q105" s="30"/>
      <c r="R105" s="135"/>
      <c r="S105" s="217"/>
      <c r="T105" s="292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2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2"/>
      <c r="C106" s="29" t="s">
        <v>32</v>
      </c>
      <c r="D106" s="191"/>
      <c r="E106" s="58"/>
      <c r="F106" s="192"/>
      <c r="G106" s="192"/>
      <c r="H106" s="192"/>
      <c r="I106" s="64"/>
      <c r="J106" s="64"/>
      <c r="K106" s="193"/>
      <c r="L106" s="263"/>
      <c r="M106" s="263"/>
      <c r="N106" s="58"/>
      <c r="O106" s="30"/>
      <c r="P106" s="58"/>
      <c r="Q106" s="30"/>
      <c r="R106" s="135"/>
      <c r="S106" s="217"/>
      <c r="T106" s="292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2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3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3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3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1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91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91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2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2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2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2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2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2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2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2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2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3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3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3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1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91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91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2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2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2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2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2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2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2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2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2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3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3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3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1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91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91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2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2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2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2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2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2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2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2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2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3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3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3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1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91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91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2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2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2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2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2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2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2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2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2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3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3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3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1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91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91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2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2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2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2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2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2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2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2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2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3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3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3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1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91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91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2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2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2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2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2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2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2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2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2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3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3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3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1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91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91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2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2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2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2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2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2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2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2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2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3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3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3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1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91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91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2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2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2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2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2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2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2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2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2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3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3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3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1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91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91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2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2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2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2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2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2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2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2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2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3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3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3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1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91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91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2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2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2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2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2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2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2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2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2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3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3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3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1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91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91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2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2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2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2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2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2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2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2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2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3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3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3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1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91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91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2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2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2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2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2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2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2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2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2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3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3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3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1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91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91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2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2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2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2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2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2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2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2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2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3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3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3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1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91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91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2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2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2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2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2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2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2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2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2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3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3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3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1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91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91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2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2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2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2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2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2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2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2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2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3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3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3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1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91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91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2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2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2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2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2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2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2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2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2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3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3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3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1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91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91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2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2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2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2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2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2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2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2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2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3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3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3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1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91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91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2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2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2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2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2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2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2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2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2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3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3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3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1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91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91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2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2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2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2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2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2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2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2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2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3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3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3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1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91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91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2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2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2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2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2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2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2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2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2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3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3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3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1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91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91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2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2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2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2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2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2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2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2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2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3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3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3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1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91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91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2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2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2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2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2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2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2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2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2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3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3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3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1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91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91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2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2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2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2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2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2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2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2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2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3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3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3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1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91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91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2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2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2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2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2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2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2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2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2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3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3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3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1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91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91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2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2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2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2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2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2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2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2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2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3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3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3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1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91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91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2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2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2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2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2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2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2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2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2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3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3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3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1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91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91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2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2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2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2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2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2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2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2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2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3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3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3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1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91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91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2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2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2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2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2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2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2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2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2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3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3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3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1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91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91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2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2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2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2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2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2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2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2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2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3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3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3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1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91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91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2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2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2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2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2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2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2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2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2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3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3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3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1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91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91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2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2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2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2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2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2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2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2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2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3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3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3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1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91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91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2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2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2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2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2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2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2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2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2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3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3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3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1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91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91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2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2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2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2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2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2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2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2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2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3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3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3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1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91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91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2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2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2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2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2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2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2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2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2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3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3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3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1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91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91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2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2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2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2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2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2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2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2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2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3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3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3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1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91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91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2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2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2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2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2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2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2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2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2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3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3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3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1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91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91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2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2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2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2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2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2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2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2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2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3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3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3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1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91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91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2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2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2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2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2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2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2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2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2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3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3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3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1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91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91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2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2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2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2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2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2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2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2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2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3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3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3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1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91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91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2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2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2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2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2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2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2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2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2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3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3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3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1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91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91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2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2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2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2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2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2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2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2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2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3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3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3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1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91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91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2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2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2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2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2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2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2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2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2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3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3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3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1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91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91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2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2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2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2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2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2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2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2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2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3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3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3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1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91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91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2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2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2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2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2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2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2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2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2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3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3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3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1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91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91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2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2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2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2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2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2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2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2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2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3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3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3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1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91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91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2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2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2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2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2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2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2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2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2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3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3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3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1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91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91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2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2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2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2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2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2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2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2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2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3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3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3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1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91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91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2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2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2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2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2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2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2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2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2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3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3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3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1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91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91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2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2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2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2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2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2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2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2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2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3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3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3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1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91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91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2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2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2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2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2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2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2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2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2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3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3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3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1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91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91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2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2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2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2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2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2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2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2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2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3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3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3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1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91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91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2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2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2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2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2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2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2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2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2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3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3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3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1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91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91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2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2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2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2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2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2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2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2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2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3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3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3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1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91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91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2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2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2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2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2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2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2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2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2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3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3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3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1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91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91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2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2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2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2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2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2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2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2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2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3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3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3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1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91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91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2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2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2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2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2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2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2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2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2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3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3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3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1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91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91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2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2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2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2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2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2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2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2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2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3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3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3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1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91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91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2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2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2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2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2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2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2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2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2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3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3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3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1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91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91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2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2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2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2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2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2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2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2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2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3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3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3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1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91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91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2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2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2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2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2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2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2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2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2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3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3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3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1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91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91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2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2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2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2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2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2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2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2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2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3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3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3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1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91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91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2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2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2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2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2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2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2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2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2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3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3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3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1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91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91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2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2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2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2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2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2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2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2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2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3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3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3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1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91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91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2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2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2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2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2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2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2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2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2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3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3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3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1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91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91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2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2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2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2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2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2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2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2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2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3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3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3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1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91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91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2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2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2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2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2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2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2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2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2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3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3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3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1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91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91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2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2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2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2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2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2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2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2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2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3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3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3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1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91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91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2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2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2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2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2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2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2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2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2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3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3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3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1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91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91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2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2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2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2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2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2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2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2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2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3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3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3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1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91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91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2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2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2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2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2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2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2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2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2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3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3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3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1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91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91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2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2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2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2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2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2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2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2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2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3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3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3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1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91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91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2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2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2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2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2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2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2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2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2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3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3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3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1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91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91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2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2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2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2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2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2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2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2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2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3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3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3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1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91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91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2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2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2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2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2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2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2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2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2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3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3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3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1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91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91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2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2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2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2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2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2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2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2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2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3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3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3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1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91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91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2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2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2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2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2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2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2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2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2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3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3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3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1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91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91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2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2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2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2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2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2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2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2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2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3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3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3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1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91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91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2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2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2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2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2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2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2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2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2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3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3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3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1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91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91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2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2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2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2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2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2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2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2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2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3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3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3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1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91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91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2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2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2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2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2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2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2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2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2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3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3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3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1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91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91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2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2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2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2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2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2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2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2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2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3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3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3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1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91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91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2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2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2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2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2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2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2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2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2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3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3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3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1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91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91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2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2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2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2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2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2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2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2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2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3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3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3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1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91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91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2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2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2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2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2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2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2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2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2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3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3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3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1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91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91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2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2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2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2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2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2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2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2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2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3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3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3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1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91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91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2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2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2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2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2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2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2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2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2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3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3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3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1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91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91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2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2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2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2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2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2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2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2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2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3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3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3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1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91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91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2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2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2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2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2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2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2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2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2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3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3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3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1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91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91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2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2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2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2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2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2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2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2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2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3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3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3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1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91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91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2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2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2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2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2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2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2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2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2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3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3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3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1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91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91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2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2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2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2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2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2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2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2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2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3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3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3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1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91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91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2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2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2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2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2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2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2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2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2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3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3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3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1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91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91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2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2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2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2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2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2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2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2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2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3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3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3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1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91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91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2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2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2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2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2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2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2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2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2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3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3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3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1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91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91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2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2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2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2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2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2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2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2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2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3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3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3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1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91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91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2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2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2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2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2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2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2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2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2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3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3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3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1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91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91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2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2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2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2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2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2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2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2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2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3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3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3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1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91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91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2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2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2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2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2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2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2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2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2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3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3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3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1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91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91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2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2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2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2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2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2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2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2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2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3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3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3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1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91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91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2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2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2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2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2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2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2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2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2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3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3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3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1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91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91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2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2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2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2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2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2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2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2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2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3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3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3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1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91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91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2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2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2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2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2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2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2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2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2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3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3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3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1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91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91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2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2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2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2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2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2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2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2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2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3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3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3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1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91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91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2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2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2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2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2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2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2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2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2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3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3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3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1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91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91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2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2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2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2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2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2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2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2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2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3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3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3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1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91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91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2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2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2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2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2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2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2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2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2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3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3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3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1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8">
        <f t="shared" si="59"/>
        <v>0</v>
      </c>
      <c r="H641" s="138">
        <f t="shared" si="59"/>
        <v>0</v>
      </c>
      <c r="I641" s="138">
        <f t="shared" si="59"/>
        <v>0</v>
      </c>
      <c r="J641" s="138">
        <f t="shared" si="59"/>
        <v>0</v>
      </c>
      <c r="K641" s="112"/>
      <c r="L641" s="112"/>
      <c r="M641" s="112"/>
      <c r="N641" s="112"/>
      <c r="O641" s="267"/>
      <c r="P641" s="112"/>
      <c r="Q641" s="113"/>
      <c r="R641" s="114"/>
      <c r="T641" s="291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2"/>
      <c r="C642" s="29" t="s">
        <v>29</v>
      </c>
      <c r="D642" s="110"/>
      <c r="E642" s="268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5"/>
      <c r="L642" s="115"/>
      <c r="M642" s="115"/>
      <c r="N642" s="115"/>
      <c r="O642" s="269"/>
      <c r="P642" s="115"/>
      <c r="Q642" s="116"/>
      <c r="R642" s="117"/>
      <c r="T642" s="292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2"/>
      <c r="C643" s="29" t="s">
        <v>30</v>
      </c>
      <c r="D643" s="110"/>
      <c r="E643" s="268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5"/>
      <c r="L643" s="115"/>
      <c r="M643" s="115"/>
      <c r="N643" s="115"/>
      <c r="O643" s="269"/>
      <c r="P643" s="115"/>
      <c r="Q643" s="116"/>
      <c r="R643" s="117"/>
      <c r="T643" s="292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2"/>
      <c r="C644" s="29" t="s">
        <v>32</v>
      </c>
      <c r="D644" s="110"/>
      <c r="E644" s="268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5"/>
      <c r="L644" s="115"/>
      <c r="M644" s="115"/>
      <c r="N644" s="115"/>
      <c r="O644" s="269"/>
      <c r="P644" s="115"/>
      <c r="Q644" s="116"/>
      <c r="R644" s="117"/>
      <c r="T644" s="292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3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3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8">
        <f t="shared" si="61"/>
        <v>0</v>
      </c>
      <c r="H646" s="138">
        <f t="shared" si="61"/>
        <v>0</v>
      </c>
      <c r="I646" s="138">
        <f t="shared" si="61"/>
        <v>0</v>
      </c>
      <c r="J646" s="138">
        <f t="shared" si="61"/>
        <v>0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2"/>
      <c r="C647" s="29" t="s">
        <v>29</v>
      </c>
      <c r="D647" s="110"/>
      <c r="E647" s="268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5"/>
      <c r="L647" s="115"/>
      <c r="M647" s="115"/>
      <c r="N647" s="115"/>
      <c r="O647" s="269"/>
      <c r="P647" s="115"/>
      <c r="Q647" s="116"/>
      <c r="R647" s="117"/>
      <c r="T647" s="292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2"/>
      <c r="C648" s="29" t="s">
        <v>30</v>
      </c>
      <c r="D648" s="110"/>
      <c r="E648" s="268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5"/>
      <c r="L648" s="115"/>
      <c r="M648" s="115"/>
      <c r="N648" s="115"/>
      <c r="O648" s="269"/>
      <c r="P648" s="115"/>
      <c r="Q648" s="116"/>
      <c r="R648" s="117"/>
      <c r="T648" s="292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2"/>
      <c r="C649" s="29" t="s">
        <v>32</v>
      </c>
      <c r="D649" s="110"/>
      <c r="E649" s="268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5"/>
      <c r="L649" s="115"/>
      <c r="M649" s="115"/>
      <c r="N649" s="115"/>
      <c r="O649" s="269"/>
      <c r="P649" s="115"/>
      <c r="Q649" s="116"/>
      <c r="R649" s="117"/>
      <c r="T649" s="292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3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3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0</v>
      </c>
      <c r="G651" s="138">
        <f t="shared" si="63"/>
        <v>0</v>
      </c>
      <c r="H651" s="138">
        <f t="shared" si="63"/>
        <v>0</v>
      </c>
      <c r="I651" s="138">
        <f t="shared" si="63"/>
        <v>0</v>
      </c>
      <c r="J651" s="138">
        <f t="shared" si="63"/>
        <v>0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2"/>
      <c r="C652" s="29" t="s">
        <v>29</v>
      </c>
      <c r="D652" s="110"/>
      <c r="E652" s="268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5"/>
      <c r="L652" s="115"/>
      <c r="M652" s="115"/>
      <c r="N652" s="115"/>
      <c r="O652" s="269"/>
      <c r="P652" s="115"/>
      <c r="Q652" s="116"/>
      <c r="R652" s="117"/>
      <c r="T652" s="292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2"/>
      <c r="C653" s="29" t="s">
        <v>30</v>
      </c>
      <c r="D653" s="110"/>
      <c r="E653" s="268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5"/>
      <c r="L653" s="115"/>
      <c r="M653" s="115"/>
      <c r="N653" s="115"/>
      <c r="O653" s="269"/>
      <c r="P653" s="115"/>
      <c r="Q653" s="116"/>
      <c r="R653" s="117"/>
      <c r="T653" s="292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2"/>
      <c r="C654" s="29" t="s">
        <v>32</v>
      </c>
      <c r="D654" s="110"/>
      <c r="E654" s="268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5"/>
      <c r="L654" s="115"/>
      <c r="M654" s="115"/>
      <c r="N654" s="115"/>
      <c r="O654" s="269"/>
      <c r="P654" s="115"/>
      <c r="Q654" s="116"/>
      <c r="R654" s="117"/>
      <c r="T654" s="292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3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3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12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4" t="str">
        <f>$B$2</f>
        <v>breakfast_semitrack</v>
      </c>
      <c r="U2" s="295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6"/>
      <c r="AK2" s="216"/>
      <c r="AL2" s="164" t="str">
        <f>$B$2</f>
        <v>breakfast_semitrack</v>
      </c>
      <c r="AM2" s="302" t="s">
        <v>44</v>
      </c>
      <c r="AN2" s="273"/>
      <c r="AO2" s="273"/>
      <c r="AP2" s="273"/>
      <c r="AQ2" s="296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10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10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7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3" t="e">
        <f t="shared" si="0"/>
        <v>#DIV/0!</v>
      </c>
      <c r="J5" s="93" t="e">
        <f t="shared" si="0"/>
        <v>#DIV/0!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2"/>
      <c r="C6" s="29" t="s">
        <v>29</v>
      </c>
      <c r="D6" s="30"/>
      <c r="E6" s="159">
        <f>E24</f>
        <v>0</v>
      </c>
      <c r="F6" s="93" t="e">
        <f t="shared" si="0"/>
        <v>#DIV/0!</v>
      </c>
      <c r="G6" s="93" t="e">
        <f t="shared" si="0"/>
        <v>#DIV/0!</v>
      </c>
      <c r="H6" s="93" t="e">
        <f t="shared" si="0"/>
        <v>#DIV/0!</v>
      </c>
      <c r="I6" s="93" t="e">
        <f t="shared" si="0"/>
        <v>#DIV/0!</v>
      </c>
      <c r="J6" s="93" t="e">
        <f t="shared" si="0"/>
        <v>#DIV/0!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2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2"/>
      <c r="C7" s="29" t="s">
        <v>30</v>
      </c>
      <c r="D7" s="30"/>
      <c r="E7" s="159">
        <f>E25</f>
        <v>0</v>
      </c>
      <c r="F7" s="93" t="e">
        <f t="shared" si="0"/>
        <v>#DIV/0!</v>
      </c>
      <c r="G7" s="93" t="e">
        <f t="shared" si="0"/>
        <v>#DIV/0!</v>
      </c>
      <c r="H7" s="93" t="e">
        <f t="shared" si="0"/>
        <v>#DIV/0!</v>
      </c>
      <c r="I7" s="93" t="e">
        <f t="shared" si="0"/>
        <v>#DIV/0!</v>
      </c>
      <c r="J7" s="93" t="e">
        <f t="shared" si="0"/>
        <v>#DIV/0!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2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2"/>
      <c r="C8" s="29" t="s">
        <v>32</v>
      </c>
      <c r="D8" s="30"/>
      <c r="E8" s="159">
        <f>E26</f>
        <v>0</v>
      </c>
      <c r="F8" s="93" t="e">
        <f t="shared" si="0"/>
        <v>#DIV/0!</v>
      </c>
      <c r="G8" s="93" t="e">
        <f t="shared" si="0"/>
        <v>#DIV/0!</v>
      </c>
      <c r="H8" s="93" t="e">
        <f t="shared" si="0"/>
        <v>#DIV/0!</v>
      </c>
      <c r="I8" s="93" t="e">
        <f t="shared" si="0"/>
        <v>#DIV/0!</v>
      </c>
      <c r="J8" s="93" t="e">
        <f t="shared" si="0"/>
        <v>#DIV/0!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2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3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2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5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6"/>
      <c r="T13" s="23"/>
      <c r="U13" s="295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6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298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/>
      <c r="F16" s="169"/>
      <c r="G16" s="169"/>
      <c r="H16" s="169"/>
      <c r="I16" s="169"/>
      <c r="J16" s="169"/>
      <c r="K16" s="62"/>
      <c r="L16" s="62"/>
      <c r="M16" s="62"/>
      <c r="N16" s="57"/>
      <c r="O16" s="257"/>
      <c r="P16" s="132"/>
      <c r="Q16" s="132"/>
      <c r="R16" s="145"/>
      <c r="S16" s="217"/>
      <c r="T16" s="307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2"/>
      <c r="C17" s="29" t="s">
        <v>29</v>
      </c>
      <c r="D17" s="30"/>
      <c r="E17" s="146"/>
      <c r="F17" s="170"/>
      <c r="G17" s="170"/>
      <c r="H17" s="170"/>
      <c r="I17" s="170"/>
      <c r="J17" s="170"/>
      <c r="K17" s="64"/>
      <c r="L17" s="64"/>
      <c r="M17" s="64"/>
      <c r="N17" s="58"/>
      <c r="O17" s="243"/>
      <c r="P17" s="147"/>
      <c r="Q17" s="147"/>
      <c r="R17" s="148"/>
      <c r="S17" s="217"/>
      <c r="T17" s="292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2"/>
      <c r="C18" s="29" t="s">
        <v>30</v>
      </c>
      <c r="D18" s="30"/>
      <c r="E18" s="146"/>
      <c r="F18" s="170"/>
      <c r="G18" s="170"/>
      <c r="H18" s="170"/>
      <c r="I18" s="170"/>
      <c r="J18" s="170"/>
      <c r="K18" s="64"/>
      <c r="L18" s="64"/>
      <c r="M18" s="64"/>
      <c r="N18" s="58"/>
      <c r="O18" s="243"/>
      <c r="P18" s="147"/>
      <c r="Q18" s="147"/>
      <c r="R18" s="148"/>
      <c r="S18" s="217"/>
      <c r="T18" s="292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2"/>
      <c r="C19" s="29" t="s">
        <v>32</v>
      </c>
      <c r="D19" s="30"/>
      <c r="E19" s="146"/>
      <c r="F19" s="170"/>
      <c r="G19" s="170"/>
      <c r="H19" s="170"/>
      <c r="I19" s="170"/>
      <c r="J19" s="170"/>
      <c r="K19" s="64"/>
      <c r="L19" s="64"/>
      <c r="M19" s="64"/>
      <c r="N19" s="58"/>
      <c r="O19" s="243"/>
      <c r="P19" s="147"/>
      <c r="Q19" s="147"/>
      <c r="R19" s="148"/>
      <c r="S19" s="217"/>
      <c r="T19" s="292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2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2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299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299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89"/>
      <c r="AW21" s="290"/>
      <c r="AX21" s="290"/>
    </row>
    <row r="22" spans="2:56" s="8" customFormat="1" ht="13.5" customHeight="1" thickBot="1" x14ac:dyDescent="0.3">
      <c r="B22" s="300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0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30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2"/>
      <c r="C24" s="29" t="s">
        <v>29</v>
      </c>
      <c r="D24" s="30"/>
      <c r="E24" s="130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2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2"/>
      <c r="C25" s="29" t="s">
        <v>30</v>
      </c>
      <c r="D25" s="30"/>
      <c r="E25" s="130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2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2"/>
      <c r="C26" s="29" t="s">
        <v>32</v>
      </c>
      <c r="D26" s="30"/>
      <c r="E26" s="130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2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3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3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5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6"/>
      <c r="S31" s="217"/>
      <c r="T31" s="23"/>
      <c r="U31" s="295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6"/>
      <c r="AK31" s="216"/>
      <c r="AL31" s="216"/>
      <c r="AM31" s="309" t="s">
        <v>64</v>
      </c>
      <c r="AN31" s="282"/>
      <c r="AO31" s="282"/>
      <c r="AP31" s="282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4" t="s">
        <v>66</v>
      </c>
      <c r="C33" s="27" t="s">
        <v>28</v>
      </c>
      <c r="D33" s="41"/>
      <c r="E33" s="57"/>
      <c r="F33" s="99"/>
      <c r="G33" s="99"/>
      <c r="H33" s="99"/>
      <c r="I33" s="62"/>
      <c r="J33" s="62"/>
      <c r="K33" s="63"/>
      <c r="L33" s="262"/>
      <c r="M33" s="262"/>
      <c r="N33" s="57"/>
      <c r="O33" s="28"/>
      <c r="P33" s="57"/>
      <c r="Q33" s="28"/>
      <c r="R33" s="134"/>
      <c r="S33" s="217"/>
      <c r="T33" s="294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4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2"/>
      <c r="C34" s="29" t="s">
        <v>29</v>
      </c>
      <c r="D34" s="191"/>
      <c r="E34" s="58"/>
      <c r="F34" s="192"/>
      <c r="G34" s="192"/>
      <c r="H34" s="192"/>
      <c r="I34" s="64"/>
      <c r="J34" s="64"/>
      <c r="K34" s="193"/>
      <c r="L34" s="263"/>
      <c r="M34" s="263"/>
      <c r="N34" s="58"/>
      <c r="O34" s="30"/>
      <c r="P34" s="58"/>
      <c r="Q34" s="30"/>
      <c r="R34" s="135"/>
      <c r="S34" s="217"/>
      <c r="T34" s="292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2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2"/>
      <c r="C35" s="29" t="s">
        <v>30</v>
      </c>
      <c r="D35" s="191"/>
      <c r="E35" s="58"/>
      <c r="F35" s="192"/>
      <c r="G35" s="192"/>
      <c r="H35" s="192"/>
      <c r="I35" s="64"/>
      <c r="J35" s="64"/>
      <c r="K35" s="193"/>
      <c r="L35" s="263"/>
      <c r="M35" s="263"/>
      <c r="N35" s="58"/>
      <c r="O35" s="30"/>
      <c r="P35" s="58"/>
      <c r="Q35" s="30"/>
      <c r="R35" s="135"/>
      <c r="S35" s="217"/>
      <c r="T35" s="292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2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2"/>
      <c r="C36" s="29" t="s">
        <v>32</v>
      </c>
      <c r="D36" s="191"/>
      <c r="E36" s="58"/>
      <c r="F36" s="192"/>
      <c r="G36" s="192"/>
      <c r="H36" s="192"/>
      <c r="I36" s="64"/>
      <c r="J36" s="64"/>
      <c r="K36" s="193"/>
      <c r="L36" s="263"/>
      <c r="M36" s="263"/>
      <c r="N36" s="58"/>
      <c r="O36" s="30"/>
      <c r="P36" s="58"/>
      <c r="Q36" s="30"/>
      <c r="R36" s="135"/>
      <c r="S36" s="217"/>
      <c r="T36" s="292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2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2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2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2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4" t="s">
        <v>67</v>
      </c>
      <c r="C38" s="27" t="s">
        <v>28</v>
      </c>
      <c r="D38" s="41"/>
      <c r="E38" s="57"/>
      <c r="F38" s="99"/>
      <c r="G38" s="99"/>
      <c r="H38" s="99"/>
      <c r="I38" s="62"/>
      <c r="J38" s="62"/>
      <c r="K38" s="63"/>
      <c r="L38" s="262"/>
      <c r="M38" s="262"/>
      <c r="N38" s="57"/>
      <c r="O38" s="28"/>
      <c r="P38" s="57"/>
      <c r="Q38" s="28"/>
      <c r="R38" s="134"/>
      <c r="S38" s="217"/>
      <c r="T38" s="294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4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2"/>
      <c r="C39" s="29" t="s">
        <v>29</v>
      </c>
      <c r="D39" s="191"/>
      <c r="E39" s="58"/>
      <c r="F39" s="192"/>
      <c r="G39" s="192"/>
      <c r="H39" s="192"/>
      <c r="I39" s="64"/>
      <c r="J39" s="64"/>
      <c r="K39" s="193"/>
      <c r="L39" s="263"/>
      <c r="M39" s="263"/>
      <c r="N39" s="58"/>
      <c r="O39" s="30"/>
      <c r="P39" s="58"/>
      <c r="Q39" s="30"/>
      <c r="R39" s="135"/>
      <c r="S39" s="217"/>
      <c r="T39" s="292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2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2"/>
      <c r="C40" s="29" t="s">
        <v>30</v>
      </c>
      <c r="D40" s="191"/>
      <c r="E40" s="58"/>
      <c r="F40" s="192"/>
      <c r="G40" s="192"/>
      <c r="H40" s="192"/>
      <c r="I40" s="64"/>
      <c r="J40" s="64"/>
      <c r="K40" s="193"/>
      <c r="L40" s="263"/>
      <c r="M40" s="263"/>
      <c r="N40" s="58"/>
      <c r="O40" s="30"/>
      <c r="P40" s="58"/>
      <c r="Q40" s="30"/>
      <c r="R40" s="135"/>
      <c r="S40" s="217"/>
      <c r="T40" s="292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2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2"/>
      <c r="C41" s="29" t="s">
        <v>32</v>
      </c>
      <c r="D41" s="191"/>
      <c r="E41" s="58"/>
      <c r="F41" s="192"/>
      <c r="G41" s="192"/>
      <c r="H41" s="192"/>
      <c r="I41" s="64"/>
      <c r="J41" s="64"/>
      <c r="K41" s="193"/>
      <c r="L41" s="263"/>
      <c r="M41" s="263"/>
      <c r="N41" s="58"/>
      <c r="O41" s="30"/>
      <c r="P41" s="58"/>
      <c r="Q41" s="30"/>
      <c r="R41" s="135"/>
      <c r="S41" s="217"/>
      <c r="T41" s="292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2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2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2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2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4" t="s">
        <v>68</v>
      </c>
      <c r="C43" s="27" t="s">
        <v>28</v>
      </c>
      <c r="D43" s="41"/>
      <c r="E43" s="57"/>
      <c r="F43" s="99"/>
      <c r="G43" s="99"/>
      <c r="H43" s="99"/>
      <c r="I43" s="62"/>
      <c r="J43" s="62"/>
      <c r="K43" s="63"/>
      <c r="L43" s="262"/>
      <c r="M43" s="262"/>
      <c r="N43" s="57"/>
      <c r="O43" s="28"/>
      <c r="P43" s="57"/>
      <c r="Q43" s="28"/>
      <c r="R43" s="134"/>
      <c r="S43" s="217"/>
      <c r="T43" s="294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4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2"/>
      <c r="C44" s="29" t="s">
        <v>29</v>
      </c>
      <c r="D44" s="191"/>
      <c r="E44" s="58"/>
      <c r="F44" s="192"/>
      <c r="G44" s="192"/>
      <c r="H44" s="192"/>
      <c r="I44" s="64"/>
      <c r="J44" s="64"/>
      <c r="K44" s="193"/>
      <c r="L44" s="263"/>
      <c r="M44" s="263"/>
      <c r="N44" s="58"/>
      <c r="O44" s="30"/>
      <c r="P44" s="58"/>
      <c r="Q44" s="30"/>
      <c r="R44" s="135"/>
      <c r="S44" s="217"/>
      <c r="T44" s="292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2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2"/>
      <c r="C45" s="29" t="s">
        <v>30</v>
      </c>
      <c r="D45" s="191"/>
      <c r="E45" s="58"/>
      <c r="F45" s="192"/>
      <c r="G45" s="192"/>
      <c r="H45" s="192"/>
      <c r="I45" s="64"/>
      <c r="J45" s="64"/>
      <c r="K45" s="193"/>
      <c r="L45" s="263"/>
      <c r="M45" s="263"/>
      <c r="N45" s="58"/>
      <c r="O45" s="30"/>
      <c r="P45" s="58"/>
      <c r="Q45" s="30"/>
      <c r="R45" s="135"/>
      <c r="S45" s="217"/>
      <c r="T45" s="292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2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2"/>
      <c r="C46" s="29" t="s">
        <v>32</v>
      </c>
      <c r="D46" s="191"/>
      <c r="E46" s="58"/>
      <c r="F46" s="192"/>
      <c r="G46" s="192"/>
      <c r="H46" s="192"/>
      <c r="I46" s="64"/>
      <c r="J46" s="64"/>
      <c r="K46" s="193"/>
      <c r="L46" s="263"/>
      <c r="M46" s="263"/>
      <c r="N46" s="58"/>
      <c r="O46" s="30"/>
      <c r="P46" s="58"/>
      <c r="Q46" s="30"/>
      <c r="R46" s="135"/>
      <c r="S46" s="217"/>
      <c r="T46" s="292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2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2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2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2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4" t="s">
        <v>69</v>
      </c>
      <c r="C48" s="27" t="s">
        <v>28</v>
      </c>
      <c r="D48" s="41"/>
      <c r="E48" s="57"/>
      <c r="F48" s="99"/>
      <c r="G48" s="99"/>
      <c r="H48" s="99"/>
      <c r="I48" s="62"/>
      <c r="J48" s="62"/>
      <c r="K48" s="63"/>
      <c r="L48" s="262"/>
      <c r="M48" s="262"/>
      <c r="N48" s="57"/>
      <c r="O48" s="28"/>
      <c r="P48" s="57"/>
      <c r="Q48" s="28"/>
      <c r="R48" s="134"/>
      <c r="S48" s="217"/>
      <c r="T48" s="294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4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2"/>
      <c r="C49" s="29" t="s">
        <v>29</v>
      </c>
      <c r="D49" s="191"/>
      <c r="E49" s="58"/>
      <c r="F49" s="192"/>
      <c r="G49" s="192"/>
      <c r="H49" s="192"/>
      <c r="I49" s="64"/>
      <c r="J49" s="64"/>
      <c r="K49" s="193"/>
      <c r="L49" s="263"/>
      <c r="M49" s="263"/>
      <c r="N49" s="58"/>
      <c r="O49" s="30"/>
      <c r="P49" s="58"/>
      <c r="Q49" s="30"/>
      <c r="R49" s="135"/>
      <c r="S49" s="217"/>
      <c r="T49" s="292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2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2"/>
      <c r="C50" s="29" t="s">
        <v>30</v>
      </c>
      <c r="D50" s="191"/>
      <c r="E50" s="58"/>
      <c r="F50" s="192"/>
      <c r="G50" s="192"/>
      <c r="H50" s="192"/>
      <c r="I50" s="64"/>
      <c r="J50" s="64"/>
      <c r="K50" s="193"/>
      <c r="L50" s="263"/>
      <c r="M50" s="263"/>
      <c r="N50" s="58"/>
      <c r="O50" s="30"/>
      <c r="P50" s="58"/>
      <c r="Q50" s="30"/>
      <c r="R50" s="135"/>
      <c r="S50" s="217"/>
      <c r="T50" s="292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2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2"/>
      <c r="C51" s="29" t="s">
        <v>32</v>
      </c>
      <c r="D51" s="191"/>
      <c r="E51" s="58"/>
      <c r="F51" s="192"/>
      <c r="G51" s="192"/>
      <c r="H51" s="192"/>
      <c r="I51" s="64"/>
      <c r="J51" s="64"/>
      <c r="K51" s="193"/>
      <c r="L51" s="263"/>
      <c r="M51" s="263"/>
      <c r="N51" s="58"/>
      <c r="O51" s="30"/>
      <c r="P51" s="58"/>
      <c r="Q51" s="30"/>
      <c r="R51" s="135"/>
      <c r="S51" s="217"/>
      <c r="T51" s="292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2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2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2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2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4" t="s">
        <v>70</v>
      </c>
      <c r="C53" s="27" t="s">
        <v>28</v>
      </c>
      <c r="D53" s="41"/>
      <c r="E53" s="57"/>
      <c r="F53" s="99"/>
      <c r="G53" s="99"/>
      <c r="H53" s="99"/>
      <c r="I53" s="62"/>
      <c r="J53" s="62"/>
      <c r="K53" s="63"/>
      <c r="L53" s="262"/>
      <c r="M53" s="262"/>
      <c r="N53" s="57"/>
      <c r="O53" s="28"/>
      <c r="P53" s="57"/>
      <c r="Q53" s="28"/>
      <c r="R53" s="134"/>
      <c r="S53" s="217"/>
      <c r="T53" s="294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4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2"/>
      <c r="C54" s="29" t="s">
        <v>29</v>
      </c>
      <c r="D54" s="191"/>
      <c r="E54" s="58"/>
      <c r="F54" s="192"/>
      <c r="G54" s="192"/>
      <c r="H54" s="192"/>
      <c r="I54" s="64"/>
      <c r="J54" s="64"/>
      <c r="K54" s="193"/>
      <c r="L54" s="263"/>
      <c r="M54" s="263"/>
      <c r="N54" s="58"/>
      <c r="O54" s="30"/>
      <c r="P54" s="58"/>
      <c r="Q54" s="30"/>
      <c r="R54" s="135"/>
      <c r="S54" s="217"/>
      <c r="T54" s="292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2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2"/>
      <c r="C55" s="29" t="s">
        <v>30</v>
      </c>
      <c r="D55" s="191"/>
      <c r="E55" s="58"/>
      <c r="F55" s="192"/>
      <c r="G55" s="192"/>
      <c r="H55" s="192"/>
      <c r="I55" s="64"/>
      <c r="J55" s="64"/>
      <c r="K55" s="193"/>
      <c r="L55" s="263"/>
      <c r="M55" s="263"/>
      <c r="N55" s="58"/>
      <c r="O55" s="30"/>
      <c r="P55" s="58"/>
      <c r="Q55" s="30"/>
      <c r="R55" s="135"/>
      <c r="S55" s="217"/>
      <c r="T55" s="292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2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2"/>
      <c r="C56" s="29" t="s">
        <v>32</v>
      </c>
      <c r="D56" s="191"/>
      <c r="E56" s="58"/>
      <c r="F56" s="192"/>
      <c r="G56" s="192"/>
      <c r="H56" s="192"/>
      <c r="I56" s="64"/>
      <c r="J56" s="64"/>
      <c r="K56" s="193"/>
      <c r="L56" s="263"/>
      <c r="M56" s="263"/>
      <c r="N56" s="58"/>
      <c r="O56" s="30"/>
      <c r="P56" s="58"/>
      <c r="Q56" s="30"/>
      <c r="R56" s="135"/>
      <c r="S56" s="217"/>
      <c r="T56" s="292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2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2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2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2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4" t="s">
        <v>71</v>
      </c>
      <c r="C58" s="27" t="s">
        <v>28</v>
      </c>
      <c r="D58" s="41"/>
      <c r="E58" s="57"/>
      <c r="F58" s="99"/>
      <c r="G58" s="99"/>
      <c r="H58" s="99"/>
      <c r="I58" s="62"/>
      <c r="J58" s="62"/>
      <c r="K58" s="63"/>
      <c r="L58" s="262"/>
      <c r="M58" s="262"/>
      <c r="N58" s="57"/>
      <c r="O58" s="28"/>
      <c r="P58" s="57"/>
      <c r="Q58" s="28"/>
      <c r="R58" s="134"/>
      <c r="S58" s="217"/>
      <c r="T58" s="294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4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2"/>
      <c r="C59" s="29" t="s">
        <v>29</v>
      </c>
      <c r="D59" s="191"/>
      <c r="E59" s="58"/>
      <c r="F59" s="192"/>
      <c r="G59" s="192"/>
      <c r="H59" s="192"/>
      <c r="I59" s="64"/>
      <c r="J59" s="64"/>
      <c r="K59" s="193"/>
      <c r="L59" s="263"/>
      <c r="M59" s="263"/>
      <c r="N59" s="58"/>
      <c r="O59" s="30"/>
      <c r="P59" s="58"/>
      <c r="Q59" s="30"/>
      <c r="R59" s="135"/>
      <c r="S59" s="217"/>
      <c r="T59" s="292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2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2"/>
      <c r="C60" s="29" t="s">
        <v>30</v>
      </c>
      <c r="D60" s="191"/>
      <c r="E60" s="58"/>
      <c r="F60" s="192"/>
      <c r="G60" s="192"/>
      <c r="H60" s="192"/>
      <c r="I60" s="64"/>
      <c r="J60" s="64"/>
      <c r="K60" s="193"/>
      <c r="L60" s="263"/>
      <c r="M60" s="263"/>
      <c r="N60" s="58"/>
      <c r="O60" s="30"/>
      <c r="P60" s="58"/>
      <c r="Q60" s="30"/>
      <c r="R60" s="135"/>
      <c r="S60" s="217"/>
      <c r="T60" s="292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2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2"/>
      <c r="C61" s="29" t="s">
        <v>32</v>
      </c>
      <c r="D61" s="191"/>
      <c r="E61" s="58"/>
      <c r="F61" s="192"/>
      <c r="G61" s="192"/>
      <c r="H61" s="192"/>
      <c r="I61" s="64"/>
      <c r="J61" s="64"/>
      <c r="K61" s="193"/>
      <c r="L61" s="263"/>
      <c r="M61" s="263"/>
      <c r="N61" s="58"/>
      <c r="O61" s="30"/>
      <c r="P61" s="58"/>
      <c r="Q61" s="30"/>
      <c r="R61" s="135"/>
      <c r="S61" s="217"/>
      <c r="T61" s="292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2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2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2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2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4" t="s">
        <v>72</v>
      </c>
      <c r="C63" s="27" t="s">
        <v>28</v>
      </c>
      <c r="D63" s="41"/>
      <c r="E63" s="57"/>
      <c r="F63" s="99"/>
      <c r="G63" s="99"/>
      <c r="H63" s="99"/>
      <c r="I63" s="62"/>
      <c r="J63" s="62"/>
      <c r="K63" s="63"/>
      <c r="L63" s="262"/>
      <c r="M63" s="262"/>
      <c r="N63" s="57"/>
      <c r="O63" s="28"/>
      <c r="P63" s="57"/>
      <c r="Q63" s="28"/>
      <c r="R63" s="134"/>
      <c r="S63" s="217"/>
      <c r="T63" s="294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4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2"/>
      <c r="C64" s="29" t="s">
        <v>29</v>
      </c>
      <c r="D64" s="191"/>
      <c r="E64" s="58"/>
      <c r="F64" s="192"/>
      <c r="G64" s="192"/>
      <c r="H64" s="192"/>
      <c r="I64" s="64"/>
      <c r="J64" s="64"/>
      <c r="K64" s="193"/>
      <c r="L64" s="263"/>
      <c r="M64" s="263"/>
      <c r="N64" s="58"/>
      <c r="O64" s="30"/>
      <c r="P64" s="58"/>
      <c r="Q64" s="30"/>
      <c r="R64" s="135"/>
      <c r="S64" s="217"/>
      <c r="T64" s="292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2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2"/>
      <c r="C65" s="29" t="s">
        <v>30</v>
      </c>
      <c r="D65" s="191"/>
      <c r="E65" s="58"/>
      <c r="F65" s="192"/>
      <c r="G65" s="192"/>
      <c r="H65" s="192"/>
      <c r="I65" s="64"/>
      <c r="J65" s="64"/>
      <c r="K65" s="193"/>
      <c r="L65" s="263"/>
      <c r="M65" s="263"/>
      <c r="N65" s="58"/>
      <c r="O65" s="30"/>
      <c r="P65" s="58"/>
      <c r="Q65" s="30"/>
      <c r="R65" s="135"/>
      <c r="S65" s="217"/>
      <c r="T65" s="292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2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2"/>
      <c r="C66" s="29" t="s">
        <v>32</v>
      </c>
      <c r="D66" s="191"/>
      <c r="E66" s="58"/>
      <c r="F66" s="192"/>
      <c r="G66" s="192"/>
      <c r="H66" s="192"/>
      <c r="I66" s="64"/>
      <c r="J66" s="64"/>
      <c r="K66" s="193"/>
      <c r="L66" s="263"/>
      <c r="M66" s="263"/>
      <c r="N66" s="58"/>
      <c r="O66" s="30"/>
      <c r="P66" s="58"/>
      <c r="Q66" s="30"/>
      <c r="R66" s="135"/>
      <c r="S66" s="217"/>
      <c r="T66" s="292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2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2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2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2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4" t="s">
        <v>73</v>
      </c>
      <c r="C68" s="27" t="s">
        <v>28</v>
      </c>
      <c r="D68" s="41"/>
      <c r="E68" s="57"/>
      <c r="F68" s="99"/>
      <c r="G68" s="99"/>
      <c r="H68" s="99"/>
      <c r="I68" s="62"/>
      <c r="J68" s="62"/>
      <c r="K68" s="63"/>
      <c r="L68" s="262"/>
      <c r="M68" s="262"/>
      <c r="N68" s="57"/>
      <c r="O68" s="28"/>
      <c r="P68" s="57"/>
      <c r="Q68" s="28"/>
      <c r="R68" s="134"/>
      <c r="S68" s="217"/>
      <c r="T68" s="294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4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2"/>
      <c r="C69" s="29" t="s">
        <v>29</v>
      </c>
      <c r="D69" s="191"/>
      <c r="E69" s="58"/>
      <c r="F69" s="192"/>
      <c r="G69" s="192"/>
      <c r="H69" s="192"/>
      <c r="I69" s="64"/>
      <c r="J69" s="64"/>
      <c r="K69" s="193"/>
      <c r="L69" s="263"/>
      <c r="M69" s="263"/>
      <c r="N69" s="58"/>
      <c r="O69" s="30"/>
      <c r="P69" s="58"/>
      <c r="Q69" s="30"/>
      <c r="R69" s="135"/>
      <c r="S69" s="217"/>
      <c r="T69" s="292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2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2"/>
      <c r="C70" s="29" t="s">
        <v>30</v>
      </c>
      <c r="D70" s="191"/>
      <c r="E70" s="58"/>
      <c r="F70" s="192"/>
      <c r="G70" s="192"/>
      <c r="H70" s="192"/>
      <c r="I70" s="64"/>
      <c r="J70" s="64"/>
      <c r="K70" s="193"/>
      <c r="L70" s="263"/>
      <c r="M70" s="263"/>
      <c r="N70" s="58"/>
      <c r="O70" s="30"/>
      <c r="P70" s="58"/>
      <c r="Q70" s="30"/>
      <c r="R70" s="135"/>
      <c r="S70" s="217"/>
      <c r="T70" s="292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2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2"/>
      <c r="C71" s="29" t="s">
        <v>32</v>
      </c>
      <c r="D71" s="191"/>
      <c r="E71" s="58"/>
      <c r="F71" s="192"/>
      <c r="G71" s="192"/>
      <c r="H71" s="192"/>
      <c r="I71" s="64"/>
      <c r="J71" s="64"/>
      <c r="K71" s="193"/>
      <c r="L71" s="263"/>
      <c r="M71" s="263"/>
      <c r="N71" s="58"/>
      <c r="O71" s="30"/>
      <c r="P71" s="58"/>
      <c r="Q71" s="30"/>
      <c r="R71" s="135"/>
      <c r="S71" s="217"/>
      <c r="T71" s="292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2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2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2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2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4" t="s">
        <v>74</v>
      </c>
      <c r="C73" s="27" t="s">
        <v>28</v>
      </c>
      <c r="D73" s="41"/>
      <c r="E73" s="57"/>
      <c r="F73" s="99"/>
      <c r="G73" s="99"/>
      <c r="H73" s="99"/>
      <c r="I73" s="62"/>
      <c r="J73" s="62"/>
      <c r="K73" s="63"/>
      <c r="L73" s="262"/>
      <c r="M73" s="262"/>
      <c r="N73" s="57"/>
      <c r="O73" s="28"/>
      <c r="P73" s="57"/>
      <c r="Q73" s="28"/>
      <c r="R73" s="134"/>
      <c r="S73" s="217"/>
      <c r="T73" s="294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4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2"/>
      <c r="C74" s="29" t="s">
        <v>29</v>
      </c>
      <c r="D74" s="191"/>
      <c r="E74" s="58"/>
      <c r="F74" s="192"/>
      <c r="G74" s="192"/>
      <c r="H74" s="192"/>
      <c r="I74" s="64"/>
      <c r="J74" s="64"/>
      <c r="K74" s="193"/>
      <c r="L74" s="263"/>
      <c r="M74" s="263"/>
      <c r="N74" s="58"/>
      <c r="O74" s="30"/>
      <c r="P74" s="58"/>
      <c r="Q74" s="30"/>
      <c r="R74" s="135"/>
      <c r="S74" s="217"/>
      <c r="T74" s="292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2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2"/>
      <c r="C75" s="29" t="s">
        <v>30</v>
      </c>
      <c r="D75" s="191"/>
      <c r="E75" s="58"/>
      <c r="F75" s="192"/>
      <c r="G75" s="192"/>
      <c r="H75" s="192"/>
      <c r="I75" s="64"/>
      <c r="J75" s="64"/>
      <c r="K75" s="193"/>
      <c r="L75" s="263"/>
      <c r="M75" s="263"/>
      <c r="N75" s="58"/>
      <c r="O75" s="30"/>
      <c r="P75" s="58"/>
      <c r="Q75" s="30"/>
      <c r="R75" s="135"/>
      <c r="S75" s="217"/>
      <c r="T75" s="292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2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2"/>
      <c r="C76" s="29" t="s">
        <v>32</v>
      </c>
      <c r="D76" s="191"/>
      <c r="E76" s="58"/>
      <c r="F76" s="192"/>
      <c r="G76" s="192"/>
      <c r="H76" s="192"/>
      <c r="I76" s="64"/>
      <c r="J76" s="64"/>
      <c r="K76" s="193"/>
      <c r="L76" s="263"/>
      <c r="M76" s="263"/>
      <c r="N76" s="58"/>
      <c r="O76" s="30"/>
      <c r="P76" s="58"/>
      <c r="Q76" s="30"/>
      <c r="R76" s="135"/>
      <c r="S76" s="217"/>
      <c r="T76" s="292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2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2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2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2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4" t="s">
        <v>75</v>
      </c>
      <c r="C78" s="27" t="s">
        <v>28</v>
      </c>
      <c r="D78" s="41"/>
      <c r="E78" s="57"/>
      <c r="F78" s="99"/>
      <c r="G78" s="99"/>
      <c r="H78" s="99"/>
      <c r="I78" s="62"/>
      <c r="J78" s="62"/>
      <c r="K78" s="63"/>
      <c r="L78" s="262"/>
      <c r="M78" s="262"/>
      <c r="N78" s="57"/>
      <c r="O78" s="28"/>
      <c r="P78" s="57"/>
      <c r="Q78" s="28"/>
      <c r="R78" s="134"/>
      <c r="S78" s="217"/>
      <c r="T78" s="294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4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2"/>
      <c r="C79" s="29" t="s">
        <v>29</v>
      </c>
      <c r="D79" s="191"/>
      <c r="E79" s="58"/>
      <c r="F79" s="192"/>
      <c r="G79" s="192"/>
      <c r="H79" s="192"/>
      <c r="I79" s="64"/>
      <c r="J79" s="64"/>
      <c r="K79" s="193"/>
      <c r="L79" s="263"/>
      <c r="M79" s="263"/>
      <c r="N79" s="58"/>
      <c r="O79" s="30"/>
      <c r="P79" s="58"/>
      <c r="Q79" s="30"/>
      <c r="R79" s="135"/>
      <c r="S79" s="217"/>
      <c r="T79" s="292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2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2"/>
      <c r="C80" s="29" t="s">
        <v>30</v>
      </c>
      <c r="D80" s="191"/>
      <c r="E80" s="58"/>
      <c r="F80" s="192"/>
      <c r="G80" s="192"/>
      <c r="H80" s="192"/>
      <c r="I80" s="64"/>
      <c r="J80" s="64"/>
      <c r="K80" s="193"/>
      <c r="L80" s="263"/>
      <c r="M80" s="263"/>
      <c r="N80" s="58"/>
      <c r="O80" s="30"/>
      <c r="P80" s="58"/>
      <c r="Q80" s="30"/>
      <c r="R80" s="135"/>
      <c r="S80" s="217"/>
      <c r="T80" s="292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2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2"/>
      <c r="C81" s="29" t="s">
        <v>32</v>
      </c>
      <c r="D81" s="191"/>
      <c r="E81" s="58"/>
      <c r="F81" s="192"/>
      <c r="G81" s="192"/>
      <c r="H81" s="192"/>
      <c r="I81" s="64"/>
      <c r="J81" s="64"/>
      <c r="K81" s="193"/>
      <c r="L81" s="263"/>
      <c r="M81" s="263"/>
      <c r="N81" s="58"/>
      <c r="O81" s="30"/>
      <c r="P81" s="58"/>
      <c r="Q81" s="30"/>
      <c r="R81" s="135"/>
      <c r="S81" s="217"/>
      <c r="T81" s="292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2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2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2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2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1" t="s">
        <v>76</v>
      </c>
      <c r="C83" s="27" t="s">
        <v>28</v>
      </c>
      <c r="D83" s="41"/>
      <c r="E83" s="57"/>
      <c r="F83" s="99"/>
      <c r="G83" s="99"/>
      <c r="H83" s="99"/>
      <c r="I83" s="62"/>
      <c r="J83" s="62"/>
      <c r="K83" s="63"/>
      <c r="L83" s="262"/>
      <c r="M83" s="262"/>
      <c r="N83" s="57"/>
      <c r="O83" s="28"/>
      <c r="P83" s="57"/>
      <c r="Q83" s="28"/>
      <c r="R83" s="134"/>
      <c r="S83" s="217"/>
      <c r="T83" s="291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91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2"/>
      <c r="C84" s="29" t="s">
        <v>29</v>
      </c>
      <c r="D84" s="191"/>
      <c r="E84" s="58"/>
      <c r="F84" s="192"/>
      <c r="G84" s="192"/>
      <c r="H84" s="192"/>
      <c r="I84" s="64"/>
      <c r="J84" s="64"/>
      <c r="K84" s="193"/>
      <c r="L84" s="263"/>
      <c r="M84" s="263"/>
      <c r="N84" s="58"/>
      <c r="O84" s="30"/>
      <c r="P84" s="58"/>
      <c r="Q84" s="30"/>
      <c r="R84" s="135"/>
      <c r="S84" s="217"/>
      <c r="T84" s="292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2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2"/>
      <c r="C85" s="29" t="s">
        <v>30</v>
      </c>
      <c r="D85" s="191"/>
      <c r="E85" s="58"/>
      <c r="F85" s="192"/>
      <c r="G85" s="192"/>
      <c r="H85" s="192"/>
      <c r="I85" s="64"/>
      <c r="J85" s="64"/>
      <c r="K85" s="193"/>
      <c r="L85" s="263"/>
      <c r="M85" s="263"/>
      <c r="N85" s="58"/>
      <c r="O85" s="30"/>
      <c r="P85" s="58"/>
      <c r="Q85" s="30"/>
      <c r="R85" s="135"/>
      <c r="S85" s="217"/>
      <c r="T85" s="292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2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2"/>
      <c r="C86" s="29" t="s">
        <v>32</v>
      </c>
      <c r="D86" s="191"/>
      <c r="E86" s="58"/>
      <c r="F86" s="192"/>
      <c r="G86" s="192"/>
      <c r="H86" s="192"/>
      <c r="I86" s="64"/>
      <c r="J86" s="64"/>
      <c r="K86" s="193"/>
      <c r="L86" s="263"/>
      <c r="M86" s="263"/>
      <c r="N86" s="58"/>
      <c r="O86" s="30"/>
      <c r="P86" s="58"/>
      <c r="Q86" s="30"/>
      <c r="R86" s="135"/>
      <c r="S86" s="217"/>
      <c r="T86" s="292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2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3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3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3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1" t="s">
        <v>77</v>
      </c>
      <c r="C88" s="27" t="s">
        <v>28</v>
      </c>
      <c r="D88" s="41"/>
      <c r="E88" s="57"/>
      <c r="F88" s="99"/>
      <c r="G88" s="99"/>
      <c r="H88" s="99"/>
      <c r="I88" s="62"/>
      <c r="J88" s="62"/>
      <c r="K88" s="63"/>
      <c r="L88" s="262"/>
      <c r="M88" s="262"/>
      <c r="N88" s="57"/>
      <c r="O88" s="28"/>
      <c r="P88" s="57"/>
      <c r="Q88" s="28"/>
      <c r="R88" s="134"/>
      <c r="S88" s="217"/>
      <c r="T88" s="291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91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2"/>
      <c r="C89" s="29" t="s">
        <v>29</v>
      </c>
      <c r="D89" s="191"/>
      <c r="E89" s="58"/>
      <c r="F89" s="192"/>
      <c r="G89" s="192"/>
      <c r="H89" s="192"/>
      <c r="I89" s="64"/>
      <c r="J89" s="64"/>
      <c r="K89" s="193"/>
      <c r="L89" s="263"/>
      <c r="M89" s="263"/>
      <c r="N89" s="58"/>
      <c r="O89" s="30"/>
      <c r="P89" s="58"/>
      <c r="Q89" s="30"/>
      <c r="R89" s="135"/>
      <c r="S89" s="217"/>
      <c r="T89" s="292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2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2"/>
      <c r="C90" s="29" t="s">
        <v>30</v>
      </c>
      <c r="D90" s="191"/>
      <c r="E90" s="58"/>
      <c r="F90" s="192"/>
      <c r="G90" s="192"/>
      <c r="H90" s="192"/>
      <c r="I90" s="64"/>
      <c r="J90" s="64"/>
      <c r="K90" s="193"/>
      <c r="L90" s="263"/>
      <c r="M90" s="263"/>
      <c r="N90" s="58"/>
      <c r="O90" s="30"/>
      <c r="P90" s="58"/>
      <c r="Q90" s="30"/>
      <c r="R90" s="135"/>
      <c r="S90" s="217"/>
      <c r="T90" s="292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2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2"/>
      <c r="C91" s="29" t="s">
        <v>32</v>
      </c>
      <c r="D91" s="191"/>
      <c r="E91" s="58"/>
      <c r="F91" s="192"/>
      <c r="G91" s="192"/>
      <c r="H91" s="192"/>
      <c r="I91" s="64"/>
      <c r="J91" s="64"/>
      <c r="K91" s="193"/>
      <c r="L91" s="263"/>
      <c r="M91" s="263"/>
      <c r="N91" s="58"/>
      <c r="O91" s="30"/>
      <c r="P91" s="58"/>
      <c r="Q91" s="30"/>
      <c r="R91" s="135"/>
      <c r="S91" s="217"/>
      <c r="T91" s="292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2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3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3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3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1" t="s">
        <v>78</v>
      </c>
      <c r="C93" s="27" t="s">
        <v>28</v>
      </c>
      <c r="D93" s="41"/>
      <c r="E93" s="57"/>
      <c r="F93" s="99"/>
      <c r="G93" s="99"/>
      <c r="H93" s="99"/>
      <c r="I93" s="62"/>
      <c r="J93" s="62"/>
      <c r="K93" s="63"/>
      <c r="L93" s="262"/>
      <c r="M93" s="262"/>
      <c r="N93" s="57"/>
      <c r="O93" s="28"/>
      <c r="P93" s="57"/>
      <c r="Q93" s="28"/>
      <c r="R93" s="134"/>
      <c r="S93" s="217"/>
      <c r="T93" s="291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91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2"/>
      <c r="C94" s="29" t="s">
        <v>29</v>
      </c>
      <c r="D94" s="191"/>
      <c r="E94" s="58"/>
      <c r="F94" s="192"/>
      <c r="G94" s="192"/>
      <c r="H94" s="192"/>
      <c r="I94" s="64"/>
      <c r="J94" s="64"/>
      <c r="K94" s="193"/>
      <c r="L94" s="263"/>
      <c r="M94" s="263"/>
      <c r="N94" s="58"/>
      <c r="O94" s="30"/>
      <c r="P94" s="58"/>
      <c r="Q94" s="30"/>
      <c r="R94" s="135"/>
      <c r="S94" s="217"/>
      <c r="T94" s="292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2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2"/>
      <c r="C95" s="29" t="s">
        <v>30</v>
      </c>
      <c r="D95" s="191"/>
      <c r="E95" s="58"/>
      <c r="F95" s="192"/>
      <c r="G95" s="192"/>
      <c r="H95" s="192"/>
      <c r="I95" s="64"/>
      <c r="J95" s="64"/>
      <c r="K95" s="193"/>
      <c r="L95" s="263"/>
      <c r="M95" s="263"/>
      <c r="N95" s="58"/>
      <c r="O95" s="30"/>
      <c r="P95" s="58"/>
      <c r="Q95" s="30"/>
      <c r="R95" s="135"/>
      <c r="S95" s="217"/>
      <c r="T95" s="292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2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2"/>
      <c r="C96" s="29" t="s">
        <v>32</v>
      </c>
      <c r="D96" s="191"/>
      <c r="E96" s="58"/>
      <c r="F96" s="192"/>
      <c r="G96" s="192"/>
      <c r="H96" s="192"/>
      <c r="I96" s="64"/>
      <c r="J96" s="64"/>
      <c r="K96" s="193"/>
      <c r="L96" s="263"/>
      <c r="M96" s="263"/>
      <c r="N96" s="58"/>
      <c r="O96" s="30"/>
      <c r="P96" s="58"/>
      <c r="Q96" s="30"/>
      <c r="R96" s="135"/>
      <c r="S96" s="217"/>
      <c r="T96" s="292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2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3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3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3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1" t="s">
        <v>79</v>
      </c>
      <c r="C98" s="27" t="s">
        <v>28</v>
      </c>
      <c r="D98" s="41"/>
      <c r="E98" s="57"/>
      <c r="F98" s="99"/>
      <c r="G98" s="99"/>
      <c r="H98" s="99"/>
      <c r="I98" s="62"/>
      <c r="J98" s="62"/>
      <c r="K98" s="63"/>
      <c r="L98" s="262"/>
      <c r="M98" s="262"/>
      <c r="N98" s="57"/>
      <c r="O98" s="28"/>
      <c r="P98" s="57"/>
      <c r="Q98" s="28"/>
      <c r="R98" s="134"/>
      <c r="S98" s="217"/>
      <c r="T98" s="291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91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2"/>
      <c r="C99" s="29" t="s">
        <v>29</v>
      </c>
      <c r="D99" s="191"/>
      <c r="E99" s="58"/>
      <c r="F99" s="192"/>
      <c r="G99" s="192"/>
      <c r="H99" s="192"/>
      <c r="I99" s="64"/>
      <c r="J99" s="64"/>
      <c r="K99" s="193"/>
      <c r="L99" s="263"/>
      <c r="M99" s="263"/>
      <c r="N99" s="58"/>
      <c r="O99" s="30"/>
      <c r="P99" s="58"/>
      <c r="Q99" s="30"/>
      <c r="R99" s="135"/>
      <c r="S99" s="217"/>
      <c r="T99" s="292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2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2"/>
      <c r="C100" s="29" t="s">
        <v>30</v>
      </c>
      <c r="D100" s="191"/>
      <c r="E100" s="58"/>
      <c r="F100" s="192"/>
      <c r="G100" s="192"/>
      <c r="H100" s="192"/>
      <c r="I100" s="64"/>
      <c r="J100" s="64"/>
      <c r="K100" s="193"/>
      <c r="L100" s="263"/>
      <c r="M100" s="263"/>
      <c r="N100" s="58"/>
      <c r="O100" s="30"/>
      <c r="P100" s="58"/>
      <c r="Q100" s="30"/>
      <c r="R100" s="135"/>
      <c r="S100" s="217"/>
      <c r="T100" s="292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2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2"/>
      <c r="C101" s="29" t="s">
        <v>32</v>
      </c>
      <c r="D101" s="191"/>
      <c r="E101" s="58"/>
      <c r="F101" s="192"/>
      <c r="G101" s="192"/>
      <c r="H101" s="192"/>
      <c r="I101" s="64"/>
      <c r="J101" s="64"/>
      <c r="K101" s="193"/>
      <c r="L101" s="263"/>
      <c r="M101" s="263"/>
      <c r="N101" s="58"/>
      <c r="O101" s="30"/>
      <c r="P101" s="58"/>
      <c r="Q101" s="30"/>
      <c r="R101" s="135"/>
      <c r="S101" s="217"/>
      <c r="T101" s="292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2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3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3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3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1" t="s">
        <v>80</v>
      </c>
      <c r="C103" s="27" t="s">
        <v>28</v>
      </c>
      <c r="D103" s="41"/>
      <c r="E103" s="57"/>
      <c r="F103" s="99"/>
      <c r="G103" s="99"/>
      <c r="H103" s="99"/>
      <c r="I103" s="62"/>
      <c r="J103" s="62"/>
      <c r="K103" s="63"/>
      <c r="L103" s="262"/>
      <c r="M103" s="262"/>
      <c r="N103" s="57"/>
      <c r="O103" s="28"/>
      <c r="P103" s="57"/>
      <c r="Q103" s="28"/>
      <c r="R103" s="134"/>
      <c r="S103" s="217"/>
      <c r="T103" s="291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91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2"/>
      <c r="C104" s="29" t="s">
        <v>29</v>
      </c>
      <c r="D104" s="191"/>
      <c r="E104" s="58"/>
      <c r="F104" s="192"/>
      <c r="G104" s="192"/>
      <c r="H104" s="192"/>
      <c r="I104" s="64"/>
      <c r="J104" s="64"/>
      <c r="K104" s="193"/>
      <c r="L104" s="263"/>
      <c r="M104" s="263"/>
      <c r="N104" s="58"/>
      <c r="O104" s="30"/>
      <c r="P104" s="58"/>
      <c r="Q104" s="30"/>
      <c r="R104" s="135"/>
      <c r="S104" s="217"/>
      <c r="T104" s="292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2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2"/>
      <c r="C105" s="29" t="s">
        <v>30</v>
      </c>
      <c r="D105" s="191"/>
      <c r="E105" s="58"/>
      <c r="F105" s="192"/>
      <c r="G105" s="192"/>
      <c r="H105" s="192"/>
      <c r="I105" s="64"/>
      <c r="J105" s="64"/>
      <c r="K105" s="193"/>
      <c r="L105" s="263"/>
      <c r="M105" s="263"/>
      <c r="N105" s="58"/>
      <c r="O105" s="30"/>
      <c r="P105" s="58"/>
      <c r="Q105" s="30"/>
      <c r="R105" s="135"/>
      <c r="S105" s="217"/>
      <c r="T105" s="292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2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2"/>
      <c r="C106" s="29" t="s">
        <v>32</v>
      </c>
      <c r="D106" s="191"/>
      <c r="E106" s="58"/>
      <c r="F106" s="192"/>
      <c r="G106" s="192"/>
      <c r="H106" s="192"/>
      <c r="I106" s="64"/>
      <c r="J106" s="64"/>
      <c r="K106" s="193"/>
      <c r="L106" s="263"/>
      <c r="M106" s="263"/>
      <c r="N106" s="58"/>
      <c r="O106" s="30"/>
      <c r="P106" s="58"/>
      <c r="Q106" s="30"/>
      <c r="R106" s="135"/>
      <c r="S106" s="217"/>
      <c r="T106" s="292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2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3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3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3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1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91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91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2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2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2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2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2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2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2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2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2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3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3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3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1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91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91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2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2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2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2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2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2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2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2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2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3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3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3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1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91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91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2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2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2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2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2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2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2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2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2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3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3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3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1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91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91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2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2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2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2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2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2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2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2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2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3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3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3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1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91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91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2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2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2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2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2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2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2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2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2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3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3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3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1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91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91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2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2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2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2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2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2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2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2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2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3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3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3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1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91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91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2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2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2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2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2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2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2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2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2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3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3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3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1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91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91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2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2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2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2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2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2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2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2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2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3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3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3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1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91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91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2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2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2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2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2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2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2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2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2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3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3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3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1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91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91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2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2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2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2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2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2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2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2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2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3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3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3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1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91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91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2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2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2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2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2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2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2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2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2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3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3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3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1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91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91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2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2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2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2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2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2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2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2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2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3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3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3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1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91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91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2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2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2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2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2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2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2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2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2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3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3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3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1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91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91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2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2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2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2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2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2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2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2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2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3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3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3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1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91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91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2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2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2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2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2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2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2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2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2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3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3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3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1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91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91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2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2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2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2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2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2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2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2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2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3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3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3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1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91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91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2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2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2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2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2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2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2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2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2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3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3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3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1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91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91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2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2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2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2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2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2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2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2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2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3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3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3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1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91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91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2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2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2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2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2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2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2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2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2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3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3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3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1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91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91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2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2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2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2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2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2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2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2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2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3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3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3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1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91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91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2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2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2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2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2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2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2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2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2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3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3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3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1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91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91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2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2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2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2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2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2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2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2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2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3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3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3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1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91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91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2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2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2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2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2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2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2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2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2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3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3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3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1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91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91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2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2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2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2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2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2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2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2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2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3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3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3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1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91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91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2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2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2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2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2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2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2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2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2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3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3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3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1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91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91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2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2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2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2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2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2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2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2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2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3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3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3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1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91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91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2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2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2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2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2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2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2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2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2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3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3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3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1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91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91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2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2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2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2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2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2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2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2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2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3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3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3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1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91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91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2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2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2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2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2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2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2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2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2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3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3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3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1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91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91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2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2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2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2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2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2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2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2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2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3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3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3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1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91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91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2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2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2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2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2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2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2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2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2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3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3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3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1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91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91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2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2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2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2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2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2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2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2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2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3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3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3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1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91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91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2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2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2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2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2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2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2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2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2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3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3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3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1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91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91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2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2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2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2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2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2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2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2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2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3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3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3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1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91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91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2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2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2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2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2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2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2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2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2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3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3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3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1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91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91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2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2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2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2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2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2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2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2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2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3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3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3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1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91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91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2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2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2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2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2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2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2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2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2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3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3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3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1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91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91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2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2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2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2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2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2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2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2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2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3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3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3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1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91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91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2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2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2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2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2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2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2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2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2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3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3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3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1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91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91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2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2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2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2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2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2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2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2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2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3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3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3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1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91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91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2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2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2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2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2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2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2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2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2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3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3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3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1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91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91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2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2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2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2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2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2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2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2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2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3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3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3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1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91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91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2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2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2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2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2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2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2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2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2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3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3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3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1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91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91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2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2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2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2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2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2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2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2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2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3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3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3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1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91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91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2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2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2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2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2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2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2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2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2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3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3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3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1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91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91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2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2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2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2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2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2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2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2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2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3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3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3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1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91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91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2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2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2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2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2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2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2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2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2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3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3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3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1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91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91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2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2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2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2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2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2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2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2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2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3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3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3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1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91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91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2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2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2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2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2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2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2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2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2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3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3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3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1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91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91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2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2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2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2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2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2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2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2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2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3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3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3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1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91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91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2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2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2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2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2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2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2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2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2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3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3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3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1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91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91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2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2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2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2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2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2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2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2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2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3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3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3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1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91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91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2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2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2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2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2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2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2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2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2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3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3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3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1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91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91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2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2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2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2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2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2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2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2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2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3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3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3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1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91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91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2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2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2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2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2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2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2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2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2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3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3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3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1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91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91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2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2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2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2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2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2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2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2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2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3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3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3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1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91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91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2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2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2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2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2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2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2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2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2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3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3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3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1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91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91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2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2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2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2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2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2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2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2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2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3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3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3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1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91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91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2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2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2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2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2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2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2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2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2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3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3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3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1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91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91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2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2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2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2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2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2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2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2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2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3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3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3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1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91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91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2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2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2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2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2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2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2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2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2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3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3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3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1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91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91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2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2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2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2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2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2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2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2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2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3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3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3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1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91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91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2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2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2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2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2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2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2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2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2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3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3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3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1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91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91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2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2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2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2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2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2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2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2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2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3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3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3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1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91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91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2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2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2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2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2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2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2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2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2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3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3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3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1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91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91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2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2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2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2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2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2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2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2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2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3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3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3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1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91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91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2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2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2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2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2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2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2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2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2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3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3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3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1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91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91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2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2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2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2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2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2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2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2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2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3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3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3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1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91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91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2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2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2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2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2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2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2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2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2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3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3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3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1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91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91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2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2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2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2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2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2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2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2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2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3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3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3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1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91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91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2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2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2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2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2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2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2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2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2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3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3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3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1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91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91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2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2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2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2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2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2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2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2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2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3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3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3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1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91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91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2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2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2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2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2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2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2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2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2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3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3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3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1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91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91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2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2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2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2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2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2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2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2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2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3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3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3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1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91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91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2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2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2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2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2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2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2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2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2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3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3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3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1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91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91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2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2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2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2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2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2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2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2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2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3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3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3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1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91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91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2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2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2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2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2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2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2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2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2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3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3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3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1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91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91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2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2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2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2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2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2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2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2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2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3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3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3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1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91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91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2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2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2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2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2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2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2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2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2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3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3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3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1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91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91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2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2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2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2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2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2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2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2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2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3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3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3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1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91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91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2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2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2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2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2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2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2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2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2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3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3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3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1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91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91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2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2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2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2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2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2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2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2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2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3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3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3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1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91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91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2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2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2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2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2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2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2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2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2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3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3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3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1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91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91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2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2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2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2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2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2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2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2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2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3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3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3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1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91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91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2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2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2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2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2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2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2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2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2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3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3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3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1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91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91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2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2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2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2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2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2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2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2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2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3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3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3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1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91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91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2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2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2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2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2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2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2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2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2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3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3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3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1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91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91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2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2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2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2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2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2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2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2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2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3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3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3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1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91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91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2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2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2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2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2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2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2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2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2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3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3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3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1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91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91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2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2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2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2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2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2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2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2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2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3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3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3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1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91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91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2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2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2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2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2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2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2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2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2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3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3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3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1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91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91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2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2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2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2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2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2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2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2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2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3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3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3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1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91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91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2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2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2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2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2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2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2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2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2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3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3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3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1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91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91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2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2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2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2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2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2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2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2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2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3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3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3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1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91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91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2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2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2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2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2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2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2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2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2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3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3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3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1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91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91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2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2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2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2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2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2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2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2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2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3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3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3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1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91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91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2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2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2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2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2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2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2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2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2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3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3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3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1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91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91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2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2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2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2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2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2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2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2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2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3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3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3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1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91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91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2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2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2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2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2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2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2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2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2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3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3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3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1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91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91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2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2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2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2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2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2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2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2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2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3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3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3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1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91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91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2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2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2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2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2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2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2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2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2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3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3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3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1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91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91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2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2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2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2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2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2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2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2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2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3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3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3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1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91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91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2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2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2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2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2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2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2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2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2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3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3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3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1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91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91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2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2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2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2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2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2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2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2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2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3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3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3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1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91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91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2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2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2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2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2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2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2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2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2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3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3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3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1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91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91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2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2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2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2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2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2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2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2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2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3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3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3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1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8">
        <f t="shared" si="59"/>
        <v>0</v>
      </c>
      <c r="H641" s="138">
        <f t="shared" si="59"/>
        <v>0</v>
      </c>
      <c r="I641" s="138">
        <f t="shared" si="59"/>
        <v>0</v>
      </c>
      <c r="J641" s="138">
        <f t="shared" si="59"/>
        <v>0</v>
      </c>
      <c r="K641" s="112"/>
      <c r="L641" s="112"/>
      <c r="M641" s="112"/>
      <c r="N641" s="112"/>
      <c r="O641" s="267"/>
      <c r="P641" s="112"/>
      <c r="Q641" s="113"/>
      <c r="R641" s="114"/>
      <c r="T641" s="291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2"/>
      <c r="C642" s="29" t="s">
        <v>29</v>
      </c>
      <c r="D642" s="110"/>
      <c r="E642" s="268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5"/>
      <c r="L642" s="115"/>
      <c r="M642" s="115"/>
      <c r="N642" s="115"/>
      <c r="O642" s="269"/>
      <c r="P642" s="115"/>
      <c r="Q642" s="116"/>
      <c r="R642" s="117"/>
      <c r="T642" s="292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2"/>
      <c r="C643" s="29" t="s">
        <v>30</v>
      </c>
      <c r="D643" s="110"/>
      <c r="E643" s="268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5"/>
      <c r="L643" s="115"/>
      <c r="M643" s="115"/>
      <c r="N643" s="115"/>
      <c r="O643" s="269"/>
      <c r="P643" s="115"/>
      <c r="Q643" s="116"/>
      <c r="R643" s="117"/>
      <c r="T643" s="292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2"/>
      <c r="C644" s="29" t="s">
        <v>32</v>
      </c>
      <c r="D644" s="110"/>
      <c r="E644" s="268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5"/>
      <c r="L644" s="115"/>
      <c r="M644" s="115"/>
      <c r="N644" s="115"/>
      <c r="O644" s="269"/>
      <c r="P644" s="115"/>
      <c r="Q644" s="116"/>
      <c r="R644" s="117"/>
      <c r="T644" s="292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3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3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8">
        <f t="shared" si="61"/>
        <v>0</v>
      </c>
      <c r="H646" s="138">
        <f t="shared" si="61"/>
        <v>0</v>
      </c>
      <c r="I646" s="138">
        <f t="shared" si="61"/>
        <v>0</v>
      </c>
      <c r="J646" s="138">
        <f t="shared" si="61"/>
        <v>0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2"/>
      <c r="C647" s="29" t="s">
        <v>29</v>
      </c>
      <c r="D647" s="110"/>
      <c r="E647" s="268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5"/>
      <c r="L647" s="115"/>
      <c r="M647" s="115"/>
      <c r="N647" s="115"/>
      <c r="O647" s="269"/>
      <c r="P647" s="115"/>
      <c r="Q647" s="116"/>
      <c r="R647" s="117"/>
      <c r="T647" s="292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2"/>
      <c r="C648" s="29" t="s">
        <v>30</v>
      </c>
      <c r="D648" s="110"/>
      <c r="E648" s="268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5"/>
      <c r="L648" s="115"/>
      <c r="M648" s="115"/>
      <c r="N648" s="115"/>
      <c r="O648" s="269"/>
      <c r="P648" s="115"/>
      <c r="Q648" s="116"/>
      <c r="R648" s="117"/>
      <c r="T648" s="292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2"/>
      <c r="C649" s="29" t="s">
        <v>32</v>
      </c>
      <c r="D649" s="110"/>
      <c r="E649" s="268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5"/>
      <c r="L649" s="115"/>
      <c r="M649" s="115"/>
      <c r="N649" s="115"/>
      <c r="O649" s="269"/>
      <c r="P649" s="115"/>
      <c r="Q649" s="116"/>
      <c r="R649" s="117"/>
      <c r="T649" s="292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3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3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0</v>
      </c>
      <c r="G651" s="138">
        <f t="shared" si="63"/>
        <v>0</v>
      </c>
      <c r="H651" s="138">
        <f t="shared" si="63"/>
        <v>0</v>
      </c>
      <c r="I651" s="138">
        <f t="shared" si="63"/>
        <v>0</v>
      </c>
      <c r="J651" s="138">
        <f t="shared" si="63"/>
        <v>0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2"/>
      <c r="C652" s="29" t="s">
        <v>29</v>
      </c>
      <c r="D652" s="110"/>
      <c r="E652" s="268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5"/>
      <c r="L652" s="115"/>
      <c r="M652" s="115"/>
      <c r="N652" s="115"/>
      <c r="O652" s="269"/>
      <c r="P652" s="115"/>
      <c r="Q652" s="116"/>
      <c r="R652" s="117"/>
      <c r="T652" s="292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2"/>
      <c r="C653" s="29" t="s">
        <v>30</v>
      </c>
      <c r="D653" s="110"/>
      <c r="E653" s="268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5"/>
      <c r="L653" s="115"/>
      <c r="M653" s="115"/>
      <c r="N653" s="115"/>
      <c r="O653" s="269"/>
      <c r="P653" s="115"/>
      <c r="Q653" s="116"/>
      <c r="R653" s="117"/>
      <c r="T653" s="292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2"/>
      <c r="C654" s="29" t="s">
        <v>32</v>
      </c>
      <c r="D654" s="110"/>
      <c r="E654" s="268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5"/>
      <c r="L654" s="115"/>
      <c r="M654" s="115"/>
      <c r="N654" s="115"/>
      <c r="O654" s="269"/>
      <c r="P654" s="115"/>
      <c r="Q654" s="116"/>
      <c r="R654" s="117"/>
      <c r="T654" s="292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3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3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13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4" t="str">
        <f>$B$2</f>
        <v>cinema_track</v>
      </c>
      <c r="U2" s="295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6"/>
      <c r="AK2" s="216"/>
      <c r="AL2" s="164" t="str">
        <f>$B$2</f>
        <v>cinema_track</v>
      </c>
      <c r="AM2" s="302" t="s">
        <v>44</v>
      </c>
      <c r="AN2" s="273"/>
      <c r="AO2" s="273"/>
      <c r="AP2" s="273"/>
      <c r="AQ2" s="296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10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10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7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3" t="e">
        <f t="shared" si="0"/>
        <v>#DIV/0!</v>
      </c>
      <c r="J5" s="93" t="e">
        <f t="shared" si="0"/>
        <v>#DIV/0!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2"/>
      <c r="C6" s="29" t="s">
        <v>29</v>
      </c>
      <c r="D6" s="30"/>
      <c r="E6" s="159">
        <f>E24</f>
        <v>0</v>
      </c>
      <c r="F6" s="93" t="e">
        <f t="shared" si="0"/>
        <v>#DIV/0!</v>
      </c>
      <c r="G6" s="93" t="e">
        <f t="shared" si="0"/>
        <v>#DIV/0!</v>
      </c>
      <c r="H6" s="93" t="e">
        <f t="shared" si="0"/>
        <v>#DIV/0!</v>
      </c>
      <c r="I6" s="93" t="e">
        <f t="shared" si="0"/>
        <v>#DIV/0!</v>
      </c>
      <c r="J6" s="93" t="e">
        <f t="shared" si="0"/>
        <v>#DIV/0!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2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2"/>
      <c r="C7" s="29" t="s">
        <v>30</v>
      </c>
      <c r="D7" s="30"/>
      <c r="E7" s="159">
        <f>E25</f>
        <v>0</v>
      </c>
      <c r="F7" s="93" t="e">
        <f t="shared" si="0"/>
        <v>#DIV/0!</v>
      </c>
      <c r="G7" s="93" t="e">
        <f t="shared" si="0"/>
        <v>#DIV/0!</v>
      </c>
      <c r="H7" s="93" t="e">
        <f t="shared" si="0"/>
        <v>#DIV/0!</v>
      </c>
      <c r="I7" s="93" t="e">
        <f t="shared" si="0"/>
        <v>#DIV/0!</v>
      </c>
      <c r="J7" s="93" t="e">
        <f t="shared" si="0"/>
        <v>#DIV/0!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2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2"/>
      <c r="C8" s="29" t="s">
        <v>32</v>
      </c>
      <c r="D8" s="30"/>
      <c r="E8" s="159">
        <f>E26</f>
        <v>0</v>
      </c>
      <c r="F8" s="93" t="e">
        <f t="shared" si="0"/>
        <v>#DIV/0!</v>
      </c>
      <c r="G8" s="93" t="e">
        <f t="shared" si="0"/>
        <v>#DIV/0!</v>
      </c>
      <c r="H8" s="93" t="e">
        <f t="shared" si="0"/>
        <v>#DIV/0!</v>
      </c>
      <c r="I8" s="93" t="e">
        <f t="shared" si="0"/>
        <v>#DIV/0!</v>
      </c>
      <c r="J8" s="93" t="e">
        <f t="shared" si="0"/>
        <v>#DIV/0!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2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3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2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5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6"/>
      <c r="T13" s="23"/>
      <c r="U13" s="295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6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298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/>
      <c r="F16" s="169"/>
      <c r="G16" s="169"/>
      <c r="H16" s="169"/>
      <c r="I16" s="169"/>
      <c r="J16" s="169"/>
      <c r="K16" s="62"/>
      <c r="L16" s="62"/>
      <c r="M16" s="62"/>
      <c r="N16" s="57"/>
      <c r="O16" s="257"/>
      <c r="P16" s="132"/>
      <c r="Q16" s="132"/>
      <c r="R16" s="145"/>
      <c r="S16" s="217"/>
      <c r="T16" s="307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2"/>
      <c r="C17" s="29" t="s">
        <v>29</v>
      </c>
      <c r="D17" s="30"/>
      <c r="E17" s="146"/>
      <c r="F17" s="170"/>
      <c r="G17" s="170"/>
      <c r="H17" s="170"/>
      <c r="I17" s="170"/>
      <c r="J17" s="170"/>
      <c r="K17" s="64"/>
      <c r="L17" s="64"/>
      <c r="M17" s="64"/>
      <c r="N17" s="58"/>
      <c r="O17" s="243"/>
      <c r="P17" s="147"/>
      <c r="Q17" s="147"/>
      <c r="R17" s="148"/>
      <c r="S17" s="217"/>
      <c r="T17" s="292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2"/>
      <c r="C18" s="29" t="s">
        <v>30</v>
      </c>
      <c r="D18" s="30"/>
      <c r="E18" s="146"/>
      <c r="F18" s="170"/>
      <c r="G18" s="170"/>
      <c r="H18" s="170"/>
      <c r="I18" s="170"/>
      <c r="J18" s="170"/>
      <c r="K18" s="64"/>
      <c r="L18" s="64"/>
      <c r="M18" s="64"/>
      <c r="N18" s="58"/>
      <c r="O18" s="243"/>
      <c r="P18" s="147"/>
      <c r="Q18" s="147"/>
      <c r="R18" s="148"/>
      <c r="S18" s="217"/>
      <c r="T18" s="292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2"/>
      <c r="C19" s="29" t="s">
        <v>32</v>
      </c>
      <c r="D19" s="30"/>
      <c r="E19" s="146"/>
      <c r="F19" s="170"/>
      <c r="G19" s="170"/>
      <c r="H19" s="170"/>
      <c r="I19" s="170"/>
      <c r="J19" s="170"/>
      <c r="K19" s="64"/>
      <c r="L19" s="64"/>
      <c r="M19" s="64"/>
      <c r="N19" s="58"/>
      <c r="O19" s="243"/>
      <c r="P19" s="147"/>
      <c r="Q19" s="147"/>
      <c r="R19" s="148"/>
      <c r="S19" s="217"/>
      <c r="T19" s="292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2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2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299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299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89"/>
      <c r="AW21" s="290"/>
      <c r="AX21" s="290"/>
    </row>
    <row r="22" spans="2:56" s="8" customFormat="1" ht="13.5" customHeight="1" thickBot="1" x14ac:dyDescent="0.3">
      <c r="B22" s="300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0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30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2"/>
      <c r="C24" s="29" t="s">
        <v>29</v>
      </c>
      <c r="D24" s="30"/>
      <c r="E24" s="130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2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2"/>
      <c r="C25" s="29" t="s">
        <v>30</v>
      </c>
      <c r="D25" s="30"/>
      <c r="E25" s="130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2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2"/>
      <c r="C26" s="29" t="s">
        <v>32</v>
      </c>
      <c r="D26" s="30"/>
      <c r="E26" s="130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2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3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3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5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6"/>
      <c r="S31" s="217"/>
      <c r="T31" s="23"/>
      <c r="U31" s="295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6"/>
      <c r="AK31" s="216"/>
      <c r="AL31" s="216"/>
      <c r="AM31" s="309" t="s">
        <v>64</v>
      </c>
      <c r="AN31" s="282"/>
      <c r="AO31" s="282"/>
      <c r="AP31" s="282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4" t="s">
        <v>66</v>
      </c>
      <c r="C33" s="27" t="s">
        <v>28</v>
      </c>
      <c r="D33" s="41"/>
      <c r="E33" s="57"/>
      <c r="F33" s="99"/>
      <c r="G33" s="99"/>
      <c r="H33" s="99"/>
      <c r="I33" s="62"/>
      <c r="J33" s="62"/>
      <c r="K33" s="63"/>
      <c r="L33" s="262"/>
      <c r="M33" s="262"/>
      <c r="N33" s="57"/>
      <c r="O33" s="28"/>
      <c r="P33" s="57"/>
      <c r="Q33" s="28"/>
      <c r="R33" s="134"/>
      <c r="S33" s="217"/>
      <c r="T33" s="294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4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2"/>
      <c r="C34" s="29" t="s">
        <v>29</v>
      </c>
      <c r="D34" s="191"/>
      <c r="E34" s="58"/>
      <c r="F34" s="192"/>
      <c r="G34" s="192"/>
      <c r="H34" s="192"/>
      <c r="I34" s="64"/>
      <c r="J34" s="64"/>
      <c r="K34" s="193"/>
      <c r="L34" s="263"/>
      <c r="M34" s="263"/>
      <c r="N34" s="58"/>
      <c r="O34" s="30"/>
      <c r="P34" s="58"/>
      <c r="Q34" s="30"/>
      <c r="R34" s="135"/>
      <c r="S34" s="217"/>
      <c r="T34" s="292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2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2"/>
      <c r="C35" s="29" t="s">
        <v>30</v>
      </c>
      <c r="D35" s="191"/>
      <c r="E35" s="58"/>
      <c r="F35" s="192"/>
      <c r="G35" s="192"/>
      <c r="H35" s="192"/>
      <c r="I35" s="64"/>
      <c r="J35" s="64"/>
      <c r="K35" s="193"/>
      <c r="L35" s="263"/>
      <c r="M35" s="263"/>
      <c r="N35" s="58"/>
      <c r="O35" s="30"/>
      <c r="P35" s="58"/>
      <c r="Q35" s="30"/>
      <c r="R35" s="135"/>
      <c r="S35" s="217"/>
      <c r="T35" s="292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2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2"/>
      <c r="C36" s="29" t="s">
        <v>32</v>
      </c>
      <c r="D36" s="191"/>
      <c r="E36" s="58"/>
      <c r="F36" s="192"/>
      <c r="G36" s="192"/>
      <c r="H36" s="192"/>
      <c r="I36" s="64"/>
      <c r="J36" s="64"/>
      <c r="K36" s="193"/>
      <c r="L36" s="263"/>
      <c r="M36" s="263"/>
      <c r="N36" s="58"/>
      <c r="O36" s="30"/>
      <c r="P36" s="58"/>
      <c r="Q36" s="30"/>
      <c r="R36" s="135"/>
      <c r="S36" s="217"/>
      <c r="T36" s="292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2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2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2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2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4" t="s">
        <v>67</v>
      </c>
      <c r="C38" s="27" t="s">
        <v>28</v>
      </c>
      <c r="D38" s="41"/>
      <c r="E38" s="57"/>
      <c r="F38" s="99"/>
      <c r="G38" s="99"/>
      <c r="H38" s="99"/>
      <c r="I38" s="62"/>
      <c r="J38" s="62"/>
      <c r="K38" s="63"/>
      <c r="L38" s="262"/>
      <c r="M38" s="262"/>
      <c r="N38" s="57"/>
      <c r="O38" s="28"/>
      <c r="P38" s="57"/>
      <c r="Q38" s="28"/>
      <c r="R38" s="134"/>
      <c r="S38" s="217"/>
      <c r="T38" s="294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4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2"/>
      <c r="C39" s="29" t="s">
        <v>29</v>
      </c>
      <c r="D39" s="191"/>
      <c r="E39" s="58"/>
      <c r="F39" s="192"/>
      <c r="G39" s="192"/>
      <c r="H39" s="192"/>
      <c r="I39" s="64"/>
      <c r="J39" s="64"/>
      <c r="K39" s="193"/>
      <c r="L39" s="263"/>
      <c r="M39" s="263"/>
      <c r="N39" s="58"/>
      <c r="O39" s="30"/>
      <c r="P39" s="58"/>
      <c r="Q39" s="30"/>
      <c r="R39" s="135"/>
      <c r="S39" s="217"/>
      <c r="T39" s="292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2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2"/>
      <c r="C40" s="29" t="s">
        <v>30</v>
      </c>
      <c r="D40" s="191"/>
      <c r="E40" s="58"/>
      <c r="F40" s="192"/>
      <c r="G40" s="192"/>
      <c r="H40" s="192"/>
      <c r="I40" s="64"/>
      <c r="J40" s="64"/>
      <c r="K40" s="193"/>
      <c r="L40" s="263"/>
      <c r="M40" s="263"/>
      <c r="N40" s="58"/>
      <c r="O40" s="30"/>
      <c r="P40" s="58"/>
      <c r="Q40" s="30"/>
      <c r="R40" s="135"/>
      <c r="S40" s="217"/>
      <c r="T40" s="292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2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2"/>
      <c r="C41" s="29" t="s">
        <v>32</v>
      </c>
      <c r="D41" s="191"/>
      <c r="E41" s="58"/>
      <c r="F41" s="192"/>
      <c r="G41" s="192"/>
      <c r="H41" s="192"/>
      <c r="I41" s="64"/>
      <c r="J41" s="64"/>
      <c r="K41" s="193"/>
      <c r="L41" s="263"/>
      <c r="M41" s="263"/>
      <c r="N41" s="58"/>
      <c r="O41" s="30"/>
      <c r="P41" s="58"/>
      <c r="Q41" s="30"/>
      <c r="R41" s="135"/>
      <c r="S41" s="217"/>
      <c r="T41" s="292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2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2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2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2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4" t="s">
        <v>68</v>
      </c>
      <c r="C43" s="27" t="s">
        <v>28</v>
      </c>
      <c r="D43" s="41"/>
      <c r="E43" s="57"/>
      <c r="F43" s="99"/>
      <c r="G43" s="99"/>
      <c r="H43" s="99"/>
      <c r="I43" s="62"/>
      <c r="J43" s="62"/>
      <c r="K43" s="63"/>
      <c r="L43" s="262"/>
      <c r="M43" s="262"/>
      <c r="N43" s="57"/>
      <c r="O43" s="28"/>
      <c r="P43" s="57"/>
      <c r="Q43" s="28"/>
      <c r="R43" s="134"/>
      <c r="S43" s="217"/>
      <c r="T43" s="294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4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2"/>
      <c r="C44" s="29" t="s">
        <v>29</v>
      </c>
      <c r="D44" s="191"/>
      <c r="E44" s="58"/>
      <c r="F44" s="192"/>
      <c r="G44" s="192"/>
      <c r="H44" s="192"/>
      <c r="I44" s="64"/>
      <c r="J44" s="64"/>
      <c r="K44" s="193"/>
      <c r="L44" s="263"/>
      <c r="M44" s="263"/>
      <c r="N44" s="58"/>
      <c r="O44" s="30"/>
      <c r="P44" s="58"/>
      <c r="Q44" s="30"/>
      <c r="R44" s="135"/>
      <c r="S44" s="217"/>
      <c r="T44" s="292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2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2"/>
      <c r="C45" s="29" t="s">
        <v>30</v>
      </c>
      <c r="D45" s="191"/>
      <c r="E45" s="58"/>
      <c r="F45" s="192"/>
      <c r="G45" s="192"/>
      <c r="H45" s="192"/>
      <c r="I45" s="64"/>
      <c r="J45" s="64"/>
      <c r="K45" s="193"/>
      <c r="L45" s="263"/>
      <c r="M45" s="263"/>
      <c r="N45" s="58"/>
      <c r="O45" s="30"/>
      <c r="P45" s="58"/>
      <c r="Q45" s="30"/>
      <c r="R45" s="135"/>
      <c r="S45" s="217"/>
      <c r="T45" s="292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2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2"/>
      <c r="C46" s="29" t="s">
        <v>32</v>
      </c>
      <c r="D46" s="191"/>
      <c r="E46" s="58"/>
      <c r="F46" s="192"/>
      <c r="G46" s="192"/>
      <c r="H46" s="192"/>
      <c r="I46" s="64"/>
      <c r="J46" s="64"/>
      <c r="K46" s="193"/>
      <c r="L46" s="263"/>
      <c r="M46" s="263"/>
      <c r="N46" s="58"/>
      <c r="O46" s="30"/>
      <c r="P46" s="58"/>
      <c r="Q46" s="30"/>
      <c r="R46" s="135"/>
      <c r="S46" s="217"/>
      <c r="T46" s="292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2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2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2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2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4" t="s">
        <v>69</v>
      </c>
      <c r="C48" s="27" t="s">
        <v>28</v>
      </c>
      <c r="D48" s="41"/>
      <c r="E48" s="57"/>
      <c r="F48" s="99"/>
      <c r="G48" s="99"/>
      <c r="H48" s="99"/>
      <c r="I48" s="62"/>
      <c r="J48" s="62"/>
      <c r="K48" s="63"/>
      <c r="L48" s="262"/>
      <c r="M48" s="262"/>
      <c r="N48" s="57"/>
      <c r="O48" s="28"/>
      <c r="P48" s="57"/>
      <c r="Q48" s="28"/>
      <c r="R48" s="134"/>
      <c r="S48" s="217"/>
      <c r="T48" s="294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4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2"/>
      <c r="C49" s="29" t="s">
        <v>29</v>
      </c>
      <c r="D49" s="191"/>
      <c r="E49" s="58"/>
      <c r="F49" s="192"/>
      <c r="G49" s="192"/>
      <c r="H49" s="192"/>
      <c r="I49" s="64"/>
      <c r="J49" s="64"/>
      <c r="K49" s="193"/>
      <c r="L49" s="263"/>
      <c r="M49" s="263"/>
      <c r="N49" s="58"/>
      <c r="O49" s="30"/>
      <c r="P49" s="58"/>
      <c r="Q49" s="30"/>
      <c r="R49" s="135"/>
      <c r="S49" s="217"/>
      <c r="T49" s="292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2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2"/>
      <c r="C50" s="29" t="s">
        <v>30</v>
      </c>
      <c r="D50" s="191"/>
      <c r="E50" s="58"/>
      <c r="F50" s="192"/>
      <c r="G50" s="192"/>
      <c r="H50" s="192"/>
      <c r="I50" s="64"/>
      <c r="J50" s="64"/>
      <c r="K50" s="193"/>
      <c r="L50" s="263"/>
      <c r="M50" s="263"/>
      <c r="N50" s="58"/>
      <c r="O50" s="30"/>
      <c r="P50" s="58"/>
      <c r="Q50" s="30"/>
      <c r="R50" s="135"/>
      <c r="S50" s="217"/>
      <c r="T50" s="292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2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2"/>
      <c r="C51" s="29" t="s">
        <v>32</v>
      </c>
      <c r="D51" s="191"/>
      <c r="E51" s="58"/>
      <c r="F51" s="192"/>
      <c r="G51" s="192"/>
      <c r="H51" s="192"/>
      <c r="I51" s="64"/>
      <c r="J51" s="64"/>
      <c r="K51" s="193"/>
      <c r="L51" s="263"/>
      <c r="M51" s="263"/>
      <c r="N51" s="58"/>
      <c r="O51" s="30"/>
      <c r="P51" s="58"/>
      <c r="Q51" s="30"/>
      <c r="R51" s="135"/>
      <c r="S51" s="217"/>
      <c r="T51" s="292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2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2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2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2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4" t="s">
        <v>70</v>
      </c>
      <c r="C53" s="27" t="s">
        <v>28</v>
      </c>
      <c r="D53" s="41"/>
      <c r="E53" s="57"/>
      <c r="F53" s="99"/>
      <c r="G53" s="99"/>
      <c r="H53" s="99"/>
      <c r="I53" s="62"/>
      <c r="J53" s="62"/>
      <c r="K53" s="63"/>
      <c r="L53" s="262"/>
      <c r="M53" s="262"/>
      <c r="N53" s="57"/>
      <c r="O53" s="28"/>
      <c r="P53" s="57"/>
      <c r="Q53" s="28"/>
      <c r="R53" s="134"/>
      <c r="S53" s="217"/>
      <c r="T53" s="294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4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2"/>
      <c r="C54" s="29" t="s">
        <v>29</v>
      </c>
      <c r="D54" s="191"/>
      <c r="E54" s="58"/>
      <c r="F54" s="192"/>
      <c r="G54" s="192"/>
      <c r="H54" s="192"/>
      <c r="I54" s="64"/>
      <c r="J54" s="64"/>
      <c r="K54" s="193"/>
      <c r="L54" s="263"/>
      <c r="M54" s="263"/>
      <c r="N54" s="58"/>
      <c r="O54" s="30"/>
      <c r="P54" s="58"/>
      <c r="Q54" s="30"/>
      <c r="R54" s="135"/>
      <c r="S54" s="217"/>
      <c r="T54" s="292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2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2"/>
      <c r="C55" s="29" t="s">
        <v>30</v>
      </c>
      <c r="D55" s="191"/>
      <c r="E55" s="58"/>
      <c r="F55" s="192"/>
      <c r="G55" s="192"/>
      <c r="H55" s="192"/>
      <c r="I55" s="64"/>
      <c r="J55" s="64"/>
      <c r="K55" s="193"/>
      <c r="L55" s="263"/>
      <c r="M55" s="263"/>
      <c r="N55" s="58"/>
      <c r="O55" s="30"/>
      <c r="P55" s="58"/>
      <c r="Q55" s="30"/>
      <c r="R55" s="135"/>
      <c r="S55" s="217"/>
      <c r="T55" s="292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2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2"/>
      <c r="C56" s="29" t="s">
        <v>32</v>
      </c>
      <c r="D56" s="191"/>
      <c r="E56" s="58"/>
      <c r="F56" s="192"/>
      <c r="G56" s="192"/>
      <c r="H56" s="192"/>
      <c r="I56" s="64"/>
      <c r="J56" s="64"/>
      <c r="K56" s="193"/>
      <c r="L56" s="263"/>
      <c r="M56" s="263"/>
      <c r="N56" s="58"/>
      <c r="O56" s="30"/>
      <c r="P56" s="58"/>
      <c r="Q56" s="30"/>
      <c r="R56" s="135"/>
      <c r="S56" s="217"/>
      <c r="T56" s="292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2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2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2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2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4" t="s">
        <v>71</v>
      </c>
      <c r="C58" s="27" t="s">
        <v>28</v>
      </c>
      <c r="D58" s="41"/>
      <c r="E58" s="57"/>
      <c r="F58" s="99"/>
      <c r="G58" s="99"/>
      <c r="H58" s="99"/>
      <c r="I58" s="62"/>
      <c r="J58" s="62"/>
      <c r="K58" s="63"/>
      <c r="L58" s="262"/>
      <c r="M58" s="262"/>
      <c r="N58" s="57"/>
      <c r="O58" s="28"/>
      <c r="P58" s="57"/>
      <c r="Q58" s="28"/>
      <c r="R58" s="134"/>
      <c r="S58" s="217"/>
      <c r="T58" s="294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4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2"/>
      <c r="C59" s="29" t="s">
        <v>29</v>
      </c>
      <c r="D59" s="191"/>
      <c r="E59" s="58"/>
      <c r="F59" s="192"/>
      <c r="G59" s="192"/>
      <c r="H59" s="192"/>
      <c r="I59" s="64"/>
      <c r="J59" s="64"/>
      <c r="K59" s="193"/>
      <c r="L59" s="263"/>
      <c r="M59" s="263"/>
      <c r="N59" s="58"/>
      <c r="O59" s="30"/>
      <c r="P59" s="58"/>
      <c r="Q59" s="30"/>
      <c r="R59" s="135"/>
      <c r="S59" s="217"/>
      <c r="T59" s="292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2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2"/>
      <c r="C60" s="29" t="s">
        <v>30</v>
      </c>
      <c r="D60" s="191"/>
      <c r="E60" s="58"/>
      <c r="F60" s="192"/>
      <c r="G60" s="192"/>
      <c r="H60" s="192"/>
      <c r="I60" s="64"/>
      <c r="J60" s="64"/>
      <c r="K60" s="193"/>
      <c r="L60" s="263"/>
      <c r="M60" s="263"/>
      <c r="N60" s="58"/>
      <c r="O60" s="30"/>
      <c r="P60" s="58"/>
      <c r="Q60" s="30"/>
      <c r="R60" s="135"/>
      <c r="S60" s="217"/>
      <c r="T60" s="292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2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2"/>
      <c r="C61" s="29" t="s">
        <v>32</v>
      </c>
      <c r="D61" s="191"/>
      <c r="E61" s="58"/>
      <c r="F61" s="192"/>
      <c r="G61" s="192"/>
      <c r="H61" s="192"/>
      <c r="I61" s="64"/>
      <c r="J61" s="64"/>
      <c r="K61" s="193"/>
      <c r="L61" s="263"/>
      <c r="M61" s="263"/>
      <c r="N61" s="58"/>
      <c r="O61" s="30"/>
      <c r="P61" s="58"/>
      <c r="Q61" s="30"/>
      <c r="R61" s="135"/>
      <c r="S61" s="217"/>
      <c r="T61" s="292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2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2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2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2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4" t="s">
        <v>72</v>
      </c>
      <c r="C63" s="27" t="s">
        <v>28</v>
      </c>
      <c r="D63" s="41"/>
      <c r="E63" s="57"/>
      <c r="F63" s="99"/>
      <c r="G63" s="99"/>
      <c r="H63" s="99"/>
      <c r="I63" s="62"/>
      <c r="J63" s="62"/>
      <c r="K63" s="63"/>
      <c r="L63" s="262"/>
      <c r="M63" s="262"/>
      <c r="N63" s="57"/>
      <c r="O63" s="28"/>
      <c r="P63" s="57"/>
      <c r="Q63" s="28"/>
      <c r="R63" s="134"/>
      <c r="S63" s="217"/>
      <c r="T63" s="294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4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2"/>
      <c r="C64" s="29" t="s">
        <v>29</v>
      </c>
      <c r="D64" s="191"/>
      <c r="E64" s="58"/>
      <c r="F64" s="192"/>
      <c r="G64" s="192"/>
      <c r="H64" s="192"/>
      <c r="I64" s="64"/>
      <c r="J64" s="64"/>
      <c r="K64" s="193"/>
      <c r="L64" s="263"/>
      <c r="M64" s="263"/>
      <c r="N64" s="58"/>
      <c r="O64" s="30"/>
      <c r="P64" s="58"/>
      <c r="Q64" s="30"/>
      <c r="R64" s="135"/>
      <c r="S64" s="217"/>
      <c r="T64" s="292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2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2"/>
      <c r="C65" s="29" t="s">
        <v>30</v>
      </c>
      <c r="D65" s="191"/>
      <c r="E65" s="58"/>
      <c r="F65" s="192"/>
      <c r="G65" s="192"/>
      <c r="H65" s="192"/>
      <c r="I65" s="64"/>
      <c r="J65" s="64"/>
      <c r="K65" s="193"/>
      <c r="L65" s="263"/>
      <c r="M65" s="263"/>
      <c r="N65" s="58"/>
      <c r="O65" s="30"/>
      <c r="P65" s="58"/>
      <c r="Q65" s="30"/>
      <c r="R65" s="135"/>
      <c r="S65" s="217"/>
      <c r="T65" s="292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2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2"/>
      <c r="C66" s="29" t="s">
        <v>32</v>
      </c>
      <c r="D66" s="191"/>
      <c r="E66" s="58"/>
      <c r="F66" s="192"/>
      <c r="G66" s="192"/>
      <c r="H66" s="192"/>
      <c r="I66" s="64"/>
      <c r="J66" s="64"/>
      <c r="K66" s="193"/>
      <c r="L66" s="263"/>
      <c r="M66" s="263"/>
      <c r="N66" s="58"/>
      <c r="O66" s="30"/>
      <c r="P66" s="58"/>
      <c r="Q66" s="30"/>
      <c r="R66" s="135"/>
      <c r="S66" s="217"/>
      <c r="T66" s="292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2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2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2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2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4" t="s">
        <v>73</v>
      </c>
      <c r="C68" s="27" t="s">
        <v>28</v>
      </c>
      <c r="D68" s="41"/>
      <c r="E68" s="57"/>
      <c r="F68" s="99"/>
      <c r="G68" s="99"/>
      <c r="H68" s="99"/>
      <c r="I68" s="62"/>
      <c r="J68" s="62"/>
      <c r="K68" s="63"/>
      <c r="L68" s="262"/>
      <c r="M68" s="262"/>
      <c r="N68" s="57"/>
      <c r="O68" s="28"/>
      <c r="P68" s="57"/>
      <c r="Q68" s="28"/>
      <c r="R68" s="134"/>
      <c r="S68" s="217"/>
      <c r="T68" s="294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4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2"/>
      <c r="C69" s="29" t="s">
        <v>29</v>
      </c>
      <c r="D69" s="191"/>
      <c r="E69" s="58"/>
      <c r="F69" s="192"/>
      <c r="G69" s="192"/>
      <c r="H69" s="192"/>
      <c r="I69" s="64"/>
      <c r="J69" s="64"/>
      <c r="K69" s="193"/>
      <c r="L69" s="263"/>
      <c r="M69" s="263"/>
      <c r="N69" s="58"/>
      <c r="O69" s="30"/>
      <c r="P69" s="58"/>
      <c r="Q69" s="30"/>
      <c r="R69" s="135"/>
      <c r="S69" s="217"/>
      <c r="T69" s="292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2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2"/>
      <c r="C70" s="29" t="s">
        <v>30</v>
      </c>
      <c r="D70" s="191"/>
      <c r="E70" s="58"/>
      <c r="F70" s="192"/>
      <c r="G70" s="192"/>
      <c r="H70" s="192"/>
      <c r="I70" s="64"/>
      <c r="J70" s="64"/>
      <c r="K70" s="193"/>
      <c r="L70" s="263"/>
      <c r="M70" s="263"/>
      <c r="N70" s="58"/>
      <c r="O70" s="30"/>
      <c r="P70" s="58"/>
      <c r="Q70" s="30"/>
      <c r="R70" s="135"/>
      <c r="S70" s="217"/>
      <c r="T70" s="292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2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2"/>
      <c r="C71" s="29" t="s">
        <v>32</v>
      </c>
      <c r="D71" s="191"/>
      <c r="E71" s="58"/>
      <c r="F71" s="192"/>
      <c r="G71" s="192"/>
      <c r="H71" s="192"/>
      <c r="I71" s="64"/>
      <c r="J71" s="64"/>
      <c r="K71" s="193"/>
      <c r="L71" s="263"/>
      <c r="M71" s="263"/>
      <c r="N71" s="58"/>
      <c r="O71" s="30"/>
      <c r="P71" s="58"/>
      <c r="Q71" s="30"/>
      <c r="R71" s="135"/>
      <c r="S71" s="217"/>
      <c r="T71" s="292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2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2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2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2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4" t="s">
        <v>74</v>
      </c>
      <c r="C73" s="27" t="s">
        <v>28</v>
      </c>
      <c r="D73" s="41"/>
      <c r="E73" s="57"/>
      <c r="F73" s="99"/>
      <c r="G73" s="99"/>
      <c r="H73" s="99"/>
      <c r="I73" s="62"/>
      <c r="J73" s="62"/>
      <c r="K73" s="63"/>
      <c r="L73" s="262"/>
      <c r="M73" s="262"/>
      <c r="N73" s="57"/>
      <c r="O73" s="28"/>
      <c r="P73" s="57"/>
      <c r="Q73" s="28"/>
      <c r="R73" s="134"/>
      <c r="S73" s="217"/>
      <c r="T73" s="294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4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2"/>
      <c r="C74" s="29" t="s">
        <v>29</v>
      </c>
      <c r="D74" s="191"/>
      <c r="E74" s="58"/>
      <c r="F74" s="192"/>
      <c r="G74" s="192"/>
      <c r="H74" s="192"/>
      <c r="I74" s="64"/>
      <c r="J74" s="64"/>
      <c r="K74" s="193"/>
      <c r="L74" s="263"/>
      <c r="M74" s="263"/>
      <c r="N74" s="58"/>
      <c r="O74" s="30"/>
      <c r="P74" s="58"/>
      <c r="Q74" s="30"/>
      <c r="R74" s="135"/>
      <c r="S74" s="217"/>
      <c r="T74" s="292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2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2"/>
      <c r="C75" s="29" t="s">
        <v>30</v>
      </c>
      <c r="D75" s="191"/>
      <c r="E75" s="58"/>
      <c r="F75" s="192"/>
      <c r="G75" s="192"/>
      <c r="H75" s="192"/>
      <c r="I75" s="64"/>
      <c r="J75" s="64"/>
      <c r="K75" s="193"/>
      <c r="L75" s="263"/>
      <c r="M75" s="263"/>
      <c r="N75" s="58"/>
      <c r="O75" s="30"/>
      <c r="P75" s="58"/>
      <c r="Q75" s="30"/>
      <c r="R75" s="135"/>
      <c r="S75" s="217"/>
      <c r="T75" s="292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2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2"/>
      <c r="C76" s="29" t="s">
        <v>32</v>
      </c>
      <c r="D76" s="191"/>
      <c r="E76" s="58"/>
      <c r="F76" s="192"/>
      <c r="G76" s="192"/>
      <c r="H76" s="192"/>
      <c r="I76" s="64"/>
      <c r="J76" s="64"/>
      <c r="K76" s="193"/>
      <c r="L76" s="263"/>
      <c r="M76" s="263"/>
      <c r="N76" s="58"/>
      <c r="O76" s="30"/>
      <c r="P76" s="58"/>
      <c r="Q76" s="30"/>
      <c r="R76" s="135"/>
      <c r="S76" s="217"/>
      <c r="T76" s="292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2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2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2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2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4" t="s">
        <v>75</v>
      </c>
      <c r="C78" s="27" t="s">
        <v>28</v>
      </c>
      <c r="D78" s="41"/>
      <c r="E78" s="57"/>
      <c r="F78" s="99"/>
      <c r="G78" s="99"/>
      <c r="H78" s="99"/>
      <c r="I78" s="62"/>
      <c r="J78" s="62"/>
      <c r="K78" s="63"/>
      <c r="L78" s="262"/>
      <c r="M78" s="262"/>
      <c r="N78" s="57"/>
      <c r="O78" s="28"/>
      <c r="P78" s="57"/>
      <c r="Q78" s="28"/>
      <c r="R78" s="134"/>
      <c r="S78" s="217"/>
      <c r="T78" s="294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4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2"/>
      <c r="C79" s="29" t="s">
        <v>29</v>
      </c>
      <c r="D79" s="191"/>
      <c r="E79" s="58"/>
      <c r="F79" s="192"/>
      <c r="G79" s="192"/>
      <c r="H79" s="192"/>
      <c r="I79" s="64"/>
      <c r="J79" s="64"/>
      <c r="K79" s="193"/>
      <c r="L79" s="263"/>
      <c r="M79" s="263"/>
      <c r="N79" s="58"/>
      <c r="O79" s="30"/>
      <c r="P79" s="58"/>
      <c r="Q79" s="30"/>
      <c r="R79" s="135"/>
      <c r="S79" s="217"/>
      <c r="T79" s="292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2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2"/>
      <c r="C80" s="29" t="s">
        <v>30</v>
      </c>
      <c r="D80" s="191"/>
      <c r="E80" s="58"/>
      <c r="F80" s="192"/>
      <c r="G80" s="192"/>
      <c r="H80" s="192"/>
      <c r="I80" s="64"/>
      <c r="J80" s="64"/>
      <c r="K80" s="193"/>
      <c r="L80" s="263"/>
      <c r="M80" s="263"/>
      <c r="N80" s="58"/>
      <c r="O80" s="30"/>
      <c r="P80" s="58"/>
      <c r="Q80" s="30"/>
      <c r="R80" s="135"/>
      <c r="S80" s="217"/>
      <c r="T80" s="292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2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2"/>
      <c r="C81" s="29" t="s">
        <v>32</v>
      </c>
      <c r="D81" s="191"/>
      <c r="E81" s="58"/>
      <c r="F81" s="192"/>
      <c r="G81" s="192"/>
      <c r="H81" s="192"/>
      <c r="I81" s="64"/>
      <c r="J81" s="64"/>
      <c r="K81" s="193"/>
      <c r="L81" s="263"/>
      <c r="M81" s="263"/>
      <c r="N81" s="58"/>
      <c r="O81" s="30"/>
      <c r="P81" s="58"/>
      <c r="Q81" s="30"/>
      <c r="R81" s="135"/>
      <c r="S81" s="217"/>
      <c r="T81" s="292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2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2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2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2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1" t="s">
        <v>76</v>
      </c>
      <c r="C83" s="27" t="s">
        <v>28</v>
      </c>
      <c r="D83" s="41"/>
      <c r="E83" s="57"/>
      <c r="F83" s="99"/>
      <c r="G83" s="99"/>
      <c r="H83" s="99"/>
      <c r="I83" s="62"/>
      <c r="J83" s="62"/>
      <c r="K83" s="63"/>
      <c r="L83" s="262"/>
      <c r="M83" s="262"/>
      <c r="N83" s="57"/>
      <c r="O83" s="28"/>
      <c r="P83" s="57"/>
      <c r="Q83" s="28"/>
      <c r="R83" s="134"/>
      <c r="S83" s="217"/>
      <c r="T83" s="291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91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2"/>
      <c r="C84" s="29" t="s">
        <v>29</v>
      </c>
      <c r="D84" s="191"/>
      <c r="E84" s="58"/>
      <c r="F84" s="192"/>
      <c r="G84" s="192"/>
      <c r="H84" s="192"/>
      <c r="I84" s="64"/>
      <c r="J84" s="64"/>
      <c r="K84" s="193"/>
      <c r="L84" s="263"/>
      <c r="M84" s="263"/>
      <c r="N84" s="58"/>
      <c r="O84" s="30"/>
      <c r="P84" s="58"/>
      <c r="Q84" s="30"/>
      <c r="R84" s="135"/>
      <c r="S84" s="217"/>
      <c r="T84" s="292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2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2"/>
      <c r="C85" s="29" t="s">
        <v>30</v>
      </c>
      <c r="D85" s="191"/>
      <c r="E85" s="58"/>
      <c r="F85" s="192"/>
      <c r="G85" s="192"/>
      <c r="H85" s="192"/>
      <c r="I85" s="64"/>
      <c r="J85" s="64"/>
      <c r="K85" s="193"/>
      <c r="L85" s="263"/>
      <c r="M85" s="263"/>
      <c r="N85" s="58"/>
      <c r="O85" s="30"/>
      <c r="P85" s="58"/>
      <c r="Q85" s="30"/>
      <c r="R85" s="135"/>
      <c r="S85" s="217"/>
      <c r="T85" s="292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2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2"/>
      <c r="C86" s="29" t="s">
        <v>32</v>
      </c>
      <c r="D86" s="191"/>
      <c r="E86" s="58"/>
      <c r="F86" s="192"/>
      <c r="G86" s="192"/>
      <c r="H86" s="192"/>
      <c r="I86" s="64"/>
      <c r="J86" s="64"/>
      <c r="K86" s="193"/>
      <c r="L86" s="263"/>
      <c r="M86" s="263"/>
      <c r="N86" s="58"/>
      <c r="O86" s="30"/>
      <c r="P86" s="58"/>
      <c r="Q86" s="30"/>
      <c r="R86" s="135"/>
      <c r="S86" s="217"/>
      <c r="T86" s="292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2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3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3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3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1" t="s">
        <v>77</v>
      </c>
      <c r="C88" s="27" t="s">
        <v>28</v>
      </c>
      <c r="D88" s="41"/>
      <c r="E88" s="57"/>
      <c r="F88" s="99"/>
      <c r="G88" s="99"/>
      <c r="H88" s="99"/>
      <c r="I88" s="62"/>
      <c r="J88" s="62"/>
      <c r="K88" s="63"/>
      <c r="L88" s="262"/>
      <c r="M88" s="262"/>
      <c r="N88" s="57"/>
      <c r="O88" s="28"/>
      <c r="P88" s="57"/>
      <c r="Q88" s="28"/>
      <c r="R88" s="134"/>
      <c r="S88" s="217"/>
      <c r="T88" s="291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91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2"/>
      <c r="C89" s="29" t="s">
        <v>29</v>
      </c>
      <c r="D89" s="191"/>
      <c r="E89" s="58"/>
      <c r="F89" s="192"/>
      <c r="G89" s="192"/>
      <c r="H89" s="192"/>
      <c r="I89" s="64"/>
      <c r="J89" s="64"/>
      <c r="K89" s="193"/>
      <c r="L89" s="263"/>
      <c r="M89" s="263"/>
      <c r="N89" s="58"/>
      <c r="O89" s="30"/>
      <c r="P89" s="58"/>
      <c r="Q89" s="30"/>
      <c r="R89" s="135"/>
      <c r="S89" s="217"/>
      <c r="T89" s="292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2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2"/>
      <c r="C90" s="29" t="s">
        <v>30</v>
      </c>
      <c r="D90" s="191"/>
      <c r="E90" s="58"/>
      <c r="F90" s="192"/>
      <c r="G90" s="192"/>
      <c r="H90" s="192"/>
      <c r="I90" s="64"/>
      <c r="J90" s="64"/>
      <c r="K90" s="193"/>
      <c r="L90" s="263"/>
      <c r="M90" s="263"/>
      <c r="N90" s="58"/>
      <c r="O90" s="30"/>
      <c r="P90" s="58"/>
      <c r="Q90" s="30"/>
      <c r="R90" s="135"/>
      <c r="S90" s="217"/>
      <c r="T90" s="292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2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2"/>
      <c r="C91" s="29" t="s">
        <v>32</v>
      </c>
      <c r="D91" s="191"/>
      <c r="E91" s="58"/>
      <c r="F91" s="192"/>
      <c r="G91" s="192"/>
      <c r="H91" s="192"/>
      <c r="I91" s="64"/>
      <c r="J91" s="64"/>
      <c r="K91" s="193"/>
      <c r="L91" s="263"/>
      <c r="M91" s="263"/>
      <c r="N91" s="58"/>
      <c r="O91" s="30"/>
      <c r="P91" s="58"/>
      <c r="Q91" s="30"/>
      <c r="R91" s="135"/>
      <c r="S91" s="217"/>
      <c r="T91" s="292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2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3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3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3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1" t="s">
        <v>78</v>
      </c>
      <c r="C93" s="27" t="s">
        <v>28</v>
      </c>
      <c r="D93" s="41"/>
      <c r="E93" s="57"/>
      <c r="F93" s="99"/>
      <c r="G93" s="99"/>
      <c r="H93" s="99"/>
      <c r="I93" s="62"/>
      <c r="J93" s="62"/>
      <c r="K93" s="63"/>
      <c r="L93" s="262"/>
      <c r="M93" s="262"/>
      <c r="N93" s="57"/>
      <c r="O93" s="28"/>
      <c r="P93" s="57"/>
      <c r="Q93" s="28"/>
      <c r="R93" s="134"/>
      <c r="S93" s="217"/>
      <c r="T93" s="291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91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2"/>
      <c r="C94" s="29" t="s">
        <v>29</v>
      </c>
      <c r="D94" s="191"/>
      <c r="E94" s="58"/>
      <c r="F94" s="192"/>
      <c r="G94" s="192"/>
      <c r="H94" s="192"/>
      <c r="I94" s="64"/>
      <c r="J94" s="64"/>
      <c r="K94" s="193"/>
      <c r="L94" s="263"/>
      <c r="M94" s="263"/>
      <c r="N94" s="58"/>
      <c r="O94" s="30"/>
      <c r="P94" s="58"/>
      <c r="Q94" s="30"/>
      <c r="R94" s="135"/>
      <c r="S94" s="217"/>
      <c r="T94" s="292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2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2"/>
      <c r="C95" s="29" t="s">
        <v>30</v>
      </c>
      <c r="D95" s="191"/>
      <c r="E95" s="58"/>
      <c r="F95" s="192"/>
      <c r="G95" s="192"/>
      <c r="H95" s="192"/>
      <c r="I95" s="64"/>
      <c r="J95" s="64"/>
      <c r="K95" s="193"/>
      <c r="L95" s="263"/>
      <c r="M95" s="263"/>
      <c r="N95" s="58"/>
      <c r="O95" s="30"/>
      <c r="P95" s="58"/>
      <c r="Q95" s="30"/>
      <c r="R95" s="135"/>
      <c r="S95" s="217"/>
      <c r="T95" s="292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2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2"/>
      <c r="C96" s="29" t="s">
        <v>32</v>
      </c>
      <c r="D96" s="191"/>
      <c r="E96" s="58"/>
      <c r="F96" s="192"/>
      <c r="G96" s="192"/>
      <c r="H96" s="192"/>
      <c r="I96" s="64"/>
      <c r="J96" s="64"/>
      <c r="K96" s="193"/>
      <c r="L96" s="263"/>
      <c r="M96" s="263"/>
      <c r="N96" s="58"/>
      <c r="O96" s="30"/>
      <c r="P96" s="58"/>
      <c r="Q96" s="30"/>
      <c r="R96" s="135"/>
      <c r="S96" s="217"/>
      <c r="T96" s="292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2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3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3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3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1" t="s">
        <v>79</v>
      </c>
      <c r="C98" s="27" t="s">
        <v>28</v>
      </c>
      <c r="D98" s="41"/>
      <c r="E98" s="57"/>
      <c r="F98" s="99"/>
      <c r="G98" s="99"/>
      <c r="H98" s="99"/>
      <c r="I98" s="62"/>
      <c r="J98" s="62"/>
      <c r="K98" s="63"/>
      <c r="L98" s="262"/>
      <c r="M98" s="262"/>
      <c r="N98" s="57"/>
      <c r="O98" s="28"/>
      <c r="P98" s="57"/>
      <c r="Q98" s="28"/>
      <c r="R98" s="134"/>
      <c r="S98" s="217"/>
      <c r="T98" s="291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91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2"/>
      <c r="C99" s="29" t="s">
        <v>29</v>
      </c>
      <c r="D99" s="191"/>
      <c r="E99" s="58"/>
      <c r="F99" s="192"/>
      <c r="G99" s="192"/>
      <c r="H99" s="192"/>
      <c r="I99" s="64"/>
      <c r="J99" s="64"/>
      <c r="K99" s="193"/>
      <c r="L99" s="263"/>
      <c r="M99" s="263"/>
      <c r="N99" s="58"/>
      <c r="O99" s="30"/>
      <c r="P99" s="58"/>
      <c r="Q99" s="30"/>
      <c r="R99" s="135"/>
      <c r="S99" s="217"/>
      <c r="T99" s="292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2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2"/>
      <c r="C100" s="29" t="s">
        <v>30</v>
      </c>
      <c r="D100" s="191"/>
      <c r="E100" s="58"/>
      <c r="F100" s="192"/>
      <c r="G100" s="192"/>
      <c r="H100" s="192"/>
      <c r="I100" s="64"/>
      <c r="J100" s="64"/>
      <c r="K100" s="193"/>
      <c r="L100" s="263"/>
      <c r="M100" s="263"/>
      <c r="N100" s="58"/>
      <c r="O100" s="30"/>
      <c r="P100" s="58"/>
      <c r="Q100" s="30"/>
      <c r="R100" s="135"/>
      <c r="S100" s="217"/>
      <c r="T100" s="292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2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2"/>
      <c r="C101" s="29" t="s">
        <v>32</v>
      </c>
      <c r="D101" s="191"/>
      <c r="E101" s="58"/>
      <c r="F101" s="192"/>
      <c r="G101" s="192"/>
      <c r="H101" s="192"/>
      <c r="I101" s="64"/>
      <c r="J101" s="64"/>
      <c r="K101" s="193"/>
      <c r="L101" s="263"/>
      <c r="M101" s="263"/>
      <c r="N101" s="58"/>
      <c r="O101" s="30"/>
      <c r="P101" s="58"/>
      <c r="Q101" s="30"/>
      <c r="R101" s="135"/>
      <c r="S101" s="217"/>
      <c r="T101" s="292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2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3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3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3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1" t="s">
        <v>80</v>
      </c>
      <c r="C103" s="27" t="s">
        <v>28</v>
      </c>
      <c r="D103" s="41"/>
      <c r="E103" s="57"/>
      <c r="F103" s="99"/>
      <c r="G103" s="99"/>
      <c r="H103" s="99"/>
      <c r="I103" s="62"/>
      <c r="J103" s="62"/>
      <c r="K103" s="63"/>
      <c r="L103" s="262"/>
      <c r="M103" s="262"/>
      <c r="N103" s="57"/>
      <c r="O103" s="28"/>
      <c r="P103" s="57"/>
      <c r="Q103" s="28"/>
      <c r="R103" s="134"/>
      <c r="S103" s="217"/>
      <c r="T103" s="291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91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2"/>
      <c r="C104" s="29" t="s">
        <v>29</v>
      </c>
      <c r="D104" s="191"/>
      <c r="E104" s="58"/>
      <c r="F104" s="192"/>
      <c r="G104" s="192"/>
      <c r="H104" s="192"/>
      <c r="I104" s="64"/>
      <c r="J104" s="64"/>
      <c r="K104" s="193"/>
      <c r="L104" s="263"/>
      <c r="M104" s="263"/>
      <c r="N104" s="58"/>
      <c r="O104" s="30"/>
      <c r="P104" s="58"/>
      <c r="Q104" s="30"/>
      <c r="R104" s="135"/>
      <c r="S104" s="217"/>
      <c r="T104" s="292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2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2"/>
      <c r="C105" s="29" t="s">
        <v>30</v>
      </c>
      <c r="D105" s="191"/>
      <c r="E105" s="58"/>
      <c r="F105" s="192"/>
      <c r="G105" s="192"/>
      <c r="H105" s="192"/>
      <c r="I105" s="64"/>
      <c r="J105" s="64"/>
      <c r="K105" s="193"/>
      <c r="L105" s="263"/>
      <c r="M105" s="263"/>
      <c r="N105" s="58"/>
      <c r="O105" s="30"/>
      <c r="P105" s="58"/>
      <c r="Q105" s="30"/>
      <c r="R105" s="135"/>
      <c r="S105" s="217"/>
      <c r="T105" s="292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2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2"/>
      <c r="C106" s="29" t="s">
        <v>32</v>
      </c>
      <c r="D106" s="191"/>
      <c r="E106" s="58"/>
      <c r="F106" s="192"/>
      <c r="G106" s="192"/>
      <c r="H106" s="192"/>
      <c r="I106" s="64"/>
      <c r="J106" s="64"/>
      <c r="K106" s="193"/>
      <c r="L106" s="263"/>
      <c r="M106" s="263"/>
      <c r="N106" s="58"/>
      <c r="O106" s="30"/>
      <c r="P106" s="58"/>
      <c r="Q106" s="30"/>
      <c r="R106" s="135"/>
      <c r="S106" s="217"/>
      <c r="T106" s="292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2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3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3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3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1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91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91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2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2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2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2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2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2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2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2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2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3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3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3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1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91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91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2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2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2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2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2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2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2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2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2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3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3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3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1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91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91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2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2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2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2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2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2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2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2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2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3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3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3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1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91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91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2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2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2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2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2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2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2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2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2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3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3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3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1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91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91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2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2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2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2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2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2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2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2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2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3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3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3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1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91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91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2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2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2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2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2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2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2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2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2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3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3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3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1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91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91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2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2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2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2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2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2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2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2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2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3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3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3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1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91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91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2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2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2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2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2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2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2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2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2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3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3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3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1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91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91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2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2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2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2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2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2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2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2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2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3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3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3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1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91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91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2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2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2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2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2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2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2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2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2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3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3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3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1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91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91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2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2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2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2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2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2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2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2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2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3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3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3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1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91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91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2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2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2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2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2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2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2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2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2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3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3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3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1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91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91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2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2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2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2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2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2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2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2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2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3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3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3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1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91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91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2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2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2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2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2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2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2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2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2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3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3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3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1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91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91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2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2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2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2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2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2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2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2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2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3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3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3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1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91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91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2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2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2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2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2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2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2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2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2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3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3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3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1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91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91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2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2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2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2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2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2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2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2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2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3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3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3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1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91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91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2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2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2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2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2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2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2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2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2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3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3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3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1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91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91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2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2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2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2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2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2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2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2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2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3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3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3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1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91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91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2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2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2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2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2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2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2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2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2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3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3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3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1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91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91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2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2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2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2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2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2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2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2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2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3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3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3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1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91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91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2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2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2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2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2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2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2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2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2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3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3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3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1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91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91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2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2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2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2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2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2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2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2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2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3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3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3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1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91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91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2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2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2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2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2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2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2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2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2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3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3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3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1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91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91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2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2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2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2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2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2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2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2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2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3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3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3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1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91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91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2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2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2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2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2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2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2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2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2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3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3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3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1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91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91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2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2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2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2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2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2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2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2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2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3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3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3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1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91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91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2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2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2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2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2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2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2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2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2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3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3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3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1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91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91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2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2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2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2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2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2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2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2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2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3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3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3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1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91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91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2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2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2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2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2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2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2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2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2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3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3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3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1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91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91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2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2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2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2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2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2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2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2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2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3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3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3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1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91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91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2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2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2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2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2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2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2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2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2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3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3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3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1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91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91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2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2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2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2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2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2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2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2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2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3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3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3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1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91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91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2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2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2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2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2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2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2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2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2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3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3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3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1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91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91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2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2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2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2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2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2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2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2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2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3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3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3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1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91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91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2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2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2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2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2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2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2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2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2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3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3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3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1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91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91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2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2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2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2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2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2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2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2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2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3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3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3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1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91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91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2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2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2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2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2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2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2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2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2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3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3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3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1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91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91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2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2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2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2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2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2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2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2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2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3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3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3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1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91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91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2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2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2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2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2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2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2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2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2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3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3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3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1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91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91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2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2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2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2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2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2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2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2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2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3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3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3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1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91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91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2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2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2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2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2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2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2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2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2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3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3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3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1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91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91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2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2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2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2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2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2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2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2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2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3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3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3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1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91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91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2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2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2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2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2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2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2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2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2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3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3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3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1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91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91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2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2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2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2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2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2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2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2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2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3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3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3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1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91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91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2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2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2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2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2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2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2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2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2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3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3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3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1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91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91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2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2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2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2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2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2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2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2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2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3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3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3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1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91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91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2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2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2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2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2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2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2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2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2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3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3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3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1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91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91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2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2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2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2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2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2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2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2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2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3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3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3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1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91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91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2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2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2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2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2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2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2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2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2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3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3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3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1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91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91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2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2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2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2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2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2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2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2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2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3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3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3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1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91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91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2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2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2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2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2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2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2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2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2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3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3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3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1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91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91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2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2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2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2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2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2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2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2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2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3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3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3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1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91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91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2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2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2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2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2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2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2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2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2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3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3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3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1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91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91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2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2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2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2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2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2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2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2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2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3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3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3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1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91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91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2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2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2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2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2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2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2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2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2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3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3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3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1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91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91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2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2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2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2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2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2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2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2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2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3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3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3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1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91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91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2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2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2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2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2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2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2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2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2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3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3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3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1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91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91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2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2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2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2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2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2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2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2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2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3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3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3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1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91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91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2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2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2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2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2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2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2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2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2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3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3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3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1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91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91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2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2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2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2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2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2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2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2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2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3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3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3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1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91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91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2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2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2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2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2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2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2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2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2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3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3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3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1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91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91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2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2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2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2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2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2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2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2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2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3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3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3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1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91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91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2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2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2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2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2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2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2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2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2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3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3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3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1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91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91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2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2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2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2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2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2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2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2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2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3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3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3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1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91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91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2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2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2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2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2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2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2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2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2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3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3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3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1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91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91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2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2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2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2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2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2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2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2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2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3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3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3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1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91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91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2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2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2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2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2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2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2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2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2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3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3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3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1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91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91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2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2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2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2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2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2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2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2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2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3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3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3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1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91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91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2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2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2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2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2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2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2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2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2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3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3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3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1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91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91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2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2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2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2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2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2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2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2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2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3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3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3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1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91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91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2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2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2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2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2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2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2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2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2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3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3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3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1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91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91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2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2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2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2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2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2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2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2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2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3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3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3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1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91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91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2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2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2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2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2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2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2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2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2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3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3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3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1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91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91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2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2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2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2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2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2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2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2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2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3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3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3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1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91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91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2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2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2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2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2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2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2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2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2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3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3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3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1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91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91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2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2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2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2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2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2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2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2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2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3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3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3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1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91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91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2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2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2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2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2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2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2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2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2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3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3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3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1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91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91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2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2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2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2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2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2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2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2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2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3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3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3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1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91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91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2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2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2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2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2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2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2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2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2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3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3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3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1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91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91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2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2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2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2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2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2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2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2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2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3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3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3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1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91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91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2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2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2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2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2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2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2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2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2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3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3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3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1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91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91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2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2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2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2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2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2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2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2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2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3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3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3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1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91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91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2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2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2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2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2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2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2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2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2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3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3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3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1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91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91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2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2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2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2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2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2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2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2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2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3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3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3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1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91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91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2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2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2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2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2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2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2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2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2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3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3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3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1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91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91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2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2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2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2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2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2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2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2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2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3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3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3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1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91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91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2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2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2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2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2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2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2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2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2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3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3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3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1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91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91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2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2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2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2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2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2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2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2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2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3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3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3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1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91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91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2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2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2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2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2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2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2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2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2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3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3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3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1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91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91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2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2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2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2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2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2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2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2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2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3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3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3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1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91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91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2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2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2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2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2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2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2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2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2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3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3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3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1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91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91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2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2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2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2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2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2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2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2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2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3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3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3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1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91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91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2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2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2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2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2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2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2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2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2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3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3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3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1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91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91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2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2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2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2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2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2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2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2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2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3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3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3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1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91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91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2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2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2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2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2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2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2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2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2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3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3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3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1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91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91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2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2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2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2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2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2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2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2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2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3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3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3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1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91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91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2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2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2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2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2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2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2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2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2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3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3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3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1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91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91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2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2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2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2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2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2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2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2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2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3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3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3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1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91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91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2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2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2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2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2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2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2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2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2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3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3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3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1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91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91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2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2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2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2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2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2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2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2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2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3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3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3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1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91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91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2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2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2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2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2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2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2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2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2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3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3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3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1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91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91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2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2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2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2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2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2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2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2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2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3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3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3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1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91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91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2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2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2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2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2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2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2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2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2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3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3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3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1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91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91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2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2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2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2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2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2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2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2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2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3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3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3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1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91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91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2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2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2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2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2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2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2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2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2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3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3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3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1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8">
        <f t="shared" si="59"/>
        <v>0</v>
      </c>
      <c r="H641" s="138">
        <f t="shared" si="59"/>
        <v>0</v>
      </c>
      <c r="I641" s="138">
        <f t="shared" si="59"/>
        <v>0</v>
      </c>
      <c r="J641" s="138">
        <f t="shared" si="59"/>
        <v>0</v>
      </c>
      <c r="K641" s="112"/>
      <c r="L641" s="112"/>
      <c r="M641" s="112"/>
      <c r="N641" s="112"/>
      <c r="O641" s="267"/>
      <c r="P641" s="112"/>
      <c r="Q641" s="113"/>
      <c r="R641" s="114"/>
      <c r="T641" s="291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2"/>
      <c r="C642" s="29" t="s">
        <v>29</v>
      </c>
      <c r="D642" s="110"/>
      <c r="E642" s="268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5"/>
      <c r="L642" s="115"/>
      <c r="M642" s="115"/>
      <c r="N642" s="115"/>
      <c r="O642" s="269"/>
      <c r="P642" s="115"/>
      <c r="Q642" s="116"/>
      <c r="R642" s="117"/>
      <c r="T642" s="292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2"/>
      <c r="C643" s="29" t="s">
        <v>30</v>
      </c>
      <c r="D643" s="110"/>
      <c r="E643" s="268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5"/>
      <c r="L643" s="115"/>
      <c r="M643" s="115"/>
      <c r="N643" s="115"/>
      <c r="O643" s="269"/>
      <c r="P643" s="115"/>
      <c r="Q643" s="116"/>
      <c r="R643" s="117"/>
      <c r="T643" s="292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2"/>
      <c r="C644" s="29" t="s">
        <v>32</v>
      </c>
      <c r="D644" s="110"/>
      <c r="E644" s="268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5"/>
      <c r="L644" s="115"/>
      <c r="M644" s="115"/>
      <c r="N644" s="115"/>
      <c r="O644" s="269"/>
      <c r="P644" s="115"/>
      <c r="Q644" s="116"/>
      <c r="R644" s="117"/>
      <c r="T644" s="292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3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3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8">
        <f t="shared" si="61"/>
        <v>0</v>
      </c>
      <c r="H646" s="138">
        <f t="shared" si="61"/>
        <v>0</v>
      </c>
      <c r="I646" s="138">
        <f t="shared" si="61"/>
        <v>0</v>
      </c>
      <c r="J646" s="138">
        <f t="shared" si="61"/>
        <v>0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2"/>
      <c r="C647" s="29" t="s">
        <v>29</v>
      </c>
      <c r="D647" s="110"/>
      <c r="E647" s="268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5"/>
      <c r="L647" s="115"/>
      <c r="M647" s="115"/>
      <c r="N647" s="115"/>
      <c r="O647" s="269"/>
      <c r="P647" s="115"/>
      <c r="Q647" s="116"/>
      <c r="R647" s="117"/>
      <c r="T647" s="292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2"/>
      <c r="C648" s="29" t="s">
        <v>30</v>
      </c>
      <c r="D648" s="110"/>
      <c r="E648" s="268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5"/>
      <c r="L648" s="115"/>
      <c r="M648" s="115"/>
      <c r="N648" s="115"/>
      <c r="O648" s="269"/>
      <c r="P648" s="115"/>
      <c r="Q648" s="116"/>
      <c r="R648" s="117"/>
      <c r="T648" s="292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2"/>
      <c r="C649" s="29" t="s">
        <v>32</v>
      </c>
      <c r="D649" s="110"/>
      <c r="E649" s="268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5"/>
      <c r="L649" s="115"/>
      <c r="M649" s="115"/>
      <c r="N649" s="115"/>
      <c r="O649" s="269"/>
      <c r="P649" s="115"/>
      <c r="Q649" s="116"/>
      <c r="R649" s="117"/>
      <c r="T649" s="292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3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3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0</v>
      </c>
      <c r="G651" s="138">
        <f t="shared" si="63"/>
        <v>0</v>
      </c>
      <c r="H651" s="138">
        <f t="shared" si="63"/>
        <v>0</v>
      </c>
      <c r="I651" s="138">
        <f t="shared" si="63"/>
        <v>0</v>
      </c>
      <c r="J651" s="138">
        <f t="shared" si="63"/>
        <v>0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2"/>
      <c r="C652" s="29" t="s">
        <v>29</v>
      </c>
      <c r="D652" s="110"/>
      <c r="E652" s="268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5"/>
      <c r="L652" s="115"/>
      <c r="M652" s="115"/>
      <c r="N652" s="115"/>
      <c r="O652" s="269"/>
      <c r="P652" s="115"/>
      <c r="Q652" s="116"/>
      <c r="R652" s="117"/>
      <c r="T652" s="292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2"/>
      <c r="C653" s="29" t="s">
        <v>30</v>
      </c>
      <c r="D653" s="110"/>
      <c r="E653" s="268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5"/>
      <c r="L653" s="115"/>
      <c r="M653" s="115"/>
      <c r="N653" s="115"/>
      <c r="O653" s="269"/>
      <c r="P653" s="115"/>
      <c r="Q653" s="116"/>
      <c r="R653" s="117"/>
      <c r="T653" s="292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2"/>
      <c r="C654" s="29" t="s">
        <v>32</v>
      </c>
      <c r="D654" s="110"/>
      <c r="E654" s="268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5"/>
      <c r="L654" s="115"/>
      <c r="M654" s="115"/>
      <c r="N654" s="115"/>
      <c r="O654" s="269"/>
      <c r="P654" s="115"/>
      <c r="Q654" s="116"/>
      <c r="R654" s="117"/>
      <c r="T654" s="292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3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3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14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4" t="str">
        <f>$B$2</f>
        <v>cinema_semitrack</v>
      </c>
      <c r="U2" s="295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6"/>
      <c r="AK2" s="216"/>
      <c r="AL2" s="164" t="str">
        <f>$B$2</f>
        <v>cinema_semitrack</v>
      </c>
      <c r="AM2" s="302" t="s">
        <v>44</v>
      </c>
      <c r="AN2" s="273"/>
      <c r="AO2" s="273"/>
      <c r="AP2" s="273"/>
      <c r="AQ2" s="296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10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10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7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28316.847999999998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2">
        <f t="shared" si="0"/>
        <v>33.832055285714283</v>
      </c>
      <c r="H5" s="32">
        <f t="shared" si="0"/>
        <v>0.96582942476190481</v>
      </c>
      <c r="I5" s="93">
        <f t="shared" si="0"/>
        <v>0.9725471133333331</v>
      </c>
      <c r="J5" s="93">
        <f t="shared" si="0"/>
        <v>6.5973396238095255E-2</v>
      </c>
      <c r="K5" s="57"/>
      <c r="L5" s="57"/>
      <c r="M5" s="57"/>
      <c r="N5" s="28"/>
      <c r="O5" s="58"/>
      <c r="P5" s="133">
        <f t="shared" ref="P5:Q8" si="1">P16</f>
        <v>21.984000000000002</v>
      </c>
      <c r="Q5" s="154">
        <f t="shared" si="1"/>
        <v>7.2809999999999997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7" t="s">
        <v>28</v>
      </c>
      <c r="V5" s="28"/>
      <c r="W5" s="129">
        <f>W23</f>
        <v>28276.047999999999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30.533488190476191</v>
      </c>
      <c r="Y5" s="32">
        <f t="shared" si="2"/>
        <v>34.457169095238093</v>
      </c>
      <c r="Z5" s="32">
        <f t="shared" si="2"/>
        <v>0.9660450561904762</v>
      </c>
      <c r="AA5" s="93">
        <f t="shared" si="2"/>
        <v>0.97320885523809508</v>
      </c>
      <c r="AB5" s="93">
        <f t="shared" si="2"/>
        <v>5.7060401714285704E-2</v>
      </c>
      <c r="AC5" s="57"/>
      <c r="AD5" s="57"/>
      <c r="AE5" s="57"/>
      <c r="AF5" s="28"/>
      <c r="AG5" s="243"/>
      <c r="AH5" s="133">
        <f t="shared" ref="AH5:AI8" si="3">AH16</f>
        <v>21.077999999999999</v>
      </c>
      <c r="AI5" s="154">
        <f t="shared" si="3"/>
        <v>7.468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>
        <f>bdrate($E5:$E8,F5:F8,$W5:$W8,X5:X8)</f>
        <v>-0.14063705160764717</v>
      </c>
      <c r="AN5" s="245">
        <f>bdrate($E5:$E8,G5:G8,$W5:$W8,Y5:Y8)</f>
        <v>-0.10990880197638075</v>
      </c>
      <c r="AO5" s="245">
        <f>bdrate($E5:$E8,H5:H8,$W5:$W8,Z5:Z8)</f>
        <v>-1.2071638997684153E-2</v>
      </c>
      <c r="AP5" s="245">
        <f>bdrate($E5:$E8,I5:I8,$W5:$W8,AA5:AA8)</f>
        <v>-3.1157712437316243E-2</v>
      </c>
      <c r="AQ5" s="246">
        <f>bdrateInverted($E5:$E8,J5:J8,$W5:$W8,AB5:AB8)</f>
        <v>-0.1596249042284873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2"/>
      <c r="C6" s="29" t="s">
        <v>29</v>
      </c>
      <c r="D6" s="30"/>
      <c r="E6" s="159">
        <f>E24</f>
        <v>41126.480000000003</v>
      </c>
      <c r="F6" s="93">
        <f t="shared" si="0"/>
        <v>32.999578714285725</v>
      </c>
      <c r="G6" s="93">
        <f t="shared" si="0"/>
        <v>36.531831238095236</v>
      </c>
      <c r="H6" s="93">
        <f t="shared" si="0"/>
        <v>0.97901262523809529</v>
      </c>
      <c r="I6" s="93">
        <f t="shared" si="0"/>
        <v>0.98376468238095238</v>
      </c>
      <c r="J6" s="93">
        <f t="shared" si="0"/>
        <v>4.448833447619048E-2</v>
      </c>
      <c r="K6" s="58"/>
      <c r="L6" s="58"/>
      <c r="M6" s="58"/>
      <c r="N6" s="30"/>
      <c r="O6" s="58"/>
      <c r="P6" s="133">
        <f t="shared" si="1"/>
        <v>22.125</v>
      </c>
      <c r="Q6" s="133">
        <f t="shared" si="1"/>
        <v>7.5620000000000003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2"/>
      <c r="U6" s="29" t="s">
        <v>29</v>
      </c>
      <c r="V6" s="30"/>
      <c r="W6" s="130">
        <f>W24</f>
        <v>41070.520000000004</v>
      </c>
      <c r="X6" s="93">
        <f t="shared" si="2"/>
        <v>33.916929428571429</v>
      </c>
      <c r="Y6" s="93">
        <f t="shared" si="2"/>
        <v>37.269417904761909</v>
      </c>
      <c r="Z6" s="93">
        <f t="shared" si="2"/>
        <v>0.97917853666666688</v>
      </c>
      <c r="AA6" s="93">
        <f t="shared" si="2"/>
        <v>0.98441209285714304</v>
      </c>
      <c r="AB6" s="93">
        <f t="shared" si="2"/>
        <v>3.7247994999999999E-2</v>
      </c>
      <c r="AC6" s="58"/>
      <c r="AD6" s="58"/>
      <c r="AE6" s="58"/>
      <c r="AF6" s="30"/>
      <c r="AG6" s="243"/>
      <c r="AH6" s="133">
        <f t="shared" si="3"/>
        <v>21.187000000000001</v>
      </c>
      <c r="AI6" s="133">
        <f t="shared" si="3"/>
        <v>7.625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2"/>
      <c r="C7" s="29" t="s">
        <v>30</v>
      </c>
      <c r="D7" s="30"/>
      <c r="E7" s="159">
        <f>E25</f>
        <v>61865.04</v>
      </c>
      <c r="F7" s="93">
        <f t="shared" si="0"/>
        <v>36.248342999999991</v>
      </c>
      <c r="G7" s="93">
        <f t="shared" si="0"/>
        <v>40.276491190476186</v>
      </c>
      <c r="H7" s="93">
        <f t="shared" si="0"/>
        <v>0.98868709857142867</v>
      </c>
      <c r="I7" s="93">
        <f t="shared" si="0"/>
        <v>0.99210457047619049</v>
      </c>
      <c r="J7" s="93">
        <f t="shared" si="0"/>
        <v>2.7850360190476191E-2</v>
      </c>
      <c r="K7" s="58"/>
      <c r="L7" s="58"/>
      <c r="M7" s="58"/>
      <c r="N7" s="30"/>
      <c r="O7" s="58"/>
      <c r="P7" s="133">
        <f t="shared" si="1"/>
        <v>22.545999999999999</v>
      </c>
      <c r="Q7" s="133">
        <f t="shared" si="1"/>
        <v>7.625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2"/>
      <c r="U7" s="29" t="s">
        <v>30</v>
      </c>
      <c r="V7" s="30"/>
      <c r="W7" s="130">
        <f>W25</f>
        <v>61787.448000000004</v>
      </c>
      <c r="X7" s="93">
        <f t="shared" si="2"/>
        <v>38.20902814285715</v>
      </c>
      <c r="Y7" s="93">
        <f t="shared" si="2"/>
        <v>41.519320571428565</v>
      </c>
      <c r="Z7" s="93">
        <f t="shared" si="2"/>
        <v>0.98902881047619051</v>
      </c>
      <c r="AA7" s="93">
        <f t="shared" si="2"/>
        <v>0.99265441809523802</v>
      </c>
      <c r="AB7" s="93">
        <f t="shared" si="2"/>
        <v>2.0657761761904758E-2</v>
      </c>
      <c r="AC7" s="58"/>
      <c r="AD7" s="58"/>
      <c r="AE7" s="58"/>
      <c r="AF7" s="30"/>
      <c r="AG7" s="243"/>
      <c r="AH7" s="133">
        <f t="shared" si="3"/>
        <v>21.420999999999999</v>
      </c>
      <c r="AI7" s="133">
        <f t="shared" si="3"/>
        <v>7.9370000000000003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2"/>
      <c r="C8" s="29" t="s">
        <v>32</v>
      </c>
      <c r="D8" s="30"/>
      <c r="E8" s="159">
        <f>E26</f>
        <v>90416.760000000009</v>
      </c>
      <c r="F8" s="93">
        <f t="shared" si="0"/>
        <v>39.028174857142858</v>
      </c>
      <c r="G8" s="93">
        <f t="shared" si="0"/>
        <v>43.229996952380951</v>
      </c>
      <c r="H8" s="93">
        <f t="shared" si="0"/>
        <v>0.99344393809523812</v>
      </c>
      <c r="I8" s="93">
        <f t="shared" si="0"/>
        <v>0.99578089857142849</v>
      </c>
      <c r="J8" s="93">
        <f t="shared" si="0"/>
        <v>1.5608584595238097E-2</v>
      </c>
      <c r="K8" s="58"/>
      <c r="L8" s="58"/>
      <c r="M8" s="58"/>
      <c r="N8" s="30"/>
      <c r="O8" s="58"/>
      <c r="P8" s="133">
        <f t="shared" si="1"/>
        <v>22.655999999999999</v>
      </c>
      <c r="Q8" s="133">
        <f t="shared" si="1"/>
        <v>7.6559999999999997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2"/>
      <c r="U8" s="29" t="s">
        <v>32</v>
      </c>
      <c r="V8" s="30"/>
      <c r="W8" s="130">
        <f>W26</f>
        <v>90327.991999999998</v>
      </c>
      <c r="X8" s="93">
        <f t="shared" si="2"/>
        <v>42.420346047619041</v>
      </c>
      <c r="Y8" s="93">
        <f t="shared" si="2"/>
        <v>45.470923047619038</v>
      </c>
      <c r="Z8" s="93">
        <f t="shared" si="2"/>
        <v>0.99384558761904784</v>
      </c>
      <c r="AA8" s="93">
        <f t="shared" si="2"/>
        <v>0.99643372047619061</v>
      </c>
      <c r="AB8" s="93">
        <f t="shared" si="2"/>
        <v>9.1025859523809517E-3</v>
      </c>
      <c r="AC8" s="58"/>
      <c r="AD8" s="58"/>
      <c r="AE8" s="58"/>
      <c r="AF8" s="30"/>
      <c r="AG8" s="243"/>
      <c r="AH8" s="133">
        <f t="shared" si="3"/>
        <v>21.795999999999999</v>
      </c>
      <c r="AI8" s="133">
        <f t="shared" si="3"/>
        <v>8.093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3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2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>
        <f>GEOMEAN(P5:P8)</f>
        <v>22.325987813899971</v>
      </c>
      <c r="Q10" s="157">
        <f>GEOMEAN(Q5:Q8)</f>
        <v>7.5295213524621358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>
        <f>GEOMEAN(AH5:AH8)</f>
        <v>21.368736895209576</v>
      </c>
      <c r="AI10" s="157">
        <f>GEOMEAN(AI5:AI8)</f>
        <v>7.7768284606055538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5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6"/>
      <c r="T13" s="23"/>
      <c r="U13" s="295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6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298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>
        <v>4688.8959999999997</v>
      </c>
      <c r="F16" s="169">
        <v>6056.2079999999996</v>
      </c>
      <c r="G16" s="169">
        <v>1130.7760000000001</v>
      </c>
      <c r="H16" s="169">
        <v>388.36</v>
      </c>
      <c r="I16" s="169">
        <v>167.80799999999999</v>
      </c>
      <c r="J16" s="169">
        <v>8771.848</v>
      </c>
      <c r="K16" s="62">
        <v>5224.8</v>
      </c>
      <c r="L16" s="62">
        <v>1888.152</v>
      </c>
      <c r="M16" s="62">
        <v>7.8879999999999999</v>
      </c>
      <c r="N16" s="57"/>
      <c r="O16" s="257"/>
      <c r="P16" s="132">
        <v>21.984000000000002</v>
      </c>
      <c r="Q16" s="132">
        <v>7.2809999999999997</v>
      </c>
      <c r="R16" s="145"/>
      <c r="S16" s="217"/>
      <c r="T16" s="307"/>
      <c r="U16" s="27" t="s">
        <v>28</v>
      </c>
      <c r="V16" s="28"/>
      <c r="W16" s="131">
        <v>4688.8959999999997</v>
      </c>
      <c r="X16" s="169">
        <v>6016.12</v>
      </c>
      <c r="Y16" s="169">
        <v>1130.1679999999999</v>
      </c>
      <c r="Z16" s="169">
        <v>388.17599999999999</v>
      </c>
      <c r="AA16" s="169">
        <v>168.10400000000001</v>
      </c>
      <c r="AB16" s="169">
        <v>8771.8320000000003</v>
      </c>
      <c r="AC16" s="62">
        <v>5224.5519999999997</v>
      </c>
      <c r="AD16" s="62">
        <v>1888.2</v>
      </c>
      <c r="AE16" s="62">
        <v>7.8879999999999999</v>
      </c>
      <c r="AF16" s="57"/>
      <c r="AG16" s="257"/>
      <c r="AH16" s="132">
        <v>21.077999999999999</v>
      </c>
      <c r="AI16" s="132">
        <v>7.468</v>
      </c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2"/>
      <c r="C17" s="29" t="s">
        <v>29</v>
      </c>
      <c r="D17" s="30"/>
      <c r="E17" s="146">
        <v>4688.8959999999997</v>
      </c>
      <c r="F17" s="170">
        <v>7941.5919999999996</v>
      </c>
      <c r="G17" s="170">
        <v>4043.28</v>
      </c>
      <c r="H17" s="170">
        <v>2044.9680000000001</v>
      </c>
      <c r="I17" s="170">
        <v>1498.336</v>
      </c>
      <c r="J17" s="170">
        <v>11323.12</v>
      </c>
      <c r="K17" s="64">
        <v>7088.4719999999998</v>
      </c>
      <c r="L17" s="64">
        <v>2497.8159999999998</v>
      </c>
      <c r="M17" s="64">
        <v>7.88</v>
      </c>
      <c r="N17" s="58"/>
      <c r="O17" s="243"/>
      <c r="P17" s="147">
        <v>22.125</v>
      </c>
      <c r="Q17" s="147">
        <v>7.5620000000000003</v>
      </c>
      <c r="R17" s="148"/>
      <c r="S17" s="217"/>
      <c r="T17" s="292"/>
      <c r="U17" s="29" t="s">
        <v>29</v>
      </c>
      <c r="V17" s="30"/>
      <c r="W17" s="146">
        <v>4688.8959999999997</v>
      </c>
      <c r="X17" s="170">
        <v>7890.52</v>
      </c>
      <c r="Y17" s="170">
        <v>4041.48</v>
      </c>
      <c r="Z17" s="170">
        <v>2043.752</v>
      </c>
      <c r="AA17" s="170">
        <v>1497.144</v>
      </c>
      <c r="AB17" s="170">
        <v>11322.791999999999</v>
      </c>
      <c r="AC17" s="64">
        <v>7088.1360000000004</v>
      </c>
      <c r="AD17" s="64">
        <v>2497.8000000000002</v>
      </c>
      <c r="AE17" s="64">
        <v>7.88</v>
      </c>
      <c r="AF17" s="58"/>
      <c r="AG17" s="243"/>
      <c r="AH17" s="147">
        <v>21.187000000000001</v>
      </c>
      <c r="AI17" s="147">
        <v>7.625</v>
      </c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2"/>
      <c r="C18" s="29" t="s">
        <v>30</v>
      </c>
      <c r="D18" s="30"/>
      <c r="E18" s="146">
        <v>4688.8959999999997</v>
      </c>
      <c r="F18" s="170">
        <v>9902.32</v>
      </c>
      <c r="G18" s="170">
        <v>8648.4</v>
      </c>
      <c r="H18" s="170">
        <v>6395.5360000000001</v>
      </c>
      <c r="I18" s="170">
        <v>6107.9359999999997</v>
      </c>
      <c r="J18" s="170">
        <v>13961.536</v>
      </c>
      <c r="K18" s="64">
        <v>9035.2880000000005</v>
      </c>
      <c r="L18" s="64">
        <v>3125.1280000000002</v>
      </c>
      <c r="M18" s="64">
        <v>7.8639999999999999</v>
      </c>
      <c r="N18" s="58"/>
      <c r="O18" s="243"/>
      <c r="P18" s="147">
        <v>22.545999999999999</v>
      </c>
      <c r="Q18" s="147">
        <v>7.625</v>
      </c>
      <c r="R18" s="148"/>
      <c r="S18" s="217"/>
      <c r="T18" s="292"/>
      <c r="U18" s="29" t="s">
        <v>30</v>
      </c>
      <c r="V18" s="30"/>
      <c r="W18" s="146">
        <v>4688.8959999999997</v>
      </c>
      <c r="X18" s="170">
        <v>9838.64</v>
      </c>
      <c r="Y18" s="170">
        <v>8644.6479999999992</v>
      </c>
      <c r="Z18" s="170">
        <v>6390.0559999999996</v>
      </c>
      <c r="AA18" s="170">
        <v>6103.6480000000001</v>
      </c>
      <c r="AB18" s="170">
        <v>13961.464</v>
      </c>
      <c r="AC18" s="64">
        <v>9034.9359999999997</v>
      </c>
      <c r="AD18" s="64">
        <v>3125.16</v>
      </c>
      <c r="AE18" s="64">
        <v>7.8639999999999999</v>
      </c>
      <c r="AF18" s="58"/>
      <c r="AG18" s="243"/>
      <c r="AH18" s="147">
        <v>21.420999999999999</v>
      </c>
      <c r="AI18" s="147">
        <v>7.9370000000000003</v>
      </c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2"/>
      <c r="C19" s="29" t="s">
        <v>32</v>
      </c>
      <c r="D19" s="30"/>
      <c r="E19" s="146">
        <v>4688.8959999999997</v>
      </c>
      <c r="F19" s="170">
        <v>11776.415999999999</v>
      </c>
      <c r="G19" s="170">
        <v>13866.175999999999</v>
      </c>
      <c r="H19" s="170">
        <v>13459.6</v>
      </c>
      <c r="I19" s="170">
        <v>15053.32</v>
      </c>
      <c r="J19" s="170">
        <v>16708.376</v>
      </c>
      <c r="K19" s="64">
        <v>11084.592000000001</v>
      </c>
      <c r="L19" s="64">
        <v>3779.384</v>
      </c>
      <c r="M19" s="64">
        <v>7.7359999999999998</v>
      </c>
      <c r="N19" s="58"/>
      <c r="O19" s="243"/>
      <c r="P19" s="147">
        <v>22.655999999999999</v>
      </c>
      <c r="Q19" s="147">
        <v>7.6559999999999997</v>
      </c>
      <c r="R19" s="148"/>
      <c r="S19" s="217"/>
      <c r="T19" s="292"/>
      <c r="U19" s="29" t="s">
        <v>32</v>
      </c>
      <c r="V19" s="30"/>
      <c r="W19" s="146">
        <v>4688.8959999999997</v>
      </c>
      <c r="X19" s="170">
        <v>11705.24</v>
      </c>
      <c r="Y19" s="170">
        <v>13864.312</v>
      </c>
      <c r="Z19" s="170">
        <v>13451.6</v>
      </c>
      <c r="AA19" s="170">
        <v>15045.415999999999</v>
      </c>
      <c r="AB19" s="170">
        <v>16708.736000000001</v>
      </c>
      <c r="AC19" s="64">
        <v>11084.584000000001</v>
      </c>
      <c r="AD19" s="64">
        <v>3779.2080000000001</v>
      </c>
      <c r="AE19" s="64">
        <v>7.7359999999999998</v>
      </c>
      <c r="AF19" s="58"/>
      <c r="AG19" s="243"/>
      <c r="AH19" s="147">
        <v>21.795999999999999</v>
      </c>
      <c r="AI19" s="147">
        <v>8.093</v>
      </c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2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2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299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299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89"/>
      <c r="AW21" s="290"/>
      <c r="AX21" s="290"/>
    </row>
    <row r="22" spans="2:56" s="8" customFormat="1" ht="13.5" customHeight="1" thickBot="1" x14ac:dyDescent="0.3">
      <c r="B22" s="300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0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28316.847999999998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305"/>
      <c r="U23" s="27" t="s">
        <v>28</v>
      </c>
      <c r="V23" s="28"/>
      <c r="W23" s="130">
        <f>SUM(W16:AD16)</f>
        <v>28276.047999999999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2"/>
      <c r="C24" s="29" t="s">
        <v>29</v>
      </c>
      <c r="D24" s="30"/>
      <c r="E24" s="130">
        <f>SUM(E17:L17)</f>
        <v>41126.480000000003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2"/>
      <c r="U24" s="29" t="s">
        <v>29</v>
      </c>
      <c r="V24" s="30"/>
      <c r="W24" s="130">
        <f>SUM(W17:AD17)</f>
        <v>41070.520000000004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2"/>
      <c r="C25" s="29" t="s">
        <v>30</v>
      </c>
      <c r="D25" s="30"/>
      <c r="E25" s="130">
        <f>SUM(E18:L18)</f>
        <v>61865.04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2"/>
      <c r="U25" s="29" t="s">
        <v>30</v>
      </c>
      <c r="V25" s="30"/>
      <c r="W25" s="130">
        <f>SUM(W18:AD18)</f>
        <v>61787.448000000004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2"/>
      <c r="C26" s="29" t="s">
        <v>32</v>
      </c>
      <c r="D26" s="30"/>
      <c r="E26" s="130">
        <f>SUM(E19:L19)</f>
        <v>90416.760000000009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2"/>
      <c r="U26" s="29" t="s">
        <v>32</v>
      </c>
      <c r="V26" s="30"/>
      <c r="W26" s="130">
        <f>SUM(W19:AD19)</f>
        <v>90327.991999999998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3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3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5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6"/>
      <c r="S31" s="217"/>
      <c r="T31" s="23"/>
      <c r="U31" s="295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6"/>
      <c r="AK31" s="216"/>
      <c r="AL31" s="216"/>
      <c r="AM31" s="309" t="s">
        <v>64</v>
      </c>
      <c r="AN31" s="282"/>
      <c r="AO31" s="282"/>
      <c r="AP31" s="282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4" t="s">
        <v>66</v>
      </c>
      <c r="C33" s="27" t="s">
        <v>28</v>
      </c>
      <c r="D33" s="41"/>
      <c r="E33" s="57"/>
      <c r="F33" s="99">
        <v>27.577456000000002</v>
      </c>
      <c r="G33" s="99">
        <v>31.134187000000001</v>
      </c>
      <c r="H33" s="99">
        <v>0.95943495000000001</v>
      </c>
      <c r="I33" s="62">
        <v>0.96601981000000003</v>
      </c>
      <c r="J33" s="62">
        <v>8.3524169999999995E-2</v>
      </c>
      <c r="K33" s="63"/>
      <c r="L33" s="262"/>
      <c r="M33" s="262"/>
      <c r="N33" s="57"/>
      <c r="O33" s="28"/>
      <c r="P33" s="57"/>
      <c r="Q33" s="28"/>
      <c r="R33" s="134"/>
      <c r="S33" s="217"/>
      <c r="T33" s="294" t="s">
        <v>66</v>
      </c>
      <c r="U33" s="27" t="s">
        <v>28</v>
      </c>
      <c r="V33" s="41"/>
      <c r="W33" s="57"/>
      <c r="X33" s="99">
        <v>28.069703000000001</v>
      </c>
      <c r="Y33" s="99">
        <v>32.057279000000001</v>
      </c>
      <c r="Z33" s="99">
        <v>0.95974356999999999</v>
      </c>
      <c r="AA33" s="62">
        <v>0.96720759000000001</v>
      </c>
      <c r="AB33" s="62">
        <v>6.4068414000000004E-2</v>
      </c>
      <c r="AC33" s="63"/>
      <c r="AD33" s="262"/>
      <c r="AE33" s="262"/>
      <c r="AF33" s="57"/>
      <c r="AG33" s="28"/>
      <c r="AH33" s="57"/>
      <c r="AI33" s="28"/>
      <c r="AJ33" s="134"/>
      <c r="AK33" s="216"/>
      <c r="AL33" s="294" t="s">
        <v>66</v>
      </c>
      <c r="AM33" s="122">
        <f t="shared" ref="AM33:AM96" si="4">IF(OR(X33="",F33=""),"",X33-F33)</f>
        <v>0.49224699999999899</v>
      </c>
      <c r="AN33" s="98">
        <f t="shared" ref="AN33:AN96" si="5">IF(OR(Y33="",G33=""),"",Y33-G33)</f>
        <v>0.92309200000000047</v>
      </c>
      <c r="AO33" s="98">
        <f t="shared" ref="AO33:AO96" si="6">IF(OR(Z33="",H33=""),"",Z33-H33)</f>
        <v>3.0861999999998169E-4</v>
      </c>
      <c r="AP33" s="98">
        <f t="shared" ref="AP33:AP96" si="7">IF(OR(AA33="",I33=""),"",AA33-I33)</f>
        <v>1.1877799999999716E-3</v>
      </c>
      <c r="AQ33" s="123">
        <f t="shared" ref="AQ33:AQ96" si="8">IF(OR(AB33="",J33=""),"",AB33-J33)</f>
        <v>-1.9455755999999991E-2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2"/>
      <c r="C34" s="29" t="s">
        <v>29</v>
      </c>
      <c r="D34" s="191"/>
      <c r="E34" s="58"/>
      <c r="F34" s="192">
        <v>30.759060000000002</v>
      </c>
      <c r="G34" s="192">
        <v>34.076340999999999</v>
      </c>
      <c r="H34" s="192">
        <v>0.97693960999999996</v>
      </c>
      <c r="I34" s="64">
        <v>0.98018503000000001</v>
      </c>
      <c r="J34" s="64">
        <v>5.8090188000000001E-2</v>
      </c>
      <c r="K34" s="193"/>
      <c r="L34" s="263"/>
      <c r="M34" s="263"/>
      <c r="N34" s="58"/>
      <c r="O34" s="30"/>
      <c r="P34" s="58"/>
      <c r="Q34" s="30"/>
      <c r="R34" s="135"/>
      <c r="S34" s="217"/>
      <c r="T34" s="292"/>
      <c r="U34" s="29" t="s">
        <v>29</v>
      </c>
      <c r="V34" s="191"/>
      <c r="W34" s="58"/>
      <c r="X34" s="192">
        <v>31.729417999999999</v>
      </c>
      <c r="Y34" s="192">
        <v>34.888266999999999</v>
      </c>
      <c r="Z34" s="192">
        <v>0.97709133000000004</v>
      </c>
      <c r="AA34" s="64">
        <v>0.98115925999999998</v>
      </c>
      <c r="AB34" s="64">
        <v>4.196076E-2</v>
      </c>
      <c r="AC34" s="193"/>
      <c r="AD34" s="263"/>
      <c r="AE34" s="263"/>
      <c r="AF34" s="58"/>
      <c r="AG34" s="30"/>
      <c r="AH34" s="58"/>
      <c r="AI34" s="30"/>
      <c r="AJ34" s="135"/>
      <c r="AK34" s="216"/>
      <c r="AL34" s="292"/>
      <c r="AM34" s="89">
        <f t="shared" si="4"/>
        <v>0.97035799999999739</v>
      </c>
      <c r="AN34" s="124">
        <f t="shared" si="5"/>
        <v>0.8119259999999997</v>
      </c>
      <c r="AO34" s="124">
        <f t="shared" si="6"/>
        <v>1.5172000000007735E-4</v>
      </c>
      <c r="AP34" s="124">
        <f t="shared" si="7"/>
        <v>9.7422999999996485E-4</v>
      </c>
      <c r="AQ34" s="90">
        <f t="shared" si="8"/>
        <v>-1.6129428000000001E-2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2"/>
      <c r="C35" s="29" t="s">
        <v>30</v>
      </c>
      <c r="D35" s="191"/>
      <c r="E35" s="58"/>
      <c r="F35" s="192">
        <v>34.701622</v>
      </c>
      <c r="G35" s="192">
        <v>39.048186000000001</v>
      </c>
      <c r="H35" s="192">
        <v>0.98871198000000005</v>
      </c>
      <c r="I35" s="64">
        <v>0.99178215999999997</v>
      </c>
      <c r="J35" s="64">
        <v>3.3094823000000002E-2</v>
      </c>
      <c r="K35" s="193"/>
      <c r="L35" s="263"/>
      <c r="M35" s="263"/>
      <c r="N35" s="58"/>
      <c r="O35" s="30"/>
      <c r="P35" s="58"/>
      <c r="Q35" s="30"/>
      <c r="R35" s="135"/>
      <c r="S35" s="217"/>
      <c r="T35" s="292"/>
      <c r="U35" s="29" t="s">
        <v>30</v>
      </c>
      <c r="V35" s="191"/>
      <c r="W35" s="58"/>
      <c r="X35" s="192">
        <v>37.258884999999999</v>
      </c>
      <c r="Y35" s="192">
        <v>40.550359999999998</v>
      </c>
      <c r="Z35" s="192">
        <v>0.98913112000000003</v>
      </c>
      <c r="AA35" s="64">
        <v>0.99229290999999997</v>
      </c>
      <c r="AB35" s="64">
        <v>2.1503392999999999E-2</v>
      </c>
      <c r="AC35" s="193"/>
      <c r="AD35" s="263"/>
      <c r="AE35" s="263"/>
      <c r="AF35" s="58"/>
      <c r="AG35" s="30"/>
      <c r="AH35" s="58"/>
      <c r="AI35" s="30"/>
      <c r="AJ35" s="135"/>
      <c r="AK35" s="216"/>
      <c r="AL35" s="292"/>
      <c r="AM35" s="89">
        <f t="shared" si="4"/>
        <v>2.557262999999999</v>
      </c>
      <c r="AN35" s="124">
        <f t="shared" si="5"/>
        <v>1.5021739999999966</v>
      </c>
      <c r="AO35" s="124">
        <f t="shared" si="6"/>
        <v>4.1913999999998452E-4</v>
      </c>
      <c r="AP35" s="124">
        <f t="shared" si="7"/>
        <v>5.1075000000000426E-4</v>
      </c>
      <c r="AQ35" s="90">
        <f t="shared" si="8"/>
        <v>-1.1591430000000003E-2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2"/>
      <c r="C36" s="29" t="s">
        <v>32</v>
      </c>
      <c r="D36" s="191"/>
      <c r="E36" s="58"/>
      <c r="F36" s="192">
        <v>37.285139999999998</v>
      </c>
      <c r="G36" s="192">
        <v>41.695649000000003</v>
      </c>
      <c r="H36" s="192">
        <v>0.99349675000000004</v>
      </c>
      <c r="I36" s="64">
        <v>0.99566268000000002</v>
      </c>
      <c r="J36" s="64">
        <v>1.9023346E-2</v>
      </c>
      <c r="K36" s="193"/>
      <c r="L36" s="263"/>
      <c r="M36" s="263"/>
      <c r="N36" s="58"/>
      <c r="O36" s="30"/>
      <c r="P36" s="58"/>
      <c r="Q36" s="30"/>
      <c r="R36" s="135"/>
      <c r="S36" s="217"/>
      <c r="T36" s="292"/>
      <c r="U36" s="29" t="s">
        <v>32</v>
      </c>
      <c r="V36" s="191"/>
      <c r="W36" s="58"/>
      <c r="X36" s="192">
        <v>41.472222000000002</v>
      </c>
      <c r="Y36" s="192">
        <v>44.588586999999997</v>
      </c>
      <c r="Z36" s="192">
        <v>0.99398428000000005</v>
      </c>
      <c r="AA36" s="64">
        <v>0.99629285999999995</v>
      </c>
      <c r="AB36" s="64">
        <v>8.9677290000000007E-3</v>
      </c>
      <c r="AC36" s="193"/>
      <c r="AD36" s="263"/>
      <c r="AE36" s="263"/>
      <c r="AF36" s="58"/>
      <c r="AG36" s="30"/>
      <c r="AH36" s="58"/>
      <c r="AI36" s="30"/>
      <c r="AJ36" s="135"/>
      <c r="AK36" s="216"/>
      <c r="AL36" s="292"/>
      <c r="AM36" s="89">
        <f t="shared" si="4"/>
        <v>4.1870820000000037</v>
      </c>
      <c r="AN36" s="124">
        <f t="shared" si="5"/>
        <v>2.8929379999999938</v>
      </c>
      <c r="AO36" s="124">
        <f t="shared" si="6"/>
        <v>4.8753000000001379E-4</v>
      </c>
      <c r="AP36" s="124">
        <f t="shared" si="7"/>
        <v>6.3017999999992469E-4</v>
      </c>
      <c r="AQ36" s="90">
        <f t="shared" si="8"/>
        <v>-1.0055616999999999E-2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2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2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2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4" t="s">
        <v>67</v>
      </c>
      <c r="C38" s="27" t="s">
        <v>28</v>
      </c>
      <c r="D38" s="41"/>
      <c r="E38" s="57"/>
      <c r="F38" s="99">
        <v>28.193349000000001</v>
      </c>
      <c r="G38" s="99">
        <v>31.808422</v>
      </c>
      <c r="H38" s="99">
        <v>0.96085564000000001</v>
      </c>
      <c r="I38" s="62">
        <v>0.96608455999999998</v>
      </c>
      <c r="J38" s="62">
        <v>7.6065703999999998E-2</v>
      </c>
      <c r="K38" s="63"/>
      <c r="L38" s="262"/>
      <c r="M38" s="262"/>
      <c r="N38" s="57"/>
      <c r="O38" s="28"/>
      <c r="P38" s="57"/>
      <c r="Q38" s="28"/>
      <c r="R38" s="134"/>
      <c r="S38" s="217"/>
      <c r="T38" s="294" t="s">
        <v>67</v>
      </c>
      <c r="U38" s="27" t="s">
        <v>28</v>
      </c>
      <c r="V38" s="41"/>
      <c r="W38" s="57"/>
      <c r="X38" s="99">
        <v>28.620170000000002</v>
      </c>
      <c r="Y38" s="99">
        <v>32.554952</v>
      </c>
      <c r="Z38" s="99">
        <v>0.96104690999999998</v>
      </c>
      <c r="AA38" s="62">
        <v>0.96689658999999994</v>
      </c>
      <c r="AB38" s="62">
        <v>6.0540869999999997E-2</v>
      </c>
      <c r="AC38" s="63"/>
      <c r="AD38" s="262"/>
      <c r="AE38" s="262"/>
      <c r="AF38" s="57"/>
      <c r="AG38" s="28"/>
      <c r="AH38" s="57"/>
      <c r="AI38" s="28"/>
      <c r="AJ38" s="134"/>
      <c r="AK38" s="216"/>
      <c r="AL38" s="294" t="s">
        <v>67</v>
      </c>
      <c r="AM38" s="122">
        <f t="shared" si="4"/>
        <v>0.42682100000000034</v>
      </c>
      <c r="AN38" s="98">
        <f t="shared" si="5"/>
        <v>0.74652999999999992</v>
      </c>
      <c r="AO38" s="98">
        <f t="shared" si="6"/>
        <v>1.9126999999996563E-4</v>
      </c>
      <c r="AP38" s="98">
        <f t="shared" si="7"/>
        <v>8.1202999999996361E-4</v>
      </c>
      <c r="AQ38" s="123">
        <f t="shared" si="8"/>
        <v>-1.5524834000000001E-2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2"/>
      <c r="C39" s="29" t="s">
        <v>29</v>
      </c>
      <c r="D39" s="191"/>
      <c r="E39" s="58"/>
      <c r="F39" s="192">
        <v>31.252689</v>
      </c>
      <c r="G39" s="192">
        <v>34.732500999999999</v>
      </c>
      <c r="H39" s="192">
        <v>0.97719151000000004</v>
      </c>
      <c r="I39" s="64">
        <v>0.98035265999999999</v>
      </c>
      <c r="J39" s="64">
        <v>5.4013060000000002E-2</v>
      </c>
      <c r="K39" s="193"/>
      <c r="L39" s="263"/>
      <c r="M39" s="263"/>
      <c r="N39" s="58"/>
      <c r="O39" s="30"/>
      <c r="P39" s="58"/>
      <c r="Q39" s="30"/>
      <c r="R39" s="135"/>
      <c r="S39" s="217"/>
      <c r="T39" s="292"/>
      <c r="U39" s="29" t="s">
        <v>29</v>
      </c>
      <c r="V39" s="191"/>
      <c r="W39" s="58"/>
      <c r="X39" s="192">
        <v>32.426399000000004</v>
      </c>
      <c r="Y39" s="192">
        <v>35.652818000000003</v>
      </c>
      <c r="Z39" s="192">
        <v>0.97733221999999997</v>
      </c>
      <c r="AA39" s="64">
        <v>0.98139765999999995</v>
      </c>
      <c r="AB39" s="64">
        <v>4.1449487E-2</v>
      </c>
      <c r="AC39" s="193"/>
      <c r="AD39" s="263"/>
      <c r="AE39" s="263"/>
      <c r="AF39" s="58"/>
      <c r="AG39" s="30"/>
      <c r="AH39" s="58"/>
      <c r="AI39" s="30"/>
      <c r="AJ39" s="135"/>
      <c r="AK39" s="216"/>
      <c r="AL39" s="292"/>
      <c r="AM39" s="89">
        <f t="shared" si="4"/>
        <v>1.1737100000000034</v>
      </c>
      <c r="AN39" s="124">
        <f t="shared" si="5"/>
        <v>0.92031700000000427</v>
      </c>
      <c r="AO39" s="124">
        <f t="shared" si="6"/>
        <v>1.4070999999993283E-4</v>
      </c>
      <c r="AP39" s="124">
        <f t="shared" si="7"/>
        <v>1.0449999999999626E-3</v>
      </c>
      <c r="AQ39" s="90">
        <f t="shared" si="8"/>
        <v>-1.2563573000000001E-2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2"/>
      <c r="C40" s="29" t="s">
        <v>30</v>
      </c>
      <c r="D40" s="191"/>
      <c r="E40" s="58"/>
      <c r="F40" s="192">
        <v>35.001336999999999</v>
      </c>
      <c r="G40" s="192">
        <v>39.219678999999999</v>
      </c>
      <c r="H40" s="192">
        <v>0.98841422000000001</v>
      </c>
      <c r="I40" s="64">
        <v>0.9914191</v>
      </c>
      <c r="J40" s="64">
        <v>3.1824815999999999E-2</v>
      </c>
      <c r="K40" s="193"/>
      <c r="L40" s="263"/>
      <c r="M40" s="263"/>
      <c r="N40" s="58"/>
      <c r="O40" s="30"/>
      <c r="P40" s="58"/>
      <c r="Q40" s="30"/>
      <c r="R40" s="135"/>
      <c r="S40" s="217"/>
      <c r="T40" s="292"/>
      <c r="U40" s="29" t="s">
        <v>30</v>
      </c>
      <c r="V40" s="191"/>
      <c r="W40" s="58"/>
      <c r="X40" s="192">
        <v>37.374729000000002</v>
      </c>
      <c r="Y40" s="192">
        <v>40.745783000000003</v>
      </c>
      <c r="Z40" s="192">
        <v>0.98884214999999998</v>
      </c>
      <c r="AA40" s="64">
        <v>0.99201269999999997</v>
      </c>
      <c r="AB40" s="64">
        <v>2.2323309999999999E-2</v>
      </c>
      <c r="AC40" s="193"/>
      <c r="AD40" s="263"/>
      <c r="AE40" s="263"/>
      <c r="AF40" s="58"/>
      <c r="AG40" s="30"/>
      <c r="AH40" s="58"/>
      <c r="AI40" s="30"/>
      <c r="AJ40" s="135"/>
      <c r="AK40" s="216"/>
      <c r="AL40" s="292"/>
      <c r="AM40" s="89">
        <f t="shared" si="4"/>
        <v>2.3733920000000026</v>
      </c>
      <c r="AN40" s="124">
        <f t="shared" si="5"/>
        <v>1.5261040000000037</v>
      </c>
      <c r="AO40" s="124">
        <f t="shared" si="6"/>
        <v>4.2792999999996528E-4</v>
      </c>
      <c r="AP40" s="124">
        <f t="shared" si="7"/>
        <v>5.9359999999997193E-4</v>
      </c>
      <c r="AQ40" s="90">
        <f t="shared" si="8"/>
        <v>-9.5015059999999998E-3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2"/>
      <c r="C41" s="29" t="s">
        <v>32</v>
      </c>
      <c r="D41" s="191"/>
      <c r="E41" s="58"/>
      <c r="F41" s="192">
        <v>37.389982000000003</v>
      </c>
      <c r="G41" s="192">
        <v>41.763351</v>
      </c>
      <c r="H41" s="192">
        <v>0.99333020999999999</v>
      </c>
      <c r="I41" s="64">
        <v>0.99550910000000004</v>
      </c>
      <c r="J41" s="64">
        <v>1.8921693999999999E-2</v>
      </c>
      <c r="K41" s="193"/>
      <c r="L41" s="263"/>
      <c r="M41" s="263"/>
      <c r="N41" s="58"/>
      <c r="O41" s="30"/>
      <c r="P41" s="58"/>
      <c r="Q41" s="30"/>
      <c r="R41" s="135"/>
      <c r="S41" s="217"/>
      <c r="T41" s="292"/>
      <c r="U41" s="29" t="s">
        <v>32</v>
      </c>
      <c r="V41" s="191"/>
      <c r="W41" s="58"/>
      <c r="X41" s="192">
        <v>41.574610999999997</v>
      </c>
      <c r="Y41" s="192">
        <v>44.680453</v>
      </c>
      <c r="Z41" s="192">
        <v>0.99386574000000005</v>
      </c>
      <c r="AA41" s="64">
        <v>0.99618348000000001</v>
      </c>
      <c r="AB41" s="64">
        <v>9.1531470000000004E-3</v>
      </c>
      <c r="AC41" s="193"/>
      <c r="AD41" s="263"/>
      <c r="AE41" s="263"/>
      <c r="AF41" s="58"/>
      <c r="AG41" s="30"/>
      <c r="AH41" s="58"/>
      <c r="AI41" s="30"/>
      <c r="AJ41" s="135"/>
      <c r="AK41" s="216"/>
      <c r="AL41" s="292"/>
      <c r="AM41" s="89">
        <f t="shared" si="4"/>
        <v>4.1846289999999939</v>
      </c>
      <c r="AN41" s="124">
        <f t="shared" si="5"/>
        <v>2.9171019999999999</v>
      </c>
      <c r="AO41" s="124">
        <f t="shared" si="6"/>
        <v>5.3553000000006179E-4</v>
      </c>
      <c r="AP41" s="124">
        <f t="shared" si="7"/>
        <v>6.7437999999997444E-4</v>
      </c>
      <c r="AQ41" s="90">
        <f t="shared" si="8"/>
        <v>-9.768546999999999E-3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2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2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2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4" t="s">
        <v>68</v>
      </c>
      <c r="C43" s="27" t="s">
        <v>28</v>
      </c>
      <c r="D43" s="41"/>
      <c r="E43" s="57"/>
      <c r="F43" s="99">
        <v>28.768204000000001</v>
      </c>
      <c r="G43" s="99">
        <v>32.409649999999999</v>
      </c>
      <c r="H43" s="99">
        <v>0.96211438999999999</v>
      </c>
      <c r="I43" s="62">
        <v>0.96779749999999998</v>
      </c>
      <c r="J43" s="62">
        <v>7.4610220000000005E-2</v>
      </c>
      <c r="K43" s="63"/>
      <c r="L43" s="262"/>
      <c r="M43" s="262"/>
      <c r="N43" s="57"/>
      <c r="O43" s="28"/>
      <c r="P43" s="57"/>
      <c r="Q43" s="28"/>
      <c r="R43" s="134"/>
      <c r="S43" s="217"/>
      <c r="T43" s="294" t="s">
        <v>68</v>
      </c>
      <c r="U43" s="27" t="s">
        <v>28</v>
      </c>
      <c r="V43" s="41"/>
      <c r="W43" s="57"/>
      <c r="X43" s="99">
        <v>29.158691000000001</v>
      </c>
      <c r="Y43" s="99">
        <v>32.964461</v>
      </c>
      <c r="Z43" s="99">
        <v>0.96251865999999997</v>
      </c>
      <c r="AA43" s="62">
        <v>0.96862627999999995</v>
      </c>
      <c r="AB43" s="62">
        <v>6.2045525999999997E-2</v>
      </c>
      <c r="AC43" s="63"/>
      <c r="AD43" s="262"/>
      <c r="AE43" s="262"/>
      <c r="AF43" s="57"/>
      <c r="AG43" s="28"/>
      <c r="AH43" s="57"/>
      <c r="AI43" s="28"/>
      <c r="AJ43" s="134"/>
      <c r="AK43" s="216"/>
      <c r="AL43" s="294" t="s">
        <v>68</v>
      </c>
      <c r="AM43" s="122">
        <f t="shared" si="4"/>
        <v>0.39048700000000025</v>
      </c>
      <c r="AN43" s="98">
        <f t="shared" si="5"/>
        <v>0.55481100000000083</v>
      </c>
      <c r="AO43" s="98">
        <f t="shared" si="6"/>
        <v>4.0426999999998436E-4</v>
      </c>
      <c r="AP43" s="98">
        <f t="shared" si="7"/>
        <v>8.2877999999997343E-4</v>
      </c>
      <c r="AQ43" s="123">
        <f t="shared" si="8"/>
        <v>-1.2564694000000008E-2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2"/>
      <c r="C44" s="29" t="s">
        <v>29</v>
      </c>
      <c r="D44" s="191"/>
      <c r="E44" s="58"/>
      <c r="F44" s="192">
        <v>31.693356999999999</v>
      </c>
      <c r="G44" s="192">
        <v>35.252952999999998</v>
      </c>
      <c r="H44" s="192">
        <v>0.97751454999999998</v>
      </c>
      <c r="I44" s="64">
        <v>0.98098412000000001</v>
      </c>
      <c r="J44" s="64">
        <v>5.0052739999999998E-2</v>
      </c>
      <c r="K44" s="193"/>
      <c r="L44" s="263"/>
      <c r="M44" s="263"/>
      <c r="N44" s="58"/>
      <c r="O44" s="30"/>
      <c r="P44" s="58"/>
      <c r="Q44" s="30"/>
      <c r="R44" s="135"/>
      <c r="S44" s="217"/>
      <c r="T44" s="292"/>
      <c r="U44" s="29" t="s">
        <v>29</v>
      </c>
      <c r="V44" s="191"/>
      <c r="W44" s="58"/>
      <c r="X44" s="192">
        <v>32.769405999999996</v>
      </c>
      <c r="Y44" s="192">
        <v>35.983758000000002</v>
      </c>
      <c r="Z44" s="192">
        <v>0.97766251000000004</v>
      </c>
      <c r="AA44" s="64">
        <v>0.98187658</v>
      </c>
      <c r="AB44" s="64">
        <v>4.1988353999999999E-2</v>
      </c>
      <c r="AC44" s="193"/>
      <c r="AD44" s="263"/>
      <c r="AE44" s="263"/>
      <c r="AF44" s="58"/>
      <c r="AG44" s="30"/>
      <c r="AH44" s="58"/>
      <c r="AI44" s="30"/>
      <c r="AJ44" s="135"/>
      <c r="AK44" s="216"/>
      <c r="AL44" s="292"/>
      <c r="AM44" s="89">
        <f t="shared" si="4"/>
        <v>1.0760489999999976</v>
      </c>
      <c r="AN44" s="124">
        <f t="shared" si="5"/>
        <v>0.7308050000000037</v>
      </c>
      <c r="AO44" s="124">
        <f t="shared" si="6"/>
        <v>1.4796000000005805E-4</v>
      </c>
      <c r="AP44" s="124">
        <f t="shared" si="7"/>
        <v>8.9245999999998382E-4</v>
      </c>
      <c r="AQ44" s="90">
        <f t="shared" si="8"/>
        <v>-8.0643859999999998E-3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2"/>
      <c r="C45" s="29" t="s">
        <v>30</v>
      </c>
      <c r="D45" s="191"/>
      <c r="E45" s="58"/>
      <c r="F45" s="192">
        <v>35.019258999999998</v>
      </c>
      <c r="G45" s="192">
        <v>39.286160000000002</v>
      </c>
      <c r="H45" s="192">
        <v>0.98840072000000001</v>
      </c>
      <c r="I45" s="64">
        <v>0.99148994999999995</v>
      </c>
      <c r="J45" s="64">
        <v>3.2509700000000002E-2</v>
      </c>
      <c r="K45" s="193"/>
      <c r="L45" s="263"/>
      <c r="M45" s="263"/>
      <c r="N45" s="58"/>
      <c r="O45" s="30"/>
      <c r="P45" s="58"/>
      <c r="Q45" s="30"/>
      <c r="R45" s="135"/>
      <c r="S45" s="217"/>
      <c r="T45" s="292"/>
      <c r="U45" s="29" t="s">
        <v>30</v>
      </c>
      <c r="V45" s="191"/>
      <c r="W45" s="58"/>
      <c r="X45" s="192">
        <v>37.372450999999998</v>
      </c>
      <c r="Y45" s="192">
        <v>40.851996999999997</v>
      </c>
      <c r="Z45" s="192">
        <v>0.98876695999999997</v>
      </c>
      <c r="AA45" s="64">
        <v>0.99198204999999995</v>
      </c>
      <c r="AB45" s="64">
        <v>2.2892394999999999E-2</v>
      </c>
      <c r="AC45" s="193"/>
      <c r="AD45" s="263"/>
      <c r="AE45" s="263"/>
      <c r="AF45" s="58"/>
      <c r="AG45" s="30"/>
      <c r="AH45" s="58"/>
      <c r="AI45" s="30"/>
      <c r="AJ45" s="135"/>
      <c r="AK45" s="216"/>
      <c r="AL45" s="292"/>
      <c r="AM45" s="89">
        <f t="shared" si="4"/>
        <v>2.353192</v>
      </c>
      <c r="AN45" s="124">
        <f t="shared" si="5"/>
        <v>1.5658369999999948</v>
      </c>
      <c r="AO45" s="124">
        <f t="shared" si="6"/>
        <v>3.6623999999996215E-4</v>
      </c>
      <c r="AP45" s="124">
        <f t="shared" si="7"/>
        <v>4.9209999999999532E-4</v>
      </c>
      <c r="AQ45" s="90">
        <f t="shared" si="8"/>
        <v>-9.6173050000000031E-3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2"/>
      <c r="C46" s="29" t="s">
        <v>32</v>
      </c>
      <c r="D46" s="191"/>
      <c r="E46" s="58"/>
      <c r="F46" s="192">
        <v>37.792676</v>
      </c>
      <c r="G46" s="192">
        <v>42.168708000000002</v>
      </c>
      <c r="H46" s="192">
        <v>0.99332200999999998</v>
      </c>
      <c r="I46" s="64">
        <v>0.99553944999999999</v>
      </c>
      <c r="J46" s="64">
        <v>1.8137565000000001E-2</v>
      </c>
      <c r="K46" s="193"/>
      <c r="L46" s="263"/>
      <c r="M46" s="263"/>
      <c r="N46" s="58"/>
      <c r="O46" s="30"/>
      <c r="P46" s="58"/>
      <c r="Q46" s="30"/>
      <c r="R46" s="135"/>
      <c r="S46" s="217"/>
      <c r="T46" s="292"/>
      <c r="U46" s="29" t="s">
        <v>32</v>
      </c>
      <c r="V46" s="191"/>
      <c r="W46" s="58"/>
      <c r="X46" s="192">
        <v>41.643214</v>
      </c>
      <c r="Y46" s="192">
        <v>44.837932000000002</v>
      </c>
      <c r="Z46" s="192">
        <v>0.99384841000000002</v>
      </c>
      <c r="AA46" s="64">
        <v>0.99618819000000003</v>
      </c>
      <c r="AB46" s="64">
        <v>9.3949589999999996E-3</v>
      </c>
      <c r="AC46" s="193"/>
      <c r="AD46" s="263"/>
      <c r="AE46" s="263"/>
      <c r="AF46" s="58"/>
      <c r="AG46" s="30"/>
      <c r="AH46" s="58"/>
      <c r="AI46" s="30"/>
      <c r="AJ46" s="135"/>
      <c r="AK46" s="216"/>
      <c r="AL46" s="292"/>
      <c r="AM46" s="89">
        <f t="shared" si="4"/>
        <v>3.8505380000000002</v>
      </c>
      <c r="AN46" s="124">
        <f t="shared" si="5"/>
        <v>2.6692239999999998</v>
      </c>
      <c r="AO46" s="124">
        <f t="shared" si="6"/>
        <v>5.2640000000003795E-4</v>
      </c>
      <c r="AP46" s="124">
        <f t="shared" si="7"/>
        <v>6.4874000000003651E-4</v>
      </c>
      <c r="AQ46" s="90">
        <f t="shared" si="8"/>
        <v>-8.7426060000000017E-3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2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2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2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4" t="s">
        <v>69</v>
      </c>
      <c r="C48" s="27" t="s">
        <v>28</v>
      </c>
      <c r="D48" s="41"/>
      <c r="E48" s="57"/>
      <c r="F48" s="99">
        <v>29.646042999999999</v>
      </c>
      <c r="G48" s="99">
        <v>33.106610000000003</v>
      </c>
      <c r="H48" s="99">
        <v>0.96270007999999996</v>
      </c>
      <c r="I48" s="62">
        <v>0.96883207999999998</v>
      </c>
      <c r="J48" s="62">
        <v>6.692476E-2</v>
      </c>
      <c r="K48" s="63"/>
      <c r="L48" s="262"/>
      <c r="M48" s="262"/>
      <c r="N48" s="57"/>
      <c r="O48" s="28"/>
      <c r="P48" s="57"/>
      <c r="Q48" s="28"/>
      <c r="R48" s="134"/>
      <c r="S48" s="217"/>
      <c r="T48" s="294" t="s">
        <v>69</v>
      </c>
      <c r="U48" s="27" t="s">
        <v>28</v>
      </c>
      <c r="V48" s="41"/>
      <c r="W48" s="57"/>
      <c r="X48" s="99">
        <v>29.871229</v>
      </c>
      <c r="Y48" s="99">
        <v>33.640459999999997</v>
      </c>
      <c r="Z48" s="99">
        <v>0.96306533000000005</v>
      </c>
      <c r="AA48" s="62">
        <v>0.96961562999999995</v>
      </c>
      <c r="AB48" s="62">
        <v>5.7795998000000001E-2</v>
      </c>
      <c r="AC48" s="63"/>
      <c r="AD48" s="262"/>
      <c r="AE48" s="262"/>
      <c r="AF48" s="57"/>
      <c r="AG48" s="28"/>
      <c r="AH48" s="57"/>
      <c r="AI48" s="28"/>
      <c r="AJ48" s="134"/>
      <c r="AK48" s="216"/>
      <c r="AL48" s="294" t="s">
        <v>69</v>
      </c>
      <c r="AM48" s="122">
        <f t="shared" si="4"/>
        <v>0.22518600000000077</v>
      </c>
      <c r="AN48" s="98">
        <f t="shared" si="5"/>
        <v>0.53384999999999394</v>
      </c>
      <c r="AO48" s="98">
        <f t="shared" si="6"/>
        <v>3.6525000000009467E-4</v>
      </c>
      <c r="AP48" s="98">
        <f t="shared" si="7"/>
        <v>7.8354999999996622E-4</v>
      </c>
      <c r="AQ48" s="123">
        <f t="shared" si="8"/>
        <v>-9.1287619999999986E-3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2"/>
      <c r="C49" s="29" t="s">
        <v>29</v>
      </c>
      <c r="D49" s="191"/>
      <c r="E49" s="58"/>
      <c r="F49" s="192">
        <v>32.635077000000003</v>
      </c>
      <c r="G49" s="192">
        <v>36.090877999999996</v>
      </c>
      <c r="H49" s="192">
        <v>0.97698622000000002</v>
      </c>
      <c r="I49" s="64">
        <v>0.98179987999999996</v>
      </c>
      <c r="J49" s="64">
        <v>4.4159416E-2</v>
      </c>
      <c r="K49" s="193"/>
      <c r="L49" s="263"/>
      <c r="M49" s="263"/>
      <c r="N49" s="58"/>
      <c r="O49" s="30"/>
      <c r="P49" s="58"/>
      <c r="Q49" s="30"/>
      <c r="R49" s="135"/>
      <c r="S49" s="217"/>
      <c r="T49" s="292"/>
      <c r="U49" s="29" t="s">
        <v>29</v>
      </c>
      <c r="V49" s="191"/>
      <c r="W49" s="58"/>
      <c r="X49" s="192">
        <v>33.524352999999998</v>
      </c>
      <c r="Y49" s="192">
        <v>36.711756000000001</v>
      </c>
      <c r="Z49" s="192">
        <v>0.97727357999999998</v>
      </c>
      <c r="AA49" s="64">
        <v>0.98248243000000002</v>
      </c>
      <c r="AB49" s="64">
        <v>3.8886003000000002E-2</v>
      </c>
      <c r="AC49" s="193"/>
      <c r="AD49" s="263"/>
      <c r="AE49" s="263"/>
      <c r="AF49" s="58"/>
      <c r="AG49" s="30"/>
      <c r="AH49" s="58"/>
      <c r="AI49" s="30"/>
      <c r="AJ49" s="135"/>
      <c r="AK49" s="216"/>
      <c r="AL49" s="292"/>
      <c r="AM49" s="89">
        <f t="shared" si="4"/>
        <v>0.88927599999999529</v>
      </c>
      <c r="AN49" s="124">
        <f t="shared" si="5"/>
        <v>0.6208780000000047</v>
      </c>
      <c r="AO49" s="124">
        <f t="shared" si="6"/>
        <v>2.8735999999995876E-4</v>
      </c>
      <c r="AP49" s="124">
        <f t="shared" si="7"/>
        <v>6.825500000000595E-4</v>
      </c>
      <c r="AQ49" s="90">
        <f t="shared" si="8"/>
        <v>-5.2734129999999976E-3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2"/>
      <c r="C50" s="29" t="s">
        <v>30</v>
      </c>
      <c r="D50" s="191"/>
      <c r="E50" s="58"/>
      <c r="F50" s="192">
        <v>35.634103000000003</v>
      </c>
      <c r="G50" s="192">
        <v>39.809362999999998</v>
      </c>
      <c r="H50" s="192">
        <v>0.98790906999999994</v>
      </c>
      <c r="I50" s="64">
        <v>0.99133842999999999</v>
      </c>
      <c r="J50" s="64">
        <v>2.9285403000000002E-2</v>
      </c>
      <c r="K50" s="193"/>
      <c r="L50" s="263"/>
      <c r="M50" s="263"/>
      <c r="N50" s="58"/>
      <c r="O50" s="30"/>
      <c r="P50" s="58"/>
      <c r="Q50" s="30"/>
      <c r="R50" s="135"/>
      <c r="S50" s="217"/>
      <c r="T50" s="292"/>
      <c r="U50" s="29" t="s">
        <v>30</v>
      </c>
      <c r="V50" s="191"/>
      <c r="W50" s="58"/>
      <c r="X50" s="192">
        <v>37.709918999999999</v>
      </c>
      <c r="Y50" s="192">
        <v>41.119734000000001</v>
      </c>
      <c r="Z50" s="192">
        <v>0.98830889</v>
      </c>
      <c r="AA50" s="64">
        <v>0.99187212999999996</v>
      </c>
      <c r="AB50" s="64">
        <v>2.1816769999999999E-2</v>
      </c>
      <c r="AC50" s="193"/>
      <c r="AD50" s="263"/>
      <c r="AE50" s="263"/>
      <c r="AF50" s="58"/>
      <c r="AG50" s="30"/>
      <c r="AH50" s="58"/>
      <c r="AI50" s="30"/>
      <c r="AJ50" s="135"/>
      <c r="AK50" s="216"/>
      <c r="AL50" s="292"/>
      <c r="AM50" s="89">
        <f t="shared" si="4"/>
        <v>2.0758159999999961</v>
      </c>
      <c r="AN50" s="124">
        <f t="shared" si="5"/>
        <v>1.3103710000000035</v>
      </c>
      <c r="AO50" s="124">
        <f t="shared" si="6"/>
        <v>3.9982000000005069E-4</v>
      </c>
      <c r="AP50" s="124">
        <f t="shared" si="7"/>
        <v>5.3369999999997031E-4</v>
      </c>
      <c r="AQ50" s="90">
        <f t="shared" si="8"/>
        <v>-7.4686330000000023E-3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2"/>
      <c r="C51" s="29" t="s">
        <v>32</v>
      </c>
      <c r="D51" s="191"/>
      <c r="E51" s="58"/>
      <c r="F51" s="192">
        <v>38.367744000000002</v>
      </c>
      <c r="G51" s="192">
        <v>42.722358</v>
      </c>
      <c r="H51" s="192">
        <v>0.99321422999999998</v>
      </c>
      <c r="I51" s="64">
        <v>0.99548629</v>
      </c>
      <c r="J51" s="64">
        <v>1.6130444000000001E-2</v>
      </c>
      <c r="K51" s="193"/>
      <c r="L51" s="263"/>
      <c r="M51" s="263"/>
      <c r="N51" s="58"/>
      <c r="O51" s="30"/>
      <c r="P51" s="58"/>
      <c r="Q51" s="30"/>
      <c r="R51" s="135"/>
      <c r="S51" s="217"/>
      <c r="T51" s="292"/>
      <c r="U51" s="29" t="s">
        <v>32</v>
      </c>
      <c r="V51" s="191"/>
      <c r="W51" s="58"/>
      <c r="X51" s="192">
        <v>41.976896000000004</v>
      </c>
      <c r="Y51" s="192">
        <v>45.126716999999999</v>
      </c>
      <c r="Z51" s="192">
        <v>0.99369457999999999</v>
      </c>
      <c r="AA51" s="64">
        <v>0.99615549000000003</v>
      </c>
      <c r="AB51" s="64">
        <v>9.0963080000000009E-3</v>
      </c>
      <c r="AC51" s="193"/>
      <c r="AD51" s="263"/>
      <c r="AE51" s="263"/>
      <c r="AF51" s="58"/>
      <c r="AG51" s="30"/>
      <c r="AH51" s="58"/>
      <c r="AI51" s="30"/>
      <c r="AJ51" s="135"/>
      <c r="AK51" s="216"/>
      <c r="AL51" s="292"/>
      <c r="AM51" s="89">
        <f t="shared" si="4"/>
        <v>3.6091520000000017</v>
      </c>
      <c r="AN51" s="124">
        <f t="shared" si="5"/>
        <v>2.4043589999999995</v>
      </c>
      <c r="AO51" s="124">
        <f t="shared" si="6"/>
        <v>4.8035000000001826E-4</v>
      </c>
      <c r="AP51" s="124">
        <f t="shared" si="7"/>
        <v>6.6920000000003643E-4</v>
      </c>
      <c r="AQ51" s="90">
        <f t="shared" si="8"/>
        <v>-7.0341359999999999E-3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2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2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2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4" t="s">
        <v>70</v>
      </c>
      <c r="C53" s="27" t="s">
        <v>28</v>
      </c>
      <c r="D53" s="41"/>
      <c r="E53" s="57"/>
      <c r="F53" s="99">
        <v>29.522048999999999</v>
      </c>
      <c r="G53" s="99">
        <v>33.095426000000003</v>
      </c>
      <c r="H53" s="99">
        <v>0.96237687000000005</v>
      </c>
      <c r="I53" s="62">
        <v>0.96936633999999999</v>
      </c>
      <c r="J53" s="62">
        <v>6.6631360000000001E-2</v>
      </c>
      <c r="K53" s="63"/>
      <c r="L53" s="262"/>
      <c r="M53" s="262"/>
      <c r="N53" s="57"/>
      <c r="O53" s="28"/>
      <c r="P53" s="57"/>
      <c r="Q53" s="28"/>
      <c r="R53" s="134"/>
      <c r="S53" s="217"/>
      <c r="T53" s="294" t="s">
        <v>70</v>
      </c>
      <c r="U53" s="27" t="s">
        <v>28</v>
      </c>
      <c r="V53" s="41"/>
      <c r="W53" s="57"/>
      <c r="X53" s="99">
        <v>29.962259</v>
      </c>
      <c r="Y53" s="99">
        <v>33.700479999999999</v>
      </c>
      <c r="Z53" s="99">
        <v>0.96251847999999995</v>
      </c>
      <c r="AA53" s="62">
        <v>0.96994418999999998</v>
      </c>
      <c r="AB53" s="62">
        <v>5.7352322999999997E-2</v>
      </c>
      <c r="AC53" s="63"/>
      <c r="AD53" s="262"/>
      <c r="AE53" s="262"/>
      <c r="AF53" s="57"/>
      <c r="AG53" s="28"/>
      <c r="AH53" s="57"/>
      <c r="AI53" s="28"/>
      <c r="AJ53" s="134"/>
      <c r="AK53" s="216"/>
      <c r="AL53" s="294" t="s">
        <v>70</v>
      </c>
      <c r="AM53" s="122">
        <f t="shared" si="4"/>
        <v>0.44021000000000043</v>
      </c>
      <c r="AN53" s="98">
        <f t="shared" si="5"/>
        <v>0.60505399999999554</v>
      </c>
      <c r="AO53" s="98">
        <f t="shared" si="6"/>
        <v>1.416099999999032E-4</v>
      </c>
      <c r="AP53" s="98">
        <f t="shared" si="7"/>
        <v>5.7784999999999087E-4</v>
      </c>
      <c r="AQ53" s="123">
        <f t="shared" si="8"/>
        <v>-9.2790370000000039E-3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2"/>
      <c r="C54" s="29" t="s">
        <v>29</v>
      </c>
      <c r="D54" s="191"/>
      <c r="E54" s="58"/>
      <c r="F54" s="192">
        <v>32.458666999999998</v>
      </c>
      <c r="G54" s="192">
        <v>35.984918</v>
      </c>
      <c r="H54" s="192">
        <v>0.97689793999999996</v>
      </c>
      <c r="I54" s="64">
        <v>0.98175643000000001</v>
      </c>
      <c r="J54" s="64">
        <v>4.4433027999999999E-2</v>
      </c>
      <c r="K54" s="193"/>
      <c r="L54" s="263"/>
      <c r="M54" s="263"/>
      <c r="N54" s="58"/>
      <c r="O54" s="30"/>
      <c r="P54" s="58"/>
      <c r="Q54" s="30"/>
      <c r="R54" s="135"/>
      <c r="S54" s="217"/>
      <c r="T54" s="292"/>
      <c r="U54" s="29" t="s">
        <v>29</v>
      </c>
      <c r="V54" s="191"/>
      <c r="W54" s="58"/>
      <c r="X54" s="192">
        <v>33.446655999999997</v>
      </c>
      <c r="Y54" s="192">
        <v>36.662837000000003</v>
      </c>
      <c r="Z54" s="192">
        <v>0.97719232</v>
      </c>
      <c r="AA54" s="64">
        <v>0.98241350000000005</v>
      </c>
      <c r="AB54" s="64">
        <v>3.7860774E-2</v>
      </c>
      <c r="AC54" s="193"/>
      <c r="AD54" s="263"/>
      <c r="AE54" s="263"/>
      <c r="AF54" s="58"/>
      <c r="AG54" s="30"/>
      <c r="AH54" s="58"/>
      <c r="AI54" s="30"/>
      <c r="AJ54" s="135"/>
      <c r="AK54" s="216"/>
      <c r="AL54" s="292"/>
      <c r="AM54" s="89">
        <f t="shared" si="4"/>
        <v>0.9879889999999989</v>
      </c>
      <c r="AN54" s="124">
        <f t="shared" si="5"/>
        <v>0.67791900000000282</v>
      </c>
      <c r="AO54" s="124">
        <f t="shared" si="6"/>
        <v>2.943800000000385E-4</v>
      </c>
      <c r="AP54" s="124">
        <f t="shared" si="7"/>
        <v>6.5707000000003735E-4</v>
      </c>
      <c r="AQ54" s="90">
        <f t="shared" si="8"/>
        <v>-6.5722539999999996E-3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2"/>
      <c r="C55" s="29" t="s">
        <v>30</v>
      </c>
      <c r="D55" s="191"/>
      <c r="E55" s="58"/>
      <c r="F55" s="192">
        <v>35.679766000000001</v>
      </c>
      <c r="G55" s="192">
        <v>39.763469000000001</v>
      </c>
      <c r="H55" s="192">
        <v>0.98777605999999996</v>
      </c>
      <c r="I55" s="64">
        <v>0.99115679999999995</v>
      </c>
      <c r="J55" s="64">
        <v>2.8534828000000002E-2</v>
      </c>
      <c r="K55" s="193"/>
      <c r="L55" s="263"/>
      <c r="M55" s="263"/>
      <c r="N55" s="58"/>
      <c r="O55" s="30"/>
      <c r="P55" s="58"/>
      <c r="Q55" s="30"/>
      <c r="R55" s="135"/>
      <c r="S55" s="217"/>
      <c r="T55" s="292"/>
      <c r="U55" s="29" t="s">
        <v>30</v>
      </c>
      <c r="V55" s="191"/>
      <c r="W55" s="58"/>
      <c r="X55" s="192">
        <v>37.496918999999998</v>
      </c>
      <c r="Y55" s="192">
        <v>40.947837999999997</v>
      </c>
      <c r="Z55" s="192">
        <v>0.98821557999999998</v>
      </c>
      <c r="AA55" s="64">
        <v>0.99173564999999997</v>
      </c>
      <c r="AB55" s="64">
        <v>2.1961259E-2</v>
      </c>
      <c r="AC55" s="193"/>
      <c r="AD55" s="263"/>
      <c r="AE55" s="263"/>
      <c r="AF55" s="58"/>
      <c r="AG55" s="30"/>
      <c r="AH55" s="58"/>
      <c r="AI55" s="30"/>
      <c r="AJ55" s="135"/>
      <c r="AK55" s="216"/>
      <c r="AL55" s="292"/>
      <c r="AM55" s="89">
        <f t="shared" si="4"/>
        <v>1.8171529999999976</v>
      </c>
      <c r="AN55" s="124">
        <f t="shared" si="5"/>
        <v>1.1843689999999967</v>
      </c>
      <c r="AO55" s="124">
        <f t="shared" si="6"/>
        <v>4.3952000000002656E-4</v>
      </c>
      <c r="AP55" s="124">
        <f t="shared" si="7"/>
        <v>5.7885000000001963E-4</v>
      </c>
      <c r="AQ55" s="90">
        <f t="shared" si="8"/>
        <v>-6.5735690000000013E-3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2"/>
      <c r="C56" s="29" t="s">
        <v>32</v>
      </c>
      <c r="D56" s="191"/>
      <c r="E56" s="58"/>
      <c r="F56" s="192">
        <v>38.597504999999998</v>
      </c>
      <c r="G56" s="192">
        <v>42.825226999999998</v>
      </c>
      <c r="H56" s="192">
        <v>0.99314466000000001</v>
      </c>
      <c r="I56" s="64">
        <v>0.99536809000000004</v>
      </c>
      <c r="J56" s="64">
        <v>1.4998801000000001E-2</v>
      </c>
      <c r="K56" s="193"/>
      <c r="L56" s="263"/>
      <c r="M56" s="263"/>
      <c r="N56" s="58"/>
      <c r="O56" s="30"/>
      <c r="P56" s="58"/>
      <c r="Q56" s="30"/>
      <c r="R56" s="135"/>
      <c r="S56" s="217"/>
      <c r="T56" s="292"/>
      <c r="U56" s="29" t="s">
        <v>32</v>
      </c>
      <c r="V56" s="191"/>
      <c r="W56" s="58"/>
      <c r="X56" s="192">
        <v>41.747011999999998</v>
      </c>
      <c r="Y56" s="192">
        <v>44.921706999999998</v>
      </c>
      <c r="Z56" s="192">
        <v>0.99361458999999996</v>
      </c>
      <c r="AA56" s="64">
        <v>0.99607455</v>
      </c>
      <c r="AB56" s="64">
        <v>9.2536140000000003E-3</v>
      </c>
      <c r="AC56" s="193"/>
      <c r="AD56" s="263"/>
      <c r="AE56" s="263"/>
      <c r="AF56" s="58"/>
      <c r="AG56" s="30"/>
      <c r="AH56" s="58"/>
      <c r="AI56" s="30"/>
      <c r="AJ56" s="135"/>
      <c r="AK56" s="216"/>
      <c r="AL56" s="292"/>
      <c r="AM56" s="89">
        <f t="shared" si="4"/>
        <v>3.1495069999999998</v>
      </c>
      <c r="AN56" s="124">
        <f t="shared" si="5"/>
        <v>2.0964799999999997</v>
      </c>
      <c r="AO56" s="124">
        <f t="shared" si="6"/>
        <v>4.6992999999995178E-4</v>
      </c>
      <c r="AP56" s="124">
        <f t="shared" si="7"/>
        <v>7.0645999999996434E-4</v>
      </c>
      <c r="AQ56" s="90">
        <f t="shared" si="8"/>
        <v>-5.7451870000000006E-3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2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2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2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4" t="s">
        <v>71</v>
      </c>
      <c r="C58" s="27" t="s">
        <v>28</v>
      </c>
      <c r="D58" s="41"/>
      <c r="E58" s="57"/>
      <c r="F58" s="99">
        <v>29.68233</v>
      </c>
      <c r="G58" s="99">
        <v>33.258108999999997</v>
      </c>
      <c r="H58" s="99">
        <v>0.96183008999999997</v>
      </c>
      <c r="I58" s="62">
        <v>0.96960731</v>
      </c>
      <c r="J58" s="62">
        <v>6.7332400000000001E-2</v>
      </c>
      <c r="K58" s="63"/>
      <c r="L58" s="262"/>
      <c r="M58" s="262"/>
      <c r="N58" s="57"/>
      <c r="O58" s="28"/>
      <c r="P58" s="57"/>
      <c r="Q58" s="28"/>
      <c r="R58" s="134"/>
      <c r="S58" s="217"/>
      <c r="T58" s="294" t="s">
        <v>71</v>
      </c>
      <c r="U58" s="27" t="s">
        <v>28</v>
      </c>
      <c r="V58" s="41"/>
      <c r="W58" s="57"/>
      <c r="X58" s="99">
        <v>30.023015999999998</v>
      </c>
      <c r="Y58" s="99">
        <v>33.764873999999999</v>
      </c>
      <c r="Z58" s="99">
        <v>0.96190522000000001</v>
      </c>
      <c r="AA58" s="62">
        <v>0.96984334999999999</v>
      </c>
      <c r="AB58" s="62">
        <v>5.9676062000000002E-2</v>
      </c>
      <c r="AC58" s="63"/>
      <c r="AD58" s="262"/>
      <c r="AE58" s="262"/>
      <c r="AF58" s="57"/>
      <c r="AG58" s="28"/>
      <c r="AH58" s="57"/>
      <c r="AI58" s="28"/>
      <c r="AJ58" s="134"/>
      <c r="AK58" s="216"/>
      <c r="AL58" s="294" t="s">
        <v>71</v>
      </c>
      <c r="AM58" s="122">
        <f t="shared" si="4"/>
        <v>0.34068599999999805</v>
      </c>
      <c r="AN58" s="98">
        <f t="shared" si="5"/>
        <v>0.50676500000000146</v>
      </c>
      <c r="AO58" s="98">
        <f t="shared" si="6"/>
        <v>7.5130000000034336E-5</v>
      </c>
      <c r="AP58" s="98">
        <f t="shared" si="7"/>
        <v>2.3603999999999292E-4</v>
      </c>
      <c r="AQ58" s="123">
        <f t="shared" si="8"/>
        <v>-7.6563379999999986E-3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2"/>
      <c r="C59" s="29" t="s">
        <v>29</v>
      </c>
      <c r="D59" s="191"/>
      <c r="E59" s="58"/>
      <c r="F59" s="192">
        <v>32.585791999999998</v>
      </c>
      <c r="G59" s="192">
        <v>36.097355999999998</v>
      </c>
      <c r="H59" s="192">
        <v>0.97665292000000004</v>
      </c>
      <c r="I59" s="64">
        <v>0.98189451000000005</v>
      </c>
      <c r="J59" s="64">
        <v>4.5003085999999998E-2</v>
      </c>
      <c r="K59" s="193"/>
      <c r="L59" s="263"/>
      <c r="M59" s="263"/>
      <c r="N59" s="58"/>
      <c r="O59" s="30"/>
      <c r="P59" s="58"/>
      <c r="Q59" s="30"/>
      <c r="R59" s="135"/>
      <c r="S59" s="217"/>
      <c r="T59" s="292"/>
      <c r="U59" s="29" t="s">
        <v>29</v>
      </c>
      <c r="V59" s="191"/>
      <c r="W59" s="58"/>
      <c r="X59" s="192">
        <v>33.518071999999997</v>
      </c>
      <c r="Y59" s="192">
        <v>36.739033999999997</v>
      </c>
      <c r="Z59" s="192">
        <v>0.97705918999999997</v>
      </c>
      <c r="AA59" s="64">
        <v>0.98259326000000002</v>
      </c>
      <c r="AB59" s="64">
        <v>3.8655702E-2</v>
      </c>
      <c r="AC59" s="193"/>
      <c r="AD59" s="263"/>
      <c r="AE59" s="263"/>
      <c r="AF59" s="58"/>
      <c r="AG59" s="30"/>
      <c r="AH59" s="58"/>
      <c r="AI59" s="30"/>
      <c r="AJ59" s="135"/>
      <c r="AK59" s="216"/>
      <c r="AL59" s="292"/>
      <c r="AM59" s="89">
        <f t="shared" si="4"/>
        <v>0.93227999999999867</v>
      </c>
      <c r="AN59" s="124">
        <f t="shared" si="5"/>
        <v>0.64167799999999886</v>
      </c>
      <c r="AO59" s="124">
        <f t="shared" si="6"/>
        <v>4.0626999999993085E-4</v>
      </c>
      <c r="AP59" s="124">
        <f t="shared" si="7"/>
        <v>6.9874999999997023E-4</v>
      </c>
      <c r="AQ59" s="90">
        <f t="shared" si="8"/>
        <v>-6.3473839999999976E-3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2"/>
      <c r="C60" s="29" t="s">
        <v>30</v>
      </c>
      <c r="D60" s="191"/>
      <c r="E60" s="58"/>
      <c r="F60" s="192">
        <v>35.839658</v>
      </c>
      <c r="G60" s="192">
        <v>39.831609</v>
      </c>
      <c r="H60" s="192">
        <v>0.98778858000000003</v>
      </c>
      <c r="I60" s="64">
        <v>0.99115125999999998</v>
      </c>
      <c r="J60" s="64">
        <v>2.8406635E-2</v>
      </c>
      <c r="K60" s="193"/>
      <c r="L60" s="263"/>
      <c r="M60" s="263"/>
      <c r="N60" s="58"/>
      <c r="O60" s="30"/>
      <c r="P60" s="58"/>
      <c r="Q60" s="30"/>
      <c r="R60" s="135"/>
      <c r="S60" s="217"/>
      <c r="T60" s="292"/>
      <c r="U60" s="29" t="s">
        <v>30</v>
      </c>
      <c r="V60" s="191"/>
      <c r="W60" s="58"/>
      <c r="X60" s="192">
        <v>37.347937000000002</v>
      </c>
      <c r="Y60" s="192">
        <v>40.827570000000001</v>
      </c>
      <c r="Z60" s="192">
        <v>0.98823844000000005</v>
      </c>
      <c r="AA60" s="64">
        <v>0.99177654000000004</v>
      </c>
      <c r="AB60" s="64">
        <v>2.2993085999999999E-2</v>
      </c>
      <c r="AC60" s="193"/>
      <c r="AD60" s="263"/>
      <c r="AE60" s="263"/>
      <c r="AF60" s="58"/>
      <c r="AG60" s="30"/>
      <c r="AH60" s="58"/>
      <c r="AI60" s="30"/>
      <c r="AJ60" s="135"/>
      <c r="AK60" s="216"/>
      <c r="AL60" s="292"/>
      <c r="AM60" s="89">
        <f t="shared" si="4"/>
        <v>1.5082790000000017</v>
      </c>
      <c r="AN60" s="124">
        <f t="shared" si="5"/>
        <v>0.99596100000000121</v>
      </c>
      <c r="AO60" s="124">
        <f t="shared" si="6"/>
        <v>4.4986000000002413E-4</v>
      </c>
      <c r="AP60" s="124">
        <f t="shared" si="7"/>
        <v>6.2528000000006134E-4</v>
      </c>
      <c r="AQ60" s="90">
        <f t="shared" si="8"/>
        <v>-5.4135490000000001E-3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2"/>
      <c r="C61" s="29" t="s">
        <v>32</v>
      </c>
      <c r="D61" s="191"/>
      <c r="E61" s="58"/>
      <c r="F61" s="192">
        <v>39.007764000000002</v>
      </c>
      <c r="G61" s="192">
        <v>43.125194</v>
      </c>
      <c r="H61" s="192">
        <v>0.99317886</v>
      </c>
      <c r="I61" s="64">
        <v>0.99532387</v>
      </c>
      <c r="J61" s="64">
        <v>1.4320851000000001E-2</v>
      </c>
      <c r="K61" s="193"/>
      <c r="L61" s="263"/>
      <c r="M61" s="263"/>
      <c r="N61" s="58"/>
      <c r="O61" s="30"/>
      <c r="P61" s="58"/>
      <c r="Q61" s="30"/>
      <c r="R61" s="135"/>
      <c r="S61" s="217"/>
      <c r="T61" s="292"/>
      <c r="U61" s="29" t="s">
        <v>32</v>
      </c>
      <c r="V61" s="191"/>
      <c r="W61" s="58"/>
      <c r="X61" s="192">
        <v>41.692712999999998</v>
      </c>
      <c r="Y61" s="192">
        <v>44.866703000000001</v>
      </c>
      <c r="Z61" s="192">
        <v>0.99358267</v>
      </c>
      <c r="AA61" s="64">
        <v>0.99607696000000001</v>
      </c>
      <c r="AB61" s="64">
        <v>9.6286134999999991E-3</v>
      </c>
      <c r="AC61" s="193"/>
      <c r="AD61" s="263"/>
      <c r="AE61" s="263"/>
      <c r="AF61" s="58"/>
      <c r="AG61" s="30"/>
      <c r="AH61" s="58"/>
      <c r="AI61" s="30"/>
      <c r="AJ61" s="135"/>
      <c r="AK61" s="216"/>
      <c r="AL61" s="292"/>
      <c r="AM61" s="89">
        <f t="shared" si="4"/>
        <v>2.684948999999996</v>
      </c>
      <c r="AN61" s="124">
        <f t="shared" si="5"/>
        <v>1.7415090000000006</v>
      </c>
      <c r="AO61" s="124">
        <f t="shared" si="6"/>
        <v>4.0381000000000444E-4</v>
      </c>
      <c r="AP61" s="124">
        <f t="shared" si="7"/>
        <v>7.5309000000001181E-4</v>
      </c>
      <c r="AQ61" s="90">
        <f t="shared" si="8"/>
        <v>-4.6922375000000016E-3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2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2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2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4" t="s">
        <v>72</v>
      </c>
      <c r="C63" s="27" t="s">
        <v>28</v>
      </c>
      <c r="D63" s="41"/>
      <c r="E63" s="57"/>
      <c r="F63" s="99">
        <v>29.997012999999999</v>
      </c>
      <c r="G63" s="99">
        <v>33.660482000000002</v>
      </c>
      <c r="H63" s="99">
        <v>0.96114701999999996</v>
      </c>
      <c r="I63" s="62">
        <v>0.97034967999999999</v>
      </c>
      <c r="J63" s="62">
        <v>6.5846375999999998E-2</v>
      </c>
      <c r="K63" s="63"/>
      <c r="L63" s="262"/>
      <c r="M63" s="262"/>
      <c r="N63" s="57"/>
      <c r="O63" s="28"/>
      <c r="P63" s="57"/>
      <c r="Q63" s="28"/>
      <c r="R63" s="134"/>
      <c r="S63" s="217"/>
      <c r="T63" s="294" t="s">
        <v>72</v>
      </c>
      <c r="U63" s="27" t="s">
        <v>28</v>
      </c>
      <c r="V63" s="41"/>
      <c r="W63" s="57"/>
      <c r="X63" s="99">
        <v>30.076066999999998</v>
      </c>
      <c r="Y63" s="99">
        <v>33.961072000000001</v>
      </c>
      <c r="Z63" s="99">
        <v>0.96116491000000004</v>
      </c>
      <c r="AA63" s="62">
        <v>0.97084398000000005</v>
      </c>
      <c r="AB63" s="62">
        <v>6.1623983E-2</v>
      </c>
      <c r="AC63" s="63"/>
      <c r="AD63" s="262"/>
      <c r="AE63" s="262"/>
      <c r="AF63" s="57"/>
      <c r="AG63" s="28"/>
      <c r="AH63" s="57"/>
      <c r="AI63" s="28"/>
      <c r="AJ63" s="134"/>
      <c r="AK63" s="216"/>
      <c r="AL63" s="294" t="s">
        <v>72</v>
      </c>
      <c r="AM63" s="122">
        <f t="shared" si="4"/>
        <v>7.9053999999999292E-2</v>
      </c>
      <c r="AN63" s="98">
        <f t="shared" si="5"/>
        <v>0.30058999999999969</v>
      </c>
      <c r="AO63" s="98">
        <f t="shared" si="6"/>
        <v>1.7890000000075901E-5</v>
      </c>
      <c r="AP63" s="98">
        <f t="shared" si="7"/>
        <v>4.9430000000005858E-4</v>
      </c>
      <c r="AQ63" s="123">
        <f t="shared" si="8"/>
        <v>-4.2223929999999979E-3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2"/>
      <c r="C64" s="29" t="s">
        <v>29</v>
      </c>
      <c r="D64" s="191"/>
      <c r="E64" s="58"/>
      <c r="F64" s="192">
        <v>33.147660000000002</v>
      </c>
      <c r="G64" s="192">
        <v>36.565246999999999</v>
      </c>
      <c r="H64" s="192">
        <v>0.97660387999999998</v>
      </c>
      <c r="I64" s="64">
        <v>0.98222423000000003</v>
      </c>
      <c r="J64" s="64">
        <v>4.1996222E-2</v>
      </c>
      <c r="K64" s="193"/>
      <c r="L64" s="263"/>
      <c r="M64" s="263"/>
      <c r="N64" s="58"/>
      <c r="O64" s="30"/>
      <c r="P64" s="58"/>
      <c r="Q64" s="30"/>
      <c r="R64" s="135"/>
      <c r="S64" s="217"/>
      <c r="T64" s="292"/>
      <c r="U64" s="29" t="s">
        <v>29</v>
      </c>
      <c r="V64" s="191"/>
      <c r="W64" s="58"/>
      <c r="X64" s="192">
        <v>33.599817000000002</v>
      </c>
      <c r="Y64" s="192">
        <v>36.919457999999999</v>
      </c>
      <c r="Z64" s="192">
        <v>0.97691359</v>
      </c>
      <c r="AA64" s="64">
        <v>0.98299537000000003</v>
      </c>
      <c r="AB64" s="64">
        <v>3.8822252000000002E-2</v>
      </c>
      <c r="AC64" s="193"/>
      <c r="AD64" s="263"/>
      <c r="AE64" s="263"/>
      <c r="AF64" s="58"/>
      <c r="AG64" s="30"/>
      <c r="AH64" s="58"/>
      <c r="AI64" s="30"/>
      <c r="AJ64" s="135"/>
      <c r="AK64" s="216"/>
      <c r="AL64" s="292"/>
      <c r="AM64" s="89">
        <f t="shared" si="4"/>
        <v>0.4521569999999997</v>
      </c>
      <c r="AN64" s="124">
        <f t="shared" si="5"/>
        <v>0.35421099999999939</v>
      </c>
      <c r="AO64" s="124">
        <f t="shared" si="6"/>
        <v>3.0971000000001858E-4</v>
      </c>
      <c r="AP64" s="124">
        <f t="shared" si="7"/>
        <v>7.7114000000000349E-4</v>
      </c>
      <c r="AQ64" s="90">
        <f t="shared" si="8"/>
        <v>-3.1739699999999982E-3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2"/>
      <c r="C65" s="29" t="s">
        <v>30</v>
      </c>
      <c r="D65" s="191"/>
      <c r="E65" s="58"/>
      <c r="F65" s="192">
        <v>36.391508000000002</v>
      </c>
      <c r="G65" s="192">
        <v>40.252209000000001</v>
      </c>
      <c r="H65" s="192">
        <v>0.98797999000000003</v>
      </c>
      <c r="I65" s="64">
        <v>0.99132962000000002</v>
      </c>
      <c r="J65" s="64">
        <v>2.6921328000000001E-2</v>
      </c>
      <c r="K65" s="193"/>
      <c r="L65" s="263"/>
      <c r="M65" s="263"/>
      <c r="N65" s="58"/>
      <c r="O65" s="30"/>
      <c r="P65" s="58"/>
      <c r="Q65" s="30"/>
      <c r="R65" s="135"/>
      <c r="S65" s="217"/>
      <c r="T65" s="292"/>
      <c r="U65" s="29" t="s">
        <v>30</v>
      </c>
      <c r="V65" s="191"/>
      <c r="W65" s="58"/>
      <c r="X65" s="192">
        <v>37.525212000000003</v>
      </c>
      <c r="Y65" s="192">
        <v>41.020372999999999</v>
      </c>
      <c r="Z65" s="192">
        <v>0.98834012000000004</v>
      </c>
      <c r="AA65" s="64">
        <v>0.99201596000000003</v>
      </c>
      <c r="AB65" s="64">
        <v>2.3018851999999999E-2</v>
      </c>
      <c r="AC65" s="193"/>
      <c r="AD65" s="263"/>
      <c r="AE65" s="263"/>
      <c r="AF65" s="58"/>
      <c r="AG65" s="30"/>
      <c r="AH65" s="58"/>
      <c r="AI65" s="30"/>
      <c r="AJ65" s="135"/>
      <c r="AK65" s="216"/>
      <c r="AL65" s="292"/>
      <c r="AM65" s="89">
        <f t="shared" si="4"/>
        <v>1.1337040000000016</v>
      </c>
      <c r="AN65" s="124">
        <f t="shared" si="5"/>
        <v>0.76816399999999874</v>
      </c>
      <c r="AO65" s="124">
        <f t="shared" si="6"/>
        <v>3.6013000000001405E-4</v>
      </c>
      <c r="AP65" s="124">
        <f t="shared" si="7"/>
        <v>6.863400000000075E-4</v>
      </c>
      <c r="AQ65" s="90">
        <f t="shared" si="8"/>
        <v>-3.9024760000000019E-3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2"/>
      <c r="C66" s="29" t="s">
        <v>32</v>
      </c>
      <c r="D66" s="191"/>
      <c r="E66" s="58"/>
      <c r="F66" s="192">
        <v>39.687700999999997</v>
      </c>
      <c r="G66" s="192">
        <v>43.589041999999999</v>
      </c>
      <c r="H66" s="192">
        <v>0.99332034000000002</v>
      </c>
      <c r="I66" s="64">
        <v>0.9955522</v>
      </c>
      <c r="J66" s="64">
        <v>1.3120456000000001E-2</v>
      </c>
      <c r="K66" s="193"/>
      <c r="L66" s="263"/>
      <c r="M66" s="263"/>
      <c r="N66" s="58"/>
      <c r="O66" s="30"/>
      <c r="P66" s="58"/>
      <c r="Q66" s="30"/>
      <c r="R66" s="135"/>
      <c r="S66" s="217"/>
      <c r="T66" s="292"/>
      <c r="U66" s="29" t="s">
        <v>32</v>
      </c>
      <c r="V66" s="191"/>
      <c r="W66" s="58"/>
      <c r="X66" s="192">
        <v>41.809579999999997</v>
      </c>
      <c r="Y66" s="192">
        <v>45.014131999999996</v>
      </c>
      <c r="Z66" s="192">
        <v>0.99367623000000005</v>
      </c>
      <c r="AA66" s="64">
        <v>0.99617750999999999</v>
      </c>
      <c r="AB66" s="64">
        <v>9.5456529999999994E-3</v>
      </c>
      <c r="AC66" s="193"/>
      <c r="AD66" s="263"/>
      <c r="AE66" s="263"/>
      <c r="AF66" s="58"/>
      <c r="AG66" s="30"/>
      <c r="AH66" s="58"/>
      <c r="AI66" s="30"/>
      <c r="AJ66" s="135"/>
      <c r="AK66" s="216"/>
      <c r="AL66" s="292"/>
      <c r="AM66" s="89">
        <f t="shared" si="4"/>
        <v>2.1218789999999998</v>
      </c>
      <c r="AN66" s="124">
        <f t="shared" si="5"/>
        <v>1.4250899999999973</v>
      </c>
      <c r="AO66" s="124">
        <f t="shared" si="6"/>
        <v>3.5589000000002535E-4</v>
      </c>
      <c r="AP66" s="124">
        <f t="shared" si="7"/>
        <v>6.2530999999999004E-4</v>
      </c>
      <c r="AQ66" s="90">
        <f t="shared" si="8"/>
        <v>-3.5748030000000014E-3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2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2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2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4" t="s">
        <v>73</v>
      </c>
      <c r="C68" s="27" t="s">
        <v>28</v>
      </c>
      <c r="D68" s="41"/>
      <c r="E68" s="57"/>
      <c r="F68" s="99">
        <v>28.984580000000001</v>
      </c>
      <c r="G68" s="99">
        <v>32.458784000000001</v>
      </c>
      <c r="H68" s="99">
        <v>0.96228798000000004</v>
      </c>
      <c r="I68" s="62">
        <v>0.96817421999999997</v>
      </c>
      <c r="J68" s="62">
        <v>7.1367040000000007E-2</v>
      </c>
      <c r="K68" s="63"/>
      <c r="L68" s="262"/>
      <c r="M68" s="262"/>
      <c r="N68" s="57"/>
      <c r="O68" s="28"/>
      <c r="P68" s="57"/>
      <c r="Q68" s="28"/>
      <c r="R68" s="134"/>
      <c r="S68" s="217"/>
      <c r="T68" s="294" t="s">
        <v>73</v>
      </c>
      <c r="U68" s="27" t="s">
        <v>28</v>
      </c>
      <c r="V68" s="41"/>
      <c r="W68" s="57"/>
      <c r="X68" s="99">
        <v>29.484795999999999</v>
      </c>
      <c r="Y68" s="99">
        <v>33.590926000000003</v>
      </c>
      <c r="Z68" s="99">
        <v>0.96247967000000001</v>
      </c>
      <c r="AA68" s="62">
        <v>0.96944094999999997</v>
      </c>
      <c r="AB68" s="62">
        <v>5.6201660000000001E-2</v>
      </c>
      <c r="AC68" s="63"/>
      <c r="AD68" s="262"/>
      <c r="AE68" s="262"/>
      <c r="AF68" s="57"/>
      <c r="AG68" s="28"/>
      <c r="AH68" s="57"/>
      <c r="AI68" s="28"/>
      <c r="AJ68" s="134"/>
      <c r="AK68" s="216"/>
      <c r="AL68" s="294" t="s">
        <v>73</v>
      </c>
      <c r="AM68" s="122">
        <f t="shared" si="4"/>
        <v>0.50021599999999822</v>
      </c>
      <c r="AN68" s="98">
        <f t="shared" si="5"/>
        <v>1.1321420000000018</v>
      </c>
      <c r="AO68" s="98">
        <f t="shared" si="6"/>
        <v>1.9168999999996661E-4</v>
      </c>
      <c r="AP68" s="98">
        <f t="shared" si="7"/>
        <v>1.2667299999999937E-3</v>
      </c>
      <c r="AQ68" s="123">
        <f t="shared" si="8"/>
        <v>-1.5165380000000006E-2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2"/>
      <c r="C69" s="29" t="s">
        <v>29</v>
      </c>
      <c r="D69" s="191"/>
      <c r="E69" s="58"/>
      <c r="F69" s="192">
        <v>31.978733999999999</v>
      </c>
      <c r="G69" s="192">
        <v>35.560954000000002</v>
      </c>
      <c r="H69" s="192">
        <v>0.97750647999999996</v>
      </c>
      <c r="I69" s="64">
        <v>0.98177000999999997</v>
      </c>
      <c r="J69" s="64">
        <v>4.6866390000000001E-2</v>
      </c>
      <c r="K69" s="193"/>
      <c r="L69" s="263"/>
      <c r="M69" s="263"/>
      <c r="N69" s="58"/>
      <c r="O69" s="30"/>
      <c r="P69" s="58"/>
      <c r="Q69" s="30"/>
      <c r="R69" s="135"/>
      <c r="S69" s="217"/>
      <c r="T69" s="292"/>
      <c r="U69" s="29" t="s">
        <v>29</v>
      </c>
      <c r="V69" s="191"/>
      <c r="W69" s="58"/>
      <c r="X69" s="192">
        <v>33.354669999999999</v>
      </c>
      <c r="Y69" s="192">
        <v>36.770527000000001</v>
      </c>
      <c r="Z69" s="192">
        <v>0.97772245000000002</v>
      </c>
      <c r="AA69" s="64">
        <v>0.98286386999999997</v>
      </c>
      <c r="AB69" s="64">
        <v>3.4769684000000002E-2</v>
      </c>
      <c r="AC69" s="193"/>
      <c r="AD69" s="263"/>
      <c r="AE69" s="263"/>
      <c r="AF69" s="58"/>
      <c r="AG69" s="30"/>
      <c r="AH69" s="58"/>
      <c r="AI69" s="30"/>
      <c r="AJ69" s="135"/>
      <c r="AK69" s="216"/>
      <c r="AL69" s="292"/>
      <c r="AM69" s="89">
        <f t="shared" si="4"/>
        <v>1.3759359999999994</v>
      </c>
      <c r="AN69" s="124">
        <f t="shared" si="5"/>
        <v>1.2095729999999989</v>
      </c>
      <c r="AO69" s="124">
        <f t="shared" si="6"/>
        <v>2.1597000000006528E-4</v>
      </c>
      <c r="AP69" s="124">
        <f t="shared" si="7"/>
        <v>1.0938600000000021E-3</v>
      </c>
      <c r="AQ69" s="90">
        <f t="shared" si="8"/>
        <v>-1.2096705999999999E-2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2"/>
      <c r="C70" s="29" t="s">
        <v>30</v>
      </c>
      <c r="D70" s="191"/>
      <c r="E70" s="58"/>
      <c r="F70" s="192">
        <v>35.082237999999997</v>
      </c>
      <c r="G70" s="192">
        <v>39.436193000000003</v>
      </c>
      <c r="H70" s="192">
        <v>0.98856533000000002</v>
      </c>
      <c r="I70" s="64">
        <v>0.99181430999999998</v>
      </c>
      <c r="J70" s="64">
        <v>3.004592E-2</v>
      </c>
      <c r="K70" s="193"/>
      <c r="L70" s="263"/>
      <c r="M70" s="263"/>
      <c r="N70" s="58"/>
      <c r="O70" s="30"/>
      <c r="P70" s="58"/>
      <c r="Q70" s="30"/>
      <c r="R70" s="135"/>
      <c r="S70" s="217"/>
      <c r="T70" s="292"/>
      <c r="U70" s="29" t="s">
        <v>30</v>
      </c>
      <c r="V70" s="191"/>
      <c r="W70" s="58"/>
      <c r="X70" s="192">
        <v>38.226250999999998</v>
      </c>
      <c r="Y70" s="192">
        <v>41.397936000000001</v>
      </c>
      <c r="Z70" s="192">
        <v>0.98897619000000003</v>
      </c>
      <c r="AA70" s="64">
        <v>0.99247171999999995</v>
      </c>
      <c r="AB70" s="64">
        <v>1.8043764E-2</v>
      </c>
      <c r="AC70" s="193"/>
      <c r="AD70" s="263"/>
      <c r="AE70" s="263"/>
      <c r="AF70" s="58"/>
      <c r="AG70" s="30"/>
      <c r="AH70" s="58"/>
      <c r="AI70" s="30"/>
      <c r="AJ70" s="135"/>
      <c r="AK70" s="216"/>
      <c r="AL70" s="292"/>
      <c r="AM70" s="89">
        <f t="shared" si="4"/>
        <v>3.1440130000000011</v>
      </c>
      <c r="AN70" s="124">
        <f t="shared" si="5"/>
        <v>1.9617429999999985</v>
      </c>
      <c r="AO70" s="124">
        <f t="shared" si="6"/>
        <v>4.1086000000001288E-4</v>
      </c>
      <c r="AP70" s="124">
        <f t="shared" si="7"/>
        <v>6.5740999999996941E-4</v>
      </c>
      <c r="AQ70" s="90">
        <f t="shared" si="8"/>
        <v>-1.2002156E-2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2"/>
      <c r="C71" s="29" t="s">
        <v>32</v>
      </c>
      <c r="D71" s="191"/>
      <c r="E71" s="58"/>
      <c r="F71" s="192">
        <v>37.543035000000003</v>
      </c>
      <c r="G71" s="192">
        <v>41.983271999999999</v>
      </c>
      <c r="H71" s="192">
        <v>0.99337465000000003</v>
      </c>
      <c r="I71" s="64">
        <v>0.99564514999999998</v>
      </c>
      <c r="J71" s="64">
        <v>1.7582047999999999E-2</v>
      </c>
      <c r="K71" s="193"/>
      <c r="L71" s="263"/>
      <c r="M71" s="263"/>
      <c r="N71" s="58"/>
      <c r="O71" s="30"/>
      <c r="P71" s="58"/>
      <c r="Q71" s="30"/>
      <c r="R71" s="135"/>
      <c r="S71" s="217"/>
      <c r="T71" s="292"/>
      <c r="U71" s="29" t="s">
        <v>32</v>
      </c>
      <c r="V71" s="191"/>
      <c r="W71" s="58"/>
      <c r="X71" s="192">
        <v>42.178645000000003</v>
      </c>
      <c r="Y71" s="192">
        <v>45.156274000000003</v>
      </c>
      <c r="Z71" s="192">
        <v>0.99387009000000004</v>
      </c>
      <c r="AA71" s="64">
        <v>0.99636553999999999</v>
      </c>
      <c r="AB71" s="64">
        <v>8.2108460000000008E-3</v>
      </c>
      <c r="AC71" s="193"/>
      <c r="AD71" s="263"/>
      <c r="AE71" s="263"/>
      <c r="AF71" s="58"/>
      <c r="AG71" s="30"/>
      <c r="AH71" s="58"/>
      <c r="AI71" s="30"/>
      <c r="AJ71" s="135"/>
      <c r="AK71" s="216"/>
      <c r="AL71" s="292"/>
      <c r="AM71" s="89">
        <f t="shared" si="4"/>
        <v>4.6356099999999998</v>
      </c>
      <c r="AN71" s="124">
        <f t="shared" si="5"/>
        <v>3.1730020000000039</v>
      </c>
      <c r="AO71" s="124">
        <f t="shared" si="6"/>
        <v>4.9544000000001365E-4</v>
      </c>
      <c r="AP71" s="124">
        <f t="shared" si="7"/>
        <v>7.2039000000001518E-4</v>
      </c>
      <c r="AQ71" s="90">
        <f t="shared" si="8"/>
        <v>-9.3712019999999986E-3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2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2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2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4" t="s">
        <v>74</v>
      </c>
      <c r="C73" s="27" t="s">
        <v>28</v>
      </c>
      <c r="D73" s="41"/>
      <c r="E73" s="57"/>
      <c r="F73" s="99">
        <v>29.526973000000002</v>
      </c>
      <c r="G73" s="99">
        <v>33.266182000000001</v>
      </c>
      <c r="H73" s="99">
        <v>0.96416942000000005</v>
      </c>
      <c r="I73" s="62">
        <v>0.96878752999999995</v>
      </c>
      <c r="J73" s="62">
        <v>6.4007090000000003E-2</v>
      </c>
      <c r="K73" s="63"/>
      <c r="L73" s="262"/>
      <c r="M73" s="262"/>
      <c r="N73" s="57"/>
      <c r="O73" s="28"/>
      <c r="P73" s="57"/>
      <c r="Q73" s="28"/>
      <c r="R73" s="134"/>
      <c r="S73" s="217"/>
      <c r="T73" s="294" t="s">
        <v>74</v>
      </c>
      <c r="U73" s="27" t="s">
        <v>28</v>
      </c>
      <c r="V73" s="41"/>
      <c r="W73" s="57"/>
      <c r="X73" s="99">
        <v>29.971488000000001</v>
      </c>
      <c r="Y73" s="99">
        <v>34.131168000000002</v>
      </c>
      <c r="Z73" s="99">
        <v>0.96451872000000005</v>
      </c>
      <c r="AA73" s="62">
        <v>0.96994784999999994</v>
      </c>
      <c r="AB73" s="62">
        <v>5.3308880000000003E-2</v>
      </c>
      <c r="AC73" s="63"/>
      <c r="AD73" s="262"/>
      <c r="AE73" s="262"/>
      <c r="AF73" s="57"/>
      <c r="AG73" s="28"/>
      <c r="AH73" s="57"/>
      <c r="AI73" s="28"/>
      <c r="AJ73" s="134"/>
      <c r="AK73" s="216"/>
      <c r="AL73" s="294" t="s">
        <v>74</v>
      </c>
      <c r="AM73" s="122">
        <f t="shared" si="4"/>
        <v>0.44451499999999911</v>
      </c>
      <c r="AN73" s="98">
        <f t="shared" si="5"/>
        <v>0.86498600000000181</v>
      </c>
      <c r="AO73" s="98">
        <f t="shared" si="6"/>
        <v>3.4929999999999684E-4</v>
      </c>
      <c r="AP73" s="98">
        <f t="shared" si="7"/>
        <v>1.1603199999999925E-3</v>
      </c>
      <c r="AQ73" s="123">
        <f t="shared" si="8"/>
        <v>-1.069821E-2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2"/>
      <c r="C74" s="29" t="s">
        <v>29</v>
      </c>
      <c r="D74" s="191"/>
      <c r="E74" s="58"/>
      <c r="F74" s="192">
        <v>32.283003000000001</v>
      </c>
      <c r="G74" s="192">
        <v>36.011023999999999</v>
      </c>
      <c r="H74" s="192">
        <v>0.97811376000000005</v>
      </c>
      <c r="I74" s="64">
        <v>0.98162729999999998</v>
      </c>
      <c r="J74" s="64">
        <v>4.2279504000000002E-2</v>
      </c>
      <c r="K74" s="193"/>
      <c r="L74" s="263"/>
      <c r="M74" s="263"/>
      <c r="N74" s="58"/>
      <c r="O74" s="30"/>
      <c r="P74" s="58"/>
      <c r="Q74" s="30"/>
      <c r="R74" s="135"/>
      <c r="S74" s="217"/>
      <c r="T74" s="292"/>
      <c r="U74" s="29" t="s">
        <v>29</v>
      </c>
      <c r="V74" s="191"/>
      <c r="W74" s="58"/>
      <c r="X74" s="192">
        <v>33.605544000000002</v>
      </c>
      <c r="Y74" s="192">
        <v>37.012413000000002</v>
      </c>
      <c r="Z74" s="192">
        <v>0.97833769000000004</v>
      </c>
      <c r="AA74" s="64">
        <v>0.98270241999999997</v>
      </c>
      <c r="AB74" s="64">
        <v>3.4619650000000002E-2</v>
      </c>
      <c r="AC74" s="193"/>
      <c r="AD74" s="263"/>
      <c r="AE74" s="263"/>
      <c r="AF74" s="58"/>
      <c r="AG74" s="30"/>
      <c r="AH74" s="58"/>
      <c r="AI74" s="30"/>
      <c r="AJ74" s="135"/>
      <c r="AK74" s="216"/>
      <c r="AL74" s="292"/>
      <c r="AM74" s="89">
        <f t="shared" si="4"/>
        <v>1.3225410000000011</v>
      </c>
      <c r="AN74" s="124">
        <f t="shared" si="5"/>
        <v>1.0013890000000032</v>
      </c>
      <c r="AO74" s="124">
        <f t="shared" si="6"/>
        <v>2.2392999999998331E-4</v>
      </c>
      <c r="AP74" s="124">
        <f t="shared" si="7"/>
        <v>1.075119999999985E-3</v>
      </c>
      <c r="AQ74" s="90">
        <f t="shared" si="8"/>
        <v>-7.6598540000000007E-3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2"/>
      <c r="C75" s="29" t="s">
        <v>30</v>
      </c>
      <c r="D75" s="191"/>
      <c r="E75" s="58"/>
      <c r="F75" s="192">
        <v>35.978337000000003</v>
      </c>
      <c r="G75" s="192">
        <v>40.064262999999997</v>
      </c>
      <c r="H75" s="192">
        <v>0.98843513999999999</v>
      </c>
      <c r="I75" s="64">
        <v>0.99156294</v>
      </c>
      <c r="J75" s="64">
        <v>2.5514245000000001E-2</v>
      </c>
      <c r="K75" s="193"/>
      <c r="L75" s="263"/>
      <c r="M75" s="263"/>
      <c r="N75" s="58"/>
      <c r="O75" s="30"/>
      <c r="P75" s="58"/>
      <c r="Q75" s="30"/>
      <c r="R75" s="135"/>
      <c r="S75" s="217"/>
      <c r="T75" s="292"/>
      <c r="U75" s="29" t="s">
        <v>30</v>
      </c>
      <c r="V75" s="191"/>
      <c r="W75" s="58"/>
      <c r="X75" s="192">
        <v>38.161715000000001</v>
      </c>
      <c r="Y75" s="192">
        <v>41.445250000000001</v>
      </c>
      <c r="Z75" s="192">
        <v>0.98884976999999996</v>
      </c>
      <c r="AA75" s="64">
        <v>0.99224995000000005</v>
      </c>
      <c r="AB75" s="64">
        <v>1.845784E-2</v>
      </c>
      <c r="AC75" s="193"/>
      <c r="AD75" s="263"/>
      <c r="AE75" s="263"/>
      <c r="AF75" s="58"/>
      <c r="AG75" s="30"/>
      <c r="AH75" s="58"/>
      <c r="AI75" s="30"/>
      <c r="AJ75" s="135"/>
      <c r="AK75" s="216"/>
      <c r="AL75" s="292"/>
      <c r="AM75" s="89">
        <f t="shared" si="4"/>
        <v>2.1833779999999976</v>
      </c>
      <c r="AN75" s="124">
        <f t="shared" si="5"/>
        <v>1.3809870000000046</v>
      </c>
      <c r="AO75" s="124">
        <f t="shared" si="6"/>
        <v>4.1462999999997141E-4</v>
      </c>
      <c r="AP75" s="124">
        <f t="shared" si="7"/>
        <v>6.8701000000004342E-4</v>
      </c>
      <c r="AQ75" s="90">
        <f t="shared" si="8"/>
        <v>-7.0564050000000017E-3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2"/>
      <c r="C76" s="29" t="s">
        <v>32</v>
      </c>
      <c r="D76" s="191"/>
      <c r="E76" s="58"/>
      <c r="F76" s="192">
        <v>37.902993000000002</v>
      </c>
      <c r="G76" s="192">
        <v>42.288583000000003</v>
      </c>
      <c r="H76" s="192">
        <v>0.99335713999999997</v>
      </c>
      <c r="I76" s="64">
        <v>0.99562839000000003</v>
      </c>
      <c r="J76" s="64">
        <v>1.6562795000000002E-2</v>
      </c>
      <c r="K76" s="193"/>
      <c r="L76" s="263"/>
      <c r="M76" s="263"/>
      <c r="N76" s="58"/>
      <c r="O76" s="30"/>
      <c r="P76" s="58"/>
      <c r="Q76" s="30"/>
      <c r="R76" s="135"/>
      <c r="S76" s="217"/>
      <c r="T76" s="292"/>
      <c r="U76" s="29" t="s">
        <v>32</v>
      </c>
      <c r="V76" s="191"/>
      <c r="W76" s="58"/>
      <c r="X76" s="192">
        <v>42.360059999999997</v>
      </c>
      <c r="Y76" s="192">
        <v>45.383811000000001</v>
      </c>
      <c r="Z76" s="192">
        <v>0.99385394000000005</v>
      </c>
      <c r="AA76" s="64">
        <v>0.99633167</v>
      </c>
      <c r="AB76" s="64">
        <v>8.0808159999999993E-3</v>
      </c>
      <c r="AC76" s="193"/>
      <c r="AD76" s="263"/>
      <c r="AE76" s="263"/>
      <c r="AF76" s="58"/>
      <c r="AG76" s="30"/>
      <c r="AH76" s="58"/>
      <c r="AI76" s="30"/>
      <c r="AJ76" s="135"/>
      <c r="AK76" s="216"/>
      <c r="AL76" s="292"/>
      <c r="AM76" s="89">
        <f t="shared" si="4"/>
        <v>4.457066999999995</v>
      </c>
      <c r="AN76" s="124">
        <f t="shared" si="5"/>
        <v>3.0952279999999988</v>
      </c>
      <c r="AO76" s="124">
        <f t="shared" si="6"/>
        <v>4.9680000000007496E-4</v>
      </c>
      <c r="AP76" s="124">
        <f t="shared" si="7"/>
        <v>7.0327999999997282E-4</v>
      </c>
      <c r="AQ76" s="90">
        <f t="shared" si="8"/>
        <v>-8.4819790000000023E-3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2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2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2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4" t="s">
        <v>75</v>
      </c>
      <c r="C78" s="27" t="s">
        <v>28</v>
      </c>
      <c r="D78" s="41"/>
      <c r="E78" s="57"/>
      <c r="F78" s="99">
        <v>29.636751</v>
      </c>
      <c r="G78" s="99">
        <v>33.338917000000002</v>
      </c>
      <c r="H78" s="99">
        <v>0.96574822999999999</v>
      </c>
      <c r="I78" s="62">
        <v>0.97007438000000001</v>
      </c>
      <c r="J78" s="62">
        <v>6.6473134000000003E-2</v>
      </c>
      <c r="K78" s="63"/>
      <c r="L78" s="262"/>
      <c r="M78" s="262"/>
      <c r="N78" s="57"/>
      <c r="O78" s="28"/>
      <c r="P78" s="57"/>
      <c r="Q78" s="28"/>
      <c r="R78" s="134"/>
      <c r="S78" s="217"/>
      <c r="T78" s="294" t="s">
        <v>75</v>
      </c>
      <c r="U78" s="27" t="s">
        <v>28</v>
      </c>
      <c r="V78" s="41"/>
      <c r="W78" s="57"/>
      <c r="X78" s="99">
        <v>30.337146000000001</v>
      </c>
      <c r="Y78" s="99">
        <v>34.084682999999998</v>
      </c>
      <c r="Z78" s="99">
        <v>0.96612582000000002</v>
      </c>
      <c r="AA78" s="62">
        <v>0.97112388999999999</v>
      </c>
      <c r="AB78" s="62">
        <v>5.4068640000000001E-2</v>
      </c>
      <c r="AC78" s="63"/>
      <c r="AD78" s="262"/>
      <c r="AE78" s="262"/>
      <c r="AF78" s="57"/>
      <c r="AG78" s="28"/>
      <c r="AH78" s="57"/>
      <c r="AI78" s="28"/>
      <c r="AJ78" s="134"/>
      <c r="AK78" s="216"/>
      <c r="AL78" s="294" t="s">
        <v>75</v>
      </c>
      <c r="AM78" s="122">
        <f t="shared" si="4"/>
        <v>0.70039500000000032</v>
      </c>
      <c r="AN78" s="98">
        <f t="shared" si="5"/>
        <v>0.74576599999999615</v>
      </c>
      <c r="AO78" s="98">
        <f t="shared" si="6"/>
        <v>3.7759000000003873E-4</v>
      </c>
      <c r="AP78" s="98">
        <f t="shared" si="7"/>
        <v>1.0495099999999757E-3</v>
      </c>
      <c r="AQ78" s="123">
        <f t="shared" si="8"/>
        <v>-1.2404494000000002E-2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2"/>
      <c r="C79" s="29" t="s">
        <v>29</v>
      </c>
      <c r="D79" s="191"/>
      <c r="E79" s="58"/>
      <c r="F79" s="192">
        <v>32.240988999999999</v>
      </c>
      <c r="G79" s="192">
        <v>36.054644000000003</v>
      </c>
      <c r="H79" s="192">
        <v>0.97868995000000003</v>
      </c>
      <c r="I79" s="64">
        <v>0.98222352000000002</v>
      </c>
      <c r="J79" s="64">
        <v>4.4221000000000003E-2</v>
      </c>
      <c r="K79" s="193"/>
      <c r="L79" s="263"/>
      <c r="M79" s="263"/>
      <c r="N79" s="58"/>
      <c r="O79" s="30"/>
      <c r="P79" s="58"/>
      <c r="Q79" s="30"/>
      <c r="R79" s="135"/>
      <c r="S79" s="217"/>
      <c r="T79" s="292"/>
      <c r="U79" s="29" t="s">
        <v>29</v>
      </c>
      <c r="V79" s="191"/>
      <c r="W79" s="58"/>
      <c r="X79" s="192">
        <v>33.612498000000002</v>
      </c>
      <c r="Y79" s="192">
        <v>36.896399000000002</v>
      </c>
      <c r="Z79" s="192">
        <v>0.97885286000000005</v>
      </c>
      <c r="AA79" s="64">
        <v>0.98309526999999997</v>
      </c>
      <c r="AB79" s="64">
        <v>3.5819235999999997E-2</v>
      </c>
      <c r="AC79" s="193"/>
      <c r="AD79" s="263"/>
      <c r="AE79" s="263"/>
      <c r="AF79" s="58"/>
      <c r="AG79" s="30"/>
      <c r="AH79" s="58"/>
      <c r="AI79" s="30"/>
      <c r="AJ79" s="135"/>
      <c r="AK79" s="216"/>
      <c r="AL79" s="292"/>
      <c r="AM79" s="89">
        <f t="shared" si="4"/>
        <v>1.3715090000000032</v>
      </c>
      <c r="AN79" s="124">
        <f t="shared" si="5"/>
        <v>0.84175499999999914</v>
      </c>
      <c r="AO79" s="124">
        <f t="shared" si="6"/>
        <v>1.629100000000161E-4</v>
      </c>
      <c r="AP79" s="124">
        <f t="shared" si="7"/>
        <v>8.7174999999994895E-4</v>
      </c>
      <c r="AQ79" s="90">
        <f t="shared" si="8"/>
        <v>-8.401764000000006E-3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2"/>
      <c r="C80" s="29" t="s">
        <v>30</v>
      </c>
      <c r="D80" s="191"/>
      <c r="E80" s="58"/>
      <c r="F80" s="192">
        <v>35.561171999999999</v>
      </c>
      <c r="G80" s="192">
        <v>39.869092999999999</v>
      </c>
      <c r="H80" s="192">
        <v>0.98851942000000004</v>
      </c>
      <c r="I80" s="64">
        <v>0.99173741000000004</v>
      </c>
      <c r="J80" s="64">
        <v>2.9034961000000001E-2</v>
      </c>
      <c r="K80" s="193"/>
      <c r="L80" s="263"/>
      <c r="M80" s="263"/>
      <c r="N80" s="58"/>
      <c r="O80" s="30"/>
      <c r="P80" s="58"/>
      <c r="Q80" s="30"/>
      <c r="R80" s="135"/>
      <c r="S80" s="217"/>
      <c r="T80" s="292"/>
      <c r="U80" s="29" t="s">
        <v>30</v>
      </c>
      <c r="V80" s="191"/>
      <c r="W80" s="58"/>
      <c r="X80" s="192">
        <v>38.094065999999998</v>
      </c>
      <c r="Y80" s="192">
        <v>41.468837999999998</v>
      </c>
      <c r="Z80" s="192">
        <v>0.98888301999999995</v>
      </c>
      <c r="AA80" s="64">
        <v>0.99236206000000005</v>
      </c>
      <c r="AB80" s="64">
        <v>1.9210716999999999E-2</v>
      </c>
      <c r="AC80" s="193"/>
      <c r="AD80" s="263"/>
      <c r="AE80" s="263"/>
      <c r="AF80" s="58"/>
      <c r="AG80" s="30"/>
      <c r="AH80" s="58"/>
      <c r="AI80" s="30"/>
      <c r="AJ80" s="135"/>
      <c r="AK80" s="216"/>
      <c r="AL80" s="292"/>
      <c r="AM80" s="89">
        <f t="shared" si="4"/>
        <v>2.5328939999999989</v>
      </c>
      <c r="AN80" s="124">
        <f t="shared" si="5"/>
        <v>1.5997449999999986</v>
      </c>
      <c r="AO80" s="124">
        <f t="shared" si="6"/>
        <v>3.6359999999990844E-4</v>
      </c>
      <c r="AP80" s="124">
        <f t="shared" si="7"/>
        <v>6.2465000000000437E-4</v>
      </c>
      <c r="AQ80" s="90">
        <f t="shared" si="8"/>
        <v>-9.8242440000000028E-3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2"/>
      <c r="C81" s="29" t="s">
        <v>32</v>
      </c>
      <c r="D81" s="191"/>
      <c r="E81" s="58"/>
      <c r="F81" s="192">
        <v>38.317521999999997</v>
      </c>
      <c r="G81" s="192">
        <v>42.705719999999999</v>
      </c>
      <c r="H81" s="192">
        <v>0.99340107</v>
      </c>
      <c r="I81" s="64">
        <v>0.99566867999999997</v>
      </c>
      <c r="J81" s="64">
        <v>1.6119537999999999E-2</v>
      </c>
      <c r="K81" s="193"/>
      <c r="L81" s="263"/>
      <c r="M81" s="263"/>
      <c r="N81" s="58"/>
      <c r="O81" s="30"/>
      <c r="P81" s="58"/>
      <c r="Q81" s="30"/>
      <c r="R81" s="135"/>
      <c r="S81" s="217"/>
      <c r="T81" s="292"/>
      <c r="U81" s="29" t="s">
        <v>32</v>
      </c>
      <c r="V81" s="191"/>
      <c r="W81" s="58"/>
      <c r="X81" s="192">
        <v>42.384509000000001</v>
      </c>
      <c r="Y81" s="192">
        <v>45.472434</v>
      </c>
      <c r="Z81" s="192">
        <v>0.99387769999999998</v>
      </c>
      <c r="AA81" s="64">
        <v>0.99634146000000001</v>
      </c>
      <c r="AB81" s="64">
        <v>8.2680319999999998E-3</v>
      </c>
      <c r="AC81" s="193"/>
      <c r="AD81" s="263"/>
      <c r="AE81" s="263"/>
      <c r="AF81" s="58"/>
      <c r="AG81" s="30"/>
      <c r="AH81" s="58"/>
      <c r="AI81" s="30"/>
      <c r="AJ81" s="135"/>
      <c r="AK81" s="216"/>
      <c r="AL81" s="292"/>
      <c r="AM81" s="89">
        <f t="shared" si="4"/>
        <v>4.0669870000000046</v>
      </c>
      <c r="AN81" s="124">
        <f t="shared" si="5"/>
        <v>2.7667140000000003</v>
      </c>
      <c r="AO81" s="124">
        <f t="shared" si="6"/>
        <v>4.766299999999779E-4</v>
      </c>
      <c r="AP81" s="124">
        <f t="shared" si="7"/>
        <v>6.7278000000003946E-4</v>
      </c>
      <c r="AQ81" s="90">
        <f t="shared" si="8"/>
        <v>-7.8515059999999994E-3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2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2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2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1" t="s">
        <v>76</v>
      </c>
      <c r="C83" s="27" t="s">
        <v>28</v>
      </c>
      <c r="D83" s="41"/>
      <c r="E83" s="57"/>
      <c r="F83" s="99">
        <v>30.346667</v>
      </c>
      <c r="G83" s="99">
        <v>33.698810000000002</v>
      </c>
      <c r="H83" s="99">
        <v>0.96659404000000004</v>
      </c>
      <c r="I83" s="62">
        <v>0.97200211999999997</v>
      </c>
      <c r="J83" s="62">
        <v>6.1710282999999998E-2</v>
      </c>
      <c r="K83" s="63"/>
      <c r="L83" s="262"/>
      <c r="M83" s="262"/>
      <c r="N83" s="57"/>
      <c r="O83" s="28"/>
      <c r="P83" s="57"/>
      <c r="Q83" s="28"/>
      <c r="R83" s="134"/>
      <c r="S83" s="217"/>
      <c r="T83" s="291" t="s">
        <v>76</v>
      </c>
      <c r="U83" s="27" t="s">
        <v>28</v>
      </c>
      <c r="V83" s="41"/>
      <c r="W83" s="57"/>
      <c r="X83" s="99">
        <v>30.555581</v>
      </c>
      <c r="Y83" s="99">
        <v>34.402394000000001</v>
      </c>
      <c r="Z83" s="99">
        <v>0.96694667000000001</v>
      </c>
      <c r="AA83" s="62">
        <v>0.97301406000000001</v>
      </c>
      <c r="AB83" s="62">
        <v>5.2366019999999999E-2</v>
      </c>
      <c r="AC83" s="63"/>
      <c r="AD83" s="262"/>
      <c r="AE83" s="262"/>
      <c r="AF83" s="57"/>
      <c r="AG83" s="28"/>
      <c r="AH83" s="57"/>
      <c r="AI83" s="28"/>
      <c r="AJ83" s="134"/>
      <c r="AK83" s="216"/>
      <c r="AL83" s="291" t="s">
        <v>76</v>
      </c>
      <c r="AM83" s="122">
        <f t="shared" si="4"/>
        <v>0.20891400000000004</v>
      </c>
      <c r="AN83" s="98">
        <f t="shared" si="5"/>
        <v>0.70358399999999932</v>
      </c>
      <c r="AO83" s="98">
        <f t="shared" si="6"/>
        <v>3.5262999999996492E-4</v>
      </c>
      <c r="AP83" s="98">
        <f t="shared" si="7"/>
        <v>1.0119400000000445E-3</v>
      </c>
      <c r="AQ83" s="123">
        <f t="shared" si="8"/>
        <v>-9.3442629999999985E-3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2"/>
      <c r="C84" s="29" t="s">
        <v>29</v>
      </c>
      <c r="D84" s="191"/>
      <c r="E84" s="58"/>
      <c r="F84" s="192">
        <v>33.197960999999999</v>
      </c>
      <c r="G84" s="192">
        <v>36.642747</v>
      </c>
      <c r="H84" s="192">
        <v>0.97917063999999998</v>
      </c>
      <c r="I84" s="64">
        <v>0.98362461999999995</v>
      </c>
      <c r="J84" s="64">
        <v>4.063746E-2</v>
      </c>
      <c r="K84" s="193"/>
      <c r="L84" s="263"/>
      <c r="M84" s="263"/>
      <c r="N84" s="58"/>
      <c r="O84" s="30"/>
      <c r="P84" s="58"/>
      <c r="Q84" s="30"/>
      <c r="R84" s="135"/>
      <c r="S84" s="217"/>
      <c r="T84" s="292"/>
      <c r="U84" s="29" t="s">
        <v>29</v>
      </c>
      <c r="V84" s="191"/>
      <c r="W84" s="58"/>
      <c r="X84" s="192">
        <v>34.258215</v>
      </c>
      <c r="Y84" s="192">
        <v>37.466548000000003</v>
      </c>
      <c r="Z84" s="192">
        <v>0.97927021999999997</v>
      </c>
      <c r="AA84" s="64">
        <v>0.98451341000000003</v>
      </c>
      <c r="AB84" s="64">
        <v>3.4054085999999997E-2</v>
      </c>
      <c r="AC84" s="193"/>
      <c r="AD84" s="263"/>
      <c r="AE84" s="263"/>
      <c r="AF84" s="58"/>
      <c r="AG84" s="30"/>
      <c r="AH84" s="58"/>
      <c r="AI84" s="30"/>
      <c r="AJ84" s="135"/>
      <c r="AK84" s="216"/>
      <c r="AL84" s="292"/>
      <c r="AM84" s="89">
        <f t="shared" si="4"/>
        <v>1.0602540000000005</v>
      </c>
      <c r="AN84" s="124">
        <f t="shared" si="5"/>
        <v>0.82380100000000311</v>
      </c>
      <c r="AO84" s="124">
        <f t="shared" si="6"/>
        <v>9.9579999999988011E-5</v>
      </c>
      <c r="AP84" s="124">
        <f t="shared" si="7"/>
        <v>8.8879000000008368E-4</v>
      </c>
      <c r="AQ84" s="90">
        <f t="shared" si="8"/>
        <v>-6.5833740000000029E-3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2"/>
      <c r="C85" s="29" t="s">
        <v>30</v>
      </c>
      <c r="D85" s="191"/>
      <c r="E85" s="58"/>
      <c r="F85" s="192">
        <v>36.323225000000001</v>
      </c>
      <c r="G85" s="192">
        <v>40.461047000000001</v>
      </c>
      <c r="H85" s="192">
        <v>0.98836796999999998</v>
      </c>
      <c r="I85" s="64">
        <v>0.99187791999999997</v>
      </c>
      <c r="J85" s="64">
        <v>2.5983978000000001E-2</v>
      </c>
      <c r="K85" s="193"/>
      <c r="L85" s="263"/>
      <c r="M85" s="263"/>
      <c r="N85" s="58"/>
      <c r="O85" s="30"/>
      <c r="P85" s="58"/>
      <c r="Q85" s="30"/>
      <c r="R85" s="135"/>
      <c r="S85" s="217"/>
      <c r="T85" s="292"/>
      <c r="U85" s="29" t="s">
        <v>30</v>
      </c>
      <c r="V85" s="191"/>
      <c r="W85" s="58"/>
      <c r="X85" s="192">
        <v>38.452970000000001</v>
      </c>
      <c r="Y85" s="192">
        <v>41.715701000000003</v>
      </c>
      <c r="Z85" s="192">
        <v>0.98871346999999998</v>
      </c>
      <c r="AA85" s="64">
        <v>0.99244913999999995</v>
      </c>
      <c r="AB85" s="64">
        <v>1.8912587000000002E-2</v>
      </c>
      <c r="AC85" s="193"/>
      <c r="AD85" s="263"/>
      <c r="AE85" s="263"/>
      <c r="AF85" s="58"/>
      <c r="AG85" s="30"/>
      <c r="AH85" s="58"/>
      <c r="AI85" s="30"/>
      <c r="AJ85" s="135"/>
      <c r="AK85" s="216"/>
      <c r="AL85" s="292"/>
      <c r="AM85" s="89">
        <f t="shared" si="4"/>
        <v>2.1297449999999998</v>
      </c>
      <c r="AN85" s="124">
        <f t="shared" si="5"/>
        <v>1.2546540000000022</v>
      </c>
      <c r="AO85" s="124">
        <f t="shared" si="6"/>
        <v>3.4549999999999859E-4</v>
      </c>
      <c r="AP85" s="124">
        <f t="shared" si="7"/>
        <v>5.7121999999998341E-4</v>
      </c>
      <c r="AQ85" s="90">
        <f t="shared" si="8"/>
        <v>-7.0713909999999998E-3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2"/>
      <c r="C86" s="29" t="s">
        <v>32</v>
      </c>
      <c r="D86" s="191"/>
      <c r="E86" s="58"/>
      <c r="F86" s="192">
        <v>38.604658000000001</v>
      </c>
      <c r="G86" s="192">
        <v>42.987068999999998</v>
      </c>
      <c r="H86" s="192">
        <v>0.99325755999999998</v>
      </c>
      <c r="I86" s="64">
        <v>0.99559222999999997</v>
      </c>
      <c r="J86" s="64">
        <v>1.5268248999999999E-2</v>
      </c>
      <c r="K86" s="193"/>
      <c r="L86" s="263"/>
      <c r="M86" s="263"/>
      <c r="N86" s="58"/>
      <c r="O86" s="30"/>
      <c r="P86" s="58"/>
      <c r="Q86" s="30"/>
      <c r="R86" s="135"/>
      <c r="S86" s="217"/>
      <c r="T86" s="292"/>
      <c r="U86" s="29" t="s">
        <v>32</v>
      </c>
      <c r="V86" s="191"/>
      <c r="W86" s="58"/>
      <c r="X86" s="192">
        <v>42.379705999999999</v>
      </c>
      <c r="Y86" s="192">
        <v>45.415911000000001</v>
      </c>
      <c r="Z86" s="192">
        <v>0.99366810000000005</v>
      </c>
      <c r="AA86" s="64">
        <v>0.99631955000000005</v>
      </c>
      <c r="AB86" s="64">
        <v>8.406508E-3</v>
      </c>
      <c r="AC86" s="193"/>
      <c r="AD86" s="263"/>
      <c r="AE86" s="263"/>
      <c r="AF86" s="58"/>
      <c r="AG86" s="30"/>
      <c r="AH86" s="58"/>
      <c r="AI86" s="30"/>
      <c r="AJ86" s="135"/>
      <c r="AK86" s="216"/>
      <c r="AL86" s="292"/>
      <c r="AM86" s="89">
        <f t="shared" si="4"/>
        <v>3.7750479999999982</v>
      </c>
      <c r="AN86" s="124">
        <f t="shared" si="5"/>
        <v>2.4288420000000031</v>
      </c>
      <c r="AO86" s="124">
        <f t="shared" si="6"/>
        <v>4.1054000000007029E-4</v>
      </c>
      <c r="AP86" s="124">
        <f t="shared" si="7"/>
        <v>7.2732000000008679E-4</v>
      </c>
      <c r="AQ86" s="90">
        <f t="shared" si="8"/>
        <v>-6.8617409999999993E-3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3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3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3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1" t="s">
        <v>77</v>
      </c>
      <c r="C88" s="27" t="s">
        <v>28</v>
      </c>
      <c r="D88" s="41"/>
      <c r="E88" s="57"/>
      <c r="F88" s="99">
        <v>30.330774999999999</v>
      </c>
      <c r="G88" s="99">
        <v>33.888913000000002</v>
      </c>
      <c r="H88" s="99">
        <v>0.96718583999999996</v>
      </c>
      <c r="I88" s="62">
        <v>0.97233603999999996</v>
      </c>
      <c r="J88" s="62">
        <v>6.0269896000000003E-2</v>
      </c>
      <c r="K88" s="63"/>
      <c r="L88" s="262"/>
      <c r="M88" s="262"/>
      <c r="N88" s="57"/>
      <c r="O88" s="28"/>
      <c r="P88" s="57"/>
      <c r="Q88" s="28"/>
      <c r="R88" s="134"/>
      <c r="S88" s="217"/>
      <c r="T88" s="291" t="s">
        <v>77</v>
      </c>
      <c r="U88" s="27" t="s">
        <v>28</v>
      </c>
      <c r="V88" s="41"/>
      <c r="W88" s="57"/>
      <c r="X88" s="99">
        <v>30.739273000000001</v>
      </c>
      <c r="Y88" s="99">
        <v>34.570112000000002</v>
      </c>
      <c r="Z88" s="99">
        <v>0.96735777000000001</v>
      </c>
      <c r="AA88" s="62">
        <v>0.97330974000000003</v>
      </c>
      <c r="AB88" s="62">
        <v>5.2106685999999999E-2</v>
      </c>
      <c r="AC88" s="63"/>
      <c r="AD88" s="262"/>
      <c r="AE88" s="262"/>
      <c r="AF88" s="57"/>
      <c r="AG88" s="28"/>
      <c r="AH88" s="57"/>
      <c r="AI88" s="28"/>
      <c r="AJ88" s="134"/>
      <c r="AK88" s="216"/>
      <c r="AL88" s="291" t="s">
        <v>77</v>
      </c>
      <c r="AM88" s="122">
        <f t="shared" si="4"/>
        <v>0.40849800000000158</v>
      </c>
      <c r="AN88" s="98">
        <f t="shared" si="5"/>
        <v>0.68119899999999944</v>
      </c>
      <c r="AO88" s="98">
        <f t="shared" si="6"/>
        <v>1.7193000000004233E-4</v>
      </c>
      <c r="AP88" s="98">
        <f t="shared" si="7"/>
        <v>9.7370000000007728E-4</v>
      </c>
      <c r="AQ88" s="123">
        <f t="shared" si="8"/>
        <v>-8.1632100000000041E-3</v>
      </c>
      <c r="AR88" s="39"/>
      <c r="AS88" s="238"/>
      <c r="AT88" s="39"/>
    </row>
    <row r="89" spans="2:52" ht="13.5" customHeight="1" x14ac:dyDescent="0.15">
      <c r="B89" s="292"/>
      <c r="C89" s="29" t="s">
        <v>29</v>
      </c>
      <c r="D89" s="191"/>
      <c r="E89" s="58"/>
      <c r="F89" s="192">
        <v>33.457307999999998</v>
      </c>
      <c r="G89" s="192">
        <v>36.880572999999998</v>
      </c>
      <c r="H89" s="192">
        <v>0.97968538999999999</v>
      </c>
      <c r="I89" s="64">
        <v>0.98436557999999996</v>
      </c>
      <c r="J89" s="64">
        <v>3.9441094000000003E-2</v>
      </c>
      <c r="K89" s="193"/>
      <c r="L89" s="263"/>
      <c r="M89" s="263"/>
      <c r="N89" s="58"/>
      <c r="O89" s="30"/>
      <c r="P89" s="58"/>
      <c r="Q89" s="30"/>
      <c r="R89" s="135"/>
      <c r="S89" s="217"/>
      <c r="T89" s="292"/>
      <c r="U89" s="29" t="s">
        <v>29</v>
      </c>
      <c r="V89" s="191"/>
      <c r="W89" s="58"/>
      <c r="X89" s="192">
        <v>34.310426</v>
      </c>
      <c r="Y89" s="192">
        <v>37.551918999999998</v>
      </c>
      <c r="Z89" s="192">
        <v>0.97980400999999995</v>
      </c>
      <c r="AA89" s="64">
        <v>0.98495703000000001</v>
      </c>
      <c r="AB89" s="64">
        <v>3.3568847999999998E-2</v>
      </c>
      <c r="AC89" s="193"/>
      <c r="AD89" s="263"/>
      <c r="AE89" s="263"/>
      <c r="AF89" s="58"/>
      <c r="AG89" s="30"/>
      <c r="AH89" s="58"/>
      <c r="AI89" s="30"/>
      <c r="AJ89" s="135"/>
      <c r="AK89" s="216"/>
      <c r="AL89" s="292"/>
      <c r="AM89" s="89">
        <f t="shared" si="4"/>
        <v>0.85311800000000204</v>
      </c>
      <c r="AN89" s="124">
        <f t="shared" si="5"/>
        <v>0.67134599999999978</v>
      </c>
      <c r="AO89" s="124">
        <f t="shared" si="6"/>
        <v>1.186199999999582E-4</v>
      </c>
      <c r="AP89" s="124">
        <f t="shared" si="7"/>
        <v>5.9145000000004888E-4</v>
      </c>
      <c r="AQ89" s="90">
        <f t="shared" si="8"/>
        <v>-5.8722460000000046E-3</v>
      </c>
      <c r="AR89" s="39"/>
      <c r="AS89" s="238"/>
      <c r="AT89" s="39"/>
    </row>
    <row r="90" spans="2:52" ht="13.5" customHeight="1" x14ac:dyDescent="0.15">
      <c r="B90" s="292"/>
      <c r="C90" s="29" t="s">
        <v>30</v>
      </c>
      <c r="D90" s="191"/>
      <c r="E90" s="58"/>
      <c r="F90" s="192">
        <v>36.753244000000002</v>
      </c>
      <c r="G90" s="192">
        <v>40.748925999999997</v>
      </c>
      <c r="H90" s="192">
        <v>0.98862737000000001</v>
      </c>
      <c r="I90" s="64">
        <v>0.99193087000000002</v>
      </c>
      <c r="J90" s="64">
        <v>2.4453229999999999E-2</v>
      </c>
      <c r="K90" s="193"/>
      <c r="L90" s="263"/>
      <c r="M90" s="263"/>
      <c r="N90" s="58"/>
      <c r="O90" s="30"/>
      <c r="P90" s="58"/>
      <c r="Q90" s="30"/>
      <c r="R90" s="135"/>
      <c r="S90" s="217"/>
      <c r="T90" s="292"/>
      <c r="U90" s="29" t="s">
        <v>30</v>
      </c>
      <c r="V90" s="191"/>
      <c r="W90" s="58"/>
      <c r="X90" s="192">
        <v>38.534097000000003</v>
      </c>
      <c r="Y90" s="192">
        <v>41.849418999999997</v>
      </c>
      <c r="Z90" s="192">
        <v>0.98898456999999995</v>
      </c>
      <c r="AA90" s="64">
        <v>0.99263438999999998</v>
      </c>
      <c r="AB90" s="64">
        <v>1.8754816000000001E-2</v>
      </c>
      <c r="AC90" s="193"/>
      <c r="AD90" s="263"/>
      <c r="AE90" s="263"/>
      <c r="AF90" s="58"/>
      <c r="AG90" s="30"/>
      <c r="AH90" s="58"/>
      <c r="AI90" s="30"/>
      <c r="AJ90" s="135"/>
      <c r="AK90" s="216"/>
      <c r="AL90" s="292"/>
      <c r="AM90" s="89">
        <f t="shared" si="4"/>
        <v>1.7808530000000005</v>
      </c>
      <c r="AN90" s="124">
        <f t="shared" si="5"/>
        <v>1.1004930000000002</v>
      </c>
      <c r="AO90" s="124">
        <f t="shared" si="6"/>
        <v>3.5719999999994645E-4</v>
      </c>
      <c r="AP90" s="124">
        <f t="shared" si="7"/>
        <v>7.0351999999995751E-4</v>
      </c>
      <c r="AQ90" s="90">
        <f t="shared" si="8"/>
        <v>-5.6984139999999989E-3</v>
      </c>
      <c r="AR90" s="39"/>
      <c r="AS90" s="238"/>
      <c r="AT90" s="39"/>
    </row>
    <row r="91" spans="2:52" ht="13.5" customHeight="1" x14ac:dyDescent="0.15">
      <c r="B91" s="292"/>
      <c r="C91" s="29" t="s">
        <v>32</v>
      </c>
      <c r="D91" s="191"/>
      <c r="E91" s="58"/>
      <c r="F91" s="192">
        <v>39.221527999999999</v>
      </c>
      <c r="G91" s="192">
        <v>43.491194999999998</v>
      </c>
      <c r="H91" s="192">
        <v>0.99348431000000004</v>
      </c>
      <c r="I91" s="64">
        <v>0.99572461000000001</v>
      </c>
      <c r="J91" s="64">
        <v>1.3737254000000001E-2</v>
      </c>
      <c r="K91" s="193"/>
      <c r="L91" s="263"/>
      <c r="M91" s="263"/>
      <c r="N91" s="58"/>
      <c r="O91" s="30"/>
      <c r="P91" s="58"/>
      <c r="Q91" s="30"/>
      <c r="R91" s="135"/>
      <c r="S91" s="217"/>
      <c r="T91" s="292"/>
      <c r="U91" s="29" t="s">
        <v>32</v>
      </c>
      <c r="V91" s="191"/>
      <c r="W91" s="58"/>
      <c r="X91" s="192">
        <v>42.590184000000001</v>
      </c>
      <c r="Y91" s="192">
        <v>45.64676</v>
      </c>
      <c r="Z91" s="192">
        <v>0.99386574999999999</v>
      </c>
      <c r="AA91" s="64">
        <v>0.99642178999999997</v>
      </c>
      <c r="AB91" s="64">
        <v>8.2388089999999997E-3</v>
      </c>
      <c r="AC91" s="193"/>
      <c r="AD91" s="263"/>
      <c r="AE91" s="263"/>
      <c r="AF91" s="58"/>
      <c r="AG91" s="30"/>
      <c r="AH91" s="58"/>
      <c r="AI91" s="30"/>
      <c r="AJ91" s="135"/>
      <c r="AK91" s="216"/>
      <c r="AL91" s="292"/>
      <c r="AM91" s="89">
        <f t="shared" si="4"/>
        <v>3.3686560000000014</v>
      </c>
      <c r="AN91" s="124">
        <f t="shared" si="5"/>
        <v>2.1555650000000028</v>
      </c>
      <c r="AO91" s="124">
        <f t="shared" si="6"/>
        <v>3.8143999999995515E-4</v>
      </c>
      <c r="AP91" s="124">
        <f t="shared" si="7"/>
        <v>6.9717999999996394E-4</v>
      </c>
      <c r="AQ91" s="90">
        <f t="shared" si="8"/>
        <v>-5.4984450000000011E-3</v>
      </c>
      <c r="AR91" s="39"/>
      <c r="AS91" s="238"/>
      <c r="AT91" s="39"/>
    </row>
    <row r="92" spans="2:52" ht="13.5" customHeight="1" thickBot="1" x14ac:dyDescent="0.2">
      <c r="B92" s="293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3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3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1" t="s">
        <v>78</v>
      </c>
      <c r="C93" s="27" t="s">
        <v>28</v>
      </c>
      <c r="D93" s="41"/>
      <c r="E93" s="57"/>
      <c r="F93" s="99">
        <v>30.403388</v>
      </c>
      <c r="G93" s="99">
        <v>34.113942000000002</v>
      </c>
      <c r="H93" s="99">
        <v>0.96725786000000002</v>
      </c>
      <c r="I93" s="62">
        <v>0.97287062000000002</v>
      </c>
      <c r="J93" s="62">
        <v>6.1141807999999999E-2</v>
      </c>
      <c r="K93" s="63"/>
      <c r="L93" s="262"/>
      <c r="M93" s="262"/>
      <c r="N93" s="57"/>
      <c r="O93" s="28"/>
      <c r="P93" s="57"/>
      <c r="Q93" s="28"/>
      <c r="R93" s="134"/>
      <c r="S93" s="217"/>
      <c r="T93" s="291" t="s">
        <v>78</v>
      </c>
      <c r="U93" s="27" t="s">
        <v>28</v>
      </c>
      <c r="V93" s="41"/>
      <c r="W93" s="57"/>
      <c r="X93" s="99">
        <v>30.875523999999999</v>
      </c>
      <c r="Y93" s="99">
        <v>34.662534999999998</v>
      </c>
      <c r="Z93" s="99">
        <v>0.96734423999999997</v>
      </c>
      <c r="AA93" s="62">
        <v>0.97338301000000005</v>
      </c>
      <c r="AB93" s="62">
        <v>5.4146356999999999E-2</v>
      </c>
      <c r="AC93" s="63"/>
      <c r="AD93" s="262"/>
      <c r="AE93" s="262"/>
      <c r="AF93" s="57"/>
      <c r="AG93" s="28"/>
      <c r="AH93" s="57"/>
      <c r="AI93" s="28"/>
      <c r="AJ93" s="134"/>
      <c r="AK93" s="216"/>
      <c r="AL93" s="291" t="s">
        <v>78</v>
      </c>
      <c r="AM93" s="122">
        <f t="shared" si="4"/>
        <v>0.472135999999999</v>
      </c>
      <c r="AN93" s="98">
        <f t="shared" si="5"/>
        <v>0.54859299999999678</v>
      </c>
      <c r="AO93" s="98">
        <f t="shared" si="6"/>
        <v>8.6379999999941504E-5</v>
      </c>
      <c r="AP93" s="98">
        <f t="shared" si="7"/>
        <v>5.1239000000002921E-4</v>
      </c>
      <c r="AQ93" s="123">
        <f t="shared" si="8"/>
        <v>-6.9954509999999998E-3</v>
      </c>
      <c r="AR93" s="39"/>
      <c r="AS93" s="238"/>
      <c r="AT93" s="39"/>
    </row>
    <row r="94" spans="2:52" ht="13.5" customHeight="1" x14ac:dyDescent="0.15">
      <c r="B94" s="292"/>
      <c r="C94" s="29" t="s">
        <v>29</v>
      </c>
      <c r="D94" s="191"/>
      <c r="E94" s="58"/>
      <c r="F94" s="192">
        <v>33.436641000000002</v>
      </c>
      <c r="G94" s="192">
        <v>37.069685999999997</v>
      </c>
      <c r="H94" s="192">
        <v>0.97984364000000002</v>
      </c>
      <c r="I94" s="64">
        <v>0.98470243000000002</v>
      </c>
      <c r="J94" s="64">
        <v>4.0614147000000003E-2</v>
      </c>
      <c r="K94" s="193"/>
      <c r="L94" s="263"/>
      <c r="M94" s="263"/>
      <c r="N94" s="58"/>
      <c r="O94" s="30"/>
      <c r="P94" s="58"/>
      <c r="Q94" s="30"/>
      <c r="R94" s="135"/>
      <c r="S94" s="217"/>
      <c r="T94" s="292"/>
      <c r="U94" s="29" t="s">
        <v>29</v>
      </c>
      <c r="V94" s="191"/>
      <c r="W94" s="58"/>
      <c r="X94" s="192">
        <v>34.522990999999998</v>
      </c>
      <c r="Y94" s="192">
        <v>37.766669999999998</v>
      </c>
      <c r="Z94" s="192">
        <v>0.98002613000000005</v>
      </c>
      <c r="AA94" s="64">
        <v>0.98536553999999998</v>
      </c>
      <c r="AB94" s="64">
        <v>3.4613129999999999E-2</v>
      </c>
      <c r="AC94" s="193"/>
      <c r="AD94" s="263"/>
      <c r="AE94" s="263"/>
      <c r="AF94" s="58"/>
      <c r="AG94" s="30"/>
      <c r="AH94" s="58"/>
      <c r="AI94" s="30"/>
      <c r="AJ94" s="135"/>
      <c r="AK94" s="216"/>
      <c r="AL94" s="292"/>
      <c r="AM94" s="89">
        <f t="shared" si="4"/>
        <v>1.0863499999999959</v>
      </c>
      <c r="AN94" s="124">
        <f t="shared" si="5"/>
        <v>0.69698400000000049</v>
      </c>
      <c r="AO94" s="124">
        <f t="shared" si="6"/>
        <v>1.8249000000003512E-4</v>
      </c>
      <c r="AP94" s="124">
        <f t="shared" si="7"/>
        <v>6.6310999999996678E-4</v>
      </c>
      <c r="AQ94" s="90">
        <f t="shared" si="8"/>
        <v>-6.0010170000000043E-3</v>
      </c>
      <c r="AR94" s="39"/>
      <c r="AS94" s="238"/>
      <c r="AT94" s="39"/>
    </row>
    <row r="95" spans="2:52" ht="13.5" customHeight="1" x14ac:dyDescent="0.15">
      <c r="B95" s="292"/>
      <c r="C95" s="29" t="s">
        <v>30</v>
      </c>
      <c r="D95" s="191"/>
      <c r="E95" s="58"/>
      <c r="F95" s="192">
        <v>36.790162000000002</v>
      </c>
      <c r="G95" s="192">
        <v>40.713656999999998</v>
      </c>
      <c r="H95" s="192">
        <v>0.98878248000000002</v>
      </c>
      <c r="I95" s="64">
        <v>0.99217164999999996</v>
      </c>
      <c r="J95" s="64">
        <v>2.4706522000000002E-2</v>
      </c>
      <c r="K95" s="193"/>
      <c r="L95" s="263"/>
      <c r="M95" s="263"/>
      <c r="N95" s="58"/>
      <c r="O95" s="30"/>
      <c r="P95" s="58"/>
      <c r="Q95" s="30"/>
      <c r="R95" s="135"/>
      <c r="S95" s="217"/>
      <c r="T95" s="292"/>
      <c r="U95" s="29" t="s">
        <v>30</v>
      </c>
      <c r="V95" s="191"/>
      <c r="W95" s="58"/>
      <c r="X95" s="192">
        <v>38.217754999999997</v>
      </c>
      <c r="Y95" s="192">
        <v>41.661279999999998</v>
      </c>
      <c r="Z95" s="192">
        <v>0.98913331999999998</v>
      </c>
      <c r="AA95" s="64">
        <v>0.99270873999999998</v>
      </c>
      <c r="AB95" s="64">
        <v>1.9818909999999999E-2</v>
      </c>
      <c r="AC95" s="193"/>
      <c r="AD95" s="263"/>
      <c r="AE95" s="263"/>
      <c r="AF95" s="58"/>
      <c r="AG95" s="30"/>
      <c r="AH95" s="58"/>
      <c r="AI95" s="30"/>
      <c r="AJ95" s="135"/>
      <c r="AK95" s="216"/>
      <c r="AL95" s="292"/>
      <c r="AM95" s="89">
        <f t="shared" si="4"/>
        <v>1.4275929999999946</v>
      </c>
      <c r="AN95" s="124">
        <f t="shared" si="5"/>
        <v>0.9476230000000001</v>
      </c>
      <c r="AO95" s="124">
        <f t="shared" si="6"/>
        <v>3.508399999999634E-4</v>
      </c>
      <c r="AP95" s="124">
        <f t="shared" si="7"/>
        <v>5.3709000000001783E-4</v>
      </c>
      <c r="AQ95" s="90">
        <f t="shared" si="8"/>
        <v>-4.887612000000003E-3</v>
      </c>
      <c r="AR95" s="39"/>
      <c r="AS95" s="238"/>
      <c r="AT95" s="39"/>
    </row>
    <row r="96" spans="2:52" ht="13.5" customHeight="1" x14ac:dyDescent="0.15">
      <c r="B96" s="292"/>
      <c r="C96" s="29" t="s">
        <v>32</v>
      </c>
      <c r="D96" s="191"/>
      <c r="E96" s="58"/>
      <c r="F96" s="192">
        <v>39.709640999999998</v>
      </c>
      <c r="G96" s="192">
        <v>43.892923000000003</v>
      </c>
      <c r="H96" s="192">
        <v>0.99356986999999997</v>
      </c>
      <c r="I96" s="64">
        <v>0.99571025000000002</v>
      </c>
      <c r="J96" s="64">
        <v>1.3260409000000001E-2</v>
      </c>
      <c r="K96" s="193"/>
      <c r="L96" s="263"/>
      <c r="M96" s="263"/>
      <c r="N96" s="58"/>
      <c r="O96" s="30"/>
      <c r="P96" s="58"/>
      <c r="Q96" s="30"/>
      <c r="R96" s="135"/>
      <c r="S96" s="217"/>
      <c r="T96" s="292"/>
      <c r="U96" s="29" t="s">
        <v>32</v>
      </c>
      <c r="V96" s="191"/>
      <c r="W96" s="58"/>
      <c r="X96" s="192">
        <v>42.565072000000001</v>
      </c>
      <c r="Y96" s="192">
        <v>45.666629</v>
      </c>
      <c r="Z96" s="192">
        <v>0.99392373000000001</v>
      </c>
      <c r="AA96" s="64">
        <v>0.99643391000000003</v>
      </c>
      <c r="AB96" s="64">
        <v>8.4841510000000005E-3</v>
      </c>
      <c r="AC96" s="193"/>
      <c r="AD96" s="263"/>
      <c r="AE96" s="263"/>
      <c r="AF96" s="58"/>
      <c r="AG96" s="30"/>
      <c r="AH96" s="58"/>
      <c r="AI96" s="30"/>
      <c r="AJ96" s="135"/>
      <c r="AK96" s="216"/>
      <c r="AL96" s="292"/>
      <c r="AM96" s="89">
        <f t="shared" si="4"/>
        <v>2.8554310000000029</v>
      </c>
      <c r="AN96" s="124">
        <f t="shared" si="5"/>
        <v>1.7737059999999971</v>
      </c>
      <c r="AO96" s="124">
        <f t="shared" si="6"/>
        <v>3.5386000000003914E-4</v>
      </c>
      <c r="AP96" s="124">
        <f t="shared" si="7"/>
        <v>7.2366000000001485E-4</v>
      </c>
      <c r="AQ96" s="90">
        <f t="shared" si="8"/>
        <v>-4.7762580000000002E-3</v>
      </c>
      <c r="AR96" s="39"/>
      <c r="AS96" s="238"/>
      <c r="AT96" s="39"/>
    </row>
    <row r="97" spans="2:46" ht="13.5" customHeight="1" thickBot="1" x14ac:dyDescent="0.2">
      <c r="B97" s="293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3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3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1" t="s">
        <v>79</v>
      </c>
      <c r="C98" s="27" t="s">
        <v>28</v>
      </c>
      <c r="D98" s="41"/>
      <c r="E98" s="57"/>
      <c r="F98" s="99">
        <v>30.862511999999999</v>
      </c>
      <c r="G98" s="99">
        <v>34.720914999999998</v>
      </c>
      <c r="H98" s="99">
        <v>0.96609047999999997</v>
      </c>
      <c r="I98" s="62">
        <v>0.97317480999999995</v>
      </c>
      <c r="J98" s="62">
        <v>5.9064909999999998E-2</v>
      </c>
      <c r="K98" s="63"/>
      <c r="L98" s="262"/>
      <c r="M98" s="262"/>
      <c r="N98" s="57"/>
      <c r="O98" s="28"/>
      <c r="P98" s="57"/>
      <c r="Q98" s="28"/>
      <c r="R98" s="134"/>
      <c r="S98" s="217"/>
      <c r="T98" s="291" t="s">
        <v>79</v>
      </c>
      <c r="U98" s="27" t="s">
        <v>28</v>
      </c>
      <c r="V98" s="41"/>
      <c r="W98" s="57"/>
      <c r="X98" s="99">
        <v>30.873515000000001</v>
      </c>
      <c r="Y98" s="99">
        <v>34.980393999999997</v>
      </c>
      <c r="Z98" s="99">
        <v>0.96614049999999996</v>
      </c>
      <c r="AA98" s="62">
        <v>0.97340590999999999</v>
      </c>
      <c r="AB98" s="62">
        <v>5.7030320000000002E-2</v>
      </c>
      <c r="AC98" s="63"/>
      <c r="AD98" s="262"/>
      <c r="AE98" s="262"/>
      <c r="AF98" s="57"/>
      <c r="AG98" s="28"/>
      <c r="AH98" s="57"/>
      <c r="AI98" s="28"/>
      <c r="AJ98" s="134"/>
      <c r="AK98" s="216"/>
      <c r="AL98" s="291" t="s">
        <v>79</v>
      </c>
      <c r="AM98" s="122">
        <f t="shared" si="14"/>
        <v>1.1003000000002316E-2</v>
      </c>
      <c r="AN98" s="98">
        <f t="shared" si="15"/>
        <v>0.2594789999999989</v>
      </c>
      <c r="AO98" s="98">
        <f t="shared" si="16"/>
        <v>5.0019999999983966E-5</v>
      </c>
      <c r="AP98" s="98">
        <f t="shared" si="17"/>
        <v>2.3110000000003961E-4</v>
      </c>
      <c r="AQ98" s="123">
        <f t="shared" si="18"/>
        <v>-2.0345899999999958E-3</v>
      </c>
      <c r="AR98" s="39"/>
      <c r="AS98" s="238"/>
      <c r="AT98" s="39"/>
    </row>
    <row r="99" spans="2:46" ht="13.5" customHeight="1" x14ac:dyDescent="0.15">
      <c r="B99" s="292"/>
      <c r="C99" s="29" t="s">
        <v>29</v>
      </c>
      <c r="D99" s="191"/>
      <c r="E99" s="58"/>
      <c r="F99" s="192">
        <v>34.109063999999996</v>
      </c>
      <c r="G99" s="192">
        <v>37.640196000000003</v>
      </c>
      <c r="H99" s="192">
        <v>0.97953049000000003</v>
      </c>
      <c r="I99" s="64">
        <v>0.98471628</v>
      </c>
      <c r="J99" s="64">
        <v>3.7864416999999997E-2</v>
      </c>
      <c r="K99" s="193"/>
      <c r="L99" s="263"/>
      <c r="M99" s="263"/>
      <c r="N99" s="58"/>
      <c r="O99" s="30"/>
      <c r="P99" s="58"/>
      <c r="Q99" s="30"/>
      <c r="R99" s="135"/>
      <c r="S99" s="217"/>
      <c r="T99" s="292"/>
      <c r="U99" s="29" t="s">
        <v>29</v>
      </c>
      <c r="V99" s="191"/>
      <c r="W99" s="58"/>
      <c r="X99" s="192">
        <v>34.575670000000002</v>
      </c>
      <c r="Y99" s="192">
        <v>38.036620999999997</v>
      </c>
      <c r="Z99" s="192">
        <v>0.97964313000000003</v>
      </c>
      <c r="AA99" s="64">
        <v>0.98527472999999999</v>
      </c>
      <c r="AB99" s="64">
        <v>3.6222786E-2</v>
      </c>
      <c r="AC99" s="193"/>
      <c r="AD99" s="263"/>
      <c r="AE99" s="263"/>
      <c r="AF99" s="58"/>
      <c r="AG99" s="30"/>
      <c r="AH99" s="58"/>
      <c r="AI99" s="30"/>
      <c r="AJ99" s="135"/>
      <c r="AK99" s="216"/>
      <c r="AL99" s="292"/>
      <c r="AM99" s="89">
        <f t="shared" si="14"/>
        <v>0.46660600000000585</v>
      </c>
      <c r="AN99" s="124">
        <f t="shared" si="15"/>
        <v>0.39642499999999359</v>
      </c>
      <c r="AO99" s="124">
        <f t="shared" si="16"/>
        <v>1.1263999999999719E-4</v>
      </c>
      <c r="AP99" s="124">
        <f t="shared" si="17"/>
        <v>5.5844999999998812E-4</v>
      </c>
      <c r="AQ99" s="90">
        <f t="shared" si="18"/>
        <v>-1.6416309999999976E-3</v>
      </c>
      <c r="AR99" s="39"/>
      <c r="AS99" s="238"/>
      <c r="AT99" s="39"/>
    </row>
    <row r="100" spans="2:46" ht="13.5" customHeight="1" x14ac:dyDescent="0.15">
      <c r="B100" s="292"/>
      <c r="C100" s="29" t="s">
        <v>30</v>
      </c>
      <c r="D100" s="191"/>
      <c r="E100" s="58"/>
      <c r="F100" s="192">
        <v>37.278939999999999</v>
      </c>
      <c r="G100" s="192">
        <v>40.99606</v>
      </c>
      <c r="H100" s="192">
        <v>0.98883938000000005</v>
      </c>
      <c r="I100" s="64">
        <v>0.99227198000000005</v>
      </c>
      <c r="J100" s="64">
        <v>2.3715215000000001E-2</v>
      </c>
      <c r="K100" s="193"/>
      <c r="L100" s="263"/>
      <c r="M100" s="263"/>
      <c r="N100" s="58"/>
      <c r="O100" s="30"/>
      <c r="P100" s="58"/>
      <c r="Q100" s="30"/>
      <c r="R100" s="135"/>
      <c r="S100" s="217"/>
      <c r="T100" s="292"/>
      <c r="U100" s="29" t="s">
        <v>30</v>
      </c>
      <c r="V100" s="191"/>
      <c r="W100" s="58"/>
      <c r="X100" s="192">
        <v>38.408901</v>
      </c>
      <c r="Y100" s="192">
        <v>41.767847000000003</v>
      </c>
      <c r="Z100" s="192">
        <v>0.98912250999999995</v>
      </c>
      <c r="AA100" s="64">
        <v>0.99273860000000003</v>
      </c>
      <c r="AB100" s="64">
        <v>2.0601852E-2</v>
      </c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2"/>
      <c r="AM100" s="89">
        <f t="shared" si="14"/>
        <v>1.1299610000000015</v>
      </c>
      <c r="AN100" s="124">
        <f t="shared" si="15"/>
        <v>0.77178700000000333</v>
      </c>
      <c r="AO100" s="124">
        <f t="shared" si="16"/>
        <v>2.8312999999990929E-4</v>
      </c>
      <c r="AP100" s="124">
        <f t="shared" si="17"/>
        <v>4.6661999999997317E-4</v>
      </c>
      <c r="AQ100" s="90">
        <f t="shared" si="18"/>
        <v>-3.1133630000000009E-3</v>
      </c>
      <c r="AR100" s="39"/>
      <c r="AS100" s="238"/>
      <c r="AT100" s="39"/>
    </row>
    <row r="101" spans="2:46" ht="13.5" customHeight="1" x14ac:dyDescent="0.15">
      <c r="B101" s="292"/>
      <c r="C101" s="29" t="s">
        <v>32</v>
      </c>
      <c r="D101" s="191"/>
      <c r="E101" s="58"/>
      <c r="F101" s="192">
        <v>40.434356999999999</v>
      </c>
      <c r="G101" s="192">
        <v>44.347915999999998</v>
      </c>
      <c r="H101" s="192">
        <v>0.99364368999999997</v>
      </c>
      <c r="I101" s="64">
        <v>0.99585778999999996</v>
      </c>
      <c r="J101" s="64">
        <v>1.2499240999999999E-2</v>
      </c>
      <c r="K101" s="193"/>
      <c r="L101" s="263"/>
      <c r="M101" s="263"/>
      <c r="N101" s="58"/>
      <c r="O101" s="30"/>
      <c r="P101" s="58"/>
      <c r="Q101" s="30"/>
      <c r="R101" s="135"/>
      <c r="S101" s="217"/>
      <c r="T101" s="292"/>
      <c r="U101" s="29" t="s">
        <v>32</v>
      </c>
      <c r="V101" s="191"/>
      <c r="W101" s="58"/>
      <c r="X101" s="192">
        <v>42.571376999999998</v>
      </c>
      <c r="Y101" s="192">
        <v>45.711838</v>
      </c>
      <c r="Z101" s="192">
        <v>0.99396013999999999</v>
      </c>
      <c r="AA101" s="64">
        <v>0.99644703999999995</v>
      </c>
      <c r="AB101" s="64">
        <v>9.1294510000000002E-3</v>
      </c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2"/>
      <c r="AM101" s="89">
        <f t="shared" si="14"/>
        <v>2.1370199999999997</v>
      </c>
      <c r="AN101" s="124">
        <f t="shared" si="15"/>
        <v>1.3639220000000023</v>
      </c>
      <c r="AO101" s="124">
        <f t="shared" si="16"/>
        <v>3.1645000000002366E-4</v>
      </c>
      <c r="AP101" s="124">
        <f t="shared" si="17"/>
        <v>5.8924999999998562E-4</v>
      </c>
      <c r="AQ101" s="90">
        <f t="shared" si="18"/>
        <v>-3.3697899999999992E-3</v>
      </c>
      <c r="AR101" s="39"/>
      <c r="AS101" s="238"/>
      <c r="AT101" s="39"/>
    </row>
    <row r="102" spans="2:46" ht="13.5" customHeight="1" thickBot="1" x14ac:dyDescent="0.2">
      <c r="B102" s="293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3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3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1" t="s">
        <v>80</v>
      </c>
      <c r="C103" s="27" t="s">
        <v>28</v>
      </c>
      <c r="D103" s="41"/>
      <c r="E103" s="57"/>
      <c r="F103" s="99">
        <v>30.720379000000001</v>
      </c>
      <c r="G103" s="99">
        <v>34.296075000000002</v>
      </c>
      <c r="H103" s="99">
        <v>0.96751726000000005</v>
      </c>
      <c r="I103" s="62">
        <v>0.97575869999999998</v>
      </c>
      <c r="J103" s="62">
        <v>7.2852150000000004E-2</v>
      </c>
      <c r="K103" s="63"/>
      <c r="L103" s="262"/>
      <c r="M103" s="262"/>
      <c r="N103" s="57"/>
      <c r="O103" s="28"/>
      <c r="P103" s="57"/>
      <c r="Q103" s="28"/>
      <c r="R103" s="134"/>
      <c r="S103" s="217"/>
      <c r="T103" s="291" t="s">
        <v>80</v>
      </c>
      <c r="U103" s="27" t="s">
        <v>28</v>
      </c>
      <c r="V103" s="41"/>
      <c r="W103" s="57"/>
      <c r="X103" s="99">
        <v>30.943275</v>
      </c>
      <c r="Y103" s="99">
        <v>35.282612</v>
      </c>
      <c r="Z103" s="99">
        <v>0.96742821999999995</v>
      </c>
      <c r="AA103" s="62">
        <v>0.97588092999999998</v>
      </c>
      <c r="AB103" s="62">
        <v>6.1956077999999998E-2</v>
      </c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91" t="s">
        <v>80</v>
      </c>
      <c r="AM103" s="122">
        <f t="shared" si="14"/>
        <v>0.22289599999999865</v>
      </c>
      <c r="AN103" s="98">
        <f t="shared" si="15"/>
        <v>0.98653699999999844</v>
      </c>
      <c r="AO103" s="98">
        <f t="shared" si="16"/>
        <v>-8.9040000000095709E-5</v>
      </c>
      <c r="AP103" s="98">
        <f t="shared" si="17"/>
        <v>1.2223000000000095E-4</v>
      </c>
      <c r="AQ103" s="123">
        <f t="shared" si="18"/>
        <v>-1.0896072000000007E-2</v>
      </c>
      <c r="AR103" s="39"/>
      <c r="AS103" s="238"/>
      <c r="AT103" s="39"/>
    </row>
    <row r="104" spans="2:46" ht="13.5" customHeight="1" x14ac:dyDescent="0.15">
      <c r="B104" s="292"/>
      <c r="C104" s="29" t="s">
        <v>29</v>
      </c>
      <c r="D104" s="191"/>
      <c r="E104" s="58"/>
      <c r="F104" s="192">
        <v>33.470007000000003</v>
      </c>
      <c r="G104" s="192">
        <v>36.901752000000002</v>
      </c>
      <c r="H104" s="192">
        <v>0.98006360000000003</v>
      </c>
      <c r="I104" s="64">
        <v>0.98599756000000005</v>
      </c>
      <c r="J104" s="64">
        <v>4.7936079999999999E-2</v>
      </c>
      <c r="K104" s="193"/>
      <c r="L104" s="263"/>
      <c r="M104" s="263"/>
      <c r="N104" s="58"/>
      <c r="O104" s="30"/>
      <c r="P104" s="58"/>
      <c r="Q104" s="30"/>
      <c r="R104" s="135"/>
      <c r="S104" s="217"/>
      <c r="T104" s="292"/>
      <c r="U104" s="29" t="s">
        <v>29</v>
      </c>
      <c r="V104" s="191"/>
      <c r="W104" s="58"/>
      <c r="X104" s="192">
        <v>34.491512999999998</v>
      </c>
      <c r="Y104" s="192">
        <v>38.238320000000002</v>
      </c>
      <c r="Z104" s="192">
        <v>0.98018773000000003</v>
      </c>
      <c r="AA104" s="64">
        <v>0.98647045</v>
      </c>
      <c r="AB104" s="64">
        <v>3.747727E-2</v>
      </c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2"/>
      <c r="AM104" s="89">
        <f t="shared" si="14"/>
        <v>1.0215059999999951</v>
      </c>
      <c r="AN104" s="124">
        <f t="shared" si="15"/>
        <v>1.3365679999999998</v>
      </c>
      <c r="AO104" s="124">
        <f t="shared" si="16"/>
        <v>1.2413000000000007E-4</v>
      </c>
      <c r="AP104" s="124">
        <f t="shared" si="17"/>
        <v>4.7288999999994807E-4</v>
      </c>
      <c r="AQ104" s="90">
        <f t="shared" si="18"/>
        <v>-1.0458809999999999E-2</v>
      </c>
      <c r="AR104" s="39"/>
      <c r="AS104" s="238"/>
      <c r="AT104" s="39"/>
    </row>
    <row r="105" spans="2:46" ht="13.5" customHeight="1" x14ac:dyDescent="0.15">
      <c r="B105" s="292"/>
      <c r="C105" s="29" t="s">
        <v>30</v>
      </c>
      <c r="D105" s="191"/>
      <c r="E105" s="58"/>
      <c r="F105" s="192">
        <v>35.999310999999999</v>
      </c>
      <c r="G105" s="192">
        <v>40.200256000000003</v>
      </c>
      <c r="H105" s="192">
        <v>0.98932509000000002</v>
      </c>
      <c r="I105" s="64">
        <v>0.99290555999999996</v>
      </c>
      <c r="J105" s="64">
        <v>3.1772059999999998E-2</v>
      </c>
      <c r="K105" s="193"/>
      <c r="L105" s="263"/>
      <c r="M105" s="263"/>
      <c r="N105" s="58"/>
      <c r="O105" s="30"/>
      <c r="P105" s="58"/>
      <c r="Q105" s="30"/>
      <c r="R105" s="135"/>
      <c r="S105" s="217"/>
      <c r="T105" s="292"/>
      <c r="U105" s="29" t="s">
        <v>30</v>
      </c>
      <c r="V105" s="191"/>
      <c r="W105" s="58"/>
      <c r="X105" s="192">
        <v>38.990118000000002</v>
      </c>
      <c r="Y105" s="192">
        <v>42.120899999999999</v>
      </c>
      <c r="Z105" s="192">
        <v>0.98962245000000004</v>
      </c>
      <c r="AA105" s="64">
        <v>0.99353769000000003</v>
      </c>
      <c r="AB105" s="64">
        <v>1.9787658E-2</v>
      </c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2"/>
      <c r="AM105" s="89">
        <f t="shared" si="14"/>
        <v>2.9908070000000038</v>
      </c>
      <c r="AN105" s="124">
        <f t="shared" si="15"/>
        <v>1.9206439999999958</v>
      </c>
      <c r="AO105" s="124">
        <f t="shared" si="16"/>
        <v>2.9736000000002427E-4</v>
      </c>
      <c r="AP105" s="124">
        <f t="shared" si="17"/>
        <v>6.3213000000006403E-4</v>
      </c>
      <c r="AQ105" s="90">
        <f t="shared" si="18"/>
        <v>-1.1984401999999998E-2</v>
      </c>
      <c r="AR105" s="39"/>
      <c r="AS105" s="238"/>
      <c r="AT105" s="39"/>
    </row>
    <row r="106" spans="2:46" ht="13.5" customHeight="1" x14ac:dyDescent="0.15">
      <c r="B106" s="292"/>
      <c r="C106" s="29" t="s">
        <v>32</v>
      </c>
      <c r="D106" s="191"/>
      <c r="E106" s="58"/>
      <c r="F106" s="192">
        <v>38.535500999999996</v>
      </c>
      <c r="G106" s="192">
        <v>42.921599999999998</v>
      </c>
      <c r="H106" s="192">
        <v>0.99352770999999995</v>
      </c>
      <c r="I106" s="64">
        <v>0.99604459999999995</v>
      </c>
      <c r="J106" s="64">
        <v>1.9031455999999999E-2</v>
      </c>
      <c r="K106" s="193"/>
      <c r="L106" s="263"/>
      <c r="M106" s="263"/>
      <c r="N106" s="58"/>
      <c r="O106" s="30"/>
      <c r="P106" s="58"/>
      <c r="Q106" s="30"/>
      <c r="R106" s="135"/>
      <c r="S106" s="217"/>
      <c r="T106" s="292"/>
      <c r="U106" s="29" t="s">
        <v>32</v>
      </c>
      <c r="V106" s="191"/>
      <c r="W106" s="58"/>
      <c r="X106" s="192">
        <v>42.950119999999998</v>
      </c>
      <c r="Y106" s="192">
        <v>45.835189999999997</v>
      </c>
      <c r="Z106" s="192">
        <v>0.99393540000000002</v>
      </c>
      <c r="AA106" s="64">
        <v>0.99668232999999995</v>
      </c>
      <c r="AB106" s="64">
        <v>9.4966319999999996E-3</v>
      </c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2"/>
      <c r="AM106" s="89">
        <f t="shared" si="14"/>
        <v>4.4146190000000018</v>
      </c>
      <c r="AN106" s="124">
        <f t="shared" si="15"/>
        <v>2.9135899999999992</v>
      </c>
      <c r="AO106" s="124">
        <f t="shared" si="16"/>
        <v>4.0769000000007161E-4</v>
      </c>
      <c r="AP106" s="124">
        <f t="shared" si="17"/>
        <v>6.3773000000000302E-4</v>
      </c>
      <c r="AQ106" s="90">
        <f t="shared" si="18"/>
        <v>-9.534823999999999E-3</v>
      </c>
      <c r="AR106" s="39"/>
      <c r="AS106" s="238"/>
      <c r="AT106" s="39"/>
    </row>
    <row r="107" spans="2:46" ht="13.5" customHeight="1" thickBot="1" x14ac:dyDescent="0.2">
      <c r="B107" s="293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3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3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1" t="s">
        <v>81</v>
      </c>
      <c r="C108" s="27" t="s">
        <v>28</v>
      </c>
      <c r="D108" s="41"/>
      <c r="E108" s="57"/>
      <c r="F108" s="99">
        <v>31.097268</v>
      </c>
      <c r="G108" s="99">
        <v>34.729168999999999</v>
      </c>
      <c r="H108" s="99">
        <v>0.96944311000000005</v>
      </c>
      <c r="I108" s="62">
        <v>0.97736369999999995</v>
      </c>
      <c r="J108" s="62">
        <v>6.4543030000000001E-2</v>
      </c>
      <c r="K108" s="63"/>
      <c r="L108" s="262"/>
      <c r="M108" s="262"/>
      <c r="N108" s="57"/>
      <c r="O108" s="28"/>
      <c r="P108" s="57"/>
      <c r="Q108" s="28"/>
      <c r="R108" s="134"/>
      <c r="S108" s="217"/>
      <c r="T108" s="291" t="s">
        <v>81</v>
      </c>
      <c r="U108" s="27" t="s">
        <v>28</v>
      </c>
      <c r="V108" s="41"/>
      <c r="W108" s="57"/>
      <c r="X108" s="99">
        <v>30.821242000000002</v>
      </c>
      <c r="Y108" s="99">
        <v>35.172241</v>
      </c>
      <c r="Z108" s="99">
        <v>0.96956874000000004</v>
      </c>
      <c r="AA108" s="62">
        <v>0.97762709999999997</v>
      </c>
      <c r="AB108" s="62">
        <v>5.7921857E-2</v>
      </c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91" t="s">
        <v>81</v>
      </c>
      <c r="AM108" s="122">
        <f t="shared" si="14"/>
        <v>-0.27602599999999811</v>
      </c>
      <c r="AN108" s="98">
        <f t="shared" si="15"/>
        <v>0.4430720000000008</v>
      </c>
      <c r="AO108" s="98">
        <f t="shared" si="16"/>
        <v>1.256299999999877E-4</v>
      </c>
      <c r="AP108" s="98">
        <f t="shared" si="17"/>
        <v>2.6340000000002473E-4</v>
      </c>
      <c r="AQ108" s="123">
        <f t="shared" si="18"/>
        <v>-6.621173000000001E-3</v>
      </c>
      <c r="AR108" s="39"/>
      <c r="AS108" s="238"/>
      <c r="AT108" s="39"/>
    </row>
    <row r="109" spans="2:46" ht="13.5" customHeight="1" x14ac:dyDescent="0.15">
      <c r="B109" s="292"/>
      <c r="C109" s="29" t="s">
        <v>29</v>
      </c>
      <c r="D109" s="191"/>
      <c r="E109" s="58"/>
      <c r="F109" s="192">
        <v>33.926485999999997</v>
      </c>
      <c r="G109" s="192">
        <v>37.319012999999998</v>
      </c>
      <c r="H109" s="192">
        <v>0.98074671999999996</v>
      </c>
      <c r="I109" s="64">
        <v>0.98647187000000003</v>
      </c>
      <c r="J109" s="64">
        <v>4.3211847999999997E-2</v>
      </c>
      <c r="K109" s="193"/>
      <c r="L109" s="263"/>
      <c r="M109" s="263"/>
      <c r="N109" s="58"/>
      <c r="O109" s="30"/>
      <c r="P109" s="58"/>
      <c r="Q109" s="30"/>
      <c r="R109" s="135"/>
      <c r="S109" s="217"/>
      <c r="T109" s="292"/>
      <c r="U109" s="29" t="s">
        <v>29</v>
      </c>
      <c r="V109" s="191"/>
      <c r="W109" s="58"/>
      <c r="X109" s="192">
        <v>34.237712999999999</v>
      </c>
      <c r="Y109" s="192">
        <v>38.011857999999997</v>
      </c>
      <c r="Z109" s="192">
        <v>0.98085054000000005</v>
      </c>
      <c r="AA109" s="64">
        <v>0.98681437999999999</v>
      </c>
      <c r="AB109" s="64">
        <v>3.6567554000000002E-2</v>
      </c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2"/>
      <c r="AM109" s="89">
        <f t="shared" si="14"/>
        <v>0.31122700000000236</v>
      </c>
      <c r="AN109" s="124">
        <f t="shared" si="15"/>
        <v>0.69284499999999838</v>
      </c>
      <c r="AO109" s="124">
        <f t="shared" si="16"/>
        <v>1.0382000000008773E-4</v>
      </c>
      <c r="AP109" s="124">
        <f t="shared" si="17"/>
        <v>3.4250999999996257E-4</v>
      </c>
      <c r="AQ109" s="90">
        <f t="shared" si="18"/>
        <v>-6.644293999999995E-3</v>
      </c>
      <c r="AR109" s="39"/>
      <c r="AS109" s="238"/>
      <c r="AT109" s="39"/>
    </row>
    <row r="110" spans="2:46" ht="13.5" customHeight="1" x14ac:dyDescent="0.15">
      <c r="B110" s="292"/>
      <c r="C110" s="29" t="s">
        <v>30</v>
      </c>
      <c r="D110" s="191"/>
      <c r="E110" s="58"/>
      <c r="F110" s="192">
        <v>37.230013999999997</v>
      </c>
      <c r="G110" s="192">
        <v>41.028703999999998</v>
      </c>
      <c r="H110" s="192">
        <v>0.98925010999999996</v>
      </c>
      <c r="I110" s="64">
        <v>0.99290849999999997</v>
      </c>
      <c r="J110" s="64">
        <v>2.6501916E-2</v>
      </c>
      <c r="K110" s="193"/>
      <c r="L110" s="263"/>
      <c r="M110" s="263"/>
      <c r="N110" s="58"/>
      <c r="O110" s="30"/>
      <c r="P110" s="58"/>
      <c r="Q110" s="30"/>
      <c r="R110" s="135"/>
      <c r="S110" s="217"/>
      <c r="T110" s="292"/>
      <c r="U110" s="29" t="s">
        <v>30</v>
      </c>
      <c r="V110" s="191"/>
      <c r="W110" s="58"/>
      <c r="X110" s="192">
        <v>38.654139000000001</v>
      </c>
      <c r="Y110" s="192">
        <v>41.923738999999998</v>
      </c>
      <c r="Z110" s="192">
        <v>0.98955850999999995</v>
      </c>
      <c r="AA110" s="64">
        <v>0.99326798999999999</v>
      </c>
      <c r="AB110" s="64">
        <v>2.0664479999999999E-2</v>
      </c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2"/>
      <c r="AM110" s="89">
        <f t="shared" si="14"/>
        <v>1.4241250000000036</v>
      </c>
      <c r="AN110" s="124">
        <f t="shared" si="15"/>
        <v>0.89503500000000003</v>
      </c>
      <c r="AO110" s="124">
        <f t="shared" si="16"/>
        <v>3.0839999999998646E-4</v>
      </c>
      <c r="AP110" s="124">
        <f t="shared" si="17"/>
        <v>3.5949000000001785E-4</v>
      </c>
      <c r="AQ110" s="90">
        <f t="shared" si="18"/>
        <v>-5.8374360000000014E-3</v>
      </c>
      <c r="AR110" s="39"/>
      <c r="AS110" s="238"/>
      <c r="AT110" s="39"/>
    </row>
    <row r="111" spans="2:46" ht="13.5" customHeight="1" x14ac:dyDescent="0.15">
      <c r="B111" s="292"/>
      <c r="C111" s="29" t="s">
        <v>32</v>
      </c>
      <c r="D111" s="191"/>
      <c r="E111" s="58"/>
      <c r="F111" s="192">
        <v>39.028179999999999</v>
      </c>
      <c r="G111" s="192">
        <v>43.349167000000001</v>
      </c>
      <c r="H111" s="192">
        <v>0.99353923</v>
      </c>
      <c r="I111" s="64">
        <v>0.99602281999999998</v>
      </c>
      <c r="J111" s="64">
        <v>1.8346011999999998E-2</v>
      </c>
      <c r="K111" s="193"/>
      <c r="L111" s="263"/>
      <c r="M111" s="263"/>
      <c r="N111" s="58"/>
      <c r="O111" s="30"/>
      <c r="P111" s="58"/>
      <c r="Q111" s="30"/>
      <c r="R111" s="135"/>
      <c r="S111" s="217"/>
      <c r="T111" s="292"/>
      <c r="U111" s="29" t="s">
        <v>32</v>
      </c>
      <c r="V111" s="191"/>
      <c r="W111" s="58"/>
      <c r="X111" s="192">
        <v>42.867531</v>
      </c>
      <c r="Y111" s="192">
        <v>45.758516</v>
      </c>
      <c r="Z111" s="192">
        <v>0.99391218999999997</v>
      </c>
      <c r="AA111" s="64">
        <v>0.99663203</v>
      </c>
      <c r="AB111" s="64">
        <v>9.6109860000000002E-3</v>
      </c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2"/>
      <c r="AM111" s="89">
        <f t="shared" si="14"/>
        <v>3.8393510000000006</v>
      </c>
      <c r="AN111" s="124">
        <f t="shared" si="15"/>
        <v>2.4093489999999989</v>
      </c>
      <c r="AO111" s="124">
        <f t="shared" si="16"/>
        <v>3.7295999999997775E-4</v>
      </c>
      <c r="AP111" s="124">
        <f t="shared" si="17"/>
        <v>6.0921000000002667E-4</v>
      </c>
      <c r="AQ111" s="90">
        <f t="shared" si="18"/>
        <v>-8.7350259999999982E-3</v>
      </c>
      <c r="AR111" s="39"/>
      <c r="AS111" s="238"/>
      <c r="AT111" s="39"/>
    </row>
    <row r="112" spans="2:46" ht="13.5" customHeight="1" thickBot="1" x14ac:dyDescent="0.2">
      <c r="B112" s="293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3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3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1" t="s">
        <v>82</v>
      </c>
      <c r="C113" s="27" t="s">
        <v>28</v>
      </c>
      <c r="D113" s="41"/>
      <c r="E113" s="57"/>
      <c r="F113" s="99">
        <v>31.078412</v>
      </c>
      <c r="G113" s="99">
        <v>34.701805999999998</v>
      </c>
      <c r="H113" s="99">
        <v>0.97023300000000001</v>
      </c>
      <c r="I113" s="62">
        <v>0.97796879000000003</v>
      </c>
      <c r="J113" s="62">
        <v>6.6789139999999997E-2</v>
      </c>
      <c r="K113" s="63"/>
      <c r="L113" s="262"/>
      <c r="M113" s="262"/>
      <c r="N113" s="57"/>
      <c r="O113" s="28"/>
      <c r="P113" s="57"/>
      <c r="Q113" s="28"/>
      <c r="R113" s="134"/>
      <c r="S113" s="217"/>
      <c r="T113" s="291" t="s">
        <v>82</v>
      </c>
      <c r="U113" s="27" t="s">
        <v>28</v>
      </c>
      <c r="V113" s="41"/>
      <c r="W113" s="57"/>
      <c r="X113" s="99">
        <v>31.605062</v>
      </c>
      <c r="Y113" s="99">
        <v>35.337648000000002</v>
      </c>
      <c r="Z113" s="99">
        <v>0.9703851</v>
      </c>
      <c r="AA113" s="62">
        <v>0.97840026000000002</v>
      </c>
      <c r="AB113" s="62">
        <v>5.6339769999999997E-2</v>
      </c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91" t="s">
        <v>82</v>
      </c>
      <c r="AM113" s="122">
        <f t="shared" si="14"/>
        <v>0.52665000000000006</v>
      </c>
      <c r="AN113" s="98">
        <f t="shared" si="15"/>
        <v>0.63584200000000379</v>
      </c>
      <c r="AO113" s="98">
        <f t="shared" si="16"/>
        <v>1.5209999999998836E-4</v>
      </c>
      <c r="AP113" s="98">
        <f t="shared" si="17"/>
        <v>4.3146999999998936E-4</v>
      </c>
      <c r="AQ113" s="123">
        <f t="shared" si="18"/>
        <v>-1.0449369999999999E-2</v>
      </c>
      <c r="AR113" s="39"/>
      <c r="AS113" s="238"/>
      <c r="AT113" s="39"/>
    </row>
    <row r="114" spans="2:46" ht="13.5" customHeight="1" x14ac:dyDescent="0.15">
      <c r="B114" s="292"/>
      <c r="C114" s="29" t="s">
        <v>29</v>
      </c>
      <c r="D114" s="191"/>
      <c r="E114" s="58"/>
      <c r="F114" s="192">
        <v>33.427937</v>
      </c>
      <c r="G114" s="192">
        <v>37.158971000000001</v>
      </c>
      <c r="H114" s="192">
        <v>0.98110244000000002</v>
      </c>
      <c r="I114" s="64">
        <v>0.98644668000000002</v>
      </c>
      <c r="J114" s="64">
        <v>4.7697416999999999E-2</v>
      </c>
      <c r="K114" s="193"/>
      <c r="L114" s="263"/>
      <c r="M114" s="263"/>
      <c r="N114" s="58"/>
      <c r="O114" s="30"/>
      <c r="P114" s="58"/>
      <c r="Q114" s="30"/>
      <c r="R114" s="135"/>
      <c r="S114" s="217"/>
      <c r="T114" s="292"/>
      <c r="U114" s="29" t="s">
        <v>29</v>
      </c>
      <c r="V114" s="191"/>
      <c r="W114" s="58"/>
      <c r="X114" s="192">
        <v>34.619512</v>
      </c>
      <c r="Y114" s="192">
        <v>37.931711</v>
      </c>
      <c r="Z114" s="192">
        <v>0.98114117999999995</v>
      </c>
      <c r="AA114" s="64">
        <v>0.98684291999999996</v>
      </c>
      <c r="AB114" s="64">
        <v>3.7672522999999999E-2</v>
      </c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2"/>
      <c r="AM114" s="89">
        <f t="shared" si="14"/>
        <v>1.1915750000000003</v>
      </c>
      <c r="AN114" s="124">
        <f t="shared" si="15"/>
        <v>0.77273999999999887</v>
      </c>
      <c r="AO114" s="124">
        <f t="shared" si="16"/>
        <v>3.8739999999926056E-5</v>
      </c>
      <c r="AP114" s="124">
        <f t="shared" si="17"/>
        <v>3.9623999999993664E-4</v>
      </c>
      <c r="AQ114" s="90">
        <f t="shared" si="18"/>
        <v>-1.0024893999999999E-2</v>
      </c>
      <c r="AR114" s="39"/>
      <c r="AS114" s="238"/>
      <c r="AT114" s="39"/>
    </row>
    <row r="115" spans="2:46" ht="13.5" customHeight="1" x14ac:dyDescent="0.15">
      <c r="B115" s="292"/>
      <c r="C115" s="29" t="s">
        <v>30</v>
      </c>
      <c r="D115" s="191"/>
      <c r="E115" s="58"/>
      <c r="F115" s="192">
        <v>36.358764999999998</v>
      </c>
      <c r="G115" s="192">
        <v>40.509982000000001</v>
      </c>
      <c r="H115" s="192">
        <v>0.98918983999999999</v>
      </c>
      <c r="I115" s="64">
        <v>0.99282771000000003</v>
      </c>
      <c r="J115" s="64">
        <v>3.0637681E-2</v>
      </c>
      <c r="K115" s="193"/>
      <c r="L115" s="263"/>
      <c r="M115" s="263"/>
      <c r="N115" s="58"/>
      <c r="O115" s="30"/>
      <c r="P115" s="58"/>
      <c r="Q115" s="30"/>
      <c r="R115" s="135"/>
      <c r="S115" s="217"/>
      <c r="T115" s="292"/>
      <c r="U115" s="29" t="s">
        <v>30</v>
      </c>
      <c r="V115" s="191"/>
      <c r="W115" s="58"/>
      <c r="X115" s="192">
        <v>38.788615999999998</v>
      </c>
      <c r="Y115" s="192">
        <v>42.041105999999999</v>
      </c>
      <c r="Z115" s="192">
        <v>0.98949189000000004</v>
      </c>
      <c r="AA115" s="64">
        <v>0.99349224999999997</v>
      </c>
      <c r="AB115" s="64">
        <v>2.0602803999999999E-2</v>
      </c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2"/>
      <c r="AM115" s="89">
        <f t="shared" si="14"/>
        <v>2.4298509999999993</v>
      </c>
      <c r="AN115" s="124">
        <f t="shared" si="15"/>
        <v>1.5311239999999984</v>
      </c>
      <c r="AO115" s="124">
        <f t="shared" si="16"/>
        <v>3.0205000000005366E-4</v>
      </c>
      <c r="AP115" s="124">
        <f t="shared" si="17"/>
        <v>6.6453999999993574E-4</v>
      </c>
      <c r="AQ115" s="90">
        <f t="shared" si="18"/>
        <v>-1.0034877000000001E-2</v>
      </c>
      <c r="AR115" s="39"/>
      <c r="AS115" s="238"/>
      <c r="AT115" s="39"/>
    </row>
    <row r="116" spans="2:46" ht="13.5" customHeight="1" x14ac:dyDescent="0.15">
      <c r="B116" s="292"/>
      <c r="C116" s="29" t="s">
        <v>32</v>
      </c>
      <c r="D116" s="191"/>
      <c r="E116" s="58"/>
      <c r="F116" s="192">
        <v>39.288930999999998</v>
      </c>
      <c r="G116" s="192">
        <v>43.522325000000002</v>
      </c>
      <c r="H116" s="192">
        <v>0.99352236999999999</v>
      </c>
      <c r="I116" s="64">
        <v>0.99612221999999995</v>
      </c>
      <c r="J116" s="64">
        <v>1.6717692999999999E-2</v>
      </c>
      <c r="K116" s="193"/>
      <c r="L116" s="263"/>
      <c r="M116" s="263"/>
      <c r="N116" s="58"/>
      <c r="O116" s="30"/>
      <c r="P116" s="58"/>
      <c r="Q116" s="30"/>
      <c r="R116" s="135"/>
      <c r="S116" s="217"/>
      <c r="T116" s="292"/>
      <c r="U116" s="29" t="s">
        <v>32</v>
      </c>
      <c r="V116" s="191"/>
      <c r="W116" s="58"/>
      <c r="X116" s="192">
        <v>42.958033</v>
      </c>
      <c r="Y116" s="192">
        <v>45.943370999999999</v>
      </c>
      <c r="Z116" s="192">
        <v>0.99387488000000002</v>
      </c>
      <c r="AA116" s="64">
        <v>0.99672762000000004</v>
      </c>
      <c r="AB116" s="64">
        <v>9.5172009999999994E-3</v>
      </c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2"/>
      <c r="AM116" s="89">
        <f t="shared" si="14"/>
        <v>3.6691020000000023</v>
      </c>
      <c r="AN116" s="124">
        <f t="shared" si="15"/>
        <v>2.4210459999999969</v>
      </c>
      <c r="AO116" s="124">
        <f t="shared" si="16"/>
        <v>3.5251000000002808E-4</v>
      </c>
      <c r="AP116" s="124">
        <f t="shared" si="17"/>
        <v>6.054000000000892E-4</v>
      </c>
      <c r="AQ116" s="90">
        <f t="shared" si="18"/>
        <v>-7.2004919999999993E-3</v>
      </c>
      <c r="AR116" s="39"/>
      <c r="AS116" s="238"/>
      <c r="AT116" s="39"/>
    </row>
    <row r="117" spans="2:46" ht="13.5" customHeight="1" thickBot="1" x14ac:dyDescent="0.2">
      <c r="B117" s="293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3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3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1" t="s">
        <v>83</v>
      </c>
      <c r="C118" s="27" t="s">
        <v>28</v>
      </c>
      <c r="D118" s="41"/>
      <c r="E118" s="57"/>
      <c r="F118" s="99">
        <v>31.888351</v>
      </c>
      <c r="G118" s="99">
        <v>35.295918999999998</v>
      </c>
      <c r="H118" s="99">
        <v>0.97137426000000004</v>
      </c>
      <c r="I118" s="62">
        <v>0.97964784999999999</v>
      </c>
      <c r="J118" s="62">
        <v>6.0324759999999998E-2</v>
      </c>
      <c r="K118" s="63"/>
      <c r="L118" s="262"/>
      <c r="M118" s="262"/>
      <c r="N118" s="57"/>
      <c r="O118" s="28"/>
      <c r="P118" s="57"/>
      <c r="Q118" s="28"/>
      <c r="R118" s="134"/>
      <c r="S118" s="217"/>
      <c r="T118" s="291" t="s">
        <v>83</v>
      </c>
      <c r="U118" s="27" t="s">
        <v>28</v>
      </c>
      <c r="V118" s="41"/>
      <c r="W118" s="57"/>
      <c r="X118" s="99">
        <v>32.216254999999997</v>
      </c>
      <c r="Y118" s="99">
        <v>35.999988000000002</v>
      </c>
      <c r="Z118" s="99">
        <v>0.97155517000000002</v>
      </c>
      <c r="AA118" s="62">
        <v>0.98011780999999998</v>
      </c>
      <c r="AB118" s="62">
        <v>5.3010824999999998E-2</v>
      </c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91" t="s">
        <v>83</v>
      </c>
      <c r="AM118" s="122">
        <f t="shared" si="14"/>
        <v>0.32790399999999664</v>
      </c>
      <c r="AN118" s="98">
        <f t="shared" si="15"/>
        <v>0.70406900000000405</v>
      </c>
      <c r="AO118" s="98">
        <f t="shared" si="16"/>
        <v>1.8090999999997859E-4</v>
      </c>
      <c r="AP118" s="98">
        <f t="shared" si="17"/>
        <v>4.699599999999915E-4</v>
      </c>
      <c r="AQ118" s="123">
        <f t="shared" si="18"/>
        <v>-7.3139350000000006E-3</v>
      </c>
      <c r="AR118" s="39"/>
      <c r="AS118" s="238"/>
      <c r="AT118" s="39"/>
    </row>
    <row r="119" spans="2:46" ht="13.5" customHeight="1" x14ac:dyDescent="0.15">
      <c r="B119" s="292"/>
      <c r="C119" s="29" t="s">
        <v>29</v>
      </c>
      <c r="D119" s="191"/>
      <c r="E119" s="58"/>
      <c r="F119" s="192">
        <v>33.973292000000001</v>
      </c>
      <c r="G119" s="192">
        <v>37.526770999999997</v>
      </c>
      <c r="H119" s="192">
        <v>0.9812689</v>
      </c>
      <c r="I119" s="64">
        <v>0.98713642999999995</v>
      </c>
      <c r="J119" s="64">
        <v>4.277359E-2</v>
      </c>
      <c r="K119" s="193"/>
      <c r="L119" s="263"/>
      <c r="M119" s="263"/>
      <c r="N119" s="58"/>
      <c r="O119" s="30"/>
      <c r="P119" s="58"/>
      <c r="Q119" s="30"/>
      <c r="R119" s="135"/>
      <c r="S119" s="217"/>
      <c r="T119" s="292"/>
      <c r="U119" s="29" t="s">
        <v>29</v>
      </c>
      <c r="V119" s="191"/>
      <c r="W119" s="58"/>
      <c r="X119" s="192">
        <v>35.096708</v>
      </c>
      <c r="Y119" s="192">
        <v>38.445996000000001</v>
      </c>
      <c r="Z119" s="192">
        <v>0.98132797000000005</v>
      </c>
      <c r="AA119" s="64">
        <v>0.98755453999999998</v>
      </c>
      <c r="AB119" s="64">
        <v>3.5385760000000002E-2</v>
      </c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2"/>
      <c r="AM119" s="89">
        <f t="shared" si="14"/>
        <v>1.1234159999999989</v>
      </c>
      <c r="AN119" s="124">
        <f t="shared" si="15"/>
        <v>0.9192250000000044</v>
      </c>
      <c r="AO119" s="124">
        <f t="shared" si="16"/>
        <v>5.9070000000049916E-5</v>
      </c>
      <c r="AP119" s="124">
        <f t="shared" si="17"/>
        <v>4.1811000000002707E-4</v>
      </c>
      <c r="AQ119" s="90">
        <f t="shared" si="18"/>
        <v>-7.387829999999998E-3</v>
      </c>
      <c r="AR119" s="39"/>
      <c r="AS119" s="238"/>
      <c r="AT119" s="39"/>
    </row>
    <row r="120" spans="2:46" ht="13.5" customHeight="1" x14ac:dyDescent="0.15">
      <c r="B120" s="292"/>
      <c r="C120" s="29" t="s">
        <v>30</v>
      </c>
      <c r="D120" s="191"/>
      <c r="E120" s="58"/>
      <c r="F120" s="192">
        <v>36.898999000000003</v>
      </c>
      <c r="G120" s="192">
        <v>40.855061999999997</v>
      </c>
      <c r="H120" s="192">
        <v>0.98905573999999996</v>
      </c>
      <c r="I120" s="64">
        <v>0.99305235000000003</v>
      </c>
      <c r="J120" s="64">
        <v>2.7011137000000001E-2</v>
      </c>
      <c r="K120" s="193"/>
      <c r="L120" s="263"/>
      <c r="M120" s="263"/>
      <c r="N120" s="58"/>
      <c r="O120" s="30"/>
      <c r="P120" s="58"/>
      <c r="Q120" s="30"/>
      <c r="R120" s="135"/>
      <c r="S120" s="217"/>
      <c r="T120" s="292"/>
      <c r="U120" s="29" t="s">
        <v>30</v>
      </c>
      <c r="V120" s="191"/>
      <c r="W120" s="58"/>
      <c r="X120" s="192">
        <v>39.060727</v>
      </c>
      <c r="Y120" s="192">
        <v>42.221054000000002</v>
      </c>
      <c r="Z120" s="192">
        <v>0.98932089000000001</v>
      </c>
      <c r="AA120" s="64">
        <v>0.99349924999999994</v>
      </c>
      <c r="AB120" s="64">
        <v>1.9839567999999998E-2</v>
      </c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2"/>
      <c r="AM120" s="89">
        <f t="shared" si="14"/>
        <v>2.1617279999999965</v>
      </c>
      <c r="AN120" s="124">
        <f t="shared" si="15"/>
        <v>1.3659920000000056</v>
      </c>
      <c r="AO120" s="124">
        <f t="shared" si="16"/>
        <v>2.6515000000004729E-4</v>
      </c>
      <c r="AP120" s="124">
        <f t="shared" si="17"/>
        <v>4.4689999999991681E-4</v>
      </c>
      <c r="AQ120" s="90">
        <f t="shared" si="18"/>
        <v>-7.1715690000000026E-3</v>
      </c>
      <c r="AR120" s="39"/>
      <c r="AS120" s="238"/>
      <c r="AT120" s="39"/>
    </row>
    <row r="121" spans="2:46" ht="13.5" customHeight="1" x14ac:dyDescent="0.15">
      <c r="B121" s="292"/>
      <c r="C121" s="29" t="s">
        <v>32</v>
      </c>
      <c r="D121" s="191"/>
      <c r="E121" s="58"/>
      <c r="F121" s="192">
        <v>39.838743000000001</v>
      </c>
      <c r="G121" s="192">
        <v>43.977676000000002</v>
      </c>
      <c r="H121" s="192">
        <v>0.99347032999999996</v>
      </c>
      <c r="I121" s="64">
        <v>0.99613098</v>
      </c>
      <c r="J121" s="64">
        <v>1.4743185000000001E-2</v>
      </c>
      <c r="K121" s="193"/>
      <c r="L121" s="263"/>
      <c r="M121" s="263"/>
      <c r="N121" s="58"/>
      <c r="O121" s="30"/>
      <c r="P121" s="58"/>
      <c r="Q121" s="30"/>
      <c r="R121" s="135"/>
      <c r="S121" s="217"/>
      <c r="T121" s="292"/>
      <c r="U121" s="29" t="s">
        <v>32</v>
      </c>
      <c r="V121" s="191"/>
      <c r="W121" s="58"/>
      <c r="X121" s="192">
        <v>43.106532000000001</v>
      </c>
      <c r="Y121" s="192">
        <v>46.056964999999998</v>
      </c>
      <c r="Z121" s="192">
        <v>0.99379236000000004</v>
      </c>
      <c r="AA121" s="64">
        <v>0.99676317000000003</v>
      </c>
      <c r="AB121" s="64">
        <v>9.5134815000000005E-3</v>
      </c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2"/>
      <c r="AM121" s="89">
        <f t="shared" si="14"/>
        <v>3.2677890000000005</v>
      </c>
      <c r="AN121" s="124">
        <f t="shared" si="15"/>
        <v>2.0792889999999957</v>
      </c>
      <c r="AO121" s="124">
        <f t="shared" si="16"/>
        <v>3.2203000000008419E-4</v>
      </c>
      <c r="AP121" s="124">
        <f t="shared" si="17"/>
        <v>6.3219000000003245E-4</v>
      </c>
      <c r="AQ121" s="90">
        <f t="shared" si="18"/>
        <v>-5.2297035000000002E-3</v>
      </c>
      <c r="AR121" s="39"/>
      <c r="AS121" s="238"/>
      <c r="AT121" s="39"/>
    </row>
    <row r="122" spans="2:46" ht="13.5" customHeight="1" thickBot="1" x14ac:dyDescent="0.2">
      <c r="B122" s="293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3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3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1" t="s">
        <v>84</v>
      </c>
      <c r="C123" s="27" t="s">
        <v>28</v>
      </c>
      <c r="D123" s="41"/>
      <c r="E123" s="57"/>
      <c r="F123" s="99">
        <v>32.029989</v>
      </c>
      <c r="G123" s="99">
        <v>35.615054000000001</v>
      </c>
      <c r="H123" s="99">
        <v>0.97161218000000005</v>
      </c>
      <c r="I123" s="62">
        <v>0.97933577000000005</v>
      </c>
      <c r="J123" s="62">
        <v>5.8582664E-2</v>
      </c>
      <c r="K123" s="63"/>
      <c r="L123" s="262"/>
      <c r="M123" s="262"/>
      <c r="N123" s="57"/>
      <c r="O123" s="28"/>
      <c r="P123" s="57"/>
      <c r="Q123" s="28"/>
      <c r="R123" s="134"/>
      <c r="S123" s="217"/>
      <c r="T123" s="291" t="s">
        <v>84</v>
      </c>
      <c r="U123" s="27" t="s">
        <v>28</v>
      </c>
      <c r="V123" s="41"/>
      <c r="W123" s="57"/>
      <c r="X123" s="99">
        <v>32.375830000000001</v>
      </c>
      <c r="Y123" s="99">
        <v>36.172795999999998</v>
      </c>
      <c r="Z123" s="99">
        <v>0.97167588999999999</v>
      </c>
      <c r="AA123" s="62">
        <v>0.97976523999999998</v>
      </c>
      <c r="AB123" s="62">
        <v>5.3699629999999998E-2</v>
      </c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91" t="s">
        <v>84</v>
      </c>
      <c r="AM123" s="122">
        <f t="shared" si="14"/>
        <v>0.34584100000000007</v>
      </c>
      <c r="AN123" s="98">
        <f t="shared" si="15"/>
        <v>0.55774199999999752</v>
      </c>
      <c r="AO123" s="98">
        <f t="shared" si="16"/>
        <v>6.3709999999939093E-5</v>
      </c>
      <c r="AP123" s="98">
        <f t="shared" si="17"/>
        <v>4.2946999999993185E-4</v>
      </c>
      <c r="AQ123" s="123">
        <f t="shared" si="18"/>
        <v>-4.8830340000000014E-3</v>
      </c>
      <c r="AR123" s="39"/>
      <c r="AS123" s="238"/>
      <c r="AT123" s="39"/>
    </row>
    <row r="124" spans="2:46" ht="13.5" customHeight="1" x14ac:dyDescent="0.15">
      <c r="B124" s="292"/>
      <c r="C124" s="29" t="s">
        <v>29</v>
      </c>
      <c r="D124" s="191"/>
      <c r="E124" s="58"/>
      <c r="F124" s="192">
        <v>34.309565999999997</v>
      </c>
      <c r="G124" s="192">
        <v>37.661875999999999</v>
      </c>
      <c r="H124" s="192">
        <v>0.98152150999999999</v>
      </c>
      <c r="I124" s="64">
        <v>0.98719683999999996</v>
      </c>
      <c r="J124" s="64">
        <v>4.1439182999999997E-2</v>
      </c>
      <c r="K124" s="193"/>
      <c r="L124" s="263"/>
      <c r="M124" s="263"/>
      <c r="N124" s="58"/>
      <c r="O124" s="30"/>
      <c r="P124" s="58"/>
      <c r="Q124" s="30"/>
      <c r="R124" s="135"/>
      <c r="S124" s="217"/>
      <c r="T124" s="292"/>
      <c r="U124" s="29" t="s">
        <v>29</v>
      </c>
      <c r="V124" s="191"/>
      <c r="W124" s="58"/>
      <c r="X124" s="192">
        <v>34.863218000000003</v>
      </c>
      <c r="Y124" s="192">
        <v>38.293028</v>
      </c>
      <c r="Z124" s="192">
        <v>0.98154470000000005</v>
      </c>
      <c r="AA124" s="64">
        <v>0.98711755999999995</v>
      </c>
      <c r="AB124" s="64">
        <v>3.5830559999999997E-2</v>
      </c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2"/>
      <c r="AM124" s="89">
        <f t="shared" si="14"/>
        <v>0.55365200000000669</v>
      </c>
      <c r="AN124" s="124">
        <f t="shared" si="15"/>
        <v>0.63115200000000016</v>
      </c>
      <c r="AO124" s="124">
        <f t="shared" si="16"/>
        <v>2.3190000000061772E-5</v>
      </c>
      <c r="AP124" s="124">
        <f t="shared" si="17"/>
        <v>-7.9280000000014894E-5</v>
      </c>
      <c r="AQ124" s="90">
        <f t="shared" si="18"/>
        <v>-5.6086230000000001E-3</v>
      </c>
      <c r="AR124" s="39"/>
      <c r="AS124" s="238"/>
      <c r="AT124" s="39"/>
    </row>
    <row r="125" spans="2:46" ht="13.5" customHeight="1" x14ac:dyDescent="0.15">
      <c r="B125" s="292"/>
      <c r="C125" s="29" t="s">
        <v>30</v>
      </c>
      <c r="D125" s="191"/>
      <c r="E125" s="58"/>
      <c r="F125" s="192">
        <v>37.433019000000002</v>
      </c>
      <c r="G125" s="192">
        <v>41.191780999999999</v>
      </c>
      <c r="H125" s="192">
        <v>0.98922860999999995</v>
      </c>
      <c r="I125" s="64">
        <v>0.99310282999999999</v>
      </c>
      <c r="J125" s="64">
        <v>2.5739505999999999E-2</v>
      </c>
      <c r="K125" s="193"/>
      <c r="L125" s="263"/>
      <c r="M125" s="263"/>
      <c r="N125" s="58"/>
      <c r="O125" s="30"/>
      <c r="P125" s="58"/>
      <c r="Q125" s="30"/>
      <c r="R125" s="135"/>
      <c r="S125" s="217"/>
      <c r="T125" s="292"/>
      <c r="U125" s="29" t="s">
        <v>30</v>
      </c>
      <c r="V125" s="191"/>
      <c r="W125" s="58"/>
      <c r="X125" s="192">
        <v>39.074919000000001</v>
      </c>
      <c r="Y125" s="192">
        <v>42.205927000000003</v>
      </c>
      <c r="Z125" s="192">
        <v>0.98947669000000005</v>
      </c>
      <c r="AA125" s="64">
        <v>0.99351275999999999</v>
      </c>
      <c r="AB125" s="64">
        <v>2.0195609999999999E-2</v>
      </c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2"/>
      <c r="AM125" s="89">
        <f t="shared" si="14"/>
        <v>1.6418999999999997</v>
      </c>
      <c r="AN125" s="124">
        <f t="shared" si="15"/>
        <v>1.0141460000000038</v>
      </c>
      <c r="AO125" s="124">
        <f t="shared" si="16"/>
        <v>2.4808000000009489E-4</v>
      </c>
      <c r="AP125" s="124">
        <f t="shared" si="17"/>
        <v>4.0993000000000279E-4</v>
      </c>
      <c r="AQ125" s="90">
        <f t="shared" si="18"/>
        <v>-5.5438959999999995E-3</v>
      </c>
      <c r="AR125" s="39"/>
      <c r="AS125" s="238"/>
      <c r="AT125" s="39"/>
    </row>
    <row r="126" spans="2:46" ht="13.5" customHeight="1" x14ac:dyDescent="0.15">
      <c r="B126" s="292"/>
      <c r="C126" s="29" t="s">
        <v>32</v>
      </c>
      <c r="D126" s="191"/>
      <c r="E126" s="58"/>
      <c r="F126" s="192">
        <v>40.440899000000002</v>
      </c>
      <c r="G126" s="192">
        <v>44.429394000000002</v>
      </c>
      <c r="H126" s="192">
        <v>0.99358753</v>
      </c>
      <c r="I126" s="64">
        <v>0.99614643999999997</v>
      </c>
      <c r="J126" s="64">
        <v>1.3829309499999999E-2</v>
      </c>
      <c r="K126" s="193"/>
      <c r="L126" s="263"/>
      <c r="M126" s="263"/>
      <c r="N126" s="58"/>
      <c r="O126" s="30"/>
      <c r="P126" s="58"/>
      <c r="Q126" s="30"/>
      <c r="R126" s="135"/>
      <c r="S126" s="217"/>
      <c r="T126" s="292"/>
      <c r="U126" s="29" t="s">
        <v>32</v>
      </c>
      <c r="V126" s="191"/>
      <c r="W126" s="58"/>
      <c r="X126" s="192">
        <v>43.256495000000001</v>
      </c>
      <c r="Y126" s="192">
        <v>46.177146999999998</v>
      </c>
      <c r="Z126" s="192">
        <v>0.99388891999999995</v>
      </c>
      <c r="AA126" s="64">
        <v>0.99679092000000002</v>
      </c>
      <c r="AB126" s="64">
        <v>9.4251609999999996E-3</v>
      </c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2"/>
      <c r="AM126" s="89">
        <f t="shared" si="14"/>
        <v>2.8155959999999993</v>
      </c>
      <c r="AN126" s="124">
        <f t="shared" si="15"/>
        <v>1.7477529999999959</v>
      </c>
      <c r="AO126" s="124">
        <f t="shared" si="16"/>
        <v>3.0138999999995697E-4</v>
      </c>
      <c r="AP126" s="124">
        <f t="shared" si="17"/>
        <v>6.4448000000005834E-4</v>
      </c>
      <c r="AQ126" s="90">
        <f t="shared" si="18"/>
        <v>-4.4041484999999998E-3</v>
      </c>
      <c r="AR126" s="39"/>
      <c r="AS126" s="238"/>
      <c r="AT126" s="39"/>
    </row>
    <row r="127" spans="2:46" ht="13.5" customHeight="1" thickBot="1" x14ac:dyDescent="0.2">
      <c r="B127" s="293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3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3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1" t="s">
        <v>85</v>
      </c>
      <c r="C128" s="27" t="s">
        <v>28</v>
      </c>
      <c r="D128" s="41"/>
      <c r="E128" s="57"/>
      <c r="F128" s="99">
        <v>32.028416</v>
      </c>
      <c r="G128" s="99">
        <v>35.785454999999999</v>
      </c>
      <c r="H128" s="99">
        <v>0.97201868000000002</v>
      </c>
      <c r="I128" s="62">
        <v>0.97935952999999998</v>
      </c>
      <c r="J128" s="62">
        <v>5.8290526000000002E-2</v>
      </c>
      <c r="K128" s="63"/>
      <c r="L128" s="262"/>
      <c r="M128" s="262"/>
      <c r="N128" s="57"/>
      <c r="O128" s="28"/>
      <c r="P128" s="57"/>
      <c r="Q128" s="28"/>
      <c r="R128" s="134"/>
      <c r="S128" s="217"/>
      <c r="T128" s="291" t="s">
        <v>85</v>
      </c>
      <c r="U128" s="27" t="s">
        <v>28</v>
      </c>
      <c r="V128" s="41"/>
      <c r="W128" s="57"/>
      <c r="X128" s="99">
        <v>32.416784999999997</v>
      </c>
      <c r="Y128" s="99">
        <v>36.193182</v>
      </c>
      <c r="Z128" s="99">
        <v>0.97216848</v>
      </c>
      <c r="AA128" s="62">
        <v>0.97978021000000004</v>
      </c>
      <c r="AB128" s="62">
        <v>5.4921270000000001E-2</v>
      </c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91" t="s">
        <v>85</v>
      </c>
      <c r="AM128" s="122">
        <f t="shared" si="14"/>
        <v>0.3883689999999973</v>
      </c>
      <c r="AN128" s="98">
        <f t="shared" si="15"/>
        <v>0.40772700000000128</v>
      </c>
      <c r="AO128" s="98">
        <f t="shared" si="16"/>
        <v>1.4979999999997773E-4</v>
      </c>
      <c r="AP128" s="98">
        <f t="shared" si="17"/>
        <v>4.2068000000006212E-4</v>
      </c>
      <c r="AQ128" s="123">
        <f t="shared" si="18"/>
        <v>-3.369256000000001E-3</v>
      </c>
      <c r="AR128" s="39"/>
      <c r="AS128" s="238"/>
      <c r="AT128" s="39"/>
    </row>
    <row r="129" spans="2:46" ht="13.5" customHeight="1" x14ac:dyDescent="0.15">
      <c r="B129" s="292"/>
      <c r="C129" s="29" t="s">
        <v>29</v>
      </c>
      <c r="D129" s="191"/>
      <c r="E129" s="58"/>
      <c r="F129" s="192">
        <v>34.149138999999998</v>
      </c>
      <c r="G129" s="192">
        <v>37.801473000000001</v>
      </c>
      <c r="H129" s="192">
        <v>0.98175420000000002</v>
      </c>
      <c r="I129" s="64">
        <v>0.98691412000000001</v>
      </c>
      <c r="J129" s="64">
        <v>4.1434041999999997E-2</v>
      </c>
      <c r="K129" s="193"/>
      <c r="L129" s="263"/>
      <c r="M129" s="263"/>
      <c r="N129" s="58"/>
      <c r="O129" s="30"/>
      <c r="P129" s="58"/>
      <c r="Q129" s="30"/>
      <c r="R129" s="135"/>
      <c r="S129" s="217"/>
      <c r="T129" s="292"/>
      <c r="U129" s="29" t="s">
        <v>29</v>
      </c>
      <c r="V129" s="191"/>
      <c r="W129" s="58"/>
      <c r="X129" s="192">
        <v>34.807011000000003</v>
      </c>
      <c r="Y129" s="192">
        <v>38.217692999999997</v>
      </c>
      <c r="Z129" s="192">
        <v>0.98184024999999997</v>
      </c>
      <c r="AA129" s="64">
        <v>0.98722871999999995</v>
      </c>
      <c r="AB129" s="64">
        <v>3.7090346000000003E-2</v>
      </c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2"/>
      <c r="AM129" s="89">
        <f t="shared" si="14"/>
        <v>0.65787200000000468</v>
      </c>
      <c r="AN129" s="124">
        <f t="shared" si="15"/>
        <v>0.41621999999999559</v>
      </c>
      <c r="AO129" s="124">
        <f t="shared" si="16"/>
        <v>8.6049999999948668E-5</v>
      </c>
      <c r="AP129" s="124">
        <f t="shared" si="17"/>
        <v>3.145999999999427E-4</v>
      </c>
      <c r="AQ129" s="90">
        <f t="shared" si="18"/>
        <v>-4.3436959999999941E-3</v>
      </c>
      <c r="AR129" s="39"/>
      <c r="AS129" s="238"/>
      <c r="AT129" s="39"/>
    </row>
    <row r="130" spans="2:46" ht="13.5" customHeight="1" x14ac:dyDescent="0.15">
      <c r="B130" s="292"/>
      <c r="C130" s="29" t="s">
        <v>30</v>
      </c>
      <c r="D130" s="191"/>
      <c r="E130" s="58"/>
      <c r="F130" s="192">
        <v>37.425134999999997</v>
      </c>
      <c r="G130" s="192">
        <v>41.143859999999997</v>
      </c>
      <c r="H130" s="192">
        <v>0.98950945000000001</v>
      </c>
      <c r="I130" s="64">
        <v>0.99313185999999998</v>
      </c>
      <c r="J130" s="64">
        <v>2.4756685E-2</v>
      </c>
      <c r="K130" s="193"/>
      <c r="L130" s="263"/>
      <c r="M130" s="263"/>
      <c r="N130" s="58"/>
      <c r="O130" s="30"/>
      <c r="P130" s="58"/>
      <c r="Q130" s="30"/>
      <c r="R130" s="135"/>
      <c r="S130" s="217"/>
      <c r="T130" s="292"/>
      <c r="U130" s="29" t="s">
        <v>30</v>
      </c>
      <c r="V130" s="191"/>
      <c r="W130" s="58"/>
      <c r="X130" s="192">
        <v>38.726224000000002</v>
      </c>
      <c r="Y130" s="192">
        <v>41.972068999999998</v>
      </c>
      <c r="Z130" s="192">
        <v>0.98973454999999999</v>
      </c>
      <c r="AA130" s="64">
        <v>0.99357770999999995</v>
      </c>
      <c r="AB130" s="64">
        <v>2.0688195E-2</v>
      </c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2"/>
      <c r="AM130" s="89">
        <f t="shared" si="14"/>
        <v>1.3010890000000046</v>
      </c>
      <c r="AN130" s="124">
        <f t="shared" si="15"/>
        <v>0.82820900000000108</v>
      </c>
      <c r="AO130" s="124">
        <f t="shared" si="16"/>
        <v>2.250999999999781E-4</v>
      </c>
      <c r="AP130" s="124">
        <f t="shared" si="17"/>
        <v>4.4584999999996988E-4</v>
      </c>
      <c r="AQ130" s="90">
        <f t="shared" si="18"/>
        <v>-4.068490000000001E-3</v>
      </c>
      <c r="AR130" s="39"/>
      <c r="AS130" s="238"/>
      <c r="AT130" s="39"/>
    </row>
    <row r="131" spans="2:46" ht="13.5" customHeight="1" x14ac:dyDescent="0.15">
      <c r="B131" s="292"/>
      <c r="C131" s="29" t="s">
        <v>32</v>
      </c>
      <c r="D131" s="191"/>
      <c r="E131" s="58"/>
      <c r="F131" s="192">
        <v>41.002122999999997</v>
      </c>
      <c r="G131" s="192">
        <v>44.861865999999999</v>
      </c>
      <c r="H131" s="192">
        <v>0.99376087000000002</v>
      </c>
      <c r="I131" s="64">
        <v>0.99632465999999997</v>
      </c>
      <c r="J131" s="64">
        <v>1.2812884E-2</v>
      </c>
      <c r="K131" s="193"/>
      <c r="L131" s="263"/>
      <c r="M131" s="263"/>
      <c r="N131" s="58"/>
      <c r="O131" s="30"/>
      <c r="P131" s="58"/>
      <c r="Q131" s="30"/>
      <c r="R131" s="135"/>
      <c r="S131" s="217"/>
      <c r="T131" s="292"/>
      <c r="U131" s="29" t="s">
        <v>32</v>
      </c>
      <c r="V131" s="191"/>
      <c r="W131" s="58"/>
      <c r="X131" s="192">
        <v>43.346960000000003</v>
      </c>
      <c r="Y131" s="192">
        <v>46.315277999999999</v>
      </c>
      <c r="Z131" s="192">
        <v>0.99402003999999999</v>
      </c>
      <c r="AA131" s="64">
        <v>0.99686865999999996</v>
      </c>
      <c r="AB131" s="64">
        <v>9.4997139999999994E-3</v>
      </c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2"/>
      <c r="AM131" s="89">
        <f t="shared" si="14"/>
        <v>2.3448370000000054</v>
      </c>
      <c r="AN131" s="124">
        <f t="shared" si="15"/>
        <v>1.4534120000000001</v>
      </c>
      <c r="AO131" s="124">
        <f t="shared" si="16"/>
        <v>2.5916999999997525E-4</v>
      </c>
      <c r="AP131" s="124">
        <f t="shared" si="17"/>
        <v>5.4399999999998894E-4</v>
      </c>
      <c r="AQ131" s="90">
        <f t="shared" si="18"/>
        <v>-3.3131700000000007E-3</v>
      </c>
      <c r="AR131" s="39"/>
      <c r="AS131" s="238"/>
      <c r="AT131" s="39"/>
    </row>
    <row r="132" spans="2:46" ht="13.5" customHeight="1" thickBot="1" x14ac:dyDescent="0.2">
      <c r="B132" s="293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3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3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1" t="s">
        <v>86</v>
      </c>
      <c r="C133" s="27" t="s">
        <v>28</v>
      </c>
      <c r="D133" s="41"/>
      <c r="E133" s="57"/>
      <c r="F133" s="99">
        <v>32.175052000000001</v>
      </c>
      <c r="G133" s="99">
        <v>36.090333999999999</v>
      </c>
      <c r="H133" s="99">
        <v>0.97042653999999995</v>
      </c>
      <c r="I133" s="62">
        <v>0.97857804000000004</v>
      </c>
      <c r="J133" s="62">
        <v>5.9089900000000001E-2</v>
      </c>
      <c r="K133" s="63"/>
      <c r="L133" s="262"/>
      <c r="M133" s="262"/>
      <c r="N133" s="57"/>
      <c r="O133" s="28"/>
      <c r="P133" s="57"/>
      <c r="Q133" s="28"/>
      <c r="R133" s="134"/>
      <c r="S133" s="217"/>
      <c r="T133" s="291" t="s">
        <v>86</v>
      </c>
      <c r="U133" s="27" t="s">
        <v>28</v>
      </c>
      <c r="V133" s="41"/>
      <c r="W133" s="57"/>
      <c r="X133" s="99">
        <v>32.206344999999999</v>
      </c>
      <c r="Y133" s="99">
        <v>36.376294000000001</v>
      </c>
      <c r="Z133" s="99">
        <v>0.97128811000000004</v>
      </c>
      <c r="AA133" s="62">
        <v>0.97921139000000001</v>
      </c>
      <c r="AB133" s="62">
        <v>5.8087266999999998E-2</v>
      </c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91" t="s">
        <v>86</v>
      </c>
      <c r="AM133" s="122">
        <f t="shared" si="14"/>
        <v>3.1292999999998017E-2</v>
      </c>
      <c r="AN133" s="98">
        <f t="shared" si="15"/>
        <v>0.28596000000000288</v>
      </c>
      <c r="AO133" s="98">
        <f t="shared" si="16"/>
        <v>8.6157000000008921E-4</v>
      </c>
      <c r="AP133" s="98">
        <f t="shared" si="17"/>
        <v>6.3334999999997699E-4</v>
      </c>
      <c r="AQ133" s="123">
        <f t="shared" si="18"/>
        <v>-1.0026330000000028E-3</v>
      </c>
      <c r="AR133" s="39"/>
      <c r="AS133" s="238"/>
      <c r="AT133" s="39"/>
    </row>
    <row r="134" spans="2:46" ht="13.5" customHeight="1" x14ac:dyDescent="0.15">
      <c r="B134" s="292"/>
      <c r="C134" s="29" t="s">
        <v>29</v>
      </c>
      <c r="D134" s="191"/>
      <c r="E134" s="58"/>
      <c r="F134" s="192">
        <v>34.498724000000003</v>
      </c>
      <c r="G134" s="192">
        <v>38.138582</v>
      </c>
      <c r="H134" s="192">
        <v>0.98148078000000005</v>
      </c>
      <c r="I134" s="64">
        <v>0.98666823000000003</v>
      </c>
      <c r="J134" s="64">
        <v>4.0091111999999998E-2</v>
      </c>
      <c r="K134" s="193"/>
      <c r="L134" s="263"/>
      <c r="M134" s="263"/>
      <c r="N134" s="58"/>
      <c r="O134" s="30"/>
      <c r="P134" s="58"/>
      <c r="Q134" s="30"/>
      <c r="R134" s="135"/>
      <c r="S134" s="217"/>
      <c r="T134" s="292"/>
      <c r="U134" s="29" t="s">
        <v>29</v>
      </c>
      <c r="V134" s="191"/>
      <c r="W134" s="58"/>
      <c r="X134" s="192">
        <v>34.885708000000001</v>
      </c>
      <c r="Y134" s="192">
        <v>38.460144999999997</v>
      </c>
      <c r="Z134" s="192">
        <v>0.98167567</v>
      </c>
      <c r="AA134" s="64">
        <v>0.98693505000000004</v>
      </c>
      <c r="AB134" s="64">
        <v>3.8893129999999998E-2</v>
      </c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2"/>
      <c r="AM134" s="89">
        <f t="shared" si="14"/>
        <v>0.38698399999999822</v>
      </c>
      <c r="AN134" s="124">
        <f t="shared" si="15"/>
        <v>0.3215629999999976</v>
      </c>
      <c r="AO134" s="124">
        <f t="shared" si="16"/>
        <v>1.9488999999994761E-4</v>
      </c>
      <c r="AP134" s="124">
        <f t="shared" si="17"/>
        <v>2.6682000000000095E-4</v>
      </c>
      <c r="AQ134" s="90">
        <f t="shared" si="18"/>
        <v>-1.1979820000000002E-3</v>
      </c>
      <c r="AR134" s="39"/>
      <c r="AS134" s="238"/>
      <c r="AT134" s="39"/>
    </row>
    <row r="135" spans="2:46" ht="13.5" customHeight="1" x14ac:dyDescent="0.15">
      <c r="B135" s="292"/>
      <c r="C135" s="29" t="s">
        <v>30</v>
      </c>
      <c r="D135" s="191"/>
      <c r="E135" s="58"/>
      <c r="F135" s="192">
        <v>37.835388999999999</v>
      </c>
      <c r="G135" s="192">
        <v>41.376756</v>
      </c>
      <c r="H135" s="192">
        <v>0.98975252000000002</v>
      </c>
      <c r="I135" s="64">
        <v>0.99323276999999999</v>
      </c>
      <c r="J135" s="64">
        <v>2.4406975000000001E-2</v>
      </c>
      <c r="K135" s="193"/>
      <c r="L135" s="263"/>
      <c r="M135" s="263"/>
      <c r="N135" s="58"/>
      <c r="O135" s="30"/>
      <c r="P135" s="58"/>
      <c r="Q135" s="30"/>
      <c r="R135" s="135"/>
      <c r="S135" s="217"/>
      <c r="T135" s="292"/>
      <c r="U135" s="29" t="s">
        <v>30</v>
      </c>
      <c r="V135" s="191"/>
      <c r="W135" s="58"/>
      <c r="X135" s="192">
        <v>38.913041</v>
      </c>
      <c r="Y135" s="192">
        <v>42.051011000000003</v>
      </c>
      <c r="Z135" s="192">
        <v>0.98989393000000003</v>
      </c>
      <c r="AA135" s="64">
        <v>0.99355258999999996</v>
      </c>
      <c r="AB135" s="64">
        <v>2.1725131000000002E-2</v>
      </c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2"/>
      <c r="AM135" s="89">
        <f t="shared" si="14"/>
        <v>1.0776520000000005</v>
      </c>
      <c r="AN135" s="124">
        <f t="shared" si="15"/>
        <v>0.67425500000000227</v>
      </c>
      <c r="AO135" s="124">
        <f t="shared" si="16"/>
        <v>1.4141000000000847E-4</v>
      </c>
      <c r="AP135" s="124">
        <f t="shared" si="17"/>
        <v>3.1981999999997068E-4</v>
      </c>
      <c r="AQ135" s="90">
        <f t="shared" si="18"/>
        <v>-2.6818439999999992E-3</v>
      </c>
      <c r="AR135" s="39"/>
      <c r="AS135" s="238"/>
      <c r="AT135" s="39"/>
    </row>
    <row r="136" spans="2:46" ht="13.5" customHeight="1" x14ac:dyDescent="0.15">
      <c r="B136" s="292"/>
      <c r="C136" s="29" t="s">
        <v>32</v>
      </c>
      <c r="D136" s="191"/>
      <c r="E136" s="58"/>
      <c r="F136" s="192">
        <v>41.595049000000003</v>
      </c>
      <c r="G136" s="192">
        <v>45.181700999999997</v>
      </c>
      <c r="H136" s="192">
        <v>0.99381931000000001</v>
      </c>
      <c r="I136" s="64">
        <v>0.99633837000000003</v>
      </c>
      <c r="J136" s="64">
        <v>1.2617046E-2</v>
      </c>
      <c r="K136" s="193"/>
      <c r="L136" s="263"/>
      <c r="M136" s="263"/>
      <c r="N136" s="58"/>
      <c r="O136" s="30"/>
      <c r="P136" s="58"/>
      <c r="Q136" s="30"/>
      <c r="R136" s="135"/>
      <c r="S136" s="217"/>
      <c r="T136" s="292"/>
      <c r="U136" s="29" t="s">
        <v>32</v>
      </c>
      <c r="V136" s="191"/>
      <c r="W136" s="58"/>
      <c r="X136" s="192">
        <v>43.395795</v>
      </c>
      <c r="Y136" s="192">
        <v>46.313029</v>
      </c>
      <c r="Z136" s="192">
        <v>0.99404760000000003</v>
      </c>
      <c r="AA136" s="64">
        <v>0.99683339999999998</v>
      </c>
      <c r="AB136" s="64">
        <v>1.0232493E-2</v>
      </c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2"/>
      <c r="AM136" s="89">
        <f t="shared" si="14"/>
        <v>1.8007459999999966</v>
      </c>
      <c r="AN136" s="124">
        <f t="shared" si="15"/>
        <v>1.1313280000000034</v>
      </c>
      <c r="AO136" s="124">
        <f t="shared" si="16"/>
        <v>2.2829000000001987E-4</v>
      </c>
      <c r="AP136" s="124">
        <f t="shared" si="17"/>
        <v>4.950299999999519E-4</v>
      </c>
      <c r="AQ136" s="90">
        <f t="shared" si="18"/>
        <v>-2.3845529999999993E-3</v>
      </c>
      <c r="AR136" s="39"/>
      <c r="AS136" s="238"/>
      <c r="AT136" s="39"/>
    </row>
    <row r="137" spans="2:46" ht="13.5" customHeight="1" thickBot="1" x14ac:dyDescent="0.2">
      <c r="B137" s="293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3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3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1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91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91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2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2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2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2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2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2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2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2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2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3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3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3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1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91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91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2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2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2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2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2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2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2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2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2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3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3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3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1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91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91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2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2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2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2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2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2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2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2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2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3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3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3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1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91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91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2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2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2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2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2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2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2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2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2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3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3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3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1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91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91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2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2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2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2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2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2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2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2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2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3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3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3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1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91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91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2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2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2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2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2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2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2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2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2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3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3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3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1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91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91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2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2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2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2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2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2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2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2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2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3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3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3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1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91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91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2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2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2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2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2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2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2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2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2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3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3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3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1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91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91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2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2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2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2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2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2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2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2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2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3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3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3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1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91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91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2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2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2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2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2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2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2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2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2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3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3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3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1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91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91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2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2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2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2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2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2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2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2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2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3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3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3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1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91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91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2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2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2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2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2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2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2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2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2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3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3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3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1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91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91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2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2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2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2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2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2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2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2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2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3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3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3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1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91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91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2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2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2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2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2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2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2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2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2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3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3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3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1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91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91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2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2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2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2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2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2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2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2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2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3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3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3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1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91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91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2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2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2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2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2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2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2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2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2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3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3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3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1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91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91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2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2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2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2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2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2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2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2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2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3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3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3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1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91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91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2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2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2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2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2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2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2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2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2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3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3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3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1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91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91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2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2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2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2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2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2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2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2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2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3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3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3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1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91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91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2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2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2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2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2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2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2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2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2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3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3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3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1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91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91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2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2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2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2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2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2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2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2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2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3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3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3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1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91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91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2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2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2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2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2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2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2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2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2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3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3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3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1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91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91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2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2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2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2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2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2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2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2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2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3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3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3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1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91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91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2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2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2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2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2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2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2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2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2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3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3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3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1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91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91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2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2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2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2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2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2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2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2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2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3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3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3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1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91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91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2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2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2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2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2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2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2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2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2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3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3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3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1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91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91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2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2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2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2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2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2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2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2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2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3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3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3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1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91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91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2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2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2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2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2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2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2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2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2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3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3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3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1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91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91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2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2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2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2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2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2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2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2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2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3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3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3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1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91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91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2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2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2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2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2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2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2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2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2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3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3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3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1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91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91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2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2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2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2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2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2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2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2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2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3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3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3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1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91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91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2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2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2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2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2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2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2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2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2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3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3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3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1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91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91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2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2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2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2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2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2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2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2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2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3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3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3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1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91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91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2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2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2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2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2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2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2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2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2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3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3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3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1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91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91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2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2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2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2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2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2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2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2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2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3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3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3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1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91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91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2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2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2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2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2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2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2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2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2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3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3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3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1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91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91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2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2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2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2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2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2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2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2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2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3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3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3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1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91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91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2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2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2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2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2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2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2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2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2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3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3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3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1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91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91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2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2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2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2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2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2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2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2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2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3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3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3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1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91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91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2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2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2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2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2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2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2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2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2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3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3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3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1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91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91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2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2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2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2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2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2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2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2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2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3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3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3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1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91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91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2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2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2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2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2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2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2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2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2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3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3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3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1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91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91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2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2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2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2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2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2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2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2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2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3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3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3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1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91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91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2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2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2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2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2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2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2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2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2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3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3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3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1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91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91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2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2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2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2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2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2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2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2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2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3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3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3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1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91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91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2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2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2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2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2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2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2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2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2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3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3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3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1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91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91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2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2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2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2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2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2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2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2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2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3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3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3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1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91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91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2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2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2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2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2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2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2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2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2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3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3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3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1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91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91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2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2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2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2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2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2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2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2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2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3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3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3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1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91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91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2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2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2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2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2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2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2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2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2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3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3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3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1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91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91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2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2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2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2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2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2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2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2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2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3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3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3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1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91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91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2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2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2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2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2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2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2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2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2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3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3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3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1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91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91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2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2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2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2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2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2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2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2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2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3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3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3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1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91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91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2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2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2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2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2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2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2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2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2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3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3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3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1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91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91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2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2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2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2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2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2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2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2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2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3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3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3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1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91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91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2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2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2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2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2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2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2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2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2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3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3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3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1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91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91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2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2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2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2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2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2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2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2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2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3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3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3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1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91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91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2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2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2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2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2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2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2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2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2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3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3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3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1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91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91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2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2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2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2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2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2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2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2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2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3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3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3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1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91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91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2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2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2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2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2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2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2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2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2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3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3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3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1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91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91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2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2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2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2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2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2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2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2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2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3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3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3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1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91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91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2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2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2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2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2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2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2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2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2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3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3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3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1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91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91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2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2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2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2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2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2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2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2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2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3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3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3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1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91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91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2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2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2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2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2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2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2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2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2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3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3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3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1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91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91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2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2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2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2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2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2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2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2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2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3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3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3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1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91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91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2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2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2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2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2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2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2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2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2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3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3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3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1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91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91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2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2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2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2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2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2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2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2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2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3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3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3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1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91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91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2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2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2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2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2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2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2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2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2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3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3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3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1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91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91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2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2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2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2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2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2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2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2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2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3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3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3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1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91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91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2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2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2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2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2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2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2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2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2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3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3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3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1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91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91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2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2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2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2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2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2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2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2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2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3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3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3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1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91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91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2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2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2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2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2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2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2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2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2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3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3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3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1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91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91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2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2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2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2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2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2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2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2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2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3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3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3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1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91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91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2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2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2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2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2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2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2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2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2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3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3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3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1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91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91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2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2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2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2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2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2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2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2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2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3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3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3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1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91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91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2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2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2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2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2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2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2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2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2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3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3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3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1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91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91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2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2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2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2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2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2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2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2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2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3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3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3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1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91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91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2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2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2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2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2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2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2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2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2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3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3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3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1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91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91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2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2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2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2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2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2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2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2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2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3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3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3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1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91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91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2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2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2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2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2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2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2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2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2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3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3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3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1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91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91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2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2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2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2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2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2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2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2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2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3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3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3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1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91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91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2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2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2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2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2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2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2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2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2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3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3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3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1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91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91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2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2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2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2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2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2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2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2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2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3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3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3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1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91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91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2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2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2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2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2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2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2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2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2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3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3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3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1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91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91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2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2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2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2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2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2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2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2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2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3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3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3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1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91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91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2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2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2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2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2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2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2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2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2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3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3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3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1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91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91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2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2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2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2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2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2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2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2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2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3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3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3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1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91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91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2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2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2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2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2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2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2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2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2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3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3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3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1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91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91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2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2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2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2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2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2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2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2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2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3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3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3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1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91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91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2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2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2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2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2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2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2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2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2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3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3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3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1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91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91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2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2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2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2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2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2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2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2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2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3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3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3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1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91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91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2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2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2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2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2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2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2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2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2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3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3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3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1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91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91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2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2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2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2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2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2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2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2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2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3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3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3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1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91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91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2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2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2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2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2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2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2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2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2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3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3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3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1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91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91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2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2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2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2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2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2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2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2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2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3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3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3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1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91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91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2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2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2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2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2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2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2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2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2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3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3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3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1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91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91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2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2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2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2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2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2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2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2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2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3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3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3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1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91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91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2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2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2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2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2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2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2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2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2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3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3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3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1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91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91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2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2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2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2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2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2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2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2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2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3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3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3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1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91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91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2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2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2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2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2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2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2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2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2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3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3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3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1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8">
        <f t="shared" si="59"/>
        <v>31.134187000000001</v>
      </c>
      <c r="H641" s="138">
        <f t="shared" si="59"/>
        <v>0.95943495000000001</v>
      </c>
      <c r="I641" s="138">
        <f t="shared" si="59"/>
        <v>0.96601981000000003</v>
      </c>
      <c r="J641" s="138">
        <f t="shared" si="59"/>
        <v>5.8290526000000002E-2</v>
      </c>
      <c r="K641" s="112"/>
      <c r="L641" s="112"/>
      <c r="M641" s="112"/>
      <c r="N641" s="112"/>
      <c r="O641" s="267"/>
      <c r="P641" s="112"/>
      <c r="Q641" s="113"/>
      <c r="R641" s="114"/>
      <c r="T641" s="291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28.069703000000001</v>
      </c>
      <c r="Y641" s="138">
        <f t="shared" si="60"/>
        <v>32.057279000000001</v>
      </c>
      <c r="Z641" s="138">
        <f t="shared" si="60"/>
        <v>0.95974356999999999</v>
      </c>
      <c r="AA641" s="138">
        <f t="shared" si="60"/>
        <v>0.96689658999999994</v>
      </c>
      <c r="AB641" s="138">
        <f t="shared" si="60"/>
        <v>5.2106685999999999E-2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2"/>
      <c r="C642" s="29" t="s">
        <v>29</v>
      </c>
      <c r="D642" s="110"/>
      <c r="E642" s="268"/>
      <c r="F642" s="20">
        <f t="shared" si="59"/>
        <v>30.759060000000002</v>
      </c>
      <c r="G642" s="20">
        <f t="shared" si="59"/>
        <v>34.076340999999999</v>
      </c>
      <c r="H642" s="20">
        <f t="shared" si="59"/>
        <v>0.97660387999999998</v>
      </c>
      <c r="I642" s="20">
        <f t="shared" si="59"/>
        <v>0.98018503000000001</v>
      </c>
      <c r="J642" s="20">
        <f t="shared" si="59"/>
        <v>3.7864416999999997E-2</v>
      </c>
      <c r="K642" s="115"/>
      <c r="L642" s="115"/>
      <c r="M642" s="115"/>
      <c r="N642" s="115"/>
      <c r="O642" s="269"/>
      <c r="P642" s="115"/>
      <c r="Q642" s="116"/>
      <c r="R642" s="117"/>
      <c r="T642" s="292"/>
      <c r="U642" s="29" t="s">
        <v>29</v>
      </c>
      <c r="V642" s="110"/>
      <c r="W642" s="268"/>
      <c r="X642" s="20">
        <f t="shared" si="60"/>
        <v>31.729417999999999</v>
      </c>
      <c r="Y642" s="20">
        <f t="shared" si="60"/>
        <v>34.888266999999999</v>
      </c>
      <c r="Z642" s="20">
        <f t="shared" si="60"/>
        <v>0.97691359</v>
      </c>
      <c r="AA642" s="20">
        <f t="shared" si="60"/>
        <v>0.98115925999999998</v>
      </c>
      <c r="AB642" s="20">
        <f t="shared" si="60"/>
        <v>3.3568847999999998E-2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2"/>
      <c r="C643" s="29" t="s">
        <v>30</v>
      </c>
      <c r="D643" s="110"/>
      <c r="E643" s="268"/>
      <c r="F643" s="20">
        <f t="shared" si="59"/>
        <v>34.701622</v>
      </c>
      <c r="G643" s="20">
        <f t="shared" si="59"/>
        <v>39.048186000000001</v>
      </c>
      <c r="H643" s="20">
        <f t="shared" si="59"/>
        <v>0.98777605999999996</v>
      </c>
      <c r="I643" s="20">
        <f t="shared" si="59"/>
        <v>0.99115125999999998</v>
      </c>
      <c r="J643" s="20">
        <f t="shared" si="59"/>
        <v>2.3715215000000001E-2</v>
      </c>
      <c r="K643" s="115"/>
      <c r="L643" s="115"/>
      <c r="M643" s="115"/>
      <c r="N643" s="115"/>
      <c r="O643" s="269"/>
      <c r="P643" s="115"/>
      <c r="Q643" s="116"/>
      <c r="R643" s="117"/>
      <c r="T643" s="292"/>
      <c r="U643" s="29" t="s">
        <v>30</v>
      </c>
      <c r="V643" s="110"/>
      <c r="W643" s="268"/>
      <c r="X643" s="20">
        <f t="shared" si="60"/>
        <v>37.258884999999999</v>
      </c>
      <c r="Y643" s="20">
        <f t="shared" si="60"/>
        <v>40.550359999999998</v>
      </c>
      <c r="Z643" s="20">
        <f t="shared" si="60"/>
        <v>0.98821557999999998</v>
      </c>
      <c r="AA643" s="20">
        <f t="shared" si="60"/>
        <v>0.99173564999999997</v>
      </c>
      <c r="AB643" s="20">
        <f t="shared" si="60"/>
        <v>1.8043764E-2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2"/>
      <c r="C644" s="29" t="s">
        <v>32</v>
      </c>
      <c r="D644" s="110"/>
      <c r="E644" s="268"/>
      <c r="F644" s="20">
        <f t="shared" si="59"/>
        <v>37.285139999999998</v>
      </c>
      <c r="G644" s="20">
        <f t="shared" si="59"/>
        <v>41.695649000000003</v>
      </c>
      <c r="H644" s="20">
        <f t="shared" si="59"/>
        <v>0.99314466000000001</v>
      </c>
      <c r="I644" s="20">
        <f t="shared" si="59"/>
        <v>0.99532387</v>
      </c>
      <c r="J644" s="20">
        <f t="shared" si="59"/>
        <v>1.2499240999999999E-2</v>
      </c>
      <c r="K644" s="115"/>
      <c r="L644" s="115"/>
      <c r="M644" s="115"/>
      <c r="N644" s="115"/>
      <c r="O644" s="269"/>
      <c r="P644" s="115"/>
      <c r="Q644" s="116"/>
      <c r="R644" s="117"/>
      <c r="T644" s="292"/>
      <c r="U644" s="29" t="s">
        <v>32</v>
      </c>
      <c r="V644" s="110"/>
      <c r="W644" s="268"/>
      <c r="X644" s="20">
        <f t="shared" si="60"/>
        <v>41.472222000000002</v>
      </c>
      <c r="Y644" s="20">
        <f t="shared" si="60"/>
        <v>44.588586999999997</v>
      </c>
      <c r="Z644" s="20">
        <f t="shared" si="60"/>
        <v>0.99358267</v>
      </c>
      <c r="AA644" s="20">
        <f t="shared" si="60"/>
        <v>0.99607455</v>
      </c>
      <c r="AB644" s="20">
        <f t="shared" si="60"/>
        <v>8.0808159999999993E-3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3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3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8">
        <f t="shared" si="61"/>
        <v>36.090333999999999</v>
      </c>
      <c r="H646" s="138">
        <f t="shared" si="61"/>
        <v>0.97201868000000002</v>
      </c>
      <c r="I646" s="138">
        <f t="shared" si="61"/>
        <v>0.97964784999999999</v>
      </c>
      <c r="J646" s="138">
        <f t="shared" si="61"/>
        <v>8.3524169999999995E-2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32.416784999999997</v>
      </c>
      <c r="Y646" s="138">
        <f t="shared" si="62"/>
        <v>36.376294000000001</v>
      </c>
      <c r="Z646" s="138">
        <f t="shared" si="62"/>
        <v>0.97216848</v>
      </c>
      <c r="AA646" s="138">
        <f t="shared" si="62"/>
        <v>0.98011780999999998</v>
      </c>
      <c r="AB646" s="138">
        <f t="shared" si="62"/>
        <v>6.4068414000000004E-2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2"/>
      <c r="C647" s="29" t="s">
        <v>29</v>
      </c>
      <c r="D647" s="110"/>
      <c r="E647" s="268"/>
      <c r="F647" s="20">
        <f t="shared" si="61"/>
        <v>34.498724000000003</v>
      </c>
      <c r="G647" s="20">
        <f t="shared" si="61"/>
        <v>38.138582</v>
      </c>
      <c r="H647" s="20">
        <f t="shared" si="61"/>
        <v>0.98175420000000002</v>
      </c>
      <c r="I647" s="20">
        <f t="shared" si="61"/>
        <v>0.98719683999999996</v>
      </c>
      <c r="J647" s="20">
        <f t="shared" si="61"/>
        <v>5.8090188000000001E-2</v>
      </c>
      <c r="K647" s="115"/>
      <c r="L647" s="115"/>
      <c r="M647" s="115"/>
      <c r="N647" s="115"/>
      <c r="O647" s="269"/>
      <c r="P647" s="115"/>
      <c r="Q647" s="116"/>
      <c r="R647" s="117"/>
      <c r="T647" s="292"/>
      <c r="U647" s="29" t="s">
        <v>29</v>
      </c>
      <c r="V647" s="110"/>
      <c r="W647" s="268"/>
      <c r="X647" s="20">
        <f t="shared" si="62"/>
        <v>35.096708</v>
      </c>
      <c r="Y647" s="20">
        <f t="shared" si="62"/>
        <v>38.460144999999997</v>
      </c>
      <c r="Z647" s="20">
        <f t="shared" si="62"/>
        <v>0.98184024999999997</v>
      </c>
      <c r="AA647" s="20">
        <f t="shared" si="62"/>
        <v>0.98755453999999998</v>
      </c>
      <c r="AB647" s="20">
        <f t="shared" si="62"/>
        <v>4.1988353999999999E-2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2"/>
      <c r="C648" s="29" t="s">
        <v>30</v>
      </c>
      <c r="D648" s="110"/>
      <c r="E648" s="268"/>
      <c r="F648" s="20">
        <f t="shared" si="61"/>
        <v>37.835388999999999</v>
      </c>
      <c r="G648" s="20">
        <f t="shared" si="61"/>
        <v>41.376756</v>
      </c>
      <c r="H648" s="20">
        <f t="shared" si="61"/>
        <v>0.98975252000000002</v>
      </c>
      <c r="I648" s="20">
        <f t="shared" si="61"/>
        <v>0.99323276999999999</v>
      </c>
      <c r="J648" s="20">
        <f t="shared" si="61"/>
        <v>3.3094823000000002E-2</v>
      </c>
      <c r="K648" s="115"/>
      <c r="L648" s="115"/>
      <c r="M648" s="115"/>
      <c r="N648" s="115"/>
      <c r="O648" s="269"/>
      <c r="P648" s="115"/>
      <c r="Q648" s="116"/>
      <c r="R648" s="117"/>
      <c r="T648" s="292"/>
      <c r="U648" s="29" t="s">
        <v>30</v>
      </c>
      <c r="V648" s="110"/>
      <c r="W648" s="268"/>
      <c r="X648" s="20">
        <f t="shared" si="62"/>
        <v>39.074919000000001</v>
      </c>
      <c r="Y648" s="20">
        <f t="shared" si="62"/>
        <v>42.221054000000002</v>
      </c>
      <c r="Z648" s="20">
        <f t="shared" si="62"/>
        <v>0.98989393000000003</v>
      </c>
      <c r="AA648" s="20">
        <f t="shared" si="62"/>
        <v>0.99357770999999995</v>
      </c>
      <c r="AB648" s="20">
        <f t="shared" si="62"/>
        <v>2.3018851999999999E-2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2"/>
      <c r="C649" s="29" t="s">
        <v>32</v>
      </c>
      <c r="D649" s="110"/>
      <c r="E649" s="268"/>
      <c r="F649" s="20">
        <f t="shared" si="61"/>
        <v>41.595049000000003</v>
      </c>
      <c r="G649" s="20">
        <f t="shared" si="61"/>
        <v>45.181700999999997</v>
      </c>
      <c r="H649" s="20">
        <f t="shared" si="61"/>
        <v>0.99381931000000001</v>
      </c>
      <c r="I649" s="20">
        <f t="shared" si="61"/>
        <v>0.99633837000000003</v>
      </c>
      <c r="J649" s="20">
        <f t="shared" si="61"/>
        <v>1.9031455999999999E-2</v>
      </c>
      <c r="K649" s="115"/>
      <c r="L649" s="115"/>
      <c r="M649" s="115"/>
      <c r="N649" s="115"/>
      <c r="O649" s="269"/>
      <c r="P649" s="115"/>
      <c r="Q649" s="116"/>
      <c r="R649" s="117"/>
      <c r="T649" s="292"/>
      <c r="U649" s="29" t="s">
        <v>32</v>
      </c>
      <c r="V649" s="110"/>
      <c r="W649" s="268"/>
      <c r="X649" s="20">
        <f t="shared" si="62"/>
        <v>43.395795</v>
      </c>
      <c r="Y649" s="20">
        <f t="shared" si="62"/>
        <v>46.315277999999999</v>
      </c>
      <c r="Z649" s="20">
        <f t="shared" si="62"/>
        <v>0.99404760000000003</v>
      </c>
      <c r="AA649" s="20">
        <f t="shared" si="62"/>
        <v>0.99686865999999996</v>
      </c>
      <c r="AB649" s="20">
        <f t="shared" si="62"/>
        <v>1.0232493E-2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3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3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4.5975959999999993</v>
      </c>
      <c r="G651" s="138">
        <f t="shared" si="63"/>
        <v>4.9561469999999979</v>
      </c>
      <c r="H651" s="138">
        <f t="shared" si="63"/>
        <v>1.2583730000000015E-2</v>
      </c>
      <c r="I651" s="138">
        <f t="shared" si="63"/>
        <v>1.3628039999999952E-2</v>
      </c>
      <c r="J651" s="138">
        <f t="shared" si="63"/>
        <v>2.5233643999999993E-2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4.3470819999999968</v>
      </c>
      <c r="Y651" s="138">
        <f t="shared" si="64"/>
        <v>4.3190150000000003</v>
      </c>
      <c r="Z651" s="138">
        <f t="shared" si="64"/>
        <v>1.2424910000000011E-2</v>
      </c>
      <c r="AA651" s="138">
        <f t="shared" si="64"/>
        <v>1.3221220000000034E-2</v>
      </c>
      <c r="AB651" s="138">
        <f t="shared" si="64"/>
        <v>1.1961728000000005E-2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2"/>
      <c r="C652" s="29" t="s">
        <v>29</v>
      </c>
      <c r="D652" s="110"/>
      <c r="E652" s="268"/>
      <c r="F652" s="20">
        <f t="shared" si="63"/>
        <v>3.7396640000000012</v>
      </c>
      <c r="G652" s="20">
        <f t="shared" si="63"/>
        <v>4.0622410000000002</v>
      </c>
      <c r="H652" s="20">
        <f t="shared" si="63"/>
        <v>5.1503200000000415E-3</v>
      </c>
      <c r="I652" s="20">
        <f t="shared" si="63"/>
        <v>7.0118099999999517E-3</v>
      </c>
      <c r="J652" s="20">
        <f t="shared" si="63"/>
        <v>2.0225771000000003E-2</v>
      </c>
      <c r="K652" s="115"/>
      <c r="L652" s="115"/>
      <c r="M652" s="115"/>
      <c r="N652" s="115"/>
      <c r="O652" s="269"/>
      <c r="P652" s="115"/>
      <c r="Q652" s="116"/>
      <c r="R652" s="117"/>
      <c r="T652" s="292"/>
      <c r="U652" s="29" t="s">
        <v>29</v>
      </c>
      <c r="V652" s="110"/>
      <c r="W652" s="268"/>
      <c r="X652" s="20">
        <f t="shared" si="64"/>
        <v>3.3672900000000006</v>
      </c>
      <c r="Y652" s="20">
        <f t="shared" si="64"/>
        <v>3.5718779999999981</v>
      </c>
      <c r="Z652" s="20">
        <f t="shared" si="64"/>
        <v>4.9266599999999716E-3</v>
      </c>
      <c r="AA652" s="20">
        <f t="shared" si="64"/>
        <v>6.3952800000000032E-3</v>
      </c>
      <c r="AB652" s="20">
        <f t="shared" si="64"/>
        <v>8.4195060000000002E-3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2"/>
      <c r="C653" s="29" t="s">
        <v>30</v>
      </c>
      <c r="D653" s="110"/>
      <c r="E653" s="268"/>
      <c r="F653" s="20">
        <f t="shared" si="63"/>
        <v>3.1337669999999989</v>
      </c>
      <c r="G653" s="20">
        <f t="shared" si="63"/>
        <v>2.3285699999999991</v>
      </c>
      <c r="H653" s="20">
        <f t="shared" si="63"/>
        <v>1.9764600000000687E-3</v>
      </c>
      <c r="I653" s="20">
        <f t="shared" si="63"/>
        <v>2.0815100000000086E-3</v>
      </c>
      <c r="J653" s="20">
        <f t="shared" si="63"/>
        <v>9.3796080000000011E-3</v>
      </c>
      <c r="K653" s="115"/>
      <c r="L653" s="115"/>
      <c r="M653" s="115"/>
      <c r="N653" s="115"/>
      <c r="O653" s="269"/>
      <c r="P653" s="115"/>
      <c r="Q653" s="116"/>
      <c r="R653" s="117"/>
      <c r="T653" s="292"/>
      <c r="U653" s="29" t="s">
        <v>30</v>
      </c>
      <c r="V653" s="110"/>
      <c r="W653" s="268"/>
      <c r="X653" s="20">
        <f t="shared" si="64"/>
        <v>1.8160340000000019</v>
      </c>
      <c r="Y653" s="20">
        <f t="shared" si="64"/>
        <v>1.6706940000000046</v>
      </c>
      <c r="Z653" s="20">
        <f t="shared" si="64"/>
        <v>1.6783500000000506E-3</v>
      </c>
      <c r="AA653" s="20">
        <f t="shared" si="64"/>
        <v>1.8420599999999787E-3</v>
      </c>
      <c r="AB653" s="20">
        <f t="shared" si="64"/>
        <v>4.975087999999999E-3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2"/>
      <c r="C654" s="29" t="s">
        <v>32</v>
      </c>
      <c r="D654" s="110"/>
      <c r="E654" s="268"/>
      <c r="F654" s="20">
        <f t="shared" si="63"/>
        <v>4.3099090000000047</v>
      </c>
      <c r="G654" s="20">
        <f t="shared" si="63"/>
        <v>3.4860519999999937</v>
      </c>
      <c r="H654" s="20">
        <f t="shared" si="63"/>
        <v>6.7464999999999886E-4</v>
      </c>
      <c r="I654" s="20">
        <f t="shared" si="63"/>
        <v>1.0145000000000293E-3</v>
      </c>
      <c r="J654" s="20">
        <f t="shared" si="63"/>
        <v>6.5322149999999992E-3</v>
      </c>
      <c r="K654" s="115"/>
      <c r="L654" s="115"/>
      <c r="M654" s="115"/>
      <c r="N654" s="115"/>
      <c r="O654" s="269"/>
      <c r="P654" s="115"/>
      <c r="Q654" s="116"/>
      <c r="R654" s="117"/>
      <c r="T654" s="292"/>
      <c r="U654" s="29" t="s">
        <v>32</v>
      </c>
      <c r="V654" s="110"/>
      <c r="W654" s="268"/>
      <c r="X654" s="20">
        <f t="shared" si="64"/>
        <v>1.9235729999999975</v>
      </c>
      <c r="Y654" s="20">
        <f t="shared" si="64"/>
        <v>1.7266910000000024</v>
      </c>
      <c r="Z654" s="20">
        <f t="shared" si="64"/>
        <v>4.6493000000003004E-4</v>
      </c>
      <c r="AA654" s="20">
        <f t="shared" si="64"/>
        <v>7.9410999999995902E-4</v>
      </c>
      <c r="AB654" s="20">
        <f t="shared" si="64"/>
        <v>2.1516770000000011E-3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3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3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2025-06-25T09:59:27Z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