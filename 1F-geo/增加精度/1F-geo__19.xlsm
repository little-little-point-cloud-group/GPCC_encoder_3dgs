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546A94D1-A140-4886-A2DD-772CC02BF4DB}" xr6:coauthVersionLast="47" xr6:coauthVersionMax="47" xr10:uidLastSave="{00000000-0000-0000-0000-000000000000}"/>
  <bookViews>
    <workbookView xWindow="-36" yWindow="2844" windowWidth="16128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54" i="10" l="1"/>
  <c r="AA654" i="10"/>
  <c r="Z654" i="10"/>
  <c r="Y654" i="10"/>
  <c r="X654" i="10"/>
  <c r="J654" i="10"/>
  <c r="I654" i="10"/>
  <c r="H654" i="10"/>
  <c r="G654" i="10"/>
  <c r="F654" i="10"/>
  <c r="AB653" i="10"/>
  <c r="AA653" i="10"/>
  <c r="Z653" i="10"/>
  <c r="Y653" i="10"/>
  <c r="X653" i="10"/>
  <c r="J653" i="10"/>
  <c r="I653" i="10"/>
  <c r="H653" i="10"/>
  <c r="G653" i="10"/>
  <c r="F653" i="10"/>
  <c r="AB652" i="10"/>
  <c r="AA652" i="10"/>
  <c r="Z652" i="10"/>
  <c r="Y652" i="10"/>
  <c r="X652" i="10"/>
  <c r="J652" i="10"/>
  <c r="I652" i="10"/>
  <c r="H652" i="10"/>
  <c r="G652" i="10"/>
  <c r="F652" i="10"/>
  <c r="AB651" i="10"/>
  <c r="AA651" i="10"/>
  <c r="Z651" i="10"/>
  <c r="Y651" i="10"/>
  <c r="X651" i="10"/>
  <c r="J651" i="10"/>
  <c r="I651" i="10"/>
  <c r="H651" i="10"/>
  <c r="G651" i="10"/>
  <c r="F651" i="10"/>
  <c r="AB649" i="10"/>
  <c r="AA649" i="10"/>
  <c r="Z649" i="10"/>
  <c r="Y649" i="10"/>
  <c r="X649" i="10"/>
  <c r="J649" i="10"/>
  <c r="I649" i="10"/>
  <c r="H649" i="10"/>
  <c r="G649" i="10"/>
  <c r="F649" i="10"/>
  <c r="AB648" i="10"/>
  <c r="AA648" i="10"/>
  <c r="Z648" i="10"/>
  <c r="Y648" i="10"/>
  <c r="X648" i="10"/>
  <c r="J648" i="10"/>
  <c r="I648" i="10"/>
  <c r="H648" i="10"/>
  <c r="G648" i="10"/>
  <c r="F648" i="10"/>
  <c r="AB647" i="10"/>
  <c r="AA647" i="10"/>
  <c r="Z647" i="10"/>
  <c r="Y647" i="10"/>
  <c r="X647" i="10"/>
  <c r="J647" i="10"/>
  <c r="I647" i="10"/>
  <c r="H647" i="10"/>
  <c r="G647" i="10"/>
  <c r="F647" i="10"/>
  <c r="AB646" i="10"/>
  <c r="AA646" i="10"/>
  <c r="Z646" i="10"/>
  <c r="Y646" i="10"/>
  <c r="X646" i="10"/>
  <c r="J646" i="10"/>
  <c r="I646" i="10"/>
  <c r="H646" i="10"/>
  <c r="G646" i="10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E24" i="10"/>
  <c r="W23" i="10"/>
  <c r="E23" i="10"/>
  <c r="U13" i="10"/>
  <c r="C13" i="10"/>
  <c r="AJ10" i="10"/>
  <c r="AI10" i="10"/>
  <c r="AH10" i="10"/>
  <c r="R10" i="10"/>
  <c r="Q10" i="10"/>
  <c r="P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W5" i="10"/>
  <c r="R5" i="10"/>
  <c r="Q5" i="10"/>
  <c r="P5" i="10"/>
  <c r="J5" i="10"/>
  <c r="I5" i="10"/>
  <c r="H5" i="10"/>
  <c r="G5" i="10"/>
  <c r="F5" i="10"/>
  <c r="E5" i="10"/>
  <c r="AL2" i="10"/>
  <c r="U2" i="10"/>
  <c r="T2" i="10"/>
  <c r="C2" i="10"/>
  <c r="AB654" i="9"/>
  <c r="AA654" i="9"/>
  <c r="Z654" i="9"/>
  <c r="Y654" i="9"/>
  <c r="X654" i="9"/>
  <c r="J654" i="9"/>
  <c r="I654" i="9"/>
  <c r="H654" i="9"/>
  <c r="AB653" i="9"/>
  <c r="AA653" i="9"/>
  <c r="Z653" i="9"/>
  <c r="Y653" i="9"/>
  <c r="X653" i="9"/>
  <c r="J653" i="9"/>
  <c r="I653" i="9"/>
  <c r="H653" i="9"/>
  <c r="G653" i="9"/>
  <c r="F653" i="9"/>
  <c r="AB652" i="9"/>
  <c r="AA652" i="9"/>
  <c r="Z652" i="9"/>
  <c r="Y652" i="9"/>
  <c r="I652" i="9"/>
  <c r="H652" i="9"/>
  <c r="G652" i="9"/>
  <c r="F652" i="9"/>
  <c r="AB651" i="9"/>
  <c r="AA651" i="9"/>
  <c r="Z651" i="9"/>
  <c r="Y651" i="9"/>
  <c r="X651" i="9"/>
  <c r="J651" i="9"/>
  <c r="G651" i="9"/>
  <c r="F651" i="9"/>
  <c r="AB649" i="9"/>
  <c r="AA649" i="9"/>
  <c r="Z649" i="9"/>
  <c r="Y649" i="9"/>
  <c r="X649" i="9"/>
  <c r="J649" i="9"/>
  <c r="I649" i="9"/>
  <c r="H649" i="9"/>
  <c r="G649" i="9"/>
  <c r="G654" i="9" s="1"/>
  <c r="F649" i="9"/>
  <c r="F654" i="9" s="1"/>
  <c r="AB648" i="9"/>
  <c r="AA648" i="9"/>
  <c r="Z648" i="9"/>
  <c r="Y648" i="9"/>
  <c r="X648" i="9"/>
  <c r="J648" i="9"/>
  <c r="I648" i="9"/>
  <c r="H648" i="9"/>
  <c r="G648" i="9"/>
  <c r="F648" i="9"/>
  <c r="AB647" i="9"/>
  <c r="AA647" i="9"/>
  <c r="Z647" i="9"/>
  <c r="Y647" i="9"/>
  <c r="X647" i="9"/>
  <c r="J647" i="9"/>
  <c r="I647" i="9"/>
  <c r="H647" i="9"/>
  <c r="G647" i="9"/>
  <c r="F647" i="9"/>
  <c r="AB646" i="9"/>
  <c r="AA646" i="9"/>
  <c r="Z646" i="9"/>
  <c r="Y646" i="9"/>
  <c r="X646" i="9"/>
  <c r="J646" i="9"/>
  <c r="I646" i="9"/>
  <c r="I651" i="9" s="1"/>
  <c r="H646" i="9"/>
  <c r="H651" i="9" s="1"/>
  <c r="G646" i="9"/>
  <c r="F646" i="9"/>
  <c r="AB644" i="9"/>
  <c r="AA644" i="9"/>
  <c r="Z644" i="9"/>
  <c r="Y644" i="9"/>
  <c r="X644" i="9"/>
  <c r="J644" i="9"/>
  <c r="I644" i="9"/>
  <c r="H644" i="9"/>
  <c r="G644" i="9"/>
  <c r="F644" i="9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X652" i="9" s="1"/>
  <c r="J642" i="9"/>
  <c r="J652" i="9" s="1"/>
  <c r="I642" i="9"/>
  <c r="H642" i="9"/>
  <c r="G642" i="9"/>
  <c r="F642" i="9"/>
  <c r="AB641" i="9"/>
  <c r="AA641" i="9"/>
  <c r="Z641" i="9"/>
  <c r="Y641" i="9"/>
  <c r="X641" i="9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E25" i="9"/>
  <c r="W24" i="9"/>
  <c r="E24" i="9"/>
  <c r="W23" i="9"/>
  <c r="E23" i="9"/>
  <c r="U13" i="9"/>
  <c r="C13" i="9"/>
  <c r="AJ10" i="9"/>
  <c r="AI10" i="9"/>
  <c r="AH10" i="9"/>
  <c r="Q10" i="9"/>
  <c r="AJ8" i="9"/>
  <c r="AI8" i="9"/>
  <c r="AH8" i="9"/>
  <c r="AB8" i="9"/>
  <c r="AA8" i="9"/>
  <c r="Z8" i="9"/>
  <c r="Y8" i="9"/>
  <c r="X8" i="9"/>
  <c r="R8" i="9"/>
  <c r="Q8" i="9"/>
  <c r="P8" i="9"/>
  <c r="P10" i="9" s="1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W5" i="9"/>
  <c r="R5" i="9"/>
  <c r="R10" i="9" s="1"/>
  <c r="Q5" i="9"/>
  <c r="P5" i="9"/>
  <c r="J5" i="9"/>
  <c r="I5" i="9"/>
  <c r="H5" i="9"/>
  <c r="G5" i="9"/>
  <c r="F5" i="9"/>
  <c r="E5" i="9"/>
  <c r="AL2" i="9"/>
  <c r="U2" i="9"/>
  <c r="T2" i="9"/>
  <c r="C2" i="9"/>
  <c r="AB654" i="8"/>
  <c r="AA654" i="8"/>
  <c r="X654" i="8"/>
  <c r="J654" i="8"/>
  <c r="I654" i="8"/>
  <c r="H654" i="8"/>
  <c r="G654" i="8"/>
  <c r="F654" i="8"/>
  <c r="AB653" i="8"/>
  <c r="AA653" i="8"/>
  <c r="Z653" i="8"/>
  <c r="Y653" i="8"/>
  <c r="X653" i="8"/>
  <c r="J653" i="8"/>
  <c r="I653" i="8"/>
  <c r="H653" i="8"/>
  <c r="AB652" i="8"/>
  <c r="AA652" i="8"/>
  <c r="Z652" i="8"/>
  <c r="Y652" i="8"/>
  <c r="X652" i="8"/>
  <c r="J652" i="8"/>
  <c r="I652" i="8"/>
  <c r="H652" i="8"/>
  <c r="G652" i="8"/>
  <c r="F652" i="8"/>
  <c r="Z651" i="8"/>
  <c r="Y651" i="8"/>
  <c r="X651" i="8"/>
  <c r="J651" i="8"/>
  <c r="I651" i="8"/>
  <c r="H651" i="8"/>
  <c r="G651" i="8"/>
  <c r="F651" i="8"/>
  <c r="AB649" i="8"/>
  <c r="AA649" i="8"/>
  <c r="Z649" i="8"/>
  <c r="Z654" i="8" s="1"/>
  <c r="Y649" i="8"/>
  <c r="Y654" i="8" s="1"/>
  <c r="X649" i="8"/>
  <c r="J649" i="8"/>
  <c r="I649" i="8"/>
  <c r="H649" i="8"/>
  <c r="G649" i="8"/>
  <c r="F649" i="8"/>
  <c r="AB648" i="8"/>
  <c r="AA648" i="8"/>
  <c r="Z648" i="8"/>
  <c r="Y648" i="8"/>
  <c r="X648" i="8"/>
  <c r="J648" i="8"/>
  <c r="I648" i="8"/>
  <c r="H648" i="8"/>
  <c r="G648" i="8"/>
  <c r="F648" i="8"/>
  <c r="AB647" i="8"/>
  <c r="AA647" i="8"/>
  <c r="Z647" i="8"/>
  <c r="Y647" i="8"/>
  <c r="X647" i="8"/>
  <c r="J647" i="8"/>
  <c r="I647" i="8"/>
  <c r="H647" i="8"/>
  <c r="G647" i="8"/>
  <c r="F647" i="8"/>
  <c r="AB646" i="8"/>
  <c r="AB651" i="8" s="1"/>
  <c r="AA646" i="8"/>
  <c r="AA651" i="8" s="1"/>
  <c r="Z646" i="8"/>
  <c r="Y646" i="8"/>
  <c r="X646" i="8"/>
  <c r="J646" i="8"/>
  <c r="I646" i="8"/>
  <c r="H646" i="8"/>
  <c r="G646" i="8"/>
  <c r="F646" i="8"/>
  <c r="AB644" i="8"/>
  <c r="AA644" i="8"/>
  <c r="Z644" i="8"/>
  <c r="Y644" i="8"/>
  <c r="X644" i="8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G653" i="8" s="1"/>
  <c r="F643" i="8"/>
  <c r="F653" i="8" s="1"/>
  <c r="AB642" i="8"/>
  <c r="AA642" i="8"/>
  <c r="Z642" i="8"/>
  <c r="Y642" i="8"/>
  <c r="X642" i="8"/>
  <c r="J642" i="8"/>
  <c r="I642" i="8"/>
  <c r="H642" i="8"/>
  <c r="G642" i="8"/>
  <c r="F642" i="8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W25" i="8"/>
  <c r="W7" i="8" s="1"/>
  <c r="E25" i="8"/>
  <c r="E7" i="8" s="1"/>
  <c r="W24" i="8"/>
  <c r="E24" i="8"/>
  <c r="W23" i="8"/>
  <c r="E23" i="8"/>
  <c r="E5" i="8" s="1"/>
  <c r="U13" i="8"/>
  <c r="C13" i="8"/>
  <c r="AJ10" i="8"/>
  <c r="R10" i="8"/>
  <c r="Q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E8" i="8"/>
  <c r="AJ7" i="8"/>
  <c r="AI7" i="8"/>
  <c r="AI10" i="8" s="1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I5" i="8"/>
  <c r="AH5" i="8"/>
  <c r="AH10" i="8" s="1"/>
  <c r="AB5" i="8"/>
  <c r="AA5" i="8"/>
  <c r="Z5" i="8"/>
  <c r="Y5" i="8"/>
  <c r="X5" i="8"/>
  <c r="W5" i="8"/>
  <c r="R5" i="8"/>
  <c r="Q5" i="8"/>
  <c r="P5" i="8"/>
  <c r="P10" i="8" s="1"/>
  <c r="J5" i="8"/>
  <c r="I5" i="8"/>
  <c r="H5" i="8"/>
  <c r="G5" i="8"/>
  <c r="F5" i="8"/>
  <c r="AL2" i="8"/>
  <c r="U2" i="8"/>
  <c r="T2" i="8"/>
  <c r="C2" i="8"/>
  <c r="AB654" i="7"/>
  <c r="Z654" i="7"/>
  <c r="Y654" i="7"/>
  <c r="X654" i="7"/>
  <c r="H654" i="7"/>
  <c r="G654" i="7"/>
  <c r="F654" i="7"/>
  <c r="AA653" i="7"/>
  <c r="Z653" i="7"/>
  <c r="I653" i="7"/>
  <c r="H653" i="7"/>
  <c r="G653" i="7"/>
  <c r="F653" i="7"/>
  <c r="AB652" i="7"/>
  <c r="AA652" i="7"/>
  <c r="Z652" i="7"/>
  <c r="Y652" i="7"/>
  <c r="G652" i="7"/>
  <c r="AB651" i="7"/>
  <c r="AA651" i="7"/>
  <c r="Z651" i="7"/>
  <c r="J651" i="7"/>
  <c r="I651" i="7"/>
  <c r="H651" i="7"/>
  <c r="F651" i="7"/>
  <c r="AB649" i="7"/>
  <c r="AA649" i="7"/>
  <c r="AA654" i="7" s="1"/>
  <c r="Z649" i="7"/>
  <c r="Y649" i="7"/>
  <c r="X649" i="7"/>
  <c r="J649" i="7"/>
  <c r="J654" i="7" s="1"/>
  <c r="I649" i="7"/>
  <c r="I654" i="7" s="1"/>
  <c r="H649" i="7"/>
  <c r="G649" i="7"/>
  <c r="F649" i="7"/>
  <c r="AB648" i="7"/>
  <c r="AB653" i="7" s="1"/>
  <c r="AA648" i="7"/>
  <c r="Z648" i="7"/>
  <c r="Y648" i="7"/>
  <c r="X648" i="7"/>
  <c r="J648" i="7"/>
  <c r="J653" i="7" s="1"/>
  <c r="I648" i="7"/>
  <c r="H648" i="7"/>
  <c r="G648" i="7"/>
  <c r="F648" i="7"/>
  <c r="AB647" i="7"/>
  <c r="AA647" i="7"/>
  <c r="Z647" i="7"/>
  <c r="Y647" i="7"/>
  <c r="X647" i="7"/>
  <c r="X652" i="7" s="1"/>
  <c r="J647" i="7"/>
  <c r="J652" i="7" s="1"/>
  <c r="I647" i="7"/>
  <c r="H647" i="7"/>
  <c r="H652" i="7" s="1"/>
  <c r="G647" i="7"/>
  <c r="F647" i="7"/>
  <c r="F652" i="7" s="1"/>
  <c r="AB646" i="7"/>
  <c r="AA646" i="7"/>
  <c r="Z646" i="7"/>
  <c r="Y646" i="7"/>
  <c r="Y651" i="7" s="1"/>
  <c r="X646" i="7"/>
  <c r="X651" i="7" s="1"/>
  <c r="J646" i="7"/>
  <c r="I646" i="7"/>
  <c r="H646" i="7"/>
  <c r="G646" i="7"/>
  <c r="G651" i="7" s="1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Y653" i="7" s="1"/>
  <c r="X643" i="7"/>
  <c r="X653" i="7" s="1"/>
  <c r="J643" i="7"/>
  <c r="I643" i="7"/>
  <c r="H643" i="7"/>
  <c r="G643" i="7"/>
  <c r="F643" i="7"/>
  <c r="AB642" i="7"/>
  <c r="AA642" i="7"/>
  <c r="Z642" i="7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E25" i="7"/>
  <c r="W24" i="7"/>
  <c r="E24" i="7"/>
  <c r="W23" i="7"/>
  <c r="W5" i="7" s="1"/>
  <c r="E23" i="7"/>
  <c r="U13" i="7"/>
  <c r="C13" i="7"/>
  <c r="AJ10" i="7"/>
  <c r="AJ8" i="7"/>
  <c r="AI8" i="7"/>
  <c r="AH8" i="7"/>
  <c r="AH10" i="7" s="1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P7" i="7"/>
  <c r="P10" i="7" s="1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I5" i="7"/>
  <c r="AH5" i="7"/>
  <c r="AB5" i="7"/>
  <c r="AA5" i="7"/>
  <c r="Z5" i="7"/>
  <c r="Y5" i="7"/>
  <c r="X5" i="7"/>
  <c r="R5" i="7"/>
  <c r="R10" i="7" s="1"/>
  <c r="Q5" i="7"/>
  <c r="Q10" i="7" s="1"/>
  <c r="P5" i="7"/>
  <c r="J5" i="7"/>
  <c r="I5" i="7"/>
  <c r="H5" i="7"/>
  <c r="G5" i="7"/>
  <c r="F5" i="7"/>
  <c r="E5" i="7"/>
  <c r="AL2" i="7"/>
  <c r="U2" i="7"/>
  <c r="T2" i="7"/>
  <c r="C2" i="7"/>
  <c r="M112" i="6"/>
  <c r="L112" i="6"/>
  <c r="F109" i="6"/>
  <c r="B109" i="6"/>
  <c r="B108" i="6"/>
  <c r="F107" i="6"/>
  <c r="F108" i="6" s="1"/>
  <c r="B107" i="6"/>
  <c r="F106" i="6"/>
  <c r="B106" i="6"/>
  <c r="L103" i="6"/>
  <c r="M105" i="6" s="1"/>
  <c r="F103" i="6"/>
  <c r="M101" i="6"/>
  <c r="L101" i="6"/>
  <c r="F97" i="6"/>
  <c r="F98" i="6" s="1"/>
  <c r="F96" i="6"/>
  <c r="B96" i="6"/>
  <c r="F95" i="6"/>
  <c r="B95" i="6"/>
  <c r="M94" i="6"/>
  <c r="L92" i="6"/>
  <c r="F92" i="6"/>
  <c r="M90" i="6"/>
  <c r="L90" i="6"/>
  <c r="F87" i="6"/>
  <c r="B86" i="6"/>
  <c r="B85" i="6"/>
  <c r="F84" i="6"/>
  <c r="F85" i="6" s="1"/>
  <c r="F86" i="6" s="1"/>
  <c r="B84" i="6"/>
  <c r="L81" i="6"/>
  <c r="M83" i="6" s="1"/>
  <c r="F81" i="6"/>
  <c r="M79" i="6"/>
  <c r="L79" i="6"/>
  <c r="B76" i="6"/>
  <c r="B75" i="6"/>
  <c r="B74" i="6"/>
  <c r="F73" i="6"/>
  <c r="F74" i="6" s="1"/>
  <c r="F75" i="6" s="1"/>
  <c r="F76" i="6" s="1"/>
  <c r="B73" i="6"/>
  <c r="M72" i="6"/>
  <c r="L70" i="6"/>
  <c r="F70" i="6"/>
  <c r="M68" i="6"/>
  <c r="L68" i="6"/>
  <c r="F65" i="6"/>
  <c r="B65" i="6"/>
  <c r="F64" i="6"/>
  <c r="B64" i="6"/>
  <c r="F63" i="6"/>
  <c r="B63" i="6"/>
  <c r="F62" i="6"/>
  <c r="B62" i="6"/>
  <c r="M61" i="6"/>
  <c r="L59" i="6"/>
  <c r="F59" i="6"/>
  <c r="M57" i="6"/>
  <c r="L57" i="6"/>
  <c r="B52" i="6"/>
  <c r="F51" i="6"/>
  <c r="F52" i="6" s="1"/>
  <c r="F53" i="6" s="1"/>
  <c r="F54" i="6" s="1"/>
  <c r="B51" i="6"/>
  <c r="M50" i="6"/>
  <c r="L48" i="6"/>
  <c r="F48" i="6"/>
  <c r="M46" i="6"/>
  <c r="L46" i="6"/>
  <c r="B42" i="6"/>
  <c r="F41" i="6"/>
  <c r="F42" i="6" s="1"/>
  <c r="F43" i="6" s="1"/>
  <c r="B41" i="6"/>
  <c r="F40" i="6"/>
  <c r="B40" i="6"/>
  <c r="L37" i="6"/>
  <c r="M39" i="6" s="1"/>
  <c r="F37" i="6"/>
  <c r="M35" i="6"/>
  <c r="L35" i="6"/>
  <c r="F31" i="6"/>
  <c r="F32" i="6" s="1"/>
  <c r="B30" i="6"/>
  <c r="F29" i="6"/>
  <c r="F30" i="6" s="1"/>
  <c r="B29" i="6"/>
  <c r="M28" i="6"/>
  <c r="L26" i="6"/>
  <c r="F26" i="6"/>
  <c r="M24" i="6"/>
  <c r="L24" i="6"/>
  <c r="B20" i="6"/>
  <c r="B19" i="6"/>
  <c r="F18" i="6"/>
  <c r="F19" i="6" s="1"/>
  <c r="F20" i="6" s="1"/>
  <c r="F21" i="6" s="1"/>
  <c r="B18" i="6"/>
  <c r="M17" i="6"/>
  <c r="L15" i="6"/>
  <c r="F15" i="6"/>
  <c r="M13" i="6"/>
  <c r="L13" i="6"/>
  <c r="F9" i="6"/>
  <c r="F10" i="6" s="1"/>
  <c r="B8" i="6"/>
  <c r="F7" i="6"/>
  <c r="F8" i="6" s="1"/>
  <c r="B7" i="6"/>
  <c r="M6" i="6"/>
  <c r="L6" i="6"/>
  <c r="L4" i="6"/>
  <c r="F4" i="6"/>
  <c r="F2" i="6"/>
  <c r="B2" i="6"/>
  <c r="M112" i="5"/>
  <c r="L112" i="5"/>
  <c r="B108" i="5"/>
  <c r="F107" i="5"/>
  <c r="F108" i="5" s="1"/>
  <c r="F109" i="5" s="1"/>
  <c r="F106" i="5"/>
  <c r="B106" i="5"/>
  <c r="B107" i="5" s="1"/>
  <c r="L103" i="5"/>
  <c r="F103" i="5"/>
  <c r="M101" i="5"/>
  <c r="L101" i="5"/>
  <c r="B97" i="5"/>
  <c r="B96" i="5"/>
  <c r="B95" i="5"/>
  <c r="L94" i="5"/>
  <c r="L92" i="5"/>
  <c r="F92" i="5"/>
  <c r="F95" i="5" s="1"/>
  <c r="F96" i="5" s="1"/>
  <c r="F97" i="5" s="1"/>
  <c r="F98" i="5" s="1"/>
  <c r="M90" i="5"/>
  <c r="L90" i="5"/>
  <c r="B86" i="5"/>
  <c r="F84" i="5"/>
  <c r="F85" i="5" s="1"/>
  <c r="F86" i="5" s="1"/>
  <c r="F87" i="5" s="1"/>
  <c r="B84" i="5"/>
  <c r="B85" i="5" s="1"/>
  <c r="F81" i="5"/>
  <c r="L81" i="5" s="1"/>
  <c r="M79" i="5"/>
  <c r="L79" i="5"/>
  <c r="B75" i="5"/>
  <c r="B74" i="5"/>
  <c r="B73" i="5"/>
  <c r="F70" i="5"/>
  <c r="F73" i="5" s="1"/>
  <c r="F74" i="5" s="1"/>
  <c r="F75" i="5" s="1"/>
  <c r="F76" i="5" s="1"/>
  <c r="M68" i="5"/>
  <c r="L68" i="5"/>
  <c r="B64" i="5"/>
  <c r="B62" i="5"/>
  <c r="B63" i="5" s="1"/>
  <c r="F59" i="5"/>
  <c r="M57" i="5"/>
  <c r="L57" i="5"/>
  <c r="B53" i="5"/>
  <c r="B52" i="5"/>
  <c r="B51" i="5"/>
  <c r="F48" i="5"/>
  <c r="M46" i="5"/>
  <c r="L46" i="5"/>
  <c r="B42" i="5"/>
  <c r="B43" i="5" s="1"/>
  <c r="F40" i="5"/>
  <c r="F41" i="5" s="1"/>
  <c r="F42" i="5" s="1"/>
  <c r="F43" i="5" s="1"/>
  <c r="B40" i="5"/>
  <c r="B41" i="5" s="1"/>
  <c r="F37" i="5"/>
  <c r="L37" i="5" s="1"/>
  <c r="M35" i="5"/>
  <c r="L35" i="5"/>
  <c r="B30" i="5"/>
  <c r="B29" i="5"/>
  <c r="L26" i="5"/>
  <c r="L28" i="5" s="1"/>
  <c r="F26" i="5"/>
  <c r="F29" i="5" s="1"/>
  <c r="F30" i="5" s="1"/>
  <c r="F31" i="5" s="1"/>
  <c r="F32" i="5" s="1"/>
  <c r="M24" i="5"/>
  <c r="L24" i="5"/>
  <c r="B18" i="5"/>
  <c r="B19" i="5" s="1"/>
  <c r="L15" i="5"/>
  <c r="F15" i="5"/>
  <c r="F18" i="5" s="1"/>
  <c r="F19" i="5" s="1"/>
  <c r="F20" i="5" s="1"/>
  <c r="F21" i="5" s="1"/>
  <c r="M13" i="5"/>
  <c r="L13" i="5"/>
  <c r="B8" i="5"/>
  <c r="F7" i="5"/>
  <c r="F8" i="5" s="1"/>
  <c r="F9" i="5" s="1"/>
  <c r="F10" i="5" s="1"/>
  <c r="B7" i="5"/>
  <c r="F4" i="5"/>
  <c r="L4" i="5" s="1"/>
  <c r="L6" i="5" s="1"/>
  <c r="F2" i="5"/>
  <c r="B2" i="5"/>
  <c r="M112" i="4"/>
  <c r="L112" i="4"/>
  <c r="F109" i="4"/>
  <c r="F108" i="4"/>
  <c r="B107" i="4"/>
  <c r="F106" i="4"/>
  <c r="F107" i="4" s="1"/>
  <c r="B106" i="4"/>
  <c r="L103" i="4"/>
  <c r="F103" i="4"/>
  <c r="M101" i="4"/>
  <c r="L101" i="4"/>
  <c r="B97" i="4"/>
  <c r="B96" i="4"/>
  <c r="F95" i="4"/>
  <c r="F96" i="4" s="1"/>
  <c r="F97" i="4" s="1"/>
  <c r="F98" i="4" s="1"/>
  <c r="B95" i="4"/>
  <c r="F92" i="4"/>
  <c r="L92" i="4" s="1"/>
  <c r="M94" i="4" s="1"/>
  <c r="M90" i="4"/>
  <c r="L90" i="4"/>
  <c r="B87" i="4"/>
  <c r="B86" i="4"/>
  <c r="B85" i="4"/>
  <c r="F84" i="4"/>
  <c r="F85" i="4" s="1"/>
  <c r="F86" i="4" s="1"/>
  <c r="F87" i="4" s="1"/>
  <c r="B84" i="4"/>
  <c r="M83" i="4"/>
  <c r="L83" i="4"/>
  <c r="L81" i="4"/>
  <c r="F81" i="4"/>
  <c r="M79" i="4"/>
  <c r="L79" i="4"/>
  <c r="B75" i="4"/>
  <c r="B74" i="4"/>
  <c r="F73" i="4"/>
  <c r="F74" i="4" s="1"/>
  <c r="F75" i="4" s="1"/>
  <c r="F76" i="4" s="1"/>
  <c r="B73" i="4"/>
  <c r="F70" i="4"/>
  <c r="L70" i="4" s="1"/>
  <c r="M72" i="4" s="1"/>
  <c r="M68" i="4"/>
  <c r="L68" i="4"/>
  <c r="B65" i="4"/>
  <c r="B63" i="4"/>
  <c r="B64" i="4" s="1"/>
  <c r="F62" i="4"/>
  <c r="F63" i="4" s="1"/>
  <c r="F64" i="4" s="1"/>
  <c r="F65" i="4" s="1"/>
  <c r="B62" i="4"/>
  <c r="L59" i="4"/>
  <c r="F59" i="4"/>
  <c r="M57" i="4"/>
  <c r="L57" i="4"/>
  <c r="F52" i="4"/>
  <c r="F53" i="4" s="1"/>
  <c r="F54" i="4" s="1"/>
  <c r="B52" i="4"/>
  <c r="B53" i="4" s="1"/>
  <c r="B51" i="4"/>
  <c r="M50" i="4"/>
  <c r="L48" i="4"/>
  <c r="F48" i="4"/>
  <c r="F51" i="4" s="1"/>
  <c r="M46" i="4"/>
  <c r="L46" i="4"/>
  <c r="B43" i="4"/>
  <c r="B41" i="4"/>
  <c r="B42" i="4" s="1"/>
  <c r="F40" i="4"/>
  <c r="F41" i="4" s="1"/>
  <c r="F42" i="4" s="1"/>
  <c r="F43" i="4" s="1"/>
  <c r="B40" i="4"/>
  <c r="L37" i="4"/>
  <c r="F37" i="4"/>
  <c r="M35" i="4"/>
  <c r="L35" i="4"/>
  <c r="B30" i="4"/>
  <c r="B31" i="4" s="1"/>
  <c r="B29" i="4"/>
  <c r="M28" i="4"/>
  <c r="L26" i="4"/>
  <c r="F26" i="4"/>
  <c r="F29" i="4" s="1"/>
  <c r="F30" i="4" s="1"/>
  <c r="F31" i="4" s="1"/>
  <c r="F32" i="4" s="1"/>
  <c r="M24" i="4"/>
  <c r="L24" i="4"/>
  <c r="B19" i="4"/>
  <c r="B20" i="4" s="1"/>
  <c r="F18" i="4"/>
  <c r="F19" i="4" s="1"/>
  <c r="F20" i="4" s="1"/>
  <c r="F21" i="4" s="1"/>
  <c r="B18" i="4"/>
  <c r="L15" i="4"/>
  <c r="F15" i="4"/>
  <c r="M13" i="4"/>
  <c r="L13" i="4"/>
  <c r="F8" i="4"/>
  <c r="F9" i="4" s="1"/>
  <c r="F10" i="4" s="1"/>
  <c r="B8" i="4"/>
  <c r="B9" i="4" s="1"/>
  <c r="B7" i="4"/>
  <c r="M6" i="4"/>
  <c r="L4" i="4"/>
  <c r="F4" i="4"/>
  <c r="F7" i="4" s="1"/>
  <c r="F2" i="4"/>
  <c r="B2" i="4"/>
  <c r="M112" i="3"/>
  <c r="L112" i="3"/>
  <c r="F109" i="3"/>
  <c r="F107" i="3"/>
  <c r="F108" i="3" s="1"/>
  <c r="B107" i="3"/>
  <c r="F106" i="3"/>
  <c r="B106" i="3"/>
  <c r="M105" i="3"/>
  <c r="L103" i="3"/>
  <c r="F103" i="3"/>
  <c r="M101" i="3"/>
  <c r="L101" i="3"/>
  <c r="B96" i="3"/>
  <c r="B95" i="3"/>
  <c r="F92" i="3"/>
  <c r="M90" i="3"/>
  <c r="L90" i="3"/>
  <c r="F85" i="3"/>
  <c r="F86" i="3" s="1"/>
  <c r="F87" i="3" s="1"/>
  <c r="B85" i="3"/>
  <c r="F84" i="3"/>
  <c r="B84" i="3"/>
  <c r="M83" i="3"/>
  <c r="L81" i="3"/>
  <c r="F81" i="3"/>
  <c r="M79" i="3"/>
  <c r="L79" i="3"/>
  <c r="B74" i="3"/>
  <c r="B73" i="3"/>
  <c r="F70" i="3"/>
  <c r="M68" i="3"/>
  <c r="L68" i="3"/>
  <c r="F65" i="3"/>
  <c r="F63" i="3"/>
  <c r="F64" i="3" s="1"/>
  <c r="B63" i="3"/>
  <c r="F62" i="3"/>
  <c r="B62" i="3"/>
  <c r="M61" i="3"/>
  <c r="L59" i="3"/>
  <c r="F59" i="3"/>
  <c r="M57" i="3"/>
  <c r="L57" i="3"/>
  <c r="B52" i="3"/>
  <c r="B51" i="3"/>
  <c r="F48" i="3"/>
  <c r="M46" i="3"/>
  <c r="L46" i="3"/>
  <c r="F41" i="3"/>
  <c r="F42" i="3" s="1"/>
  <c r="F43" i="3" s="1"/>
  <c r="B41" i="3"/>
  <c r="F40" i="3"/>
  <c r="B40" i="3"/>
  <c r="M39" i="3"/>
  <c r="L37" i="3"/>
  <c r="F37" i="3"/>
  <c r="M35" i="3"/>
  <c r="L35" i="3"/>
  <c r="B30" i="3"/>
  <c r="B29" i="3"/>
  <c r="F26" i="3"/>
  <c r="M24" i="3"/>
  <c r="L24" i="3"/>
  <c r="F19" i="3"/>
  <c r="F20" i="3" s="1"/>
  <c r="F21" i="3" s="1"/>
  <c r="B19" i="3"/>
  <c r="F18" i="3"/>
  <c r="B18" i="3"/>
  <c r="M17" i="3"/>
  <c r="L15" i="3"/>
  <c r="F15" i="3"/>
  <c r="M13" i="3"/>
  <c r="L13" i="3"/>
  <c r="B8" i="3"/>
  <c r="B7" i="3"/>
  <c r="F4" i="3"/>
  <c r="F2" i="3"/>
  <c r="B2" i="3"/>
  <c r="M112" i="2"/>
  <c r="L112" i="2"/>
  <c r="B109" i="2"/>
  <c r="B108" i="2"/>
  <c r="F107" i="2"/>
  <c r="F108" i="2" s="1"/>
  <c r="F109" i="2" s="1"/>
  <c r="B107" i="2"/>
  <c r="F106" i="2"/>
  <c r="B106" i="2"/>
  <c r="L103" i="2"/>
  <c r="M105" i="2" s="1"/>
  <c r="F103" i="2"/>
  <c r="M101" i="2"/>
  <c r="L101" i="2"/>
  <c r="B96" i="2"/>
  <c r="B97" i="2" s="1"/>
  <c r="B95" i="2"/>
  <c r="L94" i="2"/>
  <c r="L92" i="2"/>
  <c r="M94" i="2" s="1"/>
  <c r="F92" i="2"/>
  <c r="F95" i="2" s="1"/>
  <c r="F96" i="2" s="1"/>
  <c r="F97" i="2" s="1"/>
  <c r="F98" i="2" s="1"/>
  <c r="M90" i="2"/>
  <c r="L90" i="2"/>
  <c r="B86" i="2"/>
  <c r="F85" i="2"/>
  <c r="F86" i="2" s="1"/>
  <c r="F87" i="2" s="1"/>
  <c r="B85" i="2"/>
  <c r="F84" i="2"/>
  <c r="B84" i="2"/>
  <c r="L83" i="2"/>
  <c r="L81" i="2"/>
  <c r="M83" i="2" s="1"/>
  <c r="F81" i="2"/>
  <c r="M79" i="2"/>
  <c r="L79" i="2"/>
  <c r="B76" i="2"/>
  <c r="F74" i="2"/>
  <c r="F75" i="2" s="1"/>
  <c r="F76" i="2" s="1"/>
  <c r="B74" i="2"/>
  <c r="B75" i="2" s="1"/>
  <c r="B73" i="2"/>
  <c r="L70" i="2"/>
  <c r="M72" i="2" s="1"/>
  <c r="F70" i="2"/>
  <c r="F73" i="2" s="1"/>
  <c r="M68" i="2"/>
  <c r="L68" i="2"/>
  <c r="B64" i="2"/>
  <c r="F63" i="2"/>
  <c r="F64" i="2" s="1"/>
  <c r="F65" i="2" s="1"/>
  <c r="B63" i="2"/>
  <c r="F62" i="2"/>
  <c r="B62" i="2"/>
  <c r="L59" i="2"/>
  <c r="M61" i="2" s="1"/>
  <c r="F59" i="2"/>
  <c r="M57" i="2"/>
  <c r="L57" i="2"/>
  <c r="F52" i="2"/>
  <c r="F53" i="2" s="1"/>
  <c r="F54" i="2" s="1"/>
  <c r="B52" i="2"/>
  <c r="B53" i="2" s="1"/>
  <c r="B54" i="2" s="1"/>
  <c r="B51" i="2"/>
  <c r="F48" i="2"/>
  <c r="F51" i="2" s="1"/>
  <c r="M46" i="2"/>
  <c r="L46" i="2"/>
  <c r="B42" i="2"/>
  <c r="F41" i="2"/>
  <c r="F42" i="2" s="1"/>
  <c r="F43" i="2" s="1"/>
  <c r="B41" i="2"/>
  <c r="F40" i="2"/>
  <c r="B40" i="2"/>
  <c r="L39" i="2"/>
  <c r="L37" i="2"/>
  <c r="M39" i="2" s="1"/>
  <c r="F37" i="2"/>
  <c r="M35" i="2"/>
  <c r="L35" i="2"/>
  <c r="F30" i="2"/>
  <c r="F31" i="2" s="1"/>
  <c r="F32" i="2" s="1"/>
  <c r="B30" i="2"/>
  <c r="B31" i="2" s="1"/>
  <c r="B29" i="2"/>
  <c r="L26" i="2"/>
  <c r="M28" i="2" s="1"/>
  <c r="F26" i="2"/>
  <c r="F29" i="2" s="1"/>
  <c r="M24" i="2"/>
  <c r="L24" i="2"/>
  <c r="B21" i="2"/>
  <c r="B20" i="2"/>
  <c r="F19" i="2"/>
  <c r="F20" i="2" s="1"/>
  <c r="F21" i="2" s="1"/>
  <c r="B19" i="2"/>
  <c r="F18" i="2"/>
  <c r="B18" i="2"/>
  <c r="L17" i="2"/>
  <c r="L15" i="2"/>
  <c r="M17" i="2" s="1"/>
  <c r="F15" i="2"/>
  <c r="M13" i="2"/>
  <c r="L13" i="2"/>
  <c r="B10" i="2"/>
  <c r="B8" i="2"/>
  <c r="B9" i="2" s="1"/>
  <c r="B7" i="2"/>
  <c r="F4" i="2"/>
  <c r="F7" i="2" s="1"/>
  <c r="F8" i="2" s="1"/>
  <c r="F9" i="2" s="1"/>
  <c r="F10" i="2" s="1"/>
  <c r="F2" i="2"/>
  <c r="B2" i="2"/>
  <c r="AN5" i="7"/>
  <c r="AM5" i="7"/>
  <c r="AQ5" i="8"/>
  <c r="AP5" i="8"/>
  <c r="AO5" i="8"/>
  <c r="AN5" i="8"/>
  <c r="AM5" i="8"/>
  <c r="AQ5" i="9"/>
  <c r="AP5" i="9"/>
  <c r="AO5" i="9"/>
  <c r="AQ5" i="10"/>
  <c r="AN5" i="9"/>
  <c r="AP5" i="10"/>
  <c r="AM5" i="9"/>
  <c r="AO5" i="10"/>
  <c r="AP5" i="7"/>
  <c r="AN5" i="10"/>
  <c r="AO5" i="7"/>
  <c r="AM5" i="10"/>
  <c r="AQ5" i="7"/>
  <c r="M108" i="6"/>
  <c r="D84" i="5"/>
  <c r="L85" i="4"/>
  <c r="B10" i="1"/>
  <c r="H51" i="5"/>
  <c r="M106" i="5"/>
  <c r="M95" i="5"/>
  <c r="E16" i="1"/>
  <c r="D63" i="6"/>
  <c r="M29" i="3"/>
  <c r="L86" i="2"/>
  <c r="D18" i="2"/>
  <c r="H63" i="5"/>
  <c r="D41" i="5"/>
  <c r="H95" i="6"/>
  <c r="L62" i="5"/>
  <c r="H29" i="4"/>
  <c r="L41" i="6"/>
  <c r="H84" i="4"/>
  <c r="M107" i="6"/>
  <c r="G10" i="1"/>
  <c r="B9" i="1"/>
  <c r="D74" i="5"/>
  <c r="L95" i="5"/>
  <c r="H19" i="6"/>
  <c r="M62" i="3"/>
  <c r="D29" i="6"/>
  <c r="H62" i="5"/>
  <c r="H73" i="6"/>
  <c r="L73" i="5"/>
  <c r="M106" i="2"/>
  <c r="L109" i="6"/>
  <c r="L84" i="4"/>
  <c r="D40" i="5"/>
  <c r="L64" i="5"/>
  <c r="G11" i="1"/>
  <c r="L7" i="6"/>
  <c r="D51" i="5"/>
  <c r="D20" i="2"/>
  <c r="B18" i="1"/>
  <c r="D19" i="3"/>
  <c r="D12" i="1"/>
  <c r="M40" i="2"/>
  <c r="D9" i="1"/>
  <c r="L63" i="4"/>
  <c r="M74" i="2"/>
  <c r="L9" i="4"/>
  <c r="H63" i="6"/>
  <c r="M106" i="6"/>
  <c r="M40" i="4"/>
  <c r="H108" i="6"/>
  <c r="D10" i="1"/>
  <c r="F14" i="1"/>
  <c r="H75" i="6"/>
  <c r="H84" i="6"/>
  <c r="D64" i="5"/>
  <c r="M86" i="4"/>
  <c r="H7" i="5"/>
  <c r="D106" i="6"/>
  <c r="L87" i="4"/>
  <c r="D41" i="4"/>
  <c r="D95" i="4"/>
  <c r="L62" i="4"/>
  <c r="M84" i="2"/>
  <c r="D40" i="6"/>
  <c r="F18" i="1"/>
  <c r="L29" i="5"/>
  <c r="D29" i="5"/>
  <c r="D84" i="6"/>
  <c r="M18" i="3"/>
  <c r="D19" i="2"/>
  <c r="M7" i="2"/>
  <c r="D7" i="3"/>
  <c r="D62" i="2"/>
  <c r="D29" i="3"/>
  <c r="F13" i="1"/>
  <c r="L95" i="4"/>
  <c r="P98" i="4" s="1"/>
  <c r="B12" i="1"/>
  <c r="M51" i="3"/>
  <c r="L41" i="4"/>
  <c r="D73" i="4"/>
  <c r="L40" i="4"/>
  <c r="M62" i="2"/>
  <c r="L18" i="6"/>
  <c r="H13" i="1"/>
  <c r="H51" i="4"/>
  <c r="H73" i="4"/>
  <c r="M62" i="6"/>
  <c r="L108" i="2"/>
  <c r="L75" i="6"/>
  <c r="L19" i="6"/>
  <c r="F17" i="1"/>
  <c r="H29" i="2"/>
  <c r="D74" i="3"/>
  <c r="H85" i="2"/>
  <c r="L106" i="4"/>
  <c r="L18" i="5"/>
  <c r="H74" i="2"/>
  <c r="H52" i="2"/>
  <c r="M30" i="2"/>
  <c r="L84" i="5"/>
  <c r="P87" i="5" s="1"/>
  <c r="L18" i="4"/>
  <c r="M97" i="4"/>
  <c r="E17" i="1"/>
  <c r="F15" i="1"/>
  <c r="G12" i="1"/>
  <c r="H29" i="6"/>
  <c r="M85" i="6"/>
  <c r="E15" i="1"/>
  <c r="M18" i="2"/>
  <c r="M41" i="5"/>
  <c r="E18" i="1"/>
  <c r="H7" i="4"/>
  <c r="L19" i="4"/>
  <c r="D95" i="5"/>
  <c r="P95" i="5" s="1"/>
  <c r="H41" i="2"/>
  <c r="D64" i="4"/>
  <c r="M52" i="2"/>
  <c r="H107" i="5"/>
  <c r="M63" i="5"/>
  <c r="H14" i="1"/>
  <c r="H73" i="2"/>
  <c r="M75" i="6"/>
  <c r="D63" i="5"/>
  <c r="M62" i="5"/>
  <c r="D95" i="6"/>
  <c r="H73" i="5"/>
  <c r="M76" i="6"/>
  <c r="H9" i="1"/>
  <c r="H7" i="6"/>
  <c r="H85" i="5"/>
  <c r="L73" i="6"/>
  <c r="M7" i="5"/>
  <c r="L31" i="4"/>
  <c r="L20" i="6"/>
  <c r="M62" i="4"/>
  <c r="L7" i="3"/>
  <c r="L63" i="5"/>
  <c r="L85" i="6"/>
  <c r="L107" i="5"/>
  <c r="H95" i="5"/>
  <c r="P98" i="5" s="1"/>
  <c r="D63" i="4"/>
  <c r="M73" i="3"/>
  <c r="H63" i="2"/>
  <c r="B14" i="1"/>
  <c r="M18" i="6"/>
  <c r="G13" i="1"/>
  <c r="M73" i="2"/>
  <c r="L40" i="6"/>
  <c r="H86" i="4"/>
  <c r="M52" i="4"/>
  <c r="H106" i="2"/>
  <c r="D107" i="5"/>
  <c r="D74" i="6"/>
  <c r="H11" i="1"/>
  <c r="L107" i="2"/>
  <c r="D11" i="1"/>
  <c r="D41" i="6"/>
  <c r="D109" i="6"/>
  <c r="D85" i="2"/>
  <c r="M76" i="2"/>
  <c r="M84" i="6"/>
  <c r="D19" i="6"/>
  <c r="H106" i="3"/>
  <c r="E14" i="1"/>
  <c r="M7" i="4"/>
  <c r="D17" i="1"/>
  <c r="H87" i="4"/>
  <c r="D16" i="1"/>
  <c r="D41" i="2"/>
  <c r="L42" i="4"/>
  <c r="L29" i="3"/>
  <c r="L42" i="5"/>
  <c r="D95" i="3"/>
  <c r="H62" i="6"/>
  <c r="H62" i="4"/>
  <c r="H84" i="3"/>
  <c r="G9" i="1"/>
  <c r="H17" i="1"/>
  <c r="F12" i="1"/>
  <c r="M107" i="2"/>
  <c r="F11" i="1"/>
  <c r="H8" i="2"/>
  <c r="H9" i="4"/>
  <c r="D8" i="3"/>
  <c r="H74" i="4"/>
  <c r="H95" i="2"/>
  <c r="L84" i="6"/>
  <c r="H40" i="4"/>
  <c r="H62" i="3"/>
  <c r="H76" i="6"/>
  <c r="D13" i="1"/>
  <c r="D107" i="6"/>
  <c r="D95" i="2"/>
  <c r="H106" i="6"/>
  <c r="B11" i="1"/>
  <c r="M73" i="5"/>
  <c r="D63" i="2"/>
  <c r="M96" i="2"/>
  <c r="M29" i="2"/>
  <c r="D106" i="4"/>
  <c r="P106" i="4" s="1"/>
  <c r="H18" i="4"/>
  <c r="H40" i="3"/>
  <c r="M7" i="6"/>
  <c r="L29" i="4"/>
  <c r="L63" i="6"/>
  <c r="M85" i="2"/>
  <c r="D73" i="6"/>
  <c r="L64" i="4"/>
  <c r="D7" i="5"/>
  <c r="D63" i="3"/>
  <c r="H15" i="1"/>
  <c r="E13" i="1"/>
  <c r="D84" i="4"/>
  <c r="B15" i="1"/>
  <c r="H18" i="3"/>
  <c r="D108" i="5"/>
  <c r="L74" i="6"/>
  <c r="H106" i="5"/>
  <c r="D73" i="2"/>
  <c r="L62" i="6"/>
  <c r="H31" i="4"/>
  <c r="M63" i="3"/>
  <c r="H51" i="2"/>
  <c r="H96" i="2"/>
  <c r="D62" i="5"/>
  <c r="D62" i="6"/>
  <c r="E10" i="1"/>
  <c r="L106" i="2"/>
  <c r="M51" i="5"/>
  <c r="H40" i="5"/>
  <c r="D51" i="4"/>
  <c r="M63" i="2"/>
  <c r="H41" i="6"/>
  <c r="L73" i="3"/>
  <c r="M19" i="6"/>
  <c r="G18" i="1"/>
  <c r="G15" i="1"/>
  <c r="L95" i="3"/>
  <c r="P98" i="3" s="1"/>
  <c r="H74" i="6"/>
  <c r="H40" i="6"/>
  <c r="L84" i="2"/>
  <c r="H41" i="5"/>
  <c r="L51" i="4"/>
  <c r="P54" i="4" s="1"/>
  <c r="D29" i="4"/>
  <c r="D51" i="2"/>
  <c r="M84" i="5"/>
  <c r="P84" i="5" s="1"/>
  <c r="D52" i="3"/>
  <c r="D30" i="5"/>
  <c r="L108" i="6"/>
  <c r="M64" i="6"/>
  <c r="L86" i="4"/>
  <c r="M95" i="6"/>
  <c r="L51" i="6"/>
  <c r="L108" i="5"/>
  <c r="L62" i="2"/>
  <c r="H95" i="4"/>
  <c r="L7" i="4"/>
  <c r="D7" i="4"/>
  <c r="M41" i="2"/>
  <c r="D18" i="5"/>
  <c r="H10" i="1"/>
  <c r="M106" i="3"/>
  <c r="M51" i="2"/>
  <c r="D106" i="5"/>
  <c r="M18" i="4"/>
  <c r="M73" i="6"/>
  <c r="M95" i="4"/>
  <c r="P95" i="4" s="1"/>
  <c r="D73" i="5"/>
  <c r="L40" i="2"/>
  <c r="H18" i="1"/>
  <c r="G17" i="1"/>
  <c r="B17" i="1"/>
  <c r="D29" i="2"/>
  <c r="L7" i="5"/>
  <c r="D107" i="2"/>
  <c r="L51" i="3"/>
  <c r="D18" i="1"/>
  <c r="H53" i="4"/>
  <c r="M95" i="2"/>
  <c r="M51" i="6"/>
  <c r="M73" i="4"/>
  <c r="D42" i="5"/>
  <c r="L18" i="2"/>
  <c r="D14" i="1"/>
  <c r="B13" i="1"/>
  <c r="E12" i="1"/>
  <c r="M19" i="2"/>
  <c r="M30" i="4"/>
  <c r="D19" i="4"/>
  <c r="H16" i="1"/>
  <c r="M42" i="5"/>
  <c r="M18" i="5"/>
  <c r="D96" i="5"/>
  <c r="D85" i="6"/>
  <c r="D18" i="4"/>
  <c r="L85" i="2"/>
  <c r="M8" i="4"/>
  <c r="L63" i="2"/>
  <c r="H30" i="2"/>
  <c r="M107" i="3"/>
  <c r="D40" i="2"/>
  <c r="H107" i="6"/>
  <c r="G14" i="1"/>
  <c r="L41" i="2"/>
  <c r="G16" i="1"/>
  <c r="M29" i="4"/>
  <c r="D51" i="3"/>
  <c r="P51" i="3" s="1"/>
  <c r="L41" i="5"/>
  <c r="L19" i="2"/>
  <c r="H51" i="6"/>
  <c r="H84" i="2"/>
  <c r="B16" i="1"/>
  <c r="M40" i="3"/>
  <c r="H62" i="2"/>
  <c r="E11" i="1"/>
  <c r="M107" i="5"/>
  <c r="H84" i="5"/>
  <c r="H40" i="2"/>
  <c r="M8" i="2"/>
  <c r="M95" i="3"/>
  <c r="P95" i="3" s="1"/>
  <c r="M96" i="5"/>
  <c r="H18" i="2"/>
  <c r="D7" i="6"/>
  <c r="D64" i="6"/>
  <c r="F9" i="1"/>
  <c r="M74" i="6"/>
  <c r="D73" i="3"/>
  <c r="P73" i="3" s="1"/>
  <c r="M40" i="5"/>
  <c r="H85" i="6"/>
  <c r="M29" i="6"/>
  <c r="L51" i="5"/>
  <c r="M106" i="4"/>
  <c r="M63" i="6"/>
  <c r="H7" i="2"/>
  <c r="L106" i="5"/>
  <c r="M84" i="4"/>
  <c r="M29" i="5"/>
  <c r="D15" i="1"/>
  <c r="H52" i="6"/>
  <c r="H19" i="2"/>
  <c r="F10" i="1"/>
  <c r="F16" i="1"/>
  <c r="D18" i="6"/>
  <c r="M40" i="6"/>
  <c r="L106" i="6"/>
  <c r="H96" i="4"/>
  <c r="L29" i="6"/>
  <c r="L95" i="6"/>
  <c r="D42" i="4"/>
  <c r="D51" i="6"/>
  <c r="H29" i="5"/>
  <c r="D30" i="3"/>
  <c r="D96" i="4"/>
  <c r="L73" i="4"/>
  <c r="D106" i="2"/>
  <c r="H106" i="4"/>
  <c r="P109" i="4" s="1"/>
  <c r="M41" i="6"/>
  <c r="M84" i="3"/>
  <c r="D62" i="4"/>
  <c r="H18" i="5"/>
  <c r="M7" i="3"/>
  <c r="H107" i="2"/>
  <c r="E9" i="1"/>
  <c r="D40" i="4"/>
  <c r="D7" i="2"/>
  <c r="D84" i="2"/>
  <c r="L40" i="5"/>
  <c r="H12" i="1"/>
  <c r="M51" i="4"/>
  <c r="P51" i="4" s="1"/>
  <c r="M85" i="5"/>
  <c r="L107" i="6"/>
  <c r="H18" i="6"/>
  <c r="P84" i="6"/>
  <c r="P87" i="6"/>
  <c r="P76" i="6"/>
  <c r="P73" i="6"/>
  <c r="P87" i="4"/>
  <c r="P84" i="4"/>
  <c r="P65" i="5"/>
  <c r="P62" i="5"/>
  <c r="P65" i="6"/>
  <c r="P62" i="6"/>
  <c r="P62" i="2"/>
  <c r="P65" i="2"/>
  <c r="P76" i="5"/>
  <c r="P73" i="5"/>
  <c r="P51" i="5"/>
  <c r="P54" i="5"/>
  <c r="P106" i="5"/>
  <c r="P109" i="5"/>
  <c r="P106" i="6"/>
  <c r="P109" i="6"/>
  <c r="P95" i="6"/>
  <c r="P98" i="6"/>
  <c r="P73" i="4"/>
  <c r="P76" i="4"/>
  <c r="P109" i="2"/>
  <c r="P106" i="2"/>
  <c r="P65" i="4"/>
  <c r="P62" i="4"/>
  <c r="P87" i="2"/>
  <c r="P84" i="2"/>
  <c r="N18" i="4" l="1"/>
  <c r="J68" i="5"/>
  <c r="J67" i="5"/>
  <c r="J95" i="2"/>
  <c r="J101" i="3"/>
  <c r="J100" i="3"/>
  <c r="N18" i="5"/>
  <c r="N40" i="5"/>
  <c r="J84" i="5"/>
  <c r="N95" i="3"/>
  <c r="J112" i="6"/>
  <c r="J111" i="6"/>
  <c r="N63" i="5"/>
  <c r="J29" i="2"/>
  <c r="J68" i="2"/>
  <c r="J67" i="2"/>
  <c r="J63" i="5"/>
  <c r="N107" i="5"/>
  <c r="J112" i="5"/>
  <c r="J111" i="5"/>
  <c r="J51" i="6"/>
  <c r="N42" i="5"/>
  <c r="J63" i="2"/>
  <c r="N40" i="4"/>
  <c r="J107" i="5"/>
  <c r="N107" i="6"/>
  <c r="J90" i="2"/>
  <c r="J89" i="2"/>
  <c r="N7" i="3"/>
  <c r="J51" i="2"/>
  <c r="J96" i="4"/>
  <c r="J19" i="2"/>
  <c r="J85" i="2"/>
  <c r="N62" i="4"/>
  <c r="J7" i="5"/>
  <c r="J112" i="2"/>
  <c r="J111" i="2"/>
  <c r="N19" i="6"/>
  <c r="N73" i="5"/>
  <c r="N29" i="5"/>
  <c r="J7" i="2"/>
  <c r="J57" i="3"/>
  <c r="J56" i="3"/>
  <c r="N51" i="3"/>
  <c r="N75" i="6"/>
  <c r="J73" i="2"/>
  <c r="J84" i="4"/>
  <c r="J57" i="5"/>
  <c r="J56" i="5"/>
  <c r="N29" i="3"/>
  <c r="H19" i="1"/>
  <c r="J107" i="2"/>
  <c r="J79" i="3"/>
  <c r="J78" i="3"/>
  <c r="N73" i="3"/>
  <c r="N86" i="4"/>
  <c r="J41" i="2"/>
  <c r="N84" i="5"/>
  <c r="J41" i="6"/>
  <c r="J78" i="6"/>
  <c r="J79" i="6"/>
  <c r="J106" i="6"/>
  <c r="N7" i="5"/>
  <c r="J101" i="5"/>
  <c r="J100" i="5"/>
  <c r="N62" i="6"/>
  <c r="J90" i="6"/>
  <c r="J89" i="6"/>
  <c r="N19" i="2"/>
  <c r="N41" i="2"/>
  <c r="J57" i="2"/>
  <c r="J56" i="2"/>
  <c r="N63" i="2"/>
  <c r="J79" i="2"/>
  <c r="J78" i="2"/>
  <c r="N85" i="2"/>
  <c r="J101" i="2"/>
  <c r="J100" i="2"/>
  <c r="N107" i="2"/>
  <c r="J18" i="5"/>
  <c r="N41" i="6"/>
  <c r="J95" i="5"/>
  <c r="J84" i="6"/>
  <c r="N106" i="6"/>
  <c r="J73" i="4"/>
  <c r="N95" i="5"/>
  <c r="J56" i="4"/>
  <c r="J57" i="4"/>
  <c r="J106" i="5"/>
  <c r="J29" i="5"/>
  <c r="N63" i="6"/>
  <c r="J85" i="6"/>
  <c r="J7" i="4"/>
  <c r="J29" i="4"/>
  <c r="J51" i="4"/>
  <c r="N106" i="5"/>
  <c r="J107" i="6"/>
  <c r="J40" i="5"/>
  <c r="N7" i="4"/>
  <c r="N29" i="4"/>
  <c r="N51" i="4"/>
  <c r="N74" i="6"/>
  <c r="J7" i="6"/>
  <c r="J51" i="5"/>
  <c r="J95" i="4"/>
  <c r="J41" i="5"/>
  <c r="N51" i="5"/>
  <c r="N7" i="6"/>
  <c r="J18" i="2"/>
  <c r="J40" i="2"/>
  <c r="J62" i="2"/>
  <c r="J84" i="2"/>
  <c r="J106" i="2"/>
  <c r="J62" i="5"/>
  <c r="N41" i="5"/>
  <c r="J68" i="4"/>
  <c r="J67" i="4"/>
  <c r="N62" i="5"/>
  <c r="J29" i="6"/>
  <c r="D19" i="1"/>
  <c r="N18" i="2"/>
  <c r="N40" i="2"/>
  <c r="N62" i="2"/>
  <c r="N84" i="2"/>
  <c r="N106" i="2"/>
  <c r="J106" i="4"/>
  <c r="J79" i="5"/>
  <c r="J78" i="5"/>
  <c r="J40" i="6"/>
  <c r="E19" i="1"/>
  <c r="J18" i="4"/>
  <c r="J40" i="4"/>
  <c r="J62" i="4"/>
  <c r="N40" i="6"/>
  <c r="F19" i="1"/>
  <c r="J73" i="5"/>
  <c r="J19" i="6"/>
  <c r="G19" i="1"/>
  <c r="J90" i="5"/>
  <c r="J89" i="5"/>
  <c r="J56" i="6"/>
  <c r="J57" i="6"/>
  <c r="N73" i="4"/>
  <c r="N95" i="4"/>
  <c r="J74" i="6"/>
  <c r="J68" i="6"/>
  <c r="J67" i="6"/>
  <c r="J89" i="4"/>
  <c r="J90" i="4"/>
  <c r="J111" i="4"/>
  <c r="J112" i="4"/>
  <c r="J62" i="6"/>
  <c r="N84" i="6"/>
  <c r="N84" i="4"/>
  <c r="N106" i="4"/>
  <c r="J18" i="6"/>
  <c r="N18" i="6"/>
  <c r="J100" i="6"/>
  <c r="J101" i="6"/>
  <c r="J63" i="6"/>
  <c r="N85" i="6"/>
  <c r="J95" i="6"/>
  <c r="J78" i="4"/>
  <c r="J79" i="4"/>
  <c r="J100" i="4"/>
  <c r="J101" i="4"/>
  <c r="J73" i="6"/>
  <c r="N108" i="6"/>
  <c r="N29" i="6"/>
  <c r="N51" i="6"/>
  <c r="N73" i="6"/>
  <c r="N95" i="6"/>
  <c r="B108" i="4"/>
  <c r="L28" i="2"/>
  <c r="L61" i="2"/>
  <c r="L83" i="6"/>
  <c r="B20" i="3"/>
  <c r="B54" i="4"/>
  <c r="B31" i="6"/>
  <c r="B97" i="3"/>
  <c r="L105" i="4"/>
  <c r="L61" i="4"/>
  <c r="L39" i="4"/>
  <c r="L17" i="4"/>
  <c r="L50" i="4"/>
  <c r="L28" i="4"/>
  <c r="L6" i="4"/>
  <c r="L72" i="4"/>
  <c r="L105" i="3"/>
  <c r="L83" i="3"/>
  <c r="L61" i="3"/>
  <c r="L39" i="3"/>
  <c r="L17" i="3"/>
  <c r="L94" i="3"/>
  <c r="L72" i="3"/>
  <c r="L50" i="3"/>
  <c r="L28" i="3"/>
  <c r="M105" i="4"/>
  <c r="B20" i="5"/>
  <c r="B42" i="3"/>
  <c r="B87" i="6"/>
  <c r="F7" i="3"/>
  <c r="F8" i="3" s="1"/>
  <c r="F9" i="3" s="1"/>
  <c r="F10" i="3" s="1"/>
  <c r="L4" i="3"/>
  <c r="M6" i="3" s="1"/>
  <c r="B76" i="4"/>
  <c r="B98" i="2"/>
  <c r="B21" i="4"/>
  <c r="L94" i="4"/>
  <c r="B87" i="5"/>
  <c r="B43" i="2"/>
  <c r="L48" i="2"/>
  <c r="AI10" i="7"/>
  <c r="F95" i="3"/>
  <c r="F96" i="3" s="1"/>
  <c r="F97" i="3" s="1"/>
  <c r="F98" i="3" s="1"/>
  <c r="L92" i="3"/>
  <c r="M94" i="3" s="1"/>
  <c r="B32" i="2"/>
  <c r="B75" i="3"/>
  <c r="B65" i="2"/>
  <c r="B64" i="3"/>
  <c r="B9" i="3"/>
  <c r="F29" i="3"/>
  <c r="F30" i="3" s="1"/>
  <c r="F31" i="3" s="1"/>
  <c r="F32" i="3" s="1"/>
  <c r="L26" i="3"/>
  <c r="M28" i="3" s="1"/>
  <c r="F51" i="5"/>
  <c r="F52" i="5" s="1"/>
  <c r="F53" i="5" s="1"/>
  <c r="F54" i="5" s="1"/>
  <c r="L48" i="5"/>
  <c r="L50" i="5" s="1"/>
  <c r="B10" i="4"/>
  <c r="L4" i="2"/>
  <c r="L105" i="2"/>
  <c r="B86" i="3"/>
  <c r="B31" i="3"/>
  <c r="F51" i="3"/>
  <c r="F52" i="3" s="1"/>
  <c r="F53" i="3" s="1"/>
  <c r="F54" i="3" s="1"/>
  <c r="L48" i="3"/>
  <c r="M50" i="3" s="1"/>
  <c r="B31" i="5"/>
  <c r="B54" i="5"/>
  <c r="B98" i="4"/>
  <c r="L72" i="2"/>
  <c r="B87" i="2"/>
  <c r="B9" i="5"/>
  <c r="B21" i="6"/>
  <c r="B97" i="6"/>
  <c r="B32" i="4"/>
  <c r="B98" i="5"/>
  <c r="B43" i="6"/>
  <c r="B108" i="3"/>
  <c r="B53" i="3"/>
  <c r="F73" i="3"/>
  <c r="F74" i="3" s="1"/>
  <c r="F75" i="3" s="1"/>
  <c r="F76" i="3" s="1"/>
  <c r="L70" i="3"/>
  <c r="M72" i="3" s="1"/>
  <c r="F62" i="5"/>
  <c r="F63" i="5" s="1"/>
  <c r="F64" i="5" s="1"/>
  <c r="F65" i="5" s="1"/>
  <c r="L59" i="5"/>
  <c r="B53" i="6"/>
  <c r="L72" i="6"/>
  <c r="L94" i="6"/>
  <c r="L17" i="6"/>
  <c r="L39" i="6"/>
  <c r="B65" i="5"/>
  <c r="B76" i="5"/>
  <c r="L28" i="6"/>
  <c r="I652" i="7"/>
  <c r="M17" i="4"/>
  <c r="M39" i="4"/>
  <c r="M61" i="4"/>
  <c r="L70" i="5"/>
  <c r="L72" i="5" s="1"/>
  <c r="L105" i="5"/>
  <c r="M94" i="5"/>
  <c r="B9" i="6"/>
  <c r="L50" i="6"/>
  <c r="L61" i="6"/>
  <c r="B109" i="5"/>
  <c r="L105" i="6"/>
  <c r="L17" i="5"/>
  <c r="L39" i="5"/>
  <c r="L61" i="5"/>
  <c r="L83" i="5"/>
  <c r="M17" i="5"/>
  <c r="M39" i="5"/>
  <c r="M61" i="5"/>
  <c r="M83" i="5"/>
  <c r="M105" i="5"/>
  <c r="M6" i="5"/>
  <c r="M28" i="5"/>
  <c r="M50" i="5"/>
  <c r="M72" i="5"/>
  <c r="P51" i="6"/>
  <c r="P54" i="6"/>
  <c r="P54" i="2"/>
  <c r="P76" i="2"/>
  <c r="P98" i="2"/>
  <c r="H64" i="6"/>
  <c r="H75" i="4"/>
  <c r="H85" i="4"/>
  <c r="L75" i="2"/>
  <c r="H86" i="5"/>
  <c r="H8" i="6"/>
  <c r="H31" i="2"/>
  <c r="D18" i="3"/>
  <c r="L76" i="2"/>
  <c r="M19" i="3"/>
  <c r="H54" i="2"/>
  <c r="M20" i="2"/>
  <c r="M97" i="5"/>
  <c r="H107" i="4"/>
  <c r="M75" i="4"/>
  <c r="D76" i="2"/>
  <c r="L62" i="3"/>
  <c r="P62" i="3" s="1"/>
  <c r="L64" i="6"/>
  <c r="M42" i="4"/>
  <c r="M53" i="5"/>
  <c r="M8" i="6"/>
  <c r="H65" i="4"/>
  <c r="L10" i="2"/>
  <c r="L7" i="2"/>
  <c r="H30" i="3"/>
  <c r="D85" i="3"/>
  <c r="M8" i="3"/>
  <c r="L74" i="2"/>
  <c r="M9" i="2"/>
  <c r="M53" i="2"/>
  <c r="H52" i="5"/>
  <c r="M52" i="6"/>
  <c r="L85" i="5"/>
  <c r="L73" i="2"/>
  <c r="P73" i="2" s="1"/>
  <c r="H8" i="4"/>
  <c r="M65" i="6"/>
  <c r="M9" i="4"/>
  <c r="H29" i="3"/>
  <c r="M85" i="4"/>
  <c r="L30" i="4"/>
  <c r="L109" i="2"/>
  <c r="D107" i="4"/>
  <c r="H96" i="5"/>
  <c r="D109" i="2"/>
  <c r="M10" i="2"/>
  <c r="M53" i="4"/>
  <c r="D97" i="2"/>
  <c r="M87" i="4"/>
  <c r="L30" i="2"/>
  <c r="L75" i="5"/>
  <c r="D87" i="4"/>
  <c r="D76" i="6"/>
  <c r="L30" i="6"/>
  <c r="D85" i="5"/>
  <c r="M74" i="3"/>
  <c r="H96" i="6"/>
  <c r="L8" i="6"/>
  <c r="D19" i="5"/>
  <c r="H20" i="2"/>
  <c r="L65" i="6"/>
  <c r="L95" i="2"/>
  <c r="P95" i="2" s="1"/>
  <c r="H43" i="5"/>
  <c r="H63" i="3"/>
  <c r="L106" i="3"/>
  <c r="P106" i="3" s="1"/>
  <c r="D53" i="5"/>
  <c r="L65" i="4"/>
  <c r="H97" i="4"/>
  <c r="H63" i="4"/>
  <c r="M21" i="2"/>
  <c r="H76" i="2"/>
  <c r="L19" i="5"/>
  <c r="M41" i="3"/>
  <c r="M85" i="3"/>
  <c r="L8" i="2"/>
  <c r="M86" i="6"/>
  <c r="M108" i="5"/>
  <c r="H86" i="6"/>
  <c r="L107" i="4"/>
  <c r="H64" i="5"/>
  <c r="L96" i="3"/>
  <c r="H8" i="3"/>
  <c r="L76" i="6"/>
  <c r="D42" i="2"/>
  <c r="H97" i="2"/>
  <c r="D41" i="3"/>
  <c r="L43" i="4"/>
  <c r="H53" i="5"/>
  <c r="D108" i="2"/>
  <c r="H20" i="4"/>
  <c r="M30" i="5"/>
  <c r="D64" i="2"/>
  <c r="D43" i="5"/>
  <c r="M96" i="6"/>
  <c r="M42" i="2"/>
  <c r="M31" i="2"/>
  <c r="L74" i="4"/>
  <c r="D42" i="6"/>
  <c r="H85" i="3"/>
  <c r="H19" i="3"/>
  <c r="D86" i="4"/>
  <c r="M19" i="4"/>
  <c r="D53" i="2"/>
  <c r="M96" i="4"/>
  <c r="H74" i="3"/>
  <c r="H41" i="4"/>
  <c r="H20" i="6"/>
  <c r="L52" i="3"/>
  <c r="H109" i="6"/>
  <c r="D107" i="3"/>
  <c r="H65" i="6"/>
  <c r="L21" i="2"/>
  <c r="H86" i="2"/>
  <c r="D40" i="3"/>
  <c r="L74" i="5"/>
  <c r="L18" i="3"/>
  <c r="H75" i="2"/>
  <c r="D65" i="4"/>
  <c r="M97" i="2"/>
  <c r="D106" i="3"/>
  <c r="P109" i="3" s="1"/>
  <c r="L20" i="4"/>
  <c r="D75" i="4"/>
  <c r="H42" i="5"/>
  <c r="H19" i="5"/>
  <c r="D31" i="2"/>
  <c r="H42" i="4"/>
  <c r="H43" i="4"/>
  <c r="L84" i="3"/>
  <c r="P84" i="3" s="1"/>
  <c r="L63" i="3"/>
  <c r="D10" i="2"/>
  <c r="M43" i="5"/>
  <c r="D8" i="6"/>
  <c r="H97" i="5"/>
  <c r="M52" i="3"/>
  <c r="D96" i="6"/>
  <c r="D9" i="4"/>
  <c r="L97" i="5"/>
  <c r="D96" i="2"/>
  <c r="M75" i="2"/>
  <c r="M64" i="4"/>
  <c r="L52" i="6"/>
  <c r="D85" i="4"/>
  <c r="H30" i="4"/>
  <c r="D21" i="2"/>
  <c r="H10" i="2"/>
  <c r="H64" i="4"/>
  <c r="D75" i="5"/>
  <c r="H8" i="5"/>
  <c r="L86" i="5"/>
  <c r="M86" i="2"/>
  <c r="H7" i="3"/>
  <c r="D43" i="4"/>
  <c r="H51" i="3"/>
  <c r="P54" i="3" s="1"/>
  <c r="D52" i="4"/>
  <c r="D52" i="6"/>
  <c r="L43" i="5"/>
  <c r="H107" i="3"/>
  <c r="H53" i="2"/>
  <c r="M109" i="2"/>
  <c r="D75" i="6"/>
  <c r="L53" i="4"/>
  <c r="D30" i="6"/>
  <c r="M109" i="6"/>
  <c r="H73" i="3"/>
  <c r="P76" i="3" s="1"/>
  <c r="H52" i="3"/>
  <c r="L86" i="6"/>
  <c r="M74" i="5"/>
  <c r="L96" i="6"/>
  <c r="L41" i="3"/>
  <c r="D9" i="2"/>
  <c r="M8" i="5"/>
  <c r="D86" i="5"/>
  <c r="M42" i="6"/>
  <c r="D74" i="2"/>
  <c r="L97" i="4"/>
  <c r="L42" i="6"/>
  <c r="L8" i="5"/>
  <c r="M54" i="2"/>
  <c r="D30" i="4"/>
  <c r="L20" i="2"/>
  <c r="L53" i="5"/>
  <c r="H95" i="3"/>
  <c r="M30" i="3"/>
  <c r="M41" i="4"/>
  <c r="H42" i="2"/>
  <c r="L9" i="2"/>
  <c r="L53" i="2"/>
  <c r="D53" i="4"/>
  <c r="L107" i="3"/>
  <c r="H96" i="3"/>
  <c r="M86" i="5"/>
  <c r="H108" i="2"/>
  <c r="L85" i="3"/>
  <c r="L52" i="5"/>
  <c r="H19" i="4"/>
  <c r="D20" i="6"/>
  <c r="M74" i="4"/>
  <c r="H74" i="5"/>
  <c r="D31" i="4"/>
  <c r="L96" i="5"/>
  <c r="D52" i="5"/>
  <c r="M63" i="4"/>
  <c r="M75" i="5"/>
  <c r="D74" i="4"/>
  <c r="M107" i="4"/>
  <c r="M30" i="6"/>
  <c r="D20" i="4"/>
  <c r="L52" i="4"/>
  <c r="H108" i="5"/>
  <c r="L64" i="2"/>
  <c r="M65" i="4"/>
  <c r="L31" i="2"/>
  <c r="L29" i="2"/>
  <c r="D62" i="3"/>
  <c r="P65" i="3" s="1"/>
  <c r="M19" i="5"/>
  <c r="L75" i="4"/>
  <c r="D108" i="6"/>
  <c r="L40" i="3"/>
  <c r="D97" i="4"/>
  <c r="H75" i="5"/>
  <c r="H41" i="3"/>
  <c r="D65" i="6"/>
  <c r="D30" i="2"/>
  <c r="M96" i="3"/>
  <c r="H64" i="2"/>
  <c r="H30" i="6"/>
  <c r="M52" i="5"/>
  <c r="H21" i="2"/>
  <c r="L96" i="2"/>
  <c r="D86" i="2"/>
  <c r="H30" i="5"/>
  <c r="M20" i="4"/>
  <c r="D96" i="3"/>
  <c r="L8" i="3"/>
  <c r="L54" i="2"/>
  <c r="L30" i="5"/>
  <c r="D75" i="2"/>
  <c r="L96" i="4"/>
  <c r="M31" i="4"/>
  <c r="L97" i="2"/>
  <c r="H42" i="6"/>
  <c r="M64" i="2"/>
  <c r="M43" i="4"/>
  <c r="L42" i="2"/>
  <c r="D8" i="2"/>
  <c r="L52" i="2"/>
  <c r="H109" i="2"/>
  <c r="M108" i="2"/>
  <c r="D86" i="6"/>
  <c r="H9" i="2"/>
  <c r="D8" i="5"/>
  <c r="L74" i="3"/>
  <c r="D54" i="2"/>
  <c r="L30" i="3"/>
  <c r="M20" i="6"/>
  <c r="L19" i="3"/>
  <c r="D97" i="5"/>
  <c r="M64" i="5"/>
  <c r="D52" i="2"/>
  <c r="D84" i="3"/>
  <c r="P87" i="3" s="1"/>
  <c r="L8" i="4"/>
  <c r="L51" i="2"/>
  <c r="P51" i="2" s="1"/>
  <c r="H52" i="4"/>
  <c r="D8" i="4"/>
  <c r="P40" i="5"/>
  <c r="P43" i="5"/>
  <c r="P21" i="2"/>
  <c r="P18" i="2"/>
  <c r="P43" i="4"/>
  <c r="P40" i="4"/>
  <c r="P7" i="2"/>
  <c r="P10" i="2"/>
  <c r="J87" i="4" l="1"/>
  <c r="J112" i="3"/>
  <c r="J111" i="3"/>
  <c r="J106" i="3"/>
  <c r="J96" i="5"/>
  <c r="J29" i="3"/>
  <c r="J41" i="4"/>
  <c r="J20" i="4"/>
  <c r="J107" i="4"/>
  <c r="J64" i="5"/>
  <c r="N76" i="2"/>
  <c r="J73" i="3"/>
  <c r="J63" i="4"/>
  <c r="J90" i="3"/>
  <c r="J89" i="3"/>
  <c r="J84" i="3"/>
  <c r="N96" i="5"/>
  <c r="J7" i="3"/>
  <c r="J19" i="4"/>
  <c r="J9" i="2"/>
  <c r="J42" i="6"/>
  <c r="N20" i="4"/>
  <c r="J30" i="2"/>
  <c r="J68" i="3"/>
  <c r="J67" i="3"/>
  <c r="J62" i="3"/>
  <c r="N95" i="2"/>
  <c r="J97" i="5"/>
  <c r="J42" i="4"/>
  <c r="J40" i="3"/>
  <c r="J109" i="6"/>
  <c r="N73" i="2"/>
  <c r="N52" i="6"/>
  <c r="N9" i="2"/>
  <c r="J30" i="3"/>
  <c r="N42" i="4"/>
  <c r="J97" i="2"/>
  <c r="J18" i="3"/>
  <c r="N109" i="6"/>
  <c r="N51" i="2"/>
  <c r="J107" i="3"/>
  <c r="J63" i="3"/>
  <c r="J30" i="5"/>
  <c r="N29" i="2"/>
  <c r="J108" i="2"/>
  <c r="N107" i="3"/>
  <c r="N30" i="3"/>
  <c r="N63" i="3"/>
  <c r="N97" i="2"/>
  <c r="N42" i="6"/>
  <c r="J86" i="4"/>
  <c r="N7" i="2"/>
  <c r="N97" i="5"/>
  <c r="J86" i="6"/>
  <c r="J31" i="2"/>
  <c r="N107" i="4"/>
  <c r="J75" i="6"/>
  <c r="N74" i="4"/>
  <c r="N108" i="2"/>
  <c r="N31" i="4"/>
  <c r="J41" i="3"/>
  <c r="J10" i="2"/>
  <c r="N64" i="4"/>
  <c r="J86" i="2"/>
  <c r="N9" i="4"/>
  <c r="J74" i="3"/>
  <c r="N31" i="2"/>
  <c r="N64" i="6"/>
  <c r="N108" i="5"/>
  <c r="J8" i="6"/>
  <c r="N75" i="5"/>
  <c r="J31" i="4"/>
  <c r="N86" i="2"/>
  <c r="J109" i="2"/>
  <c r="N96" i="2"/>
  <c r="J75" i="5"/>
  <c r="N65" i="4"/>
  <c r="J24" i="2"/>
  <c r="J23" i="2"/>
  <c r="J20" i="2"/>
  <c r="J9" i="4"/>
  <c r="N74" i="3"/>
  <c r="J19" i="5"/>
  <c r="N53" i="4"/>
  <c r="N96" i="4"/>
  <c r="J52" i="5"/>
  <c r="N74" i="2"/>
  <c r="J65" i="4"/>
  <c r="J53" i="5"/>
  <c r="N20" i="2"/>
  <c r="N86" i="6"/>
  <c r="J86" i="5"/>
  <c r="N109" i="2"/>
  <c r="J52" i="2"/>
  <c r="J51" i="3"/>
  <c r="N106" i="3"/>
  <c r="N52" i="2"/>
  <c r="J21" i="2"/>
  <c r="N86" i="5"/>
  <c r="J53" i="4"/>
  <c r="J42" i="2"/>
  <c r="J95" i="3"/>
  <c r="N84" i="3"/>
  <c r="N30" i="2"/>
  <c r="J75" i="2"/>
  <c r="N97" i="4"/>
  <c r="J19" i="3"/>
  <c r="N42" i="2"/>
  <c r="N8" i="6"/>
  <c r="N62" i="3"/>
  <c r="N76" i="6"/>
  <c r="N8" i="2"/>
  <c r="N21" i="2"/>
  <c r="J97" i="4"/>
  <c r="J64" i="4"/>
  <c r="J8" i="2"/>
  <c r="J13" i="2"/>
  <c r="J12" i="2"/>
  <c r="N52" i="5"/>
  <c r="N40" i="3"/>
  <c r="J108" i="5"/>
  <c r="N75" i="2"/>
  <c r="N43" i="5"/>
  <c r="N54" i="2"/>
  <c r="J42" i="5"/>
  <c r="N18" i="3"/>
  <c r="J65" i="6"/>
  <c r="N65" i="6"/>
  <c r="J46" i="5"/>
  <c r="J45" i="5"/>
  <c r="J54" i="2"/>
  <c r="N85" i="3"/>
  <c r="J85" i="4"/>
  <c r="J52" i="4"/>
  <c r="J53" i="2"/>
  <c r="J46" i="4"/>
  <c r="J45" i="4"/>
  <c r="J43" i="5"/>
  <c r="J30" i="6"/>
  <c r="J108" i="6"/>
  <c r="N52" i="4"/>
  <c r="J30" i="4"/>
  <c r="J96" i="6"/>
  <c r="J43" i="4"/>
  <c r="N10" i="2"/>
  <c r="N30" i="4"/>
  <c r="J8" i="4"/>
  <c r="N85" i="5"/>
  <c r="N53" i="2"/>
  <c r="N96" i="6"/>
  <c r="N53" i="5"/>
  <c r="J8" i="3"/>
  <c r="N41" i="3"/>
  <c r="J75" i="4"/>
  <c r="N8" i="4"/>
  <c r="N64" i="5"/>
  <c r="J74" i="5"/>
  <c r="N43" i="4"/>
  <c r="J64" i="2"/>
  <c r="J96" i="3"/>
  <c r="N52" i="3"/>
  <c r="J76" i="6"/>
  <c r="N87" i="4"/>
  <c r="J20" i="6"/>
  <c r="N8" i="5"/>
  <c r="J85" i="3"/>
  <c r="N8" i="3"/>
  <c r="N75" i="4"/>
  <c r="J64" i="6"/>
  <c r="J74" i="4"/>
  <c r="N63" i="4"/>
  <c r="J52" i="6"/>
  <c r="N20" i="6"/>
  <c r="J8" i="5"/>
  <c r="N64" i="2"/>
  <c r="N96" i="3"/>
  <c r="N19" i="5"/>
  <c r="N30" i="6"/>
  <c r="J96" i="2"/>
  <c r="N41" i="4"/>
  <c r="J85" i="5"/>
  <c r="N85" i="4"/>
  <c r="J74" i="2"/>
  <c r="N19" i="4"/>
  <c r="N74" i="5"/>
  <c r="J52" i="3"/>
  <c r="N30" i="5"/>
  <c r="N19" i="3"/>
  <c r="J76" i="2"/>
  <c r="B109" i="4"/>
  <c r="B109" i="3"/>
  <c r="B32" i="3"/>
  <c r="B65" i="3"/>
  <c r="B54" i="6"/>
  <c r="B43" i="3"/>
  <c r="B10" i="6"/>
  <c r="B54" i="3"/>
  <c r="B76" i="3"/>
  <c r="B21" i="3"/>
  <c r="B98" i="6"/>
  <c r="B21" i="5"/>
  <c r="B32" i="6"/>
  <c r="M6" i="2"/>
  <c r="L6" i="2"/>
  <c r="B10" i="3"/>
  <c r="B87" i="3"/>
  <c r="M50" i="2"/>
  <c r="L50" i="2"/>
  <c r="L6" i="3"/>
  <c r="B98" i="3"/>
  <c r="B32" i="5"/>
  <c r="B10" i="5"/>
  <c r="M97" i="6"/>
  <c r="M53" i="3"/>
  <c r="H21" i="4"/>
  <c r="M9" i="6"/>
  <c r="H98" i="5"/>
  <c r="L87" i="2"/>
  <c r="H20" i="5"/>
  <c r="L109" i="5"/>
  <c r="L9" i="3"/>
  <c r="H108" i="4"/>
  <c r="H76" i="4"/>
  <c r="L53" i="3"/>
  <c r="H76" i="5"/>
  <c r="L97" i="3"/>
  <c r="H43" i="6"/>
  <c r="L9" i="6"/>
  <c r="H87" i="2"/>
  <c r="L75" i="3"/>
  <c r="D98" i="5"/>
  <c r="H65" i="2"/>
  <c r="M9" i="5"/>
  <c r="D76" i="4"/>
  <c r="D65" i="5"/>
  <c r="M98" i="5"/>
  <c r="H53" i="3"/>
  <c r="M54" i="4"/>
  <c r="M65" i="2"/>
  <c r="M21" i="6"/>
  <c r="D54" i="5"/>
  <c r="M10" i="4"/>
  <c r="D108" i="4"/>
  <c r="M21" i="4"/>
  <c r="M31" i="6"/>
  <c r="M98" i="4"/>
  <c r="M75" i="3"/>
  <c r="D32" i="2"/>
  <c r="H21" i="6"/>
  <c r="M54" i="5"/>
  <c r="L54" i="4"/>
  <c r="L87" i="6"/>
  <c r="M108" i="3"/>
  <c r="D20" i="5"/>
  <c r="L53" i="6"/>
  <c r="H42" i="3"/>
  <c r="H86" i="3"/>
  <c r="H98" i="4"/>
  <c r="M87" i="5"/>
  <c r="L31" i="3"/>
  <c r="H97" i="3"/>
  <c r="M20" i="3"/>
  <c r="H97" i="6"/>
  <c r="L10" i="4"/>
  <c r="M64" i="3"/>
  <c r="H43" i="2"/>
  <c r="H108" i="3"/>
  <c r="D54" i="4"/>
  <c r="L87" i="5"/>
  <c r="H65" i="5"/>
  <c r="D21" i="4"/>
  <c r="H31" i="6"/>
  <c r="D87" i="6"/>
  <c r="H20" i="3"/>
  <c r="H75" i="3"/>
  <c r="L54" i="5"/>
  <c r="M9" i="3"/>
  <c r="D53" i="6"/>
  <c r="D31" i="5"/>
  <c r="D43" i="6"/>
  <c r="H9" i="3"/>
  <c r="D97" i="3"/>
  <c r="D98" i="4"/>
  <c r="L86" i="3"/>
  <c r="H9" i="5"/>
  <c r="H31" i="3"/>
  <c r="D87" i="2"/>
  <c r="M76" i="5"/>
  <c r="M108" i="4"/>
  <c r="M31" i="5"/>
  <c r="M32" i="4"/>
  <c r="H9" i="6"/>
  <c r="D43" i="2"/>
  <c r="L64" i="3"/>
  <c r="H87" i="6"/>
  <c r="D75" i="3"/>
  <c r="H53" i="6"/>
  <c r="H109" i="5"/>
  <c r="M20" i="5"/>
  <c r="D20" i="3"/>
  <c r="H31" i="5"/>
  <c r="L108" i="3"/>
  <c r="D31" i="3"/>
  <c r="M43" i="6"/>
  <c r="L31" i="6"/>
  <c r="M76" i="4"/>
  <c r="L32" i="2"/>
  <c r="D42" i="3"/>
  <c r="D86" i="3"/>
  <c r="D9" i="3"/>
  <c r="M43" i="2"/>
  <c r="L65" i="2"/>
  <c r="H87" i="5"/>
  <c r="D53" i="3"/>
  <c r="L9" i="5"/>
  <c r="H10" i="4"/>
  <c r="L20" i="3"/>
  <c r="L21" i="6"/>
  <c r="L76" i="5"/>
  <c r="L98" i="2"/>
  <c r="D97" i="6"/>
  <c r="L21" i="4"/>
  <c r="M87" i="6"/>
  <c r="H32" i="4"/>
  <c r="H54" i="4"/>
  <c r="D65" i="2"/>
  <c r="D21" i="6"/>
  <c r="L98" i="4"/>
  <c r="D108" i="3"/>
  <c r="L31" i="5"/>
  <c r="L76" i="4"/>
  <c r="M42" i="3"/>
  <c r="L65" i="5"/>
  <c r="D31" i="6"/>
  <c r="M98" i="2"/>
  <c r="D87" i="5"/>
  <c r="H64" i="3"/>
  <c r="L97" i="6"/>
  <c r="D76" i="5"/>
  <c r="L32" i="4"/>
  <c r="M65" i="5"/>
  <c r="M32" i="2"/>
  <c r="D64" i="3"/>
  <c r="L98" i="5"/>
  <c r="D109" i="5"/>
  <c r="D9" i="6"/>
  <c r="L108" i="4"/>
  <c r="H98" i="2"/>
  <c r="L43" i="6"/>
  <c r="M53" i="6"/>
  <c r="L42" i="3"/>
  <c r="M86" i="3"/>
  <c r="H54" i="5"/>
  <c r="D10" i="4"/>
  <c r="M87" i="2"/>
  <c r="L20" i="5"/>
  <c r="H32" i="2"/>
  <c r="M109" i="5"/>
  <c r="M97" i="3"/>
  <c r="M31" i="3"/>
  <c r="D9" i="5"/>
  <c r="L43" i="2"/>
  <c r="D32" i="4"/>
  <c r="D98" i="2"/>
  <c r="P18" i="4"/>
  <c r="P21" i="4"/>
  <c r="P21" i="6"/>
  <c r="P18" i="6"/>
  <c r="P40" i="6"/>
  <c r="P43" i="6"/>
  <c r="P10" i="4"/>
  <c r="P7" i="4"/>
  <c r="P32" i="2"/>
  <c r="P29" i="2"/>
  <c r="P40" i="2"/>
  <c r="P43" i="2"/>
  <c r="P32" i="4"/>
  <c r="P29" i="4"/>
  <c r="J31" i="5" l="1"/>
  <c r="N98" i="2"/>
  <c r="J32" i="2"/>
  <c r="J12" i="4"/>
  <c r="J13" i="4"/>
  <c r="J10" i="4"/>
  <c r="N98" i="4"/>
  <c r="N10" i="4"/>
  <c r="N65" i="2"/>
  <c r="J45" i="2"/>
  <c r="J46" i="2"/>
  <c r="N31" i="5"/>
  <c r="J43" i="2"/>
  <c r="J76" i="4"/>
  <c r="J98" i="4"/>
  <c r="J98" i="5"/>
  <c r="N97" i="3"/>
  <c r="N53" i="6"/>
  <c r="N87" i="6"/>
  <c r="N32" i="2"/>
  <c r="N43" i="2"/>
  <c r="N76" i="4"/>
  <c r="N31" i="6"/>
  <c r="J53" i="6"/>
  <c r="J87" i="6"/>
  <c r="N98" i="5"/>
  <c r="N108" i="4"/>
  <c r="J9" i="5"/>
  <c r="N9" i="3"/>
  <c r="J31" i="6"/>
  <c r="J76" i="5"/>
  <c r="J97" i="3"/>
  <c r="J20" i="5"/>
  <c r="N9" i="6"/>
  <c r="J54" i="5"/>
  <c r="J54" i="4"/>
  <c r="N20" i="5"/>
  <c r="N54" i="4"/>
  <c r="J9" i="6"/>
  <c r="N76" i="5"/>
  <c r="N9" i="5"/>
  <c r="J9" i="3"/>
  <c r="J24" i="4"/>
  <c r="J23" i="4"/>
  <c r="N64" i="3"/>
  <c r="J97" i="6"/>
  <c r="J108" i="4"/>
  <c r="J86" i="3"/>
  <c r="N54" i="5"/>
  <c r="J21" i="4"/>
  <c r="N75" i="3"/>
  <c r="J64" i="3"/>
  <c r="N86" i="3"/>
  <c r="N65" i="5"/>
  <c r="N43" i="6"/>
  <c r="N21" i="4"/>
  <c r="J46" i="6"/>
  <c r="J45" i="6"/>
  <c r="J75" i="3"/>
  <c r="J65" i="5"/>
  <c r="J87" i="2"/>
  <c r="J43" i="6"/>
  <c r="J21" i="6"/>
  <c r="N53" i="3"/>
  <c r="J34" i="4"/>
  <c r="J35" i="4"/>
  <c r="N31" i="3"/>
  <c r="N109" i="5"/>
  <c r="N87" i="2"/>
  <c r="J24" i="6"/>
  <c r="J23" i="6"/>
  <c r="J32" i="4"/>
  <c r="J109" i="5"/>
  <c r="N21" i="6"/>
  <c r="J53" i="3"/>
  <c r="N32" i="4"/>
  <c r="J31" i="3"/>
  <c r="J65" i="2"/>
  <c r="J20" i="3"/>
  <c r="J108" i="3"/>
  <c r="N20" i="3"/>
  <c r="N87" i="5"/>
  <c r="J42" i="3"/>
  <c r="N108" i="3"/>
  <c r="J35" i="2"/>
  <c r="J34" i="2"/>
  <c r="N97" i="6"/>
  <c r="N42" i="3"/>
  <c r="J98" i="2"/>
  <c r="J87" i="5"/>
  <c r="H10" i="3"/>
  <c r="D21" i="5"/>
  <c r="M10" i="6"/>
  <c r="L109" i="3"/>
  <c r="L54" i="3"/>
  <c r="D109" i="4"/>
  <c r="M21" i="5"/>
  <c r="H54" i="6"/>
  <c r="H10" i="6"/>
  <c r="H109" i="3"/>
  <c r="L87" i="3"/>
  <c r="M54" i="6"/>
  <c r="M10" i="5"/>
  <c r="L76" i="3"/>
  <c r="H87" i="3"/>
  <c r="H43" i="3"/>
  <c r="M87" i="3"/>
  <c r="D54" i="6"/>
  <c r="M76" i="3"/>
  <c r="L98" i="3"/>
  <c r="H32" i="5"/>
  <c r="L10" i="5"/>
  <c r="L98" i="6"/>
  <c r="D43" i="3"/>
  <c r="D98" i="6"/>
  <c r="D10" i="5"/>
  <c r="M32" i="5"/>
  <c r="L21" i="3"/>
  <c r="L32" i="5"/>
  <c r="M10" i="3"/>
  <c r="H32" i="3"/>
  <c r="M109" i="3"/>
  <c r="H109" i="4"/>
  <c r="M65" i="3"/>
  <c r="M43" i="3"/>
  <c r="D10" i="3"/>
  <c r="D32" i="3"/>
  <c r="L54" i="6"/>
  <c r="H65" i="3"/>
  <c r="D21" i="3"/>
  <c r="L109" i="4"/>
  <c r="H32" i="6"/>
  <c r="L43" i="3"/>
  <c r="D65" i="3"/>
  <c r="H54" i="3"/>
  <c r="M98" i="3"/>
  <c r="M109" i="4"/>
  <c r="D10" i="6"/>
  <c r="L21" i="5"/>
  <c r="D54" i="3"/>
  <c r="D32" i="6"/>
  <c r="H10" i="5"/>
  <c r="D87" i="3"/>
  <c r="M32" i="6"/>
  <c r="M54" i="3"/>
  <c r="D109" i="3"/>
  <c r="M98" i="6"/>
  <c r="L32" i="3"/>
  <c r="L10" i="6"/>
  <c r="L32" i="6"/>
  <c r="D32" i="5"/>
  <c r="H98" i="3"/>
  <c r="H76" i="3"/>
  <c r="M32" i="3"/>
  <c r="H98" i="6"/>
  <c r="H21" i="5"/>
  <c r="D76" i="3"/>
  <c r="L65" i="3"/>
  <c r="L10" i="3"/>
  <c r="H21" i="3"/>
  <c r="M21" i="3"/>
  <c r="D98" i="3"/>
  <c r="P40" i="3"/>
  <c r="P43" i="3"/>
  <c r="P7" i="5"/>
  <c r="P10" i="5"/>
  <c r="P7" i="6"/>
  <c r="P10" i="6"/>
  <c r="P29" i="6"/>
  <c r="P32" i="6"/>
  <c r="P32" i="5"/>
  <c r="P29" i="5"/>
  <c r="P32" i="3"/>
  <c r="P29" i="3"/>
  <c r="P21" i="5"/>
  <c r="P18" i="5"/>
  <c r="P7" i="3"/>
  <c r="P10" i="3"/>
  <c r="P18" i="3"/>
  <c r="P21" i="3"/>
  <c r="J13" i="5" l="1"/>
  <c r="J12" i="5"/>
  <c r="J98" i="3"/>
  <c r="J46" i="3"/>
  <c r="J45" i="3"/>
  <c r="N32" i="6"/>
  <c r="J10" i="5"/>
  <c r="J43" i="3"/>
  <c r="N10" i="5"/>
  <c r="N98" i="3"/>
  <c r="J109" i="3"/>
  <c r="N21" i="5"/>
  <c r="J23" i="3"/>
  <c r="J24" i="3"/>
  <c r="N10" i="6"/>
  <c r="J35" i="3"/>
  <c r="J34" i="3"/>
  <c r="N43" i="3"/>
  <c r="J23" i="5"/>
  <c r="J24" i="5"/>
  <c r="J21" i="3"/>
  <c r="N109" i="3"/>
  <c r="J32" i="3"/>
  <c r="J21" i="5"/>
  <c r="N32" i="3"/>
  <c r="J76" i="3"/>
  <c r="N21" i="3"/>
  <c r="N76" i="3"/>
  <c r="N87" i="3"/>
  <c r="N54" i="6"/>
  <c r="J54" i="3"/>
  <c r="J54" i="6"/>
  <c r="J65" i="3"/>
  <c r="J13" i="3"/>
  <c r="J12" i="3"/>
  <c r="N65" i="3"/>
  <c r="J10" i="3"/>
  <c r="J109" i="4"/>
  <c r="N10" i="3"/>
  <c r="J98" i="6"/>
  <c r="N32" i="5"/>
  <c r="J35" i="5"/>
  <c r="J34" i="5"/>
  <c r="J32" i="5"/>
  <c r="N98" i="6"/>
  <c r="N54" i="3"/>
  <c r="J35" i="6"/>
  <c r="J34" i="6"/>
  <c r="J87" i="3"/>
  <c r="J13" i="6"/>
  <c r="J12" i="6"/>
  <c r="N109" i="4"/>
  <c r="J10" i="6"/>
  <c r="J32" i="6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<sst xmlns="http://schemas.openxmlformats.org/spreadsheetml/2006/main" count="7258" uniqueCount="189">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</sst>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14" fontId="13" fillId="2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1F-43CD-A8E0-553A2C63984E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38.184640000000002</c:v>
                </c:pt>
                <c:pt idx="1">
                  <c:v>54.997576000000002</c:v>
                </c:pt>
                <c:pt idx="2">
                  <c:v>79.272784000000001</c:v>
                </c:pt>
                <c:pt idx="3">
                  <c:v>112.22078400000001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27.943144866666664</c:v>
                </c:pt>
                <c:pt idx="1">
                  <c:v>31.995453399999992</c:v>
                </c:pt>
                <c:pt idx="2">
                  <c:v>37.318707333333329</c:v>
                </c:pt>
                <c:pt idx="3">
                  <c:v>40.742753533333335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F-43CD-A8E0-553A2C63984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1F-43CD-A8E0-553A2C63984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1F-43CD-A8E0-553A2C63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BB-4765-A4B5-22CB3F0FA53C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27.669640000000001</c:v>
                </c:pt>
                <c:pt idx="1">
                  <c:v>40.101375999999995</c:v>
                </c:pt>
                <c:pt idx="2">
                  <c:v>59.784072000000002</c:v>
                </c:pt>
                <c:pt idx="3">
                  <c:v>87.085999999999999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30.616972761904755</c:v>
                </c:pt>
                <c:pt idx="1">
                  <c:v>33.957413857142853</c:v>
                </c:pt>
                <c:pt idx="2">
                  <c:v>38.11388238095239</c:v>
                </c:pt>
                <c:pt idx="3">
                  <c:v>42.550639666666662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BB-4765-A4B5-22CB3F0FA53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BB-4765-A4B5-22CB3F0FA53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BB-4765-A4B5-22CB3F0FA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20-4854-9994-BDC3E99547AF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28.540488</c:v>
                </c:pt>
                <c:pt idx="1">
                  <c:v>41.507936000000001</c:v>
                </c:pt>
                <c:pt idx="2">
                  <c:v>62.100007999999995</c:v>
                </c:pt>
                <c:pt idx="3">
                  <c:v>90.502672000000004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30.646398238095237</c:v>
                </c:pt>
                <c:pt idx="1">
                  <c:v>33.989762476190478</c:v>
                </c:pt>
                <c:pt idx="2">
                  <c:v>38.216646714285716</c:v>
                </c:pt>
                <c:pt idx="3">
                  <c:v>42.442521238095246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20-4854-9994-BDC3E99547A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20-4854-9994-BDC3E99547A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20-4854-9994-BDC3E9954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36-4CB3-AA51-29DCA313A183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36-4CB3-AA51-29DCA313A18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36-4CB3-AA51-29DCA313A18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36-4CB3-AA51-29DCA313A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D0-4D13-B4E2-64837C03E8FB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D0-4D13-B4E2-64837C03E8F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D0-4D13-B4E2-64837C03E8F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D0-4D13-B4E2-64837C03E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94-49CB-BED6-B4F5437DFFAA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94-49CB-BED6-B4F5437DFFA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94-49CB-BED6-B4F5437DFFA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94-49CB-BED6-B4F5437DF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59-42F7-B9FB-7568556FD43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59-42F7-B9FB-7568556FD43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59-42F7-B9FB-7568556F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F4-44BE-B436-CB897F4985E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F4-44BE-B436-CB897F4985E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F4-44BE-B436-CB897F498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A5-4EF3-83E6-B637D40AFF1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A5-4EF3-83E6-B637D40AFF1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A5-4EF3-83E6-B637D40AF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60-4159-8AA0-75C30CBB700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37.258304000000003</c:v>
                </c:pt>
                <c:pt idx="1">
                  <c:v>53.552256</c:v>
                </c:pt>
                <c:pt idx="2">
                  <c:v>77.011648000000008</c:v>
                </c:pt>
                <c:pt idx="3">
                  <c:v>108.95232800000001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27.996553933333338</c:v>
                </c:pt>
                <c:pt idx="1">
                  <c:v>31.852176133333334</c:v>
                </c:pt>
                <c:pt idx="2">
                  <c:v>37.416573933333332</c:v>
                </c:pt>
                <c:pt idx="3">
                  <c:v>41.041287266666664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60-4159-8AA0-75C30CBB700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60-4159-8AA0-75C30CBB700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60-4159-8AA0-75C30CBB7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AF-4668-936B-83EA420AF5B8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38.184640000000002</c:v>
                </c:pt>
                <c:pt idx="1">
                  <c:v>54.997576000000002</c:v>
                </c:pt>
                <c:pt idx="2">
                  <c:v>79.272784000000001</c:v>
                </c:pt>
                <c:pt idx="3">
                  <c:v>112.22078400000001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33.852189999999993</c:v>
                </c:pt>
                <c:pt idx="1">
                  <c:v>36.725632800000007</c:v>
                </c:pt>
                <c:pt idx="2">
                  <c:v>40.946754533333333</c:v>
                </c:pt>
                <c:pt idx="3">
                  <c:v>44.0402998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AF-4668-936B-83EA420AF5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AF-4668-936B-83EA420AF5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AF-4668-936B-83EA420AF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93-4D0D-8DB2-1A1B78C86D90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27.669640000000001</c:v>
                </c:pt>
                <c:pt idx="1">
                  <c:v>40.101375999999995</c:v>
                </c:pt>
                <c:pt idx="2">
                  <c:v>59.784072000000002</c:v>
                </c:pt>
                <c:pt idx="3">
                  <c:v>87.085999999999999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34.517791333333335</c:v>
                </c:pt>
                <c:pt idx="1">
                  <c:v>37.325451047619048</c:v>
                </c:pt>
                <c:pt idx="2">
                  <c:v>41.416858999999995</c:v>
                </c:pt>
                <c:pt idx="3">
                  <c:v>45.58862514285714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93-4D0D-8DB2-1A1B78C86D9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93-4D0D-8DB2-1A1B78C86D9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93-4D0D-8DB2-1A1B78C86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18-4CDC-B56F-0CB20383075F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28.540488</c:v>
                </c:pt>
                <c:pt idx="1">
                  <c:v>41.507936000000001</c:v>
                </c:pt>
                <c:pt idx="2">
                  <c:v>62.100007999999995</c:v>
                </c:pt>
                <c:pt idx="3">
                  <c:v>90.502672000000004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34.544131476190479</c:v>
                </c:pt>
                <c:pt idx="1">
                  <c:v>37.335705047619044</c:v>
                </c:pt>
                <c:pt idx="2">
                  <c:v>41.525656476190477</c:v>
                </c:pt>
                <c:pt idx="3">
                  <c:v>45.497991142857146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18-4CDC-B56F-0CB20383075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18-4CDC-B56F-0CB20383075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E18-4CDC-B56F-0CB203830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B3-4575-AF71-4C442526871A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B3-4575-AF71-4C44252687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B3-4575-AF71-4C44252687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B3-4575-AF71-4C4425268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7F-4AEA-BAF6-EC633E26F3E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7F-4AEA-BAF6-EC633E26F3E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7F-4AEA-BAF6-EC633E26F3E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7F-4AEA-BAF6-EC633E26F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0F-4E17-B1AA-355FE85DE96F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0F-4E17-B1AA-355FE85DE96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0F-4E17-B1AA-355FE85DE96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0F-4E17-B1AA-355FE85DE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BF-4654-9A7B-1C9BF22B1976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BF-4654-9A7B-1C9BF22B197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BF-4654-9A7B-1C9BF22B197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BF-4654-9A7B-1C9BF22B1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F-43F7-BA38-A81FA170DA54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F-43F7-BA38-A81FA170DA5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F-43F7-BA38-A81FA170DA5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F-43F7-BA38-A81FA170D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23-4954-8637-454327F41EC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23-4954-8637-454327F41EC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23-4954-8637-454327F41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3-4283-848F-F1A12915DA15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37.258304000000003</c:v>
                </c:pt>
                <c:pt idx="1">
                  <c:v>53.552256</c:v>
                </c:pt>
                <c:pt idx="2">
                  <c:v>77.011648000000008</c:v>
                </c:pt>
                <c:pt idx="3">
                  <c:v>108.95232800000001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33.892481533333338</c:v>
                </c:pt>
                <c:pt idx="1">
                  <c:v>36.672791666666669</c:v>
                </c:pt>
                <c:pt idx="2">
                  <c:v>41.060205799999999</c:v>
                </c:pt>
                <c:pt idx="3">
                  <c:v>44.300270066666663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F3-4283-848F-F1A12915DA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F3-4283-848F-F1A12915DA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F3-4283-848F-F1A12915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C4-4536-8C25-57ECFAD7068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38.184640000000002</c:v>
                </c:pt>
                <c:pt idx="1">
                  <c:v>54.997576000000002</c:v>
                </c:pt>
                <c:pt idx="2">
                  <c:v>79.272784000000001</c:v>
                </c:pt>
                <c:pt idx="3">
                  <c:v>112.22078400000001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0.95684386399999999</c:v>
                </c:pt>
                <c:pt idx="1">
                  <c:v>0.97527889999999995</c:v>
                </c:pt>
                <c:pt idx="2">
                  <c:v>0.98793126666666686</c:v>
                </c:pt>
                <c:pt idx="3">
                  <c:v>0.99238998400000011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C4-4536-8C25-57ECFAD706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C4-4536-8C25-57ECFAD706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C4-4536-8C25-57ECFAD70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49-4994-9078-4672C16127D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27.669640000000001</c:v>
                </c:pt>
                <c:pt idx="1">
                  <c:v>40.101375999999995</c:v>
                </c:pt>
                <c:pt idx="2">
                  <c:v>59.784072000000002</c:v>
                </c:pt>
                <c:pt idx="3">
                  <c:v>87.085999999999999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0.96686531714285739</c:v>
                </c:pt>
                <c:pt idx="1">
                  <c:v>0.98015443523809531</c:v>
                </c:pt>
                <c:pt idx="2">
                  <c:v>0.98938974428571436</c:v>
                </c:pt>
                <c:pt idx="3">
                  <c:v>0.99409615952380948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49-4994-9078-4672C16127D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49-4994-9078-4672C16127D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49-4994-9078-4672C1612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75-40D2-8D4B-E753E0E42549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28.540488</c:v>
                </c:pt>
                <c:pt idx="1">
                  <c:v>41.507936000000001</c:v>
                </c:pt>
                <c:pt idx="2">
                  <c:v>62.100007999999995</c:v>
                </c:pt>
                <c:pt idx="3">
                  <c:v>90.502672000000004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0.96607515047619041</c:v>
                </c:pt>
                <c:pt idx="1">
                  <c:v>0.97917372904761901</c:v>
                </c:pt>
                <c:pt idx="2">
                  <c:v>0.98904090238095232</c:v>
                </c:pt>
                <c:pt idx="3">
                  <c:v>0.99385577000000025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75-40D2-8D4B-E753E0E4254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75-40D2-8D4B-E753E0E4254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75-40D2-8D4B-E753E0E42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9F-4022-822C-430635F80C9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9F-4022-822C-430635F80C9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9F-4022-822C-430635F80C9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9F-4022-822C-430635F80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A-415E-B28C-C940766FC426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3A-415E-B28C-C940766FC4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3A-415E-B28C-C940766FC4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3A-415E-B28C-C940766FC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7-4872-87C4-9538CF146313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97-4872-87C4-9538CF1463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7-4872-87C4-9538CF1463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97-4872-87C4-9538CF146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AE-4979-90EE-03038F498FC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AE-4979-90EE-03038F498FC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AE-4979-90EE-03038F498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5-4AB5-A522-1813141820D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B5-4AB5-A522-1813141820D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B5-4AB5-A522-181314182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BB9-B8F5-5EED6B6F1CD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C-4BB9-B8F5-5EED6B6F1CD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C-4BB9-B8F5-5EED6B6F1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2A-4209-AB27-27C86B793079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37.258304000000003</c:v>
                </c:pt>
                <c:pt idx="1">
                  <c:v>53.552256</c:v>
                </c:pt>
                <c:pt idx="2">
                  <c:v>77.011648000000008</c:v>
                </c:pt>
                <c:pt idx="3">
                  <c:v>108.95232800000001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0.95820572133333326</c:v>
                </c:pt>
                <c:pt idx="1">
                  <c:v>0.97602794066666654</c:v>
                </c:pt>
                <c:pt idx="2">
                  <c:v>0.98841363066666665</c:v>
                </c:pt>
                <c:pt idx="3">
                  <c:v>0.99281738066666669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2A-4209-AB27-27C86B7930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2A-4209-AB27-27C86B7930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2A-4209-AB27-27C86B793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93-40D8-BF7F-471027B65517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38.184640000000002</c:v>
                </c:pt>
                <c:pt idx="1">
                  <c:v>54.997576000000002</c:v>
                </c:pt>
                <c:pt idx="2">
                  <c:v>79.272784000000001</c:v>
                </c:pt>
                <c:pt idx="3">
                  <c:v>112.22078400000001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0.95617189800000013</c:v>
                </c:pt>
                <c:pt idx="1">
                  <c:v>0.97510140466666662</c:v>
                </c:pt>
                <c:pt idx="2">
                  <c:v>0.99075384933333333</c:v>
                </c:pt>
                <c:pt idx="3">
                  <c:v>0.99616821533333344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93-40D8-BF7F-471027B6551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93-40D8-BF7F-471027B6551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93-40D8-BF7F-471027B65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C8-423A-B3E0-AAB3345ADBB5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27.669640000000001</c:v>
                </c:pt>
                <c:pt idx="1">
                  <c:v>40.101375999999995</c:v>
                </c:pt>
                <c:pt idx="2">
                  <c:v>59.784072000000002</c:v>
                </c:pt>
                <c:pt idx="3">
                  <c:v>87.085999999999999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0.97376615666666688</c:v>
                </c:pt>
                <c:pt idx="1">
                  <c:v>0.98478156476190482</c:v>
                </c:pt>
                <c:pt idx="2">
                  <c:v>0.99276242000000015</c:v>
                </c:pt>
                <c:pt idx="3">
                  <c:v>0.99653659285714302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C8-423A-B3E0-AAB3345ADB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C8-423A-B3E0-AAB3345ADB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C8-423A-B3E0-AAB3345AD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80-42F5-A35F-168B39EC5367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28.540488</c:v>
                </c:pt>
                <c:pt idx="1">
                  <c:v>41.507936000000001</c:v>
                </c:pt>
                <c:pt idx="2">
                  <c:v>62.100007999999995</c:v>
                </c:pt>
                <c:pt idx="3">
                  <c:v>90.502672000000004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0.97350526380952374</c:v>
                </c:pt>
                <c:pt idx="1">
                  <c:v>0.98454666095238119</c:v>
                </c:pt>
                <c:pt idx="2">
                  <c:v>0.99266297714285723</c:v>
                </c:pt>
                <c:pt idx="3">
                  <c:v>0.99644819380952421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80-42F5-A35F-168B39EC536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80-42F5-A35F-168B39EC536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80-42F5-A35F-168B39EC5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5B-4621-AA5C-A55EA994DFD2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5B-4621-AA5C-A55EA994DFD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5B-4621-AA5C-A55EA994DFD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5B-4621-AA5C-A55EA994D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6D-4EB3-AE9F-6E578C1F03C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6D-4EB3-AE9F-6E578C1F03C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6D-4EB3-AE9F-6E578C1F03C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6D-4EB3-AE9F-6E578C1F0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20-427D-BB77-4B4CB38CA1B5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20-427D-BB77-4B4CB38CA1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20-427D-BB77-4B4CB38CA1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20-427D-BB77-4B4CB38CA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87-403C-A29A-65498AA1ADB9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87-403C-A29A-65498AA1ADB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87-403C-A29A-65498AA1ADB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87-403C-A29A-65498AA1A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32-49F7-86A0-F8FFE66E340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32-49F7-86A0-F8FFE66E340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32-49F7-86A0-F8FFE66E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36-4995-9551-42F5E096A94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36-4995-9551-42F5E096A94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36-4995-9551-42F5E096A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55-4E68-9895-06AA8B2183B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55-4E68-9895-06AA8B2183B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55-4E68-9895-06AA8B218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D9-4ADD-AD02-083C4A28CD50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37.258304000000003</c:v>
                </c:pt>
                <c:pt idx="1">
                  <c:v>53.552256</c:v>
                </c:pt>
                <c:pt idx="2">
                  <c:v>77.011648000000008</c:v>
                </c:pt>
                <c:pt idx="3">
                  <c:v>108.95232800000001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0.95656745200000004</c:v>
                </c:pt>
                <c:pt idx="1">
                  <c:v>0.9750630813333333</c:v>
                </c:pt>
                <c:pt idx="2">
                  <c:v>0.99092613600000012</c:v>
                </c:pt>
                <c:pt idx="3">
                  <c:v>0.99631829266666661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D9-4ADD-AD02-083C4A28CD5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D9-4ADD-AD02-083C4A28CD5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D9-4ADD-AD02-083C4A28C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4-4034-8C7B-7C022B39C056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38.184640000000002</c:v>
                </c:pt>
                <c:pt idx="1">
                  <c:v>54.997576000000002</c:v>
                </c:pt>
                <c:pt idx="2">
                  <c:v>79.272784000000001</c:v>
                </c:pt>
                <c:pt idx="3">
                  <c:v>112.22078400000001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5.7400421799999983E-2</c:v>
                </c:pt>
                <c:pt idx="1">
                  <c:v>3.308151333333334E-2</c:v>
                </c:pt>
                <c:pt idx="2">
                  <c:v>1.6320952600000001E-2</c:v>
                </c:pt>
                <c:pt idx="3">
                  <c:v>9.6061324333333309E-3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4-4034-8C7B-7C022B39C05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4-4034-8C7B-7C022B39C05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4-4034-8C7B-7C022B39C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3A-40A1-AF7B-1C2B4D04363D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27.669640000000001</c:v>
                </c:pt>
                <c:pt idx="1">
                  <c:v>40.101375999999995</c:v>
                </c:pt>
                <c:pt idx="2">
                  <c:v>59.784072000000002</c:v>
                </c:pt>
                <c:pt idx="3">
                  <c:v>87.085999999999999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5.6413153428571429E-2</c:v>
                </c:pt>
                <c:pt idx="1">
                  <c:v>3.691522842857143E-2</c:v>
                </c:pt>
                <c:pt idx="2">
                  <c:v>2.0677309523809525E-2</c:v>
                </c:pt>
                <c:pt idx="3">
                  <c:v>8.7400303904761906E-3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3A-40A1-AF7B-1C2B4D0436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3A-40A1-AF7B-1C2B4D0436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87.085999999999999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3A-40A1-AF7B-1C2B4D043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92-49BD-ACB2-17D012414EE0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28.540488</c:v>
                </c:pt>
                <c:pt idx="1">
                  <c:v>41.507936000000001</c:v>
                </c:pt>
                <c:pt idx="2">
                  <c:v>62.100007999999995</c:v>
                </c:pt>
                <c:pt idx="3">
                  <c:v>90.502672000000004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5.6924861285714293E-2</c:v>
                </c:pt>
                <c:pt idx="1">
                  <c:v>3.726052642857143E-2</c:v>
                </c:pt>
                <c:pt idx="2">
                  <c:v>2.0587333904761907E-2</c:v>
                </c:pt>
                <c:pt idx="3">
                  <c:v>9.0270058571428578E-3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92-49BD-ACB2-17D012414E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92-49BD-ACB2-17D012414E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90.502672000000004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92-49BD-ACB2-17D01241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7F-455F-90D4-0A05B7F2FE63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7F-455F-90D4-0A05B7F2FE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7F-455F-90D4-0A05B7F2FE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7F-455F-90D4-0A05B7F2F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1A-44F0-9E5A-E9BB748D2BBB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1A-44F0-9E5A-E9BB748D2B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1A-44F0-9E5A-E9BB748D2B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1A-44F0-9E5A-E9BB748D2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B3-419B-8392-515A5E213EE4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B3-419B-8392-515A5E213EE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B3-419B-8392-515A5E213EE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B3-419B-8392-515A5E213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28-4BF6-ADE8-2179A2F5083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28-4BF6-ADE8-2179A2F5083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28-4BF6-ADE8-2179A2F50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7B-4571-86A1-5D61A2B7B11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7B-4571-86A1-5D61A2B7B11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7B-4571-86A1-5D61A2B7B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4-4756-AFB2-B9A70995351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E4-4756-AFB2-B9A70995351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E4-4756-AFB2-B9A709953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7F-4C91-841E-D94ECFECEA44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37.258304000000003</c:v>
                </c:pt>
                <c:pt idx="1">
                  <c:v>53.552256</c:v>
                </c:pt>
                <c:pt idx="2">
                  <c:v>77.011648000000008</c:v>
                </c:pt>
                <c:pt idx="3">
                  <c:v>108.95232800000001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5.6334636800000011E-2</c:v>
                </c:pt>
                <c:pt idx="1">
                  <c:v>3.2284197600000009E-2</c:v>
                </c:pt>
                <c:pt idx="2">
                  <c:v>1.5839577866666663E-2</c:v>
                </c:pt>
                <c:pt idx="3">
                  <c:v>8.9975193666666665E-3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7F-4C91-841E-D94ECFECEA4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7F-4C91-841E-D94ECFECEA4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112.22078400000001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7F-4C91-841E-D94ECFECE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I8" sqref="I8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-0.12614777934602039</v>
      </c>
      <c r="E9" s="218">
        <f t="shared" ref="E9:E18" ca="1" si="2">INDIRECT($C9&amp;"!AN$5")</f>
        <v>-0.14958070580943339</v>
      </c>
      <c r="F9" s="218">
        <f t="shared" ref="F9:F18" ca="1" si="3">INDIRECT($C9&amp;"!AO$5")</f>
        <v>-3.0637155304988894E-3</v>
      </c>
      <c r="G9" s="218">
        <f t="shared" ref="G9:G18" ca="1" si="4">INDIRECT($C9&amp;"!AP$5")</f>
        <v>-3.5023655810908827E-2</v>
      </c>
      <c r="H9" s="219">
        <f t="shared" ref="H9:H18" ca="1" si="5">INDIRECT($C9&amp;"!AQ$5")</f>
        <v>-0.16012847633072935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-0.12736098162652976</v>
      </c>
      <c r="E10" s="218">
        <f t="shared" ca="1" si="2"/>
        <v>-0.15411531265882927</v>
      </c>
      <c r="F10" s="218">
        <f t="shared" ca="1" si="3"/>
        <v>-4.2465375322980892E-3</v>
      </c>
      <c r="G10" s="218">
        <f t="shared" ca="1" si="4"/>
        <v>-4.109891719310832E-2</v>
      </c>
      <c r="H10" s="221">
        <f t="shared" ca="1" si="5"/>
        <v>-0.16527360418621606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-0.12837010663848136</v>
      </c>
      <c r="E11" s="218">
        <f t="shared" ca="1" si="2"/>
        <v>-9.6729986604429108E-2</v>
      </c>
      <c r="F11" s="218">
        <f t="shared" ca="1" si="3"/>
        <v>-2.5040192945311457E-3</v>
      </c>
      <c r="G11" s="218">
        <f t="shared" ca="1" si="4"/>
        <v>-1.8007885769082188E-2</v>
      </c>
      <c r="H11" s="221">
        <f t="shared" ca="1" si="5"/>
        <v>-0.13626393643843848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-0.13960252552233188</v>
      </c>
      <c r="E12" s="218">
        <f t="shared" ca="1" si="2"/>
        <v>-0.10746902697084137</v>
      </c>
      <c r="F12" s="218">
        <f t="shared" ca="1" si="3"/>
        <v>-3.7678148051661919E-3</v>
      </c>
      <c r="G12" s="218">
        <f t="shared" ca="1" si="4"/>
        <v>-2.7308828740814528E-2</v>
      </c>
      <c r="H12" s="221">
        <f t="shared" ca="1" si="5"/>
        <v>-0.1529666117682541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23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37.258304000000003</v>
      </c>
      <c r="I7" s="10"/>
      <c r="J7" s="228">
        <f ca="1">H7/D7-1</f>
        <v>6.0710483748322996E-3</v>
      </c>
      <c r="L7" s="74">
        <f ca="1">INDIRECT($B7&amp;"!"&amp;L$3&amp;"5")</f>
        <v>27.262733600000001</v>
      </c>
      <c r="M7" s="75">
        <f ca="1">INDIRECT($B7&amp;"!"&amp;M$3&amp;"5")</f>
        <v>27.996553933333338</v>
      </c>
      <c r="N7" s="76">
        <f ca="1">M7-L7</f>
        <v>0.73382033333333752</v>
      </c>
      <c r="O7" s="226"/>
      <c r="P7" s="228">
        <f ca="1">bdrate(D7:D10,L7:L10,H7:H10,M7:M10)</f>
        <v>-0.12614777934602039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53.552256</v>
      </c>
      <c r="I8" s="10"/>
      <c r="J8" s="228">
        <f ca="1">H8/D8-1</f>
        <v>5.8006805274373185E-3</v>
      </c>
      <c r="L8" s="74">
        <f ca="1">INDIRECT($B8&amp;"!"&amp;L$3&amp;"6")</f>
        <v>30.5955504</v>
      </c>
      <c r="M8" s="75">
        <f ca="1">INDIRECT($B8&amp;"!"&amp;M$3&amp;"6")</f>
        <v>31.852176133333334</v>
      </c>
      <c r="N8" s="76">
        <f ca="1">M8-L8</f>
        <v>1.2566257333333333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77.011648000000008</v>
      </c>
      <c r="I9" s="10"/>
      <c r="J9" s="228">
        <f ca="1">H9/D9-1</f>
        <v>3.104098537544342E-3</v>
      </c>
      <c r="L9" s="74">
        <f ca="1">INDIRECT($B9&amp;"!"&amp;L$3&amp;"7")</f>
        <v>35.178384000000008</v>
      </c>
      <c r="M9" s="75">
        <f ca="1">INDIRECT($B9&amp;"!"&amp;M$3&amp;"7")</f>
        <v>37.416573933333332</v>
      </c>
      <c r="N9" s="76">
        <f ca="1">M9-L9</f>
        <v>2.2381899333333237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108.95232800000001</v>
      </c>
      <c r="I10" s="10"/>
      <c r="J10" s="228">
        <f ca="1">H10/D10-1</f>
        <v>8.2893872107248079E-4</v>
      </c>
      <c r="L10" s="74">
        <f ca="1">INDIRECT($B10&amp;"!"&amp;L$3&amp;"8")</f>
        <v>37.847506266666663</v>
      </c>
      <c r="M10" s="75">
        <f ca="1">INDIRECT($B10&amp;"!"&amp;M$3&amp;"8")</f>
        <v>41.041287266666664</v>
      </c>
      <c r="N10" s="76">
        <f ca="1">M10-L10</f>
        <v>3.1937810000000013</v>
      </c>
      <c r="O10" s="226"/>
      <c r="P10" s="231">
        <f ca="1">bdrate(L7:L10,D7:D10,M7:M10,H7:H10)</f>
        <v>5.6847709593923934E-2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108.95232800000001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23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38.184640000000002</v>
      </c>
      <c r="I18" s="10"/>
      <c r="J18" s="228">
        <f ca="1">H18/D18-1</f>
        <v>6.3099403750797034E-3</v>
      </c>
      <c r="L18" s="74">
        <f ca="1">INDIRECT($B18&amp;"!"&amp;L$3&amp;"5")</f>
        <v>27.225800466666666</v>
      </c>
      <c r="M18" s="75">
        <f ca="1">INDIRECT($B18&amp;"!"&amp;M$3&amp;"5")</f>
        <v>27.943144866666664</v>
      </c>
      <c r="N18" s="76">
        <f ca="1">M18-L18</f>
        <v>0.71734439999999822</v>
      </c>
      <c r="O18" s="226"/>
      <c r="P18" s="228">
        <f ca="1">bdrate(D18:D21,L18:L21,H18:H21,M18:M21)</f>
        <v>-0.12736098162653264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54.997576000000002</v>
      </c>
      <c r="I19" s="10"/>
      <c r="J19" s="228">
        <f ca="1">H19/D19-1</f>
        <v>5.7790588594679448E-3</v>
      </c>
      <c r="L19" s="74">
        <f ca="1">INDIRECT($B19&amp;"!"&amp;L$3&amp;"6")</f>
        <v>30.717614933333337</v>
      </c>
      <c r="M19" s="75">
        <f ca="1">INDIRECT($B19&amp;"!"&amp;M$3&amp;"6")</f>
        <v>31.995453399999992</v>
      </c>
      <c r="N19" s="76">
        <f ca="1">M19-L19</f>
        <v>1.2778384666666547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79.272784000000001</v>
      </c>
      <c r="I20" s="10"/>
      <c r="J20" s="228">
        <f ca="1">H20/D20-1</f>
        <v>2.9350920471546971E-3</v>
      </c>
      <c r="L20" s="74">
        <f ca="1">INDIRECT($B20&amp;"!"&amp;L$3&amp;"7")</f>
        <v>35.108155866666671</v>
      </c>
      <c r="M20" s="75">
        <f ca="1">INDIRECT($B20&amp;"!"&amp;M$3&amp;"7")</f>
        <v>37.318707333333329</v>
      </c>
      <c r="N20" s="76">
        <f ca="1">M20-L20</f>
        <v>2.2105514666666579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112.22078400000001</v>
      </c>
      <c r="I21" s="10"/>
      <c r="J21" s="228">
        <f ca="1">H21/D21-1</f>
        <v>6.824781597360996E-4</v>
      </c>
      <c r="L21" s="74">
        <f ca="1">INDIRECT($B21&amp;"!"&amp;L$3&amp;"8")</f>
        <v>37.605895933333336</v>
      </c>
      <c r="M21" s="75">
        <f ca="1">INDIRECT($B21&amp;"!"&amp;M$3&amp;"8")</f>
        <v>40.742753533333335</v>
      </c>
      <c r="N21" s="76">
        <f ca="1">M21-L21</f>
        <v>3.136857599999999</v>
      </c>
      <c r="O21" s="226"/>
      <c r="P21" s="231">
        <f ca="1">bdrate(L18:L21,D18:D21,M18:M21,H18:H21)</f>
        <v>5.6521799619683399E-2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112.22078400000001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23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27.669640000000001</v>
      </c>
      <c r="I29" s="10"/>
      <c r="J29" s="228">
        <f ca="1">H29/D29-1</f>
        <v>7.7336093109823256E-3</v>
      </c>
      <c r="L29" s="74">
        <f ca="1">INDIRECT($B29&amp;"!"&amp;L$3&amp;"5")</f>
        <v>30.246270333333335</v>
      </c>
      <c r="M29" s="75">
        <f ca="1">INDIRECT($B29&amp;"!"&amp;M$3&amp;"5")</f>
        <v>30.616972761904755</v>
      </c>
      <c r="N29" s="76">
        <f ca="1">M29-L29</f>
        <v>0.37070242857141977</v>
      </c>
      <c r="O29" s="226"/>
      <c r="P29" s="228">
        <f ca="1">bdrate(D29:D32,L29:L32,H29:H32,M29:M32)</f>
        <v>-0.12837010663848347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40.101375999999995</v>
      </c>
      <c r="I30" s="10"/>
      <c r="J30" s="228">
        <f ca="1">H30/D30-1</f>
        <v>9.3019715798370317E-3</v>
      </c>
      <c r="L30" s="74">
        <f ca="1">INDIRECT($B30&amp;"!"&amp;L$3&amp;"6")</f>
        <v>33.072678761904761</v>
      </c>
      <c r="M30" s="75">
        <f ca="1">INDIRECT($B30&amp;"!"&amp;M$3&amp;"6")</f>
        <v>33.957413857142853</v>
      </c>
      <c r="N30" s="76">
        <f ca="1">M30-L30</f>
        <v>0.88473509523809213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59.784072000000002</v>
      </c>
      <c r="I31" s="10"/>
      <c r="J31" s="228">
        <f ca="1">H31/D31-1</f>
        <v>3.897233717687687E-3</v>
      </c>
      <c r="L31" s="74">
        <f ca="1">INDIRECT($B31&amp;"!"&amp;L$3&amp;"7")</f>
        <v>36.281602476190471</v>
      </c>
      <c r="M31" s="75">
        <f ca="1">INDIRECT($B31&amp;"!"&amp;M$3&amp;"7")</f>
        <v>38.11388238095239</v>
      </c>
      <c r="N31" s="76">
        <f ca="1">M31-L31</f>
        <v>1.8322799047619185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87.085999999999999</v>
      </c>
      <c r="I32" s="10"/>
      <c r="J32" s="228">
        <f ca="1">H32/D32-1</f>
        <v>1.0853463709776801E-3</v>
      </c>
      <c r="L32" s="74">
        <f ca="1">INDIRECT($B32&amp;"!"&amp;L$3&amp;"8")</f>
        <v>39.436459095238085</v>
      </c>
      <c r="M32" s="75">
        <f ca="1">INDIRECT($B32&amp;"!"&amp;M$3&amp;"8")</f>
        <v>42.550639666666662</v>
      </c>
      <c r="N32" s="76">
        <f ca="1">M32-L32</f>
        <v>3.1141805714285766</v>
      </c>
      <c r="O32" s="226"/>
      <c r="P32" s="231">
        <f ca="1">bdrate(L29:L32,D29:D32,M29:M32,H29:H32)</f>
        <v>4.5391288751324144E-2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87.085999999999999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23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28.540488</v>
      </c>
      <c r="I40" s="10"/>
      <c r="J40" s="228">
        <f ca="1">H40/D40-1</f>
        <v>7.8977716728922953E-3</v>
      </c>
      <c r="L40" s="74">
        <f ca="1">INDIRECT($B40&amp;"!"&amp;L$3&amp;"5")</f>
        <v>30.214093190476195</v>
      </c>
      <c r="M40" s="75">
        <f ca="1">INDIRECT($B40&amp;"!"&amp;M$3&amp;"5")</f>
        <v>30.646398238095237</v>
      </c>
      <c r="N40" s="76">
        <f ca="1">M40-L40</f>
        <v>0.43230504761904243</v>
      </c>
      <c r="O40" s="226"/>
      <c r="P40" s="228">
        <f ca="1">bdrate(D40:D43,L40:L43,H40:H43,M40:M43)</f>
        <v>-0.13960252552232943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41.507936000000001</v>
      </c>
      <c r="I41" s="10"/>
      <c r="J41" s="228">
        <f ca="1">H41/D41-1</f>
        <v>9.2751920417211142E-3</v>
      </c>
      <c r="L41" s="74">
        <f ca="1">INDIRECT($B41&amp;"!"&amp;L$3&amp;"6")</f>
        <v>32.999578714285725</v>
      </c>
      <c r="M41" s="75">
        <f ca="1">INDIRECT($B41&amp;"!"&amp;M$3&amp;"6")</f>
        <v>33.989762476190478</v>
      </c>
      <c r="N41" s="76">
        <f ca="1">M41-L41</f>
        <v>0.99018376190475266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62.100007999999995</v>
      </c>
      <c r="I42" s="10"/>
      <c r="J42" s="228">
        <f ca="1">H42/D42-1</f>
        <v>3.7980740010836733E-3</v>
      </c>
      <c r="L42" s="74">
        <f ca="1">INDIRECT($B42&amp;"!"&amp;L$3&amp;"7")</f>
        <v>36.248342999999991</v>
      </c>
      <c r="M42" s="75">
        <f ca="1">INDIRECT($B42&amp;"!"&amp;M$3&amp;"7")</f>
        <v>38.216646714285716</v>
      </c>
      <c r="N42" s="76">
        <f ca="1">M42-L42</f>
        <v>1.9683037142857245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90.502672000000004</v>
      </c>
      <c r="I43" s="10"/>
      <c r="J43" s="228">
        <f ca="1">H43/D43-1</f>
        <v>9.5017782101458614E-4</v>
      </c>
      <c r="L43" s="74">
        <f ca="1">INDIRECT($B43&amp;"!"&amp;L$3&amp;"8")</f>
        <v>39.028174857142858</v>
      </c>
      <c r="M43" s="75">
        <f ca="1">INDIRECT($B43&amp;"!"&amp;M$3&amp;"8")</f>
        <v>42.442521238095246</v>
      </c>
      <c r="N43" s="76">
        <f ca="1">M43-L43</f>
        <v>3.414346380952388</v>
      </c>
      <c r="O43" s="226"/>
      <c r="P43" s="231">
        <f ca="1">bdrate(L40:L43,D40:D43,M40:M43,H40:H43)</f>
        <v>4.9760187653578924E-2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90.502672000000004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23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23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23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23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23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23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34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37.258304000000003</v>
      </c>
      <c r="I7" s="10"/>
      <c r="J7" s="228">
        <f ca="1">H7/D7-1</f>
        <v>6.0710483748322996E-3</v>
      </c>
      <c r="L7" s="74">
        <f ca="1">INDIRECT($B7&amp;"!"&amp;L$3&amp;"5")</f>
        <v>32.469316800000001</v>
      </c>
      <c r="M7" s="75">
        <f ca="1">INDIRECT($B7&amp;"!"&amp;M$3&amp;"5")</f>
        <v>33.892481533333338</v>
      </c>
      <c r="N7" s="76">
        <f ca="1">M7-L7</f>
        <v>1.423164733333337</v>
      </c>
      <c r="O7" s="226"/>
      <c r="P7" s="228">
        <f ca="1">bdrate(D7:D10,L7:L10,H7:H10,M7:M10)</f>
        <v>-0.14958070580943073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53.552256</v>
      </c>
      <c r="I8" s="10"/>
      <c r="J8" s="228">
        <f ca="1">H8/D8-1</f>
        <v>5.8006805274373185E-3</v>
      </c>
      <c r="L8" s="74">
        <f ca="1">INDIRECT($B8&amp;"!"&amp;L$3&amp;"6")</f>
        <v>35.243102133333331</v>
      </c>
      <c r="M8" s="75">
        <f ca="1">INDIRECT($B8&amp;"!"&amp;M$3&amp;"6")</f>
        <v>36.672791666666669</v>
      </c>
      <c r="N8" s="76">
        <f ca="1">M8-L8</f>
        <v>1.4296895333333381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77.011648000000008</v>
      </c>
      <c r="I9" s="10"/>
      <c r="J9" s="228">
        <f ca="1">H9/D9-1</f>
        <v>3.104098537544342E-3</v>
      </c>
      <c r="L9" s="74">
        <f ca="1">INDIRECT($B9&amp;"!"&amp;L$3&amp;"7")</f>
        <v>39.28737146666667</v>
      </c>
      <c r="M9" s="75">
        <f ca="1">INDIRECT($B9&amp;"!"&amp;M$3&amp;"7")</f>
        <v>41.060205799999999</v>
      </c>
      <c r="N9" s="76">
        <f ca="1">M9-L9</f>
        <v>1.7728343333333285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108.95232800000001</v>
      </c>
      <c r="I10" s="10"/>
      <c r="J10" s="228">
        <f ca="1">H10/D10-1</f>
        <v>8.2893872107248079E-4</v>
      </c>
      <c r="L10" s="74">
        <f ca="1">INDIRECT($B10&amp;"!"&amp;L$3&amp;"8")</f>
        <v>41.929521733333331</v>
      </c>
      <c r="M10" s="75">
        <f ca="1">INDIRECT($B10&amp;"!"&amp;M$3&amp;"8")</f>
        <v>44.300270066666663</v>
      </c>
      <c r="N10" s="76">
        <f ca="1">M10-L10</f>
        <v>2.3707483333333315</v>
      </c>
      <c r="O10" s="226"/>
      <c r="P10" s="231">
        <f ca="1">bdrate(L7:L10,D7:D10,M7:M10,H7:H10)</f>
        <v>4.4823386081245475E-2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108.95232800000001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34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38.184640000000002</v>
      </c>
      <c r="I18" s="10"/>
      <c r="J18" s="228">
        <f ca="1">H18/D18-1</f>
        <v>6.3099403750797034E-3</v>
      </c>
      <c r="L18" s="74">
        <f ca="1">INDIRECT($B18&amp;"!"&amp;L$3&amp;"5")</f>
        <v>32.321196866666668</v>
      </c>
      <c r="M18" s="75">
        <f ca="1">INDIRECT($B18&amp;"!"&amp;M$3&amp;"5")</f>
        <v>33.852189999999993</v>
      </c>
      <c r="N18" s="76">
        <f ca="1">M18-L18</f>
        <v>1.5309931333333253</v>
      </c>
      <c r="O18" s="226"/>
      <c r="P18" s="228">
        <f ca="1">bdrate(D18:D21,L18:L21,H18:H21,M18:M21)</f>
        <v>-0.15411531265882805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54.997576000000002</v>
      </c>
      <c r="I19" s="10"/>
      <c r="J19" s="228">
        <f ca="1">H19/D19-1</f>
        <v>5.7790588594679448E-3</v>
      </c>
      <c r="L19" s="74">
        <f ca="1">INDIRECT($B19&amp;"!"&amp;L$3&amp;"6")</f>
        <v>35.232715600000006</v>
      </c>
      <c r="M19" s="75">
        <f ca="1">INDIRECT($B19&amp;"!"&amp;M$3&amp;"6")</f>
        <v>36.725632800000007</v>
      </c>
      <c r="N19" s="76">
        <f ca="1">M19-L19</f>
        <v>1.4929172000000008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79.272784000000001</v>
      </c>
      <c r="I20" s="10"/>
      <c r="J20" s="228">
        <f ca="1">H20/D20-1</f>
        <v>2.9350920471546971E-3</v>
      </c>
      <c r="L20" s="74">
        <f ca="1">INDIRECT($B20&amp;"!"&amp;L$3&amp;"7")</f>
        <v>39.210842266666667</v>
      </c>
      <c r="M20" s="75">
        <f ca="1">INDIRECT($B20&amp;"!"&amp;M$3&amp;"7")</f>
        <v>40.946754533333333</v>
      </c>
      <c r="N20" s="76">
        <f ca="1">M20-L20</f>
        <v>1.7359122666666664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112.22078400000001</v>
      </c>
      <c r="I21" s="10"/>
      <c r="J21" s="228">
        <f ca="1">H21/D21-1</f>
        <v>6.824781597360996E-4</v>
      </c>
      <c r="L21" s="74">
        <f ca="1">INDIRECT($B21&amp;"!"&amp;L$3&amp;"8")</f>
        <v>41.687570999999998</v>
      </c>
      <c r="M21" s="75">
        <f ca="1">INDIRECT($B21&amp;"!"&amp;M$3&amp;"8")</f>
        <v>44.0402998</v>
      </c>
      <c r="N21" s="76">
        <f ca="1">M21-L21</f>
        <v>2.3527288000000013</v>
      </c>
      <c r="O21" s="226"/>
      <c r="P21" s="231">
        <f ca="1">bdrate(L18:L21,D18:D21,M18:M21,H18:H21)</f>
        <v>4.5213767037950214E-2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112.22078400000001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34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27.669640000000001</v>
      </c>
      <c r="I29" s="10"/>
      <c r="J29" s="228">
        <f ca="1">H29/D29-1</f>
        <v>7.7336093109823256E-3</v>
      </c>
      <c r="L29" s="74">
        <f ca="1">INDIRECT($B29&amp;"!"&amp;L$3&amp;"5")</f>
        <v>33.862599857142854</v>
      </c>
      <c r="M29" s="75">
        <f ca="1">INDIRECT($B29&amp;"!"&amp;M$3&amp;"5")</f>
        <v>34.517791333333335</v>
      </c>
      <c r="N29" s="76">
        <f ca="1">M29-L29</f>
        <v>0.65519147619048113</v>
      </c>
      <c r="O29" s="226"/>
      <c r="P29" s="228">
        <f ca="1">bdrate(D29:D32,L29:L32,H29:H32,M29:M32)</f>
        <v>-9.6729986604429663E-2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40.101375999999995</v>
      </c>
      <c r="I30" s="10"/>
      <c r="J30" s="228">
        <f ca="1">H30/D30-1</f>
        <v>9.3019715798370317E-3</v>
      </c>
      <c r="L30" s="74">
        <f ca="1">INDIRECT($B30&amp;"!"&amp;L$3&amp;"6")</f>
        <v>36.632195285714296</v>
      </c>
      <c r="M30" s="75">
        <f ca="1">INDIRECT($B30&amp;"!"&amp;M$3&amp;"6")</f>
        <v>37.325451047619048</v>
      </c>
      <c r="N30" s="76">
        <f ca="1">M30-L30</f>
        <v>0.69325576190475147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59.784072000000002</v>
      </c>
      <c r="I31" s="10"/>
      <c r="J31" s="228">
        <f ca="1">H31/D31-1</f>
        <v>3.897233717687687E-3</v>
      </c>
      <c r="L31" s="74">
        <f ca="1">INDIRECT($B31&amp;"!"&amp;L$3&amp;"7")</f>
        <v>40.251414476190476</v>
      </c>
      <c r="M31" s="75">
        <f ca="1">INDIRECT($B31&amp;"!"&amp;M$3&amp;"7")</f>
        <v>41.416858999999995</v>
      </c>
      <c r="N31" s="76">
        <f ca="1">M31-L31</f>
        <v>1.1654445238095192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87.085999999999999</v>
      </c>
      <c r="I32" s="10"/>
      <c r="J32" s="228">
        <f ca="1">H32/D32-1</f>
        <v>1.0853463709776801E-3</v>
      </c>
      <c r="L32" s="74">
        <f ca="1">INDIRECT($B32&amp;"!"&amp;L$3&amp;"8")</f>
        <v>43.588469761904761</v>
      </c>
      <c r="M32" s="75">
        <f ca="1">INDIRECT($B32&amp;"!"&amp;M$3&amp;"8")</f>
        <v>45.58862514285714</v>
      </c>
      <c r="N32" s="76">
        <f ca="1">M32-L32</f>
        <v>2.0001553809523784</v>
      </c>
      <c r="O32" s="226"/>
      <c r="P32" s="231">
        <f ca="1">bdrate(L29:L32,D29:D32,M29:M32,H29:H32)</f>
        <v>2.7533867292141467E-2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87.085999999999999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34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28.540488</v>
      </c>
      <c r="I40" s="10"/>
      <c r="J40" s="228">
        <f ca="1">H40/D40-1</f>
        <v>7.8977716728922953E-3</v>
      </c>
      <c r="L40" s="74">
        <f ca="1">INDIRECT($B40&amp;"!"&amp;L$3&amp;"5")</f>
        <v>33.832055285714283</v>
      </c>
      <c r="M40" s="75">
        <f ca="1">INDIRECT($B40&amp;"!"&amp;M$3&amp;"5")</f>
        <v>34.544131476190479</v>
      </c>
      <c r="N40" s="76">
        <f ca="1">M40-L40</f>
        <v>0.7120761904761963</v>
      </c>
      <c r="O40" s="226"/>
      <c r="P40" s="228">
        <f ca="1">bdrate(D40:D43,L40:L43,H40:H43,M40:M43)</f>
        <v>-0.10746902697084137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41.507936000000001</v>
      </c>
      <c r="I41" s="10"/>
      <c r="J41" s="228">
        <f ca="1">H41/D41-1</f>
        <v>9.2751920417211142E-3</v>
      </c>
      <c r="L41" s="74">
        <f ca="1">INDIRECT($B41&amp;"!"&amp;L$3&amp;"6")</f>
        <v>36.531831238095236</v>
      </c>
      <c r="M41" s="75">
        <f ca="1">INDIRECT($B41&amp;"!"&amp;M$3&amp;"6")</f>
        <v>37.335705047619044</v>
      </c>
      <c r="N41" s="76">
        <f ca="1">M41-L41</f>
        <v>0.80387380952380738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62.100007999999995</v>
      </c>
      <c r="I42" s="10"/>
      <c r="J42" s="228">
        <f ca="1">H42/D42-1</f>
        <v>3.7980740010836733E-3</v>
      </c>
      <c r="L42" s="74">
        <f ca="1">INDIRECT($B42&amp;"!"&amp;L$3&amp;"7")</f>
        <v>40.276491190476186</v>
      </c>
      <c r="M42" s="75">
        <f ca="1">INDIRECT($B42&amp;"!"&amp;M$3&amp;"7")</f>
        <v>41.525656476190477</v>
      </c>
      <c r="N42" s="76">
        <f ca="1">M42-L42</f>
        <v>1.249165285714291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90.502672000000004</v>
      </c>
      <c r="I43" s="10"/>
      <c r="J43" s="228">
        <f ca="1">H43/D43-1</f>
        <v>9.5017782101458614E-4</v>
      </c>
      <c r="L43" s="74">
        <f ca="1">INDIRECT($B43&amp;"!"&amp;L$3&amp;"8")</f>
        <v>43.229996952380951</v>
      </c>
      <c r="M43" s="75">
        <f ca="1">INDIRECT($B43&amp;"!"&amp;M$3&amp;"8")</f>
        <v>45.497991142857146</v>
      </c>
      <c r="N43" s="76">
        <f ca="1">M43-L43</f>
        <v>2.2679941904761947</v>
      </c>
      <c r="O43" s="226"/>
      <c r="P43" s="231">
        <f ca="1">bdrate(L40:L43,D40:D43,M40:M43,H40:H43)</f>
        <v>3.0667858500619261E-2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90.502672000000004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34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34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34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34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34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34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37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37.258304000000003</v>
      </c>
      <c r="I7" s="10"/>
      <c r="J7" s="228">
        <f ca="1">H7/D7-1</f>
        <v>6.0710483748322996E-3</v>
      </c>
      <c r="L7" s="74">
        <f ca="1">INDIRECT($B7&amp;"!"&amp;L$3&amp;"5")</f>
        <v>0.95834516733333319</v>
      </c>
      <c r="M7" s="75">
        <f ca="1">INDIRECT($B7&amp;"!"&amp;M$3&amp;"5")</f>
        <v>0.95820572133333326</v>
      </c>
      <c r="N7" s="76">
        <f ca="1">M7-L7</f>
        <v>-1.3944599999993201E-4</v>
      </c>
      <c r="O7" s="226"/>
      <c r="P7" s="228">
        <f ca="1">bdrate(D7:D10,L7:L10,H7:H10,M7:M10)</f>
        <v>-3.0637155304975572E-3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53.552256</v>
      </c>
      <c r="I8" s="10"/>
      <c r="J8" s="228">
        <f ca="1">H8/D8-1</f>
        <v>5.8006805274373185E-3</v>
      </c>
      <c r="L8" s="74">
        <f ca="1">INDIRECT($B8&amp;"!"&amp;L$3&amp;"6")</f>
        <v>0.97572819666666666</v>
      </c>
      <c r="M8" s="75">
        <f ca="1">INDIRECT($B8&amp;"!"&amp;M$3&amp;"6")</f>
        <v>0.97602794066666654</v>
      </c>
      <c r="N8" s="76">
        <f ca="1">M8-L8</f>
        <v>2.9974399999987966E-4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77.011648000000008</v>
      </c>
      <c r="I9" s="10"/>
      <c r="J9" s="228">
        <f ca="1">H9/D9-1</f>
        <v>3.104098537544342E-3</v>
      </c>
      <c r="L9" s="74">
        <f ca="1">INDIRECT($B9&amp;"!"&amp;L$3&amp;"7")</f>
        <v>0.98810945533333316</v>
      </c>
      <c r="M9" s="75">
        <f ca="1">INDIRECT($B9&amp;"!"&amp;M$3&amp;"7")</f>
        <v>0.98841363066666665</v>
      </c>
      <c r="N9" s="76">
        <f ca="1">M9-L9</f>
        <v>3.0417533333348956E-4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108.95232800000001</v>
      </c>
      <c r="I10" s="10"/>
      <c r="J10" s="228">
        <f ca="1">H10/D10-1</f>
        <v>8.2893872107248079E-4</v>
      </c>
      <c r="L10" s="74">
        <f ca="1">INDIRECT($B10&amp;"!"&amp;L$3&amp;"8")</f>
        <v>0.99241337466666668</v>
      </c>
      <c r="M10" s="75">
        <f ca="1">INDIRECT($B10&amp;"!"&amp;M$3&amp;"8")</f>
        <v>0.99281738066666669</v>
      </c>
      <c r="N10" s="76">
        <f ca="1">M10-L10</f>
        <v>4.040060000000123E-4</v>
      </c>
      <c r="O10" s="226"/>
      <c r="P10" s="231">
        <f ca="1">bdrate(L7:L10,D7:D10,M7:M10,H7:H10)</f>
        <v>1.6536240723352691E-4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108.95232800000001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37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38.184640000000002</v>
      </c>
      <c r="I18" s="10"/>
      <c r="J18" s="228">
        <f ca="1">H18/D18-1</f>
        <v>6.3099403750797034E-3</v>
      </c>
      <c r="L18" s="74">
        <f ca="1">INDIRECT($B18&amp;"!"&amp;L$3&amp;"5")</f>
        <v>0.95700066866666644</v>
      </c>
      <c r="M18" s="75">
        <f ca="1">INDIRECT($B18&amp;"!"&amp;M$3&amp;"5")</f>
        <v>0.95684386399999999</v>
      </c>
      <c r="N18" s="76">
        <f ca="1">M18-L18</f>
        <v>-1.5680466666645465E-4</v>
      </c>
      <c r="O18" s="226"/>
      <c r="P18" s="228">
        <f ca="1">bdrate(D18:D21,L18:L21,H18:H21,M18:M21)</f>
        <v>-4.2465375322989773E-3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54.997576000000002</v>
      </c>
      <c r="I19" s="10"/>
      <c r="J19" s="228">
        <f ca="1">H19/D19-1</f>
        <v>5.7790588594679448E-3</v>
      </c>
      <c r="L19" s="74">
        <f ca="1">INDIRECT($B19&amp;"!"&amp;L$3&amp;"6")</f>
        <v>0.97492547266666674</v>
      </c>
      <c r="M19" s="75">
        <f ca="1">INDIRECT($B19&amp;"!"&amp;M$3&amp;"6")</f>
        <v>0.97527889999999995</v>
      </c>
      <c r="N19" s="76">
        <f ca="1">M19-L19</f>
        <v>3.5342733333321164E-4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79.272784000000001</v>
      </c>
      <c r="I20" s="10"/>
      <c r="J20" s="228">
        <f ca="1">H20/D20-1</f>
        <v>2.9350920471546971E-3</v>
      </c>
      <c r="L20" s="74">
        <f ca="1">INDIRECT($B20&amp;"!"&amp;L$3&amp;"7")</f>
        <v>0.98757465333333327</v>
      </c>
      <c r="M20" s="75">
        <f ca="1">INDIRECT($B20&amp;"!"&amp;M$3&amp;"7")</f>
        <v>0.98793126666666686</v>
      </c>
      <c r="N20" s="76">
        <f ca="1">M20-L20</f>
        <v>3.5661333333358858E-4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112.22078400000001</v>
      </c>
      <c r="I21" s="10"/>
      <c r="J21" s="228">
        <f ca="1">H21/D21-1</f>
        <v>6.824781597360996E-4</v>
      </c>
      <c r="L21" s="74">
        <f ca="1">INDIRECT($B21&amp;"!"&amp;L$3&amp;"8")</f>
        <v>0.99193363933333345</v>
      </c>
      <c r="M21" s="75">
        <f ca="1">INDIRECT($B21&amp;"!"&amp;M$3&amp;"8")</f>
        <v>0.99238998400000011</v>
      </c>
      <c r="N21" s="76">
        <f ca="1">M21-L21</f>
        <v>4.5634466666666373E-4</v>
      </c>
      <c r="O21" s="226"/>
      <c r="P21" s="231">
        <f ca="1">bdrate(L18:L21,D18:D21,M18:M21,H18:H21)</f>
        <v>2.1158323640557697E-4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112.22078400000001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37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27.669640000000001</v>
      </c>
      <c r="I29" s="10"/>
      <c r="J29" s="228">
        <f ca="1">H29/D29-1</f>
        <v>7.7336093109823256E-3</v>
      </c>
      <c r="L29" s="74">
        <f ca="1">INDIRECT($B29&amp;"!"&amp;L$3&amp;"5")</f>
        <v>0.96684382285714265</v>
      </c>
      <c r="M29" s="75">
        <f ca="1">INDIRECT($B29&amp;"!"&amp;M$3&amp;"5")</f>
        <v>0.96686531714285739</v>
      </c>
      <c r="N29" s="76">
        <f ca="1">M29-L29</f>
        <v>2.1494285714740435E-5</v>
      </c>
      <c r="O29" s="226"/>
      <c r="P29" s="228">
        <f ca="1">bdrate(D29:D32,L29:L32,H29:H32,M29:M32)</f>
        <v>-2.5040192945298134E-3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40.101375999999995</v>
      </c>
      <c r="I30" s="10"/>
      <c r="J30" s="228">
        <f ca="1">H30/D30-1</f>
        <v>9.3019715798370317E-3</v>
      </c>
      <c r="L30" s="74">
        <f ca="1">INDIRECT($B30&amp;"!"&amp;L$3&amp;"6")</f>
        <v>0.98000114238095259</v>
      </c>
      <c r="M30" s="75">
        <f ca="1">INDIRECT($B30&amp;"!"&amp;M$3&amp;"6")</f>
        <v>0.98015443523809531</v>
      </c>
      <c r="N30" s="76">
        <f ca="1">M30-L30</f>
        <v>1.5329285714271723E-4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59.784072000000002</v>
      </c>
      <c r="I31" s="10"/>
      <c r="J31" s="228">
        <f ca="1">H31/D31-1</f>
        <v>3.897233717687687E-3</v>
      </c>
      <c r="L31" s="74">
        <f ca="1">INDIRECT($B31&amp;"!"&amp;L$3&amp;"7")</f>
        <v>0.98903340333333323</v>
      </c>
      <c r="M31" s="75">
        <f ca="1">INDIRECT($B31&amp;"!"&amp;M$3&amp;"7")</f>
        <v>0.98938974428571436</v>
      </c>
      <c r="N31" s="76">
        <f ca="1">M31-L31</f>
        <v>3.5634095238112895E-4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87.085999999999999</v>
      </c>
      <c r="I32" s="10"/>
      <c r="J32" s="228">
        <f ca="1">H32/D32-1</f>
        <v>1.0853463709776801E-3</v>
      </c>
      <c r="L32" s="74">
        <f ca="1">INDIRECT($B32&amp;"!"&amp;L$3&amp;"8")</f>
        <v>0.99375173238095238</v>
      </c>
      <c r="M32" s="75">
        <f ca="1">INDIRECT($B32&amp;"!"&amp;M$3&amp;"8")</f>
        <v>0.99409615952380948</v>
      </c>
      <c r="N32" s="76">
        <f ca="1">M32-L32</f>
        <v>3.4442714285709553E-4</v>
      </c>
      <c r="O32" s="226"/>
      <c r="P32" s="231">
        <f ca="1">bdrate(L29:L32,D29:D32,M29:M32,H29:H32)</f>
        <v>1.482640290868531E-4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87.085999999999999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37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28.540488</v>
      </c>
      <c r="I40" s="10"/>
      <c r="J40" s="228">
        <f ca="1">H40/D40-1</f>
        <v>7.8977716728922953E-3</v>
      </c>
      <c r="L40" s="74">
        <f ca="1">INDIRECT($B40&amp;"!"&amp;L$3&amp;"5")</f>
        <v>0.96582942476190481</v>
      </c>
      <c r="M40" s="75">
        <f ca="1">INDIRECT($B40&amp;"!"&amp;M$3&amp;"5")</f>
        <v>0.96607515047619041</v>
      </c>
      <c r="N40" s="76">
        <f ca="1">M40-L40</f>
        <v>2.4572571428560508E-4</v>
      </c>
      <c r="O40" s="226"/>
      <c r="P40" s="228">
        <f ca="1">bdrate(D40:D43,L40:L43,H40:H43,M40:M43)</f>
        <v>-3.7678148051661919E-3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41.507936000000001</v>
      </c>
      <c r="I41" s="10"/>
      <c r="J41" s="228">
        <f ca="1">H41/D41-1</f>
        <v>9.2751920417211142E-3</v>
      </c>
      <c r="L41" s="74">
        <f ca="1">INDIRECT($B41&amp;"!"&amp;L$3&amp;"6")</f>
        <v>0.97901262523809529</v>
      </c>
      <c r="M41" s="75">
        <f ca="1">INDIRECT($B41&amp;"!"&amp;M$3&amp;"6")</f>
        <v>0.97917372904761901</v>
      </c>
      <c r="N41" s="76">
        <f ca="1">M41-L41</f>
        <v>1.6110380952372161E-4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62.100007999999995</v>
      </c>
      <c r="I42" s="10"/>
      <c r="J42" s="228">
        <f ca="1">H42/D42-1</f>
        <v>3.7980740010836733E-3</v>
      </c>
      <c r="L42" s="74">
        <f ca="1">INDIRECT($B42&amp;"!"&amp;L$3&amp;"7")</f>
        <v>0.98868709857142867</v>
      </c>
      <c r="M42" s="75">
        <f ca="1">INDIRECT($B42&amp;"!"&amp;M$3&amp;"7")</f>
        <v>0.98904090238095232</v>
      </c>
      <c r="N42" s="76">
        <f ca="1">M42-L42</f>
        <v>3.538038095236562E-4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90.502672000000004</v>
      </c>
      <c r="I43" s="10"/>
      <c r="J43" s="228">
        <f ca="1">H43/D43-1</f>
        <v>9.5017782101458614E-4</v>
      </c>
      <c r="L43" s="74">
        <f ca="1">INDIRECT($B43&amp;"!"&amp;L$3&amp;"8")</f>
        <v>0.99344393809523812</v>
      </c>
      <c r="M43" s="75">
        <f ca="1">INDIRECT($B43&amp;"!"&amp;M$3&amp;"8")</f>
        <v>0.99385577000000025</v>
      </c>
      <c r="N43" s="76">
        <f ca="1">M43-L43</f>
        <v>4.1183190476212772E-4</v>
      </c>
      <c r="O43" s="226"/>
      <c r="P43" s="231">
        <f ca="1">bdrate(L40:L43,D40:D43,M40:M43,H40:H43)</f>
        <v>1.7540369256985322E-4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90.502672000000004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37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37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37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37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37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37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40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37.258304000000003</v>
      </c>
      <c r="I7" s="10"/>
      <c r="J7" s="228">
        <f ca="1">H7/D7-1</f>
        <v>6.0710483748322996E-3</v>
      </c>
      <c r="L7" s="74">
        <f ca="1">INDIRECT($B7&amp;"!"&amp;L$3&amp;"5")</f>
        <v>0.95456353799999993</v>
      </c>
      <c r="M7" s="75">
        <f ca="1">INDIRECT($B7&amp;"!"&amp;M$3&amp;"5")</f>
        <v>0.95656745200000004</v>
      </c>
      <c r="N7" s="76">
        <f ca="1">M7-L7</f>
        <v>2.0039140000001066E-3</v>
      </c>
      <c r="O7" s="226"/>
      <c r="P7" s="228">
        <f ca="1">bdrate(D7:D10,L7:L10,H7:H10,M7:M10)</f>
        <v>-3.5023655810911047E-2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53.552256</v>
      </c>
      <c r="I8" s="10"/>
      <c r="J8" s="228">
        <f ca="1">H8/D8-1</f>
        <v>5.8006805274373185E-3</v>
      </c>
      <c r="L8" s="74">
        <f ca="1">INDIRECT($B8&amp;"!"&amp;L$3&amp;"6")</f>
        <v>0.97258593333333343</v>
      </c>
      <c r="M8" s="75">
        <f ca="1">INDIRECT($B8&amp;"!"&amp;M$3&amp;"6")</f>
        <v>0.9750630813333333</v>
      </c>
      <c r="N8" s="76">
        <f ca="1">M8-L8</f>
        <v>2.4771479999998736E-3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77.011648000000008</v>
      </c>
      <c r="I9" s="10"/>
      <c r="J9" s="228">
        <f ca="1">H9/D9-1</f>
        <v>3.104098537544342E-3</v>
      </c>
      <c r="L9" s="74">
        <f ca="1">INDIRECT($B9&amp;"!"&amp;L$3&amp;"7")</f>
        <v>0.99038261466666655</v>
      </c>
      <c r="M9" s="75">
        <f ca="1">INDIRECT($B9&amp;"!"&amp;M$3&amp;"7")</f>
        <v>0.99092613600000012</v>
      </c>
      <c r="N9" s="76">
        <f ca="1">M9-L9</f>
        <v>5.4352133333357422E-4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108.95232800000001</v>
      </c>
      <c r="I10" s="10"/>
      <c r="J10" s="228">
        <f ca="1">H10/D10-1</f>
        <v>8.2893872107248079E-4</v>
      </c>
      <c r="L10" s="74">
        <f ca="1">INDIRECT($B10&amp;"!"&amp;L$3&amp;"8")</f>
        <v>0.99521364000000001</v>
      </c>
      <c r="M10" s="75">
        <f ca="1">INDIRECT($B10&amp;"!"&amp;M$3&amp;"8")</f>
        <v>0.99631829266666661</v>
      </c>
      <c r="N10" s="76">
        <f ca="1">M10-L10</f>
        <v>1.1046526666665946E-3</v>
      </c>
      <c r="O10" s="226"/>
      <c r="P10" s="231">
        <f ca="1">bdrate(L7:L10,D7:D10,M7:M10,H7:H10)</f>
        <v>1.262259740104188E-3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108.95232800000001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40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38.184640000000002</v>
      </c>
      <c r="I18" s="10"/>
      <c r="J18" s="228">
        <f ca="1">H18/D18-1</f>
        <v>6.3099403750797034E-3</v>
      </c>
      <c r="L18" s="74">
        <f ca="1">INDIRECT($B18&amp;"!"&amp;L$3&amp;"5")</f>
        <v>0.95395936733333342</v>
      </c>
      <c r="M18" s="75">
        <f ca="1">INDIRECT($B18&amp;"!"&amp;M$3&amp;"5")</f>
        <v>0.95617189800000013</v>
      </c>
      <c r="N18" s="76">
        <f ca="1">M18-L18</f>
        <v>2.2125306666667122E-3</v>
      </c>
      <c r="O18" s="226"/>
      <c r="P18" s="228">
        <f ca="1">bdrate(D18:D21,L18:L21,H18:H21,M18:M21)</f>
        <v>-4.1098917193109097E-2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54.997576000000002</v>
      </c>
      <c r="I19" s="10"/>
      <c r="J19" s="228">
        <f ca="1">H19/D19-1</f>
        <v>5.7790588594679448E-3</v>
      </c>
      <c r="L19" s="74">
        <f ca="1">INDIRECT($B19&amp;"!"&amp;L$3&amp;"6")</f>
        <v>0.97223756466666666</v>
      </c>
      <c r="M19" s="75">
        <f ca="1">INDIRECT($B19&amp;"!"&amp;M$3&amp;"6")</f>
        <v>0.97510140466666662</v>
      </c>
      <c r="N19" s="76">
        <f ca="1">M19-L19</f>
        <v>2.8638399999999509E-3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79.272784000000001</v>
      </c>
      <c r="I20" s="10"/>
      <c r="J20" s="228">
        <f ca="1">H20/D20-1</f>
        <v>2.9350920471546971E-3</v>
      </c>
      <c r="L20" s="74">
        <f ca="1">INDIRECT($B20&amp;"!"&amp;L$3&amp;"7")</f>
        <v>0.99005189866666643</v>
      </c>
      <c r="M20" s="75">
        <f ca="1">INDIRECT($B20&amp;"!"&amp;M$3&amp;"7")</f>
        <v>0.99075384933333333</v>
      </c>
      <c r="N20" s="76">
        <f ca="1">M20-L20</f>
        <v>7.019506666668951E-4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112.22078400000001</v>
      </c>
      <c r="I21" s="10"/>
      <c r="J21" s="228">
        <f ca="1">H21/D21-1</f>
        <v>6.824781597360996E-4</v>
      </c>
      <c r="L21" s="74">
        <f ca="1">INDIRECT($B21&amp;"!"&amp;L$3&amp;"8")</f>
        <v>0.99515773399999985</v>
      </c>
      <c r="M21" s="75">
        <f ca="1">INDIRECT($B21&amp;"!"&amp;M$3&amp;"8")</f>
        <v>0.99616821533333344</v>
      </c>
      <c r="N21" s="76">
        <f ca="1">M21-L21</f>
        <v>1.0104813333335905E-3</v>
      </c>
      <c r="O21" s="226"/>
      <c r="P21" s="231">
        <f ca="1">bdrate(L18:L21,D18:D21,M18:M21,H18:H21)</f>
        <v>1.436965455811956E-3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112.22078400000001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40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27.669640000000001</v>
      </c>
      <c r="I29" s="10"/>
      <c r="J29" s="228">
        <f ca="1">H29/D29-1</f>
        <v>7.7336093109823256E-3</v>
      </c>
      <c r="L29" s="74">
        <f ca="1">INDIRECT($B29&amp;"!"&amp;L$3&amp;"5")</f>
        <v>0.97327361047619032</v>
      </c>
      <c r="M29" s="75">
        <f ca="1">INDIRECT($B29&amp;"!"&amp;M$3&amp;"5")</f>
        <v>0.97376615666666688</v>
      </c>
      <c r="N29" s="76">
        <f ca="1">M29-L29</f>
        <v>4.9254619047656156E-4</v>
      </c>
      <c r="O29" s="226"/>
      <c r="P29" s="228">
        <f ca="1">bdrate(D29:D32,L29:L32,H29:H32,M29:M32)</f>
        <v>-1.8007885769078635E-2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40.101375999999995</v>
      </c>
      <c r="I30" s="10"/>
      <c r="J30" s="228">
        <f ca="1">H30/D30-1</f>
        <v>9.3019715798370317E-3</v>
      </c>
      <c r="L30" s="74">
        <f ca="1">INDIRECT($B30&amp;"!"&amp;L$3&amp;"6")</f>
        <v>0.98426155285714267</v>
      </c>
      <c r="M30" s="75">
        <f ca="1">INDIRECT($B30&amp;"!"&amp;M$3&amp;"6")</f>
        <v>0.98478156476190482</v>
      </c>
      <c r="N30" s="76">
        <f ca="1">M30-L30</f>
        <v>5.2001190476214099E-4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59.784072000000002</v>
      </c>
      <c r="I31" s="10"/>
      <c r="J31" s="228">
        <f ca="1">H31/D31-1</f>
        <v>3.897233717687687E-3</v>
      </c>
      <c r="L31" s="74">
        <f ca="1">INDIRECT($B31&amp;"!"&amp;L$3&amp;"7")</f>
        <v>0.99228081523809508</v>
      </c>
      <c r="M31" s="75">
        <f ca="1">INDIRECT($B31&amp;"!"&amp;M$3&amp;"7")</f>
        <v>0.99276242000000015</v>
      </c>
      <c r="N31" s="76">
        <f ca="1">M31-L31</f>
        <v>4.8160476190506341E-4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87.085999999999999</v>
      </c>
      <c r="I32" s="10"/>
      <c r="J32" s="228">
        <f ca="1">H32/D32-1</f>
        <v>1.0853463709776801E-3</v>
      </c>
      <c r="L32" s="74">
        <f ca="1">INDIRECT($B32&amp;"!"&amp;L$3&amp;"8")</f>
        <v>0.99594449714285727</v>
      </c>
      <c r="M32" s="75">
        <f ca="1">INDIRECT($B32&amp;"!"&amp;M$3&amp;"8")</f>
        <v>0.99653659285714302</v>
      </c>
      <c r="N32" s="76">
        <f ca="1">M32-L32</f>
        <v>5.9209571428575636E-4</v>
      </c>
      <c r="O32" s="226"/>
      <c r="P32" s="231">
        <f ca="1">bdrate(L29:L32,D29:D32,M29:M32,H29:H32)</f>
        <v>4.1539857378847245E-4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87.085999999999999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40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28.540488</v>
      </c>
      <c r="I40" s="10"/>
      <c r="J40" s="228">
        <f ca="1">H40/D40-1</f>
        <v>7.8977716728922953E-3</v>
      </c>
      <c r="L40" s="74">
        <f ca="1">INDIRECT($B40&amp;"!"&amp;L$3&amp;"5")</f>
        <v>0.9725471133333331</v>
      </c>
      <c r="M40" s="75">
        <f ca="1">INDIRECT($B40&amp;"!"&amp;M$3&amp;"5")</f>
        <v>0.97350526380952374</v>
      </c>
      <c r="N40" s="76">
        <f ca="1">M40-L40</f>
        <v>9.5815047619063343E-4</v>
      </c>
      <c r="O40" s="226"/>
      <c r="P40" s="228">
        <f ca="1">bdrate(D40:D43,L40:L43,H40:H43,M40:M43)</f>
        <v>-2.7308828740808977E-2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41.507936000000001</v>
      </c>
      <c r="I41" s="10"/>
      <c r="J41" s="228">
        <f ca="1">H41/D41-1</f>
        <v>9.2751920417211142E-3</v>
      </c>
      <c r="L41" s="74">
        <f ca="1">INDIRECT($B41&amp;"!"&amp;L$3&amp;"6")</f>
        <v>0.98376468238095238</v>
      </c>
      <c r="M41" s="75">
        <f ca="1">INDIRECT($B41&amp;"!"&amp;M$3&amp;"6")</f>
        <v>0.98454666095238119</v>
      </c>
      <c r="N41" s="76">
        <f ca="1">M41-L41</f>
        <v>7.8197857142880967E-4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62.100007999999995</v>
      </c>
      <c r="I42" s="10"/>
      <c r="J42" s="228">
        <f ca="1">H42/D42-1</f>
        <v>3.7980740010836733E-3</v>
      </c>
      <c r="L42" s="74">
        <f ca="1">INDIRECT($B42&amp;"!"&amp;L$3&amp;"7")</f>
        <v>0.99210457047619049</v>
      </c>
      <c r="M42" s="75">
        <f ca="1">INDIRECT($B42&amp;"!"&amp;M$3&amp;"7")</f>
        <v>0.99266297714285723</v>
      </c>
      <c r="N42" s="76">
        <f ca="1">M42-L42</f>
        <v>5.5840666666673311E-4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90.502672000000004</v>
      </c>
      <c r="I43" s="10"/>
      <c r="J43" s="228">
        <f ca="1">H43/D43-1</f>
        <v>9.5017782101458614E-4</v>
      </c>
      <c r="L43" s="74">
        <f ca="1">INDIRECT($B43&amp;"!"&amp;L$3&amp;"8")</f>
        <v>0.99578089857142849</v>
      </c>
      <c r="M43" s="75">
        <f ca="1">INDIRECT($B43&amp;"!"&amp;M$3&amp;"8")</f>
        <v>0.99644819380952421</v>
      </c>
      <c r="N43" s="76">
        <f ca="1">M43-L43</f>
        <v>6.67295238095722E-4</v>
      </c>
      <c r="O43" s="226"/>
      <c r="P43" s="231">
        <f ca="1">bdrate(L40:L43,D40:D43,M40:M43,H40:H43)</f>
        <v>5.7492886820087463E-4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90.502672000000004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40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40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40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40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40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40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40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37.258304000000003</v>
      </c>
      <c r="I7" s="10"/>
      <c r="J7" s="228">
        <f ca="1">H7/D7-1</f>
        <v>6.0710483748322996E-3</v>
      </c>
      <c r="L7" s="74">
        <f ca="1">INDIRECT($B7&amp;"!"&amp;L$3&amp;"5")</f>
        <v>6.6124997733333329E-2</v>
      </c>
      <c r="M7" s="75">
        <f ca="1">INDIRECT($B7&amp;"!"&amp;M$3&amp;"5")</f>
        <v>5.6334636800000011E-2</v>
      </c>
      <c r="N7" s="76">
        <f ca="1">M7-L7</f>
        <v>-9.7903609333333183E-3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53.552256</v>
      </c>
      <c r="I8" s="10"/>
      <c r="J8" s="228">
        <f ca="1">H8/D8-1</f>
        <v>5.8006805274373185E-3</v>
      </c>
      <c r="L8" s="74">
        <f ca="1">INDIRECT($B8&amp;"!"&amp;L$3&amp;"6")</f>
        <v>4.1026583800000009E-2</v>
      </c>
      <c r="M8" s="75">
        <f ca="1">INDIRECT($B8&amp;"!"&amp;M$3&amp;"6")</f>
        <v>3.2284197600000009E-2</v>
      </c>
      <c r="N8" s="76">
        <f ca="1">M8-L8</f>
        <v>-8.7423862000000005E-3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77.011648000000008</v>
      </c>
      <c r="I9" s="10"/>
      <c r="J9" s="228">
        <f ca="1">H9/D9-1</f>
        <v>3.104098537544342E-3</v>
      </c>
      <c r="L9" s="74">
        <f ca="1">INDIRECT($B9&amp;"!"&amp;L$3&amp;"7")</f>
        <v>2.4438632800000002E-2</v>
      </c>
      <c r="M9" s="75">
        <f ca="1">INDIRECT($B9&amp;"!"&amp;M$3&amp;"7")</f>
        <v>1.5839577866666663E-2</v>
      </c>
      <c r="N9" s="76">
        <f ca="1">M9-L9</f>
        <v>-8.5990549333333395E-3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108.95232800000001</v>
      </c>
      <c r="I10" s="10"/>
      <c r="J10" s="228">
        <f ca="1">H10/D10-1</f>
        <v>8.2893872107248079E-4</v>
      </c>
      <c r="L10" s="74">
        <f ca="1">INDIRECT($B10&amp;"!"&amp;L$3&amp;"8")</f>
        <v>1.7444335733333333E-2</v>
      </c>
      <c r="M10" s="75">
        <f ca="1">INDIRECT($B10&amp;"!"&amp;M$3&amp;"8")</f>
        <v>8.9975193666666665E-3</v>
      </c>
      <c r="N10" s="76">
        <f ca="1">M10-L10</f>
        <v>-8.4468163666666669E-3</v>
      </c>
      <c r="O10" s="226"/>
      <c r="P10" s="231">
        <f ca="1">bdrate(L7:L10,D7:D10,M7:M10,H7:H10)</f>
        <v>-0.32609131990850815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108.95232800000001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40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38.184640000000002</v>
      </c>
      <c r="I18" s="10"/>
      <c r="J18" s="228">
        <f ca="1">H18/D18-1</f>
        <v>6.3099403750797034E-3</v>
      </c>
      <c r="L18" s="74">
        <f ca="1">INDIRECT($B18&amp;"!"&amp;L$3&amp;"5")</f>
        <v>6.8758821599999992E-2</v>
      </c>
      <c r="M18" s="75">
        <f ca="1">INDIRECT($B18&amp;"!"&amp;M$3&amp;"5")</f>
        <v>5.7400421799999983E-2</v>
      </c>
      <c r="N18" s="76">
        <f ca="1">M18-L18</f>
        <v>-1.1358399800000009E-2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54.997576000000002</v>
      </c>
      <c r="I19" s="10"/>
      <c r="J19" s="228">
        <f ca="1">H19/D19-1</f>
        <v>5.7790588594679448E-3</v>
      </c>
      <c r="L19" s="74">
        <f ca="1">INDIRECT($B19&amp;"!"&amp;L$3&amp;"6")</f>
        <v>4.2517676533333333E-2</v>
      </c>
      <c r="M19" s="75">
        <f ca="1">INDIRECT($B19&amp;"!"&amp;M$3&amp;"6")</f>
        <v>3.308151333333334E-2</v>
      </c>
      <c r="N19" s="76">
        <f ca="1">M19-L19</f>
        <v>-9.4361631999999931E-3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79.272784000000001</v>
      </c>
      <c r="I20" s="10"/>
      <c r="J20" s="228">
        <f ca="1">H20/D20-1</f>
        <v>2.9350920471546971E-3</v>
      </c>
      <c r="L20" s="74">
        <f ca="1">INDIRECT($B20&amp;"!"&amp;L$3&amp;"7")</f>
        <v>2.4925761000000001E-2</v>
      </c>
      <c r="M20" s="75">
        <f ca="1">INDIRECT($B20&amp;"!"&amp;M$3&amp;"7")</f>
        <v>1.6320952600000001E-2</v>
      </c>
      <c r="N20" s="76">
        <f ca="1">M20-L20</f>
        <v>-8.6048084000000004E-3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112.22078400000001</v>
      </c>
      <c r="I21" s="10"/>
      <c r="J21" s="228">
        <f ca="1">H21/D21-1</f>
        <v>6.824781597360996E-4</v>
      </c>
      <c r="L21" s="74">
        <f ca="1">INDIRECT($B21&amp;"!"&amp;L$3&amp;"8")</f>
        <v>1.8274979066666665E-2</v>
      </c>
      <c r="M21" s="75">
        <f ca="1">INDIRECT($B21&amp;"!"&amp;M$3&amp;"8")</f>
        <v>9.6061324333333309E-3</v>
      </c>
      <c r="N21" s="76">
        <f ca="1">M21-L21</f>
        <v>-8.6688466333333346E-3</v>
      </c>
      <c r="O21" s="226"/>
      <c r="P21" s="231">
        <f ca="1">bdrate(L18:L21,D18:D21,M18:M21,H18:H21)</f>
        <v>-0.32385072943331739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112.22078400000001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40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27.669640000000001</v>
      </c>
      <c r="I29" s="10"/>
      <c r="J29" s="228">
        <f ca="1">H29/D29-1</f>
        <v>7.7336093109823256E-3</v>
      </c>
      <c r="L29" s="74">
        <f ca="1">INDIRECT($B29&amp;"!"&amp;L$3&amp;"5")</f>
        <v>6.4074182428571436E-2</v>
      </c>
      <c r="M29" s="75">
        <f ca="1">INDIRECT($B29&amp;"!"&amp;M$3&amp;"5")</f>
        <v>5.6413153428571429E-2</v>
      </c>
      <c r="N29" s="76">
        <f ca="1">M29-L29</f>
        <v>-7.6610290000000067E-3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40.101375999999995</v>
      </c>
      <c r="I30" s="10"/>
      <c r="J30" s="228">
        <f ca="1">H30/D30-1</f>
        <v>9.3019715798370317E-3</v>
      </c>
      <c r="L30" s="74">
        <f ca="1">INDIRECT($B30&amp;"!"&amp;L$3&amp;"6")</f>
        <v>4.3200263047619043E-2</v>
      </c>
      <c r="M30" s="75">
        <f ca="1">INDIRECT($B30&amp;"!"&amp;M$3&amp;"6")</f>
        <v>3.691522842857143E-2</v>
      </c>
      <c r="N30" s="76">
        <f ca="1">M30-L30</f>
        <v>-6.2850346190476136E-3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59.784072000000002</v>
      </c>
      <c r="I31" s="10"/>
      <c r="J31" s="228">
        <f ca="1">H31/D31-1</f>
        <v>3.897233717687687E-3</v>
      </c>
      <c r="L31" s="74">
        <f ca="1">INDIRECT($B31&amp;"!"&amp;L$3&amp;"7")</f>
        <v>2.7228831333333335E-2</v>
      </c>
      <c r="M31" s="75">
        <f ca="1">INDIRECT($B31&amp;"!"&amp;M$3&amp;"7")</f>
        <v>2.0677309523809525E-2</v>
      </c>
      <c r="N31" s="76">
        <f ca="1">M31-L31</f>
        <v>-6.5515218095238102E-3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87.085999999999999</v>
      </c>
      <c r="I32" s="10"/>
      <c r="J32" s="228">
        <f ca="1">H32/D32-1</f>
        <v>1.0853463709776801E-3</v>
      </c>
      <c r="L32" s="74">
        <f ca="1">INDIRECT($B32&amp;"!"&amp;L$3&amp;"8")</f>
        <v>1.4458101000000004E-2</v>
      </c>
      <c r="M32" s="75">
        <f ca="1">INDIRECT($B32&amp;"!"&amp;M$3&amp;"8")</f>
        <v>8.7400303904761906E-3</v>
      </c>
      <c r="N32" s="76">
        <f ca="1">M32-L32</f>
        <v>-5.7180706095238138E-3</v>
      </c>
      <c r="O32" s="226"/>
      <c r="P32" s="231">
        <f ca="1">bdrate(L29:L32,D29:D32,M29:M32,H29:H32)</f>
        <v>-0.23572938203880456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87.085999999999999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40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28.540488</v>
      </c>
      <c r="I40" s="10"/>
      <c r="J40" s="228">
        <f ca="1">H40/D40-1</f>
        <v>7.8977716728922953E-3</v>
      </c>
      <c r="L40" s="74">
        <f ca="1">INDIRECT($B40&amp;"!"&amp;L$3&amp;"5")</f>
        <v>6.5973396238095255E-2</v>
      </c>
      <c r="M40" s="75">
        <f ca="1">INDIRECT($B40&amp;"!"&amp;M$3&amp;"5")</f>
        <v>5.6924861285714293E-2</v>
      </c>
      <c r="N40" s="76">
        <f ca="1">M40-L40</f>
        <v>-9.0485349523809627E-3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41.507936000000001</v>
      </c>
      <c r="I41" s="10"/>
      <c r="J41" s="228">
        <f ca="1">H41/D41-1</f>
        <v>9.2751920417211142E-3</v>
      </c>
      <c r="L41" s="74">
        <f ca="1">INDIRECT($B41&amp;"!"&amp;L$3&amp;"6")</f>
        <v>4.448833447619048E-2</v>
      </c>
      <c r="M41" s="75">
        <f ca="1">INDIRECT($B41&amp;"!"&amp;M$3&amp;"6")</f>
        <v>3.726052642857143E-2</v>
      </c>
      <c r="N41" s="76">
        <f ca="1">M41-L41</f>
        <v>-7.2278080476190498E-3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62.100007999999995</v>
      </c>
      <c r="I42" s="10"/>
      <c r="J42" s="228">
        <f ca="1">H42/D42-1</f>
        <v>3.7980740010836733E-3</v>
      </c>
      <c r="L42" s="74">
        <f ca="1">INDIRECT($B42&amp;"!"&amp;L$3&amp;"7")</f>
        <v>2.7850360190476191E-2</v>
      </c>
      <c r="M42" s="75">
        <f ca="1">INDIRECT($B42&amp;"!"&amp;M$3&amp;"7")</f>
        <v>2.0587333904761907E-2</v>
      </c>
      <c r="N42" s="76">
        <f ca="1">M42-L42</f>
        <v>-7.2630262857142844E-3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90.502672000000004</v>
      </c>
      <c r="I43" s="10"/>
      <c r="J43" s="228">
        <f ca="1">H43/D43-1</f>
        <v>9.5017782101458614E-4</v>
      </c>
      <c r="L43" s="74">
        <f ca="1">INDIRECT($B43&amp;"!"&amp;L$3&amp;"8")</f>
        <v>1.5608584595238097E-2</v>
      </c>
      <c r="M43" s="75">
        <f ca="1">INDIRECT($B43&amp;"!"&amp;M$3&amp;"8")</f>
        <v>9.0270058571428578E-3</v>
      </c>
      <c r="N43" s="76">
        <f ca="1">M43-L43</f>
        <v>-6.5815787380952388E-3</v>
      </c>
      <c r="O43" s="226"/>
      <c r="P43" s="231">
        <f ca="1">bdrate(L40:L43,D40:D43,M40:M43,H40:H43)</f>
        <v>-0.25670723297172116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90.502672000000004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40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40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40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40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40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40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breakfast_track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breakfast_track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37258.304000000004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27.996553933333338</v>
      </c>
      <c r="Y5" s="30">
        <f t="shared" si="2"/>
        <v>33.892481533333338</v>
      </c>
      <c r="Z5" s="30">
        <f t="shared" si="2"/>
        <v>0.95820572133333326</v>
      </c>
      <c r="AA5" s="91">
        <f t="shared" si="2"/>
        <v>0.95656745200000004</v>
      </c>
      <c r="AB5" s="91">
        <f t="shared" si="2"/>
        <v>5.6334636800000011E-2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-0.12614777934602039</v>
      </c>
      <c r="AN5" s="245">
        <f>bdrate($E5:$E8,G5:G8,$W5:$W8,Y5:Y8)</f>
        <v>-0.14958070580943339</v>
      </c>
      <c r="AO5" s="245">
        <f>bdrate($E5:$E8,H5:H8,$W5:$W8,Z5:Z8)</f>
        <v>-3.0637155304988894E-3</v>
      </c>
      <c r="AP5" s="245">
        <f>bdrate($E5:$E8,I5:I8,$W5:$W8,AA5:AA8)</f>
        <v>-3.5023655810908827E-2</v>
      </c>
      <c r="AQ5" s="246">
        <f>bdrateInverted($E5:$E8,J5:J8,$W5:$W8,AB5:AB8)</f>
        <v>-0.16012847633072935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53552.256000000001</v>
      </c>
      <c r="X6" s="91">
        <f t="shared" si="2"/>
        <v>31.852176133333334</v>
      </c>
      <c r="Y6" s="91">
        <f t="shared" si="2"/>
        <v>36.672791666666669</v>
      </c>
      <c r="Z6" s="91">
        <f t="shared" si="2"/>
        <v>0.97602794066666654</v>
      </c>
      <c r="AA6" s="91">
        <f t="shared" si="2"/>
        <v>0.9750630813333333</v>
      </c>
      <c r="AB6" s="91">
        <f t="shared" si="2"/>
        <v>3.2284197600000009E-2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77011.648000000001</v>
      </c>
      <c r="X7" s="91">
        <f t="shared" si="2"/>
        <v>37.416573933333332</v>
      </c>
      <c r="Y7" s="91">
        <f t="shared" si="2"/>
        <v>41.060205799999999</v>
      </c>
      <c r="Z7" s="91">
        <f t="shared" si="2"/>
        <v>0.98841363066666665</v>
      </c>
      <c r="AA7" s="91">
        <f t="shared" si="2"/>
        <v>0.99092613600000012</v>
      </c>
      <c r="AB7" s="91">
        <f t="shared" si="2"/>
        <v>1.5839577866666663E-2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108952.32800000001</v>
      </c>
      <c r="X8" s="91">
        <f t="shared" si="2"/>
        <v>41.041287266666664</v>
      </c>
      <c r="Y8" s="91">
        <f t="shared" si="2"/>
        <v>44.300270066666663</v>
      </c>
      <c r="Z8" s="91">
        <f t="shared" si="2"/>
        <v>0.99281738066666669</v>
      </c>
      <c r="AA8" s="91">
        <f t="shared" si="2"/>
        <v>0.99631829266666661</v>
      </c>
      <c r="AB8" s="91">
        <f t="shared" si="2"/>
        <v>8.9975193666666665E-3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5941.2240000000002</v>
      </c>
      <c r="X16" s="167">
        <v>6885.4080000000004</v>
      </c>
      <c r="Y16" s="167">
        <v>2604.88</v>
      </c>
      <c r="Z16" s="167">
        <v>1030.144</v>
      </c>
      <c r="AA16" s="167">
        <v>167.80799999999999</v>
      </c>
      <c r="AB16" s="167">
        <v>11102.392</v>
      </c>
      <c r="AC16" s="60">
        <v>7159.4319999999998</v>
      </c>
      <c r="AD16" s="60">
        <v>2367.0160000000001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5941.2240000000002</v>
      </c>
      <c r="X17" s="168">
        <v>9130.0640000000003</v>
      </c>
      <c r="Y17" s="168">
        <v>6735.7439999999997</v>
      </c>
      <c r="Z17" s="168">
        <v>3589.4639999999999</v>
      </c>
      <c r="AA17" s="168">
        <v>1253.5840000000001</v>
      </c>
      <c r="AB17" s="168">
        <v>14289.688</v>
      </c>
      <c r="AC17" s="62">
        <v>9490.6560000000009</v>
      </c>
      <c r="AD17" s="62">
        <v>3121.8319999999999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5941.2240000000002</v>
      </c>
      <c r="X18" s="168">
        <v>11424.487999999999</v>
      </c>
      <c r="Y18" s="168">
        <v>12329.495999999999</v>
      </c>
      <c r="Z18" s="168">
        <v>8658.5840000000007</v>
      </c>
      <c r="AA18" s="168">
        <v>5244.4719999999998</v>
      </c>
      <c r="AB18" s="168">
        <v>17597.168000000001</v>
      </c>
      <c r="AC18" s="62">
        <v>11920.647999999999</v>
      </c>
      <c r="AD18" s="62">
        <v>3895.5680000000002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5941.2240000000002</v>
      </c>
      <c r="X19" s="168">
        <v>13606.912</v>
      </c>
      <c r="Y19" s="168">
        <v>18540.952000000001</v>
      </c>
      <c r="Z19" s="168">
        <v>16531.968000000001</v>
      </c>
      <c r="AA19" s="168">
        <v>14151.335999999999</v>
      </c>
      <c r="AB19" s="168">
        <v>21009.592000000001</v>
      </c>
      <c r="AC19" s="62">
        <v>14466.048000000001</v>
      </c>
      <c r="AD19" s="62">
        <v>4704.2960000000003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37258.304000000004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53552.256000000001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77011.648000000001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108952.32800000001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27.472404999999998</v>
      </c>
      <c r="Y33" s="97">
        <v>33.352137999999997</v>
      </c>
      <c r="Z33" s="97">
        <v>0.95794990000000002</v>
      </c>
      <c r="AA33" s="60">
        <v>0.95320627999999996</v>
      </c>
      <c r="AB33" s="60">
        <v>6.1648715E-2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0.67405299999999713</v>
      </c>
      <c r="AN33" s="96">
        <f t="shared" ref="AN33:AN96" si="5">IF(OR(Y33="",G33=""),"",Y33-G33)</f>
        <v>1.296406999999995</v>
      </c>
      <c r="AO33" s="96">
        <f t="shared" ref="AO33:AO96" si="6">IF(OR(Z33="",H33=""),"",Z33-H33)</f>
        <v>-1.6598999999994923E-4</v>
      </c>
      <c r="AP33" s="96">
        <f t="shared" ref="AP33:AP96" si="7">IF(OR(AA33="",I33=""),"",AA33-I33)</f>
        <v>3.0736399999999886E-3</v>
      </c>
      <c r="AQ33" s="121">
        <f t="shared" ref="AQ33:AQ96" si="8">IF(OR(AB33="",J33=""),"",AB33-J33)</f>
        <v>-8.9809949999999986E-3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31.874067</v>
      </c>
      <c r="Y34" s="190">
        <v>36.509295999999999</v>
      </c>
      <c r="Z34" s="190">
        <v>0.97595509999999996</v>
      </c>
      <c r="AA34" s="62">
        <v>0.97567804999999996</v>
      </c>
      <c r="AB34" s="62">
        <v>3.5867356000000003E-2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1.1910150000000002</v>
      </c>
      <c r="AN34" s="122">
        <f t="shared" si="5"/>
        <v>1.3199869999999976</v>
      </c>
      <c r="AO34" s="122">
        <f t="shared" si="6"/>
        <v>2.9137000000001301E-4</v>
      </c>
      <c r="AP34" s="122">
        <f t="shared" si="7"/>
        <v>3.2580899999999913E-3</v>
      </c>
      <c r="AQ34" s="88">
        <f t="shared" si="8"/>
        <v>-7.9065779999999974E-3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37.286641000000003</v>
      </c>
      <c r="Y35" s="190">
        <v>40.922775999999999</v>
      </c>
      <c r="Z35" s="190">
        <v>0.98836265999999995</v>
      </c>
      <c r="AA35" s="62">
        <v>0.99062028000000002</v>
      </c>
      <c r="AB35" s="62">
        <v>1.7544901000000002E-2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2.0414280000000034</v>
      </c>
      <c r="AN35" s="122">
        <f t="shared" si="5"/>
        <v>1.5973709999999954</v>
      </c>
      <c r="AO35" s="122">
        <f t="shared" si="6"/>
        <v>3.3787999999990159E-4</v>
      </c>
      <c r="AP35" s="122">
        <f t="shared" si="7"/>
        <v>3.7306000000003614E-4</v>
      </c>
      <c r="AQ35" s="88">
        <f t="shared" si="8"/>
        <v>-8.3338119999999995E-3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41.160187000000001</v>
      </c>
      <c r="Y36" s="190">
        <v>44.393377999999998</v>
      </c>
      <c r="Z36" s="190">
        <v>0.99274377999999996</v>
      </c>
      <c r="AA36" s="62">
        <v>0.99634166999999996</v>
      </c>
      <c r="AB36" s="62">
        <v>9.8667684999999995E-3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3.1812049999999985</v>
      </c>
      <c r="AN36" s="122">
        <f t="shared" si="5"/>
        <v>2.3218090000000018</v>
      </c>
      <c r="AO36" s="122">
        <f t="shared" si="6"/>
        <v>4.1703999999997965E-4</v>
      </c>
      <c r="AP36" s="122">
        <f t="shared" si="7"/>
        <v>1.1733499999999619E-3</v>
      </c>
      <c r="AQ36" s="88">
        <f t="shared" si="8"/>
        <v>-8.2664475000000012E-3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27.845689</v>
      </c>
      <c r="Y38" s="97">
        <v>33.664718999999998</v>
      </c>
      <c r="Z38" s="97">
        <v>0.95879946999999999</v>
      </c>
      <c r="AA38" s="60">
        <v>0.95574904999999999</v>
      </c>
      <c r="AB38" s="60">
        <v>5.8171609999999999E-2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0.68635199999999941</v>
      </c>
      <c r="AN38" s="96">
        <f t="shared" si="5"/>
        <v>1.3510649999999984</v>
      </c>
      <c r="AO38" s="96">
        <f t="shared" si="6"/>
        <v>-3.3314000000006505E-4</v>
      </c>
      <c r="AP38" s="96">
        <f t="shared" si="7"/>
        <v>2.2674000000000305E-3</v>
      </c>
      <c r="AQ38" s="121">
        <f t="shared" si="8"/>
        <v>-9.478979999999998E-3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31.878919</v>
      </c>
      <c r="Y39" s="190">
        <v>36.494943999999997</v>
      </c>
      <c r="Z39" s="190">
        <v>0.97587995000000005</v>
      </c>
      <c r="AA39" s="62">
        <v>0.97588920999999995</v>
      </c>
      <c r="AB39" s="62">
        <v>3.4328427000000002E-2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1.2674289999999999</v>
      </c>
      <c r="AN39" s="122">
        <f t="shared" si="5"/>
        <v>1.3691239999999993</v>
      </c>
      <c r="AO39" s="122">
        <f t="shared" si="6"/>
        <v>3.3192000000004107E-4</v>
      </c>
      <c r="AP39" s="122">
        <f t="shared" si="7"/>
        <v>2.7069699999999752E-3</v>
      </c>
      <c r="AQ39" s="88">
        <f t="shared" si="8"/>
        <v>-8.5764159999999964E-3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37.339775000000003</v>
      </c>
      <c r="Y40" s="190">
        <v>40.964657000000003</v>
      </c>
      <c r="Z40" s="190">
        <v>0.98806532999999996</v>
      </c>
      <c r="AA40" s="62">
        <v>0.99076635999999996</v>
      </c>
      <c r="AB40" s="62">
        <v>1.7220533999999999E-2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2.2351440000000053</v>
      </c>
      <c r="AN40" s="122">
        <f t="shared" si="5"/>
        <v>1.7588830000000044</v>
      </c>
      <c r="AO40" s="122">
        <f t="shared" si="6"/>
        <v>3.4564999999997514E-4</v>
      </c>
      <c r="AP40" s="122">
        <f t="shared" si="7"/>
        <v>4.1436999999999724E-4</v>
      </c>
      <c r="AQ40" s="88">
        <f t="shared" si="8"/>
        <v>-9.071168000000001E-3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41.049391</v>
      </c>
      <c r="Y41" s="190">
        <v>44.311501</v>
      </c>
      <c r="Z41" s="190">
        <v>0.99241276</v>
      </c>
      <c r="AA41" s="62">
        <v>0.99623505000000001</v>
      </c>
      <c r="AB41" s="62">
        <v>9.9084629999999993E-3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3.2769440000000003</v>
      </c>
      <c r="AN41" s="122">
        <f t="shared" si="5"/>
        <v>2.424045999999997</v>
      </c>
      <c r="AO41" s="122">
        <f t="shared" si="6"/>
        <v>4.4142999999996491E-4</v>
      </c>
      <c r="AP41" s="122">
        <f t="shared" si="7"/>
        <v>1.1146899999999738E-3</v>
      </c>
      <c r="AQ41" s="88">
        <f t="shared" si="8"/>
        <v>-8.9850960000000014E-3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28.129629999999999</v>
      </c>
      <c r="Y43" s="97">
        <v>33.845067</v>
      </c>
      <c r="Z43" s="97">
        <v>0.95855440999999997</v>
      </c>
      <c r="AA43" s="60">
        <v>0.95737866000000005</v>
      </c>
      <c r="AB43" s="60">
        <v>5.5032020000000001E-2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0.65241999999999933</v>
      </c>
      <c r="AN43" s="96">
        <f t="shared" si="5"/>
        <v>1.3022810000000007</v>
      </c>
      <c r="AO43" s="96">
        <f t="shared" si="6"/>
        <v>-3.3442000000005745E-4</v>
      </c>
      <c r="AP43" s="96">
        <f t="shared" si="7"/>
        <v>1.523250000000087E-3</v>
      </c>
      <c r="AQ43" s="121">
        <f t="shared" si="8"/>
        <v>-9.1252500000000014E-3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31.829734999999999</v>
      </c>
      <c r="Y44" s="190">
        <v>36.461382999999998</v>
      </c>
      <c r="Z44" s="190">
        <v>0.97566509999999995</v>
      </c>
      <c r="AA44" s="62">
        <v>0.97590818999999995</v>
      </c>
      <c r="AB44" s="62">
        <v>3.2279006999999998E-2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1.2403890000000004</v>
      </c>
      <c r="AN44" s="122">
        <f t="shared" si="5"/>
        <v>1.3524279999999962</v>
      </c>
      <c r="AO44" s="122">
        <f t="shared" si="6"/>
        <v>3.6114999999992126E-4</v>
      </c>
      <c r="AP44" s="122">
        <f t="shared" si="7"/>
        <v>2.5887199999999888E-3</v>
      </c>
      <c r="AQ44" s="88">
        <f t="shared" si="8"/>
        <v>-8.3959700000000026E-3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37.411279</v>
      </c>
      <c r="Y45" s="190">
        <v>40.999209999999998</v>
      </c>
      <c r="Z45" s="190">
        <v>0.98811632000000005</v>
      </c>
      <c r="AA45" s="62">
        <v>0.99093169999999997</v>
      </c>
      <c r="AB45" s="62">
        <v>1.6245404000000001E-2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2.2262470000000008</v>
      </c>
      <c r="AN45" s="122">
        <f t="shared" si="5"/>
        <v>1.7317409999999995</v>
      </c>
      <c r="AO45" s="122">
        <f t="shared" si="6"/>
        <v>3.3027000000007689E-4</v>
      </c>
      <c r="AP45" s="122">
        <f t="shared" si="7"/>
        <v>4.46359999999979E-4</v>
      </c>
      <c r="AQ45" s="88">
        <f t="shared" si="8"/>
        <v>-8.4478779999999989E-3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41.081133999999999</v>
      </c>
      <c r="Y46" s="190">
        <v>44.323658999999999</v>
      </c>
      <c r="Z46" s="190">
        <v>0.99254032000000003</v>
      </c>
      <c r="AA46" s="62">
        <v>0.99627891000000002</v>
      </c>
      <c r="AB46" s="62">
        <v>9.4234690000000003E-3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3.2397239999999954</v>
      </c>
      <c r="AN46" s="122">
        <f t="shared" si="5"/>
        <v>2.3764409999999998</v>
      </c>
      <c r="AO46" s="122">
        <f t="shared" si="6"/>
        <v>4.3104999999998839E-4</v>
      </c>
      <c r="AP46" s="122">
        <f t="shared" si="7"/>
        <v>1.1429600000000262E-3</v>
      </c>
      <c r="AQ46" s="88">
        <f t="shared" si="8"/>
        <v>-8.3008289999999992E-3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28.128529</v>
      </c>
      <c r="Y48" s="97">
        <v>33.830100999999999</v>
      </c>
      <c r="Z48" s="97">
        <v>0.95847941999999997</v>
      </c>
      <c r="AA48" s="60">
        <v>0.95706720999999995</v>
      </c>
      <c r="AB48" s="60">
        <v>5.6436199999999999E-2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0.6000140000000016</v>
      </c>
      <c r="AN48" s="96">
        <f t="shared" si="5"/>
        <v>1.2567480000000018</v>
      </c>
      <c r="AO48" s="96">
        <f t="shared" si="6"/>
        <v>-4.1062000000002818E-4</v>
      </c>
      <c r="AP48" s="96">
        <f t="shared" si="7"/>
        <v>1.5446299999999358E-3</v>
      </c>
      <c r="AQ48" s="121">
        <f t="shared" si="8"/>
        <v>-8.6832799999999946E-3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31.533704</v>
      </c>
      <c r="Y49" s="190">
        <v>36.241284</v>
      </c>
      <c r="Z49" s="190">
        <v>0.97517005000000001</v>
      </c>
      <c r="AA49" s="62">
        <v>0.97466171000000001</v>
      </c>
      <c r="AB49" s="62">
        <v>3.4332364999999997E-2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1.1696999999999989</v>
      </c>
      <c r="AN49" s="122">
        <f t="shared" si="5"/>
        <v>1.329940999999998</v>
      </c>
      <c r="AO49" s="122">
        <f t="shared" si="6"/>
        <v>3.4953999999998153E-4</v>
      </c>
      <c r="AP49" s="122">
        <f t="shared" si="7"/>
        <v>2.4897200000000286E-3</v>
      </c>
      <c r="AQ49" s="88">
        <f t="shared" si="8"/>
        <v>-8.6115970000000056E-3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37.352074000000002</v>
      </c>
      <c r="Y50" s="190">
        <v>40.927103000000002</v>
      </c>
      <c r="Z50" s="190">
        <v>0.98798631999999997</v>
      </c>
      <c r="AA50" s="62">
        <v>0.99091251000000002</v>
      </c>
      <c r="AB50" s="62">
        <v>1.7300607999999999E-2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2.1732860000000045</v>
      </c>
      <c r="AN50" s="122">
        <f t="shared" si="5"/>
        <v>1.6735280000000046</v>
      </c>
      <c r="AO50" s="122">
        <f t="shared" si="6"/>
        <v>3.2144999999994539E-4</v>
      </c>
      <c r="AP50" s="122">
        <f t="shared" si="7"/>
        <v>4.4220000000005921E-4</v>
      </c>
      <c r="AQ50" s="88">
        <f t="shared" si="8"/>
        <v>-8.4773090000000023E-3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40.971420999999999</v>
      </c>
      <c r="Y51" s="190">
        <v>44.230755000000002</v>
      </c>
      <c r="Z51" s="190">
        <v>0.99238738999999998</v>
      </c>
      <c r="AA51" s="62">
        <v>0.99624698</v>
      </c>
      <c r="AB51" s="62">
        <v>1.0451929E-2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3.1839220000000026</v>
      </c>
      <c r="AN51" s="122">
        <f t="shared" si="5"/>
        <v>2.3444929999999999</v>
      </c>
      <c r="AO51" s="122">
        <f t="shared" si="6"/>
        <v>4.3280000000001095E-4</v>
      </c>
      <c r="AP51" s="122">
        <f t="shared" si="7"/>
        <v>1.1834000000000566E-3</v>
      </c>
      <c r="AQ51" s="88">
        <f t="shared" si="8"/>
        <v>-8.1604910000000006E-3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28.209208</v>
      </c>
      <c r="Y53" s="97">
        <v>33.764259000000003</v>
      </c>
      <c r="Z53" s="97">
        <v>0.95646675999999997</v>
      </c>
      <c r="AA53" s="60">
        <v>0.95781784999999997</v>
      </c>
      <c r="AB53" s="60">
        <v>5.9964832000000003E-2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0.57193300000000136</v>
      </c>
      <c r="AN53" s="96">
        <f t="shared" si="5"/>
        <v>1.1606480000000019</v>
      </c>
      <c r="AO53" s="96">
        <f t="shared" si="6"/>
        <v>-3.8415000000002753E-4</v>
      </c>
      <c r="AP53" s="96">
        <f t="shared" si="7"/>
        <v>1.4233299999999449E-3</v>
      </c>
      <c r="AQ53" s="121">
        <f t="shared" si="8"/>
        <v>-8.6254980000000023E-3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31.502018</v>
      </c>
      <c r="Y54" s="190">
        <v>36.133788000000003</v>
      </c>
      <c r="Z54" s="190">
        <v>0.97429484</v>
      </c>
      <c r="AA54" s="62">
        <v>0.97477606999999999</v>
      </c>
      <c r="AB54" s="62">
        <v>3.6463767000000001E-2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1.1599630000000012</v>
      </c>
      <c r="AN54" s="122">
        <f t="shared" si="5"/>
        <v>1.2606250000000045</v>
      </c>
      <c r="AO54" s="122">
        <f t="shared" si="6"/>
        <v>2.5529000000001911E-4</v>
      </c>
      <c r="AP54" s="122">
        <f t="shared" si="7"/>
        <v>2.2422399999999509E-3</v>
      </c>
      <c r="AQ54" s="88">
        <f t="shared" si="8"/>
        <v>-8.5466660000000014E-3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37.122368999999999</v>
      </c>
      <c r="Y55" s="190">
        <v>40.691915000000002</v>
      </c>
      <c r="Z55" s="190">
        <v>0.98738033999999997</v>
      </c>
      <c r="AA55" s="62">
        <v>0.99073599999999995</v>
      </c>
      <c r="AB55" s="62">
        <v>1.8900713E-2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2.1282489999999967</v>
      </c>
      <c r="AN55" s="122">
        <f t="shared" si="5"/>
        <v>1.630900000000004</v>
      </c>
      <c r="AO55" s="122">
        <f t="shared" si="6"/>
        <v>2.9204999999998815E-4</v>
      </c>
      <c r="AP55" s="122">
        <f t="shared" si="7"/>
        <v>3.6658999999994446E-4</v>
      </c>
      <c r="AQ55" s="88">
        <f t="shared" si="8"/>
        <v>-8.6862049999999989E-3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40.448343999999999</v>
      </c>
      <c r="Y56" s="190">
        <v>43.747070999999998</v>
      </c>
      <c r="Z56" s="190">
        <v>0.99186315999999997</v>
      </c>
      <c r="AA56" s="62">
        <v>0.99598797999999999</v>
      </c>
      <c r="AB56" s="62">
        <v>1.1638839999999999E-2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3.0162750000000003</v>
      </c>
      <c r="AN56" s="122">
        <f t="shared" si="5"/>
        <v>2.2433489999999949</v>
      </c>
      <c r="AO56" s="122">
        <f t="shared" si="6"/>
        <v>4.3349999999997557E-4</v>
      </c>
      <c r="AP56" s="122">
        <f t="shared" si="7"/>
        <v>1.163249999999949E-3</v>
      </c>
      <c r="AQ56" s="88">
        <f t="shared" si="8"/>
        <v>-8.3537520000000007E-3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27.648972000000001</v>
      </c>
      <c r="Y58" s="97">
        <v>33.790247000000001</v>
      </c>
      <c r="Z58" s="97">
        <v>0.95854569999999995</v>
      </c>
      <c r="AA58" s="60">
        <v>0.95656368999999997</v>
      </c>
      <c r="AB58" s="60">
        <v>5.9090376E-2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0.75414999999999921</v>
      </c>
      <c r="AN58" s="96">
        <f t="shared" si="5"/>
        <v>1.5255289999999988</v>
      </c>
      <c r="AO58" s="96">
        <f t="shared" si="6"/>
        <v>-1.2868000000010316E-4</v>
      </c>
      <c r="AP58" s="96">
        <f t="shared" si="7"/>
        <v>2.6479600000000048E-3</v>
      </c>
      <c r="AQ58" s="121">
        <f t="shared" si="8"/>
        <v>-1.0153183999999996E-2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32.147582999999997</v>
      </c>
      <c r="Y59" s="190">
        <v>37.011544000000001</v>
      </c>
      <c r="Z59" s="190">
        <v>0.97676025</v>
      </c>
      <c r="AA59" s="62">
        <v>0.97723040000000005</v>
      </c>
      <c r="AB59" s="62">
        <v>3.2316625000000002E-2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1.3312019999999976</v>
      </c>
      <c r="AN59" s="122">
        <f t="shared" si="5"/>
        <v>1.5184709999999981</v>
      </c>
      <c r="AO59" s="122">
        <f t="shared" si="6"/>
        <v>3.1577000000004851E-4</v>
      </c>
      <c r="AP59" s="122">
        <f t="shared" si="7"/>
        <v>2.285990000000071E-3</v>
      </c>
      <c r="AQ59" s="88">
        <f t="shared" si="8"/>
        <v>-8.6969029999999989E-3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37.585436999999999</v>
      </c>
      <c r="Y60" s="190">
        <v>41.207414</v>
      </c>
      <c r="Z60" s="190">
        <v>0.98891123000000003</v>
      </c>
      <c r="AA60" s="62">
        <v>0.99164456000000001</v>
      </c>
      <c r="AB60" s="62">
        <v>1.5298137E-2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2.2915909999999968</v>
      </c>
      <c r="AN60" s="122">
        <f t="shared" si="5"/>
        <v>1.8167339999999967</v>
      </c>
      <c r="AO60" s="122">
        <f t="shared" si="6"/>
        <v>2.6398000000005251E-4</v>
      </c>
      <c r="AP60" s="122">
        <f t="shared" si="7"/>
        <v>7.0223999999996511E-4</v>
      </c>
      <c r="AQ60" s="88">
        <f t="shared" si="8"/>
        <v>-8.509135000000001E-3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41.233598999999998</v>
      </c>
      <c r="Y61" s="190">
        <v>44.476084999999998</v>
      </c>
      <c r="Z61" s="190">
        <v>0.99324847000000005</v>
      </c>
      <c r="AA61" s="62">
        <v>0.99650817000000003</v>
      </c>
      <c r="AB61" s="62">
        <v>8.2259870000000006E-3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3.2770599999999988</v>
      </c>
      <c r="AN61" s="122">
        <f t="shared" si="5"/>
        <v>2.4358629999999977</v>
      </c>
      <c r="AO61" s="122">
        <f t="shared" si="6"/>
        <v>3.9544000000002466E-4</v>
      </c>
      <c r="AP61" s="122">
        <f t="shared" si="7"/>
        <v>8.1337999999997468E-4</v>
      </c>
      <c r="AQ61" s="88">
        <f t="shared" si="8"/>
        <v>-8.5966640000000004E-3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27.854803</v>
      </c>
      <c r="Y63" s="97">
        <v>33.962269999999997</v>
      </c>
      <c r="Z63" s="97">
        <v>0.95929123999999999</v>
      </c>
      <c r="AA63" s="60">
        <v>0.95576633</v>
      </c>
      <c r="AB63" s="60">
        <v>5.5105939999999999E-2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0.7747339999999987</v>
      </c>
      <c r="AN63" s="96">
        <f t="shared" si="5"/>
        <v>1.5484999999999971</v>
      </c>
      <c r="AO63" s="96">
        <f t="shared" si="6"/>
        <v>-2.1482000000005996E-4</v>
      </c>
      <c r="AP63" s="96">
        <f t="shared" si="7"/>
        <v>1.6945499999999614E-3</v>
      </c>
      <c r="AQ63" s="121">
        <f t="shared" si="8"/>
        <v>-1.024576E-2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31.946154</v>
      </c>
      <c r="Y64" s="190">
        <v>36.915185999999999</v>
      </c>
      <c r="Z64" s="190">
        <v>0.97678995000000002</v>
      </c>
      <c r="AA64" s="62">
        <v>0.97476107999999995</v>
      </c>
      <c r="AB64" s="62">
        <v>3.1008547000000001E-2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1.2995090000000005</v>
      </c>
      <c r="AN64" s="122">
        <f t="shared" si="5"/>
        <v>1.537824999999998</v>
      </c>
      <c r="AO64" s="122">
        <f t="shared" si="6"/>
        <v>3.1930000000002234E-4</v>
      </c>
      <c r="AP64" s="122">
        <f t="shared" si="7"/>
        <v>2.6846399999999049E-3</v>
      </c>
      <c r="AQ64" s="88">
        <f t="shared" si="8"/>
        <v>-8.8554859999999992E-3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37.673558</v>
      </c>
      <c r="Y65" s="190">
        <v>41.298346000000002</v>
      </c>
      <c r="Z65" s="190">
        <v>0.98889857999999997</v>
      </c>
      <c r="AA65" s="62">
        <v>0.99116203000000003</v>
      </c>
      <c r="AB65" s="62">
        <v>1.4980624999999999E-2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2.3692690000000027</v>
      </c>
      <c r="AN65" s="122">
        <f t="shared" si="5"/>
        <v>1.8709520000000026</v>
      </c>
      <c r="AO65" s="122">
        <f t="shared" si="6"/>
        <v>3.1629999999993608E-4</v>
      </c>
      <c r="AP65" s="122">
        <f t="shared" si="7"/>
        <v>6.2468000000004409E-4</v>
      </c>
      <c r="AQ65" s="88">
        <f t="shared" si="8"/>
        <v>-8.6081200000000021E-3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41.278548000000001</v>
      </c>
      <c r="Y66" s="190">
        <v>44.511122999999998</v>
      </c>
      <c r="Z66" s="190">
        <v>0.99314276000000001</v>
      </c>
      <c r="AA66" s="62">
        <v>0.99646193000000005</v>
      </c>
      <c r="AB66" s="62">
        <v>8.0185970000000006E-3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3.3378500000000031</v>
      </c>
      <c r="AN66" s="122">
        <f t="shared" si="5"/>
        <v>2.4684629999999999</v>
      </c>
      <c r="AO66" s="122">
        <f t="shared" si="6"/>
        <v>4.0408000000002886E-4</v>
      </c>
      <c r="AP66" s="122">
        <f t="shared" si="7"/>
        <v>1.1060400000000303E-3</v>
      </c>
      <c r="AQ66" s="88">
        <f t="shared" si="8"/>
        <v>-8.6889029999999996E-3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28.110810000000001</v>
      </c>
      <c r="Y68" s="97">
        <v>34.137850999999998</v>
      </c>
      <c r="Z68" s="97">
        <v>0.95934543000000005</v>
      </c>
      <c r="AA68" s="60">
        <v>0.95633656</v>
      </c>
      <c r="AB68" s="60">
        <v>5.2929595000000003E-2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0.7708730000000017</v>
      </c>
      <c r="AN68" s="96">
        <f t="shared" si="5"/>
        <v>1.5391319999999951</v>
      </c>
      <c r="AO68" s="96">
        <f t="shared" si="6"/>
        <v>-1.7596999999991425E-4</v>
      </c>
      <c r="AP68" s="96">
        <f t="shared" si="7"/>
        <v>1.4799899999999866E-3</v>
      </c>
      <c r="AQ68" s="121">
        <f t="shared" si="8"/>
        <v>-1.0000750999999995E-2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31.979832999999999</v>
      </c>
      <c r="Y69" s="190">
        <v>36.947847000000003</v>
      </c>
      <c r="Z69" s="190">
        <v>0.97643137000000002</v>
      </c>
      <c r="AA69" s="62">
        <v>0.97425795999999998</v>
      </c>
      <c r="AB69" s="62">
        <v>3.0337370999999998E-2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1.2801340000000003</v>
      </c>
      <c r="AN69" s="122">
        <f t="shared" si="5"/>
        <v>1.5295970000000025</v>
      </c>
      <c r="AO69" s="122">
        <f t="shared" si="6"/>
        <v>3.3459000000002348E-4</v>
      </c>
      <c r="AP69" s="122">
        <f t="shared" si="7"/>
        <v>2.8502200000000144E-3</v>
      </c>
      <c r="AQ69" s="88">
        <f t="shared" si="8"/>
        <v>-8.7554710000000043E-3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37.647623000000003</v>
      </c>
      <c r="Y70" s="190">
        <v>41.288468000000002</v>
      </c>
      <c r="Z70" s="190">
        <v>0.98865544000000005</v>
      </c>
      <c r="AA70" s="62">
        <v>0.99057666</v>
      </c>
      <c r="AB70" s="62">
        <v>1.4574446E-2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2.3217309999999998</v>
      </c>
      <c r="AN70" s="122">
        <f t="shared" si="5"/>
        <v>1.8440220000000025</v>
      </c>
      <c r="AO70" s="122">
        <f t="shared" si="6"/>
        <v>3.2271000000005934E-4</v>
      </c>
      <c r="AP70" s="122">
        <f t="shared" si="7"/>
        <v>5.7284000000001889E-4</v>
      </c>
      <c r="AQ70" s="88">
        <f t="shared" si="8"/>
        <v>-8.4766760000000007E-3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41.184265000000003</v>
      </c>
      <c r="Y71" s="190">
        <v>44.431007000000001</v>
      </c>
      <c r="Z71" s="190">
        <v>0.99299031000000004</v>
      </c>
      <c r="AA71" s="62">
        <v>0.99632412999999997</v>
      </c>
      <c r="AB71" s="62">
        <v>8.2585149999999993E-3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3.2652950000000018</v>
      </c>
      <c r="AN71" s="122">
        <f t="shared" si="5"/>
        <v>2.4204070000000044</v>
      </c>
      <c r="AO71" s="122">
        <f t="shared" si="6"/>
        <v>3.9021000000005746E-4</v>
      </c>
      <c r="AP71" s="122">
        <f t="shared" si="7"/>
        <v>1.2996499999999855E-3</v>
      </c>
      <c r="AQ71" s="88">
        <f t="shared" si="8"/>
        <v>-8.3462009999999993E-3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28.187654999999999</v>
      </c>
      <c r="Y73" s="97">
        <v>34.172687000000003</v>
      </c>
      <c r="Z73" s="97">
        <v>0.95925369000000005</v>
      </c>
      <c r="AA73" s="60">
        <v>0.95645438000000005</v>
      </c>
      <c r="AB73" s="60">
        <v>5.3016319999999999E-2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0.73282599999999931</v>
      </c>
      <c r="AN73" s="96">
        <f t="shared" si="5"/>
        <v>1.5109190000000012</v>
      </c>
      <c r="AO73" s="96">
        <f t="shared" si="6"/>
        <v>-2.7309999999991508E-4</v>
      </c>
      <c r="AP73" s="96">
        <f t="shared" si="7"/>
        <v>1.3908200000000148E-3</v>
      </c>
      <c r="AQ73" s="121">
        <f t="shared" si="8"/>
        <v>-9.660999999999996E-3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31.914553000000002</v>
      </c>
      <c r="Y74" s="190">
        <v>36.880918999999999</v>
      </c>
      <c r="Z74" s="190">
        <v>0.97604974</v>
      </c>
      <c r="AA74" s="62">
        <v>0.97392564999999998</v>
      </c>
      <c r="AB74" s="62">
        <v>3.0640014E-2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1.2539200000000008</v>
      </c>
      <c r="AN74" s="122">
        <f t="shared" si="5"/>
        <v>1.5193539999999999</v>
      </c>
      <c r="AO74" s="122">
        <f t="shared" si="6"/>
        <v>2.7164000000001742E-4</v>
      </c>
      <c r="AP74" s="122">
        <f t="shared" si="7"/>
        <v>2.8423499999999935E-3</v>
      </c>
      <c r="AQ74" s="88">
        <f t="shared" si="8"/>
        <v>-8.7657490000000032E-3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37.638801000000001</v>
      </c>
      <c r="Y75" s="190">
        <v>41.277040999999997</v>
      </c>
      <c r="Z75" s="190">
        <v>0.98849639</v>
      </c>
      <c r="AA75" s="62">
        <v>0.99064381000000001</v>
      </c>
      <c r="AB75" s="62">
        <v>1.4874494E-2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2.3245909999999981</v>
      </c>
      <c r="AN75" s="122">
        <f t="shared" si="5"/>
        <v>1.8457650000000001</v>
      </c>
      <c r="AO75" s="122">
        <f t="shared" si="6"/>
        <v>3.118500000000024E-4</v>
      </c>
      <c r="AP75" s="122">
        <f t="shared" si="7"/>
        <v>5.634599999999601E-4</v>
      </c>
      <c r="AQ75" s="88">
        <f t="shared" si="8"/>
        <v>-8.3764229999999992E-3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41.144531999999998</v>
      </c>
      <c r="Y76" s="190">
        <v>44.408129000000002</v>
      </c>
      <c r="Z76" s="190">
        <v>0.99282837000000002</v>
      </c>
      <c r="AA76" s="62">
        <v>0.99635041000000002</v>
      </c>
      <c r="AB76" s="62">
        <v>8.6061109999999996E-3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3.2628580000000014</v>
      </c>
      <c r="AN76" s="122">
        <f t="shared" si="5"/>
        <v>2.4394460000000038</v>
      </c>
      <c r="AO76" s="122">
        <f t="shared" si="6"/>
        <v>4.0320000000004796E-4</v>
      </c>
      <c r="AP76" s="122">
        <f t="shared" si="7"/>
        <v>1.2715300000000207E-3</v>
      </c>
      <c r="AQ76" s="88">
        <f t="shared" si="8"/>
        <v>-8.2141039999999998E-3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28.164611000000001</v>
      </c>
      <c r="Y78" s="97">
        <v>33.942042999999998</v>
      </c>
      <c r="Z78" s="97">
        <v>0.95742121000000002</v>
      </c>
      <c r="AA78" s="60">
        <v>0.95687471999999996</v>
      </c>
      <c r="AB78" s="60">
        <v>5.6870482999999999E-2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0.65585800000000205</v>
      </c>
      <c r="AN78" s="96">
        <f t="shared" si="5"/>
        <v>1.3238860000000017</v>
      </c>
      <c r="AO78" s="96">
        <f t="shared" si="6"/>
        <v>-1.8662999999996543E-4</v>
      </c>
      <c r="AP78" s="96">
        <f t="shared" si="7"/>
        <v>1.1964999999999337E-3</v>
      </c>
      <c r="AQ78" s="121">
        <f t="shared" si="8"/>
        <v>-9.2943469999999945E-3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31.747226000000001</v>
      </c>
      <c r="Y79" s="190">
        <v>36.578328999999997</v>
      </c>
      <c r="Z79" s="190">
        <v>0.97489411000000004</v>
      </c>
      <c r="AA79" s="62">
        <v>0.97448566000000003</v>
      </c>
      <c r="AB79" s="62">
        <v>3.4206162999999998E-2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1.1584460000000014</v>
      </c>
      <c r="AN79" s="122">
        <f t="shared" si="5"/>
        <v>1.3494669999999971</v>
      </c>
      <c r="AO79" s="122">
        <f t="shared" si="6"/>
        <v>2.2342000000008522E-4</v>
      </c>
      <c r="AP79" s="122">
        <f t="shared" si="7"/>
        <v>2.5334799999999769E-3</v>
      </c>
      <c r="AQ79" s="88">
        <f t="shared" si="8"/>
        <v>-8.588607000000005E-3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37.287486000000001</v>
      </c>
      <c r="Y80" s="190">
        <v>40.919103</v>
      </c>
      <c r="Z80" s="190">
        <v>0.98766169999999998</v>
      </c>
      <c r="AA80" s="62">
        <v>0.99056791</v>
      </c>
      <c r="AB80" s="62">
        <v>1.6892412999999998E-2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2.1571720000000028</v>
      </c>
      <c r="AN80" s="122">
        <f t="shared" si="5"/>
        <v>1.693204999999999</v>
      </c>
      <c r="AO80" s="122">
        <f t="shared" si="6"/>
        <v>2.853699999999515E-4</v>
      </c>
      <c r="AP80" s="122">
        <f t="shared" si="7"/>
        <v>3.9122000000002544E-4</v>
      </c>
      <c r="AQ80" s="88">
        <f t="shared" si="8"/>
        <v>-8.2567830000000002E-3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40.620913000000002</v>
      </c>
      <c r="Y81" s="190">
        <v>43.937686999999997</v>
      </c>
      <c r="Z81" s="190">
        <v>0.99210149999999997</v>
      </c>
      <c r="AA81" s="62">
        <v>0.99604486999999997</v>
      </c>
      <c r="AB81" s="62">
        <v>1.0394647999999999E-2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3.0235660000000024</v>
      </c>
      <c r="AN81" s="122">
        <f t="shared" si="5"/>
        <v>2.2854349999999997</v>
      </c>
      <c r="AO81" s="122">
        <f t="shared" si="6"/>
        <v>4.0989000000002385E-4</v>
      </c>
      <c r="AP81" s="122">
        <f t="shared" si="7"/>
        <v>1.1190999999999285E-3</v>
      </c>
      <c r="AQ81" s="88">
        <f t="shared" si="8"/>
        <v>-8.0904720000000013E-3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27.790120999999999</v>
      </c>
      <c r="Y83" s="97">
        <v>33.835555999999997</v>
      </c>
      <c r="Z83" s="97">
        <v>0.95653465000000004</v>
      </c>
      <c r="AA83" s="60">
        <v>0.95739958000000003</v>
      </c>
      <c r="AB83" s="60">
        <v>6.0035159999999997E-2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0.81022499999999908</v>
      </c>
      <c r="AN83" s="96">
        <f t="shared" si="5"/>
        <v>1.5102799999999945</v>
      </c>
      <c r="AO83" s="96">
        <f t="shared" si="6"/>
        <v>-3.376999999993302E-5</v>
      </c>
      <c r="AP83" s="96">
        <f t="shared" si="7"/>
        <v>1.9537400000000371E-3</v>
      </c>
      <c r="AQ83" s="121">
        <f t="shared" si="8"/>
        <v>-1.0387769999999998E-2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31.846682000000001</v>
      </c>
      <c r="Y84" s="190">
        <v>36.801820999999997</v>
      </c>
      <c r="Z84" s="190">
        <v>0.97632132000000005</v>
      </c>
      <c r="AA84" s="62">
        <v>0.97563506</v>
      </c>
      <c r="AB84" s="62">
        <v>3.1985164000000003E-2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1.3375780000000006</v>
      </c>
      <c r="AN84" s="122">
        <f t="shared" si="5"/>
        <v>1.5259789999999995</v>
      </c>
      <c r="AO84" s="122">
        <f t="shared" si="6"/>
        <v>2.2326999999999764E-4</v>
      </c>
      <c r="AP84" s="122">
        <f t="shared" si="7"/>
        <v>1.0464799999999608E-3</v>
      </c>
      <c r="AQ84" s="88">
        <f t="shared" si="8"/>
        <v>-9.0375359999999988E-3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37.268324999999997</v>
      </c>
      <c r="Y85" s="190">
        <v>40.994891000000003</v>
      </c>
      <c r="Z85" s="190">
        <v>0.98883792999999998</v>
      </c>
      <c r="AA85" s="62">
        <v>0.99182102000000005</v>
      </c>
      <c r="AB85" s="62">
        <v>1.4975733999999999E-2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2.2728259999999949</v>
      </c>
      <c r="AN85" s="122">
        <f t="shared" si="5"/>
        <v>1.8633740000000003</v>
      </c>
      <c r="AO85" s="122">
        <f t="shared" si="6"/>
        <v>2.6292999999999456E-4</v>
      </c>
      <c r="AP85" s="122">
        <f t="shared" si="7"/>
        <v>6.9573000000000551E-4</v>
      </c>
      <c r="AQ85" s="88">
        <f t="shared" si="8"/>
        <v>-8.7923480000000002E-3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40.940852</v>
      </c>
      <c r="Y86" s="190">
        <v>44.236429000000001</v>
      </c>
      <c r="Z86" s="190">
        <v>0.99336954</v>
      </c>
      <c r="AA86" s="62">
        <v>0.99648099999999995</v>
      </c>
      <c r="AB86" s="62">
        <v>8.080963E-3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3.1219770000000011</v>
      </c>
      <c r="AN86" s="122">
        <f t="shared" si="5"/>
        <v>2.3628520000000037</v>
      </c>
      <c r="AO86" s="122">
        <f t="shared" si="6"/>
        <v>3.885700000000325E-4</v>
      </c>
      <c r="AP86" s="122">
        <f t="shared" si="7"/>
        <v>7.9603999999999786E-4</v>
      </c>
      <c r="AQ86" s="88">
        <f t="shared" si="8"/>
        <v>-8.6987910000000009E-3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27.921686999999999</v>
      </c>
      <c r="Y88" s="97">
        <v>34.008080999999997</v>
      </c>
      <c r="Z88" s="97">
        <v>0.95780240999999999</v>
      </c>
      <c r="AA88" s="60">
        <v>0.95680087999999996</v>
      </c>
      <c r="AB88" s="60">
        <v>5.6032665000000002E-2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0.8514899999999983</v>
      </c>
      <c r="AN88" s="96">
        <f t="shared" si="5"/>
        <v>1.6004609999999957</v>
      </c>
      <c r="AO88" s="96">
        <f t="shared" si="6"/>
        <v>8.6119999999967334E-5</v>
      </c>
      <c r="AP88" s="96">
        <f t="shared" si="7"/>
        <v>2.1273199999999326E-3</v>
      </c>
      <c r="AQ88" s="121">
        <f t="shared" si="8"/>
        <v>-1.0650534999999996E-2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31.939969000000001</v>
      </c>
      <c r="Y89" s="190">
        <v>36.902721999999997</v>
      </c>
      <c r="Z89" s="190">
        <v>0.97657996999999996</v>
      </c>
      <c r="AA89" s="62">
        <v>0.97580434000000005</v>
      </c>
      <c r="AB89" s="62">
        <v>3.0475589000000001E-2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1.3515370000000004</v>
      </c>
      <c r="AN89" s="122">
        <f t="shared" si="5"/>
        <v>1.5572009999999992</v>
      </c>
      <c r="AO89" s="122">
        <f t="shared" si="6"/>
        <v>3.3565999999995988E-4</v>
      </c>
      <c r="AP89" s="122">
        <f t="shared" si="7"/>
        <v>2.6909700000000703E-3</v>
      </c>
      <c r="AQ89" s="88">
        <f t="shared" si="8"/>
        <v>-9.4524489999999982E-3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37.455964999999999</v>
      </c>
      <c r="Y90" s="190">
        <v>41.169317999999997</v>
      </c>
      <c r="Z90" s="190">
        <v>0.98879150000000005</v>
      </c>
      <c r="AA90" s="62">
        <v>0.99134559</v>
      </c>
      <c r="AB90" s="62">
        <v>1.4522435E-2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2.328719999999997</v>
      </c>
      <c r="AN90" s="122">
        <f t="shared" si="5"/>
        <v>1.8947959999999995</v>
      </c>
      <c r="AO90" s="122">
        <f t="shared" si="6"/>
        <v>2.5990000000009061E-4</v>
      </c>
      <c r="AP90" s="122">
        <f t="shared" si="7"/>
        <v>6.2812000000000978E-4</v>
      </c>
      <c r="AQ90" s="88">
        <f t="shared" si="8"/>
        <v>-9.0737330000000005E-3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41.151628000000002</v>
      </c>
      <c r="Y91" s="190">
        <v>44.413735000000003</v>
      </c>
      <c r="Z91" s="190">
        <v>0.99326915000000005</v>
      </c>
      <c r="AA91" s="62">
        <v>0.99647023999999995</v>
      </c>
      <c r="AB91" s="62">
        <v>7.7349250000000001E-3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3.2383700000000033</v>
      </c>
      <c r="AN91" s="122">
        <f t="shared" si="5"/>
        <v>2.4217620000000011</v>
      </c>
      <c r="AO91" s="122">
        <f t="shared" si="6"/>
        <v>3.7136000000004277E-4</v>
      </c>
      <c r="AP91" s="122">
        <f t="shared" si="7"/>
        <v>1.0147299999999637E-3</v>
      </c>
      <c r="AQ91" s="88">
        <f t="shared" si="8"/>
        <v>-8.9605500000000012E-3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28.088643000000001</v>
      </c>
      <c r="Y93" s="97">
        <v>34.118177000000003</v>
      </c>
      <c r="Z93" s="97">
        <v>0.95877955000000004</v>
      </c>
      <c r="AA93" s="60">
        <v>0.95599615000000004</v>
      </c>
      <c r="AB93" s="60">
        <v>5.2425227999999997E-2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0.85886800000000108</v>
      </c>
      <c r="AN93" s="96">
        <f t="shared" si="5"/>
        <v>1.5870840000000044</v>
      </c>
      <c r="AO93" s="96">
        <f t="shared" si="6"/>
        <v>2.0341000000001497E-4</v>
      </c>
      <c r="AP93" s="96">
        <f t="shared" si="7"/>
        <v>2.6054699999999986E-3</v>
      </c>
      <c r="AQ93" s="121">
        <f t="shared" si="8"/>
        <v>-1.1087342000000007E-2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31.989688000000001</v>
      </c>
      <c r="Y94" s="190">
        <v>36.903945</v>
      </c>
      <c r="Z94" s="190">
        <v>0.97687281999999998</v>
      </c>
      <c r="AA94" s="62">
        <v>0.97435965999999996</v>
      </c>
      <c r="AB94" s="62">
        <v>2.8909355000000001E-2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1.3002789999999997</v>
      </c>
      <c r="AN94" s="122">
        <f t="shared" si="5"/>
        <v>1.4919539999999998</v>
      </c>
      <c r="AO94" s="122">
        <f t="shared" si="6"/>
        <v>2.9889999999999084E-4</v>
      </c>
      <c r="AP94" s="122">
        <f t="shared" si="7"/>
        <v>3.0438299999999696E-3</v>
      </c>
      <c r="AQ94" s="88">
        <f t="shared" si="8"/>
        <v>-9.1710989999999985E-3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37.613120000000002</v>
      </c>
      <c r="Y95" s="190">
        <v>41.284641000000001</v>
      </c>
      <c r="Z95" s="190">
        <v>0.98894495000000004</v>
      </c>
      <c r="AA95" s="62">
        <v>0.99069377000000003</v>
      </c>
      <c r="AB95" s="62">
        <v>1.401644E-2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2.2836290000000048</v>
      </c>
      <c r="AN95" s="122">
        <f t="shared" si="5"/>
        <v>1.8306070000000005</v>
      </c>
      <c r="AO95" s="122">
        <f t="shared" si="6"/>
        <v>2.9279000000004274E-4</v>
      </c>
      <c r="AP95" s="122">
        <f t="shared" si="7"/>
        <v>5.5566000000006888E-4</v>
      </c>
      <c r="AQ95" s="88">
        <f t="shared" si="8"/>
        <v>-8.5494149999999994E-3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41.320751000000001</v>
      </c>
      <c r="Y96" s="190">
        <v>44.545309000000003</v>
      </c>
      <c r="Z96" s="190">
        <v>0.99329202000000005</v>
      </c>
      <c r="AA96" s="62">
        <v>0.99642302000000005</v>
      </c>
      <c r="AB96" s="62">
        <v>7.5709380000000001E-3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3.2395899999999997</v>
      </c>
      <c r="AN96" s="122">
        <f t="shared" si="5"/>
        <v>2.3952990000000014</v>
      </c>
      <c r="AO96" s="122">
        <f t="shared" si="6"/>
        <v>3.6189000000008686E-4</v>
      </c>
      <c r="AP96" s="122">
        <f t="shared" si="7"/>
        <v>1.2610900000000758E-3</v>
      </c>
      <c r="AQ96" s="88">
        <f t="shared" si="8"/>
        <v>-8.4334640000000016E-3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28.252680000000002</v>
      </c>
      <c r="Y98" s="97">
        <v>34.246682999999997</v>
      </c>
      <c r="Z98" s="97">
        <v>0.95884891000000005</v>
      </c>
      <c r="AA98" s="60">
        <v>0.95740481</v>
      </c>
      <c r="AB98" s="60">
        <v>5.2983879999999997E-2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0.85286500000000132</v>
      </c>
      <c r="AN98" s="96">
        <f t="shared" si="15"/>
        <v>1.5847890000000007</v>
      </c>
      <c r="AO98" s="96">
        <f t="shared" si="16"/>
        <v>1.2528000000000539E-4</v>
      </c>
      <c r="AP98" s="96">
        <f t="shared" si="17"/>
        <v>2.7105699999999677E-3</v>
      </c>
      <c r="AQ98" s="121">
        <f t="shared" si="18"/>
        <v>-1.0390244000000007E-2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31.963039999999999</v>
      </c>
      <c r="Y99" s="190">
        <v>36.910913000000001</v>
      </c>
      <c r="Z99" s="190">
        <v>0.97681775999999998</v>
      </c>
      <c r="AA99" s="62">
        <v>0.97487389000000002</v>
      </c>
      <c r="AB99" s="62">
        <v>2.9704006000000002E-2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1.3121200000000002</v>
      </c>
      <c r="AN99" s="122">
        <f t="shared" si="15"/>
        <v>1.5179340000000039</v>
      </c>
      <c r="AO99" s="122">
        <f t="shared" si="16"/>
        <v>3.2871999999994905E-4</v>
      </c>
      <c r="AP99" s="122">
        <f t="shared" si="17"/>
        <v>3.0071799999999982E-3</v>
      </c>
      <c r="AQ99" s="88">
        <f t="shared" si="18"/>
        <v>-8.9700209999999982E-3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37.537168000000001</v>
      </c>
      <c r="Y100" s="190">
        <v>41.248286</v>
      </c>
      <c r="Z100" s="190">
        <v>0.98888436999999996</v>
      </c>
      <c r="AA100" s="62">
        <v>0.99081215</v>
      </c>
      <c r="AB100" s="62">
        <v>1.4591889E-2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2.3110590000000002</v>
      </c>
      <c r="AN100" s="122">
        <f t="shared" si="15"/>
        <v>1.8710420000000028</v>
      </c>
      <c r="AO100" s="122">
        <f t="shared" si="16"/>
        <v>3.1463999999992165E-4</v>
      </c>
      <c r="AP100" s="122">
        <f t="shared" si="17"/>
        <v>7.0389000000004032E-4</v>
      </c>
      <c r="AQ100" s="88">
        <f t="shared" si="18"/>
        <v>-8.7095839999999994E-3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41.264958999999998</v>
      </c>
      <c r="Y101" s="190">
        <v>44.519475999999997</v>
      </c>
      <c r="Z101" s="190">
        <v>0.99324957000000003</v>
      </c>
      <c r="AA101" s="62">
        <v>0.99645132999999997</v>
      </c>
      <c r="AB101" s="62">
        <v>8.017471E-3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3.2359639999999956</v>
      </c>
      <c r="AN101" s="122">
        <f t="shared" si="15"/>
        <v>2.4117139999999964</v>
      </c>
      <c r="AO101" s="122">
        <f t="shared" si="16"/>
        <v>3.9124000000001491E-4</v>
      </c>
      <c r="AP101" s="122">
        <f t="shared" si="17"/>
        <v>1.15065999999997E-3</v>
      </c>
      <c r="AQ101" s="88">
        <f t="shared" si="18"/>
        <v>-8.3735530000000006E-3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28.142866000000001</v>
      </c>
      <c r="Y103" s="97">
        <v>33.717343999999997</v>
      </c>
      <c r="Z103" s="97">
        <v>0.95701307000000002</v>
      </c>
      <c r="AA103" s="60">
        <v>0.95769563000000002</v>
      </c>
      <c r="AB103" s="60">
        <v>5.5276527999999998E-2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0.76064400000000276</v>
      </c>
      <c r="AN103" s="96">
        <f t="shared" si="15"/>
        <v>1.2497419999999977</v>
      </c>
      <c r="AO103" s="96">
        <f t="shared" si="16"/>
        <v>1.3479000000005126E-4</v>
      </c>
      <c r="AP103" s="96">
        <f t="shared" si="17"/>
        <v>2.4195399999999978E-3</v>
      </c>
      <c r="AQ103" s="121">
        <f t="shared" si="18"/>
        <v>-1.0090478000000007E-2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31.689471000000001</v>
      </c>
      <c r="Y104" s="190">
        <v>36.397953999999999</v>
      </c>
      <c r="Z104" s="190">
        <v>0.97593677999999995</v>
      </c>
      <c r="AA104" s="62">
        <v>0.97369929</v>
      </c>
      <c r="AB104" s="62">
        <v>3.1409208000000001E-2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1.1961650000000006</v>
      </c>
      <c r="AN104" s="122">
        <f t="shared" si="15"/>
        <v>1.2654560000000004</v>
      </c>
      <c r="AO104" s="122">
        <f t="shared" si="16"/>
        <v>2.5561999999990093E-4</v>
      </c>
      <c r="AP104" s="122">
        <f t="shared" si="17"/>
        <v>8.8633999999998547E-4</v>
      </c>
      <c r="AQ104" s="88">
        <f t="shared" si="18"/>
        <v>-8.8052449999999963E-3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37.028987999999998</v>
      </c>
      <c r="Y105" s="190">
        <v>40.709918000000002</v>
      </c>
      <c r="Z105" s="190">
        <v>0.98821139999999996</v>
      </c>
      <c r="AA105" s="62">
        <v>0.99065769000000004</v>
      </c>
      <c r="AB105" s="62">
        <v>1.5654894999999999E-2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2.1079069999999973</v>
      </c>
      <c r="AN105" s="122">
        <f t="shared" si="15"/>
        <v>1.6695950000000011</v>
      </c>
      <c r="AO105" s="122">
        <f t="shared" si="16"/>
        <v>3.0485999999996238E-4</v>
      </c>
      <c r="AP105" s="122">
        <f t="shared" si="17"/>
        <v>6.7240000000001743E-4</v>
      </c>
      <c r="AQ105" s="88">
        <f t="shared" si="18"/>
        <v>-8.6172350000000009E-3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40.768785000000001</v>
      </c>
      <c r="Y106" s="190">
        <v>44.018706999999999</v>
      </c>
      <c r="Z106" s="190">
        <v>0.99282161000000002</v>
      </c>
      <c r="AA106" s="62">
        <v>0.99616870000000002</v>
      </c>
      <c r="AB106" s="62">
        <v>8.7651659999999996E-3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3.0061150000000012</v>
      </c>
      <c r="AN106" s="122">
        <f t="shared" si="15"/>
        <v>2.2098459999999989</v>
      </c>
      <c r="AO106" s="122">
        <f t="shared" si="16"/>
        <v>3.8839000000001622E-4</v>
      </c>
      <c r="AP106" s="122">
        <f t="shared" si="17"/>
        <v>9.5992000000000299E-4</v>
      </c>
      <c r="AQ106" s="88">
        <f t="shared" si="18"/>
        <v>-8.2329279999999987E-3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27.472404999999998</v>
      </c>
      <c r="Y641" s="136">
        <f t="shared" si="60"/>
        <v>33.352137999999997</v>
      </c>
      <c r="Z641" s="136">
        <f t="shared" si="60"/>
        <v>0.95646675999999997</v>
      </c>
      <c r="AA641" s="136">
        <f t="shared" si="60"/>
        <v>0.95320627999999996</v>
      </c>
      <c r="AB641" s="136">
        <f t="shared" si="60"/>
        <v>5.2425227999999997E-2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31.502018</v>
      </c>
      <c r="Y642" s="18">
        <f t="shared" si="60"/>
        <v>36.133788000000003</v>
      </c>
      <c r="Z642" s="18">
        <f t="shared" si="60"/>
        <v>0.97429484</v>
      </c>
      <c r="AA642" s="18">
        <f t="shared" si="60"/>
        <v>0.97369929</v>
      </c>
      <c r="AB642" s="18">
        <f t="shared" si="60"/>
        <v>2.8909355000000001E-2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37.028987999999998</v>
      </c>
      <c r="Y643" s="18">
        <f t="shared" si="60"/>
        <v>40.691915000000002</v>
      </c>
      <c r="Z643" s="18">
        <f t="shared" si="60"/>
        <v>0.98738033999999997</v>
      </c>
      <c r="AA643" s="18">
        <f t="shared" si="60"/>
        <v>0.99056791</v>
      </c>
      <c r="AB643" s="18">
        <f t="shared" si="60"/>
        <v>1.401644E-2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40.448343999999999</v>
      </c>
      <c r="Y644" s="18">
        <f t="shared" si="60"/>
        <v>43.747070999999998</v>
      </c>
      <c r="Z644" s="18">
        <f t="shared" si="60"/>
        <v>0.99186315999999997</v>
      </c>
      <c r="AA644" s="18">
        <f t="shared" si="60"/>
        <v>0.99598797999999999</v>
      </c>
      <c r="AB644" s="18">
        <f t="shared" si="60"/>
        <v>7.5709380000000001E-3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28.252680000000002</v>
      </c>
      <c r="Y646" s="136">
        <f t="shared" si="62"/>
        <v>34.246682999999997</v>
      </c>
      <c r="Z646" s="136">
        <f t="shared" si="62"/>
        <v>0.95934543000000005</v>
      </c>
      <c r="AA646" s="136">
        <f t="shared" si="62"/>
        <v>0.95781784999999997</v>
      </c>
      <c r="AB646" s="136">
        <f t="shared" si="62"/>
        <v>6.1648715E-2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32.147582999999997</v>
      </c>
      <c r="Y647" s="18">
        <f t="shared" si="62"/>
        <v>37.011544000000001</v>
      </c>
      <c r="Z647" s="18">
        <f t="shared" si="62"/>
        <v>0.97687281999999998</v>
      </c>
      <c r="AA647" s="18">
        <f t="shared" si="62"/>
        <v>0.97723040000000005</v>
      </c>
      <c r="AB647" s="18">
        <f t="shared" si="62"/>
        <v>3.6463767000000001E-2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37.673558</v>
      </c>
      <c r="Y648" s="18">
        <f t="shared" si="62"/>
        <v>41.298346000000002</v>
      </c>
      <c r="Z648" s="18">
        <f t="shared" si="62"/>
        <v>0.98894495000000004</v>
      </c>
      <c r="AA648" s="18">
        <f t="shared" si="62"/>
        <v>0.99182102000000005</v>
      </c>
      <c r="AB648" s="18">
        <f t="shared" si="62"/>
        <v>1.8900713E-2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41.320751000000001</v>
      </c>
      <c r="Y649" s="18">
        <f t="shared" si="62"/>
        <v>44.545309000000003</v>
      </c>
      <c r="Z649" s="18">
        <f t="shared" si="62"/>
        <v>0.99336954</v>
      </c>
      <c r="AA649" s="18">
        <f t="shared" si="62"/>
        <v>0.99650817000000003</v>
      </c>
      <c r="AB649" s="18">
        <f t="shared" si="62"/>
        <v>1.1638839999999999E-2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0.78027500000000316</v>
      </c>
      <c r="Y651" s="136">
        <f t="shared" si="64"/>
        <v>0.89454500000000081</v>
      </c>
      <c r="Z651" s="136">
        <f t="shared" si="64"/>
        <v>2.8786700000000831E-3</v>
      </c>
      <c r="AA651" s="136">
        <f t="shared" si="64"/>
        <v>4.6115700000000093E-3</v>
      </c>
      <c r="AB651" s="136">
        <f t="shared" si="64"/>
        <v>9.2234870000000024E-3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0.64556499999999772</v>
      </c>
      <c r="Y652" s="18">
        <f t="shared" si="64"/>
        <v>0.87775599999999798</v>
      </c>
      <c r="Z652" s="18">
        <f t="shared" si="64"/>
        <v>2.5779799999999797E-3</v>
      </c>
      <c r="AA652" s="18">
        <f t="shared" si="64"/>
        <v>3.5311100000000595E-3</v>
      </c>
      <c r="AB652" s="18">
        <f t="shared" si="64"/>
        <v>7.5544119999999999E-3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0.64457000000000164</v>
      </c>
      <c r="Y653" s="18">
        <f t="shared" si="64"/>
        <v>0.60643100000000061</v>
      </c>
      <c r="Z653" s="18">
        <f t="shared" si="64"/>
        <v>1.5646100000000773E-3</v>
      </c>
      <c r="AA653" s="18">
        <f t="shared" si="64"/>
        <v>1.2531100000000572E-3</v>
      </c>
      <c r="AB653" s="18">
        <f t="shared" si="64"/>
        <v>4.8842729999999997E-3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0.8724070000000026</v>
      </c>
      <c r="Y654" s="18">
        <f t="shared" si="64"/>
        <v>0.79823800000000489</v>
      </c>
      <c r="Z654" s="18">
        <f t="shared" si="64"/>
        <v>1.5063800000000294E-3</v>
      </c>
      <c r="AA654" s="18">
        <f t="shared" si="64"/>
        <v>5.2019000000003146E-4</v>
      </c>
      <c r="AB654" s="18">
        <f t="shared" si="64"/>
        <v>4.0679019999999991E-3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breakfast_semitrack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breakfast_semitrack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38184.639999999999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27.943144866666664</v>
      </c>
      <c r="Y5" s="30">
        <f t="shared" si="2"/>
        <v>33.852189999999993</v>
      </c>
      <c r="Z5" s="30">
        <f t="shared" si="2"/>
        <v>0.95684386399999999</v>
      </c>
      <c r="AA5" s="91">
        <f t="shared" si="2"/>
        <v>0.95617189800000013</v>
      </c>
      <c r="AB5" s="91">
        <f t="shared" si="2"/>
        <v>5.7400421799999983E-2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-0.12736098162652976</v>
      </c>
      <c r="AN5" s="245">
        <f>bdrate($E5:$E8,G5:G8,$W5:$W8,Y5:Y8)</f>
        <v>-0.15411531265882927</v>
      </c>
      <c r="AO5" s="245">
        <f>bdrate($E5:$E8,H5:H8,$W5:$W8,Z5:Z8)</f>
        <v>-4.2465375322980892E-3</v>
      </c>
      <c r="AP5" s="245">
        <f>bdrate($E5:$E8,I5:I8,$W5:$W8,AA5:AA8)</f>
        <v>-4.109891719310832E-2</v>
      </c>
      <c r="AQ5" s="246">
        <f>bdrateInverted($E5:$E8,J5:J8,$W5:$W8,AB5:AB8)</f>
        <v>-0.16527360418621606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54997.576000000001</v>
      </c>
      <c r="X6" s="91">
        <f t="shared" si="2"/>
        <v>31.995453399999992</v>
      </c>
      <c r="Y6" s="91">
        <f t="shared" si="2"/>
        <v>36.725632800000007</v>
      </c>
      <c r="Z6" s="91">
        <f t="shared" si="2"/>
        <v>0.97527889999999995</v>
      </c>
      <c r="AA6" s="91">
        <f t="shared" si="2"/>
        <v>0.97510140466666662</v>
      </c>
      <c r="AB6" s="91">
        <f t="shared" si="2"/>
        <v>3.308151333333334E-2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79272.784</v>
      </c>
      <c r="X7" s="91">
        <f t="shared" si="2"/>
        <v>37.318707333333329</v>
      </c>
      <c r="Y7" s="91">
        <f t="shared" si="2"/>
        <v>40.946754533333333</v>
      </c>
      <c r="Z7" s="91">
        <f t="shared" si="2"/>
        <v>0.98793126666666686</v>
      </c>
      <c r="AA7" s="91">
        <f t="shared" si="2"/>
        <v>0.99075384933333333</v>
      </c>
      <c r="AB7" s="91">
        <f t="shared" si="2"/>
        <v>1.6320952600000001E-2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112220.784</v>
      </c>
      <c r="X8" s="91">
        <f t="shared" si="2"/>
        <v>40.742753533333335</v>
      </c>
      <c r="Y8" s="91">
        <f t="shared" si="2"/>
        <v>44.0402998</v>
      </c>
      <c r="Z8" s="91">
        <f t="shared" si="2"/>
        <v>0.99238998400000011</v>
      </c>
      <c r="AA8" s="91">
        <f t="shared" si="2"/>
        <v>0.99616821533333344</v>
      </c>
      <c r="AB8" s="91">
        <f t="shared" si="2"/>
        <v>9.6061324333333309E-3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6005.9040000000005</v>
      </c>
      <c r="X16" s="167">
        <v>7084.8320000000003</v>
      </c>
      <c r="Y16" s="167">
        <v>2762.52</v>
      </c>
      <c r="Z16" s="167">
        <v>1101.376</v>
      </c>
      <c r="AA16" s="167">
        <v>191.61600000000001</v>
      </c>
      <c r="AB16" s="167">
        <v>11311.031999999999</v>
      </c>
      <c r="AC16" s="60">
        <v>7331.9279999999999</v>
      </c>
      <c r="AD16" s="60">
        <v>2395.4319999999998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6005.9040000000005</v>
      </c>
      <c r="X17" s="168">
        <v>9349.5360000000001</v>
      </c>
      <c r="Y17" s="168">
        <v>7061.2240000000002</v>
      </c>
      <c r="Z17" s="168">
        <v>3811.1439999999998</v>
      </c>
      <c r="AA17" s="168">
        <v>1404.672</v>
      </c>
      <c r="AB17" s="168">
        <v>14528.216</v>
      </c>
      <c r="AC17" s="62">
        <v>9682.0079999999998</v>
      </c>
      <c r="AD17" s="62">
        <v>3154.8719999999998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6005.9040000000005</v>
      </c>
      <c r="X18" s="168">
        <v>11667.048000000001</v>
      </c>
      <c r="Y18" s="168">
        <v>12783.016</v>
      </c>
      <c r="Z18" s="168">
        <v>9120.9920000000002</v>
      </c>
      <c r="AA18" s="168">
        <v>5758.32</v>
      </c>
      <c r="AB18" s="168">
        <v>17869.687999999998</v>
      </c>
      <c r="AC18" s="62">
        <v>12136.72</v>
      </c>
      <c r="AD18" s="62">
        <v>3931.096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6005.9040000000005</v>
      </c>
      <c r="X19" s="168">
        <v>13873.616</v>
      </c>
      <c r="Y19" s="168">
        <v>19072.52</v>
      </c>
      <c r="Z19" s="168">
        <v>17273.975999999999</v>
      </c>
      <c r="AA19" s="168">
        <v>15229.216</v>
      </c>
      <c r="AB19" s="168">
        <v>21317.423999999999</v>
      </c>
      <c r="AC19" s="62">
        <v>14705.224</v>
      </c>
      <c r="AD19" s="62">
        <v>4742.9040000000005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38184.639999999999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54997.576000000001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79272.784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112220.784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27.436031</v>
      </c>
      <c r="Y33" s="97">
        <v>33.348056</v>
      </c>
      <c r="Z33" s="97">
        <v>0.95617567999999997</v>
      </c>
      <c r="AA33" s="60">
        <v>0.95282261999999995</v>
      </c>
      <c r="AB33" s="60">
        <v>6.1946477999999999E-2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0.61332200000000014</v>
      </c>
      <c r="AN33" s="96">
        <f t="shared" ref="AN33:AN96" si="5">IF(OR(Y33="",G33=""),"",Y33-G33)</f>
        <v>1.4537820000000004</v>
      </c>
      <c r="AO33" s="96">
        <f t="shared" ref="AO33:AO96" si="6">IF(OR(Z33="",H33=""),"",Z33-H33)</f>
        <v>-1.687500000000508E-4</v>
      </c>
      <c r="AP33" s="96">
        <f t="shared" ref="AP33:AP96" si="7">IF(OR(AA33="",I33=""),"",AA33-I33)</f>
        <v>3.078709999999929E-3</v>
      </c>
      <c r="AQ33" s="121">
        <f t="shared" ref="AQ33:AQ96" si="8">IF(OR(AB33="",J33=""),"",AB33-J33)</f>
        <v>-1.1215292000000002E-2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31.898595</v>
      </c>
      <c r="Y34" s="190">
        <v>36.458675999999997</v>
      </c>
      <c r="Z34" s="190">
        <v>0.97526835999999995</v>
      </c>
      <c r="AA34" s="62">
        <v>0.97559156999999996</v>
      </c>
      <c r="AB34" s="62">
        <v>3.6182354999999999E-2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1.1799180000000007</v>
      </c>
      <c r="AN34" s="122">
        <f t="shared" si="5"/>
        <v>1.3529109999999989</v>
      </c>
      <c r="AO34" s="122">
        <f t="shared" si="6"/>
        <v>3.3437999999996748E-4</v>
      </c>
      <c r="AP34" s="122">
        <f t="shared" si="7"/>
        <v>2.9828299999999919E-3</v>
      </c>
      <c r="AQ34" s="88">
        <f t="shared" si="8"/>
        <v>-8.8213570000000019E-3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37.291868000000001</v>
      </c>
      <c r="Y35" s="190">
        <v>40.866115000000001</v>
      </c>
      <c r="Z35" s="190">
        <v>0.98781105999999996</v>
      </c>
      <c r="AA35" s="62">
        <v>0.99060797</v>
      </c>
      <c r="AB35" s="62">
        <v>1.8310337999999999E-2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2.0835349999999977</v>
      </c>
      <c r="AN35" s="122">
        <f t="shared" si="5"/>
        <v>1.5934659999999994</v>
      </c>
      <c r="AO35" s="122">
        <f t="shared" si="6"/>
        <v>4.0960000000000996E-4</v>
      </c>
      <c r="AP35" s="122">
        <f t="shared" si="7"/>
        <v>6.0210000000004982E-4</v>
      </c>
      <c r="AQ35" s="88">
        <f t="shared" si="8"/>
        <v>-8.2289340000000002E-3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40.893962000000002</v>
      </c>
      <c r="Y36" s="190">
        <v>44.154328999999997</v>
      </c>
      <c r="Z36" s="190">
        <v>0.99229982000000005</v>
      </c>
      <c r="AA36" s="62">
        <v>0.99618262000000002</v>
      </c>
      <c r="AB36" s="62">
        <v>1.0216278000000001E-2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3.0721589999999992</v>
      </c>
      <c r="AN36" s="122">
        <f t="shared" si="5"/>
        <v>2.2427679999999981</v>
      </c>
      <c r="AO36" s="122">
        <f t="shared" si="6"/>
        <v>4.5957000000007575E-4</v>
      </c>
      <c r="AP36" s="122">
        <f t="shared" si="7"/>
        <v>9.6868999999999428E-4</v>
      </c>
      <c r="AQ36" s="88">
        <f t="shared" si="8"/>
        <v>-8.2587259999999992E-3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27.810376000000002</v>
      </c>
      <c r="Y38" s="97">
        <v>33.666998</v>
      </c>
      <c r="Z38" s="97">
        <v>0.95699718</v>
      </c>
      <c r="AA38" s="60">
        <v>0.95513672000000005</v>
      </c>
      <c r="AB38" s="60">
        <v>5.8955155000000002E-2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0.65534600000000154</v>
      </c>
      <c r="AN38" s="96">
        <f t="shared" si="5"/>
        <v>1.4604289999999978</v>
      </c>
      <c r="AO38" s="96">
        <f t="shared" si="6"/>
        <v>-3.0607999999998636E-4</v>
      </c>
      <c r="AP38" s="96">
        <f t="shared" si="7"/>
        <v>2.4649300000000318E-3</v>
      </c>
      <c r="AQ38" s="121">
        <f t="shared" si="8"/>
        <v>-1.1433934999999999E-2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31.949949</v>
      </c>
      <c r="Y39" s="190">
        <v>36.511322999999997</v>
      </c>
      <c r="Z39" s="190">
        <v>0.97528972999999997</v>
      </c>
      <c r="AA39" s="62">
        <v>0.97587089000000005</v>
      </c>
      <c r="AB39" s="62">
        <v>3.4949492999999998E-2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1.2793859999999988</v>
      </c>
      <c r="AN39" s="122">
        <f t="shared" si="5"/>
        <v>1.427273999999997</v>
      </c>
      <c r="AO39" s="122">
        <f t="shared" si="6"/>
        <v>3.6388999999992233E-4</v>
      </c>
      <c r="AP39" s="122">
        <f t="shared" si="7"/>
        <v>2.8619800000000417E-3</v>
      </c>
      <c r="AQ39" s="88">
        <f t="shared" si="8"/>
        <v>-9.4169710000000031E-3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37.303240000000002</v>
      </c>
      <c r="Y40" s="190">
        <v>40.875751999999999</v>
      </c>
      <c r="Z40" s="190">
        <v>0.98760899999999996</v>
      </c>
      <c r="AA40" s="62">
        <v>0.99099855999999997</v>
      </c>
      <c r="AB40" s="62">
        <v>1.7922497999999999E-2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2.2210250000000045</v>
      </c>
      <c r="AN40" s="122">
        <f t="shared" si="5"/>
        <v>1.7007029999999972</v>
      </c>
      <c r="AO40" s="122">
        <f t="shared" si="6"/>
        <v>3.9492999999990452E-4</v>
      </c>
      <c r="AP40" s="122">
        <f t="shared" si="7"/>
        <v>5.8648999999999507E-4</v>
      </c>
      <c r="AQ40" s="88">
        <f t="shared" si="8"/>
        <v>-9.0609940000000028E-3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40.793411999999996</v>
      </c>
      <c r="Y41" s="190">
        <v>44.073619999999998</v>
      </c>
      <c r="Z41" s="190">
        <v>0.99203600000000003</v>
      </c>
      <c r="AA41" s="62">
        <v>0.99615622000000004</v>
      </c>
      <c r="AB41" s="62">
        <v>1.0302136E-2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3.2293889999999976</v>
      </c>
      <c r="AN41" s="122">
        <f t="shared" si="5"/>
        <v>2.4000869999999992</v>
      </c>
      <c r="AO41" s="122">
        <f t="shared" si="6"/>
        <v>4.861700000000635E-4</v>
      </c>
      <c r="AP41" s="122">
        <f t="shared" si="7"/>
        <v>9.8130000000007378E-4</v>
      </c>
      <c r="AQ41" s="88">
        <f t="shared" si="8"/>
        <v>-9.0897139999999987E-3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28.083064</v>
      </c>
      <c r="Y43" s="97">
        <v>33.841106000000003</v>
      </c>
      <c r="Z43" s="97">
        <v>0.95720369000000005</v>
      </c>
      <c r="AA43" s="60">
        <v>0.95716276</v>
      </c>
      <c r="AB43" s="60">
        <v>5.5319063000000002E-2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0.68713699999999989</v>
      </c>
      <c r="AN43" s="96">
        <f t="shared" si="5"/>
        <v>1.4148050000000012</v>
      </c>
      <c r="AO43" s="96">
        <f t="shared" si="6"/>
        <v>-3.4942999999998392E-4</v>
      </c>
      <c r="AP43" s="96">
        <f t="shared" si="7"/>
        <v>2.1789500000000128E-3</v>
      </c>
      <c r="AQ43" s="121">
        <f t="shared" si="8"/>
        <v>-1.0158376999999996E-2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31.964739999999999</v>
      </c>
      <c r="Y44" s="190">
        <v>36.521951000000001</v>
      </c>
      <c r="Z44" s="190">
        <v>0.97494641999999998</v>
      </c>
      <c r="AA44" s="62">
        <v>0.97601859999999996</v>
      </c>
      <c r="AB44" s="62">
        <v>3.2843042000000003E-2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1.2669809999999977</v>
      </c>
      <c r="AN44" s="122">
        <f t="shared" si="5"/>
        <v>1.4074969999999993</v>
      </c>
      <c r="AO44" s="122">
        <f t="shared" si="6"/>
        <v>3.9279000000003172E-4</v>
      </c>
      <c r="AP44" s="122">
        <f t="shared" si="7"/>
        <v>3.001109999999918E-3</v>
      </c>
      <c r="AQ44" s="88">
        <f t="shared" si="8"/>
        <v>-8.4185449999999995E-3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37.335721999999997</v>
      </c>
      <c r="Y45" s="190">
        <v>40.884824000000002</v>
      </c>
      <c r="Z45" s="190">
        <v>0.98760154</v>
      </c>
      <c r="AA45" s="62">
        <v>0.99094046999999996</v>
      </c>
      <c r="AB45" s="62">
        <v>1.6773435999999999E-2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2.1419169999999994</v>
      </c>
      <c r="AN45" s="122">
        <f t="shared" si="5"/>
        <v>1.6296239999999997</v>
      </c>
      <c r="AO45" s="122">
        <f t="shared" si="6"/>
        <v>3.8048999999995559E-4</v>
      </c>
      <c r="AP45" s="122">
        <f t="shared" si="7"/>
        <v>5.5636999999997272E-4</v>
      </c>
      <c r="AQ45" s="88">
        <f t="shared" si="8"/>
        <v>-8.1613789999999999E-3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40.745263999999999</v>
      </c>
      <c r="Y46" s="190">
        <v>44.008800999999998</v>
      </c>
      <c r="Z46" s="190">
        <v>0.99208410999999996</v>
      </c>
      <c r="AA46" s="62">
        <v>0.99615313000000005</v>
      </c>
      <c r="AB46" s="62">
        <v>9.7930150000000004E-3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3.1430489999999978</v>
      </c>
      <c r="AN46" s="122">
        <f t="shared" si="5"/>
        <v>2.3179299999999969</v>
      </c>
      <c r="AO46" s="122">
        <f t="shared" si="6"/>
        <v>4.8362000000001792E-4</v>
      </c>
      <c r="AP46" s="122">
        <f t="shared" si="7"/>
        <v>1.0156200000001059E-3</v>
      </c>
      <c r="AQ46" s="88">
        <f t="shared" si="8"/>
        <v>-8.234629999999998E-3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28.114201000000001</v>
      </c>
      <c r="Y48" s="97">
        <v>33.811453</v>
      </c>
      <c r="Z48" s="97">
        <v>0.95746213000000002</v>
      </c>
      <c r="AA48" s="60">
        <v>0.95716732000000004</v>
      </c>
      <c r="AB48" s="60">
        <v>5.7496310000000002E-2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0.70811400000000191</v>
      </c>
      <c r="AN48" s="96">
        <f t="shared" si="5"/>
        <v>1.384563</v>
      </c>
      <c r="AO48" s="96">
        <f t="shared" si="6"/>
        <v>-3.1110000000000859E-4</v>
      </c>
      <c r="AP48" s="96">
        <f t="shared" si="7"/>
        <v>2.2035100000000751E-3</v>
      </c>
      <c r="AQ48" s="121">
        <f t="shared" si="8"/>
        <v>-9.6446599999999924E-3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31.787469999999999</v>
      </c>
      <c r="Y49" s="190">
        <v>36.373896999999999</v>
      </c>
      <c r="Z49" s="190">
        <v>0.97448411000000001</v>
      </c>
      <c r="AA49" s="62">
        <v>0.97509113999999997</v>
      </c>
      <c r="AB49" s="62">
        <v>3.5058387000000003E-2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1.2362049999999982</v>
      </c>
      <c r="AN49" s="122">
        <f t="shared" si="5"/>
        <v>1.3950430000000011</v>
      </c>
      <c r="AO49" s="122">
        <f t="shared" si="6"/>
        <v>4.0324999999996614E-4</v>
      </c>
      <c r="AP49" s="122">
        <f t="shared" si="7"/>
        <v>2.9119399999999462E-3</v>
      </c>
      <c r="AQ49" s="88">
        <f t="shared" si="8"/>
        <v>-8.5662189999999999E-3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37.264597999999999</v>
      </c>
      <c r="Y50" s="190">
        <v>40.818156000000002</v>
      </c>
      <c r="Z50" s="190">
        <v>0.98738566000000005</v>
      </c>
      <c r="AA50" s="62">
        <v>0.99061608999999995</v>
      </c>
      <c r="AB50" s="62">
        <v>1.7964319999999999E-2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2.0489480000000029</v>
      </c>
      <c r="AN50" s="122">
        <f t="shared" si="5"/>
        <v>1.5539300000000011</v>
      </c>
      <c r="AO50" s="122">
        <f t="shared" si="6"/>
        <v>3.9018000000001773E-4</v>
      </c>
      <c r="AP50" s="122">
        <f t="shared" si="7"/>
        <v>4.0223999999999815E-4</v>
      </c>
      <c r="AQ50" s="88">
        <f t="shared" si="8"/>
        <v>-8.1203939999999995E-3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40.598014999999997</v>
      </c>
      <c r="Y51" s="190">
        <v>43.883263999999997</v>
      </c>
      <c r="Z51" s="190">
        <v>0.99189558</v>
      </c>
      <c r="AA51" s="62">
        <v>0.99610315000000005</v>
      </c>
      <c r="AB51" s="62">
        <v>1.1055351E-2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3.053137999999997</v>
      </c>
      <c r="AN51" s="122">
        <f t="shared" si="5"/>
        <v>2.2633709999999994</v>
      </c>
      <c r="AO51" s="122">
        <f t="shared" si="6"/>
        <v>5.072699999999486E-4</v>
      </c>
      <c r="AP51" s="122">
        <f t="shared" si="7"/>
        <v>1.0292100000000026E-3</v>
      </c>
      <c r="AQ51" s="88">
        <f t="shared" si="8"/>
        <v>-8.1241960000000019E-3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28.157312999999998</v>
      </c>
      <c r="Y53" s="97">
        <v>33.702125000000002</v>
      </c>
      <c r="Z53" s="97">
        <v>0.95548763999999997</v>
      </c>
      <c r="AA53" s="60">
        <v>0.95743312999999997</v>
      </c>
      <c r="AB53" s="60">
        <v>6.1205796999999999E-2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0.69546699999999717</v>
      </c>
      <c r="AN53" s="96">
        <f t="shared" si="5"/>
        <v>1.283850000000001</v>
      </c>
      <c r="AO53" s="96">
        <f t="shared" si="6"/>
        <v>-3.6285000000002565E-4</v>
      </c>
      <c r="AP53" s="96">
        <f t="shared" si="7"/>
        <v>2.0400999999999891E-3</v>
      </c>
      <c r="AQ53" s="121">
        <f t="shared" si="8"/>
        <v>-9.7732129999999959E-3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31.742986999999999</v>
      </c>
      <c r="Y54" s="190">
        <v>36.248116000000003</v>
      </c>
      <c r="Z54" s="190">
        <v>0.97359092000000003</v>
      </c>
      <c r="AA54" s="62">
        <v>0.97527761000000002</v>
      </c>
      <c r="AB54" s="62">
        <v>3.7541036E-2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1.2074870000000004</v>
      </c>
      <c r="AN54" s="122">
        <f t="shared" si="5"/>
        <v>1.3063140000000004</v>
      </c>
      <c r="AO54" s="122">
        <f t="shared" si="6"/>
        <v>3.3442999999999667E-4</v>
      </c>
      <c r="AP54" s="122">
        <f t="shared" si="7"/>
        <v>2.6918900000000301E-3</v>
      </c>
      <c r="AQ54" s="88">
        <f t="shared" si="8"/>
        <v>-8.3559490000000014E-3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37.000109000000002</v>
      </c>
      <c r="Y55" s="190">
        <v>40.550274000000002</v>
      </c>
      <c r="Z55" s="190">
        <v>0.98676691999999999</v>
      </c>
      <c r="AA55" s="62">
        <v>0.99028324999999995</v>
      </c>
      <c r="AB55" s="62">
        <v>1.9725095000000002E-2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2.0004950000000008</v>
      </c>
      <c r="AN55" s="122">
        <f t="shared" si="5"/>
        <v>1.5196490000000011</v>
      </c>
      <c r="AO55" s="122">
        <f t="shared" si="6"/>
        <v>3.7264999999997439E-4</v>
      </c>
      <c r="AP55" s="122">
        <f t="shared" si="7"/>
        <v>4.0825999999993812E-4</v>
      </c>
      <c r="AQ55" s="88">
        <f t="shared" si="8"/>
        <v>-8.1670949999999992E-3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40.118949000000001</v>
      </c>
      <c r="Y56" s="190">
        <v>43.430861999999998</v>
      </c>
      <c r="Z56" s="190">
        <v>0.99139516999999999</v>
      </c>
      <c r="AA56" s="62">
        <v>0.99579624</v>
      </c>
      <c r="AB56" s="62">
        <v>1.2601233999999999E-2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2.8713869999999986</v>
      </c>
      <c r="AN56" s="122">
        <f t="shared" si="5"/>
        <v>2.1365059999999971</v>
      </c>
      <c r="AO56" s="122">
        <f t="shared" si="6"/>
        <v>4.6983000000000441E-4</v>
      </c>
      <c r="AP56" s="122">
        <f t="shared" si="7"/>
        <v>9.53520000000041E-4</v>
      </c>
      <c r="AQ56" s="88">
        <f t="shared" si="8"/>
        <v>-8.0225039999999997E-3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27.653718999999999</v>
      </c>
      <c r="Y58" s="97">
        <v>33.788370999999998</v>
      </c>
      <c r="Z58" s="97">
        <v>0.95679875999999997</v>
      </c>
      <c r="AA58" s="60">
        <v>0.95605686999999995</v>
      </c>
      <c r="AB58" s="60">
        <v>6.0755110000000001E-2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0.63780599999999765</v>
      </c>
      <c r="AN58" s="96">
        <f t="shared" si="5"/>
        <v>1.6595299999999966</v>
      </c>
      <c r="AO58" s="96">
        <f t="shared" si="6"/>
        <v>-2.2140000000003823E-4</v>
      </c>
      <c r="AP58" s="96">
        <f t="shared" si="7"/>
        <v>1.5817299999999479E-3</v>
      </c>
      <c r="AQ58" s="121">
        <f t="shared" si="8"/>
        <v>-1.2696570000000004E-2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32.173910999999997</v>
      </c>
      <c r="Y59" s="190">
        <v>36.978724999999997</v>
      </c>
      <c r="Z59" s="190">
        <v>0.97600971999999997</v>
      </c>
      <c r="AA59" s="62">
        <v>0.97663228000000002</v>
      </c>
      <c r="AB59" s="62">
        <v>3.3271505999999999E-2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1.3025709999999968</v>
      </c>
      <c r="AN59" s="122">
        <f t="shared" si="5"/>
        <v>1.5743579999999966</v>
      </c>
      <c r="AO59" s="122">
        <f t="shared" si="6"/>
        <v>2.6260999999994095E-4</v>
      </c>
      <c r="AP59" s="122">
        <f t="shared" si="7"/>
        <v>2.1781899999999688E-3</v>
      </c>
      <c r="AQ59" s="88">
        <f t="shared" si="8"/>
        <v>-1.0266450000000003E-2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37.519691999999999</v>
      </c>
      <c r="Y60" s="190">
        <v>41.137255000000003</v>
      </c>
      <c r="Z60" s="190">
        <v>0.98853886999999996</v>
      </c>
      <c r="AA60" s="62">
        <v>0.99145393999999998</v>
      </c>
      <c r="AB60" s="62">
        <v>1.5734661E-2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2.334775999999998</v>
      </c>
      <c r="AN60" s="122">
        <f t="shared" si="5"/>
        <v>1.8382220000000018</v>
      </c>
      <c r="AO60" s="122">
        <f t="shared" si="6"/>
        <v>3.5994999999999777E-4</v>
      </c>
      <c r="AP60" s="122">
        <f t="shared" si="7"/>
        <v>9.0962999999999461E-4</v>
      </c>
      <c r="AQ60" s="88">
        <f t="shared" si="8"/>
        <v>-8.7924469999999984E-3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41.030853999999998</v>
      </c>
      <c r="Y61" s="190">
        <v>44.325347000000001</v>
      </c>
      <c r="Z61" s="190">
        <v>0.99291174000000004</v>
      </c>
      <c r="AA61" s="62">
        <v>0.99633835999999998</v>
      </c>
      <c r="AB61" s="62">
        <v>8.7344050000000006E-3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3.2821349999999967</v>
      </c>
      <c r="AN61" s="122">
        <f t="shared" si="5"/>
        <v>2.4691839999999985</v>
      </c>
      <c r="AO61" s="122">
        <f t="shared" si="6"/>
        <v>4.5595000000009378E-4</v>
      </c>
      <c r="AP61" s="122">
        <f t="shared" si="7"/>
        <v>7.9012999999994449E-4</v>
      </c>
      <c r="AQ61" s="88">
        <f t="shared" si="8"/>
        <v>-8.9642799999999981E-3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27.843084999999999</v>
      </c>
      <c r="Y63" s="97">
        <v>33.957141</v>
      </c>
      <c r="Z63" s="97">
        <v>0.95774928000000004</v>
      </c>
      <c r="AA63" s="60">
        <v>0.95529622000000003</v>
      </c>
      <c r="AB63" s="60">
        <v>5.5707279999999998E-2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0.70198299999999847</v>
      </c>
      <c r="AN63" s="96">
        <f t="shared" si="5"/>
        <v>1.6311210000000003</v>
      </c>
      <c r="AO63" s="96">
        <f t="shared" si="6"/>
        <v>-2.4140999999999746E-4</v>
      </c>
      <c r="AP63" s="96">
        <f t="shared" si="7"/>
        <v>1.6895399999999894E-3</v>
      </c>
      <c r="AQ63" s="121">
        <f t="shared" si="8"/>
        <v>-1.1504260000000002E-2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32.098444000000001</v>
      </c>
      <c r="Y64" s="190">
        <v>36.971352000000003</v>
      </c>
      <c r="Z64" s="190">
        <v>0.97596327000000005</v>
      </c>
      <c r="AA64" s="62">
        <v>0.97450831999999998</v>
      </c>
      <c r="AB64" s="62">
        <v>3.1758160000000001E-2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1.3339029999999994</v>
      </c>
      <c r="AN64" s="122">
        <f t="shared" si="5"/>
        <v>1.6154610000000034</v>
      </c>
      <c r="AO64" s="122">
        <f t="shared" si="6"/>
        <v>4.1567000000009013E-4</v>
      </c>
      <c r="AP64" s="122">
        <f t="shared" si="7"/>
        <v>3.0768799999999485E-3</v>
      </c>
      <c r="AQ64" s="88">
        <f t="shared" si="8"/>
        <v>-9.8959100000000008E-3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37.597003000000001</v>
      </c>
      <c r="Y65" s="190">
        <v>41.207140000000003</v>
      </c>
      <c r="Z65" s="190">
        <v>0.98844635999999997</v>
      </c>
      <c r="AA65" s="62">
        <v>0.99103140000000001</v>
      </c>
      <c r="AB65" s="62">
        <v>1.4990343E-2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2.3889649999999989</v>
      </c>
      <c r="AN65" s="122">
        <f t="shared" si="5"/>
        <v>1.8712800000000058</v>
      </c>
      <c r="AO65" s="122">
        <f t="shared" si="6"/>
        <v>3.7085999999997288E-4</v>
      </c>
      <c r="AP65" s="122">
        <f t="shared" si="7"/>
        <v>8.9130999999997851E-4</v>
      </c>
      <c r="AQ65" s="88">
        <f t="shared" si="8"/>
        <v>-8.8189410000000003E-3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41.062201000000002</v>
      </c>
      <c r="Y66" s="190">
        <v>44.332183000000001</v>
      </c>
      <c r="Z66" s="190">
        <v>0.99274357999999996</v>
      </c>
      <c r="AA66" s="62">
        <v>0.99635079000000004</v>
      </c>
      <c r="AB66" s="62">
        <v>8.4179070000000005E-3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3.3542850000000044</v>
      </c>
      <c r="AN66" s="122">
        <f t="shared" si="5"/>
        <v>2.5114620000000016</v>
      </c>
      <c r="AO66" s="122">
        <f t="shared" si="6"/>
        <v>4.6994999999994125E-4</v>
      </c>
      <c r="AP66" s="122">
        <f t="shared" si="7"/>
        <v>1.0926400000000891E-3</v>
      </c>
      <c r="AQ66" s="88">
        <f t="shared" si="8"/>
        <v>-8.9934999999999998E-3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28.07047</v>
      </c>
      <c r="Y68" s="97">
        <v>34.100397999999998</v>
      </c>
      <c r="Z68" s="97">
        <v>0.95813534</v>
      </c>
      <c r="AA68" s="60">
        <v>0.95590169999999997</v>
      </c>
      <c r="AB68" s="60">
        <v>5.3602944999999999E-2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0.73876200000000125</v>
      </c>
      <c r="AN68" s="96">
        <f t="shared" si="5"/>
        <v>1.5932570000000013</v>
      </c>
      <c r="AO68" s="96">
        <f t="shared" si="6"/>
        <v>-1.513100000000156E-4</v>
      </c>
      <c r="AP68" s="96">
        <f t="shared" si="7"/>
        <v>1.5658699999999692E-3</v>
      </c>
      <c r="AQ68" s="121">
        <f t="shared" si="8"/>
        <v>-1.0674475000000003E-2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32.178770999999998</v>
      </c>
      <c r="Y69" s="190">
        <v>37.033423999999997</v>
      </c>
      <c r="Z69" s="190">
        <v>0.97562382000000003</v>
      </c>
      <c r="AA69" s="62">
        <v>0.97419350999999998</v>
      </c>
      <c r="AB69" s="62">
        <v>3.1238044E-2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1.3292169999999963</v>
      </c>
      <c r="AN69" s="122">
        <f t="shared" si="5"/>
        <v>1.5869279999999932</v>
      </c>
      <c r="AO69" s="122">
        <f t="shared" si="6"/>
        <v>4.1382000000000918E-4</v>
      </c>
      <c r="AP69" s="122">
        <f t="shared" si="7"/>
        <v>3.2749800000000384E-3</v>
      </c>
      <c r="AQ69" s="88">
        <f t="shared" si="8"/>
        <v>-9.2511789999999983E-3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37.545124999999999</v>
      </c>
      <c r="Y70" s="190">
        <v>41.170772999999997</v>
      </c>
      <c r="Z70" s="190">
        <v>0.98822953999999996</v>
      </c>
      <c r="AA70" s="62">
        <v>0.99044695999999999</v>
      </c>
      <c r="AB70" s="62">
        <v>1.4756562000000001E-2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2.3125749999999954</v>
      </c>
      <c r="AN70" s="122">
        <f t="shared" si="5"/>
        <v>1.8209400000000002</v>
      </c>
      <c r="AO70" s="122">
        <f t="shared" si="6"/>
        <v>3.6057999999994372E-4</v>
      </c>
      <c r="AP70" s="122">
        <f t="shared" si="7"/>
        <v>7.7156000000000446E-4</v>
      </c>
      <c r="AQ70" s="88">
        <f t="shared" si="8"/>
        <v>-8.6523129999999983E-3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40.897398000000003</v>
      </c>
      <c r="Y71" s="190">
        <v>44.186604000000003</v>
      </c>
      <c r="Z71" s="190">
        <v>0.99257534999999997</v>
      </c>
      <c r="AA71" s="62">
        <v>0.99625702000000005</v>
      </c>
      <c r="AB71" s="62">
        <v>8.6933679999999999E-3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3.2529430000000019</v>
      </c>
      <c r="AN71" s="122">
        <f t="shared" si="5"/>
        <v>2.4499899999999997</v>
      </c>
      <c r="AO71" s="122">
        <f t="shared" si="6"/>
        <v>4.5786999999997136E-4</v>
      </c>
      <c r="AP71" s="122">
        <f t="shared" si="7"/>
        <v>1.2141800000000647E-3</v>
      </c>
      <c r="AQ71" s="88">
        <f t="shared" si="8"/>
        <v>-8.6697119999999996E-3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28.089067</v>
      </c>
      <c r="Y73" s="97">
        <v>34.075659000000002</v>
      </c>
      <c r="Z73" s="97">
        <v>0.95804571999999999</v>
      </c>
      <c r="AA73" s="60">
        <v>0.95580052000000004</v>
      </c>
      <c r="AB73" s="60">
        <v>5.3799189999999997E-2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0.72452900000000042</v>
      </c>
      <c r="AN73" s="96">
        <f t="shared" si="5"/>
        <v>1.5630580000000052</v>
      </c>
      <c r="AO73" s="96">
        <f t="shared" si="6"/>
        <v>-3.3280999999996119E-4</v>
      </c>
      <c r="AP73" s="96">
        <f t="shared" si="7"/>
        <v>2.3690700000000842E-3</v>
      </c>
      <c r="AQ73" s="121">
        <f t="shared" si="8"/>
        <v>-1.0644380000000009E-2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32.142699999999998</v>
      </c>
      <c r="Y74" s="190">
        <v>36.982458999999999</v>
      </c>
      <c r="Z74" s="190">
        <v>0.97535819999999995</v>
      </c>
      <c r="AA74" s="62">
        <v>0.97401272999999999</v>
      </c>
      <c r="AB74" s="62">
        <v>3.1563729999999998E-2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1.3005469999999981</v>
      </c>
      <c r="AN74" s="122">
        <f t="shared" si="5"/>
        <v>1.5718979999999974</v>
      </c>
      <c r="AO74" s="122">
        <f t="shared" si="6"/>
        <v>3.4285999999994488E-4</v>
      </c>
      <c r="AP74" s="122">
        <f t="shared" si="7"/>
        <v>3.1499000000000388E-3</v>
      </c>
      <c r="AQ74" s="88">
        <f t="shared" si="8"/>
        <v>-9.0766950000000027E-3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37.533504999999998</v>
      </c>
      <c r="Y75" s="190">
        <v>41.167579000000003</v>
      </c>
      <c r="Z75" s="190">
        <v>0.98811791000000004</v>
      </c>
      <c r="AA75" s="62">
        <v>0.99031696999999996</v>
      </c>
      <c r="AB75" s="62">
        <v>1.5261676E-2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2.2790219999999977</v>
      </c>
      <c r="AN75" s="122">
        <f t="shared" si="5"/>
        <v>1.8022570000000044</v>
      </c>
      <c r="AO75" s="122">
        <f t="shared" si="6"/>
        <v>3.6423000000007644E-4</v>
      </c>
      <c r="AP75" s="122">
        <f t="shared" si="7"/>
        <v>6.7249999999996479E-4</v>
      </c>
      <c r="AQ75" s="88">
        <f t="shared" si="8"/>
        <v>-8.4171220000000008E-3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40.849041999999997</v>
      </c>
      <c r="Y76" s="190">
        <v>44.145690999999999</v>
      </c>
      <c r="Z76" s="190">
        <v>0.99246186000000003</v>
      </c>
      <c r="AA76" s="62">
        <v>0.99622463999999999</v>
      </c>
      <c r="AB76" s="62">
        <v>9.1508609999999997E-3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3.2217539999999971</v>
      </c>
      <c r="AN76" s="122">
        <f t="shared" si="5"/>
        <v>2.4381100000000018</v>
      </c>
      <c r="AO76" s="122">
        <f t="shared" si="6"/>
        <v>4.5661000000007945E-4</v>
      </c>
      <c r="AP76" s="122">
        <f t="shared" si="7"/>
        <v>1.1434700000000353E-3</v>
      </c>
      <c r="AQ76" s="88">
        <f t="shared" si="8"/>
        <v>-8.4997670000000018E-3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28.081251000000002</v>
      </c>
      <c r="Y78" s="97">
        <v>33.846010999999997</v>
      </c>
      <c r="Z78" s="97">
        <v>0.9559685</v>
      </c>
      <c r="AA78" s="60">
        <v>0.95627147000000001</v>
      </c>
      <c r="AB78" s="60">
        <v>5.8655789999999999E-2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0.67554600000000065</v>
      </c>
      <c r="AN78" s="96">
        <f t="shared" si="5"/>
        <v>1.3881689999999978</v>
      </c>
      <c r="AO78" s="96">
        <f t="shared" si="6"/>
        <v>-4.1234000000001103E-4</v>
      </c>
      <c r="AP78" s="96">
        <f t="shared" si="7"/>
        <v>2.2813299999999703E-3</v>
      </c>
      <c r="AQ78" s="121">
        <f t="shared" si="8"/>
        <v>-9.6617199999999986E-3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31.983391999999998</v>
      </c>
      <c r="Y79" s="190">
        <v>36.684452999999998</v>
      </c>
      <c r="Z79" s="190">
        <v>0.97401115999999999</v>
      </c>
      <c r="AA79" s="62">
        <v>0.97466757000000004</v>
      </c>
      <c r="AB79" s="62">
        <v>3.5233997000000003E-2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1.2101480000000002</v>
      </c>
      <c r="AN79" s="122">
        <f t="shared" si="5"/>
        <v>1.4065869999999947</v>
      </c>
      <c r="AO79" s="122">
        <f t="shared" si="6"/>
        <v>3.4617999999997373E-4</v>
      </c>
      <c r="AP79" s="122">
        <f t="shared" si="7"/>
        <v>2.9031900000000554E-3</v>
      </c>
      <c r="AQ79" s="88">
        <f t="shared" si="8"/>
        <v>-8.8600929999999994E-3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37.180709</v>
      </c>
      <c r="Y80" s="190">
        <v>40.803699999999999</v>
      </c>
      <c r="Z80" s="190">
        <v>0.98704046999999995</v>
      </c>
      <c r="AA80" s="62">
        <v>0.99015280000000006</v>
      </c>
      <c r="AB80" s="62">
        <v>1.7988026000000001E-2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2.1004980000000018</v>
      </c>
      <c r="AN80" s="122">
        <f t="shared" si="5"/>
        <v>1.6344119999999975</v>
      </c>
      <c r="AO80" s="122">
        <f t="shared" si="6"/>
        <v>3.4564999999997514E-4</v>
      </c>
      <c r="AP80" s="122">
        <f t="shared" si="7"/>
        <v>4.5981999999999967E-4</v>
      </c>
      <c r="AQ80" s="88">
        <f t="shared" si="8"/>
        <v>-8.2153379999999991E-3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40.280631</v>
      </c>
      <c r="Y81" s="190">
        <v>43.629102000000003</v>
      </c>
      <c r="Z81" s="190">
        <v>0.99154074999999997</v>
      </c>
      <c r="AA81" s="62">
        <v>0.99587444999999997</v>
      </c>
      <c r="AB81" s="62">
        <v>1.1722777E-2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2.9202370000000002</v>
      </c>
      <c r="AN81" s="122">
        <f t="shared" si="5"/>
        <v>2.2276330000000044</v>
      </c>
      <c r="AO81" s="122">
        <f t="shared" si="6"/>
        <v>4.4787999999995609E-4</v>
      </c>
      <c r="AP81" s="122">
        <f t="shared" si="7"/>
        <v>9.9667999999997203E-4</v>
      </c>
      <c r="AQ81" s="88">
        <f t="shared" si="8"/>
        <v>-8.2272250000000012E-3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27.722483</v>
      </c>
      <c r="Y83" s="97">
        <v>33.818201000000002</v>
      </c>
      <c r="Z83" s="97">
        <v>0.95472142000000004</v>
      </c>
      <c r="AA83" s="60">
        <v>0.95716984999999999</v>
      </c>
      <c r="AB83" s="60">
        <v>6.1382458000000001E-2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0.75940800000000053</v>
      </c>
      <c r="AN83" s="96">
        <f t="shared" si="5"/>
        <v>1.6980119999999985</v>
      </c>
      <c r="AO83" s="96">
        <f t="shared" si="6"/>
        <v>9.962000000007798E-5</v>
      </c>
      <c r="AP83" s="96">
        <f t="shared" si="7"/>
        <v>2.3366499999999402E-3</v>
      </c>
      <c r="AQ83" s="121">
        <f t="shared" si="8"/>
        <v>-1.3592082000000005E-2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31.929893</v>
      </c>
      <c r="Y84" s="190">
        <v>36.826391999999998</v>
      </c>
      <c r="Z84" s="190">
        <v>0.97564382999999999</v>
      </c>
      <c r="AA84" s="62">
        <v>0.97607929999999998</v>
      </c>
      <c r="AB84" s="62">
        <v>3.2991226999999998E-2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1.3382900000000006</v>
      </c>
      <c r="AN84" s="122">
        <f t="shared" si="5"/>
        <v>1.6191199999999952</v>
      </c>
      <c r="AO84" s="122">
        <f t="shared" si="6"/>
        <v>2.2454999999999004E-4</v>
      </c>
      <c r="AP84" s="122">
        <f t="shared" si="7"/>
        <v>2.1800800000000287E-3</v>
      </c>
      <c r="AQ84" s="88">
        <f t="shared" si="8"/>
        <v>-1.0680973000000003E-2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37.095151000000001</v>
      </c>
      <c r="Y85" s="190">
        <v>40.8414</v>
      </c>
      <c r="Z85" s="190">
        <v>0.98837255999999996</v>
      </c>
      <c r="AA85" s="62">
        <v>0.99142315999999997</v>
      </c>
      <c r="AB85" s="62">
        <v>1.5249311999999999E-2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2.2624929999999992</v>
      </c>
      <c r="AN85" s="122">
        <f t="shared" si="5"/>
        <v>1.8589520000000022</v>
      </c>
      <c r="AO85" s="122">
        <f t="shared" si="6"/>
        <v>3.2566999999994461E-4</v>
      </c>
      <c r="AP85" s="122">
        <f t="shared" si="7"/>
        <v>8.5028999999992028E-4</v>
      </c>
      <c r="AQ85" s="88">
        <f t="shared" si="8"/>
        <v>-9.174222000000001E-3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40.684328000000001</v>
      </c>
      <c r="Y86" s="190">
        <v>44.036802999999999</v>
      </c>
      <c r="Z86" s="190">
        <v>0.99294987000000001</v>
      </c>
      <c r="AA86" s="62">
        <v>0.99628313000000002</v>
      </c>
      <c r="AB86" s="62">
        <v>8.4456779999999999E-3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3.115630000000003</v>
      </c>
      <c r="AN86" s="122">
        <f t="shared" si="5"/>
        <v>2.3761730000000014</v>
      </c>
      <c r="AO86" s="122">
        <f t="shared" si="6"/>
        <v>4.4378000000000473E-4</v>
      </c>
      <c r="AP86" s="122">
        <f t="shared" si="7"/>
        <v>8.4165999999996632E-4</v>
      </c>
      <c r="AQ86" s="88">
        <f t="shared" si="8"/>
        <v>-9.2348679999999985E-3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27.892662000000001</v>
      </c>
      <c r="Y88" s="97">
        <v>33.990166000000002</v>
      </c>
      <c r="Z88" s="97">
        <v>0.95621805999999998</v>
      </c>
      <c r="AA88" s="60">
        <v>0.95673112000000005</v>
      </c>
      <c r="AB88" s="60">
        <v>5.6952320000000001E-2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0.77811200000000014</v>
      </c>
      <c r="AN88" s="96">
        <f t="shared" si="5"/>
        <v>1.718746000000003</v>
      </c>
      <c r="AO88" s="96">
        <f t="shared" si="6"/>
        <v>2.8229999999962452E-5</v>
      </c>
      <c r="AP88" s="96">
        <f t="shared" si="7"/>
        <v>2.6456500000000549E-3</v>
      </c>
      <c r="AQ88" s="121">
        <f t="shared" si="8"/>
        <v>-1.3648905000000003E-2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32.008994999999999</v>
      </c>
      <c r="Y89" s="190">
        <v>36.911110000000001</v>
      </c>
      <c r="Z89" s="190">
        <v>0.97573281000000001</v>
      </c>
      <c r="AA89" s="62">
        <v>0.97502955999999996</v>
      </c>
      <c r="AB89" s="62">
        <v>3.1212701999999998E-2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1.3378610000000002</v>
      </c>
      <c r="AN89" s="122">
        <f t="shared" si="5"/>
        <v>1.6290359999999993</v>
      </c>
      <c r="AO89" s="122">
        <f t="shared" si="6"/>
        <v>3.4297999999999274E-4</v>
      </c>
      <c r="AP89" s="122">
        <f t="shared" si="7"/>
        <v>2.6794299999999271E-3</v>
      </c>
      <c r="AQ89" s="88">
        <f t="shared" si="8"/>
        <v>-1.0979820000000005E-2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37.341354000000003</v>
      </c>
      <c r="Y90" s="190">
        <v>41.057772999999997</v>
      </c>
      <c r="Z90" s="190">
        <v>0.98844317999999998</v>
      </c>
      <c r="AA90" s="62">
        <v>0.99129246999999998</v>
      </c>
      <c r="AB90" s="62">
        <v>1.4628557E-2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2.3440410000000043</v>
      </c>
      <c r="AN90" s="122">
        <f t="shared" si="5"/>
        <v>1.9073629999999966</v>
      </c>
      <c r="AO90" s="122">
        <f t="shared" si="6"/>
        <v>3.403599999999285E-4</v>
      </c>
      <c r="AP90" s="122">
        <f t="shared" si="7"/>
        <v>9.1617999999993316E-4</v>
      </c>
      <c r="AQ90" s="88">
        <f t="shared" si="8"/>
        <v>-9.4623199999999998E-3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40.900658999999997</v>
      </c>
      <c r="Y91" s="190">
        <v>44.217430999999998</v>
      </c>
      <c r="Z91" s="190">
        <v>0.99288902000000001</v>
      </c>
      <c r="AA91" s="62">
        <v>0.99633004000000003</v>
      </c>
      <c r="AB91" s="62">
        <v>8.3197830000000007E-3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3.2396479999999954</v>
      </c>
      <c r="AN91" s="122">
        <f t="shared" si="5"/>
        <v>2.4539219999999986</v>
      </c>
      <c r="AO91" s="122">
        <f t="shared" si="6"/>
        <v>4.2516000000003551E-4</v>
      </c>
      <c r="AP91" s="122">
        <f t="shared" si="7"/>
        <v>1.0024200000000594E-3</v>
      </c>
      <c r="AQ91" s="88">
        <f t="shared" si="8"/>
        <v>-9.4652190000000004E-3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28.005113999999999</v>
      </c>
      <c r="Y93" s="97">
        <v>34.038708999999997</v>
      </c>
      <c r="Z93" s="97">
        <v>0.95757552000000001</v>
      </c>
      <c r="AA93" s="60">
        <v>0.95576664</v>
      </c>
      <c r="AB93" s="60">
        <v>5.4077673999999999E-2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0.80281599999999997</v>
      </c>
      <c r="AN93" s="96">
        <f t="shared" si="5"/>
        <v>1.651849999999996</v>
      </c>
      <c r="AO93" s="96">
        <f t="shared" si="6"/>
        <v>2.2120000000003248E-4</v>
      </c>
      <c r="AP93" s="96">
        <f t="shared" si="7"/>
        <v>1.9177500000000514E-3</v>
      </c>
      <c r="AQ93" s="121">
        <f t="shared" si="8"/>
        <v>-1.2465166000000007E-2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32.109561999999997</v>
      </c>
      <c r="Y94" s="190">
        <v>36.948276999999997</v>
      </c>
      <c r="Z94" s="190">
        <v>0.97604833000000002</v>
      </c>
      <c r="AA94" s="62">
        <v>0.97384077000000002</v>
      </c>
      <c r="AB94" s="62">
        <v>2.9658983E-2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1.3081189999999978</v>
      </c>
      <c r="AN94" s="122">
        <f t="shared" si="5"/>
        <v>1.5577559999999977</v>
      </c>
      <c r="AO94" s="122">
        <f t="shared" si="6"/>
        <v>3.8217000000007051E-4</v>
      </c>
      <c r="AP94" s="122">
        <f t="shared" si="7"/>
        <v>3.2866200000000179E-3</v>
      </c>
      <c r="AQ94" s="88">
        <f t="shared" si="8"/>
        <v>-9.8451089999999977E-3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37.502215999999997</v>
      </c>
      <c r="Y95" s="190">
        <v>41.159547000000003</v>
      </c>
      <c r="Z95" s="190">
        <v>0.988537</v>
      </c>
      <c r="AA95" s="62">
        <v>0.99075630000000003</v>
      </c>
      <c r="AB95" s="62">
        <v>1.4063951E-2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2.3061709999999991</v>
      </c>
      <c r="AN95" s="122">
        <f t="shared" si="5"/>
        <v>1.8359690000000057</v>
      </c>
      <c r="AO95" s="122">
        <f t="shared" si="6"/>
        <v>3.3643000000005419E-4</v>
      </c>
      <c r="AP95" s="122">
        <f t="shared" si="7"/>
        <v>8.7046000000001733E-4</v>
      </c>
      <c r="AQ95" s="88">
        <f t="shared" si="8"/>
        <v>-8.6979640000000007E-3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40.973889</v>
      </c>
      <c r="Y96" s="190">
        <v>44.256571999999998</v>
      </c>
      <c r="Z96" s="190">
        <v>0.99286622000000002</v>
      </c>
      <c r="AA96" s="62">
        <v>0.99630916999999997</v>
      </c>
      <c r="AB96" s="62">
        <v>8.0503020000000005E-3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3.2187729999999988</v>
      </c>
      <c r="AN96" s="122">
        <f t="shared" si="5"/>
        <v>2.4212309999999988</v>
      </c>
      <c r="AO96" s="122">
        <f t="shared" si="6"/>
        <v>4.2808000000005286E-4</v>
      </c>
      <c r="AP96" s="122">
        <f t="shared" si="7"/>
        <v>1.1545399999999262E-3</v>
      </c>
      <c r="AQ96" s="88">
        <f t="shared" si="8"/>
        <v>-8.8521679999999988E-3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28.151665999999999</v>
      </c>
      <c r="Y98" s="97">
        <v>34.158644000000002</v>
      </c>
      <c r="Z98" s="97">
        <v>0.95790414999999995</v>
      </c>
      <c r="AA98" s="60">
        <v>0.95681863</v>
      </c>
      <c r="AB98" s="60">
        <v>5.4433599999999999E-2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0.82347199999999887</v>
      </c>
      <c r="AN98" s="96">
        <f t="shared" si="15"/>
        <v>1.6762909999999991</v>
      </c>
      <c r="AO98" s="96">
        <f t="shared" si="16"/>
        <v>3.9129999999998333E-5</v>
      </c>
      <c r="AP98" s="96">
        <f t="shared" si="17"/>
        <v>2.5290100000000537E-3</v>
      </c>
      <c r="AQ98" s="121">
        <f t="shared" si="18"/>
        <v>-1.1640034000000007E-2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32.129216999999997</v>
      </c>
      <c r="Y99" s="190">
        <v>36.972315999999999</v>
      </c>
      <c r="Z99" s="190">
        <v>0.97605233999999996</v>
      </c>
      <c r="AA99" s="62">
        <v>0.97446761999999998</v>
      </c>
      <c r="AB99" s="62">
        <v>3.0650843000000001E-2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1.3172899999999963</v>
      </c>
      <c r="AN99" s="122">
        <f t="shared" si="15"/>
        <v>1.5765460000000004</v>
      </c>
      <c r="AO99" s="122">
        <f t="shared" si="16"/>
        <v>3.4513999999996603E-4</v>
      </c>
      <c r="AP99" s="122">
        <f t="shared" si="17"/>
        <v>3.0517700000000092E-3</v>
      </c>
      <c r="AQ99" s="88">
        <f t="shared" si="18"/>
        <v>-9.5049669999999996E-3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37.406399</v>
      </c>
      <c r="Y100" s="190">
        <v>41.110284999999998</v>
      </c>
      <c r="Z100" s="190">
        <v>0.98844891000000001</v>
      </c>
      <c r="AA100" s="62">
        <v>0.99065362000000001</v>
      </c>
      <c r="AB100" s="62">
        <v>1.5025757000000001E-2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2.2692669999999993</v>
      </c>
      <c r="AN100" s="122">
        <f t="shared" si="15"/>
        <v>1.8346339999999941</v>
      </c>
      <c r="AO100" s="122">
        <f t="shared" si="16"/>
        <v>3.0797999999998549E-4</v>
      </c>
      <c r="AP100" s="122">
        <f t="shared" si="17"/>
        <v>8.7195000000006573E-4</v>
      </c>
      <c r="AQ100" s="88">
        <f t="shared" si="18"/>
        <v>-8.7100939999999981E-3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40.936960999999997</v>
      </c>
      <c r="Y101" s="190">
        <v>44.242984999999997</v>
      </c>
      <c r="Z101" s="190">
        <v>0.99287890000000001</v>
      </c>
      <c r="AA101" s="62">
        <v>0.99626857999999996</v>
      </c>
      <c r="AB101" s="62">
        <v>8.7809359999999996E-3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3.1827989999999957</v>
      </c>
      <c r="AN101" s="122">
        <f t="shared" si="15"/>
        <v>2.4151269999999982</v>
      </c>
      <c r="AO101" s="122">
        <f t="shared" si="16"/>
        <v>4.3398000000005599E-4</v>
      </c>
      <c r="AP101" s="122">
        <f t="shared" si="17"/>
        <v>1.0401199999999777E-3</v>
      </c>
      <c r="AQ101" s="88">
        <f t="shared" si="18"/>
        <v>-8.8194829999999995E-3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28.036670999999998</v>
      </c>
      <c r="Y103" s="97">
        <v>33.639811999999999</v>
      </c>
      <c r="Z103" s="97">
        <v>0.95621489000000004</v>
      </c>
      <c r="AA103" s="60">
        <v>0.95704290000000003</v>
      </c>
      <c r="AB103" s="60">
        <v>5.6717156999999997E-2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0.75834599999999952</v>
      </c>
      <c r="AN103" s="96">
        <f t="shared" si="15"/>
        <v>1.3874339999999989</v>
      </c>
      <c r="AO103" s="96">
        <f t="shared" si="16"/>
        <v>1.1723000000007922E-4</v>
      </c>
      <c r="AP103" s="96">
        <f t="shared" si="17"/>
        <v>2.3051600000000283E-3</v>
      </c>
      <c r="AQ103" s="121">
        <f t="shared" si="18"/>
        <v>-1.1622927999999998E-2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31.833175000000001</v>
      </c>
      <c r="Y104" s="190">
        <v>36.462021</v>
      </c>
      <c r="Z104" s="190">
        <v>0.97516048</v>
      </c>
      <c r="AA104" s="62">
        <v>0.97523959999999998</v>
      </c>
      <c r="AB104" s="62">
        <v>3.2069195000000002E-2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1.219654000000002</v>
      </c>
      <c r="AN104" s="122">
        <f t="shared" si="15"/>
        <v>1.3670290000000023</v>
      </c>
      <c r="AO104" s="122">
        <f t="shared" si="16"/>
        <v>3.9668999999997734E-4</v>
      </c>
      <c r="AP104" s="122">
        <f t="shared" si="17"/>
        <v>2.7268099999999684E-3</v>
      </c>
      <c r="AQ104" s="88">
        <f t="shared" si="18"/>
        <v>-9.6022109999999994E-3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36.863919000000003</v>
      </c>
      <c r="Y105" s="190">
        <v>40.550744999999999</v>
      </c>
      <c r="Z105" s="190">
        <v>0.98762002000000004</v>
      </c>
      <c r="AA105" s="62">
        <v>0.99033378000000005</v>
      </c>
      <c r="AB105" s="62">
        <v>1.6419757E-2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2.064544000000005</v>
      </c>
      <c r="AN105" s="122">
        <f t="shared" si="15"/>
        <v>1.6372829999999965</v>
      </c>
      <c r="AO105" s="122">
        <f t="shared" si="16"/>
        <v>2.8964000000009094E-4</v>
      </c>
      <c r="AP105" s="122">
        <f t="shared" si="17"/>
        <v>7.601000000000413E-4</v>
      </c>
      <c r="AQ105" s="88">
        <f t="shared" si="18"/>
        <v>-8.392568999999999E-3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40.375737999999998</v>
      </c>
      <c r="Y106" s="190">
        <v>43.680903000000001</v>
      </c>
      <c r="Z106" s="190">
        <v>0.99232178999999998</v>
      </c>
      <c r="AA106" s="62">
        <v>0.99589569</v>
      </c>
      <c r="AB106" s="62">
        <v>9.8079554999999999E-3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2.8955379999999948</v>
      </c>
      <c r="AN106" s="122">
        <f t="shared" si="15"/>
        <v>2.1674380000000042</v>
      </c>
      <c r="AO106" s="122">
        <f t="shared" si="16"/>
        <v>4.1944999999998789E-4</v>
      </c>
      <c r="AP106" s="122">
        <f t="shared" si="17"/>
        <v>9.3304000000005161E-4</v>
      </c>
      <c r="AQ106" s="88">
        <f t="shared" si="18"/>
        <v>-8.5767074999999991E-3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27.436031</v>
      </c>
      <c r="Y641" s="136">
        <f t="shared" si="60"/>
        <v>33.348056</v>
      </c>
      <c r="Z641" s="136">
        <f t="shared" si="60"/>
        <v>0.95472142000000004</v>
      </c>
      <c r="AA641" s="136">
        <f t="shared" si="60"/>
        <v>0.95282261999999995</v>
      </c>
      <c r="AB641" s="136">
        <f t="shared" si="60"/>
        <v>5.3602944999999999E-2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31.742986999999999</v>
      </c>
      <c r="Y642" s="18">
        <f t="shared" si="60"/>
        <v>36.248116000000003</v>
      </c>
      <c r="Z642" s="18">
        <f t="shared" si="60"/>
        <v>0.97359092000000003</v>
      </c>
      <c r="AA642" s="18">
        <f t="shared" si="60"/>
        <v>0.97384077000000002</v>
      </c>
      <c r="AB642" s="18">
        <f t="shared" si="60"/>
        <v>2.9658983E-2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36.863919000000003</v>
      </c>
      <c r="Y643" s="18">
        <f t="shared" si="60"/>
        <v>40.550274000000002</v>
      </c>
      <c r="Z643" s="18">
        <f t="shared" si="60"/>
        <v>0.98676691999999999</v>
      </c>
      <c r="AA643" s="18">
        <f t="shared" si="60"/>
        <v>0.99015280000000006</v>
      </c>
      <c r="AB643" s="18">
        <f t="shared" si="60"/>
        <v>1.4063951E-2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40.118949000000001</v>
      </c>
      <c r="Y644" s="18">
        <f t="shared" si="60"/>
        <v>43.430861999999998</v>
      </c>
      <c r="Z644" s="18">
        <f t="shared" si="60"/>
        <v>0.99139516999999999</v>
      </c>
      <c r="AA644" s="18">
        <f t="shared" si="60"/>
        <v>0.99579624</v>
      </c>
      <c r="AB644" s="18">
        <f t="shared" si="60"/>
        <v>8.0503020000000005E-3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28.157312999999998</v>
      </c>
      <c r="Y646" s="136">
        <f t="shared" si="62"/>
        <v>34.158644000000002</v>
      </c>
      <c r="Z646" s="136">
        <f t="shared" si="62"/>
        <v>0.95813534</v>
      </c>
      <c r="AA646" s="136">
        <f t="shared" si="62"/>
        <v>0.95743312999999997</v>
      </c>
      <c r="AB646" s="136">
        <f t="shared" si="62"/>
        <v>6.1946477999999999E-2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32.178770999999998</v>
      </c>
      <c r="Y647" s="18">
        <f t="shared" si="62"/>
        <v>37.033423999999997</v>
      </c>
      <c r="Z647" s="18">
        <f t="shared" si="62"/>
        <v>0.97605233999999996</v>
      </c>
      <c r="AA647" s="18">
        <f t="shared" si="62"/>
        <v>0.97663228000000002</v>
      </c>
      <c r="AB647" s="18">
        <f t="shared" si="62"/>
        <v>3.7541036E-2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37.597003000000001</v>
      </c>
      <c r="Y648" s="18">
        <f t="shared" si="62"/>
        <v>41.207140000000003</v>
      </c>
      <c r="Z648" s="18">
        <f t="shared" si="62"/>
        <v>0.98853886999999996</v>
      </c>
      <c r="AA648" s="18">
        <f t="shared" si="62"/>
        <v>0.99145393999999998</v>
      </c>
      <c r="AB648" s="18">
        <f t="shared" si="62"/>
        <v>1.9725095000000002E-2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41.062201000000002</v>
      </c>
      <c r="Y649" s="18">
        <f t="shared" si="62"/>
        <v>44.332183000000001</v>
      </c>
      <c r="Z649" s="18">
        <f t="shared" si="62"/>
        <v>0.99294987000000001</v>
      </c>
      <c r="AA649" s="18">
        <f t="shared" si="62"/>
        <v>0.99635079000000004</v>
      </c>
      <c r="AB649" s="18">
        <f t="shared" si="62"/>
        <v>1.2601233999999999E-2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0.72128199999999865</v>
      </c>
      <c r="Y651" s="136">
        <f t="shared" si="64"/>
        <v>0.81058800000000275</v>
      </c>
      <c r="Z651" s="136">
        <f t="shared" si="64"/>
        <v>3.4139199999999592E-3</v>
      </c>
      <c r="AA651" s="136">
        <f t="shared" si="64"/>
        <v>4.6105100000000121E-3</v>
      </c>
      <c r="AB651" s="136">
        <f t="shared" si="64"/>
        <v>8.3435330000000002E-3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0.43578399999999817</v>
      </c>
      <c r="Y652" s="18">
        <f t="shared" si="64"/>
        <v>0.78530799999999346</v>
      </c>
      <c r="Z652" s="18">
        <f t="shared" si="64"/>
        <v>2.4614199999999364E-3</v>
      </c>
      <c r="AA652" s="18">
        <f t="shared" si="64"/>
        <v>2.791509999999997E-3</v>
      </c>
      <c r="AB652" s="18">
        <f t="shared" si="64"/>
        <v>7.882053E-3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0.73308399999999807</v>
      </c>
      <c r="Y653" s="18">
        <f t="shared" si="64"/>
        <v>0.65686600000000084</v>
      </c>
      <c r="Z653" s="18">
        <f t="shared" si="64"/>
        <v>1.7719499999999666E-3</v>
      </c>
      <c r="AA653" s="18">
        <f t="shared" si="64"/>
        <v>1.3011399999999229E-3</v>
      </c>
      <c r="AB653" s="18">
        <f t="shared" si="64"/>
        <v>5.6611440000000016E-3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0.94325200000000109</v>
      </c>
      <c r="Y654" s="18">
        <f t="shared" si="64"/>
        <v>0.90132100000000293</v>
      </c>
      <c r="Z654" s="18">
        <f t="shared" si="64"/>
        <v>1.55470000000002E-3</v>
      </c>
      <c r="AA654" s="18">
        <f t="shared" si="64"/>
        <v>5.5455000000004251E-4</v>
      </c>
      <c r="AB654" s="18">
        <f t="shared" si="64"/>
        <v>4.5509319999999989E-3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cinema_track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cinema_track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27669.64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30.616972761904755</v>
      </c>
      <c r="Y5" s="30">
        <f t="shared" si="2"/>
        <v>34.517791333333335</v>
      </c>
      <c r="Z5" s="30">
        <f t="shared" si="2"/>
        <v>0.96686531714285739</v>
      </c>
      <c r="AA5" s="91">
        <f t="shared" si="2"/>
        <v>0.97376615666666688</v>
      </c>
      <c r="AB5" s="91">
        <f t="shared" si="2"/>
        <v>5.6413153428571429E-2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-0.12837010663848136</v>
      </c>
      <c r="AN5" s="245">
        <f>bdrate($E5:$E8,G5:G8,$W5:$W8,Y5:Y8)</f>
        <v>-9.6729986604429108E-2</v>
      </c>
      <c r="AO5" s="245">
        <f>bdrate($E5:$E8,H5:H8,$W5:$W8,Z5:Z8)</f>
        <v>-2.5040192945311457E-3</v>
      </c>
      <c r="AP5" s="245">
        <f>bdrate($E5:$E8,I5:I8,$W5:$W8,AA5:AA8)</f>
        <v>-1.8007885769082188E-2</v>
      </c>
      <c r="AQ5" s="246">
        <f>bdrateInverted($E5:$E8,J5:J8,$W5:$W8,AB5:AB8)</f>
        <v>-0.13626393643843848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40101.375999999997</v>
      </c>
      <c r="X6" s="91">
        <f t="shared" si="2"/>
        <v>33.957413857142853</v>
      </c>
      <c r="Y6" s="91">
        <f t="shared" si="2"/>
        <v>37.325451047619048</v>
      </c>
      <c r="Z6" s="91">
        <f t="shared" si="2"/>
        <v>0.98015443523809531</v>
      </c>
      <c r="AA6" s="91">
        <f t="shared" si="2"/>
        <v>0.98478156476190482</v>
      </c>
      <c r="AB6" s="91">
        <f t="shared" si="2"/>
        <v>3.691522842857143E-2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59784.072</v>
      </c>
      <c r="X7" s="91">
        <f t="shared" si="2"/>
        <v>38.11388238095239</v>
      </c>
      <c r="Y7" s="91">
        <f t="shared" si="2"/>
        <v>41.416858999999995</v>
      </c>
      <c r="Z7" s="91">
        <f t="shared" si="2"/>
        <v>0.98938974428571436</v>
      </c>
      <c r="AA7" s="91">
        <f t="shared" si="2"/>
        <v>0.99276242000000015</v>
      </c>
      <c r="AB7" s="91">
        <f t="shared" si="2"/>
        <v>2.0677309523809525E-2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87086</v>
      </c>
      <c r="X8" s="91">
        <f t="shared" si="2"/>
        <v>42.550639666666662</v>
      </c>
      <c r="Y8" s="91">
        <f t="shared" si="2"/>
        <v>45.58862514285714</v>
      </c>
      <c r="Z8" s="91">
        <f t="shared" si="2"/>
        <v>0.99409615952380948</v>
      </c>
      <c r="AA8" s="91">
        <f t="shared" si="2"/>
        <v>0.99653659285714302</v>
      </c>
      <c r="AB8" s="91">
        <f t="shared" si="2"/>
        <v>8.7400303904761906E-3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4622.4719999999998</v>
      </c>
      <c r="X16" s="167">
        <v>5796.3680000000004</v>
      </c>
      <c r="Y16" s="167">
        <v>1150.76</v>
      </c>
      <c r="Z16" s="167">
        <v>431.952</v>
      </c>
      <c r="AA16" s="167">
        <v>217.28</v>
      </c>
      <c r="AB16" s="167">
        <v>8571.24</v>
      </c>
      <c r="AC16" s="60">
        <v>5023.84</v>
      </c>
      <c r="AD16" s="60">
        <v>1855.7280000000001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4622.4719999999998</v>
      </c>
      <c r="X17" s="168">
        <v>7649.5519999999997</v>
      </c>
      <c r="Y17" s="168">
        <v>3839.48</v>
      </c>
      <c r="Z17" s="168">
        <v>2033.808</v>
      </c>
      <c r="AA17" s="168">
        <v>1539.6959999999999</v>
      </c>
      <c r="AB17" s="168">
        <v>11093.688</v>
      </c>
      <c r="AC17" s="62">
        <v>6863.424</v>
      </c>
      <c r="AD17" s="62">
        <v>2459.2559999999999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4622.4719999999998</v>
      </c>
      <c r="X18" s="168">
        <v>9569.8240000000005</v>
      </c>
      <c r="Y18" s="168">
        <v>8183.9840000000004</v>
      </c>
      <c r="Z18" s="168">
        <v>6025.6480000000001</v>
      </c>
      <c r="AA18" s="168">
        <v>5823.72</v>
      </c>
      <c r="AB18" s="168">
        <v>13694.384</v>
      </c>
      <c r="AC18" s="62">
        <v>8782.5519999999997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4622.4719999999998</v>
      </c>
      <c r="X19" s="168">
        <v>11411.224</v>
      </c>
      <c r="Y19" s="168">
        <v>13300</v>
      </c>
      <c r="Z19" s="168">
        <v>12659.776</v>
      </c>
      <c r="AA19" s="168">
        <v>14156.12</v>
      </c>
      <c r="AB19" s="168">
        <v>16403.856</v>
      </c>
      <c r="AC19" s="62">
        <v>10804.656000000001</v>
      </c>
      <c r="AD19" s="62">
        <v>3727.8960000000002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27669.64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40101.375999999997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59784.072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87086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27.471914999999999</v>
      </c>
      <c r="Y33" s="97">
        <v>31.123391999999999</v>
      </c>
      <c r="Z33" s="97">
        <v>0.95889192000000001</v>
      </c>
      <c r="AA33" s="60">
        <v>0.96553365000000002</v>
      </c>
      <c r="AB33" s="60">
        <v>6.6498109999999999E-2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0.56505899999999798</v>
      </c>
      <c r="AN33" s="96">
        <f t="shared" ref="AN33:AN96" si="5">IF(OR(Y33="",G33=""),"",Y33-G33)</f>
        <v>0.75550799999999896</v>
      </c>
      <c r="AO33" s="96">
        <f t="shared" ref="AO33:AO96" si="6">IF(OR(Z33="",H33=""),"",Z33-H33)</f>
        <v>1.812599999999609E-4</v>
      </c>
      <c r="AP33" s="96">
        <f t="shared" ref="AP33:AP96" si="7">IF(OR(AA33="",I33=""),"",AA33-I33)</f>
        <v>9.7767000000004156E-4</v>
      </c>
      <c r="AQ33" s="121">
        <f t="shared" ref="AQ33:AQ96" si="8">IF(OR(AB33="",J33=""),"",AB33-J33)</f>
        <v>-1.6228649999999997E-2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31.476799</v>
      </c>
      <c r="Y34" s="190">
        <v>34.737585000000003</v>
      </c>
      <c r="Z34" s="190">
        <v>0.97761569999999998</v>
      </c>
      <c r="AA34" s="62">
        <v>0.98126113000000004</v>
      </c>
      <c r="AB34" s="62">
        <v>4.4206288000000003E-2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0.68636799999999809</v>
      </c>
      <c r="AN34" s="122">
        <f t="shared" si="5"/>
        <v>0.53913400000000422</v>
      </c>
      <c r="AO34" s="122">
        <f t="shared" si="6"/>
        <v>-1.4575000000005556E-4</v>
      </c>
      <c r="AP34" s="122">
        <f t="shared" si="7"/>
        <v>3.373700000000035E-4</v>
      </c>
      <c r="AQ34" s="88">
        <f t="shared" si="8"/>
        <v>-1.2402371999999995E-2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36.248680999999998</v>
      </c>
      <c r="Y35" s="190">
        <v>39.658971999999999</v>
      </c>
      <c r="Z35" s="190">
        <v>0.98892294000000003</v>
      </c>
      <c r="AA35" s="62">
        <v>0.99189819000000001</v>
      </c>
      <c r="AB35" s="62">
        <v>2.2208542000000001E-2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2.4502260000000007</v>
      </c>
      <c r="AN35" s="122">
        <f t="shared" si="5"/>
        <v>1.8087109999999953</v>
      </c>
      <c r="AO35" s="122">
        <f t="shared" si="6"/>
        <v>7.1213000000003301E-4</v>
      </c>
      <c r="AP35" s="122">
        <f t="shared" si="7"/>
        <v>7.400200000000634E-4</v>
      </c>
      <c r="AQ35" s="88">
        <f t="shared" si="8"/>
        <v>-1.0900296E-2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41.552092000000002</v>
      </c>
      <c r="Y36" s="190">
        <v>44.605401000000001</v>
      </c>
      <c r="Z36" s="190">
        <v>0.99417708999999999</v>
      </c>
      <c r="AA36" s="62">
        <v>0.99641477000000001</v>
      </c>
      <c r="AB36" s="62">
        <v>8.7745150000000001E-3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3.7928080000000008</v>
      </c>
      <c r="AN36" s="122">
        <f t="shared" si="5"/>
        <v>2.5438260000000028</v>
      </c>
      <c r="AO36" s="122">
        <f t="shared" si="6"/>
        <v>4.4025000000003089E-4</v>
      </c>
      <c r="AP36" s="122">
        <f t="shared" si="7"/>
        <v>5.9085000000003163E-4</v>
      </c>
      <c r="AQ36" s="88">
        <f t="shared" si="8"/>
        <v>-7.3925110000000009E-3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28.201471000000002</v>
      </c>
      <c r="Y38" s="97">
        <v>32.222828</v>
      </c>
      <c r="Z38" s="97">
        <v>0.96129657000000002</v>
      </c>
      <c r="AA38" s="60">
        <v>0.96665475999999995</v>
      </c>
      <c r="AB38" s="60">
        <v>6.2552990000000003E-2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1.0010490000000019</v>
      </c>
      <c r="AN38" s="96">
        <f t="shared" si="5"/>
        <v>1.1350850000000001</v>
      </c>
      <c r="AO38" s="96">
        <f t="shared" si="6"/>
        <v>4.3807000000006813E-4</v>
      </c>
      <c r="AP38" s="96">
        <f t="shared" si="7"/>
        <v>1.4715799999999168E-3</v>
      </c>
      <c r="AQ38" s="121">
        <f t="shared" si="8"/>
        <v>-1.2144639999999998E-2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32.359769999999997</v>
      </c>
      <c r="Y39" s="190">
        <v>35.540672000000001</v>
      </c>
      <c r="Z39" s="190">
        <v>0.97843309999999994</v>
      </c>
      <c r="AA39" s="62">
        <v>0.98175330999999999</v>
      </c>
      <c r="AB39" s="62">
        <v>4.3893414999999998E-2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0.99759799999999643</v>
      </c>
      <c r="AN39" s="122">
        <f t="shared" si="5"/>
        <v>0.68486099999999794</v>
      </c>
      <c r="AO39" s="122">
        <f t="shared" si="6"/>
        <v>1.2760999999994471E-4</v>
      </c>
      <c r="AP39" s="122">
        <f t="shared" si="7"/>
        <v>6.7468999999997781E-4</v>
      </c>
      <c r="AQ39" s="88">
        <f t="shared" si="8"/>
        <v>-8.9402550000000011E-3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36.886163000000003</v>
      </c>
      <c r="Y40" s="190">
        <v>40.270685999999998</v>
      </c>
      <c r="Z40" s="190">
        <v>0.98892738999999996</v>
      </c>
      <c r="AA40" s="62">
        <v>0.99200434999999998</v>
      </c>
      <c r="AB40" s="62">
        <v>2.3416096000000001E-2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2.0644300000000015</v>
      </c>
      <c r="AN40" s="122">
        <f t="shared" si="5"/>
        <v>1.416641999999996</v>
      </c>
      <c r="AO40" s="122">
        <f t="shared" si="6"/>
        <v>4.9873000000000278E-4</v>
      </c>
      <c r="AP40" s="122">
        <f t="shared" si="7"/>
        <v>5.8480999999999117E-4</v>
      </c>
      <c r="AQ40" s="88">
        <f t="shared" si="8"/>
        <v>-7.9474339999999997E-3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41.655988000000001</v>
      </c>
      <c r="Y41" s="190">
        <v>44.782679000000002</v>
      </c>
      <c r="Z41" s="190">
        <v>0.99410195999999995</v>
      </c>
      <c r="AA41" s="62">
        <v>0.99633232999999999</v>
      </c>
      <c r="AB41" s="62">
        <v>9.1252529999999998E-3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3.7123740000000041</v>
      </c>
      <c r="AN41" s="122">
        <f t="shared" si="5"/>
        <v>2.4875310000000042</v>
      </c>
      <c r="AO41" s="122">
        <f t="shared" si="6"/>
        <v>4.5227999999997159E-4</v>
      </c>
      <c r="AP41" s="122">
        <f t="shared" si="7"/>
        <v>5.9724999999999362E-4</v>
      </c>
      <c r="AQ41" s="88">
        <f t="shared" si="8"/>
        <v>-8.2487520000000016E-3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29.321242000000002</v>
      </c>
      <c r="Y43" s="97">
        <v>33.124000000000002</v>
      </c>
      <c r="Z43" s="97">
        <v>0.96358045999999997</v>
      </c>
      <c r="AA43" s="60">
        <v>0.96905370000000002</v>
      </c>
      <c r="AB43" s="60">
        <v>6.2130824000000001E-2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0.66208200000000161</v>
      </c>
      <c r="AN43" s="96">
        <f t="shared" si="5"/>
        <v>0.75197000000000003</v>
      </c>
      <c r="AO43" s="96">
        <f t="shared" si="6"/>
        <v>5.4232999999992426E-4</v>
      </c>
      <c r="AP43" s="96">
        <f t="shared" si="7"/>
        <v>9.8792999999997022E-4</v>
      </c>
      <c r="AQ43" s="121">
        <f t="shared" si="8"/>
        <v>-9.9902959999999957E-3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32.870401000000001</v>
      </c>
      <c r="Y44" s="190">
        <v>36.055093999999997</v>
      </c>
      <c r="Z44" s="190">
        <v>0.97891618000000002</v>
      </c>
      <c r="AA44" s="62">
        <v>0.98229372999999998</v>
      </c>
      <c r="AB44" s="62">
        <v>4.2653480000000001E-2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1.0737570000000005</v>
      </c>
      <c r="AN44" s="122">
        <f t="shared" si="5"/>
        <v>0.68281799999999748</v>
      </c>
      <c r="AO44" s="122">
        <f t="shared" si="6"/>
        <v>2.4444000000001243E-4</v>
      </c>
      <c r="AP44" s="122">
        <f t="shared" si="7"/>
        <v>7.2414999999992347E-4</v>
      </c>
      <c r="AQ44" s="88">
        <f t="shared" si="8"/>
        <v>-7.0264030000000005E-3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37.156646000000002</v>
      </c>
      <c r="Y45" s="190">
        <v>40.637821000000002</v>
      </c>
      <c r="Z45" s="190">
        <v>0.98907073000000001</v>
      </c>
      <c r="AA45" s="62">
        <v>0.99200723000000002</v>
      </c>
      <c r="AB45" s="62">
        <v>2.3727193000000001E-2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1.9357260000000025</v>
      </c>
      <c r="AN45" s="122">
        <f t="shared" si="5"/>
        <v>1.2804360000000017</v>
      </c>
      <c r="AO45" s="122">
        <f t="shared" si="6"/>
        <v>4.5525000000001814E-4</v>
      </c>
      <c r="AP45" s="122">
        <f t="shared" si="7"/>
        <v>4.574800000000101E-4</v>
      </c>
      <c r="AQ45" s="88">
        <f t="shared" si="8"/>
        <v>-7.8832549999999987E-3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41.800725</v>
      </c>
      <c r="Y46" s="190">
        <v>44.988582000000001</v>
      </c>
      <c r="Z46" s="190">
        <v>0.99412022</v>
      </c>
      <c r="AA46" s="62">
        <v>0.99628985999999997</v>
      </c>
      <c r="AB46" s="62">
        <v>9.2781400000000007E-3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3.3833789999999979</v>
      </c>
      <c r="AN46" s="122">
        <f t="shared" si="5"/>
        <v>2.2211339999999993</v>
      </c>
      <c r="AO46" s="122">
        <f t="shared" si="6"/>
        <v>4.4991000000005332E-4</v>
      </c>
      <c r="AP46" s="122">
        <f t="shared" si="7"/>
        <v>5.6957999999995845E-4</v>
      </c>
      <c r="AQ46" s="88">
        <f t="shared" si="8"/>
        <v>-7.3033360000000005E-3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29.914783</v>
      </c>
      <c r="Y48" s="97">
        <v>33.703270000000003</v>
      </c>
      <c r="Z48" s="97">
        <v>0.96423552999999995</v>
      </c>
      <c r="AA48" s="60">
        <v>0.97035353999999996</v>
      </c>
      <c r="AB48" s="60">
        <v>5.7082771999999997E-2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0.16894399999999976</v>
      </c>
      <c r="AN48" s="96">
        <f t="shared" si="5"/>
        <v>0.47783000000000442</v>
      </c>
      <c r="AO48" s="96">
        <f t="shared" si="6"/>
        <v>3.673199999999488E-4</v>
      </c>
      <c r="AP48" s="96">
        <f t="shared" si="7"/>
        <v>7.583700000000082E-4</v>
      </c>
      <c r="AQ48" s="121">
        <f t="shared" si="8"/>
        <v>-6.4402230000000019E-3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33.655056000000002</v>
      </c>
      <c r="Y49" s="190">
        <v>36.863160000000001</v>
      </c>
      <c r="Z49" s="190">
        <v>0.97858705999999995</v>
      </c>
      <c r="AA49" s="62">
        <v>0.98287104000000003</v>
      </c>
      <c r="AB49" s="62">
        <v>3.8205937000000002E-2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0.91996999999999929</v>
      </c>
      <c r="AN49" s="122">
        <f t="shared" si="5"/>
        <v>0.65781900000000348</v>
      </c>
      <c r="AO49" s="122">
        <f t="shared" si="6"/>
        <v>2.8023999999993165E-4</v>
      </c>
      <c r="AP49" s="122">
        <f t="shared" si="7"/>
        <v>4.9591000000004382E-4</v>
      </c>
      <c r="AQ49" s="88">
        <f t="shared" si="8"/>
        <v>-4.4976279999999966E-3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37.789093999999999</v>
      </c>
      <c r="Y50" s="190">
        <v>41.149690999999997</v>
      </c>
      <c r="Z50" s="190">
        <v>0.98871122</v>
      </c>
      <c r="AA50" s="62">
        <v>0.99204236000000001</v>
      </c>
      <c r="AB50" s="62">
        <v>2.1878475000000001E-2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1.821593</v>
      </c>
      <c r="AN50" s="122">
        <f t="shared" si="5"/>
        <v>1.1021009999999976</v>
      </c>
      <c r="AO50" s="122">
        <f t="shared" si="6"/>
        <v>3.5315000000002428E-4</v>
      </c>
      <c r="AP50" s="122">
        <f t="shared" si="7"/>
        <v>4.7679000000000471E-4</v>
      </c>
      <c r="AQ50" s="88">
        <f t="shared" si="8"/>
        <v>-6.1000449999999984E-3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41.988702000000004</v>
      </c>
      <c r="Y51" s="190">
        <v>45.137006</v>
      </c>
      <c r="Z51" s="190">
        <v>0.99386890000000006</v>
      </c>
      <c r="AA51" s="62">
        <v>0.99621662</v>
      </c>
      <c r="AB51" s="62">
        <v>8.8722799999999998E-3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3.1014520000000019</v>
      </c>
      <c r="AN51" s="122">
        <f t="shared" si="5"/>
        <v>1.9593980000000002</v>
      </c>
      <c r="AO51" s="122">
        <f t="shared" si="6"/>
        <v>3.7723000000000617E-4</v>
      </c>
      <c r="AP51" s="122">
        <f t="shared" si="7"/>
        <v>5.6215000000003901E-4</v>
      </c>
      <c r="AQ51" s="88">
        <f t="shared" si="8"/>
        <v>-5.8501990000000004E-3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30.109290999999999</v>
      </c>
      <c r="Y53" s="97">
        <v>33.863269000000003</v>
      </c>
      <c r="Z53" s="97">
        <v>0.96402301999999995</v>
      </c>
      <c r="AA53" s="60">
        <v>0.97091837999999997</v>
      </c>
      <c r="AB53" s="60">
        <v>5.6207686999999999E-2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0.41554999999999964</v>
      </c>
      <c r="AN53" s="96">
        <f t="shared" si="5"/>
        <v>0.59615800000000263</v>
      </c>
      <c r="AO53" s="96">
        <f t="shared" si="6"/>
        <v>1.3626999999993838E-4</v>
      </c>
      <c r="AP53" s="96">
        <f t="shared" si="7"/>
        <v>6.3438999999998469E-4</v>
      </c>
      <c r="AQ53" s="121">
        <f t="shared" si="8"/>
        <v>-7.7676469999999956E-3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33.579239999999999</v>
      </c>
      <c r="Y54" s="190">
        <v>36.823794999999997</v>
      </c>
      <c r="Z54" s="190">
        <v>0.97850086999999997</v>
      </c>
      <c r="AA54" s="62">
        <v>0.98302237000000003</v>
      </c>
      <c r="AB54" s="62">
        <v>3.7149127999999997E-2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0.97417399999999787</v>
      </c>
      <c r="AN54" s="122">
        <f t="shared" si="5"/>
        <v>0.67616399999999999</v>
      </c>
      <c r="AO54" s="122">
        <f t="shared" si="6"/>
        <v>2.5971999999996331E-4</v>
      </c>
      <c r="AP54" s="122">
        <f t="shared" si="7"/>
        <v>5.3255000000007602E-4</v>
      </c>
      <c r="AQ54" s="88">
        <f t="shared" si="8"/>
        <v>-5.2449480000000062E-3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37.607197999999997</v>
      </c>
      <c r="Y55" s="190">
        <v>41.026798999999997</v>
      </c>
      <c r="Z55" s="190">
        <v>0.98856164999999996</v>
      </c>
      <c r="AA55" s="62">
        <v>0.99198083000000004</v>
      </c>
      <c r="AB55" s="62">
        <v>2.1905932999999999E-2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1.7574769999999944</v>
      </c>
      <c r="AN55" s="122">
        <f t="shared" si="5"/>
        <v>1.0891299999999973</v>
      </c>
      <c r="AO55" s="122">
        <f t="shared" si="6"/>
        <v>4.1126999999996361E-4</v>
      </c>
      <c r="AP55" s="122">
        <f t="shared" si="7"/>
        <v>5.2054000000001377E-4</v>
      </c>
      <c r="AQ55" s="88">
        <f t="shared" si="8"/>
        <v>-6.4118109999999999E-3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42.004995999999998</v>
      </c>
      <c r="Y56" s="190">
        <v>45.146982000000001</v>
      </c>
      <c r="Z56" s="190">
        <v>0.99386109</v>
      </c>
      <c r="AA56" s="62">
        <v>0.99621444000000003</v>
      </c>
      <c r="AB56" s="62">
        <v>8.4055299999999996E-3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2.9687059999999974</v>
      </c>
      <c r="AN56" s="122">
        <f t="shared" si="5"/>
        <v>1.9419290000000018</v>
      </c>
      <c r="AO56" s="122">
        <f t="shared" si="6"/>
        <v>4.2927999999997635E-4</v>
      </c>
      <c r="AP56" s="122">
        <f t="shared" si="7"/>
        <v>6.5230999999998929E-4</v>
      </c>
      <c r="AQ56" s="88">
        <f t="shared" si="8"/>
        <v>-5.1571700000000009E-3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30.23488</v>
      </c>
      <c r="Y58" s="97">
        <v>33.972324</v>
      </c>
      <c r="Z58" s="97">
        <v>0.96345113999999998</v>
      </c>
      <c r="AA58" s="60">
        <v>0.97124321999999996</v>
      </c>
      <c r="AB58" s="60">
        <v>5.8083563999999997E-2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0.34551800000000199</v>
      </c>
      <c r="AN58" s="96">
        <f t="shared" si="5"/>
        <v>0.52884399999999943</v>
      </c>
      <c r="AO58" s="96">
        <f t="shared" si="6"/>
        <v>-8.7330000000052088E-5</v>
      </c>
      <c r="AP58" s="96">
        <f t="shared" si="7"/>
        <v>3.1066999999995737E-4</v>
      </c>
      <c r="AQ58" s="121">
        <f t="shared" si="8"/>
        <v>-6.7501460000000055E-3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33.625065999999997</v>
      </c>
      <c r="Y59" s="190">
        <v>36.869543999999998</v>
      </c>
      <c r="Z59" s="190">
        <v>0.97840245999999997</v>
      </c>
      <c r="AA59" s="62">
        <v>0.98348552</v>
      </c>
      <c r="AB59" s="62">
        <v>3.7861949999999998E-2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0.8671019999999956</v>
      </c>
      <c r="AN59" s="122">
        <f t="shared" si="5"/>
        <v>0.59814499999999526</v>
      </c>
      <c r="AO59" s="122">
        <f t="shared" si="6"/>
        <v>2.73980000000007E-4</v>
      </c>
      <c r="AP59" s="122">
        <f t="shared" si="7"/>
        <v>4.7905000000003639E-4</v>
      </c>
      <c r="AQ59" s="88">
        <f t="shared" si="8"/>
        <v>-4.9010859999999989E-3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37.320644999999999</v>
      </c>
      <c r="Y60" s="190">
        <v>40.803845000000003</v>
      </c>
      <c r="Z60" s="190">
        <v>0.98856049999999995</v>
      </c>
      <c r="AA60" s="62">
        <v>0.99195456999999998</v>
      </c>
      <c r="AB60" s="62">
        <v>2.3176221E-2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1.4175759999999968</v>
      </c>
      <c r="AN60" s="122">
        <f t="shared" si="5"/>
        <v>0.86112400000000378</v>
      </c>
      <c r="AO60" s="122">
        <f t="shared" si="6"/>
        <v>3.6424999999995489E-4</v>
      </c>
      <c r="AP60" s="122">
        <f t="shared" si="7"/>
        <v>5.3601999999997041E-4</v>
      </c>
      <c r="AQ60" s="88">
        <f t="shared" si="8"/>
        <v>-5.5113889999999985E-3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41.915984999999999</v>
      </c>
      <c r="Y61" s="190">
        <v>45.049759000000002</v>
      </c>
      <c r="Z61" s="190">
        <v>0.99386476000000001</v>
      </c>
      <c r="AA61" s="62">
        <v>0.99623130000000004</v>
      </c>
      <c r="AB61" s="62">
        <v>8.6985919999999998E-3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2.5844009999999997</v>
      </c>
      <c r="AN61" s="122">
        <f t="shared" si="5"/>
        <v>1.6544540000000012</v>
      </c>
      <c r="AO61" s="122">
        <f t="shared" si="6"/>
        <v>3.932100000000327E-4</v>
      </c>
      <c r="AP61" s="122">
        <f t="shared" si="7"/>
        <v>6.9747000000008885E-4</v>
      </c>
      <c r="AQ61" s="88">
        <f t="shared" si="8"/>
        <v>-4.3351310000000007E-3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30.278608999999999</v>
      </c>
      <c r="Y63" s="97">
        <v>34.158192</v>
      </c>
      <c r="Z63" s="97">
        <v>0.96230780000000005</v>
      </c>
      <c r="AA63" s="60">
        <v>0.97187606000000004</v>
      </c>
      <c r="AB63" s="60">
        <v>6.0171080000000002E-2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8.583099999999888E-2</v>
      </c>
      <c r="AN63" s="96">
        <f t="shared" si="5"/>
        <v>0.30845999999999663</v>
      </c>
      <c r="AO63" s="96">
        <f t="shared" si="6"/>
        <v>-1.9292999999998006E-4</v>
      </c>
      <c r="AP63" s="96">
        <f t="shared" si="7"/>
        <v>2.6191000000008735E-4</v>
      </c>
      <c r="AQ63" s="121">
        <f t="shared" si="8"/>
        <v>-3.1464400000000003E-3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33.619588999999998</v>
      </c>
      <c r="Y64" s="190">
        <v>36.959193999999997</v>
      </c>
      <c r="Z64" s="190">
        <v>0.97818634000000004</v>
      </c>
      <c r="AA64" s="62">
        <v>0.98357402999999999</v>
      </c>
      <c r="AB64" s="62">
        <v>3.8023269999999998E-2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0.34436900000000037</v>
      </c>
      <c r="AN64" s="122">
        <f t="shared" si="5"/>
        <v>0.27055699999999661</v>
      </c>
      <c r="AO64" s="122">
        <f t="shared" si="6"/>
        <v>2.7626000000002815E-4</v>
      </c>
      <c r="AP64" s="122">
        <f t="shared" si="7"/>
        <v>3.7439999999999696E-4</v>
      </c>
      <c r="AQ64" s="88">
        <f t="shared" si="8"/>
        <v>-2.4508469999999991E-3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37.542558</v>
      </c>
      <c r="Y65" s="190">
        <v>41.007520999999997</v>
      </c>
      <c r="Z65" s="190">
        <v>0.98866237999999995</v>
      </c>
      <c r="AA65" s="62">
        <v>0.99211844999999999</v>
      </c>
      <c r="AB65" s="62">
        <v>2.3149521999999999E-2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1.0050090000000012</v>
      </c>
      <c r="AN65" s="122">
        <f t="shared" si="5"/>
        <v>0.61821299999999724</v>
      </c>
      <c r="AO65" s="122">
        <f t="shared" si="6"/>
        <v>2.8376999999990549E-4</v>
      </c>
      <c r="AP65" s="122">
        <f t="shared" si="7"/>
        <v>3.2403000000003068E-4</v>
      </c>
      <c r="AQ65" s="88">
        <f t="shared" si="8"/>
        <v>-3.6915710000000011E-3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42.046199999999999</v>
      </c>
      <c r="Y66" s="190">
        <v>45.232320000000001</v>
      </c>
      <c r="Z66" s="190">
        <v>0.99393571000000003</v>
      </c>
      <c r="AA66" s="62">
        <v>0.99631546999999998</v>
      </c>
      <c r="AB66" s="62">
        <v>8.8978240000000004E-3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2.020386000000002</v>
      </c>
      <c r="AN66" s="122">
        <f t="shared" si="5"/>
        <v>1.3556829999999991</v>
      </c>
      <c r="AO66" s="122">
        <f t="shared" si="6"/>
        <v>3.3069000000007787E-4</v>
      </c>
      <c r="AP66" s="122">
        <f t="shared" si="7"/>
        <v>5.6796999999997322E-4</v>
      </c>
      <c r="AQ66" s="88">
        <f t="shared" si="8"/>
        <v>-3.369941999999999E-3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29.371500999999999</v>
      </c>
      <c r="Y68" s="97">
        <v>33.3245</v>
      </c>
      <c r="Z68" s="97">
        <v>0.96245738000000003</v>
      </c>
      <c r="AA68" s="60">
        <v>0.96957925</v>
      </c>
      <c r="AB68" s="60">
        <v>5.6186079999999999E-2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0.61347099999999699</v>
      </c>
      <c r="AN68" s="96">
        <f t="shared" si="5"/>
        <v>1.1486289999999997</v>
      </c>
      <c r="AO68" s="96">
        <f t="shared" si="6"/>
        <v>-7.8199999999917225E-6</v>
      </c>
      <c r="AP68" s="96">
        <f t="shared" si="7"/>
        <v>1.0722400000000576E-3</v>
      </c>
      <c r="AQ68" s="121">
        <f t="shared" si="8"/>
        <v>-1.4089850000000001E-2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33.354743999999997</v>
      </c>
      <c r="Y69" s="190">
        <v>36.770040000000002</v>
      </c>
      <c r="Z69" s="190">
        <v>0.97854105999999996</v>
      </c>
      <c r="AA69" s="62">
        <v>0.98321968000000004</v>
      </c>
      <c r="AB69" s="62">
        <v>3.4697205000000002E-2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1.3602139999999956</v>
      </c>
      <c r="AN69" s="122">
        <f t="shared" si="5"/>
        <v>1.2108470000000011</v>
      </c>
      <c r="AO69" s="122">
        <f t="shared" si="6"/>
        <v>1.9692999999998406E-4</v>
      </c>
      <c r="AP69" s="122">
        <f t="shared" si="7"/>
        <v>6.9004999999999761E-4</v>
      </c>
      <c r="AQ69" s="88">
        <f t="shared" si="8"/>
        <v>-1.2410707999999999E-2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37.846454000000001</v>
      </c>
      <c r="Y70" s="190">
        <v>41.046312</v>
      </c>
      <c r="Z70" s="190">
        <v>0.98925278999999999</v>
      </c>
      <c r="AA70" s="62">
        <v>0.99256621</v>
      </c>
      <c r="AB70" s="62">
        <v>1.8128430000000001E-2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3.0057639999999992</v>
      </c>
      <c r="AN70" s="122">
        <f t="shared" si="5"/>
        <v>1.990236000000003</v>
      </c>
      <c r="AO70" s="122">
        <f t="shared" si="6"/>
        <v>5.2498000000000822E-4</v>
      </c>
      <c r="AP70" s="122">
        <f t="shared" si="7"/>
        <v>7.5515000000003774E-4</v>
      </c>
      <c r="AQ70" s="88">
        <f t="shared" si="8"/>
        <v>-1.1336632999999999E-2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42.285040000000002</v>
      </c>
      <c r="Y71" s="190">
        <v>45.314798000000003</v>
      </c>
      <c r="Z71" s="190">
        <v>0.99415701999999995</v>
      </c>
      <c r="AA71" s="62">
        <v>0.99644959</v>
      </c>
      <c r="AB71" s="62">
        <v>7.8888239999999991E-3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4.2023870000000016</v>
      </c>
      <c r="AN71" s="122">
        <f t="shared" si="5"/>
        <v>2.8987639999999999</v>
      </c>
      <c r="AO71" s="122">
        <f t="shared" si="6"/>
        <v>4.5167999999995434E-4</v>
      </c>
      <c r="AP71" s="122">
        <f t="shared" si="7"/>
        <v>6.5545999999994109E-4</v>
      </c>
      <c r="AQ71" s="88">
        <f t="shared" si="8"/>
        <v>-7.0720630000000017E-3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30.129728</v>
      </c>
      <c r="Y73" s="97">
        <v>34.274101000000002</v>
      </c>
      <c r="Z73" s="97">
        <v>0.96521723000000004</v>
      </c>
      <c r="AA73" s="60">
        <v>0.97051021999999998</v>
      </c>
      <c r="AB73" s="60">
        <v>5.2762499999999997E-2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0.40790300000000101</v>
      </c>
      <c r="AN73" s="96">
        <f t="shared" si="5"/>
        <v>0.8329519999999988</v>
      </c>
      <c r="AO73" s="96">
        <f t="shared" si="6"/>
        <v>-6.858999999992399E-5</v>
      </c>
      <c r="AP73" s="96">
        <f t="shared" si="7"/>
        <v>7.9788000000002857E-4</v>
      </c>
      <c r="AQ73" s="121">
        <f t="shared" si="8"/>
        <v>-8.8648840000000034E-3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33.812341000000004</v>
      </c>
      <c r="Y74" s="190">
        <v>37.240133999999998</v>
      </c>
      <c r="Z74" s="190">
        <v>0.97937363</v>
      </c>
      <c r="AA74" s="62">
        <v>0.98343683000000004</v>
      </c>
      <c r="AB74" s="62">
        <v>3.3936247000000003E-2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1.253228</v>
      </c>
      <c r="AN74" s="122">
        <f t="shared" si="5"/>
        <v>0.96481599999999901</v>
      </c>
      <c r="AO74" s="122">
        <f t="shared" si="6"/>
        <v>2.3613000000000106E-4</v>
      </c>
      <c r="AP74" s="122">
        <f t="shared" si="7"/>
        <v>6.8178000000007621E-4</v>
      </c>
      <c r="AQ74" s="88">
        <f t="shared" si="8"/>
        <v>-7.1153129999999981E-3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38.289448</v>
      </c>
      <c r="Y75" s="190">
        <v>41.546143000000001</v>
      </c>
      <c r="Z75" s="190">
        <v>0.98929232</v>
      </c>
      <c r="AA75" s="62">
        <v>0.99253314999999998</v>
      </c>
      <c r="AB75" s="62">
        <v>1.7707576999999999E-2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2.0251540000000006</v>
      </c>
      <c r="AN75" s="122">
        <f t="shared" si="5"/>
        <v>1.2874809999999997</v>
      </c>
      <c r="AO75" s="122">
        <f t="shared" si="6"/>
        <v>4.1615999999999875E-4</v>
      </c>
      <c r="AP75" s="122">
        <f t="shared" si="7"/>
        <v>6.8760000000001043E-4</v>
      </c>
      <c r="AQ75" s="88">
        <f t="shared" si="8"/>
        <v>-6.1368489999999998E-3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42.476624000000001</v>
      </c>
      <c r="Y76" s="190">
        <v>45.522086999999999</v>
      </c>
      <c r="Z76" s="190">
        <v>0.99409808</v>
      </c>
      <c r="AA76" s="62">
        <v>0.99644818000000002</v>
      </c>
      <c r="AB76" s="62">
        <v>7.9235920000000001E-3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4.2020550000000014</v>
      </c>
      <c r="AN76" s="122">
        <f t="shared" si="5"/>
        <v>2.8255300000000005</v>
      </c>
      <c r="AO76" s="122">
        <f t="shared" si="6"/>
        <v>4.2085999999996737E-4</v>
      </c>
      <c r="AP76" s="122">
        <f t="shared" si="7"/>
        <v>6.8769000000001856E-4</v>
      </c>
      <c r="AQ76" s="88">
        <f t="shared" si="8"/>
        <v>-8.3199179999999991E-3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30.434985999999999</v>
      </c>
      <c r="Y78" s="97">
        <v>34.186579000000002</v>
      </c>
      <c r="Z78" s="97">
        <v>0.96685383999999996</v>
      </c>
      <c r="AA78" s="60">
        <v>0.97196055000000003</v>
      </c>
      <c r="AB78" s="60">
        <v>5.4403691999999997E-2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0.61894399999999905</v>
      </c>
      <c r="AN78" s="96">
        <f t="shared" si="5"/>
        <v>0.6800010000000043</v>
      </c>
      <c r="AO78" s="96">
        <f t="shared" si="6"/>
        <v>3.9970000000000283E-5</v>
      </c>
      <c r="AP78" s="96">
        <f t="shared" si="7"/>
        <v>5.7935000000008952E-4</v>
      </c>
      <c r="AQ78" s="121">
        <f t="shared" si="8"/>
        <v>-9.9197380000000043E-3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33.646982000000001</v>
      </c>
      <c r="Y79" s="190">
        <v>36.981360000000002</v>
      </c>
      <c r="Z79" s="190">
        <v>0.97985442</v>
      </c>
      <c r="AA79" s="62">
        <v>0.98348899000000001</v>
      </c>
      <c r="AB79" s="62">
        <v>3.5277188000000001E-2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1.2581330000000008</v>
      </c>
      <c r="AN79" s="122">
        <f t="shared" si="5"/>
        <v>0.78172800000000109</v>
      </c>
      <c r="AO79" s="122">
        <f t="shared" si="6"/>
        <v>2.6227000000000888E-4</v>
      </c>
      <c r="AP79" s="122">
        <f t="shared" si="7"/>
        <v>5.8225000000000637E-4</v>
      </c>
      <c r="AQ79" s="88">
        <f t="shared" si="8"/>
        <v>-7.5026019999999971E-3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38.081968000000003</v>
      </c>
      <c r="Y80" s="190">
        <v>41.418402999999998</v>
      </c>
      <c r="Z80" s="190">
        <v>0.98943364</v>
      </c>
      <c r="AA80" s="62">
        <v>0.99252954000000004</v>
      </c>
      <c r="AB80" s="62">
        <v>1.8789353000000002E-2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2.1493780000000058</v>
      </c>
      <c r="AN80" s="122">
        <f t="shared" si="5"/>
        <v>1.2805660000000003</v>
      </c>
      <c r="AO80" s="122">
        <f t="shared" si="6"/>
        <v>4.1230000000003209E-4</v>
      </c>
      <c r="AP80" s="122">
        <f t="shared" si="7"/>
        <v>6.4110000000006107E-4</v>
      </c>
      <c r="AQ80" s="88">
        <f t="shared" si="8"/>
        <v>-8.5208249999999992E-3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42.503734000000001</v>
      </c>
      <c r="Y81" s="190">
        <v>45.623154999999997</v>
      </c>
      <c r="Z81" s="190">
        <v>0.99413717999999995</v>
      </c>
      <c r="AA81" s="62">
        <v>0.99646365999999997</v>
      </c>
      <c r="AB81" s="62">
        <v>8.0296619999999999E-3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3.818013999999998</v>
      </c>
      <c r="AN81" s="122">
        <f t="shared" si="5"/>
        <v>2.5144619999999946</v>
      </c>
      <c r="AO81" s="122">
        <f t="shared" si="6"/>
        <v>4.1777999999992321E-4</v>
      </c>
      <c r="AP81" s="122">
        <f t="shared" si="7"/>
        <v>6.5236000000001848E-4</v>
      </c>
      <c r="AQ81" s="88">
        <f t="shared" si="8"/>
        <v>-7.5669880000000002E-3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30.66677</v>
      </c>
      <c r="Y83" s="97">
        <v>34.487662</v>
      </c>
      <c r="Z83" s="97">
        <v>0.96785940999999998</v>
      </c>
      <c r="AA83" s="60">
        <v>0.97410326999999997</v>
      </c>
      <c r="AB83" s="60">
        <v>5.2565729999999998E-2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0.16213799999999878</v>
      </c>
      <c r="AN83" s="96">
        <f t="shared" si="5"/>
        <v>0.63262300000000238</v>
      </c>
      <c r="AO83" s="96">
        <f t="shared" si="6"/>
        <v>1.1918999999993574E-4</v>
      </c>
      <c r="AP83" s="96">
        <f t="shared" si="7"/>
        <v>7.3177999999995968E-4</v>
      </c>
      <c r="AQ83" s="121">
        <f t="shared" si="8"/>
        <v>-7.0085540000000002E-3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34.338557999999999</v>
      </c>
      <c r="Y84" s="190">
        <v>37.564849000000002</v>
      </c>
      <c r="Z84" s="190">
        <v>0.98026983999999995</v>
      </c>
      <c r="AA84" s="62">
        <v>0.98483432000000004</v>
      </c>
      <c r="AB84" s="62">
        <v>3.378664E-2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1.1129549999999995</v>
      </c>
      <c r="AN84" s="122">
        <f t="shared" si="5"/>
        <v>0.84153600000000495</v>
      </c>
      <c r="AO84" s="122">
        <f t="shared" si="6"/>
        <v>1.226699999999914E-4</v>
      </c>
      <c r="AP84" s="122">
        <f t="shared" si="7"/>
        <v>7.5879000000000918E-4</v>
      </c>
      <c r="AQ84" s="88">
        <f t="shared" si="8"/>
        <v>-5.5897940000000021E-3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38.511578</v>
      </c>
      <c r="Y85" s="190">
        <v>41.729661999999998</v>
      </c>
      <c r="Z85" s="190">
        <v>0.98922628999999995</v>
      </c>
      <c r="AA85" s="62">
        <v>0.99266063000000004</v>
      </c>
      <c r="AB85" s="62">
        <v>1.8671514E-2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2.2126140000000021</v>
      </c>
      <c r="AN85" s="122">
        <f t="shared" si="5"/>
        <v>1.311357000000001</v>
      </c>
      <c r="AO85" s="122">
        <f t="shared" si="6"/>
        <v>3.5348999999995634E-4</v>
      </c>
      <c r="AP85" s="122">
        <f t="shared" si="7"/>
        <v>4.6584999999998988E-4</v>
      </c>
      <c r="AQ85" s="88">
        <f t="shared" si="8"/>
        <v>-7.1200709999999987E-3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42.550986000000002</v>
      </c>
      <c r="Y86" s="190">
        <v>45.589351999999998</v>
      </c>
      <c r="Z86" s="190">
        <v>0.99391817000000005</v>
      </c>
      <c r="AA86" s="62">
        <v>0.99644204999999997</v>
      </c>
      <c r="AB86" s="62">
        <v>8.159543E-3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3.3716520000000045</v>
      </c>
      <c r="AN86" s="122">
        <f t="shared" si="5"/>
        <v>2.1171989999999994</v>
      </c>
      <c r="AO86" s="122">
        <f t="shared" si="6"/>
        <v>3.5259000000009699E-4</v>
      </c>
      <c r="AP86" s="122">
        <f t="shared" si="7"/>
        <v>6.7136000000000973E-4</v>
      </c>
      <c r="AQ86" s="88">
        <f t="shared" si="8"/>
        <v>-5.7673829999999992E-3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30.914221999999999</v>
      </c>
      <c r="Y88" s="97">
        <v>34.755057999999998</v>
      </c>
      <c r="Z88" s="97">
        <v>0.96812586</v>
      </c>
      <c r="AA88" s="60">
        <v>0.97421844999999996</v>
      </c>
      <c r="AB88" s="60">
        <v>5.0887010000000003E-2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0.40776899999999827</v>
      </c>
      <c r="AN88" s="96">
        <f t="shared" si="5"/>
        <v>0.68935899999999606</v>
      </c>
      <c r="AO88" s="96">
        <f t="shared" si="6"/>
        <v>-6.4300000000017121E-6</v>
      </c>
      <c r="AP88" s="96">
        <f t="shared" si="7"/>
        <v>7.4104999999990984E-4</v>
      </c>
      <c r="AQ88" s="121">
        <f t="shared" si="8"/>
        <v>-7.004026999999996E-3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34.409962999999998</v>
      </c>
      <c r="Y89" s="190">
        <v>37.668019000000001</v>
      </c>
      <c r="Z89" s="190">
        <v>0.98069751000000005</v>
      </c>
      <c r="AA89" s="62">
        <v>0.98534136999999999</v>
      </c>
      <c r="AB89" s="62">
        <v>3.2894600000000003E-2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0.9321379999999948</v>
      </c>
      <c r="AN89" s="122">
        <f t="shared" si="5"/>
        <v>0.72061500000000223</v>
      </c>
      <c r="AO89" s="122">
        <f t="shared" si="6"/>
        <v>7.6410000000026734E-5</v>
      </c>
      <c r="AP89" s="122">
        <f t="shared" si="7"/>
        <v>7.3098999999998693E-4</v>
      </c>
      <c r="AQ89" s="88">
        <f t="shared" si="8"/>
        <v>-4.8461039999999969E-3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38.652073000000001</v>
      </c>
      <c r="Y90" s="190">
        <v>41.900246000000003</v>
      </c>
      <c r="Z90" s="190">
        <v>0.98941535000000003</v>
      </c>
      <c r="AA90" s="62">
        <v>0.99281182000000001</v>
      </c>
      <c r="AB90" s="62">
        <v>1.8373448000000001E-2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1.9030190000000005</v>
      </c>
      <c r="AN90" s="122">
        <f t="shared" si="5"/>
        <v>1.1737450000000038</v>
      </c>
      <c r="AO90" s="122">
        <f t="shared" si="6"/>
        <v>3.371300000000188E-4</v>
      </c>
      <c r="AP90" s="122">
        <f t="shared" si="7"/>
        <v>6.220700000000301E-4</v>
      </c>
      <c r="AQ90" s="88">
        <f t="shared" si="8"/>
        <v>-5.4118880000000001E-3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42.770139</v>
      </c>
      <c r="Y91" s="190">
        <v>45.817338999999997</v>
      </c>
      <c r="Z91" s="190">
        <v>0.99410518000000003</v>
      </c>
      <c r="AA91" s="62">
        <v>0.99653641999999998</v>
      </c>
      <c r="AB91" s="62">
        <v>7.8028346999999996E-3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3.0968099999999978</v>
      </c>
      <c r="AN91" s="122">
        <f t="shared" si="5"/>
        <v>1.9657939999999954</v>
      </c>
      <c r="AO91" s="122">
        <f t="shared" si="6"/>
        <v>3.3184000000008318E-4</v>
      </c>
      <c r="AP91" s="122">
        <f t="shared" si="7"/>
        <v>6.7894000000001675E-4</v>
      </c>
      <c r="AQ91" s="88">
        <f t="shared" si="8"/>
        <v>-4.868022300000001E-3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31.212447000000001</v>
      </c>
      <c r="Y93" s="97">
        <v>34.976844999999997</v>
      </c>
      <c r="Z93" s="97">
        <v>0.96828780999999997</v>
      </c>
      <c r="AA93" s="60">
        <v>0.97487805000000005</v>
      </c>
      <c r="AB93" s="60">
        <v>5.2624921999999998E-2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0.5201960000000021</v>
      </c>
      <c r="AN93" s="96">
        <f t="shared" si="5"/>
        <v>0.6001539999999963</v>
      </c>
      <c r="AO93" s="96">
        <f t="shared" si="6"/>
        <v>-1.3752000000000209E-4</v>
      </c>
      <c r="AP93" s="96">
        <f t="shared" si="7"/>
        <v>4.3282000000000043E-4</v>
      </c>
      <c r="AQ93" s="121">
        <f t="shared" si="8"/>
        <v>-6.4501650000000008E-3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34.527113</v>
      </c>
      <c r="Y94" s="190">
        <v>37.822538999999999</v>
      </c>
      <c r="Z94" s="190">
        <v>0.98083920999999996</v>
      </c>
      <c r="AA94" s="62">
        <v>0.98565221999999997</v>
      </c>
      <c r="AB94" s="62">
        <v>3.3565155999999999E-2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1.0043500000000023</v>
      </c>
      <c r="AN94" s="122">
        <f t="shared" si="5"/>
        <v>0.65389899999999557</v>
      </c>
      <c r="AO94" s="122">
        <f t="shared" si="6"/>
        <v>1.3311999999998658E-4</v>
      </c>
      <c r="AP94" s="122">
        <f t="shared" si="7"/>
        <v>5.4690999999995604E-4</v>
      </c>
      <c r="AQ94" s="88">
        <f t="shared" si="8"/>
        <v>-4.7178120000000018E-3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38.130102000000001</v>
      </c>
      <c r="Y95" s="190">
        <v>41.56729</v>
      </c>
      <c r="Z95" s="190">
        <v>0.98952459999999998</v>
      </c>
      <c r="AA95" s="62">
        <v>0.99282616999999995</v>
      </c>
      <c r="AB95" s="62">
        <v>1.9596472E-2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1.3866999999999976</v>
      </c>
      <c r="AN95" s="122">
        <f t="shared" si="5"/>
        <v>0.89683699999999789</v>
      </c>
      <c r="AO95" s="122">
        <f t="shared" si="6"/>
        <v>2.967299999999673E-4</v>
      </c>
      <c r="AP95" s="122">
        <f t="shared" si="7"/>
        <v>4.6617999999998272E-4</v>
      </c>
      <c r="AQ95" s="88">
        <f t="shared" si="8"/>
        <v>-4.7897369999999988E-3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42.751061</v>
      </c>
      <c r="Y96" s="190">
        <v>45.833322000000003</v>
      </c>
      <c r="Z96" s="190">
        <v>0.99418455999999999</v>
      </c>
      <c r="AA96" s="62">
        <v>0.99655735999999995</v>
      </c>
      <c r="AB96" s="62">
        <v>7.9524404999999996E-3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2.7653529999999975</v>
      </c>
      <c r="AN96" s="122">
        <f t="shared" si="5"/>
        <v>1.717127000000005</v>
      </c>
      <c r="AO96" s="122">
        <f t="shared" si="6"/>
        <v>3.0686000000001989E-4</v>
      </c>
      <c r="AP96" s="122">
        <f t="shared" si="7"/>
        <v>6.2073999999989748E-4</v>
      </c>
      <c r="AQ96" s="88">
        <f t="shared" si="8"/>
        <v>-4.3349925000000008E-3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31.315265</v>
      </c>
      <c r="Y98" s="97">
        <v>35.359921</v>
      </c>
      <c r="Z98" s="97">
        <v>0.96758288000000003</v>
      </c>
      <c r="AA98" s="60">
        <v>0.97512379000000005</v>
      </c>
      <c r="AB98" s="60">
        <v>5.4857370000000003E-2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0.1151680000000006</v>
      </c>
      <c r="AN98" s="96">
        <f t="shared" si="15"/>
        <v>0.32719600000000071</v>
      </c>
      <c r="AO98" s="96">
        <f t="shared" si="16"/>
        <v>-1.0511999999995858E-4</v>
      </c>
      <c r="AP98" s="96">
        <f t="shared" si="17"/>
        <v>1.6582000000009423E-4</v>
      </c>
      <c r="AQ98" s="121">
        <f t="shared" si="18"/>
        <v>-1.5282400000000002E-3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34.657192000000002</v>
      </c>
      <c r="Y99" s="190">
        <v>38.113044000000002</v>
      </c>
      <c r="Z99" s="190">
        <v>0.98057521000000003</v>
      </c>
      <c r="AA99" s="62">
        <v>0.98573926000000001</v>
      </c>
      <c r="AB99" s="62">
        <v>3.4478765000000001E-2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0.43046199999999857</v>
      </c>
      <c r="AN99" s="122">
        <f t="shared" si="15"/>
        <v>0.29661800000000227</v>
      </c>
      <c r="AO99" s="122">
        <f t="shared" si="16"/>
        <v>1.0125999999999191E-4</v>
      </c>
      <c r="AP99" s="122">
        <f t="shared" si="17"/>
        <v>3.8415000000002753E-4</v>
      </c>
      <c r="AQ99" s="88">
        <f t="shared" si="18"/>
        <v>-1.0932199999999989E-3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38.434485000000002</v>
      </c>
      <c r="Y100" s="190">
        <v>41.734434999999998</v>
      </c>
      <c r="Z100" s="190">
        <v>0.98952393000000005</v>
      </c>
      <c r="AA100" s="62">
        <v>0.99279631000000002</v>
      </c>
      <c r="AB100" s="62">
        <v>2.0102760000000001E-2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1.1172310000000039</v>
      </c>
      <c r="AN100" s="122">
        <f t="shared" si="15"/>
        <v>0.6919550000000001</v>
      </c>
      <c r="AO100" s="122">
        <f t="shared" si="16"/>
        <v>2.2363000000003019E-4</v>
      </c>
      <c r="AP100" s="122">
        <f t="shared" si="17"/>
        <v>3.2092000000005783E-4</v>
      </c>
      <c r="AQ100" s="88">
        <f t="shared" si="18"/>
        <v>-2.7164899999999985E-3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42.820698999999998</v>
      </c>
      <c r="Y101" s="190">
        <v>45.914898999999998</v>
      </c>
      <c r="Z101" s="190">
        <v>0.99424776000000004</v>
      </c>
      <c r="AA101" s="62">
        <v>0.99656836000000004</v>
      </c>
      <c r="AB101" s="62">
        <v>8.4257819999999997E-3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2.0570619999999948</v>
      </c>
      <c r="AN101" s="122">
        <f t="shared" si="15"/>
        <v>1.2850369999999955</v>
      </c>
      <c r="AO101" s="122">
        <f t="shared" si="16"/>
        <v>2.3925000000002417E-4</v>
      </c>
      <c r="AP101" s="122">
        <f t="shared" si="17"/>
        <v>5.0391000000005182E-4</v>
      </c>
      <c r="AQ101" s="88">
        <f t="shared" si="18"/>
        <v>-3.0747420000000001E-3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31.210041</v>
      </c>
      <c r="Y103" s="97">
        <v>35.443117999999998</v>
      </c>
      <c r="Z103" s="97">
        <v>0.96853334000000002</v>
      </c>
      <c r="AA103" s="60">
        <v>0.97736568999999995</v>
      </c>
      <c r="AB103" s="60">
        <v>5.9409150000000001E-2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0.31836700000000207</v>
      </c>
      <c r="AN103" s="96">
        <f t="shared" si="15"/>
        <v>1.1562720000000013</v>
      </c>
      <c r="AO103" s="96">
        <f t="shared" si="16"/>
        <v>-2.3220000000001573E-4</v>
      </c>
      <c r="AP103" s="96">
        <f t="shared" si="17"/>
        <v>1.8769999999990183E-4</v>
      </c>
      <c r="AQ103" s="121">
        <f t="shared" si="18"/>
        <v>-1.2191940000000005E-2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34.634518999999997</v>
      </c>
      <c r="Y104" s="190">
        <v>38.320943</v>
      </c>
      <c r="Z104" s="190">
        <v>0.98122392999999997</v>
      </c>
      <c r="AA104" s="62">
        <v>0.98681962999999995</v>
      </c>
      <c r="AB104" s="62">
        <v>3.7042896999999998E-2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1.1206309999999959</v>
      </c>
      <c r="AN104" s="122">
        <f t="shared" si="15"/>
        <v>1.3887640000000019</v>
      </c>
      <c r="AO104" s="122">
        <f t="shared" si="16"/>
        <v>1.8951999999994307E-4</v>
      </c>
      <c r="AP104" s="122">
        <f t="shared" si="17"/>
        <v>3.6438999999999222E-4</v>
      </c>
      <c r="AQ104" s="88">
        <f t="shared" si="18"/>
        <v>-1.1402738000000003E-2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39.009844000000001</v>
      </c>
      <c r="Y105" s="190">
        <v>42.152481000000002</v>
      </c>
      <c r="Z105" s="190">
        <v>0.99010505999999998</v>
      </c>
      <c r="AA105" s="62">
        <v>0.99377921000000002</v>
      </c>
      <c r="AB105" s="62">
        <v>1.9774997999999998E-2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2.9808549999999983</v>
      </c>
      <c r="AN105" s="122">
        <f t="shared" si="15"/>
        <v>1.9634190000000018</v>
      </c>
      <c r="AO105" s="122">
        <f t="shared" si="16"/>
        <v>3.5214999999999552E-4</v>
      </c>
      <c r="AP105" s="122">
        <f t="shared" si="17"/>
        <v>6.5946999999999534E-4</v>
      </c>
      <c r="AQ105" s="88">
        <f t="shared" si="18"/>
        <v>-1.1241478000000003E-2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43.095526</v>
      </c>
      <c r="Y106" s="190">
        <v>45.987378</v>
      </c>
      <c r="Z106" s="190">
        <v>0.99416406999999996</v>
      </c>
      <c r="AA106" s="62">
        <v>0.99679832999999995</v>
      </c>
      <c r="AB106" s="62">
        <v>9.2782469999999999E-3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4.007007999999999</v>
      </c>
      <c r="AN106" s="122">
        <f t="shared" si="15"/>
        <v>2.5555079999999961</v>
      </c>
      <c r="AO106" s="122">
        <f t="shared" si="16"/>
        <v>3.1700999999995094E-4</v>
      </c>
      <c r="AP106" s="122">
        <f t="shared" si="17"/>
        <v>5.7081999999997191E-4</v>
      </c>
      <c r="AQ106" s="88">
        <f t="shared" si="18"/>
        <v>-7.4698090000000009E-3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>
        <v>31.048203999999998</v>
      </c>
      <c r="Y108" s="97">
        <v>35.391444999999997</v>
      </c>
      <c r="Z108" s="97">
        <v>0.97042315999999995</v>
      </c>
      <c r="AA108" s="60">
        <v>0.97822876000000003</v>
      </c>
      <c r="AB108" s="60">
        <v>5.5907782000000003E-2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>
        <f t="shared" si="14"/>
        <v>-0.24198200000000014</v>
      </c>
      <c r="AN108" s="96">
        <f t="shared" si="15"/>
        <v>0.58232599999999479</v>
      </c>
      <c r="AO108" s="96">
        <f t="shared" si="16"/>
        <v>-2.7136000000005378E-4</v>
      </c>
      <c r="AP108" s="96">
        <f t="shared" si="17"/>
        <v>-5.2139999999978315E-5</v>
      </c>
      <c r="AQ108" s="121">
        <f t="shared" si="18"/>
        <v>-7.0349980000000006E-3</v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>
        <v>34.234203999999998</v>
      </c>
      <c r="Y109" s="190">
        <v>38.027813000000002</v>
      </c>
      <c r="Z109" s="190">
        <v>0.98173728999999998</v>
      </c>
      <c r="AA109" s="62">
        <v>0.98698781000000002</v>
      </c>
      <c r="AB109" s="62">
        <v>3.6112720000000001E-2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>
        <f t="shared" si="14"/>
        <v>0.26146899999999818</v>
      </c>
      <c r="AN109" s="122">
        <f t="shared" si="15"/>
        <v>0.72729000000000354</v>
      </c>
      <c r="AO109" s="122">
        <f t="shared" si="16"/>
        <v>2.0063000000003495E-4</v>
      </c>
      <c r="AP109" s="122">
        <f t="shared" si="17"/>
        <v>3.2057000000007552E-4</v>
      </c>
      <c r="AQ109" s="88">
        <f t="shared" si="18"/>
        <v>-7.196290000000001E-3</v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>
        <v>38.965682000000001</v>
      </c>
      <c r="Y110" s="190">
        <v>42.165269000000002</v>
      </c>
      <c r="Z110" s="190">
        <v>0.99003085000000002</v>
      </c>
      <c r="AA110" s="62">
        <v>0.99364293000000004</v>
      </c>
      <c r="AB110" s="62">
        <v>2.0220364000000001E-2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>
        <f t="shared" si="14"/>
        <v>1.6162559999999999</v>
      </c>
      <c r="AN110" s="122">
        <f t="shared" si="15"/>
        <v>1.0451580000000007</v>
      </c>
      <c r="AO110" s="122">
        <f t="shared" si="16"/>
        <v>3.4399000000007174E-4</v>
      </c>
      <c r="AP110" s="122">
        <f t="shared" si="17"/>
        <v>4.9374000000002027E-4</v>
      </c>
      <c r="AQ110" s="88">
        <f t="shared" si="18"/>
        <v>-6.1912559999999991E-3</v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>
        <v>43.095739000000002</v>
      </c>
      <c r="Y111" s="190">
        <v>45.962603000000001</v>
      </c>
      <c r="Z111" s="190">
        <v>0.99416614999999997</v>
      </c>
      <c r="AA111" s="62">
        <v>0.99676189999999998</v>
      </c>
      <c r="AB111" s="62">
        <v>9.6769930000000001E-3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>
        <f t="shared" si="14"/>
        <v>3.8917490000000043</v>
      </c>
      <c r="AN111" s="122">
        <f t="shared" si="15"/>
        <v>2.3227630000000019</v>
      </c>
      <c r="AO111" s="122">
        <f t="shared" si="16"/>
        <v>3.2310000000002059E-4</v>
      </c>
      <c r="AP111" s="122">
        <f t="shared" si="17"/>
        <v>6.4986999999994133E-4</v>
      </c>
      <c r="AQ111" s="88">
        <f t="shared" si="18"/>
        <v>-8.9440880000000011E-3</v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>
        <v>31.804763999999999</v>
      </c>
      <c r="Y113" s="97">
        <v>35.467576999999999</v>
      </c>
      <c r="Z113" s="97">
        <v>0.97149286000000001</v>
      </c>
      <c r="AA113" s="60">
        <v>0.97897213000000005</v>
      </c>
      <c r="AB113" s="60">
        <v>5.565606E-2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>
        <f t="shared" si="14"/>
        <v>0.49738499999999775</v>
      </c>
      <c r="AN113" s="96">
        <f t="shared" si="15"/>
        <v>0.59118799999999538</v>
      </c>
      <c r="AO113" s="96">
        <f t="shared" si="16"/>
        <v>-2.8330000000020839E-5</v>
      </c>
      <c r="AP113" s="96">
        <f t="shared" si="17"/>
        <v>6.5420000000093737E-5</v>
      </c>
      <c r="AQ113" s="121">
        <f t="shared" si="18"/>
        <v>-1.0006010000000003E-2</v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>
        <v>34.587201999999998</v>
      </c>
      <c r="Y114" s="190">
        <v>37.931924000000002</v>
      </c>
      <c r="Z114" s="190">
        <v>0.98210333999999999</v>
      </c>
      <c r="AA114" s="62">
        <v>0.98707246000000004</v>
      </c>
      <c r="AB114" s="62">
        <v>3.6950129999999998E-2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>
        <f t="shared" si="14"/>
        <v>1.0764129999999952</v>
      </c>
      <c r="AN114" s="122">
        <f t="shared" si="15"/>
        <v>0.70125200000000376</v>
      </c>
      <c r="AO114" s="122">
        <f t="shared" si="16"/>
        <v>2.2058000000002576E-4</v>
      </c>
      <c r="AP114" s="122">
        <f t="shared" si="17"/>
        <v>5.1525000000007815E-4</v>
      </c>
      <c r="AQ114" s="88">
        <f t="shared" si="18"/>
        <v>-9.6837500000000049E-3</v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>
        <v>38.690488999999999</v>
      </c>
      <c r="Y115" s="190">
        <v>41.900939999999999</v>
      </c>
      <c r="Z115" s="190">
        <v>0.98995434999999998</v>
      </c>
      <c r="AA115" s="62">
        <v>0.99353796000000005</v>
      </c>
      <c r="AB115" s="62">
        <v>2.1076925E-2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>
        <f t="shared" si="14"/>
        <v>2.1480719999999991</v>
      </c>
      <c r="AN115" s="122">
        <f t="shared" si="15"/>
        <v>1.2248669999999962</v>
      </c>
      <c r="AO115" s="122">
        <f t="shared" si="16"/>
        <v>3.1764999999994714E-4</v>
      </c>
      <c r="AP115" s="122">
        <f t="shared" si="17"/>
        <v>3.641400000000683E-4</v>
      </c>
      <c r="AQ115" s="88">
        <f t="shared" si="18"/>
        <v>-9.7328650000000003E-3</v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>
        <v>43.188777000000002</v>
      </c>
      <c r="Y116" s="190">
        <v>46.168635000000002</v>
      </c>
      <c r="Z116" s="190">
        <v>0.99419292999999997</v>
      </c>
      <c r="AA116" s="62">
        <v>0.99687165</v>
      </c>
      <c r="AB116" s="62">
        <v>9.1007640000000008E-3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>
        <f t="shared" si="14"/>
        <v>3.6344120000000046</v>
      </c>
      <c r="AN116" s="122">
        <f t="shared" si="15"/>
        <v>2.319143000000004</v>
      </c>
      <c r="AO116" s="122">
        <f t="shared" si="16"/>
        <v>3.1503999999993315E-4</v>
      </c>
      <c r="AP116" s="122">
        <f t="shared" si="17"/>
        <v>5.9929000000003008E-4</v>
      </c>
      <c r="AQ116" s="88">
        <f t="shared" si="18"/>
        <v>-7.4681719999999986E-3</v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>
        <v>32.325401999999997</v>
      </c>
      <c r="Y118" s="97">
        <v>36.098432000000003</v>
      </c>
      <c r="Z118" s="97">
        <v>0.97232826000000006</v>
      </c>
      <c r="AA118" s="60">
        <v>0.98032905999999997</v>
      </c>
      <c r="AB118" s="60">
        <v>5.1934003999999999E-2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>
        <f t="shared" si="14"/>
        <v>0.34830899999999687</v>
      </c>
      <c r="AN118" s="96">
        <f t="shared" si="15"/>
        <v>0.71872499999999917</v>
      </c>
      <c r="AO118" s="96">
        <f t="shared" si="16"/>
        <v>1.8450000000003186E-5</v>
      </c>
      <c r="AP118" s="96">
        <f t="shared" si="17"/>
        <v>3.4102999999996442E-4</v>
      </c>
      <c r="AQ118" s="121">
        <f t="shared" si="18"/>
        <v>-6.6197590000000028E-3</v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>
        <v>35.103935999999997</v>
      </c>
      <c r="Y119" s="190">
        <v>38.482840000000003</v>
      </c>
      <c r="Z119" s="190">
        <v>0.98220264000000002</v>
      </c>
      <c r="AA119" s="62">
        <v>0.98766096000000003</v>
      </c>
      <c r="AB119" s="62">
        <v>3.4659304000000002E-2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>
        <f t="shared" si="14"/>
        <v>1.1008229999999983</v>
      </c>
      <c r="AN119" s="122">
        <f t="shared" si="15"/>
        <v>0.89878700000000578</v>
      </c>
      <c r="AO119" s="122">
        <f t="shared" si="16"/>
        <v>9.4730000000042835E-5</v>
      </c>
      <c r="AP119" s="122">
        <f t="shared" si="17"/>
        <v>6.6524000000001138E-4</v>
      </c>
      <c r="AQ119" s="88">
        <f t="shared" si="18"/>
        <v>-6.6934359999999971E-3</v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>
        <v>38.980812999999998</v>
      </c>
      <c r="Y120" s="190">
        <v>42.148847000000004</v>
      </c>
      <c r="Z120" s="190">
        <v>0.98974985999999998</v>
      </c>
      <c r="AA120" s="62">
        <v>0.99363407999999998</v>
      </c>
      <c r="AB120" s="62">
        <v>2.0227342999999998E-2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>
        <f t="shared" si="14"/>
        <v>2.0872019999999978</v>
      </c>
      <c r="AN120" s="122">
        <f t="shared" si="15"/>
        <v>1.2807000000000031</v>
      </c>
      <c r="AO120" s="122">
        <f t="shared" si="16"/>
        <v>2.6835999999996751E-4</v>
      </c>
      <c r="AP120" s="122">
        <f t="shared" si="17"/>
        <v>2.8496000000000077E-4</v>
      </c>
      <c r="AQ120" s="88">
        <f t="shared" si="18"/>
        <v>-6.959497000000002E-3</v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>
        <v>43.217258999999999</v>
      </c>
      <c r="Y121" s="190">
        <v>46.164175</v>
      </c>
      <c r="Z121" s="190">
        <v>0.99404954000000001</v>
      </c>
      <c r="AA121" s="62">
        <v>0.99686627999999999</v>
      </c>
      <c r="AB121" s="62">
        <v>9.2110160000000007E-3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>
        <f t="shared" si="14"/>
        <v>2.9888899999999978</v>
      </c>
      <c r="AN121" s="122">
        <f t="shared" si="15"/>
        <v>1.8461220000000012</v>
      </c>
      <c r="AO121" s="122">
        <f t="shared" si="16"/>
        <v>2.8811000000006359E-4</v>
      </c>
      <c r="AP121" s="122">
        <f t="shared" si="17"/>
        <v>6.132199999999699E-4</v>
      </c>
      <c r="AQ121" s="88">
        <f t="shared" si="18"/>
        <v>-4.830774999999999E-3</v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>
        <v>32.428597000000003</v>
      </c>
      <c r="Y123" s="97">
        <v>36.279505</v>
      </c>
      <c r="Z123" s="97">
        <v>0.97247207999999996</v>
      </c>
      <c r="AA123" s="60">
        <v>0.97966633999999997</v>
      </c>
      <c r="AB123" s="60">
        <v>5.2738365000000002E-2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>
        <f t="shared" si="14"/>
        <v>0.36711800000000494</v>
      </c>
      <c r="AN123" s="96">
        <f t="shared" si="15"/>
        <v>0.59280900000000258</v>
      </c>
      <c r="AO123" s="96">
        <f t="shared" si="16"/>
        <v>-6.2730000000010833E-5</v>
      </c>
      <c r="AP123" s="96">
        <f t="shared" si="17"/>
        <v>-1.9760000000035305E-5</v>
      </c>
      <c r="AQ123" s="121">
        <f t="shared" si="18"/>
        <v>-4.3512689999999979E-3</v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>
        <v>35.001728999999997</v>
      </c>
      <c r="Y124" s="190">
        <v>38.434877</v>
      </c>
      <c r="Z124" s="190">
        <v>0.98233216000000001</v>
      </c>
      <c r="AA124" s="62">
        <v>0.98743422000000003</v>
      </c>
      <c r="AB124" s="62">
        <v>3.5108246000000003E-2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>
        <f t="shared" si="14"/>
        <v>0.72974199999999456</v>
      </c>
      <c r="AN124" s="122">
        <f t="shared" si="15"/>
        <v>0.71184399999999926</v>
      </c>
      <c r="AO124" s="122">
        <f t="shared" si="16"/>
        <v>7.1159999999959034E-5</v>
      </c>
      <c r="AP124" s="122">
        <f t="shared" si="17"/>
        <v>3.0847000000000513E-4</v>
      </c>
      <c r="AQ124" s="88">
        <f t="shared" si="18"/>
        <v>-5.0351769999999949E-3</v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>
        <v>39.086075000000001</v>
      </c>
      <c r="Y125" s="190">
        <v>42.229674000000003</v>
      </c>
      <c r="Z125" s="190">
        <v>0.98988398</v>
      </c>
      <c r="AA125" s="62">
        <v>0.99361524000000001</v>
      </c>
      <c r="AB125" s="62">
        <v>2.0268390000000001E-2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>
        <f t="shared" si="14"/>
        <v>1.4791280000000029</v>
      </c>
      <c r="AN125" s="122">
        <f t="shared" si="15"/>
        <v>0.92303400000000124</v>
      </c>
      <c r="AO125" s="122">
        <f t="shared" si="16"/>
        <v>2.157699999999485E-4</v>
      </c>
      <c r="AP125" s="122">
        <f t="shared" si="17"/>
        <v>2.4906000000002315E-4</v>
      </c>
      <c r="AQ125" s="88">
        <f t="shared" si="18"/>
        <v>-4.330726E-3</v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>
        <v>43.304952</v>
      </c>
      <c r="Y126" s="190">
        <v>46.223025</v>
      </c>
      <c r="Z126" s="190">
        <v>0.99413309999999999</v>
      </c>
      <c r="AA126" s="62">
        <v>0.99685051000000002</v>
      </c>
      <c r="AB126" s="62">
        <v>9.1747140000000005E-3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>
        <f t="shared" si="14"/>
        <v>2.2744550000000032</v>
      </c>
      <c r="AN126" s="122">
        <f t="shared" si="15"/>
        <v>1.3658999999999963</v>
      </c>
      <c r="AO126" s="122">
        <f t="shared" si="16"/>
        <v>2.3189000000001236E-4</v>
      </c>
      <c r="AP126" s="122">
        <f t="shared" si="17"/>
        <v>4.4776000000001925E-4</v>
      </c>
      <c r="AQ126" s="88">
        <f t="shared" si="18"/>
        <v>-3.7012659999999999E-3</v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>
        <v>32.356985000000002</v>
      </c>
      <c r="Y128" s="97">
        <v>36.218223999999999</v>
      </c>
      <c r="Z128" s="97">
        <v>0.97293003</v>
      </c>
      <c r="AA128" s="60">
        <v>0.97954848000000005</v>
      </c>
      <c r="AB128" s="60">
        <v>5.4157549999999999E-2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>
        <f t="shared" si="14"/>
        <v>0.32542399999999816</v>
      </c>
      <c r="AN128" s="96">
        <f t="shared" si="15"/>
        <v>0.36562899999999843</v>
      </c>
      <c r="AO128" s="96">
        <f t="shared" si="16"/>
        <v>-1.1519000000004276E-4</v>
      </c>
      <c r="AP128" s="96">
        <f t="shared" si="17"/>
        <v>-3.6129999999912066E-5</v>
      </c>
      <c r="AQ128" s="121">
        <f t="shared" si="18"/>
        <v>-3.072543000000004E-3</v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>
        <v>34.776420000000002</v>
      </c>
      <c r="Y129" s="190">
        <v>38.229875</v>
      </c>
      <c r="Z129" s="190">
        <v>0.98257989999999995</v>
      </c>
      <c r="AA129" s="62">
        <v>0.98722233999999998</v>
      </c>
      <c r="AB129" s="62">
        <v>3.6594763000000002E-2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>
        <f t="shared" si="14"/>
        <v>0.67671599999999899</v>
      </c>
      <c r="AN129" s="122">
        <f t="shared" si="15"/>
        <v>0.39531800000000317</v>
      </c>
      <c r="AO129" s="122">
        <f t="shared" si="16"/>
        <v>5.0229999999928943E-5</v>
      </c>
      <c r="AP129" s="122">
        <f t="shared" si="17"/>
        <v>2.9842000000002145E-4</v>
      </c>
      <c r="AQ129" s="88">
        <f t="shared" si="18"/>
        <v>-2.9685949999999975E-3</v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>
        <v>38.546280000000003</v>
      </c>
      <c r="Y130" s="190">
        <v>41.819018999999997</v>
      </c>
      <c r="Z130" s="190">
        <v>0.99011258000000002</v>
      </c>
      <c r="AA130" s="62">
        <v>0.99357571</v>
      </c>
      <c r="AB130" s="62">
        <v>2.0471787000000002E-2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>
        <f t="shared" si="14"/>
        <v>1.0832620000000048</v>
      </c>
      <c r="AN130" s="122">
        <f t="shared" si="15"/>
        <v>0.68867599999999385</v>
      </c>
      <c r="AO130" s="122">
        <f t="shared" si="16"/>
        <v>1.89390000000067E-4</v>
      </c>
      <c r="AP130" s="122">
        <f t="shared" si="17"/>
        <v>3.2436999999996274E-4</v>
      </c>
      <c r="AQ130" s="88">
        <f t="shared" si="18"/>
        <v>-2.9909199999999976E-3</v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>
        <v>43.242446999999999</v>
      </c>
      <c r="Y131" s="190">
        <v>46.145538000000002</v>
      </c>
      <c r="Z131" s="190">
        <v>0.99425226</v>
      </c>
      <c r="AA131" s="62">
        <v>0.99684892000000003</v>
      </c>
      <c r="AB131" s="62">
        <v>9.0964059999999996E-3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>
        <f t="shared" si="14"/>
        <v>1.9330789999999993</v>
      </c>
      <c r="AN131" s="122">
        <f t="shared" si="15"/>
        <v>1.1457109999999986</v>
      </c>
      <c r="AO131" s="122">
        <f t="shared" si="16"/>
        <v>2.0474000000003656E-4</v>
      </c>
      <c r="AP131" s="122">
        <f t="shared" si="17"/>
        <v>4.6217000000003949E-4</v>
      </c>
      <c r="AQ131" s="88">
        <f t="shared" si="18"/>
        <v>-2.8328510000000008E-3</v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>
        <v>32.205325000000002</v>
      </c>
      <c r="Y133" s="97">
        <v>36.443376000000001</v>
      </c>
      <c r="Z133" s="97">
        <v>0.97182108</v>
      </c>
      <c r="AA133" s="60">
        <v>0.97897193999999998</v>
      </c>
      <c r="AB133" s="60">
        <v>5.7858979999999997E-2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>
        <f t="shared" si="14"/>
        <v>8.05080000000018E-2</v>
      </c>
      <c r="AN133" s="96">
        <f t="shared" si="15"/>
        <v>0.28730300000000142</v>
      </c>
      <c r="AO133" s="96">
        <f t="shared" si="16"/>
        <v>-7.5929999999946318E-5</v>
      </c>
      <c r="AP133" s="96">
        <f t="shared" si="17"/>
        <v>-6.6110000000008107E-5</v>
      </c>
      <c r="AQ133" s="121">
        <f t="shared" si="18"/>
        <v>-2.7159000000000211E-4</v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>
        <v>34.834867000000003</v>
      </c>
      <c r="Y134" s="190">
        <v>38.397171</v>
      </c>
      <c r="Z134" s="190">
        <v>0.98227129000000002</v>
      </c>
      <c r="AA134" s="62">
        <v>0.98724164000000003</v>
      </c>
      <c r="AB134" s="62">
        <v>3.8122468E-2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>
        <f t="shared" si="14"/>
        <v>0.39882500000000221</v>
      </c>
      <c r="AN134" s="122">
        <f t="shared" si="15"/>
        <v>0.15555899999999667</v>
      </c>
      <c r="AO134" s="122">
        <f t="shared" si="16"/>
        <v>-5.2990000000030513E-5</v>
      </c>
      <c r="AP134" s="122">
        <f t="shared" si="17"/>
        <v>4.5486999999999611E-4</v>
      </c>
      <c r="AQ134" s="88">
        <f t="shared" si="18"/>
        <v>-2.6664900000000075E-4</v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>
        <v>38.615254</v>
      </c>
      <c r="Y135" s="190">
        <v>41.839982999999997</v>
      </c>
      <c r="Z135" s="190">
        <v>0.99026221999999997</v>
      </c>
      <c r="AA135" s="62">
        <v>0.99349588</v>
      </c>
      <c r="AB135" s="62">
        <v>2.1352157E-2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>
        <f t="shared" si="14"/>
        <v>0.83120600000000167</v>
      </c>
      <c r="AN135" s="122">
        <f t="shared" si="15"/>
        <v>0.53994699999999796</v>
      </c>
      <c r="AO135" s="122">
        <f t="shared" si="16"/>
        <v>1.5288000000002189E-4</v>
      </c>
      <c r="AP135" s="122">
        <f t="shared" si="17"/>
        <v>1.3940000000001174E-4</v>
      </c>
      <c r="AQ135" s="88">
        <f t="shared" si="18"/>
        <v>-1.6569220000000016E-3</v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>
        <v>43.295762000000003</v>
      </c>
      <c r="Y136" s="190">
        <v>46.152093000000001</v>
      </c>
      <c r="Z136" s="190">
        <v>0.99428362000000003</v>
      </c>
      <c r="AA136" s="62">
        <v>0.99679044999999999</v>
      </c>
      <c r="AB136" s="62">
        <v>9.7676859999999994E-3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>
        <f t="shared" si="14"/>
        <v>1.5913600000000017</v>
      </c>
      <c r="AN136" s="122">
        <f t="shared" si="15"/>
        <v>0.96024799999999999</v>
      </c>
      <c r="AO136" s="122">
        <f t="shared" si="16"/>
        <v>1.5936999999999202E-4</v>
      </c>
      <c r="AP136" s="122">
        <f t="shared" si="17"/>
        <v>3.8283999999999541E-4</v>
      </c>
      <c r="AQ136" s="88">
        <f t="shared" si="18"/>
        <v>-2.1713720000000013E-3</v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27.471914999999999</v>
      </c>
      <c r="Y641" s="136">
        <f t="shared" si="60"/>
        <v>31.123391999999999</v>
      </c>
      <c r="Z641" s="136">
        <f t="shared" si="60"/>
        <v>0.95889192000000001</v>
      </c>
      <c r="AA641" s="136">
        <f t="shared" si="60"/>
        <v>0.96553365000000002</v>
      </c>
      <c r="AB641" s="136">
        <f t="shared" si="60"/>
        <v>5.0887010000000003E-2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31.476799</v>
      </c>
      <c r="Y642" s="18">
        <f t="shared" si="60"/>
        <v>34.737585000000003</v>
      </c>
      <c r="Z642" s="18">
        <f t="shared" si="60"/>
        <v>0.97761569999999998</v>
      </c>
      <c r="AA642" s="18">
        <f t="shared" si="60"/>
        <v>0.98126113000000004</v>
      </c>
      <c r="AB642" s="18">
        <f t="shared" si="60"/>
        <v>3.2894600000000003E-2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36.248680999999998</v>
      </c>
      <c r="Y643" s="18">
        <f t="shared" si="60"/>
        <v>39.658971999999999</v>
      </c>
      <c r="Z643" s="18">
        <f t="shared" si="60"/>
        <v>0.98856049999999995</v>
      </c>
      <c r="AA643" s="18">
        <f t="shared" si="60"/>
        <v>0.99189819000000001</v>
      </c>
      <c r="AB643" s="18">
        <f t="shared" si="60"/>
        <v>1.7707576999999999E-2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41.552092000000002</v>
      </c>
      <c r="Y644" s="18">
        <f t="shared" si="60"/>
        <v>44.605401000000001</v>
      </c>
      <c r="Z644" s="18">
        <f t="shared" si="60"/>
        <v>0.99386109</v>
      </c>
      <c r="AA644" s="18">
        <f t="shared" si="60"/>
        <v>0.99621444000000003</v>
      </c>
      <c r="AB644" s="18">
        <f t="shared" si="60"/>
        <v>7.8028346999999996E-3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32.428597000000003</v>
      </c>
      <c r="Y646" s="136">
        <f t="shared" si="62"/>
        <v>36.443376000000001</v>
      </c>
      <c r="Z646" s="136">
        <f t="shared" si="62"/>
        <v>0.97293003</v>
      </c>
      <c r="AA646" s="136">
        <f t="shared" si="62"/>
        <v>0.98032905999999997</v>
      </c>
      <c r="AB646" s="136">
        <f t="shared" si="62"/>
        <v>6.6498109999999999E-2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35.103935999999997</v>
      </c>
      <c r="Y647" s="18">
        <f t="shared" si="62"/>
        <v>38.482840000000003</v>
      </c>
      <c r="Z647" s="18">
        <f t="shared" si="62"/>
        <v>0.98257989999999995</v>
      </c>
      <c r="AA647" s="18">
        <f t="shared" si="62"/>
        <v>0.98766096000000003</v>
      </c>
      <c r="AB647" s="18">
        <f t="shared" si="62"/>
        <v>4.4206288000000003E-2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39.086075000000001</v>
      </c>
      <c r="Y648" s="18">
        <f t="shared" si="62"/>
        <v>42.229674000000003</v>
      </c>
      <c r="Z648" s="18">
        <f t="shared" si="62"/>
        <v>0.99026221999999997</v>
      </c>
      <c r="AA648" s="18">
        <f t="shared" si="62"/>
        <v>0.99377921000000002</v>
      </c>
      <c r="AB648" s="18">
        <f t="shared" si="62"/>
        <v>2.3727193000000001E-2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43.304952</v>
      </c>
      <c r="Y649" s="18">
        <f t="shared" si="62"/>
        <v>46.223025</v>
      </c>
      <c r="Z649" s="18">
        <f t="shared" si="62"/>
        <v>0.99428362000000003</v>
      </c>
      <c r="AA649" s="18">
        <f t="shared" si="62"/>
        <v>0.99687165</v>
      </c>
      <c r="AB649" s="18">
        <f t="shared" si="62"/>
        <v>9.7676859999999994E-3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4.9566820000000043</v>
      </c>
      <c r="Y651" s="136">
        <f t="shared" si="64"/>
        <v>5.3199840000000016</v>
      </c>
      <c r="Z651" s="136">
        <f t="shared" si="64"/>
        <v>1.4038109999999993E-2</v>
      </c>
      <c r="AA651" s="136">
        <f t="shared" si="64"/>
        <v>1.4795409999999953E-2</v>
      </c>
      <c r="AB651" s="136">
        <f t="shared" si="64"/>
        <v>1.5611099999999996E-2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3.6271369999999976</v>
      </c>
      <c r="Y652" s="18">
        <f t="shared" si="64"/>
        <v>3.7452550000000002</v>
      </c>
      <c r="Z652" s="18">
        <f t="shared" si="64"/>
        <v>4.9641999999999742E-3</v>
      </c>
      <c r="AA652" s="18">
        <f t="shared" si="64"/>
        <v>6.3998299999999952E-3</v>
      </c>
      <c r="AB652" s="18">
        <f t="shared" si="64"/>
        <v>1.1311688E-2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2.8373940000000033</v>
      </c>
      <c r="Y653" s="18">
        <f t="shared" si="64"/>
        <v>2.5707020000000043</v>
      </c>
      <c r="Z653" s="18">
        <f t="shared" si="64"/>
        <v>1.7017200000000177E-3</v>
      </c>
      <c r="AA653" s="18">
        <f t="shared" si="64"/>
        <v>1.881020000000011E-3</v>
      </c>
      <c r="AB653" s="18">
        <f t="shared" si="64"/>
        <v>6.0196160000000019E-3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1.7528599999999983</v>
      </c>
      <c r="Y654" s="18">
        <f t="shared" si="64"/>
        <v>1.6176239999999993</v>
      </c>
      <c r="Z654" s="18">
        <f t="shared" si="64"/>
        <v>4.2253000000003205E-4</v>
      </c>
      <c r="AA654" s="18">
        <f t="shared" si="64"/>
        <v>6.5720999999996366E-4</v>
      </c>
      <c r="AB654" s="18">
        <f t="shared" si="64"/>
        <v>1.9648512999999998E-3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cinema_semitrack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cinema_semitrack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28540.487999999998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30.646398238095237</v>
      </c>
      <c r="Y5" s="30">
        <f t="shared" si="2"/>
        <v>34.544131476190479</v>
      </c>
      <c r="Z5" s="30">
        <f t="shared" si="2"/>
        <v>0.96607515047619041</v>
      </c>
      <c r="AA5" s="91">
        <f t="shared" si="2"/>
        <v>0.97350526380952374</v>
      </c>
      <c r="AB5" s="91">
        <f t="shared" si="2"/>
        <v>5.6924861285714293E-2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-0.13960252552233188</v>
      </c>
      <c r="AN5" s="245">
        <f>bdrate($E5:$E8,G5:G8,$W5:$W8,Y5:Y8)</f>
        <v>-0.10746902697084137</v>
      </c>
      <c r="AO5" s="245">
        <f>bdrate($E5:$E8,H5:H8,$W5:$W8,Z5:Z8)</f>
        <v>-3.7678148051661919E-3</v>
      </c>
      <c r="AP5" s="245">
        <f>bdrate($E5:$E8,I5:I8,$W5:$W8,AA5:AA8)</f>
        <v>-2.7308828740814528E-2</v>
      </c>
      <c r="AQ5" s="246">
        <f>bdrateInverted($E5:$E8,J5:J8,$W5:$W8,AB5:AB8)</f>
        <v>-0.1529666117682541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41507.936000000002</v>
      </c>
      <c r="X6" s="91">
        <f t="shared" si="2"/>
        <v>33.989762476190478</v>
      </c>
      <c r="Y6" s="91">
        <f t="shared" si="2"/>
        <v>37.335705047619044</v>
      </c>
      <c r="Z6" s="91">
        <f t="shared" si="2"/>
        <v>0.97917372904761901</v>
      </c>
      <c r="AA6" s="91">
        <f t="shared" si="2"/>
        <v>0.98454666095238119</v>
      </c>
      <c r="AB6" s="91">
        <f t="shared" si="2"/>
        <v>3.726052642857143E-2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62100.007999999994</v>
      </c>
      <c r="X7" s="91">
        <f t="shared" si="2"/>
        <v>38.216646714285716</v>
      </c>
      <c r="Y7" s="91">
        <f t="shared" si="2"/>
        <v>41.525656476190477</v>
      </c>
      <c r="Z7" s="91">
        <f t="shared" si="2"/>
        <v>0.98904090238095232</v>
      </c>
      <c r="AA7" s="91">
        <f t="shared" si="2"/>
        <v>0.99266297714285723</v>
      </c>
      <c r="AB7" s="91">
        <f t="shared" si="2"/>
        <v>2.0587333904761907E-2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90502.672000000006</v>
      </c>
      <c r="X8" s="91">
        <f t="shared" si="2"/>
        <v>42.442521238095246</v>
      </c>
      <c r="Y8" s="91">
        <f t="shared" si="2"/>
        <v>45.497991142857146</v>
      </c>
      <c r="Z8" s="91">
        <f t="shared" si="2"/>
        <v>0.99385577000000025</v>
      </c>
      <c r="AA8" s="91">
        <f t="shared" si="2"/>
        <v>0.99644819380952421</v>
      </c>
      <c r="AB8" s="91">
        <f t="shared" si="2"/>
        <v>9.0270058571428578E-3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4688.8959999999997</v>
      </c>
      <c r="X16" s="167">
        <v>6015.24</v>
      </c>
      <c r="Y16" s="167">
        <v>1245.336</v>
      </c>
      <c r="Z16" s="167">
        <v>466.03199999999998</v>
      </c>
      <c r="AA16" s="167">
        <v>240.22399999999999</v>
      </c>
      <c r="AB16" s="167">
        <v>8771.8160000000007</v>
      </c>
      <c r="AC16" s="60">
        <v>5224.6319999999996</v>
      </c>
      <c r="AD16" s="60">
        <v>1888.3119999999999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4688.8959999999997</v>
      </c>
      <c r="X17" s="168">
        <v>7889.8879999999999</v>
      </c>
      <c r="Y17" s="168">
        <v>4126.7920000000004</v>
      </c>
      <c r="Z17" s="168">
        <v>2204.808</v>
      </c>
      <c r="AA17" s="168">
        <v>1688.816</v>
      </c>
      <c r="AB17" s="168">
        <v>11322.768</v>
      </c>
      <c r="AC17" s="62">
        <v>7088.1360000000004</v>
      </c>
      <c r="AD17" s="62">
        <v>2497.8319999999999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4688.8959999999997</v>
      </c>
      <c r="X18" s="168">
        <v>9839.6880000000001</v>
      </c>
      <c r="Y18" s="168">
        <v>8655.2160000000003</v>
      </c>
      <c r="Z18" s="168">
        <v>6498.2479999999996</v>
      </c>
      <c r="AA18" s="168">
        <v>6296.3760000000002</v>
      </c>
      <c r="AB18" s="168">
        <v>13961.472</v>
      </c>
      <c r="AC18" s="62">
        <v>9034.9439999999995</v>
      </c>
      <c r="AD18" s="62">
        <v>3125.1680000000001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4688.8959999999997</v>
      </c>
      <c r="X19" s="168">
        <v>11708.24</v>
      </c>
      <c r="Y19" s="168">
        <v>13864.808000000001</v>
      </c>
      <c r="Z19" s="168">
        <v>13493.64</v>
      </c>
      <c r="AA19" s="168">
        <v>15174.407999999999</v>
      </c>
      <c r="AB19" s="168">
        <v>16708.792000000001</v>
      </c>
      <c r="AC19" s="62">
        <v>11084.656000000001</v>
      </c>
      <c r="AD19" s="62">
        <v>3779.232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28540.487999999998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41507.936000000002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62100.007999999994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90502.672000000006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28.174388</v>
      </c>
      <c r="Y33" s="97">
        <v>32.110996</v>
      </c>
      <c r="Z33" s="97">
        <v>0.95983059999999998</v>
      </c>
      <c r="AA33" s="60">
        <v>0.96732737999999996</v>
      </c>
      <c r="AB33" s="60">
        <v>6.4113299999999998E-2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0.59693199999999891</v>
      </c>
      <c r="AN33" s="96">
        <f t="shared" ref="AN33:AN96" si="5">IF(OR(Y33="",G33=""),"",Y33-G33)</f>
        <v>0.97680899999999937</v>
      </c>
      <c r="AO33" s="96">
        <f t="shared" ref="AO33:AO96" si="6">IF(OR(Z33="",H33=""),"",Z33-H33)</f>
        <v>3.9564999999996964E-4</v>
      </c>
      <c r="AP33" s="96">
        <f t="shared" ref="AP33:AP96" si="7">IF(OR(AA33="",I33=""),"",AA33-I33)</f>
        <v>1.3075699999999246E-3</v>
      </c>
      <c r="AQ33" s="121">
        <f t="shared" ref="AQ33:AQ96" si="8">IF(OR(AB33="",J33=""),"",AB33-J33)</f>
        <v>-1.9410869999999997E-2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31.738620999999998</v>
      </c>
      <c r="Y34" s="190">
        <v>34.881920000000001</v>
      </c>
      <c r="Z34" s="190">
        <v>0.97704365999999998</v>
      </c>
      <c r="AA34" s="62">
        <v>0.98128634000000003</v>
      </c>
      <c r="AB34" s="62">
        <v>4.2930839999999998E-2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0.9795609999999968</v>
      </c>
      <c r="AN34" s="122">
        <f t="shared" si="5"/>
        <v>0.8055790000000016</v>
      </c>
      <c r="AO34" s="122">
        <f t="shared" si="6"/>
        <v>1.0405000000002218E-4</v>
      </c>
      <c r="AP34" s="122">
        <f t="shared" si="7"/>
        <v>1.101310000000022E-3</v>
      </c>
      <c r="AQ34" s="88">
        <f t="shared" si="8"/>
        <v>-1.5159348000000003E-2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37.174315</v>
      </c>
      <c r="Y35" s="190">
        <v>40.457946</v>
      </c>
      <c r="Z35" s="190">
        <v>0.98913295000000001</v>
      </c>
      <c r="AA35" s="62">
        <v>0.99230954999999998</v>
      </c>
      <c r="AB35" s="62">
        <v>2.1604799000000001E-2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2.4726929999999996</v>
      </c>
      <c r="AN35" s="122">
        <f t="shared" si="5"/>
        <v>1.4097599999999986</v>
      </c>
      <c r="AO35" s="122">
        <f t="shared" si="6"/>
        <v>4.2096999999996498E-4</v>
      </c>
      <c r="AP35" s="122">
        <f t="shared" si="7"/>
        <v>5.2739000000001646E-4</v>
      </c>
      <c r="AQ35" s="88">
        <f t="shared" si="8"/>
        <v>-1.1490024000000001E-2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41.474594000000003</v>
      </c>
      <c r="Y36" s="190">
        <v>44.611742</v>
      </c>
      <c r="Z36" s="190">
        <v>0.99400898000000004</v>
      </c>
      <c r="AA36" s="62">
        <v>0.99631837000000001</v>
      </c>
      <c r="AB36" s="62">
        <v>8.8830929999999999E-3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4.1894540000000049</v>
      </c>
      <c r="AN36" s="122">
        <f t="shared" si="5"/>
        <v>2.9160929999999965</v>
      </c>
      <c r="AO36" s="122">
        <f t="shared" si="6"/>
        <v>5.1223000000000241E-4</v>
      </c>
      <c r="AP36" s="122">
        <f t="shared" si="7"/>
        <v>6.5568999999998656E-4</v>
      </c>
      <c r="AQ36" s="88">
        <f t="shared" si="8"/>
        <v>-1.0140253E-2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28.719887</v>
      </c>
      <c r="Y38" s="97">
        <v>32.607346</v>
      </c>
      <c r="Z38" s="97">
        <v>0.96107774999999995</v>
      </c>
      <c r="AA38" s="60">
        <v>0.96703817000000003</v>
      </c>
      <c r="AB38" s="60">
        <v>6.030862E-2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0.52653799999999862</v>
      </c>
      <c r="AN38" s="96">
        <f t="shared" si="5"/>
        <v>0.79892399999999952</v>
      </c>
      <c r="AO38" s="96">
        <f t="shared" si="6"/>
        <v>2.2210999999994208E-4</v>
      </c>
      <c r="AP38" s="96">
        <f t="shared" si="7"/>
        <v>9.5361000000004914E-4</v>
      </c>
      <c r="AQ38" s="121">
        <f t="shared" si="8"/>
        <v>-1.5757083999999998E-2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32.460444000000003</v>
      </c>
      <c r="Y39" s="190">
        <v>35.681137999999997</v>
      </c>
      <c r="Z39" s="190">
        <v>0.97732775000000005</v>
      </c>
      <c r="AA39" s="62">
        <v>0.98152496</v>
      </c>
      <c r="AB39" s="62">
        <v>4.2526149999999999E-2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1.2077550000000024</v>
      </c>
      <c r="AN39" s="122">
        <f t="shared" si="5"/>
        <v>0.94863699999999795</v>
      </c>
      <c r="AO39" s="122">
        <f t="shared" si="6"/>
        <v>1.3624000000000969E-4</v>
      </c>
      <c r="AP39" s="122">
        <f t="shared" si="7"/>
        <v>1.172300000000015E-3</v>
      </c>
      <c r="AQ39" s="88">
        <f t="shared" si="8"/>
        <v>-1.1486910000000003E-2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37.343302000000001</v>
      </c>
      <c r="Y40" s="190">
        <v>40.733147000000002</v>
      </c>
      <c r="Z40" s="190">
        <v>0.98886878</v>
      </c>
      <c r="AA40" s="62">
        <v>0.99204731999999995</v>
      </c>
      <c r="AB40" s="62">
        <v>2.2643093E-2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2.3419650000000019</v>
      </c>
      <c r="AN40" s="122">
        <f t="shared" si="5"/>
        <v>1.5134680000000031</v>
      </c>
      <c r="AO40" s="122">
        <f t="shared" si="6"/>
        <v>4.5455999999999275E-4</v>
      </c>
      <c r="AP40" s="122">
        <f t="shared" si="7"/>
        <v>6.2821999999995715E-4</v>
      </c>
      <c r="AQ40" s="88">
        <f t="shared" si="8"/>
        <v>-9.1817229999999993E-3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41.586221000000002</v>
      </c>
      <c r="Y41" s="190">
        <v>44.711787000000001</v>
      </c>
      <c r="Z41" s="190">
        <v>0.99389086000000004</v>
      </c>
      <c r="AA41" s="62">
        <v>0.99621373999999996</v>
      </c>
      <c r="AB41" s="62">
        <v>9.0311599999999999E-3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4.1962389999999985</v>
      </c>
      <c r="AN41" s="122">
        <f t="shared" si="5"/>
        <v>2.9484360000000009</v>
      </c>
      <c r="AO41" s="122">
        <f t="shared" si="6"/>
        <v>5.6065000000005139E-4</v>
      </c>
      <c r="AP41" s="122">
        <f t="shared" si="7"/>
        <v>7.0463999999992311E-4</v>
      </c>
      <c r="AQ41" s="88">
        <f t="shared" si="8"/>
        <v>-9.8905339999999994E-3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29.285867</v>
      </c>
      <c r="Y43" s="97">
        <v>33.051990000000004</v>
      </c>
      <c r="Z43" s="97">
        <v>0.96265712999999997</v>
      </c>
      <c r="AA43" s="60">
        <v>0.96878231000000004</v>
      </c>
      <c r="AB43" s="60">
        <v>6.1624695E-2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0.51766299999999887</v>
      </c>
      <c r="AN43" s="96">
        <f t="shared" si="5"/>
        <v>0.64234000000000435</v>
      </c>
      <c r="AO43" s="96">
        <f t="shared" si="6"/>
        <v>5.4273999999998601E-4</v>
      </c>
      <c r="AP43" s="96">
        <f t="shared" si="7"/>
        <v>9.8481000000005814E-4</v>
      </c>
      <c r="AQ43" s="121">
        <f t="shared" si="8"/>
        <v>-1.2985525000000005E-2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32.839522000000002</v>
      </c>
      <c r="Y44" s="190">
        <v>36.062522999999999</v>
      </c>
      <c r="Z44" s="190">
        <v>0.97768120999999997</v>
      </c>
      <c r="AA44" s="62">
        <v>0.98203587999999997</v>
      </c>
      <c r="AB44" s="62">
        <v>4.2099091999999998E-2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1.1461650000000034</v>
      </c>
      <c r="AN44" s="122">
        <f t="shared" si="5"/>
        <v>0.80957000000000079</v>
      </c>
      <c r="AO44" s="122">
        <f t="shared" si="6"/>
        <v>1.6665999999998515E-4</v>
      </c>
      <c r="AP44" s="122">
        <f t="shared" si="7"/>
        <v>1.0517599999999572E-3</v>
      </c>
      <c r="AQ44" s="88">
        <f t="shared" si="8"/>
        <v>-7.9536480000000007E-3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37.316423</v>
      </c>
      <c r="Y45" s="190">
        <v>40.826244000000003</v>
      </c>
      <c r="Z45" s="190">
        <v>0.98879868000000004</v>
      </c>
      <c r="AA45" s="62">
        <v>0.99198584999999995</v>
      </c>
      <c r="AB45" s="62">
        <v>2.3300318E-2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2.2971640000000022</v>
      </c>
      <c r="AN45" s="122">
        <f t="shared" si="5"/>
        <v>1.5400840000000002</v>
      </c>
      <c r="AO45" s="122">
        <f t="shared" si="6"/>
        <v>3.9796000000003051E-4</v>
      </c>
      <c r="AP45" s="122">
        <f t="shared" si="7"/>
        <v>4.9589999999999357E-4</v>
      </c>
      <c r="AQ45" s="88">
        <f t="shared" si="8"/>
        <v>-9.2093820000000021E-3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41.660778000000001</v>
      </c>
      <c r="Y46" s="190">
        <v>44.868537000000003</v>
      </c>
      <c r="Z46" s="190">
        <v>0.99385690000000004</v>
      </c>
      <c r="AA46" s="62">
        <v>0.99619683999999997</v>
      </c>
      <c r="AB46" s="62">
        <v>9.2871410000000005E-3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3.8681020000000004</v>
      </c>
      <c r="AN46" s="122">
        <f t="shared" si="5"/>
        <v>2.6998290000000011</v>
      </c>
      <c r="AO46" s="122">
        <f t="shared" si="6"/>
        <v>5.3489000000006559E-4</v>
      </c>
      <c r="AP46" s="122">
        <f t="shared" si="7"/>
        <v>6.5738999999997993E-4</v>
      </c>
      <c r="AQ46" s="88">
        <f t="shared" si="8"/>
        <v>-8.8504240000000008E-3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30.019860000000001</v>
      </c>
      <c r="Y48" s="97">
        <v>33.741835999999999</v>
      </c>
      <c r="Z48" s="97">
        <v>0.96323614000000002</v>
      </c>
      <c r="AA48" s="60">
        <v>0.97001660999999995</v>
      </c>
      <c r="AB48" s="60">
        <v>5.7509354999999998E-2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0.37381700000000251</v>
      </c>
      <c r="AN48" s="96">
        <f t="shared" si="5"/>
        <v>0.63522599999999585</v>
      </c>
      <c r="AO48" s="96">
        <f t="shared" si="6"/>
        <v>5.3606000000006038E-4</v>
      </c>
      <c r="AP48" s="96">
        <f t="shared" si="7"/>
        <v>1.1845299999999614E-3</v>
      </c>
      <c r="AQ48" s="121">
        <f t="shared" si="8"/>
        <v>-9.4154050000000017E-3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33.617573</v>
      </c>
      <c r="Y49" s="190">
        <v>36.809829999999998</v>
      </c>
      <c r="Z49" s="190">
        <v>0.97727134999999998</v>
      </c>
      <c r="AA49" s="62">
        <v>0.98258588000000002</v>
      </c>
      <c r="AB49" s="62">
        <v>3.8487689999999998E-2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0.98249599999999759</v>
      </c>
      <c r="AN49" s="122">
        <f t="shared" si="5"/>
        <v>0.71895200000000159</v>
      </c>
      <c r="AO49" s="122">
        <f t="shared" si="6"/>
        <v>2.851299999999668E-4</v>
      </c>
      <c r="AP49" s="122">
        <f t="shared" si="7"/>
        <v>7.8600000000006442E-4</v>
      </c>
      <c r="AQ49" s="88">
        <f t="shared" si="8"/>
        <v>-5.6717260000000019E-3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37.715415</v>
      </c>
      <c r="Y50" s="190">
        <v>41.134059999999998</v>
      </c>
      <c r="Z50" s="190">
        <v>0.98835214999999998</v>
      </c>
      <c r="AA50" s="62">
        <v>0.99190383000000004</v>
      </c>
      <c r="AB50" s="62">
        <v>2.1938349999999999E-2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2.0813119999999969</v>
      </c>
      <c r="AN50" s="122">
        <f t="shared" si="5"/>
        <v>1.3246970000000005</v>
      </c>
      <c r="AO50" s="122">
        <f t="shared" si="6"/>
        <v>4.4308000000004011E-4</v>
      </c>
      <c r="AP50" s="122">
        <f t="shared" si="7"/>
        <v>5.654000000000492E-4</v>
      </c>
      <c r="AQ50" s="88">
        <f t="shared" si="8"/>
        <v>-7.3470530000000027E-3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42.003458000000002</v>
      </c>
      <c r="Y51" s="190">
        <v>45.169139999999999</v>
      </c>
      <c r="Z51" s="190">
        <v>0.99372252999999999</v>
      </c>
      <c r="AA51" s="62">
        <v>0.99618132000000004</v>
      </c>
      <c r="AB51" s="62">
        <v>9.0500879999999995E-3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3.6357140000000001</v>
      </c>
      <c r="AN51" s="122">
        <f t="shared" si="5"/>
        <v>2.4467819999999989</v>
      </c>
      <c r="AO51" s="122">
        <f t="shared" si="6"/>
        <v>5.0830000000001707E-4</v>
      </c>
      <c r="AP51" s="122">
        <f t="shared" si="7"/>
        <v>6.9503000000004089E-4</v>
      </c>
      <c r="AQ51" s="88">
        <f t="shared" si="8"/>
        <v>-7.0803560000000012E-3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30.092198</v>
      </c>
      <c r="Y53" s="97">
        <v>33.816817999999998</v>
      </c>
      <c r="Z53" s="97">
        <v>0.96258436999999997</v>
      </c>
      <c r="AA53" s="60">
        <v>0.97017434000000002</v>
      </c>
      <c r="AB53" s="60">
        <v>5.6920850000000002E-2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0.57014900000000068</v>
      </c>
      <c r="AN53" s="96">
        <f t="shared" si="5"/>
        <v>0.72139199999999448</v>
      </c>
      <c r="AO53" s="96">
        <f t="shared" si="6"/>
        <v>2.0749999999991608E-4</v>
      </c>
      <c r="AP53" s="96">
        <f t="shared" si="7"/>
        <v>8.0800000000003092E-4</v>
      </c>
      <c r="AQ53" s="121">
        <f t="shared" si="8"/>
        <v>-9.7105099999999986E-3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33.529220000000002</v>
      </c>
      <c r="Y54" s="190">
        <v>36.739136999999999</v>
      </c>
      <c r="Z54" s="190">
        <v>0.97714192</v>
      </c>
      <c r="AA54" s="62">
        <v>0.98251588000000001</v>
      </c>
      <c r="AB54" s="62">
        <v>3.7802875E-2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1.0705530000000039</v>
      </c>
      <c r="AN54" s="122">
        <f t="shared" si="5"/>
        <v>0.75421899999999908</v>
      </c>
      <c r="AO54" s="122">
        <f t="shared" si="6"/>
        <v>2.439800000000325E-4</v>
      </c>
      <c r="AP54" s="122">
        <f t="shared" si="7"/>
        <v>7.5944999999999485E-4</v>
      </c>
      <c r="AQ54" s="88">
        <f t="shared" si="8"/>
        <v>-6.6301529999999997E-3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37.495494000000001</v>
      </c>
      <c r="Y55" s="190">
        <v>40.951647999999999</v>
      </c>
      <c r="Z55" s="190">
        <v>0.98823428000000002</v>
      </c>
      <c r="AA55" s="62">
        <v>0.99175464000000002</v>
      </c>
      <c r="AB55" s="62">
        <v>2.1988730000000001E-2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1.815728</v>
      </c>
      <c r="AN55" s="122">
        <f t="shared" si="5"/>
        <v>1.1881789999999981</v>
      </c>
      <c r="AO55" s="122">
        <f t="shared" si="6"/>
        <v>4.5822000000006469E-4</v>
      </c>
      <c r="AP55" s="122">
        <f t="shared" si="7"/>
        <v>5.9784000000007165E-4</v>
      </c>
      <c r="AQ55" s="88">
        <f t="shared" si="8"/>
        <v>-6.5460980000000002E-3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41.765819999999998</v>
      </c>
      <c r="Y56" s="190">
        <v>44.951152999999998</v>
      </c>
      <c r="Z56" s="190">
        <v>0.99364067</v>
      </c>
      <c r="AA56" s="62">
        <v>0.99609311</v>
      </c>
      <c r="AB56" s="62">
        <v>9.2145195000000006E-3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3.1683149999999998</v>
      </c>
      <c r="AN56" s="122">
        <f t="shared" si="5"/>
        <v>2.1259259999999998</v>
      </c>
      <c r="AO56" s="122">
        <f t="shared" si="6"/>
        <v>4.9600999999999118E-4</v>
      </c>
      <c r="AP56" s="122">
        <f t="shared" si="7"/>
        <v>7.2501999999996514E-4</v>
      </c>
      <c r="AQ56" s="88">
        <f t="shared" si="8"/>
        <v>-5.7842815000000002E-3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30.117346000000001</v>
      </c>
      <c r="Y58" s="97">
        <v>33.861970999999997</v>
      </c>
      <c r="Z58" s="97">
        <v>0.96191912999999996</v>
      </c>
      <c r="AA58" s="60">
        <v>0.97010529999999995</v>
      </c>
      <c r="AB58" s="60">
        <v>5.8807116E-2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0.43501600000000096</v>
      </c>
      <c r="AN58" s="96">
        <f t="shared" si="5"/>
        <v>0.60386199999999945</v>
      </c>
      <c r="AO58" s="96">
        <f t="shared" si="6"/>
        <v>8.9039999999984687E-5</v>
      </c>
      <c r="AP58" s="96">
        <f t="shared" si="7"/>
        <v>4.979899999999482E-4</v>
      </c>
      <c r="AQ58" s="121">
        <f t="shared" si="8"/>
        <v>-8.525284000000001E-3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33.600127000000001</v>
      </c>
      <c r="Y59" s="190">
        <v>36.810980999999998</v>
      </c>
      <c r="Z59" s="190">
        <v>0.97705326999999997</v>
      </c>
      <c r="AA59" s="62">
        <v>0.98266198999999999</v>
      </c>
      <c r="AB59" s="62">
        <v>3.8676745999999998E-2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1.0143350000000027</v>
      </c>
      <c r="AN59" s="122">
        <f t="shared" si="5"/>
        <v>0.7136250000000004</v>
      </c>
      <c r="AO59" s="122">
        <f t="shared" si="6"/>
        <v>4.0034999999993826E-4</v>
      </c>
      <c r="AP59" s="122">
        <f t="shared" si="7"/>
        <v>7.6747999999993155E-4</v>
      </c>
      <c r="AQ59" s="88">
        <f t="shared" si="8"/>
        <v>-6.3263399999999997E-3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37.321416999999997</v>
      </c>
      <c r="Y60" s="190">
        <v>40.813125999999997</v>
      </c>
      <c r="Z60" s="190">
        <v>0.98824888</v>
      </c>
      <c r="AA60" s="62">
        <v>0.99176496999999997</v>
      </c>
      <c r="AB60" s="62">
        <v>2.3077348000000001E-2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1.4817589999999967</v>
      </c>
      <c r="AN60" s="122">
        <f t="shared" si="5"/>
        <v>0.98151699999999664</v>
      </c>
      <c r="AO60" s="122">
        <f t="shared" si="6"/>
        <v>4.6029999999996907E-4</v>
      </c>
      <c r="AP60" s="122">
        <f t="shared" si="7"/>
        <v>6.1370999999998954E-4</v>
      </c>
      <c r="AQ60" s="88">
        <f t="shared" si="8"/>
        <v>-5.3292869999999985E-3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41.69858</v>
      </c>
      <c r="Y61" s="190">
        <v>44.888939999999998</v>
      </c>
      <c r="Z61" s="190">
        <v>0.99360031000000004</v>
      </c>
      <c r="AA61" s="62">
        <v>0.99609135000000004</v>
      </c>
      <c r="AB61" s="62">
        <v>9.6113499999999994E-3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2.6908159999999981</v>
      </c>
      <c r="AN61" s="122">
        <f t="shared" si="5"/>
        <v>1.7637459999999976</v>
      </c>
      <c r="AO61" s="122">
        <f t="shared" si="6"/>
        <v>4.214500000000454E-4</v>
      </c>
      <c r="AP61" s="122">
        <f t="shared" si="7"/>
        <v>7.6748000000004257E-4</v>
      </c>
      <c r="AQ61" s="88">
        <f t="shared" si="8"/>
        <v>-4.7095010000000014E-3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30.177347000000001</v>
      </c>
      <c r="Y63" s="97">
        <v>34.065747000000002</v>
      </c>
      <c r="Z63" s="97">
        <v>0.96130455999999997</v>
      </c>
      <c r="AA63" s="60">
        <v>0.97116572999999995</v>
      </c>
      <c r="AB63" s="60">
        <v>6.0926800000000003E-2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0.18033400000000199</v>
      </c>
      <c r="AN63" s="96">
        <f t="shared" si="5"/>
        <v>0.40526499999999999</v>
      </c>
      <c r="AO63" s="96">
        <f t="shared" si="6"/>
        <v>1.5754000000001156E-4</v>
      </c>
      <c r="AP63" s="96">
        <f t="shared" si="7"/>
        <v>8.1604999999995709E-4</v>
      </c>
      <c r="AQ63" s="121">
        <f t="shared" si="8"/>
        <v>-4.919575999999995E-3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33.730896999999999</v>
      </c>
      <c r="Y64" s="190">
        <v>37.027864000000001</v>
      </c>
      <c r="Z64" s="190">
        <v>0.97700140999999996</v>
      </c>
      <c r="AA64" s="62">
        <v>0.98312385999999996</v>
      </c>
      <c r="AB64" s="62">
        <v>3.8479449999999998E-2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0.5832369999999969</v>
      </c>
      <c r="AN64" s="122">
        <f t="shared" si="5"/>
        <v>0.46261700000000161</v>
      </c>
      <c r="AO64" s="122">
        <f t="shared" si="6"/>
        <v>3.9752999999997929E-4</v>
      </c>
      <c r="AP64" s="122">
        <f t="shared" si="7"/>
        <v>8.996299999999291E-4</v>
      </c>
      <c r="AQ64" s="88">
        <f t="shared" si="8"/>
        <v>-3.5167720000000013E-3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37.495306999999997</v>
      </c>
      <c r="Y65" s="190">
        <v>40.999428000000002</v>
      </c>
      <c r="Z65" s="190">
        <v>0.98833024000000003</v>
      </c>
      <c r="AA65" s="62">
        <v>0.99198929000000002</v>
      </c>
      <c r="AB65" s="62">
        <v>2.3086018999999999E-2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1.1037989999999951</v>
      </c>
      <c r="AN65" s="122">
        <f t="shared" si="5"/>
        <v>0.74721900000000119</v>
      </c>
      <c r="AO65" s="122">
        <f t="shared" si="6"/>
        <v>3.502499999999964E-4</v>
      </c>
      <c r="AP65" s="122">
        <f t="shared" si="7"/>
        <v>6.5967000000000109E-4</v>
      </c>
      <c r="AQ65" s="88">
        <f t="shared" si="8"/>
        <v>-3.835309000000002E-3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41.826245999999998</v>
      </c>
      <c r="Y66" s="190">
        <v>45.035004999999998</v>
      </c>
      <c r="Z66" s="190">
        <v>0.99368694000000002</v>
      </c>
      <c r="AA66" s="62">
        <v>0.99619581000000001</v>
      </c>
      <c r="AB66" s="62">
        <v>9.5123380000000004E-3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2.1385450000000006</v>
      </c>
      <c r="AN66" s="122">
        <f t="shared" si="5"/>
        <v>1.445962999999999</v>
      </c>
      <c r="AO66" s="122">
        <f t="shared" si="6"/>
        <v>3.6659999999999471E-4</v>
      </c>
      <c r="AP66" s="122">
        <f t="shared" si="7"/>
        <v>6.4361000000001667E-4</v>
      </c>
      <c r="AQ66" s="88">
        <f t="shared" si="8"/>
        <v>-3.6081180000000004E-3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29.627506</v>
      </c>
      <c r="Y68" s="97">
        <v>33.661738</v>
      </c>
      <c r="Z68" s="97">
        <v>0.96249812000000001</v>
      </c>
      <c r="AA68" s="60">
        <v>0.96984135999999999</v>
      </c>
      <c r="AB68" s="60">
        <v>5.6591901999999999E-2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0.64292599999999922</v>
      </c>
      <c r="AN68" s="96">
        <f t="shared" si="5"/>
        <v>1.2029539999999983</v>
      </c>
      <c r="AO68" s="96">
        <f t="shared" si="6"/>
        <v>2.101399999999698E-4</v>
      </c>
      <c r="AP68" s="96">
        <f t="shared" si="7"/>
        <v>1.6671400000000114E-3</v>
      </c>
      <c r="AQ68" s="121">
        <f t="shared" si="8"/>
        <v>-1.4775138000000007E-2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33.403433</v>
      </c>
      <c r="Y69" s="190">
        <v>36.818210999999998</v>
      </c>
      <c r="Z69" s="190">
        <v>0.97763173000000003</v>
      </c>
      <c r="AA69" s="62">
        <v>0.98286757999999996</v>
      </c>
      <c r="AB69" s="62">
        <v>3.5280767999999997E-2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1.4246990000000004</v>
      </c>
      <c r="AN69" s="122">
        <f t="shared" si="5"/>
        <v>1.2572569999999956</v>
      </c>
      <c r="AO69" s="122">
        <f t="shared" si="6"/>
        <v>1.2525000000007669E-4</v>
      </c>
      <c r="AP69" s="122">
        <f t="shared" si="7"/>
        <v>1.0975699999999922E-3</v>
      </c>
      <c r="AQ69" s="88">
        <f t="shared" si="8"/>
        <v>-1.1585622000000004E-2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38.249594999999999</v>
      </c>
      <c r="Y70" s="190">
        <v>41.415314000000002</v>
      </c>
      <c r="Z70" s="190">
        <v>0.98898485000000003</v>
      </c>
      <c r="AA70" s="62">
        <v>0.99250488999999997</v>
      </c>
      <c r="AB70" s="62">
        <v>1.7858386E-2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3.1673570000000026</v>
      </c>
      <c r="AN70" s="122">
        <f t="shared" si="5"/>
        <v>1.9791209999999992</v>
      </c>
      <c r="AO70" s="122">
        <f t="shared" si="6"/>
        <v>4.1952000000000655E-4</v>
      </c>
      <c r="AP70" s="122">
        <f t="shared" si="7"/>
        <v>6.905799999999962E-4</v>
      </c>
      <c r="AQ70" s="88">
        <f t="shared" si="8"/>
        <v>-1.2187534E-2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42.209992999999997</v>
      </c>
      <c r="Y71" s="190">
        <v>45.185070000000003</v>
      </c>
      <c r="Z71" s="190">
        <v>0.99387597000000005</v>
      </c>
      <c r="AA71" s="62">
        <v>0.99637463999999998</v>
      </c>
      <c r="AB71" s="62">
        <v>8.1081734999999995E-3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4.6669579999999939</v>
      </c>
      <c r="AN71" s="122">
        <f t="shared" si="5"/>
        <v>3.2017980000000037</v>
      </c>
      <c r="AO71" s="122">
        <f t="shared" si="6"/>
        <v>5.013200000000273E-4</v>
      </c>
      <c r="AP71" s="122">
        <f t="shared" si="7"/>
        <v>7.2948999999999931E-4</v>
      </c>
      <c r="AQ71" s="88">
        <f t="shared" si="8"/>
        <v>-9.4738744999999999E-3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30.108446000000001</v>
      </c>
      <c r="Y73" s="97">
        <v>34.204352999999998</v>
      </c>
      <c r="Z73" s="97">
        <v>0.96452687999999998</v>
      </c>
      <c r="AA73" s="60">
        <v>0.97031281999999996</v>
      </c>
      <c r="AB73" s="60">
        <v>5.3584515999999999E-2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0.58147299999999902</v>
      </c>
      <c r="AN73" s="96">
        <f t="shared" si="5"/>
        <v>0.93817099999999698</v>
      </c>
      <c r="AO73" s="96">
        <f t="shared" si="6"/>
        <v>3.5745999999992062E-4</v>
      </c>
      <c r="AP73" s="96">
        <f t="shared" si="7"/>
        <v>1.5252900000000125E-3</v>
      </c>
      <c r="AQ73" s="121">
        <f t="shared" si="8"/>
        <v>-1.0422574000000004E-2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33.665759999999999</v>
      </c>
      <c r="Y74" s="190">
        <v>37.088329999999999</v>
      </c>
      <c r="Z74" s="190">
        <v>0.97826247</v>
      </c>
      <c r="AA74" s="62">
        <v>0.98271923000000005</v>
      </c>
      <c r="AB74" s="62">
        <v>3.4960497E-2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1.382756999999998</v>
      </c>
      <c r="AN74" s="122">
        <f t="shared" si="5"/>
        <v>1.0773060000000001</v>
      </c>
      <c r="AO74" s="122">
        <f t="shared" si="6"/>
        <v>1.4870999999994083E-4</v>
      </c>
      <c r="AP74" s="122">
        <f t="shared" si="7"/>
        <v>1.0919300000000742E-3</v>
      </c>
      <c r="AQ74" s="88">
        <f t="shared" si="8"/>
        <v>-7.3190070000000024E-3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38.277655000000003</v>
      </c>
      <c r="Y75" s="190">
        <v>41.519945</v>
      </c>
      <c r="Z75" s="190">
        <v>0.98885895000000001</v>
      </c>
      <c r="AA75" s="62">
        <v>0.99228300999999997</v>
      </c>
      <c r="AB75" s="62">
        <v>1.7983316999999999E-2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2.2993179999999995</v>
      </c>
      <c r="AN75" s="122">
        <f t="shared" si="5"/>
        <v>1.455682000000003</v>
      </c>
      <c r="AO75" s="122">
        <f t="shared" si="6"/>
        <v>4.2381000000002444E-4</v>
      </c>
      <c r="AP75" s="122">
        <f t="shared" si="7"/>
        <v>7.2006999999996157E-4</v>
      </c>
      <c r="AQ75" s="88">
        <f t="shared" si="8"/>
        <v>-7.5309280000000027E-3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42.393124999999998</v>
      </c>
      <c r="Y76" s="190">
        <v>45.416907999999999</v>
      </c>
      <c r="Z76" s="190">
        <v>0.99385559000000001</v>
      </c>
      <c r="AA76" s="62">
        <v>0.99633863</v>
      </c>
      <c r="AB76" s="62">
        <v>7.9951250000000005E-3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4.4901319999999956</v>
      </c>
      <c r="AN76" s="122">
        <f t="shared" si="5"/>
        <v>3.1283249999999967</v>
      </c>
      <c r="AO76" s="122">
        <f t="shared" si="6"/>
        <v>4.9845000000003914E-4</v>
      </c>
      <c r="AP76" s="122">
        <f t="shared" si="7"/>
        <v>7.1023999999997312E-4</v>
      </c>
      <c r="AQ76" s="88">
        <f t="shared" si="8"/>
        <v>-8.5676700000000012E-3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30.445176</v>
      </c>
      <c r="Y78" s="97">
        <v>34.171354000000001</v>
      </c>
      <c r="Z78" s="97">
        <v>0.96614350999999998</v>
      </c>
      <c r="AA78" s="60">
        <v>0.97140799</v>
      </c>
      <c r="AB78" s="60">
        <v>5.4323099999999999E-2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0.80842499999999973</v>
      </c>
      <c r="AN78" s="96">
        <f t="shared" si="5"/>
        <v>0.83243699999999876</v>
      </c>
      <c r="AO78" s="96">
        <f t="shared" si="6"/>
        <v>3.9527999999999786E-4</v>
      </c>
      <c r="AP78" s="96">
        <f t="shared" si="7"/>
        <v>1.3336099999999851E-3</v>
      </c>
      <c r="AQ78" s="121">
        <f t="shared" si="8"/>
        <v>-1.2150034000000004E-2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33.659928999999998</v>
      </c>
      <c r="Y79" s="190">
        <v>36.980311999999998</v>
      </c>
      <c r="Z79" s="190">
        <v>0.97879567999999995</v>
      </c>
      <c r="AA79" s="62">
        <v>0.98312929999999998</v>
      </c>
      <c r="AB79" s="62">
        <v>3.5870699999999998E-2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1.4189399999999992</v>
      </c>
      <c r="AN79" s="122">
        <f t="shared" si="5"/>
        <v>0.92566799999999461</v>
      </c>
      <c r="AO79" s="122">
        <f t="shared" si="6"/>
        <v>1.0572999999991506E-4</v>
      </c>
      <c r="AP79" s="122">
        <f t="shared" si="7"/>
        <v>9.0577999999996717E-4</v>
      </c>
      <c r="AQ79" s="88">
        <f t="shared" si="8"/>
        <v>-8.3503000000000049E-3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38.112537000000003</v>
      </c>
      <c r="Y80" s="190">
        <v>41.492167000000002</v>
      </c>
      <c r="Z80" s="190">
        <v>0.98892201000000002</v>
      </c>
      <c r="AA80" s="62">
        <v>0.99239449999999996</v>
      </c>
      <c r="AB80" s="62">
        <v>1.8967504E-2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2.5513650000000041</v>
      </c>
      <c r="AN80" s="122">
        <f t="shared" si="5"/>
        <v>1.6230740000000026</v>
      </c>
      <c r="AO80" s="122">
        <f t="shared" si="6"/>
        <v>4.0258999999998046E-4</v>
      </c>
      <c r="AP80" s="122">
        <f t="shared" si="7"/>
        <v>6.570899999999158E-4</v>
      </c>
      <c r="AQ80" s="88">
        <f t="shared" si="8"/>
        <v>-1.0067457000000002E-2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42.414175</v>
      </c>
      <c r="Y81" s="190">
        <v>45.507159999999999</v>
      </c>
      <c r="Z81" s="190">
        <v>0.99388284999999998</v>
      </c>
      <c r="AA81" s="62">
        <v>0.99635244000000001</v>
      </c>
      <c r="AB81" s="62">
        <v>8.2168620000000001E-3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4.0966530000000034</v>
      </c>
      <c r="AN81" s="122">
        <f t="shared" si="5"/>
        <v>2.8014399999999995</v>
      </c>
      <c r="AO81" s="122">
        <f t="shared" si="6"/>
        <v>4.8177999999998722E-4</v>
      </c>
      <c r="AP81" s="122">
        <f t="shared" si="7"/>
        <v>6.8376000000003323E-4</v>
      </c>
      <c r="AQ81" s="88">
        <f t="shared" si="8"/>
        <v>-7.9026759999999991E-3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30.685303000000001</v>
      </c>
      <c r="Y83" s="97">
        <v>34.504224999999998</v>
      </c>
      <c r="Z83" s="97">
        <v>0.96699864999999996</v>
      </c>
      <c r="AA83" s="60">
        <v>0.97332775999999999</v>
      </c>
      <c r="AB83" s="60">
        <v>5.2680984E-2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0.33863600000000105</v>
      </c>
      <c r="AN83" s="96">
        <f t="shared" si="5"/>
        <v>0.80541499999999644</v>
      </c>
      <c r="AO83" s="96">
        <f t="shared" si="6"/>
        <v>4.0460999999991643E-4</v>
      </c>
      <c r="AP83" s="96">
        <f t="shared" si="7"/>
        <v>1.3256400000000168E-3</v>
      </c>
      <c r="AQ83" s="121">
        <f t="shared" si="8"/>
        <v>-9.0292989999999976E-3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34.334361999999999</v>
      </c>
      <c r="Y84" s="190">
        <v>37.559314999999998</v>
      </c>
      <c r="Z84" s="190">
        <v>0.97919778999999996</v>
      </c>
      <c r="AA84" s="62">
        <v>0.98458318</v>
      </c>
      <c r="AB84" s="62">
        <v>3.3876629999999998E-2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1.1364009999999993</v>
      </c>
      <c r="AN84" s="122">
        <f t="shared" si="5"/>
        <v>0.91656799999999805</v>
      </c>
      <c r="AO84" s="122">
        <f t="shared" si="6"/>
        <v>2.7149999999975805E-5</v>
      </c>
      <c r="AP84" s="122">
        <f t="shared" si="7"/>
        <v>9.585600000000527E-4</v>
      </c>
      <c r="AQ84" s="88">
        <f t="shared" si="8"/>
        <v>-6.7608300000000024E-3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38.500692999999998</v>
      </c>
      <c r="Y85" s="190">
        <v>41.758516999999998</v>
      </c>
      <c r="Z85" s="190">
        <v>0.98874790999999995</v>
      </c>
      <c r="AA85" s="62">
        <v>0.99249451</v>
      </c>
      <c r="AB85" s="62">
        <v>1.8535418000000001E-2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2.1774679999999975</v>
      </c>
      <c r="AN85" s="122">
        <f t="shared" si="5"/>
        <v>1.297469999999997</v>
      </c>
      <c r="AO85" s="122">
        <f t="shared" si="6"/>
        <v>3.7993999999996753E-4</v>
      </c>
      <c r="AP85" s="122">
        <f t="shared" si="7"/>
        <v>6.1659000000002795E-4</v>
      </c>
      <c r="AQ85" s="88">
        <f t="shared" si="8"/>
        <v>-7.4485599999999999E-3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42.415197999999997</v>
      </c>
      <c r="Y86" s="190">
        <v>45.456685999999998</v>
      </c>
      <c r="Z86" s="190">
        <v>0.99368330999999999</v>
      </c>
      <c r="AA86" s="62">
        <v>0.99633839999999996</v>
      </c>
      <c r="AB86" s="62">
        <v>8.3855149999999996E-3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3.810539999999996</v>
      </c>
      <c r="AN86" s="122">
        <f t="shared" si="5"/>
        <v>2.4696169999999995</v>
      </c>
      <c r="AO86" s="122">
        <f t="shared" si="6"/>
        <v>4.2575000000000252E-4</v>
      </c>
      <c r="AP86" s="122">
        <f t="shared" si="7"/>
        <v>7.4616999999999045E-4</v>
      </c>
      <c r="AQ86" s="88">
        <f t="shared" si="8"/>
        <v>-6.8827339999999997E-3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30.872578000000001</v>
      </c>
      <c r="Y88" s="97">
        <v>34.702292999999997</v>
      </c>
      <c r="Z88" s="97">
        <v>0.96732048000000004</v>
      </c>
      <c r="AA88" s="60">
        <v>0.97358718</v>
      </c>
      <c r="AB88" s="60">
        <v>5.2282736000000003E-2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0.54180300000000159</v>
      </c>
      <c r="AN88" s="96">
        <f t="shared" si="5"/>
        <v>0.81337999999999511</v>
      </c>
      <c r="AO88" s="96">
        <f t="shared" si="6"/>
        <v>1.346400000000747E-4</v>
      </c>
      <c r="AP88" s="96">
        <f t="shared" si="7"/>
        <v>1.2511400000000394E-3</v>
      </c>
      <c r="AQ88" s="121">
        <f t="shared" si="8"/>
        <v>-7.9871600000000001E-3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34.360674000000003</v>
      </c>
      <c r="Y89" s="190">
        <v>37.607486000000002</v>
      </c>
      <c r="Z89" s="190">
        <v>0.97975082999999996</v>
      </c>
      <c r="AA89" s="62">
        <v>0.98517299999999997</v>
      </c>
      <c r="AB89" s="62">
        <v>3.3274646999999997E-2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0.90336600000000544</v>
      </c>
      <c r="AN89" s="122">
        <f t="shared" si="5"/>
        <v>0.72691300000000325</v>
      </c>
      <c r="AO89" s="122">
        <f t="shared" si="6"/>
        <v>6.5439999999972187E-5</v>
      </c>
      <c r="AP89" s="122">
        <f t="shared" si="7"/>
        <v>8.0742000000000314E-4</v>
      </c>
      <c r="AQ89" s="88">
        <f t="shared" si="8"/>
        <v>-6.1664470000000055E-3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38.561939000000002</v>
      </c>
      <c r="Y90" s="190">
        <v>41.858469999999997</v>
      </c>
      <c r="Z90" s="190">
        <v>0.98897303999999997</v>
      </c>
      <c r="AA90" s="62">
        <v>0.99264006000000005</v>
      </c>
      <c r="AB90" s="62">
        <v>1.8563708000000002E-2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1.8086950000000002</v>
      </c>
      <c r="AN90" s="122">
        <f t="shared" si="5"/>
        <v>1.1095439999999996</v>
      </c>
      <c r="AO90" s="122">
        <f t="shared" si="6"/>
        <v>3.4566999999996462E-4</v>
      </c>
      <c r="AP90" s="122">
        <f t="shared" si="7"/>
        <v>7.0919000000002619E-4</v>
      </c>
      <c r="AQ90" s="88">
        <f t="shared" si="8"/>
        <v>-5.8895219999999977E-3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42.623044999999998</v>
      </c>
      <c r="Y91" s="190">
        <v>45.681399999999996</v>
      </c>
      <c r="Z91" s="190">
        <v>0.99387884000000004</v>
      </c>
      <c r="AA91" s="62">
        <v>0.99644321000000002</v>
      </c>
      <c r="AB91" s="62">
        <v>8.1520740000000005E-3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3.4015169999999983</v>
      </c>
      <c r="AN91" s="122">
        <f t="shared" si="5"/>
        <v>2.1902049999999988</v>
      </c>
      <c r="AO91" s="122">
        <f t="shared" si="6"/>
        <v>3.9453000000000404E-4</v>
      </c>
      <c r="AP91" s="122">
        <f t="shared" si="7"/>
        <v>7.1860000000001367E-4</v>
      </c>
      <c r="AQ91" s="88">
        <f t="shared" si="8"/>
        <v>-5.5851800000000004E-3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30.965281999999998</v>
      </c>
      <c r="Y93" s="97">
        <v>34.759999000000001</v>
      </c>
      <c r="Z93" s="97">
        <v>0.96720910999999998</v>
      </c>
      <c r="AA93" s="60">
        <v>0.97361025999999995</v>
      </c>
      <c r="AB93" s="60">
        <v>5.4086648000000001E-2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0.56189399999999878</v>
      </c>
      <c r="AN93" s="96">
        <f t="shared" si="5"/>
        <v>0.64605699999999899</v>
      </c>
      <c r="AO93" s="96">
        <f t="shared" si="6"/>
        <v>-4.8750000000041815E-5</v>
      </c>
      <c r="AP93" s="96">
        <f t="shared" si="7"/>
        <v>7.3963999999993035E-4</v>
      </c>
      <c r="AQ93" s="121">
        <f t="shared" si="8"/>
        <v>-7.0551599999999978E-3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34.604270999999997</v>
      </c>
      <c r="Y94" s="190">
        <v>37.850830000000002</v>
      </c>
      <c r="Z94" s="190">
        <v>0.98005803000000002</v>
      </c>
      <c r="AA94" s="62">
        <v>0.98554976999999999</v>
      </c>
      <c r="AB94" s="62">
        <v>3.4133150000000001E-2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1.1676299999999955</v>
      </c>
      <c r="AN94" s="122">
        <f t="shared" si="5"/>
        <v>0.78114400000000472</v>
      </c>
      <c r="AO94" s="122">
        <f t="shared" si="6"/>
        <v>2.1439000000000874E-4</v>
      </c>
      <c r="AP94" s="122">
        <f t="shared" si="7"/>
        <v>8.4733999999997422E-4</v>
      </c>
      <c r="AQ94" s="88">
        <f t="shared" si="8"/>
        <v>-6.4809970000000022E-3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38.205936000000001</v>
      </c>
      <c r="Y95" s="190">
        <v>41.646424000000003</v>
      </c>
      <c r="Z95" s="190">
        <v>0.98914091000000004</v>
      </c>
      <c r="AA95" s="62">
        <v>0.99270683999999998</v>
      </c>
      <c r="AB95" s="62">
        <v>1.9693077E-2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1.415773999999999</v>
      </c>
      <c r="AN95" s="122">
        <f t="shared" si="5"/>
        <v>0.93276700000000545</v>
      </c>
      <c r="AO95" s="122">
        <f t="shared" si="6"/>
        <v>3.5843000000002068E-4</v>
      </c>
      <c r="AP95" s="122">
        <f t="shared" si="7"/>
        <v>5.3519000000001871E-4</v>
      </c>
      <c r="AQ95" s="88">
        <f t="shared" si="8"/>
        <v>-5.0134450000000018E-3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42.600710999999997</v>
      </c>
      <c r="Y96" s="190">
        <v>45.703164000000001</v>
      </c>
      <c r="Z96" s="190">
        <v>0.99393701999999995</v>
      </c>
      <c r="AA96" s="62">
        <v>0.99645888000000005</v>
      </c>
      <c r="AB96" s="62">
        <v>8.4156879999999993E-3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2.8910699999999991</v>
      </c>
      <c r="AN96" s="122">
        <f t="shared" si="5"/>
        <v>1.8102409999999978</v>
      </c>
      <c r="AO96" s="122">
        <f t="shared" si="6"/>
        <v>3.6714999999998277E-4</v>
      </c>
      <c r="AP96" s="122">
        <f t="shared" si="7"/>
        <v>7.4863000000002788E-4</v>
      </c>
      <c r="AQ96" s="88">
        <f t="shared" si="8"/>
        <v>-4.8447210000000015E-3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30.94726</v>
      </c>
      <c r="Y98" s="97">
        <v>35.038657000000001</v>
      </c>
      <c r="Z98" s="97">
        <v>0.96615519999999999</v>
      </c>
      <c r="AA98" s="60">
        <v>0.97362552000000002</v>
      </c>
      <c r="AB98" s="60">
        <v>5.6831814000000001E-2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8.4748000000001156E-2</v>
      </c>
      <c r="AN98" s="96">
        <f t="shared" si="15"/>
        <v>0.31774200000000263</v>
      </c>
      <c r="AO98" s="96">
        <f t="shared" si="16"/>
        <v>6.4720000000018096E-5</v>
      </c>
      <c r="AP98" s="96">
        <f t="shared" si="17"/>
        <v>4.5071000000007633E-4</v>
      </c>
      <c r="AQ98" s="121">
        <f t="shared" si="18"/>
        <v>-2.2330959999999969E-3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34.689146000000001</v>
      </c>
      <c r="Y99" s="190">
        <v>38.141986000000003</v>
      </c>
      <c r="Z99" s="190">
        <v>0.97979329999999998</v>
      </c>
      <c r="AA99" s="62">
        <v>0.98543380000000003</v>
      </c>
      <c r="AB99" s="62">
        <v>3.5685774000000003E-2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0.58008200000000443</v>
      </c>
      <c r="AN99" s="122">
        <f t="shared" si="15"/>
        <v>0.50178999999999974</v>
      </c>
      <c r="AO99" s="122">
        <f t="shared" si="16"/>
        <v>2.628099999999467E-4</v>
      </c>
      <c r="AP99" s="122">
        <f t="shared" si="17"/>
        <v>7.1752000000002703E-4</v>
      </c>
      <c r="AQ99" s="88">
        <f t="shared" si="18"/>
        <v>-2.178642999999994E-3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38.399242999999998</v>
      </c>
      <c r="Y100" s="190">
        <v>41.751694000000001</v>
      </c>
      <c r="Z100" s="190">
        <v>0.98909621000000003</v>
      </c>
      <c r="AA100" s="62">
        <v>0.99270959000000003</v>
      </c>
      <c r="AB100" s="62">
        <v>2.0505404000000001E-2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1.1203029999999998</v>
      </c>
      <c r="AN100" s="122">
        <f t="shared" si="15"/>
        <v>0.75563400000000058</v>
      </c>
      <c r="AO100" s="122">
        <f t="shared" si="16"/>
        <v>2.5682999999998568E-4</v>
      </c>
      <c r="AP100" s="122">
        <f t="shared" si="17"/>
        <v>4.3760999999997718E-4</v>
      </c>
      <c r="AQ100" s="88">
        <f t="shared" si="18"/>
        <v>-3.2098109999999999E-3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42.611099000000003</v>
      </c>
      <c r="Y101" s="190">
        <v>45.747967000000003</v>
      </c>
      <c r="Z101" s="190">
        <v>0.99396808000000003</v>
      </c>
      <c r="AA101" s="62">
        <v>0.99646541</v>
      </c>
      <c r="AB101" s="62">
        <v>9.0313019999999997E-3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2.1767420000000044</v>
      </c>
      <c r="AN101" s="122">
        <f t="shared" si="15"/>
        <v>1.4000510000000048</v>
      </c>
      <c r="AO101" s="122">
        <f t="shared" si="16"/>
        <v>3.2439000000006324E-4</v>
      </c>
      <c r="AP101" s="122">
        <f t="shared" si="17"/>
        <v>6.0762000000003091E-4</v>
      </c>
      <c r="AQ101" s="88">
        <f t="shared" si="18"/>
        <v>-3.4679389999999997E-3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31.087924999999998</v>
      </c>
      <c r="Y103" s="97">
        <v>35.366472000000002</v>
      </c>
      <c r="Z103" s="97">
        <v>0.96735042999999998</v>
      </c>
      <c r="AA103" s="60">
        <v>0.97657749999999999</v>
      </c>
      <c r="AB103" s="60">
        <v>6.2230617000000002E-2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0.36754599999999726</v>
      </c>
      <c r="AN103" s="96">
        <f t="shared" si="15"/>
        <v>1.0703969999999998</v>
      </c>
      <c r="AO103" s="96">
        <f t="shared" si="16"/>
        <v>-1.6683000000006221E-4</v>
      </c>
      <c r="AP103" s="96">
        <f t="shared" si="17"/>
        <v>8.1880000000000841E-4</v>
      </c>
      <c r="AQ103" s="121">
        <f t="shared" si="18"/>
        <v>-1.0621533000000002E-2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34.587552000000002</v>
      </c>
      <c r="Y104" s="190">
        <v>38.261972999999998</v>
      </c>
      <c r="Z104" s="190">
        <v>0.98018947000000001</v>
      </c>
      <c r="AA104" s="62">
        <v>0.98668834000000005</v>
      </c>
      <c r="AB104" s="62">
        <v>3.7454385E-2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1.1175449999999998</v>
      </c>
      <c r="AN104" s="122">
        <f t="shared" si="15"/>
        <v>1.3602209999999957</v>
      </c>
      <c r="AO104" s="122">
        <f t="shared" si="16"/>
        <v>1.2586999999997239E-4</v>
      </c>
      <c r="AP104" s="122">
        <f t="shared" si="17"/>
        <v>6.9078000000000195E-4</v>
      </c>
      <c r="AQ104" s="88">
        <f t="shared" si="18"/>
        <v>-1.0481694999999999E-2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38.985692999999998</v>
      </c>
      <c r="Y105" s="190">
        <v>42.113717999999999</v>
      </c>
      <c r="Z105" s="190">
        <v>0.98960340000000002</v>
      </c>
      <c r="AA105" s="62">
        <v>0.99352682000000003</v>
      </c>
      <c r="AB105" s="62">
        <v>1.9857809000000001E-2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2.986381999999999</v>
      </c>
      <c r="AN105" s="122">
        <f t="shared" si="15"/>
        <v>1.9134619999999956</v>
      </c>
      <c r="AO105" s="122">
        <f t="shared" si="16"/>
        <v>2.7831000000000383E-4</v>
      </c>
      <c r="AP105" s="122">
        <f t="shared" si="17"/>
        <v>6.2126000000006787E-4</v>
      </c>
      <c r="AQ105" s="88">
        <f t="shared" si="18"/>
        <v>-1.1914250999999997E-2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42.963149999999999</v>
      </c>
      <c r="Y106" s="190">
        <v>45.860154999999999</v>
      </c>
      <c r="Z106" s="190">
        <v>0.99394013000000003</v>
      </c>
      <c r="AA106" s="62">
        <v>0.99668873000000002</v>
      </c>
      <c r="AB106" s="62">
        <v>9.4940530000000006E-3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4.4276490000000024</v>
      </c>
      <c r="AN106" s="122">
        <f t="shared" si="15"/>
        <v>2.9385550000000009</v>
      </c>
      <c r="AO106" s="122">
        <f t="shared" si="16"/>
        <v>4.1242000000007994E-4</v>
      </c>
      <c r="AP106" s="122">
        <f t="shared" si="17"/>
        <v>6.4413000000007603E-4</v>
      </c>
      <c r="AQ106" s="88">
        <f t="shared" si="18"/>
        <v>-9.5374029999999981E-3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>
        <v>30.948094000000001</v>
      </c>
      <c r="Y108" s="97">
        <v>35.248156999999999</v>
      </c>
      <c r="Z108" s="97">
        <v>0.96943020999999996</v>
      </c>
      <c r="AA108" s="60">
        <v>0.97805368999999998</v>
      </c>
      <c r="AB108" s="60">
        <v>5.7934569999999998E-2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>
        <f t="shared" si="14"/>
        <v>-0.14917399999999859</v>
      </c>
      <c r="AN108" s="96">
        <f t="shared" si="15"/>
        <v>0.51898800000000023</v>
      </c>
      <c r="AO108" s="96">
        <f t="shared" si="16"/>
        <v>-1.2900000000093392E-5</v>
      </c>
      <c r="AP108" s="96">
        <f t="shared" si="17"/>
        <v>6.8999000000002919E-4</v>
      </c>
      <c r="AQ108" s="121">
        <f t="shared" si="18"/>
        <v>-6.6084600000000035E-3</v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>
        <v>34.346001999999999</v>
      </c>
      <c r="Y109" s="190">
        <v>38.072256000000003</v>
      </c>
      <c r="Z109" s="190">
        <v>0.98086021999999995</v>
      </c>
      <c r="AA109" s="62">
        <v>0.98695902000000002</v>
      </c>
      <c r="AB109" s="62">
        <v>3.6393347999999999E-2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>
        <f t="shared" si="14"/>
        <v>0.41951600000000155</v>
      </c>
      <c r="AN109" s="122">
        <f t="shared" si="15"/>
        <v>0.75324300000000477</v>
      </c>
      <c r="AO109" s="122">
        <f t="shared" si="16"/>
        <v>1.1349999999998861E-4</v>
      </c>
      <c r="AP109" s="122">
        <f t="shared" si="17"/>
        <v>4.8714999999999176E-4</v>
      </c>
      <c r="AQ109" s="88">
        <f t="shared" si="18"/>
        <v>-6.8184999999999982E-3</v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>
        <v>38.788262000000003</v>
      </c>
      <c r="Y110" s="190">
        <v>42.009321</v>
      </c>
      <c r="Z110" s="190">
        <v>0.9895621</v>
      </c>
      <c r="AA110" s="62">
        <v>0.99325021999999996</v>
      </c>
      <c r="AB110" s="62">
        <v>2.0069134999999998E-2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>
        <f t="shared" si="14"/>
        <v>1.5582480000000061</v>
      </c>
      <c r="AN110" s="122">
        <f t="shared" si="15"/>
        <v>0.98061700000000229</v>
      </c>
      <c r="AO110" s="122">
        <f t="shared" si="16"/>
        <v>3.1199000000003974E-4</v>
      </c>
      <c r="AP110" s="122">
        <f t="shared" si="17"/>
        <v>3.4171999999998981E-4</v>
      </c>
      <c r="AQ110" s="88">
        <f t="shared" si="18"/>
        <v>-6.432781000000002E-3</v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>
        <v>42.884534000000002</v>
      </c>
      <c r="Y111" s="190">
        <v>45.779533000000001</v>
      </c>
      <c r="Z111" s="190">
        <v>0.99391198999999997</v>
      </c>
      <c r="AA111" s="62">
        <v>0.99664056000000001</v>
      </c>
      <c r="AB111" s="62">
        <v>9.5565249999999997E-3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>
        <f t="shared" si="14"/>
        <v>3.8563540000000032</v>
      </c>
      <c r="AN111" s="122">
        <f t="shared" si="15"/>
        <v>2.4303659999999994</v>
      </c>
      <c r="AO111" s="122">
        <f t="shared" si="16"/>
        <v>3.72759999999972E-4</v>
      </c>
      <c r="AP111" s="122">
        <f t="shared" si="17"/>
        <v>6.1774000000003326E-4</v>
      </c>
      <c r="AQ111" s="88">
        <f t="shared" si="18"/>
        <v>-8.7894869999999986E-3</v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>
        <v>31.699839000000001</v>
      </c>
      <c r="Y113" s="97">
        <v>35.402227000000003</v>
      </c>
      <c r="Z113" s="97">
        <v>0.97029657000000002</v>
      </c>
      <c r="AA113" s="60">
        <v>0.97869397999999996</v>
      </c>
      <c r="AB113" s="60">
        <v>5.6175522999999998E-2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>
        <f t="shared" si="14"/>
        <v>0.62142700000000062</v>
      </c>
      <c r="AN113" s="96">
        <f t="shared" si="15"/>
        <v>0.70042100000000573</v>
      </c>
      <c r="AO113" s="96">
        <f t="shared" si="16"/>
        <v>6.3570000000012783E-5</v>
      </c>
      <c r="AP113" s="96">
        <f t="shared" si="17"/>
        <v>7.2518999999993117E-4</v>
      </c>
      <c r="AQ113" s="121">
        <f t="shared" si="18"/>
        <v>-1.0613616999999999E-2</v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>
        <v>34.682918999999998</v>
      </c>
      <c r="Y114" s="190">
        <v>37.994928999999999</v>
      </c>
      <c r="Z114" s="190">
        <v>0.98113963999999998</v>
      </c>
      <c r="AA114" s="62">
        <v>0.98699771999999997</v>
      </c>
      <c r="AB114" s="62">
        <v>3.7664666999999999E-2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>
        <f t="shared" si="14"/>
        <v>1.2549819999999983</v>
      </c>
      <c r="AN114" s="122">
        <f t="shared" si="15"/>
        <v>0.83595799999999798</v>
      </c>
      <c r="AO114" s="122">
        <f t="shared" si="16"/>
        <v>3.7199999999959488E-5</v>
      </c>
      <c r="AP114" s="122">
        <f t="shared" si="17"/>
        <v>5.5103999999994713E-4</v>
      </c>
      <c r="AQ114" s="88">
        <f t="shared" si="18"/>
        <v>-1.003275E-2</v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>
        <v>38.804803999999997</v>
      </c>
      <c r="Y115" s="190">
        <v>42.067478999999999</v>
      </c>
      <c r="Z115" s="190">
        <v>0.98951728000000005</v>
      </c>
      <c r="AA115" s="62">
        <v>0.99350727999999999</v>
      </c>
      <c r="AB115" s="62">
        <v>2.0258587000000002E-2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>
        <f t="shared" si="14"/>
        <v>2.446038999999999</v>
      </c>
      <c r="AN115" s="122">
        <f t="shared" si="15"/>
        <v>1.5574969999999979</v>
      </c>
      <c r="AO115" s="122">
        <f t="shared" si="16"/>
        <v>3.2744000000006768E-4</v>
      </c>
      <c r="AP115" s="122">
        <f t="shared" si="17"/>
        <v>6.795699999999627E-4</v>
      </c>
      <c r="AQ115" s="88">
        <f t="shared" si="18"/>
        <v>-1.0379093999999998E-2</v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>
        <v>42.969183999999998</v>
      </c>
      <c r="Y116" s="190">
        <v>45.958362999999999</v>
      </c>
      <c r="Z116" s="190">
        <v>0.99388089999999996</v>
      </c>
      <c r="AA116" s="62">
        <v>0.99672958</v>
      </c>
      <c r="AB116" s="62">
        <v>9.4182970000000008E-3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>
        <f t="shared" si="14"/>
        <v>3.6802530000000004</v>
      </c>
      <c r="AN116" s="122">
        <f t="shared" si="15"/>
        <v>2.4360379999999964</v>
      </c>
      <c r="AO116" s="122">
        <f t="shared" si="16"/>
        <v>3.5852999999996804E-4</v>
      </c>
      <c r="AP116" s="122">
        <f t="shared" si="17"/>
        <v>6.0736000000005674E-4</v>
      </c>
      <c r="AQ116" s="88">
        <f t="shared" si="18"/>
        <v>-7.2993959999999979E-3</v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>
        <v>32.336334000000001</v>
      </c>
      <c r="Y118" s="97">
        <v>36.104053</v>
      </c>
      <c r="Z118" s="97">
        <v>0.97164718000000005</v>
      </c>
      <c r="AA118" s="60">
        <v>0.98048475000000002</v>
      </c>
      <c r="AB118" s="60">
        <v>5.2640106999999998E-2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>
        <f t="shared" si="14"/>
        <v>0.44798300000000069</v>
      </c>
      <c r="AN118" s="96">
        <f t="shared" si="15"/>
        <v>0.80813400000000257</v>
      </c>
      <c r="AO118" s="96">
        <f t="shared" si="16"/>
        <v>2.7292000000000982E-4</v>
      </c>
      <c r="AP118" s="96">
        <f t="shared" si="17"/>
        <v>8.3690000000002929E-4</v>
      </c>
      <c r="AQ118" s="121">
        <f t="shared" si="18"/>
        <v>-7.6846529999999996E-3</v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>
        <v>35.155822999999998</v>
      </c>
      <c r="Y119" s="190">
        <v>38.499088999999998</v>
      </c>
      <c r="Z119" s="190">
        <v>0.98128064000000004</v>
      </c>
      <c r="AA119" s="62">
        <v>0.98766620999999999</v>
      </c>
      <c r="AB119" s="62">
        <v>3.5401130000000003E-2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>
        <f t="shared" si="14"/>
        <v>1.1825309999999973</v>
      </c>
      <c r="AN119" s="122">
        <f t="shared" si="15"/>
        <v>0.97231800000000135</v>
      </c>
      <c r="AO119" s="122">
        <f t="shared" si="16"/>
        <v>1.1740000000037831E-5</v>
      </c>
      <c r="AP119" s="122">
        <f t="shared" si="17"/>
        <v>5.2978000000003522E-4</v>
      </c>
      <c r="AQ119" s="88">
        <f t="shared" si="18"/>
        <v>-7.3724599999999973E-3</v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>
        <v>39.083204000000002</v>
      </c>
      <c r="Y120" s="190">
        <v>42.248824999999997</v>
      </c>
      <c r="Z120" s="190">
        <v>0.98934622000000005</v>
      </c>
      <c r="AA120" s="62">
        <v>0.99351544000000003</v>
      </c>
      <c r="AB120" s="62">
        <v>1.9756855E-2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>
        <f t="shared" si="14"/>
        <v>2.1842049999999986</v>
      </c>
      <c r="AN120" s="122">
        <f t="shared" si="15"/>
        <v>1.3937629999999999</v>
      </c>
      <c r="AO120" s="122">
        <f t="shared" si="16"/>
        <v>2.9048000000009289E-4</v>
      </c>
      <c r="AP120" s="122">
        <f t="shared" si="17"/>
        <v>4.6308999999999934E-4</v>
      </c>
      <c r="AQ120" s="88">
        <f t="shared" si="18"/>
        <v>-7.2542820000000008E-3</v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>
        <v>43.124009999999998</v>
      </c>
      <c r="Y121" s="190">
        <v>46.075406999999998</v>
      </c>
      <c r="Z121" s="190">
        <v>0.99380005999999999</v>
      </c>
      <c r="AA121" s="62">
        <v>0.99677313000000001</v>
      </c>
      <c r="AB121" s="62">
        <v>9.3740109999999998E-3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>
        <f t="shared" si="14"/>
        <v>3.2852669999999975</v>
      </c>
      <c r="AN121" s="122">
        <f t="shared" si="15"/>
        <v>2.097730999999996</v>
      </c>
      <c r="AO121" s="122">
        <f t="shared" si="16"/>
        <v>3.2973000000002806E-4</v>
      </c>
      <c r="AP121" s="122">
        <f t="shared" si="17"/>
        <v>6.4215000000000799E-4</v>
      </c>
      <c r="AQ121" s="88">
        <f t="shared" si="18"/>
        <v>-5.3691740000000009E-3</v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>
        <v>32.502783000000001</v>
      </c>
      <c r="Y123" s="97">
        <v>36.293146</v>
      </c>
      <c r="Z123" s="97">
        <v>0.97178317000000003</v>
      </c>
      <c r="AA123" s="60">
        <v>0.97978575999999995</v>
      </c>
      <c r="AB123" s="60">
        <v>5.3259703999999998E-2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>
        <f t="shared" si="14"/>
        <v>0.47279400000000038</v>
      </c>
      <c r="AN123" s="96">
        <f t="shared" si="15"/>
        <v>0.67809199999999947</v>
      </c>
      <c r="AO123" s="96">
        <f t="shared" si="16"/>
        <v>1.7098999999998199E-4</v>
      </c>
      <c r="AP123" s="96">
        <f t="shared" si="17"/>
        <v>4.4998999999990019E-4</v>
      </c>
      <c r="AQ123" s="121">
        <f t="shared" si="18"/>
        <v>-5.3229600000000016E-3</v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>
        <v>34.923478000000003</v>
      </c>
      <c r="Y124" s="190">
        <v>38.342635999999999</v>
      </c>
      <c r="Z124" s="190">
        <v>0.98154240000000004</v>
      </c>
      <c r="AA124" s="62">
        <v>0.98729602000000005</v>
      </c>
      <c r="AB124" s="62">
        <v>3.5628132999999999E-2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>
        <f t="shared" si="14"/>
        <v>0.61391200000000623</v>
      </c>
      <c r="AN124" s="122">
        <f t="shared" si="15"/>
        <v>0.68075999999999937</v>
      </c>
      <c r="AO124" s="122">
        <f t="shared" si="16"/>
        <v>2.0890000000051145E-5</v>
      </c>
      <c r="AP124" s="122">
        <f t="shared" si="17"/>
        <v>9.9180000000087531E-5</v>
      </c>
      <c r="AQ124" s="88">
        <f t="shared" si="18"/>
        <v>-5.8110499999999982E-3</v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>
        <v>39.089154000000001</v>
      </c>
      <c r="Y125" s="190">
        <v>42.222299</v>
      </c>
      <c r="Z125" s="190">
        <v>0.98950826000000003</v>
      </c>
      <c r="AA125" s="62">
        <v>0.99352032000000001</v>
      </c>
      <c r="AB125" s="62">
        <v>2.0087774999999999E-2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>
        <f t="shared" si="14"/>
        <v>1.656134999999999</v>
      </c>
      <c r="AN125" s="122">
        <f t="shared" si="15"/>
        <v>1.0305180000000007</v>
      </c>
      <c r="AO125" s="122">
        <f t="shared" si="16"/>
        <v>2.7965000000007567E-4</v>
      </c>
      <c r="AP125" s="122">
        <f t="shared" si="17"/>
        <v>4.1749000000002034E-4</v>
      </c>
      <c r="AQ125" s="88">
        <f t="shared" si="18"/>
        <v>-5.6517310000000001E-3</v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>
        <v>43.280147999999997</v>
      </c>
      <c r="Y126" s="190">
        <v>46.201438000000003</v>
      </c>
      <c r="Z126" s="190">
        <v>0.99389779</v>
      </c>
      <c r="AA126" s="62">
        <v>0.99680955000000004</v>
      </c>
      <c r="AB126" s="62">
        <v>9.3144765000000001E-3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>
        <f t="shared" si="14"/>
        <v>2.8392489999999952</v>
      </c>
      <c r="AN126" s="122">
        <f t="shared" si="15"/>
        <v>1.7720440000000011</v>
      </c>
      <c r="AO126" s="122">
        <f t="shared" si="16"/>
        <v>3.1026000000000664E-4</v>
      </c>
      <c r="AP126" s="122">
        <f t="shared" si="17"/>
        <v>6.631100000000778E-4</v>
      </c>
      <c r="AQ126" s="88">
        <f t="shared" si="18"/>
        <v>-4.5148329999999993E-3</v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>
        <v>32.491052000000003</v>
      </c>
      <c r="Y128" s="97">
        <v>36.272832000000001</v>
      </c>
      <c r="Z128" s="97">
        <v>0.97219080999999996</v>
      </c>
      <c r="AA128" s="60">
        <v>0.98009245</v>
      </c>
      <c r="AB128" s="60">
        <v>5.4546169999999998E-2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>
        <f t="shared" si="14"/>
        <v>0.46263600000000338</v>
      </c>
      <c r="AN128" s="96">
        <f t="shared" si="15"/>
        <v>0.48737700000000217</v>
      </c>
      <c r="AO128" s="96">
        <f t="shared" si="16"/>
        <v>1.7212999999993706E-4</v>
      </c>
      <c r="AP128" s="96">
        <f t="shared" si="17"/>
        <v>7.3292000000002577E-4</v>
      </c>
      <c r="AQ128" s="121">
        <f t="shared" si="18"/>
        <v>-3.7443560000000042E-3</v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>
        <v>34.899762000000003</v>
      </c>
      <c r="Y129" s="190">
        <v>38.304293000000001</v>
      </c>
      <c r="Z129" s="190">
        <v>0.98188067000000001</v>
      </c>
      <c r="AA129" s="62">
        <v>0.98746396999999997</v>
      </c>
      <c r="AB129" s="62">
        <v>3.6992833000000003E-2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>
        <f t="shared" si="14"/>
        <v>0.75062300000000448</v>
      </c>
      <c r="AN129" s="122">
        <f t="shared" si="15"/>
        <v>0.50281999999999982</v>
      </c>
      <c r="AO129" s="122">
        <f t="shared" si="16"/>
        <v>1.2646999999998965E-4</v>
      </c>
      <c r="AP129" s="122">
        <f t="shared" si="17"/>
        <v>5.4984999999996287E-4</v>
      </c>
      <c r="AQ129" s="88">
        <f t="shared" si="18"/>
        <v>-4.4412089999999946E-3</v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>
        <v>38.723013000000002</v>
      </c>
      <c r="Y130" s="190">
        <v>41.965294999999998</v>
      </c>
      <c r="Z130" s="190">
        <v>0.98974211000000001</v>
      </c>
      <c r="AA130" s="62">
        <v>0.99356465000000005</v>
      </c>
      <c r="AB130" s="62">
        <v>2.0735607E-2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>
        <f t="shared" si="14"/>
        <v>1.2978780000000043</v>
      </c>
      <c r="AN130" s="122">
        <f t="shared" si="15"/>
        <v>0.82143500000000103</v>
      </c>
      <c r="AO130" s="122">
        <f t="shared" si="16"/>
        <v>2.3265999999999565E-4</v>
      </c>
      <c r="AP130" s="122">
        <f t="shared" si="17"/>
        <v>4.3279000000007173E-4</v>
      </c>
      <c r="AQ130" s="88">
        <f t="shared" si="18"/>
        <v>-4.0210780000000008E-3</v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>
        <v>43.377915000000002</v>
      </c>
      <c r="Y131" s="190">
        <v>46.333905000000001</v>
      </c>
      <c r="Z131" s="190">
        <v>0.99402363999999999</v>
      </c>
      <c r="AA131" s="62">
        <v>0.99687627999999995</v>
      </c>
      <c r="AB131" s="62">
        <v>9.3846829999999996E-3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>
        <f t="shared" si="14"/>
        <v>2.3757920000000041</v>
      </c>
      <c r="AN131" s="122">
        <f t="shared" si="15"/>
        <v>1.4720390000000023</v>
      </c>
      <c r="AO131" s="122">
        <f t="shared" si="16"/>
        <v>2.6276999999996775E-4</v>
      </c>
      <c r="AP131" s="122">
        <f t="shared" si="17"/>
        <v>5.5161999999997491E-4</v>
      </c>
      <c r="AQ131" s="88">
        <f t="shared" si="18"/>
        <v>-3.4282010000000005E-3</v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>
        <v>32.269891999999999</v>
      </c>
      <c r="Y133" s="97">
        <v>36.440550999999999</v>
      </c>
      <c r="Z133" s="97">
        <v>0.97141816000000003</v>
      </c>
      <c r="AA133" s="60">
        <v>0.97959967999999997</v>
      </c>
      <c r="AB133" s="60">
        <v>5.8042959999999998E-2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>
        <f t="shared" si="14"/>
        <v>9.4839999999997815E-2</v>
      </c>
      <c r="AN133" s="96">
        <f t="shared" si="15"/>
        <v>0.35021700000000067</v>
      </c>
      <c r="AO133" s="96">
        <f t="shared" si="16"/>
        <v>9.9162000000008188E-4</v>
      </c>
      <c r="AP133" s="96">
        <f t="shared" si="17"/>
        <v>1.0216399999999348E-3</v>
      </c>
      <c r="AQ133" s="121">
        <f t="shared" si="18"/>
        <v>-1.0469400000000031E-3</v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>
        <v>34.955497000000001</v>
      </c>
      <c r="Y134" s="190">
        <v>38.514766999999999</v>
      </c>
      <c r="Z134" s="190">
        <v>0.98174486999999999</v>
      </c>
      <c r="AA134" s="62">
        <v>0.98721795000000001</v>
      </c>
      <c r="AB134" s="62">
        <v>3.8851549999999999E-2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>
        <f t="shared" si="14"/>
        <v>0.45677299999999832</v>
      </c>
      <c r="AN134" s="122">
        <f t="shared" si="15"/>
        <v>0.37618499999999955</v>
      </c>
      <c r="AO134" s="122">
        <f t="shared" si="16"/>
        <v>2.640899999999391E-4</v>
      </c>
      <c r="AP134" s="122">
        <f t="shared" si="17"/>
        <v>5.4971999999997578E-4</v>
      </c>
      <c r="AQ134" s="88">
        <f t="shared" si="18"/>
        <v>-1.2395619999999996E-3</v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>
        <v>38.906179999999999</v>
      </c>
      <c r="Y135" s="190">
        <v>42.053719000000001</v>
      </c>
      <c r="Z135" s="190">
        <v>0.98988973999999996</v>
      </c>
      <c r="AA135" s="62">
        <v>0.99354894000000005</v>
      </c>
      <c r="AB135" s="62">
        <v>2.1822773E-2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>
        <f t="shared" si="14"/>
        <v>1.0707909999999998</v>
      </c>
      <c r="AN135" s="122">
        <f t="shared" si="15"/>
        <v>0.67696300000000065</v>
      </c>
      <c r="AO135" s="122">
        <f t="shared" si="16"/>
        <v>1.3721999999993795E-4</v>
      </c>
      <c r="AP135" s="122">
        <f t="shared" si="17"/>
        <v>3.1617000000006001E-4</v>
      </c>
      <c r="AQ135" s="88">
        <f t="shared" si="18"/>
        <v>-2.5842020000000007E-3</v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>
        <v>43.410961999999998</v>
      </c>
      <c r="Y136" s="190">
        <v>46.314354000000002</v>
      </c>
      <c r="Z136" s="190">
        <v>0.99402780999999996</v>
      </c>
      <c r="AA136" s="62">
        <v>0.99683208999999995</v>
      </c>
      <c r="AB136" s="62">
        <v>1.0130648500000001E-2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>
        <f t="shared" si="14"/>
        <v>1.8159129999999948</v>
      </c>
      <c r="AN136" s="122">
        <f t="shared" si="15"/>
        <v>1.1326530000000048</v>
      </c>
      <c r="AO136" s="122">
        <f t="shared" si="16"/>
        <v>2.0849999999994484E-4</v>
      </c>
      <c r="AP136" s="122">
        <f t="shared" si="17"/>
        <v>4.9371999999991978E-4</v>
      </c>
      <c r="AQ136" s="88">
        <f t="shared" si="18"/>
        <v>-2.4863974999999993E-3</v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28.174388</v>
      </c>
      <c r="Y641" s="136">
        <f t="shared" si="60"/>
        <v>32.110996</v>
      </c>
      <c r="Z641" s="136">
        <f t="shared" si="60"/>
        <v>0.95983059999999998</v>
      </c>
      <c r="AA641" s="136">
        <f t="shared" si="60"/>
        <v>0.96703817000000003</v>
      </c>
      <c r="AB641" s="136">
        <f t="shared" si="60"/>
        <v>5.2282736000000003E-2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31.738620999999998</v>
      </c>
      <c r="Y642" s="18">
        <f t="shared" si="60"/>
        <v>34.881920000000001</v>
      </c>
      <c r="Z642" s="18">
        <f t="shared" si="60"/>
        <v>0.97700140999999996</v>
      </c>
      <c r="AA642" s="18">
        <f t="shared" si="60"/>
        <v>0.98128634000000003</v>
      </c>
      <c r="AB642" s="18">
        <f t="shared" si="60"/>
        <v>3.3274646999999997E-2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37.174315</v>
      </c>
      <c r="Y643" s="18">
        <f t="shared" si="60"/>
        <v>40.457946</v>
      </c>
      <c r="Z643" s="18">
        <f t="shared" si="60"/>
        <v>0.98823428000000002</v>
      </c>
      <c r="AA643" s="18">
        <f t="shared" si="60"/>
        <v>0.99175464000000002</v>
      </c>
      <c r="AB643" s="18">
        <f t="shared" si="60"/>
        <v>1.7858386E-2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41.474594000000003</v>
      </c>
      <c r="Y644" s="18">
        <f t="shared" si="60"/>
        <v>44.611742</v>
      </c>
      <c r="Z644" s="18">
        <f t="shared" si="60"/>
        <v>0.99360031000000004</v>
      </c>
      <c r="AA644" s="18">
        <f t="shared" si="60"/>
        <v>0.99609135000000004</v>
      </c>
      <c r="AB644" s="18">
        <f t="shared" si="60"/>
        <v>7.9951250000000005E-3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32.502783000000001</v>
      </c>
      <c r="Y646" s="136">
        <f t="shared" si="62"/>
        <v>36.440550999999999</v>
      </c>
      <c r="Z646" s="136">
        <f t="shared" si="62"/>
        <v>0.97219080999999996</v>
      </c>
      <c r="AA646" s="136">
        <f t="shared" si="62"/>
        <v>0.98048475000000002</v>
      </c>
      <c r="AB646" s="136">
        <f t="shared" si="62"/>
        <v>6.4113299999999998E-2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35.155822999999998</v>
      </c>
      <c r="Y647" s="18">
        <f t="shared" si="62"/>
        <v>38.514766999999999</v>
      </c>
      <c r="Z647" s="18">
        <f t="shared" si="62"/>
        <v>0.98188067000000001</v>
      </c>
      <c r="AA647" s="18">
        <f t="shared" si="62"/>
        <v>0.98766620999999999</v>
      </c>
      <c r="AB647" s="18">
        <f t="shared" si="62"/>
        <v>4.2930839999999998E-2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39.089154000000001</v>
      </c>
      <c r="Y648" s="18">
        <f t="shared" si="62"/>
        <v>42.248824999999997</v>
      </c>
      <c r="Z648" s="18">
        <f t="shared" si="62"/>
        <v>0.98988973999999996</v>
      </c>
      <c r="AA648" s="18">
        <f t="shared" si="62"/>
        <v>0.99356465000000005</v>
      </c>
      <c r="AB648" s="18">
        <f t="shared" si="62"/>
        <v>2.3300318E-2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43.410961999999998</v>
      </c>
      <c r="Y649" s="18">
        <f t="shared" si="62"/>
        <v>46.333905000000001</v>
      </c>
      <c r="Z649" s="18">
        <f t="shared" si="62"/>
        <v>0.99402780999999996</v>
      </c>
      <c r="AA649" s="18">
        <f t="shared" si="62"/>
        <v>0.99687627999999995</v>
      </c>
      <c r="AB649" s="18">
        <f t="shared" si="62"/>
        <v>1.0130648500000001E-2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4.3283950000000004</v>
      </c>
      <c r="Y651" s="136">
        <f t="shared" si="64"/>
        <v>4.3295549999999992</v>
      </c>
      <c r="Z651" s="136">
        <f t="shared" si="64"/>
        <v>1.2360209999999983E-2</v>
      </c>
      <c r="AA651" s="136">
        <f t="shared" si="64"/>
        <v>1.3446579999999986E-2</v>
      </c>
      <c r="AB651" s="136">
        <f t="shared" si="64"/>
        <v>1.1830563999999995E-2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3.4172019999999996</v>
      </c>
      <c r="Y652" s="18">
        <f t="shared" si="64"/>
        <v>3.6328469999999982</v>
      </c>
      <c r="Z652" s="18">
        <f t="shared" si="64"/>
        <v>4.8792600000000519E-3</v>
      </c>
      <c r="AA652" s="18">
        <f t="shared" si="64"/>
        <v>6.3798699999999542E-3</v>
      </c>
      <c r="AB652" s="18">
        <f t="shared" si="64"/>
        <v>9.6561930000000004E-3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1.9148390000000006</v>
      </c>
      <c r="Y653" s="18">
        <f t="shared" si="64"/>
        <v>1.7908789999999968</v>
      </c>
      <c r="Z653" s="18">
        <f t="shared" si="64"/>
        <v>1.655459999999942E-3</v>
      </c>
      <c r="AA653" s="18">
        <f t="shared" si="64"/>
        <v>1.8100100000000285E-3</v>
      </c>
      <c r="AB653" s="18">
        <f t="shared" si="64"/>
        <v>5.441932E-3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1.9363679999999945</v>
      </c>
      <c r="Y654" s="18">
        <f t="shared" si="64"/>
        <v>1.7221630000000019</v>
      </c>
      <c r="Z654" s="18">
        <f t="shared" si="64"/>
        <v>4.2749999999991406E-4</v>
      </c>
      <c r="AA654" s="18">
        <f t="shared" si="64"/>
        <v>7.8492999999990598E-4</v>
      </c>
      <c r="AB654" s="18">
        <f t="shared" si="64"/>
        <v>2.1355235E-3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2025-06-03T08:22:13Z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