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2E4BDCBC-A935-4E29-BE10-E99F2940CB2C}" xr6:coauthVersionLast="47" xr6:coauthVersionMax="47" xr10:uidLastSave="{00000000-0000-0000-0000-000000000000}"/>
  <bookViews>
    <workbookView xWindow="3840" yWindow="3840" windowWidth="11904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0" l="1"/>
  <c r="I654" i="10"/>
  <c r="F654" i="10"/>
  <c r="Z653" i="10"/>
  <c r="Z652" i="10"/>
  <c r="Y652" i="10"/>
  <c r="I652" i="10"/>
  <c r="H652" i="10"/>
  <c r="Y651" i="10"/>
  <c r="X651" i="10"/>
  <c r="H651" i="10"/>
  <c r="F651" i="10"/>
  <c r="AB649" i="10"/>
  <c r="AB654" i="10" s="1"/>
  <c r="AA649" i="10"/>
  <c r="AA654" i="10" s="1"/>
  <c r="Z649" i="10"/>
  <c r="Y649" i="10"/>
  <c r="Y654" i="10" s="1"/>
  <c r="X649" i="10"/>
  <c r="X654" i="10" s="1"/>
  <c r="J649" i="10"/>
  <c r="I649" i="10"/>
  <c r="H649" i="10"/>
  <c r="H654" i="10" s="1"/>
  <c r="G649" i="10"/>
  <c r="G654" i="10" s="1"/>
  <c r="F649" i="10"/>
  <c r="AB648" i="10"/>
  <c r="AB653" i="10" s="1"/>
  <c r="AA648" i="10"/>
  <c r="AA653" i="10" s="1"/>
  <c r="Z648" i="10"/>
  <c r="Y648" i="10"/>
  <c r="X648" i="10"/>
  <c r="X653" i="10" s="1"/>
  <c r="J648" i="10"/>
  <c r="J653" i="10" s="1"/>
  <c r="I648" i="10"/>
  <c r="H648" i="10"/>
  <c r="G648" i="10"/>
  <c r="F648" i="10"/>
  <c r="AB647" i="10"/>
  <c r="AA647" i="10"/>
  <c r="AA652" i="10" s="1"/>
  <c r="Z647" i="10"/>
  <c r="Y647" i="10"/>
  <c r="X647" i="10"/>
  <c r="J647" i="10"/>
  <c r="J652" i="10" s="1"/>
  <c r="I647" i="10"/>
  <c r="H647" i="10"/>
  <c r="G647" i="10"/>
  <c r="G652" i="10" s="1"/>
  <c r="F647" i="10"/>
  <c r="F652" i="10" s="1"/>
  <c r="AB646" i="10"/>
  <c r="AA646" i="10"/>
  <c r="AA651" i="10" s="1"/>
  <c r="Z646" i="10"/>
  <c r="Z651" i="10" s="1"/>
  <c r="Y646" i="10"/>
  <c r="X646" i="10"/>
  <c r="J646" i="10"/>
  <c r="J651" i="10" s="1"/>
  <c r="I646" i="10"/>
  <c r="I651" i="10" s="1"/>
  <c r="H646" i="10"/>
  <c r="G646" i="10"/>
  <c r="G651" i="10" s="1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I653" i="10" s="1"/>
  <c r="H643" i="10"/>
  <c r="H653" i="10" s="1"/>
  <c r="G643" i="10"/>
  <c r="F643" i="10"/>
  <c r="F653" i="10" s="1"/>
  <c r="AB642" i="10"/>
  <c r="AB652" i="10" s="1"/>
  <c r="AA642" i="10"/>
  <c r="Z642" i="10"/>
  <c r="Y642" i="10"/>
  <c r="X642" i="10"/>
  <c r="X652" i="10" s="1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W7" i="10" s="1"/>
  <c r="E25" i="10"/>
  <c r="W24" i="10"/>
  <c r="E24" i="10"/>
  <c r="E6" i="10" s="1"/>
  <c r="W23" i="10"/>
  <c r="E23" i="10"/>
  <c r="U13" i="10"/>
  <c r="C13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J10" i="10" s="1"/>
  <c r="AI5" i="10"/>
  <c r="AI10" i="10" s="1"/>
  <c r="AH5" i="10"/>
  <c r="AH10" i="10" s="1"/>
  <c r="AB5" i="10"/>
  <c r="AA5" i="10"/>
  <c r="Z5" i="10"/>
  <c r="Y5" i="10"/>
  <c r="X5" i="10"/>
  <c r="W5" i="10"/>
  <c r="R5" i="10"/>
  <c r="R10" i="10" s="1"/>
  <c r="Q5" i="10"/>
  <c r="P5" i="10"/>
  <c r="P10" i="10" s="1"/>
  <c r="J5" i="10"/>
  <c r="I5" i="10"/>
  <c r="H5" i="10"/>
  <c r="G5" i="10"/>
  <c r="F5" i="10"/>
  <c r="E5" i="10"/>
  <c r="AL2" i="10"/>
  <c r="U2" i="10"/>
  <c r="T2" i="10"/>
  <c r="C2" i="10"/>
  <c r="Y654" i="9"/>
  <c r="J654" i="9"/>
  <c r="I654" i="9"/>
  <c r="G654" i="9"/>
  <c r="I653" i="9"/>
  <c r="H653" i="9"/>
  <c r="G653" i="9"/>
  <c r="AB652" i="9"/>
  <c r="AA652" i="9"/>
  <c r="H652" i="9"/>
  <c r="AA651" i="9"/>
  <c r="Y651" i="9"/>
  <c r="X651" i="9"/>
  <c r="I651" i="9"/>
  <c r="H651" i="9"/>
  <c r="G651" i="9"/>
  <c r="AB649" i="9"/>
  <c r="AA649" i="9"/>
  <c r="AA654" i="9" s="1"/>
  <c r="Z649" i="9"/>
  <c r="Z654" i="9" s="1"/>
  <c r="Y649" i="9"/>
  <c r="X649" i="9"/>
  <c r="X654" i="9" s="1"/>
  <c r="J649" i="9"/>
  <c r="I649" i="9"/>
  <c r="H649" i="9"/>
  <c r="G649" i="9"/>
  <c r="F649" i="9"/>
  <c r="F654" i="9" s="1"/>
  <c r="AB648" i="9"/>
  <c r="AA648" i="9"/>
  <c r="Z648" i="9"/>
  <c r="Y648" i="9"/>
  <c r="X648" i="9"/>
  <c r="J648" i="9"/>
  <c r="J653" i="9" s="1"/>
  <c r="I648" i="9"/>
  <c r="H648" i="9"/>
  <c r="G648" i="9"/>
  <c r="F648" i="9"/>
  <c r="F653" i="9" s="1"/>
  <c r="AB647" i="9"/>
  <c r="AA647" i="9"/>
  <c r="Z647" i="9"/>
  <c r="Z652" i="9" s="1"/>
  <c r="Y647" i="9"/>
  <c r="Y652" i="9" s="1"/>
  <c r="X647" i="9"/>
  <c r="X652" i="9" s="1"/>
  <c r="J647" i="9"/>
  <c r="I647" i="9"/>
  <c r="I652" i="9" s="1"/>
  <c r="H647" i="9"/>
  <c r="G647" i="9"/>
  <c r="F647" i="9"/>
  <c r="F652" i="9" s="1"/>
  <c r="AB646" i="9"/>
  <c r="AB651" i="9" s="1"/>
  <c r="AA646" i="9"/>
  <c r="Z646" i="9"/>
  <c r="Z651" i="9" s="1"/>
  <c r="Y646" i="9"/>
  <c r="X646" i="9"/>
  <c r="J646" i="9"/>
  <c r="I646" i="9"/>
  <c r="H646" i="9"/>
  <c r="G646" i="9"/>
  <c r="F646" i="9"/>
  <c r="AB644" i="9"/>
  <c r="AB654" i="9" s="1"/>
  <c r="AA644" i="9"/>
  <c r="Z644" i="9"/>
  <c r="Y644" i="9"/>
  <c r="X644" i="9"/>
  <c r="J644" i="9"/>
  <c r="I644" i="9"/>
  <c r="H644" i="9"/>
  <c r="G644" i="9"/>
  <c r="F644" i="9"/>
  <c r="AB643" i="9"/>
  <c r="AB653" i="9" s="1"/>
  <c r="AA643" i="9"/>
  <c r="AA653" i="9" s="1"/>
  <c r="Z643" i="9"/>
  <c r="Y643" i="9"/>
  <c r="Y653" i="9" s="1"/>
  <c r="X643" i="9"/>
  <c r="X653" i="9" s="1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G652" i="9" s="1"/>
  <c r="F642" i="9"/>
  <c r="AB641" i="9"/>
  <c r="AA641" i="9"/>
  <c r="Z641" i="9"/>
  <c r="Y641" i="9"/>
  <c r="X641" i="9"/>
  <c r="J641" i="9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E25" i="9"/>
  <c r="W24" i="9"/>
  <c r="E24" i="9"/>
  <c r="W23" i="9"/>
  <c r="W5" i="9" s="1"/>
  <c r="E23" i="9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Q10" i="9" s="1"/>
  <c r="P7" i="9"/>
  <c r="P10" i="9" s="1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H10" i="9" s="1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X654" i="8"/>
  <c r="G654" i="8"/>
  <c r="AB653" i="8"/>
  <c r="AA653" i="8"/>
  <c r="Z653" i="8"/>
  <c r="Y653" i="8"/>
  <c r="X653" i="8"/>
  <c r="AA652" i="8"/>
  <c r="Z651" i="8"/>
  <c r="G651" i="8"/>
  <c r="F651" i="8"/>
  <c r="AB649" i="8"/>
  <c r="AB654" i="8" s="1"/>
  <c r="AA649" i="8"/>
  <c r="Z649" i="8"/>
  <c r="Z654" i="8" s="1"/>
  <c r="Y649" i="8"/>
  <c r="Y654" i="8" s="1"/>
  <c r="X649" i="8"/>
  <c r="J649" i="8"/>
  <c r="I649" i="8"/>
  <c r="I654" i="8" s="1"/>
  <c r="H649" i="8"/>
  <c r="G649" i="8"/>
  <c r="F649" i="8"/>
  <c r="F654" i="8" s="1"/>
  <c r="AB648" i="8"/>
  <c r="AA648" i="8"/>
  <c r="Z648" i="8"/>
  <c r="Y648" i="8"/>
  <c r="X648" i="8"/>
  <c r="J648" i="8"/>
  <c r="I648" i="8"/>
  <c r="H648" i="8"/>
  <c r="G648" i="8"/>
  <c r="F648" i="8"/>
  <c r="AB647" i="8"/>
  <c r="AB652" i="8" s="1"/>
  <c r="AA647" i="8"/>
  <c r="Z647" i="8"/>
  <c r="Y647" i="8"/>
  <c r="Y652" i="8" s="1"/>
  <c r="X647" i="8"/>
  <c r="X652" i="8" s="1"/>
  <c r="J647" i="8"/>
  <c r="I647" i="8"/>
  <c r="I652" i="8" s="1"/>
  <c r="H647" i="8"/>
  <c r="H652" i="8" s="1"/>
  <c r="G647" i="8"/>
  <c r="G652" i="8" s="1"/>
  <c r="F647" i="8"/>
  <c r="AB646" i="8"/>
  <c r="AB651" i="8" s="1"/>
  <c r="AA646" i="8"/>
  <c r="AA651" i="8" s="1"/>
  <c r="Z646" i="8"/>
  <c r="Y646" i="8"/>
  <c r="X646" i="8"/>
  <c r="X651" i="8" s="1"/>
  <c r="J646" i="8"/>
  <c r="I646" i="8"/>
  <c r="H646" i="8"/>
  <c r="H651" i="8" s="1"/>
  <c r="G646" i="8"/>
  <c r="F646" i="8"/>
  <c r="AB644" i="8"/>
  <c r="AA644" i="8"/>
  <c r="Z644" i="8"/>
  <c r="Y644" i="8"/>
  <c r="X644" i="8"/>
  <c r="J644" i="8"/>
  <c r="I644" i="8"/>
  <c r="H644" i="8"/>
  <c r="H654" i="8" s="1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Z652" i="8" s="1"/>
  <c r="Y642" i="8"/>
  <c r="X642" i="8"/>
  <c r="J642" i="8"/>
  <c r="J652" i="8" s="1"/>
  <c r="I642" i="8"/>
  <c r="H642" i="8"/>
  <c r="G642" i="8"/>
  <c r="F642" i="8"/>
  <c r="AB641" i="8"/>
  <c r="AA641" i="8"/>
  <c r="Z641" i="8"/>
  <c r="Y641" i="8"/>
  <c r="X641" i="8"/>
  <c r="J641" i="8"/>
  <c r="J651" i="8" s="1"/>
  <c r="I641" i="8"/>
  <c r="I651" i="8" s="1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W6" i="8" s="1"/>
  <c r="E24" i="8"/>
  <c r="E6" i="8" s="1"/>
  <c r="W23" i="8"/>
  <c r="W5" i="8" s="1"/>
  <c r="E23" i="8"/>
  <c r="U13" i="8"/>
  <c r="C13" i="8"/>
  <c r="AJ10" i="8"/>
  <c r="P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I5" i="8"/>
  <c r="AH5" i="8"/>
  <c r="AB5" i="8"/>
  <c r="AA5" i="8"/>
  <c r="Z5" i="8"/>
  <c r="Y5" i="8"/>
  <c r="X5" i="8"/>
  <c r="R5" i="8"/>
  <c r="R10" i="8" s="1"/>
  <c r="Q5" i="8"/>
  <c r="Q10" i="8" s="1"/>
  <c r="P5" i="8"/>
  <c r="J5" i="8"/>
  <c r="I5" i="8"/>
  <c r="H5" i="8"/>
  <c r="G5" i="8"/>
  <c r="F5" i="8"/>
  <c r="E5" i="8"/>
  <c r="AL2" i="8"/>
  <c r="U2" i="8"/>
  <c r="T2" i="8"/>
  <c r="C2" i="8"/>
  <c r="J653" i="7"/>
  <c r="I653" i="7"/>
  <c r="H653" i="7"/>
  <c r="G653" i="7"/>
  <c r="F653" i="7"/>
  <c r="Z652" i="7"/>
  <c r="AA651" i="7"/>
  <c r="Y651" i="7"/>
  <c r="X651" i="7"/>
  <c r="J651" i="7"/>
  <c r="AB649" i="7"/>
  <c r="AA649" i="7"/>
  <c r="Z649" i="7"/>
  <c r="Y649" i="7"/>
  <c r="Y654" i="7" s="1"/>
  <c r="X649" i="7"/>
  <c r="X654" i="7" s="1"/>
  <c r="J649" i="7"/>
  <c r="I649" i="7"/>
  <c r="H649" i="7"/>
  <c r="G649" i="7"/>
  <c r="F649" i="7"/>
  <c r="AB648" i="7"/>
  <c r="AB653" i="7" s="1"/>
  <c r="AA648" i="7"/>
  <c r="AA653" i="7" s="1"/>
  <c r="Z648" i="7"/>
  <c r="Y648" i="7"/>
  <c r="X648" i="7"/>
  <c r="X653" i="7" s="1"/>
  <c r="J648" i="7"/>
  <c r="I648" i="7"/>
  <c r="H648" i="7"/>
  <c r="G648" i="7"/>
  <c r="F648" i="7"/>
  <c r="AB647" i="7"/>
  <c r="AB652" i="7" s="1"/>
  <c r="AA647" i="7"/>
  <c r="AA652" i="7" s="1"/>
  <c r="Z647" i="7"/>
  <c r="Y647" i="7"/>
  <c r="Y652" i="7" s="1"/>
  <c r="X647" i="7"/>
  <c r="X652" i="7" s="1"/>
  <c r="J647" i="7"/>
  <c r="J652" i="7" s="1"/>
  <c r="I647" i="7"/>
  <c r="H647" i="7"/>
  <c r="G647" i="7"/>
  <c r="F647" i="7"/>
  <c r="AB646" i="7"/>
  <c r="AA646" i="7"/>
  <c r="Z646" i="7"/>
  <c r="Z651" i="7" s="1"/>
  <c r="Y646" i="7"/>
  <c r="X646" i="7"/>
  <c r="J646" i="7"/>
  <c r="I646" i="7"/>
  <c r="H646" i="7"/>
  <c r="G646" i="7"/>
  <c r="G651" i="7" s="1"/>
  <c r="F646" i="7"/>
  <c r="F651" i="7" s="1"/>
  <c r="AB644" i="7"/>
  <c r="AA644" i="7"/>
  <c r="AA654" i="7" s="1"/>
  <c r="Z644" i="7"/>
  <c r="Z654" i="7" s="1"/>
  <c r="Y644" i="7"/>
  <c r="X644" i="7"/>
  <c r="J644" i="7"/>
  <c r="J654" i="7" s="1"/>
  <c r="I644" i="7"/>
  <c r="I654" i="7" s="1"/>
  <c r="H644" i="7"/>
  <c r="H654" i="7" s="1"/>
  <c r="G644" i="7"/>
  <c r="F644" i="7"/>
  <c r="AB643" i="7"/>
  <c r="AA643" i="7"/>
  <c r="Z643" i="7"/>
  <c r="Y643" i="7"/>
  <c r="X643" i="7"/>
  <c r="J643" i="7"/>
  <c r="I643" i="7"/>
  <c r="H643" i="7"/>
  <c r="G643" i="7"/>
  <c r="F643" i="7"/>
  <c r="AB642" i="7"/>
  <c r="AA642" i="7"/>
  <c r="Z642" i="7"/>
  <c r="Y642" i="7"/>
  <c r="X642" i="7"/>
  <c r="J642" i="7"/>
  <c r="I642" i="7"/>
  <c r="I652" i="7" s="1"/>
  <c r="H642" i="7"/>
  <c r="H652" i="7" s="1"/>
  <c r="G642" i="7"/>
  <c r="F642" i="7"/>
  <c r="F652" i="7" s="1"/>
  <c r="AB641" i="7"/>
  <c r="AB651" i="7" s="1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E25" i="7"/>
  <c r="E7" i="7" s="1"/>
  <c r="W24" i="7"/>
  <c r="E24" i="7"/>
  <c r="E6" i="7" s="1"/>
  <c r="W23" i="7"/>
  <c r="E23" i="7"/>
  <c r="U13" i="7"/>
  <c r="C13" i="7"/>
  <c r="AJ10" i="7"/>
  <c r="AI10" i="7"/>
  <c r="AH10" i="7"/>
  <c r="AJ8" i="7"/>
  <c r="AI8" i="7"/>
  <c r="AH8" i="7"/>
  <c r="AB8" i="7"/>
  <c r="AA8" i="7"/>
  <c r="Z8" i="7"/>
  <c r="Y8" i="7"/>
  <c r="X8" i="7"/>
  <c r="R8" i="7"/>
  <c r="Q8" i="7"/>
  <c r="P8" i="7"/>
  <c r="P10" i="7" s="1"/>
  <c r="J8" i="7"/>
  <c r="I8" i="7"/>
  <c r="H8" i="7"/>
  <c r="G8" i="7"/>
  <c r="F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I5" i="7"/>
  <c r="AH5" i="7"/>
  <c r="AB5" i="7"/>
  <c r="AA5" i="7"/>
  <c r="Z5" i="7"/>
  <c r="Y5" i="7"/>
  <c r="X5" i="7"/>
  <c r="W5" i="7"/>
  <c r="R5" i="7"/>
  <c r="R10" i="7" s="1"/>
  <c r="Q5" i="7"/>
  <c r="Q10" i="7" s="1"/>
  <c r="P5" i="7"/>
  <c r="J5" i="7"/>
  <c r="I5" i="7"/>
  <c r="H5" i="7"/>
  <c r="G5" i="7"/>
  <c r="F5" i="7"/>
  <c r="E5" i="7"/>
  <c r="AL2" i="7"/>
  <c r="U2" i="7"/>
  <c r="T2" i="7"/>
  <c r="C2" i="7"/>
  <c r="M112" i="6"/>
  <c r="L112" i="6"/>
  <c r="F108" i="6"/>
  <c r="F109" i="6" s="1"/>
  <c r="B108" i="6"/>
  <c r="F107" i="6"/>
  <c r="B107" i="6"/>
  <c r="B106" i="6"/>
  <c r="L103" i="6"/>
  <c r="L105" i="6" s="1"/>
  <c r="F103" i="6"/>
  <c r="F106" i="6" s="1"/>
  <c r="M101" i="6"/>
  <c r="L101" i="6"/>
  <c r="F96" i="6"/>
  <c r="F97" i="6" s="1"/>
  <c r="F98" i="6" s="1"/>
  <c r="B96" i="6"/>
  <c r="B95" i="6"/>
  <c r="L92" i="6"/>
  <c r="F92" i="6"/>
  <c r="F95" i="6" s="1"/>
  <c r="M90" i="6"/>
  <c r="L90" i="6"/>
  <c r="F86" i="6"/>
  <c r="F87" i="6" s="1"/>
  <c r="B84" i="6"/>
  <c r="F81" i="6"/>
  <c r="F84" i="6" s="1"/>
  <c r="F85" i="6" s="1"/>
  <c r="M79" i="6"/>
  <c r="L79" i="6"/>
  <c r="F76" i="6"/>
  <c r="F74" i="6"/>
  <c r="F75" i="6" s="1"/>
  <c r="B73" i="6"/>
  <c r="L72" i="6"/>
  <c r="L70" i="6"/>
  <c r="F70" i="6"/>
  <c r="F73" i="6" s="1"/>
  <c r="M68" i="6"/>
  <c r="L68" i="6"/>
  <c r="F63" i="6"/>
  <c r="F64" i="6" s="1"/>
  <c r="F65" i="6" s="1"/>
  <c r="B63" i="6"/>
  <c r="B62" i="6"/>
  <c r="L59" i="6"/>
  <c r="L61" i="6" s="1"/>
  <c r="F59" i="6"/>
  <c r="F62" i="6" s="1"/>
  <c r="M57" i="6"/>
  <c r="L57" i="6"/>
  <c r="F52" i="6"/>
  <c r="F53" i="6" s="1"/>
  <c r="F54" i="6" s="1"/>
  <c r="B51" i="6"/>
  <c r="L48" i="6"/>
  <c r="L50" i="6" s="1"/>
  <c r="F48" i="6"/>
  <c r="F51" i="6" s="1"/>
  <c r="M46" i="6"/>
  <c r="L46" i="6"/>
  <c r="B43" i="6"/>
  <c r="F42" i="6"/>
  <c r="F43" i="6" s="1"/>
  <c r="B42" i="6"/>
  <c r="F41" i="6"/>
  <c r="B41" i="6"/>
  <c r="B40" i="6"/>
  <c r="F37" i="6"/>
  <c r="F40" i="6" s="1"/>
  <c r="M35" i="6"/>
  <c r="L35" i="6"/>
  <c r="B29" i="6"/>
  <c r="F26" i="6"/>
  <c r="F29" i="6" s="1"/>
  <c r="F30" i="6" s="1"/>
  <c r="F31" i="6" s="1"/>
  <c r="F32" i="6" s="1"/>
  <c r="M24" i="6"/>
  <c r="L24" i="6"/>
  <c r="B18" i="6"/>
  <c r="F15" i="6"/>
  <c r="F18" i="6" s="1"/>
  <c r="F19" i="6" s="1"/>
  <c r="F20" i="6" s="1"/>
  <c r="F21" i="6" s="1"/>
  <c r="M13" i="6"/>
  <c r="L13" i="6"/>
  <c r="B8" i="6"/>
  <c r="B7" i="6"/>
  <c r="F4" i="6"/>
  <c r="F7" i="6" s="1"/>
  <c r="F8" i="6" s="1"/>
  <c r="F9" i="6" s="1"/>
  <c r="F10" i="6" s="1"/>
  <c r="F2" i="6"/>
  <c r="M50" i="6" s="1"/>
  <c r="B2" i="6"/>
  <c r="M112" i="5"/>
  <c r="L112" i="5"/>
  <c r="F108" i="5"/>
  <c r="F109" i="5" s="1"/>
  <c r="F107" i="5"/>
  <c r="F106" i="5"/>
  <c r="B106" i="5"/>
  <c r="M105" i="5"/>
  <c r="F103" i="5"/>
  <c r="L103" i="5" s="1"/>
  <c r="M101" i="5"/>
  <c r="L101" i="5"/>
  <c r="B96" i="5"/>
  <c r="B95" i="5"/>
  <c r="L92" i="5"/>
  <c r="F92" i="5"/>
  <c r="F95" i="5" s="1"/>
  <c r="F96" i="5" s="1"/>
  <c r="F97" i="5" s="1"/>
  <c r="F98" i="5" s="1"/>
  <c r="M90" i="5"/>
  <c r="L90" i="5"/>
  <c r="F86" i="5"/>
  <c r="F87" i="5" s="1"/>
  <c r="B84" i="5"/>
  <c r="F81" i="5"/>
  <c r="F84" i="5" s="1"/>
  <c r="F85" i="5" s="1"/>
  <c r="M79" i="5"/>
  <c r="L79" i="5"/>
  <c r="B74" i="5"/>
  <c r="B73" i="5"/>
  <c r="F70" i="5"/>
  <c r="F73" i="5" s="1"/>
  <c r="F74" i="5" s="1"/>
  <c r="F75" i="5" s="1"/>
  <c r="F76" i="5" s="1"/>
  <c r="M68" i="5"/>
  <c r="L68" i="5"/>
  <c r="B63" i="5"/>
  <c r="B64" i="5" s="1"/>
  <c r="F62" i="5"/>
  <c r="F63" i="5" s="1"/>
  <c r="F64" i="5" s="1"/>
  <c r="F65" i="5" s="1"/>
  <c r="B62" i="5"/>
  <c r="M61" i="5"/>
  <c r="L59" i="5"/>
  <c r="L61" i="5" s="1"/>
  <c r="F59" i="5"/>
  <c r="M57" i="5"/>
  <c r="L57" i="5"/>
  <c r="B54" i="5"/>
  <c r="B53" i="5"/>
  <c r="B52" i="5"/>
  <c r="B51" i="5"/>
  <c r="L50" i="5"/>
  <c r="L48" i="5"/>
  <c r="F48" i="5"/>
  <c r="F51" i="5" s="1"/>
  <c r="F52" i="5" s="1"/>
  <c r="F53" i="5" s="1"/>
  <c r="F54" i="5" s="1"/>
  <c r="M46" i="5"/>
  <c r="L46" i="5"/>
  <c r="F42" i="5"/>
  <c r="F43" i="5" s="1"/>
  <c r="B40" i="5"/>
  <c r="F37" i="5"/>
  <c r="F40" i="5" s="1"/>
  <c r="F41" i="5" s="1"/>
  <c r="M35" i="5"/>
  <c r="L35" i="5"/>
  <c r="F29" i="5"/>
  <c r="F30" i="5" s="1"/>
  <c r="F31" i="5" s="1"/>
  <c r="F32" i="5" s="1"/>
  <c r="B29" i="5"/>
  <c r="F26" i="5"/>
  <c r="L26" i="5" s="1"/>
  <c r="L28" i="5" s="1"/>
  <c r="M24" i="5"/>
  <c r="L24" i="5"/>
  <c r="F19" i="5"/>
  <c r="F20" i="5" s="1"/>
  <c r="F21" i="5" s="1"/>
  <c r="B19" i="5"/>
  <c r="B20" i="5" s="1"/>
  <c r="B18" i="5"/>
  <c r="L15" i="5"/>
  <c r="M17" i="5" s="1"/>
  <c r="F15" i="5"/>
  <c r="F18" i="5" s="1"/>
  <c r="M13" i="5"/>
  <c r="L13" i="5"/>
  <c r="B8" i="5"/>
  <c r="F7" i="5"/>
  <c r="F8" i="5" s="1"/>
  <c r="F9" i="5" s="1"/>
  <c r="F10" i="5" s="1"/>
  <c r="B7" i="5"/>
  <c r="F4" i="5"/>
  <c r="L4" i="5" s="1"/>
  <c r="F2" i="5"/>
  <c r="M6" i="5" s="1"/>
  <c r="B2" i="5"/>
  <c r="L105" i="5" s="1"/>
  <c r="M112" i="4"/>
  <c r="L112" i="4"/>
  <c r="B106" i="4"/>
  <c r="F103" i="4"/>
  <c r="L103" i="4" s="1"/>
  <c r="M101" i="4"/>
  <c r="L101" i="4"/>
  <c r="F96" i="4"/>
  <c r="F97" i="4" s="1"/>
  <c r="F98" i="4" s="1"/>
  <c r="B96" i="4"/>
  <c r="F95" i="4"/>
  <c r="B95" i="4"/>
  <c r="M94" i="4"/>
  <c r="L94" i="4"/>
  <c r="L92" i="4"/>
  <c r="F92" i="4"/>
  <c r="M90" i="4"/>
  <c r="L90" i="4"/>
  <c r="F84" i="4"/>
  <c r="F85" i="4" s="1"/>
  <c r="F86" i="4" s="1"/>
  <c r="F87" i="4" s="1"/>
  <c r="B84" i="4"/>
  <c r="F81" i="4"/>
  <c r="L81" i="4" s="1"/>
  <c r="M79" i="4"/>
  <c r="L79" i="4"/>
  <c r="B73" i="4"/>
  <c r="L70" i="4"/>
  <c r="M72" i="4" s="1"/>
  <c r="F70" i="4"/>
  <c r="F73" i="4" s="1"/>
  <c r="F74" i="4" s="1"/>
  <c r="F75" i="4" s="1"/>
  <c r="F76" i="4" s="1"/>
  <c r="M68" i="4"/>
  <c r="L68" i="4"/>
  <c r="F62" i="4"/>
  <c r="F63" i="4" s="1"/>
  <c r="F64" i="4" s="1"/>
  <c r="F65" i="4" s="1"/>
  <c r="B62" i="4"/>
  <c r="L59" i="4"/>
  <c r="F59" i="4"/>
  <c r="M57" i="4"/>
  <c r="L57" i="4"/>
  <c r="F51" i="4"/>
  <c r="F52" i="4" s="1"/>
  <c r="F53" i="4" s="1"/>
  <c r="F54" i="4" s="1"/>
  <c r="B51" i="4"/>
  <c r="F48" i="4"/>
  <c r="L48" i="4" s="1"/>
  <c r="L50" i="4" s="1"/>
  <c r="M46" i="4"/>
  <c r="L46" i="4"/>
  <c r="B40" i="4"/>
  <c r="F37" i="4"/>
  <c r="F40" i="4" s="1"/>
  <c r="F41" i="4" s="1"/>
  <c r="F42" i="4" s="1"/>
  <c r="F43" i="4" s="1"/>
  <c r="M35" i="4"/>
  <c r="L35" i="4"/>
  <c r="F29" i="4"/>
  <c r="F30" i="4" s="1"/>
  <c r="F31" i="4" s="1"/>
  <c r="F32" i="4" s="1"/>
  <c r="B29" i="4"/>
  <c r="M28" i="4"/>
  <c r="L26" i="4"/>
  <c r="L28" i="4" s="1"/>
  <c r="F26" i="4"/>
  <c r="M24" i="4"/>
  <c r="L24" i="4"/>
  <c r="F18" i="4"/>
  <c r="F19" i="4" s="1"/>
  <c r="F20" i="4" s="1"/>
  <c r="F21" i="4" s="1"/>
  <c r="B18" i="4"/>
  <c r="M17" i="4"/>
  <c r="L15" i="4"/>
  <c r="L17" i="4" s="1"/>
  <c r="F15" i="4"/>
  <c r="M13" i="4"/>
  <c r="L13" i="4"/>
  <c r="B8" i="4"/>
  <c r="B7" i="4"/>
  <c r="F4" i="4"/>
  <c r="F7" i="4" s="1"/>
  <c r="F8" i="4" s="1"/>
  <c r="F9" i="4" s="1"/>
  <c r="F10" i="4" s="1"/>
  <c r="F2" i="4"/>
  <c r="B2" i="4"/>
  <c r="M112" i="3"/>
  <c r="L112" i="3"/>
  <c r="F109" i="3"/>
  <c r="F108" i="3"/>
  <c r="F106" i="3"/>
  <c r="F107" i="3" s="1"/>
  <c r="B106" i="3"/>
  <c r="B107" i="3" s="1"/>
  <c r="F103" i="3"/>
  <c r="L103" i="3" s="1"/>
  <c r="L105" i="3" s="1"/>
  <c r="M101" i="3"/>
  <c r="L101" i="3"/>
  <c r="F96" i="3"/>
  <c r="F97" i="3" s="1"/>
  <c r="F98" i="3" s="1"/>
  <c r="F95" i="3"/>
  <c r="B95" i="3"/>
  <c r="M94" i="3"/>
  <c r="L94" i="3"/>
  <c r="F92" i="3"/>
  <c r="L92" i="3" s="1"/>
  <c r="M90" i="3"/>
  <c r="L90" i="3"/>
  <c r="B85" i="3"/>
  <c r="B84" i="3"/>
  <c r="F81" i="3"/>
  <c r="M79" i="3"/>
  <c r="L79" i="3"/>
  <c r="F73" i="3"/>
  <c r="F74" i="3" s="1"/>
  <c r="F75" i="3" s="1"/>
  <c r="F76" i="3" s="1"/>
  <c r="B73" i="3"/>
  <c r="M72" i="3"/>
  <c r="F70" i="3"/>
  <c r="L70" i="3" s="1"/>
  <c r="L72" i="3" s="1"/>
  <c r="M68" i="3"/>
  <c r="L68" i="3"/>
  <c r="B63" i="3"/>
  <c r="F62" i="3"/>
  <c r="F63" i="3" s="1"/>
  <c r="F64" i="3" s="1"/>
  <c r="F65" i="3" s="1"/>
  <c r="B62" i="3"/>
  <c r="L61" i="3"/>
  <c r="L59" i="3"/>
  <c r="M61" i="3" s="1"/>
  <c r="F59" i="3"/>
  <c r="M57" i="3"/>
  <c r="L57" i="3"/>
  <c r="F52" i="3"/>
  <c r="F53" i="3" s="1"/>
  <c r="F54" i="3" s="1"/>
  <c r="B52" i="3"/>
  <c r="F51" i="3"/>
  <c r="B51" i="3"/>
  <c r="M50" i="3"/>
  <c r="F48" i="3"/>
  <c r="L48" i="3" s="1"/>
  <c r="L50" i="3" s="1"/>
  <c r="M46" i="3"/>
  <c r="L46" i="3"/>
  <c r="F42" i="3"/>
  <c r="F43" i="3" s="1"/>
  <c r="F40" i="3"/>
  <c r="F41" i="3" s="1"/>
  <c r="B40" i="3"/>
  <c r="M39" i="3"/>
  <c r="L39" i="3"/>
  <c r="F37" i="3"/>
  <c r="L37" i="3" s="1"/>
  <c r="M35" i="3"/>
  <c r="L35" i="3"/>
  <c r="B30" i="3"/>
  <c r="F29" i="3"/>
  <c r="F30" i="3" s="1"/>
  <c r="F31" i="3" s="1"/>
  <c r="F32" i="3" s="1"/>
  <c r="B29" i="3"/>
  <c r="F26" i="3"/>
  <c r="L26" i="3" s="1"/>
  <c r="M28" i="3" s="1"/>
  <c r="M24" i="3"/>
  <c r="L24" i="3"/>
  <c r="F20" i="3"/>
  <c r="F21" i="3" s="1"/>
  <c r="B19" i="3"/>
  <c r="B18" i="3"/>
  <c r="F15" i="3"/>
  <c r="F18" i="3" s="1"/>
  <c r="F19" i="3" s="1"/>
  <c r="M13" i="3"/>
  <c r="L13" i="3"/>
  <c r="F7" i="3"/>
  <c r="F8" i="3" s="1"/>
  <c r="F9" i="3" s="1"/>
  <c r="F10" i="3" s="1"/>
  <c r="B7" i="3"/>
  <c r="M6" i="3"/>
  <c r="F4" i="3"/>
  <c r="L4" i="3" s="1"/>
  <c r="L6" i="3" s="1"/>
  <c r="F2" i="3"/>
  <c r="M105" i="3" s="1"/>
  <c r="B2" i="3"/>
  <c r="M112" i="2"/>
  <c r="L112" i="2"/>
  <c r="B107" i="2"/>
  <c r="F106" i="2"/>
  <c r="F107" i="2" s="1"/>
  <c r="F108" i="2" s="1"/>
  <c r="F109" i="2" s="1"/>
  <c r="B106" i="2"/>
  <c r="L103" i="2"/>
  <c r="L105" i="2" s="1"/>
  <c r="F103" i="2"/>
  <c r="M101" i="2"/>
  <c r="L101" i="2"/>
  <c r="F97" i="2"/>
  <c r="F98" i="2" s="1"/>
  <c r="F96" i="2"/>
  <c r="F95" i="2"/>
  <c r="B95" i="2"/>
  <c r="B96" i="2" s="1"/>
  <c r="B97" i="2" s="1"/>
  <c r="B98" i="2" s="1"/>
  <c r="L92" i="2"/>
  <c r="F92" i="2"/>
  <c r="M90" i="2"/>
  <c r="L90" i="2"/>
  <c r="F86" i="2"/>
  <c r="F87" i="2" s="1"/>
  <c r="F84" i="2"/>
  <c r="F85" i="2" s="1"/>
  <c r="B84" i="2"/>
  <c r="L81" i="2"/>
  <c r="L83" i="2" s="1"/>
  <c r="F81" i="2"/>
  <c r="M79" i="2"/>
  <c r="L79" i="2"/>
  <c r="F74" i="2"/>
  <c r="F75" i="2" s="1"/>
  <c r="F76" i="2" s="1"/>
  <c r="F73" i="2"/>
  <c r="B73" i="2"/>
  <c r="L70" i="2"/>
  <c r="F70" i="2"/>
  <c r="M68" i="2"/>
  <c r="L68" i="2"/>
  <c r="F62" i="2"/>
  <c r="F63" i="2" s="1"/>
  <c r="F64" i="2" s="1"/>
  <c r="F65" i="2" s="1"/>
  <c r="B62" i="2"/>
  <c r="L59" i="2"/>
  <c r="F59" i="2"/>
  <c r="M57" i="2"/>
  <c r="L57" i="2"/>
  <c r="B54" i="2"/>
  <c r="B53" i="2"/>
  <c r="F52" i="2"/>
  <c r="F53" i="2" s="1"/>
  <c r="F54" i="2" s="1"/>
  <c r="F51" i="2"/>
  <c r="B51" i="2"/>
  <c r="B52" i="2" s="1"/>
  <c r="L48" i="2"/>
  <c r="F48" i="2"/>
  <c r="M46" i="2"/>
  <c r="L46" i="2"/>
  <c r="F40" i="2"/>
  <c r="F41" i="2" s="1"/>
  <c r="F42" i="2" s="1"/>
  <c r="F43" i="2" s="1"/>
  <c r="B40" i="2"/>
  <c r="L37" i="2"/>
  <c r="F37" i="2"/>
  <c r="M35" i="2"/>
  <c r="L35" i="2"/>
  <c r="B31" i="2"/>
  <c r="B32" i="2" s="1"/>
  <c r="F29" i="2"/>
  <c r="F30" i="2" s="1"/>
  <c r="F31" i="2" s="1"/>
  <c r="F32" i="2" s="1"/>
  <c r="B29" i="2"/>
  <c r="B30" i="2" s="1"/>
  <c r="L26" i="2"/>
  <c r="F26" i="2"/>
  <c r="M24" i="2"/>
  <c r="L24" i="2"/>
  <c r="F20" i="2"/>
  <c r="F21" i="2" s="1"/>
  <c r="F19" i="2"/>
  <c r="B19" i="2"/>
  <c r="F18" i="2"/>
  <c r="B18" i="2"/>
  <c r="L15" i="2"/>
  <c r="F15" i="2"/>
  <c r="M13" i="2"/>
  <c r="L13" i="2"/>
  <c r="F9" i="2"/>
  <c r="F10" i="2" s="1"/>
  <c r="F7" i="2"/>
  <c r="F8" i="2" s="1"/>
  <c r="B7" i="2"/>
  <c r="L4" i="2"/>
  <c r="F4" i="2"/>
  <c r="F2" i="2"/>
  <c r="B2" i="2"/>
  <c r="AO5" i="10"/>
  <c r="AN5" i="8"/>
  <c r="AN5" i="10"/>
  <c r="AM5" i="8"/>
  <c r="AM5" i="10"/>
  <c r="AQ5" i="9"/>
  <c r="AP5" i="9"/>
  <c r="AO5" i="9"/>
  <c r="AN5" i="9"/>
  <c r="AM5" i="9"/>
  <c r="AQ5" i="7"/>
  <c r="AQ5" i="10"/>
  <c r="AP5" i="10"/>
  <c r="AO5" i="8"/>
  <c r="AP5" i="8"/>
  <c r="AP5" i="7"/>
  <c r="AM5" i="7"/>
  <c r="AO5" i="7"/>
  <c r="AN5" i="7"/>
  <c r="AQ5" i="8"/>
  <c r="B16" i="1"/>
  <c r="E11" i="1"/>
  <c r="H15" i="1"/>
  <c r="D11" i="1"/>
  <c r="F15" i="1"/>
  <c r="H10" i="1"/>
  <c r="H17" i="1"/>
  <c r="D13" i="1"/>
  <c r="G17" i="1"/>
  <c r="B13" i="1"/>
  <c r="F17" i="1"/>
  <c r="B12" i="1"/>
  <c r="E17" i="1"/>
  <c r="H7" i="5"/>
  <c r="H11" i="1"/>
  <c r="D17" i="1"/>
  <c r="L40" i="5"/>
  <c r="G10" i="1"/>
  <c r="D95" i="6"/>
  <c r="G11" i="1"/>
  <c r="H51" i="5"/>
  <c r="D7" i="4"/>
  <c r="D18" i="3"/>
  <c r="D95" i="2"/>
  <c r="B17" i="1"/>
  <c r="F11" i="1"/>
  <c r="D96" i="2"/>
  <c r="H16" i="1"/>
  <c r="B11" i="1"/>
  <c r="M84" i="6"/>
  <c r="H95" i="5"/>
  <c r="D84" i="3"/>
  <c r="H51" i="2"/>
  <c r="G16" i="1"/>
  <c r="D84" i="6"/>
  <c r="H29" i="6"/>
  <c r="M64" i="5"/>
  <c r="H40" i="5"/>
  <c r="H73" i="4"/>
  <c r="D40" i="4"/>
  <c r="H31" i="2"/>
  <c r="F16" i="1"/>
  <c r="F10" i="1"/>
  <c r="D29" i="6"/>
  <c r="E16" i="1"/>
  <c r="E10" i="1"/>
  <c r="D40" i="5"/>
  <c r="D73" i="4"/>
  <c r="D52" i="2"/>
  <c r="D31" i="2"/>
  <c r="D16" i="1"/>
  <c r="D10" i="1"/>
  <c r="M40" i="5"/>
  <c r="G15" i="1"/>
  <c r="B10" i="1"/>
  <c r="D14" i="1"/>
  <c r="B14" i="1"/>
  <c r="D107" i="6"/>
  <c r="D7" i="6"/>
  <c r="H73" i="5"/>
  <c r="D64" i="5"/>
  <c r="M52" i="5"/>
  <c r="M62" i="3"/>
  <c r="M29" i="2"/>
  <c r="M107" i="6"/>
  <c r="M96" i="2"/>
  <c r="H13" i="1"/>
  <c r="M51" i="6"/>
  <c r="L62" i="5"/>
  <c r="D51" i="6"/>
  <c r="M41" i="6"/>
  <c r="M62" i="5"/>
  <c r="L84" i="4"/>
  <c r="D30" i="2"/>
  <c r="F18" i="1"/>
  <c r="G12" i="1"/>
  <c r="M40" i="6"/>
  <c r="M7" i="5"/>
  <c r="D29" i="2"/>
  <c r="E15" i="1"/>
  <c r="L7" i="5"/>
  <c r="H52" i="5"/>
  <c r="M19" i="5"/>
  <c r="M84" i="3"/>
  <c r="M107" i="2"/>
  <c r="H40" i="2"/>
  <c r="L19" i="5"/>
  <c r="H62" i="5"/>
  <c r="D15" i="1"/>
  <c r="B15" i="1"/>
  <c r="L51" i="6"/>
  <c r="L107" i="2"/>
  <c r="M95" i="2"/>
  <c r="H53" i="2"/>
  <c r="H14" i="1"/>
  <c r="H7" i="3"/>
  <c r="M62" i="2"/>
  <c r="E12" i="1"/>
  <c r="D52" i="5"/>
  <c r="L95" i="2"/>
  <c r="G14" i="1"/>
  <c r="H51" i="6"/>
  <c r="M63" i="5"/>
  <c r="M52" i="2"/>
  <c r="F14" i="1"/>
  <c r="L52" i="5"/>
  <c r="M63" i="3"/>
  <c r="G13" i="1"/>
  <c r="M18" i="6"/>
  <c r="L96" i="5"/>
  <c r="L63" i="5"/>
  <c r="H52" i="3"/>
  <c r="E14" i="1"/>
  <c r="D108" i="6"/>
  <c r="D18" i="6"/>
  <c r="D19" i="5"/>
  <c r="H95" i="3"/>
  <c r="H52" i="2"/>
  <c r="H63" i="6"/>
  <c r="H96" i="5"/>
  <c r="H63" i="5"/>
  <c r="M51" i="5"/>
  <c r="L63" i="3"/>
  <c r="H106" i="2"/>
  <c r="F13" i="1"/>
  <c r="L107" i="6"/>
  <c r="D96" i="5"/>
  <c r="E13" i="1"/>
  <c r="M95" i="6"/>
  <c r="D63" i="6"/>
  <c r="D18" i="5"/>
  <c r="M51" i="3"/>
  <c r="D106" i="2"/>
  <c r="H12" i="1"/>
  <c r="H107" i="6"/>
  <c r="L95" i="6"/>
  <c r="H96" i="4"/>
  <c r="H84" i="4"/>
  <c r="L52" i="2"/>
  <c r="F12" i="1"/>
  <c r="M62" i="6"/>
  <c r="D62" i="5"/>
  <c r="H62" i="3"/>
  <c r="L19" i="3"/>
  <c r="H9" i="1"/>
  <c r="H8" i="4"/>
  <c r="D106" i="3"/>
  <c r="M32" i="2"/>
  <c r="D7" i="2"/>
  <c r="G9" i="1"/>
  <c r="M106" i="6"/>
  <c r="M42" i="6"/>
  <c r="D74" i="5"/>
  <c r="D62" i="3"/>
  <c r="H19" i="3"/>
  <c r="D62" i="2"/>
  <c r="L32" i="2"/>
  <c r="F9" i="1"/>
  <c r="D18" i="4"/>
  <c r="L96" i="2"/>
  <c r="D106" i="6"/>
  <c r="L42" i="6"/>
  <c r="L62" i="3"/>
  <c r="E9" i="1"/>
  <c r="M73" i="2"/>
  <c r="D96" i="4"/>
  <c r="M18" i="2"/>
  <c r="D9" i="1"/>
  <c r="L29" i="5"/>
  <c r="M30" i="2"/>
  <c r="B9" i="1"/>
  <c r="E18" i="1"/>
  <c r="L62" i="2"/>
  <c r="H42" i="6"/>
  <c r="M97" i="2"/>
  <c r="L18" i="2"/>
  <c r="L73" i="6"/>
  <c r="M73" i="5"/>
  <c r="H73" i="3"/>
  <c r="M18" i="3"/>
  <c r="L73" i="2"/>
  <c r="L30" i="2"/>
  <c r="D42" i="6"/>
  <c r="D8" i="6"/>
  <c r="L73" i="5"/>
  <c r="D29" i="5"/>
  <c r="L18" i="3"/>
  <c r="D8" i="5"/>
  <c r="H106" i="3"/>
  <c r="D12" i="1"/>
  <c r="H73" i="6"/>
  <c r="H41" i="6"/>
  <c r="L62" i="4"/>
  <c r="D73" i="3"/>
  <c r="H18" i="3"/>
  <c r="H30" i="2"/>
  <c r="H18" i="2"/>
  <c r="G18" i="1"/>
  <c r="M7" i="6"/>
  <c r="L85" i="3"/>
  <c r="H18" i="4"/>
  <c r="H18" i="1"/>
  <c r="M8" i="5"/>
  <c r="H62" i="4"/>
  <c r="D97" i="2"/>
  <c r="L8" i="4"/>
  <c r="D41" i="6"/>
  <c r="L7" i="6"/>
  <c r="M53" i="5"/>
  <c r="H29" i="3"/>
  <c r="H29" i="2"/>
  <c r="D18" i="1"/>
  <c r="L53" i="5"/>
  <c r="H96" i="2"/>
  <c r="D84" i="2"/>
  <c r="D54" i="2"/>
  <c r="B18" i="1"/>
  <c r="L51" i="3"/>
  <c r="D106" i="4"/>
  <c r="D30" i="3"/>
  <c r="D54" i="5"/>
  <c r="P51" i="6"/>
  <c r="P54" i="6"/>
  <c r="P95" i="2"/>
  <c r="P98" i="2"/>
  <c r="P95" i="6"/>
  <c r="P98" i="6"/>
  <c r="P65" i="5"/>
  <c r="P62" i="5"/>
  <c r="P62" i="3"/>
  <c r="P65" i="3"/>
  <c r="P62" i="2"/>
  <c r="P65" i="2"/>
  <c r="J111" i="4" l="1"/>
  <c r="J112" i="4"/>
  <c r="J90" i="2"/>
  <c r="J89" i="2"/>
  <c r="J96" i="2"/>
  <c r="J29" i="2"/>
  <c r="N53" i="5"/>
  <c r="J18" i="4"/>
  <c r="N7" i="6"/>
  <c r="J30" i="2"/>
  <c r="J18" i="3"/>
  <c r="J79" i="3"/>
  <c r="J78" i="3"/>
  <c r="J41" i="6"/>
  <c r="J106" i="3"/>
  <c r="N18" i="3"/>
  <c r="J73" i="3"/>
  <c r="N73" i="5"/>
  <c r="J42" i="6"/>
  <c r="N30" i="2"/>
  <c r="N18" i="2"/>
  <c r="N73" i="2"/>
  <c r="J112" i="6"/>
  <c r="J111" i="6"/>
  <c r="J68" i="2"/>
  <c r="J67" i="2"/>
  <c r="J68" i="3"/>
  <c r="J67" i="3"/>
  <c r="N42" i="6"/>
  <c r="N32" i="2"/>
  <c r="J112" i="3"/>
  <c r="J111" i="3"/>
  <c r="J62" i="3"/>
  <c r="J68" i="5"/>
  <c r="J67" i="5"/>
  <c r="J96" i="4"/>
  <c r="J107" i="6"/>
  <c r="J111" i="2"/>
  <c r="J112" i="2"/>
  <c r="N51" i="3"/>
  <c r="N95" i="6"/>
  <c r="J106" i="2"/>
  <c r="J96" i="5"/>
  <c r="J63" i="6"/>
  <c r="J52" i="2"/>
  <c r="N63" i="3"/>
  <c r="N52" i="2"/>
  <c r="N63" i="5"/>
  <c r="J51" i="6"/>
  <c r="N62" i="2"/>
  <c r="N95" i="2"/>
  <c r="J62" i="5"/>
  <c r="N107" i="2"/>
  <c r="N19" i="5"/>
  <c r="J52" i="5"/>
  <c r="N7" i="5"/>
  <c r="N62" i="5"/>
  <c r="J57" i="6"/>
  <c r="J56" i="6"/>
  <c r="N51" i="6"/>
  <c r="N96" i="2"/>
  <c r="N107" i="6"/>
  <c r="N62" i="3"/>
  <c r="N52" i="5"/>
  <c r="N40" i="5"/>
  <c r="D19" i="1"/>
  <c r="J78" i="4"/>
  <c r="J79" i="4"/>
  <c r="E19" i="1"/>
  <c r="F19" i="1"/>
  <c r="J31" i="2"/>
  <c r="J73" i="4"/>
  <c r="J40" i="5"/>
  <c r="J29" i="6"/>
  <c r="J90" i="6"/>
  <c r="J89" i="6"/>
  <c r="J90" i="3"/>
  <c r="J89" i="3"/>
  <c r="J101" i="2"/>
  <c r="J100" i="2"/>
  <c r="J101" i="6"/>
  <c r="J100" i="6"/>
  <c r="G19" i="1"/>
  <c r="H19" i="1"/>
  <c r="M105" i="4"/>
  <c r="L105" i="4"/>
  <c r="B86" i="3"/>
  <c r="M61" i="4"/>
  <c r="L61" i="4"/>
  <c r="L70" i="5"/>
  <c r="L72" i="5" s="1"/>
  <c r="B74" i="2"/>
  <c r="B74" i="3"/>
  <c r="F106" i="4"/>
  <c r="F107" i="4" s="1"/>
  <c r="F108" i="4" s="1"/>
  <c r="F109" i="4" s="1"/>
  <c r="B74" i="6"/>
  <c r="Y653" i="7"/>
  <c r="B31" i="3"/>
  <c r="M72" i="6"/>
  <c r="B9" i="5"/>
  <c r="B30" i="5"/>
  <c r="B9" i="6"/>
  <c r="Z653" i="7"/>
  <c r="B107" i="5"/>
  <c r="L94" i="2"/>
  <c r="L72" i="2"/>
  <c r="L50" i="2"/>
  <c r="L28" i="2"/>
  <c r="L6" i="2"/>
  <c r="L61" i="2"/>
  <c r="L17" i="2"/>
  <c r="L39" i="2"/>
  <c r="M50" i="4"/>
  <c r="L26" i="6"/>
  <c r="L28" i="6" s="1"/>
  <c r="B52" i="4"/>
  <c r="H651" i="7"/>
  <c r="F654" i="7"/>
  <c r="I651" i="7"/>
  <c r="G654" i="7"/>
  <c r="M94" i="2"/>
  <c r="M72" i="2"/>
  <c r="M50" i="2"/>
  <c r="M28" i="2"/>
  <c r="M6" i="2"/>
  <c r="M61" i="2"/>
  <c r="M17" i="2"/>
  <c r="M105" i="2"/>
  <c r="M105" i="6"/>
  <c r="B63" i="2"/>
  <c r="B20" i="3"/>
  <c r="B9" i="4"/>
  <c r="B75" i="5"/>
  <c r="B107" i="4"/>
  <c r="B8" i="2"/>
  <c r="B20" i="2"/>
  <c r="B108" i="3"/>
  <c r="B8" i="3"/>
  <c r="M83" i="4"/>
  <c r="L83" i="4"/>
  <c r="B97" i="4"/>
  <c r="F652" i="8"/>
  <c r="AA654" i="8"/>
  <c r="B64" i="3"/>
  <c r="L15" i="6"/>
  <c r="L17" i="6" s="1"/>
  <c r="B64" i="6"/>
  <c r="L37" i="4"/>
  <c r="B97" i="5"/>
  <c r="B96" i="3"/>
  <c r="B53" i="3"/>
  <c r="B21" i="5"/>
  <c r="B19" i="6"/>
  <c r="B109" i="6"/>
  <c r="B41" i="3"/>
  <c r="B97" i="6"/>
  <c r="L72" i="4"/>
  <c r="M39" i="2"/>
  <c r="B41" i="2"/>
  <c r="AI10" i="8"/>
  <c r="B108" i="2"/>
  <c r="L81" i="5"/>
  <c r="L37" i="5"/>
  <c r="L81" i="6"/>
  <c r="L83" i="6" s="1"/>
  <c r="B30" i="4"/>
  <c r="F84" i="3"/>
  <c r="F85" i="3" s="1"/>
  <c r="F86" i="3" s="1"/>
  <c r="F87" i="3" s="1"/>
  <c r="L81" i="3"/>
  <c r="M94" i="6"/>
  <c r="M61" i="6"/>
  <c r="L28" i="3"/>
  <c r="B85" i="5"/>
  <c r="M83" i="2"/>
  <c r="L4" i="6"/>
  <c r="L6" i="6" s="1"/>
  <c r="B85" i="2"/>
  <c r="J653" i="8"/>
  <c r="B19" i="4"/>
  <c r="L17" i="5"/>
  <c r="AI10" i="9"/>
  <c r="J652" i="9"/>
  <c r="AB651" i="10"/>
  <c r="Z654" i="10"/>
  <c r="Q10" i="10"/>
  <c r="B63" i="4"/>
  <c r="M28" i="5"/>
  <c r="B52" i="6"/>
  <c r="Y651" i="8"/>
  <c r="J654" i="8"/>
  <c r="AH10" i="8"/>
  <c r="G653" i="10"/>
  <c r="Z653" i="9"/>
  <c r="L15" i="3"/>
  <c r="L4" i="4"/>
  <c r="B41" i="4"/>
  <c r="L94" i="5"/>
  <c r="M94" i="5"/>
  <c r="M50" i="5"/>
  <c r="B65" i="5"/>
  <c r="L37" i="6"/>
  <c r="L39" i="6" s="1"/>
  <c r="L94" i="6"/>
  <c r="Y653" i="10"/>
  <c r="L6" i="5"/>
  <c r="B41" i="5"/>
  <c r="F653" i="8"/>
  <c r="J651" i="9"/>
  <c r="H654" i="9"/>
  <c r="B85" i="6"/>
  <c r="G652" i="7"/>
  <c r="AB654" i="7"/>
  <c r="G653" i="8"/>
  <c r="B74" i="4"/>
  <c r="B85" i="4"/>
  <c r="H653" i="8"/>
  <c r="B30" i="6"/>
  <c r="I653" i="8"/>
  <c r="L98" i="2"/>
  <c r="M54" i="5"/>
  <c r="L30" i="3"/>
  <c r="L7" i="3"/>
  <c r="M106" i="3"/>
  <c r="D40" i="3"/>
  <c r="M18" i="4"/>
  <c r="L84" i="3"/>
  <c r="D84" i="4"/>
  <c r="D7" i="5"/>
  <c r="L73" i="3"/>
  <c r="P76" i="3" s="1"/>
  <c r="M84" i="5"/>
  <c r="L106" i="5"/>
  <c r="M43" i="6"/>
  <c r="D51" i="2"/>
  <c r="H54" i="2"/>
  <c r="L43" i="6"/>
  <c r="M95" i="4"/>
  <c r="L8" i="6"/>
  <c r="D107" i="2"/>
  <c r="M20" i="5"/>
  <c r="H18" i="5"/>
  <c r="D51" i="5"/>
  <c r="H84" i="2"/>
  <c r="L54" i="2"/>
  <c r="M95" i="5"/>
  <c r="D106" i="5"/>
  <c r="P106" i="5" s="1"/>
  <c r="H98" i="2"/>
  <c r="L54" i="5"/>
  <c r="M51" i="4"/>
  <c r="M8" i="4"/>
  <c r="L19" i="2"/>
  <c r="H7" i="4"/>
  <c r="H97" i="2"/>
  <c r="M74" i="5"/>
  <c r="M95" i="3"/>
  <c r="D53" i="2"/>
  <c r="H84" i="3"/>
  <c r="D95" i="3"/>
  <c r="H29" i="5"/>
  <c r="L95" i="3"/>
  <c r="L51" i="5"/>
  <c r="H19" i="5"/>
  <c r="H106" i="5"/>
  <c r="P109" i="5" s="1"/>
  <c r="H84" i="5"/>
  <c r="L8" i="5"/>
  <c r="H43" i="6"/>
  <c r="H108" i="6"/>
  <c r="D95" i="4"/>
  <c r="M7" i="4"/>
  <c r="M84" i="2"/>
  <c r="M40" i="3"/>
  <c r="M63" i="6"/>
  <c r="L63" i="6"/>
  <c r="H7" i="6"/>
  <c r="M85" i="3"/>
  <c r="M19" i="3"/>
  <c r="H54" i="5"/>
  <c r="L51" i="4"/>
  <c r="D8" i="4"/>
  <c r="D7" i="3"/>
  <c r="M96" i="5"/>
  <c r="D96" i="6"/>
  <c r="L106" i="6"/>
  <c r="M73" i="4"/>
  <c r="M31" i="2"/>
  <c r="L40" i="6"/>
  <c r="L74" i="5"/>
  <c r="H74" i="5"/>
  <c r="M29" i="5"/>
  <c r="M52" i="3"/>
  <c r="D40" i="6"/>
  <c r="M106" i="4"/>
  <c r="H107" i="2"/>
  <c r="D20" i="5"/>
  <c r="L53" i="2"/>
  <c r="H62" i="6"/>
  <c r="L108" i="6"/>
  <c r="L29" i="4"/>
  <c r="H32" i="2"/>
  <c r="L40" i="3"/>
  <c r="M84" i="4"/>
  <c r="H107" i="3"/>
  <c r="D73" i="5"/>
  <c r="H29" i="4"/>
  <c r="L96" i="6"/>
  <c r="H63" i="3"/>
  <c r="H95" i="2"/>
  <c r="H106" i="6"/>
  <c r="L73" i="4"/>
  <c r="L51" i="2"/>
  <c r="P54" i="2" s="1"/>
  <c r="H40" i="6"/>
  <c r="D85" i="3"/>
  <c r="H64" i="5"/>
  <c r="M40" i="2"/>
  <c r="H85" i="3"/>
  <c r="M96" i="4"/>
  <c r="D51" i="4"/>
  <c r="P51" i="4" s="1"/>
  <c r="L96" i="4"/>
  <c r="M29" i="6"/>
  <c r="L84" i="5"/>
  <c r="M8" i="6"/>
  <c r="D52" i="3"/>
  <c r="L106" i="4"/>
  <c r="L95" i="4"/>
  <c r="L40" i="4"/>
  <c r="D107" i="3"/>
  <c r="H40" i="4"/>
  <c r="L107" i="3"/>
  <c r="D63" i="5"/>
  <c r="D19" i="3"/>
  <c r="M96" i="6"/>
  <c r="H95" i="6"/>
  <c r="M98" i="2"/>
  <c r="M7" i="3"/>
  <c r="D62" i="6"/>
  <c r="H8" i="5"/>
  <c r="H8" i="6"/>
  <c r="H106" i="4"/>
  <c r="D43" i="6"/>
  <c r="L29" i="2"/>
  <c r="L95" i="5"/>
  <c r="L20" i="5"/>
  <c r="M29" i="3"/>
  <c r="L18" i="4"/>
  <c r="M40" i="4"/>
  <c r="M54" i="2"/>
  <c r="H30" i="3"/>
  <c r="M7" i="2"/>
  <c r="L29" i="3"/>
  <c r="L64" i="5"/>
  <c r="M29" i="4"/>
  <c r="D32" i="2"/>
  <c r="L7" i="4"/>
  <c r="L97" i="2"/>
  <c r="M30" i="3"/>
  <c r="L29" i="6"/>
  <c r="M106" i="5"/>
  <c r="L7" i="2"/>
  <c r="M106" i="2"/>
  <c r="H20" i="5"/>
  <c r="D40" i="2"/>
  <c r="H53" i="5"/>
  <c r="H73" i="2"/>
  <c r="H7" i="2"/>
  <c r="L106" i="2"/>
  <c r="L18" i="6"/>
  <c r="H40" i="3"/>
  <c r="D53" i="5"/>
  <c r="L41" i="6"/>
  <c r="L84" i="6"/>
  <c r="D73" i="2"/>
  <c r="H19" i="2"/>
  <c r="D63" i="3"/>
  <c r="H18" i="6"/>
  <c r="L52" i="3"/>
  <c r="D84" i="5"/>
  <c r="H84" i="6"/>
  <c r="D18" i="2"/>
  <c r="L62" i="6"/>
  <c r="L31" i="2"/>
  <c r="M19" i="2"/>
  <c r="M108" i="6"/>
  <c r="D51" i="3"/>
  <c r="P51" i="3" s="1"/>
  <c r="D62" i="4"/>
  <c r="H95" i="4"/>
  <c r="M73" i="6"/>
  <c r="M107" i="3"/>
  <c r="L84" i="2"/>
  <c r="D29" i="4"/>
  <c r="D29" i="3"/>
  <c r="H51" i="4"/>
  <c r="P54" i="4" s="1"/>
  <c r="H96" i="6"/>
  <c r="D19" i="2"/>
  <c r="M62" i="4"/>
  <c r="M51" i="2"/>
  <c r="P51" i="2" s="1"/>
  <c r="M73" i="3"/>
  <c r="P73" i="3" s="1"/>
  <c r="L106" i="3"/>
  <c r="L40" i="2"/>
  <c r="H51" i="3"/>
  <c r="P54" i="3" s="1"/>
  <c r="M18" i="5"/>
  <c r="M53" i="2"/>
  <c r="D73" i="6"/>
  <c r="L18" i="5"/>
  <c r="H62" i="2"/>
  <c r="D95" i="5"/>
  <c r="D98" i="2"/>
  <c r="P84" i="3"/>
  <c r="P87" i="3"/>
  <c r="P87" i="4"/>
  <c r="P84" i="4"/>
  <c r="P95" i="3"/>
  <c r="P98" i="3"/>
  <c r="P51" i="5"/>
  <c r="P54" i="5"/>
  <c r="P106" i="6"/>
  <c r="P109" i="6"/>
  <c r="P76" i="5"/>
  <c r="P73" i="5"/>
  <c r="P73" i="4"/>
  <c r="P76" i="4"/>
  <c r="P106" i="4"/>
  <c r="P109" i="4"/>
  <c r="P95" i="4"/>
  <c r="P98" i="4"/>
  <c r="P106" i="2"/>
  <c r="P109" i="2"/>
  <c r="P40" i="6"/>
  <c r="P43" i="6"/>
  <c r="P84" i="6"/>
  <c r="P87" i="6"/>
  <c r="P76" i="2"/>
  <c r="P73" i="2"/>
  <c r="P87" i="5"/>
  <c r="P84" i="5"/>
  <c r="P62" i="6"/>
  <c r="P65" i="6"/>
  <c r="P29" i="2"/>
  <c r="P32" i="2"/>
  <c r="P65" i="4"/>
  <c r="P62" i="4"/>
  <c r="P84" i="2"/>
  <c r="P87" i="2"/>
  <c r="P106" i="3"/>
  <c r="P109" i="3"/>
  <c r="P76" i="6"/>
  <c r="P73" i="6"/>
  <c r="P98" i="5"/>
  <c r="P95" i="5"/>
  <c r="J101" i="5" l="1"/>
  <c r="J100" i="5"/>
  <c r="J95" i="5"/>
  <c r="J62" i="2"/>
  <c r="J79" i="6"/>
  <c r="J78" i="6"/>
  <c r="J73" i="6"/>
  <c r="N53" i="2"/>
  <c r="N18" i="5"/>
  <c r="J51" i="3"/>
  <c r="N73" i="3"/>
  <c r="N51" i="2"/>
  <c r="N62" i="4"/>
  <c r="J96" i="6"/>
  <c r="J51" i="4"/>
  <c r="J29" i="3"/>
  <c r="N107" i="3"/>
  <c r="N73" i="6"/>
  <c r="J95" i="4"/>
  <c r="J67" i="4"/>
  <c r="J68" i="4"/>
  <c r="J62" i="4"/>
  <c r="J57" i="3"/>
  <c r="J56" i="3"/>
  <c r="N108" i="6"/>
  <c r="N19" i="2"/>
  <c r="N62" i="6"/>
  <c r="J18" i="2"/>
  <c r="J84" i="6"/>
  <c r="J90" i="5"/>
  <c r="J89" i="5"/>
  <c r="J18" i="6"/>
  <c r="J19" i="2"/>
  <c r="J79" i="2"/>
  <c r="J78" i="2"/>
  <c r="N84" i="6"/>
  <c r="N41" i="6"/>
  <c r="J40" i="3"/>
  <c r="N18" i="6"/>
  <c r="J7" i="2"/>
  <c r="J73" i="2"/>
  <c r="J53" i="5"/>
  <c r="J40" i="2"/>
  <c r="J20" i="5"/>
  <c r="N106" i="2"/>
  <c r="N106" i="5"/>
  <c r="N30" i="3"/>
  <c r="N97" i="2"/>
  <c r="J35" i="2"/>
  <c r="J34" i="2"/>
  <c r="N29" i="4"/>
  <c r="N64" i="5"/>
  <c r="N7" i="2"/>
  <c r="J30" i="3"/>
  <c r="N54" i="2"/>
  <c r="N40" i="4"/>
  <c r="N29" i="3"/>
  <c r="N29" i="2"/>
  <c r="J106" i="4"/>
  <c r="J8" i="6"/>
  <c r="J8" i="5"/>
  <c r="J68" i="6"/>
  <c r="J67" i="6"/>
  <c r="N7" i="3"/>
  <c r="N98" i="2"/>
  <c r="J95" i="6"/>
  <c r="N96" i="6"/>
  <c r="J19" i="3"/>
  <c r="J63" i="5"/>
  <c r="J40" i="4"/>
  <c r="J52" i="3"/>
  <c r="N8" i="6"/>
  <c r="N29" i="6"/>
  <c r="J56" i="4"/>
  <c r="J57" i="4"/>
  <c r="N96" i="4"/>
  <c r="J85" i="3"/>
  <c r="N40" i="2"/>
  <c r="J64" i="5"/>
  <c r="J40" i="6"/>
  <c r="J106" i="6"/>
  <c r="J95" i="2"/>
  <c r="J63" i="3"/>
  <c r="J29" i="4"/>
  <c r="J79" i="5"/>
  <c r="J78" i="5"/>
  <c r="J73" i="5"/>
  <c r="J107" i="3"/>
  <c r="N84" i="4"/>
  <c r="J32" i="2"/>
  <c r="J62" i="6"/>
  <c r="J107" i="2"/>
  <c r="N106" i="4"/>
  <c r="J46" i="6"/>
  <c r="J45" i="6"/>
  <c r="N52" i="3"/>
  <c r="N29" i="5"/>
  <c r="J74" i="5"/>
  <c r="N40" i="6"/>
  <c r="N31" i="2"/>
  <c r="N73" i="4"/>
  <c r="N106" i="6"/>
  <c r="N96" i="5"/>
  <c r="J7" i="3"/>
  <c r="J8" i="4"/>
  <c r="J54" i="5"/>
  <c r="N19" i="3"/>
  <c r="N85" i="3"/>
  <c r="J7" i="6"/>
  <c r="N63" i="6"/>
  <c r="N40" i="3"/>
  <c r="N84" i="2"/>
  <c r="N7" i="4"/>
  <c r="J100" i="4"/>
  <c r="J101" i="4"/>
  <c r="J108" i="6"/>
  <c r="J43" i="6"/>
  <c r="N8" i="5"/>
  <c r="J84" i="5"/>
  <c r="J106" i="5"/>
  <c r="J19" i="5"/>
  <c r="N51" i="5"/>
  <c r="J29" i="5"/>
  <c r="J101" i="3"/>
  <c r="J100" i="3"/>
  <c r="J95" i="3"/>
  <c r="J84" i="3"/>
  <c r="J53" i="2"/>
  <c r="N95" i="3"/>
  <c r="N74" i="5"/>
  <c r="J97" i="2"/>
  <c r="J7" i="4"/>
  <c r="N8" i="4"/>
  <c r="N51" i="4"/>
  <c r="J98" i="2"/>
  <c r="J112" i="5"/>
  <c r="J111" i="5"/>
  <c r="N95" i="5"/>
  <c r="J84" i="2"/>
  <c r="J57" i="5"/>
  <c r="J56" i="5"/>
  <c r="J51" i="5"/>
  <c r="J18" i="5"/>
  <c r="N20" i="5"/>
  <c r="N95" i="4"/>
  <c r="J54" i="2"/>
  <c r="J57" i="2"/>
  <c r="J56" i="2"/>
  <c r="J51" i="2"/>
  <c r="N43" i="6"/>
  <c r="N84" i="5"/>
  <c r="J7" i="5"/>
  <c r="J89" i="4"/>
  <c r="J90" i="4"/>
  <c r="J84" i="4"/>
  <c r="N84" i="3"/>
  <c r="N18" i="4"/>
  <c r="N106" i="3"/>
  <c r="N54" i="5"/>
  <c r="M39" i="6"/>
  <c r="B42" i="3"/>
  <c r="B21" i="2"/>
  <c r="M39" i="5"/>
  <c r="L39" i="5"/>
  <c r="B20" i="6"/>
  <c r="B65" i="3"/>
  <c r="B75" i="3"/>
  <c r="M39" i="4"/>
  <c r="L39" i="4"/>
  <c r="B64" i="2"/>
  <c r="B64" i="4"/>
  <c r="B108" i="5"/>
  <c r="M72" i="5"/>
  <c r="B75" i="2"/>
  <c r="B20" i="4"/>
  <c r="B21" i="3"/>
  <c r="B98" i="6"/>
  <c r="B75" i="6"/>
  <c r="B86" i="6"/>
  <c r="M83" i="5"/>
  <c r="L83" i="5"/>
  <c r="B9" i="2"/>
  <c r="B42" i="4"/>
  <c r="B109" i="2"/>
  <c r="B32" i="3"/>
  <c r="B109" i="3"/>
  <c r="B75" i="4"/>
  <c r="M17" i="3"/>
  <c r="L17" i="3"/>
  <c r="B108" i="4"/>
  <c r="B86" i="5"/>
  <c r="B42" i="2"/>
  <c r="M6" i="6"/>
  <c r="B97" i="3"/>
  <c r="B76" i="5"/>
  <c r="B53" i="4"/>
  <c r="B86" i="4"/>
  <c r="B54" i="3"/>
  <c r="B31" i="5"/>
  <c r="B42" i="5"/>
  <c r="M17" i="6"/>
  <c r="B87" i="3"/>
  <c r="B53" i="6"/>
  <c r="M6" i="4"/>
  <c r="L6" i="4"/>
  <c r="B31" i="6"/>
  <c r="M28" i="6"/>
  <c r="B98" i="5"/>
  <c r="B9" i="3"/>
  <c r="M83" i="3"/>
  <c r="L83" i="3"/>
  <c r="B65" i="6"/>
  <c r="B31" i="4"/>
  <c r="B86" i="2"/>
  <c r="B10" i="6"/>
  <c r="B98" i="4"/>
  <c r="B10" i="5"/>
  <c r="M83" i="6"/>
  <c r="B10" i="4"/>
  <c r="M19" i="6"/>
  <c r="H107" i="5"/>
  <c r="D21" i="5"/>
  <c r="H85" i="5"/>
  <c r="D85" i="4"/>
  <c r="D30" i="4"/>
  <c r="L19" i="6"/>
  <c r="M74" i="6"/>
  <c r="M85" i="5"/>
  <c r="L30" i="6"/>
  <c r="H74" i="6"/>
  <c r="D41" i="2"/>
  <c r="D74" i="6"/>
  <c r="M30" i="6"/>
  <c r="M31" i="3"/>
  <c r="D9" i="6"/>
  <c r="D85" i="6"/>
  <c r="M30" i="5"/>
  <c r="H85" i="6"/>
  <c r="L85" i="6"/>
  <c r="M97" i="5"/>
  <c r="H41" i="5"/>
  <c r="D107" i="5"/>
  <c r="M21" i="5"/>
  <c r="D85" i="5"/>
  <c r="H85" i="2"/>
  <c r="L107" i="5"/>
  <c r="H21" i="5"/>
  <c r="L53" i="3"/>
  <c r="D85" i="2"/>
  <c r="D30" i="6"/>
  <c r="L64" i="3"/>
  <c r="L31" i="3"/>
  <c r="M53" i="3"/>
  <c r="M74" i="2"/>
  <c r="M41" i="2"/>
  <c r="L74" i="2"/>
  <c r="L41" i="2"/>
  <c r="M9" i="6"/>
  <c r="L30" i="5"/>
  <c r="H9" i="6"/>
  <c r="D30" i="5"/>
  <c r="D41" i="3"/>
  <c r="M108" i="3"/>
  <c r="H8" i="3"/>
  <c r="L9" i="6"/>
  <c r="D64" i="3"/>
  <c r="L108" i="3"/>
  <c r="H19" i="4"/>
  <c r="H19" i="6"/>
  <c r="M107" i="5"/>
  <c r="L74" i="6"/>
  <c r="L21" i="5"/>
  <c r="H41" i="2"/>
  <c r="H53" i="3"/>
  <c r="H30" i="6"/>
  <c r="L85" i="2"/>
  <c r="D19" i="6"/>
  <c r="D53" i="3"/>
  <c r="D74" i="2"/>
  <c r="M85" i="2"/>
  <c r="M85" i="6"/>
  <c r="M64" i="3"/>
  <c r="H31" i="3"/>
  <c r="H97" i="5"/>
  <c r="H64" i="3"/>
  <c r="D31" i="3"/>
  <c r="D97" i="5"/>
  <c r="H74" i="2"/>
  <c r="H30" i="5"/>
  <c r="M74" i="3"/>
  <c r="H96" i="3"/>
  <c r="L97" i="5"/>
  <c r="L97" i="4"/>
  <c r="H97" i="4"/>
  <c r="L41" i="3"/>
  <c r="D19" i="4"/>
  <c r="L8" i="2"/>
  <c r="D74" i="4"/>
  <c r="H75" i="5"/>
  <c r="M41" i="5"/>
  <c r="D8" i="3"/>
  <c r="D20" i="2"/>
  <c r="M107" i="4"/>
  <c r="H74" i="3"/>
  <c r="H41" i="3"/>
  <c r="L20" i="3"/>
  <c r="H8" i="2"/>
  <c r="M74" i="4"/>
  <c r="D75" i="5"/>
  <c r="L41" i="5"/>
  <c r="D97" i="4"/>
  <c r="L107" i="4"/>
  <c r="H63" i="4"/>
  <c r="L108" i="2"/>
  <c r="L19" i="4"/>
  <c r="M8" i="2"/>
  <c r="L74" i="4"/>
  <c r="M75" i="5"/>
  <c r="M8" i="3"/>
  <c r="H9" i="5"/>
  <c r="M109" i="6"/>
  <c r="H63" i="2"/>
  <c r="M20" i="3"/>
  <c r="H74" i="4"/>
  <c r="L75" i="5"/>
  <c r="L86" i="3"/>
  <c r="D9" i="5"/>
  <c r="L41" i="4"/>
  <c r="D65" i="5"/>
  <c r="H86" i="3"/>
  <c r="H85" i="4"/>
  <c r="L74" i="3"/>
  <c r="D8" i="2"/>
  <c r="L109" i="6"/>
  <c r="D63" i="2"/>
  <c r="H20" i="3"/>
  <c r="D86" i="3"/>
  <c r="M9" i="5"/>
  <c r="M63" i="2"/>
  <c r="L64" i="6"/>
  <c r="M20" i="2"/>
  <c r="H41" i="4"/>
  <c r="H64" i="6"/>
  <c r="M52" i="6"/>
  <c r="M19" i="4"/>
  <c r="M97" i="4"/>
  <c r="H108" i="3"/>
  <c r="H109" i="6"/>
  <c r="D20" i="3"/>
  <c r="M41" i="4"/>
  <c r="D52" i="4"/>
  <c r="M64" i="6"/>
  <c r="D109" i="6"/>
  <c r="H65" i="5"/>
  <c r="H52" i="4"/>
  <c r="M86" i="3"/>
  <c r="L9" i="5"/>
  <c r="L63" i="2"/>
  <c r="D96" i="3"/>
  <c r="D74" i="3"/>
  <c r="D41" i="5"/>
  <c r="M63" i="4"/>
  <c r="M65" i="5"/>
  <c r="D41" i="4"/>
  <c r="H107" i="4"/>
  <c r="M52" i="4"/>
  <c r="D64" i="6"/>
  <c r="M9" i="4"/>
  <c r="L96" i="3"/>
  <c r="L20" i="2"/>
  <c r="L65" i="5"/>
  <c r="M108" i="2"/>
  <c r="D107" i="4"/>
  <c r="L52" i="4"/>
  <c r="D52" i="6"/>
  <c r="L9" i="4"/>
  <c r="H20" i="2"/>
  <c r="L63" i="4"/>
  <c r="D97" i="6"/>
  <c r="L85" i="4"/>
  <c r="L52" i="6"/>
  <c r="H9" i="4"/>
  <c r="M97" i="6"/>
  <c r="M30" i="4"/>
  <c r="L8" i="3"/>
  <c r="D63" i="4"/>
  <c r="L97" i="6"/>
  <c r="H108" i="2"/>
  <c r="H52" i="6"/>
  <c r="H30" i="4"/>
  <c r="D9" i="4"/>
  <c r="H97" i="6"/>
  <c r="D108" i="2"/>
  <c r="L85" i="5"/>
  <c r="M85" i="4"/>
  <c r="L30" i="4"/>
  <c r="D108" i="3"/>
  <c r="M96" i="3"/>
  <c r="M41" i="3"/>
  <c r="P18" i="5"/>
  <c r="P21" i="5"/>
  <c r="N41" i="3" l="1"/>
  <c r="N96" i="3"/>
  <c r="N85" i="4"/>
  <c r="J97" i="6"/>
  <c r="J30" i="4"/>
  <c r="J52" i="6"/>
  <c r="J108" i="2"/>
  <c r="N30" i="4"/>
  <c r="N97" i="6"/>
  <c r="J9" i="4"/>
  <c r="J20" i="2"/>
  <c r="N108" i="2"/>
  <c r="N9" i="4"/>
  <c r="N52" i="4"/>
  <c r="J107" i="4"/>
  <c r="N65" i="5"/>
  <c r="N63" i="4"/>
  <c r="N86" i="3"/>
  <c r="J52" i="4"/>
  <c r="J65" i="5"/>
  <c r="N64" i="6"/>
  <c r="N41" i="4"/>
  <c r="J109" i="6"/>
  <c r="J108" i="3"/>
  <c r="N97" i="4"/>
  <c r="N19" i="4"/>
  <c r="N52" i="6"/>
  <c r="J64" i="6"/>
  <c r="J41" i="4"/>
  <c r="N20" i="2"/>
  <c r="N63" i="2"/>
  <c r="N9" i="5"/>
  <c r="J20" i="3"/>
  <c r="J85" i="4"/>
  <c r="J86" i="3"/>
  <c r="J74" i="4"/>
  <c r="N20" i="3"/>
  <c r="J63" i="2"/>
  <c r="N109" i="6"/>
  <c r="J9" i="5"/>
  <c r="N8" i="3"/>
  <c r="N75" i="5"/>
  <c r="N8" i="2"/>
  <c r="J63" i="4"/>
  <c r="N74" i="4"/>
  <c r="J8" i="2"/>
  <c r="J41" i="3"/>
  <c r="J74" i="3"/>
  <c r="N107" i="4"/>
  <c r="N41" i="5"/>
  <c r="J75" i="5"/>
  <c r="J97" i="4"/>
  <c r="J96" i="3"/>
  <c r="N74" i="3"/>
  <c r="J30" i="5"/>
  <c r="J74" i="2"/>
  <c r="J64" i="3"/>
  <c r="J97" i="5"/>
  <c r="J31" i="3"/>
  <c r="N64" i="3"/>
  <c r="N85" i="6"/>
  <c r="N85" i="2"/>
  <c r="J30" i="6"/>
  <c r="J53" i="3"/>
  <c r="J41" i="2"/>
  <c r="N107" i="5"/>
  <c r="J19" i="6"/>
  <c r="J19" i="4"/>
  <c r="J8" i="3"/>
  <c r="N108" i="3"/>
  <c r="J9" i="6"/>
  <c r="N9" i="6"/>
  <c r="N41" i="2"/>
  <c r="N74" i="2"/>
  <c r="N53" i="3"/>
  <c r="J21" i="5"/>
  <c r="J85" i="2"/>
  <c r="N21" i="5"/>
  <c r="J41" i="5"/>
  <c r="N97" i="5"/>
  <c r="J85" i="6"/>
  <c r="N30" i="5"/>
  <c r="N31" i="3"/>
  <c r="N30" i="6"/>
  <c r="J74" i="6"/>
  <c r="N85" i="5"/>
  <c r="N74" i="6"/>
  <c r="J85" i="5"/>
  <c r="J24" i="5"/>
  <c r="J23" i="5"/>
  <c r="J107" i="5"/>
  <c r="N19" i="6"/>
  <c r="B109" i="5"/>
  <c r="B87" i="4"/>
  <c r="B87" i="5"/>
  <c r="B109" i="4"/>
  <c r="B65" i="4"/>
  <c r="B54" i="6"/>
  <c r="B54" i="4"/>
  <c r="B65" i="2"/>
  <c r="B76" i="4"/>
  <c r="B43" i="4"/>
  <c r="B10" i="2"/>
  <c r="B43" i="3"/>
  <c r="B32" i="4"/>
  <c r="B10" i="3"/>
  <c r="B76" i="3"/>
  <c r="B32" i="5"/>
  <c r="B21" i="4"/>
  <c r="B43" i="5"/>
  <c r="B98" i="3"/>
  <c r="B87" i="6"/>
  <c r="B32" i="6"/>
  <c r="B76" i="6"/>
  <c r="B21" i="6"/>
  <c r="B76" i="2"/>
  <c r="B43" i="2"/>
  <c r="B87" i="2"/>
  <c r="L86" i="5"/>
  <c r="M21" i="2"/>
  <c r="H75" i="4"/>
  <c r="H31" i="4"/>
  <c r="M65" i="3"/>
  <c r="L31" i="6"/>
  <c r="L42" i="2"/>
  <c r="H108" i="4"/>
  <c r="L21" i="2"/>
  <c r="L65" i="3"/>
  <c r="H31" i="6"/>
  <c r="H42" i="2"/>
  <c r="L64" i="4"/>
  <c r="M75" i="3"/>
  <c r="H21" i="2"/>
  <c r="D75" i="4"/>
  <c r="D31" i="4"/>
  <c r="H20" i="4"/>
  <c r="L64" i="2"/>
  <c r="D108" i="4"/>
  <c r="D21" i="2"/>
  <c r="H42" i="4"/>
  <c r="M20" i="4"/>
  <c r="M54" i="3"/>
  <c r="M86" i="2"/>
  <c r="M108" i="4"/>
  <c r="M53" i="4"/>
  <c r="L42" i="4"/>
  <c r="L9" i="3"/>
  <c r="L54" i="3"/>
  <c r="L108" i="4"/>
  <c r="L53" i="4"/>
  <c r="D42" i="4"/>
  <c r="D9" i="3"/>
  <c r="L20" i="4"/>
  <c r="H54" i="3"/>
  <c r="D86" i="2"/>
  <c r="H109" i="2"/>
  <c r="H53" i="4"/>
  <c r="M9" i="3"/>
  <c r="D20" i="4"/>
  <c r="D54" i="3"/>
  <c r="L86" i="2"/>
  <c r="D109" i="2"/>
  <c r="M42" i="4"/>
  <c r="H9" i="3"/>
  <c r="D42" i="5"/>
  <c r="D75" i="6"/>
  <c r="H86" i="2"/>
  <c r="M109" i="2"/>
  <c r="D53" i="4"/>
  <c r="M98" i="4"/>
  <c r="M75" i="6"/>
  <c r="L98" i="6"/>
  <c r="L109" i="2"/>
  <c r="M87" i="3"/>
  <c r="M9" i="2"/>
  <c r="L98" i="4"/>
  <c r="M42" i="5"/>
  <c r="M98" i="6"/>
  <c r="M65" i="6"/>
  <c r="L87" i="3"/>
  <c r="D9" i="2"/>
  <c r="H98" i="4"/>
  <c r="L42" i="5"/>
  <c r="L75" i="6"/>
  <c r="H98" i="6"/>
  <c r="L9" i="2"/>
  <c r="D98" i="6"/>
  <c r="D20" i="6"/>
  <c r="D65" i="6"/>
  <c r="M64" i="2"/>
  <c r="L97" i="3"/>
  <c r="H64" i="4"/>
  <c r="M97" i="3"/>
  <c r="D21" i="3"/>
  <c r="L108" i="5"/>
  <c r="D64" i="2"/>
  <c r="L42" i="3"/>
  <c r="L10" i="6"/>
  <c r="M86" i="6"/>
  <c r="M98" i="5"/>
  <c r="M64" i="4"/>
  <c r="H42" i="3"/>
  <c r="L86" i="6"/>
  <c r="H10" i="5"/>
  <c r="H86" i="6"/>
  <c r="M86" i="4"/>
  <c r="D86" i="6"/>
  <c r="M76" i="5"/>
  <c r="D32" i="3"/>
  <c r="L10" i="4"/>
  <c r="D75" i="2"/>
  <c r="M31" i="5"/>
  <c r="L76" i="5"/>
  <c r="H32" i="3"/>
  <c r="H86" i="5"/>
  <c r="M31" i="4"/>
  <c r="M42" i="2"/>
  <c r="L75" i="4"/>
  <c r="M31" i="6"/>
  <c r="D98" i="4"/>
  <c r="H9" i="2"/>
  <c r="L20" i="6"/>
  <c r="D108" i="5"/>
  <c r="L21" i="3"/>
  <c r="M20" i="6"/>
  <c r="H21" i="3"/>
  <c r="H64" i="2"/>
  <c r="H108" i="5"/>
  <c r="M10" i="5"/>
  <c r="H10" i="6"/>
  <c r="L98" i="5"/>
  <c r="D10" i="6"/>
  <c r="H98" i="5"/>
  <c r="D10" i="5"/>
  <c r="H31" i="5"/>
  <c r="D109" i="3"/>
  <c r="D31" i="5"/>
  <c r="D53" i="6"/>
  <c r="D86" i="5"/>
  <c r="H10" i="4"/>
  <c r="L32" i="3"/>
  <c r="D10" i="4"/>
  <c r="M75" i="4"/>
  <c r="D31" i="6"/>
  <c r="H53" i="6"/>
  <c r="D65" i="3"/>
  <c r="H87" i="3"/>
  <c r="H75" i="6"/>
  <c r="H65" i="6"/>
  <c r="M21" i="3"/>
  <c r="H75" i="3"/>
  <c r="H20" i="6"/>
  <c r="D64" i="4"/>
  <c r="D97" i="3"/>
  <c r="H86" i="4"/>
  <c r="M109" i="3"/>
  <c r="L10" i="5"/>
  <c r="D42" i="3"/>
  <c r="M10" i="6"/>
  <c r="D98" i="5"/>
  <c r="L109" i="3"/>
  <c r="H109" i="3"/>
  <c r="M42" i="3"/>
  <c r="L75" i="2"/>
  <c r="L86" i="4"/>
  <c r="M10" i="4"/>
  <c r="H75" i="2"/>
  <c r="D86" i="4"/>
  <c r="D76" i="5"/>
  <c r="M32" i="3"/>
  <c r="H76" i="5"/>
  <c r="M53" i="6"/>
  <c r="L31" i="5"/>
  <c r="M75" i="2"/>
  <c r="L53" i="6"/>
  <c r="H65" i="3"/>
  <c r="M86" i="5"/>
  <c r="L31" i="4"/>
  <c r="D42" i="2"/>
  <c r="L65" i="6"/>
  <c r="H42" i="5"/>
  <c r="D87" i="3"/>
  <c r="L75" i="3"/>
  <c r="H97" i="3"/>
  <c r="M108" i="5"/>
  <c r="D75" i="3"/>
  <c r="P21" i="2"/>
  <c r="P18" i="2"/>
  <c r="P18" i="3"/>
  <c r="P21" i="3"/>
  <c r="P7" i="5"/>
  <c r="P10" i="5"/>
  <c r="P7" i="6"/>
  <c r="P10" i="6"/>
  <c r="P7" i="4"/>
  <c r="P10" i="4"/>
  <c r="P32" i="3"/>
  <c r="P29" i="3"/>
  <c r="N108" i="5" l="1"/>
  <c r="J97" i="3"/>
  <c r="J42" i="5"/>
  <c r="N86" i="5"/>
  <c r="J65" i="3"/>
  <c r="N75" i="2"/>
  <c r="N53" i="6"/>
  <c r="J76" i="5"/>
  <c r="N32" i="3"/>
  <c r="J75" i="2"/>
  <c r="N10" i="4"/>
  <c r="N42" i="3"/>
  <c r="J109" i="3"/>
  <c r="N10" i="6"/>
  <c r="N109" i="3"/>
  <c r="J86" i="4"/>
  <c r="J20" i="6"/>
  <c r="J75" i="3"/>
  <c r="N21" i="3"/>
  <c r="J65" i="6"/>
  <c r="J75" i="6"/>
  <c r="J87" i="3"/>
  <c r="J53" i="6"/>
  <c r="N75" i="4"/>
  <c r="J12" i="4"/>
  <c r="J13" i="4"/>
  <c r="J10" i="4"/>
  <c r="J31" i="5"/>
  <c r="J12" i="5"/>
  <c r="J13" i="5"/>
  <c r="J98" i="5"/>
  <c r="J12" i="6"/>
  <c r="J13" i="6"/>
  <c r="J10" i="6"/>
  <c r="N10" i="5"/>
  <c r="J108" i="5"/>
  <c r="J64" i="2"/>
  <c r="J21" i="3"/>
  <c r="N20" i="6"/>
  <c r="J9" i="2"/>
  <c r="N31" i="6"/>
  <c r="N42" i="2"/>
  <c r="N31" i="4"/>
  <c r="J86" i="5"/>
  <c r="J32" i="3"/>
  <c r="N31" i="5"/>
  <c r="J35" i="3"/>
  <c r="J34" i="3"/>
  <c r="N76" i="5"/>
  <c r="N86" i="4"/>
  <c r="J86" i="6"/>
  <c r="J10" i="5"/>
  <c r="J42" i="3"/>
  <c r="N64" i="4"/>
  <c r="N98" i="5"/>
  <c r="N86" i="6"/>
  <c r="J24" i="3"/>
  <c r="J23" i="3"/>
  <c r="N97" i="3"/>
  <c r="J64" i="4"/>
  <c r="N64" i="2"/>
  <c r="J98" i="6"/>
  <c r="J98" i="4"/>
  <c r="N65" i="6"/>
  <c r="N98" i="6"/>
  <c r="N42" i="5"/>
  <c r="N9" i="2"/>
  <c r="N87" i="3"/>
  <c r="N75" i="6"/>
  <c r="N98" i="4"/>
  <c r="N109" i="2"/>
  <c r="J86" i="2"/>
  <c r="J9" i="3"/>
  <c r="N42" i="4"/>
  <c r="N9" i="3"/>
  <c r="J53" i="4"/>
  <c r="J109" i="2"/>
  <c r="J54" i="3"/>
  <c r="N53" i="4"/>
  <c r="N108" i="4"/>
  <c r="N86" i="2"/>
  <c r="N54" i="3"/>
  <c r="N20" i="4"/>
  <c r="J42" i="4"/>
  <c r="J24" i="2"/>
  <c r="J23" i="2"/>
  <c r="J20" i="4"/>
  <c r="J21" i="2"/>
  <c r="N75" i="3"/>
  <c r="J42" i="2"/>
  <c r="J31" i="6"/>
  <c r="J108" i="4"/>
  <c r="N65" i="3"/>
  <c r="J31" i="4"/>
  <c r="J75" i="4"/>
  <c r="N21" i="2"/>
  <c r="M98" i="3"/>
  <c r="H76" i="6"/>
  <c r="M10" i="3"/>
  <c r="L54" i="4"/>
  <c r="D87" i="5"/>
  <c r="L98" i="3"/>
  <c r="D76" i="6"/>
  <c r="L10" i="3"/>
  <c r="L54" i="6"/>
  <c r="M32" i="5"/>
  <c r="M43" i="5"/>
  <c r="M43" i="2"/>
  <c r="L32" i="5"/>
  <c r="L43" i="5"/>
  <c r="L43" i="2"/>
  <c r="D32" i="5"/>
  <c r="H43" i="5"/>
  <c r="H43" i="2"/>
  <c r="H32" i="5"/>
  <c r="D43" i="5"/>
  <c r="D43" i="2"/>
  <c r="M65" i="2"/>
  <c r="M87" i="4"/>
  <c r="D10" i="2"/>
  <c r="L32" i="6"/>
  <c r="L65" i="2"/>
  <c r="H87" i="4"/>
  <c r="H10" i="2"/>
  <c r="M32" i="6"/>
  <c r="H65" i="2"/>
  <c r="L87" i="4"/>
  <c r="M10" i="2"/>
  <c r="H32" i="6"/>
  <c r="D65" i="2"/>
  <c r="D87" i="4"/>
  <c r="L10" i="2"/>
  <c r="D32" i="6"/>
  <c r="L76" i="3"/>
  <c r="M21" i="6"/>
  <c r="M54" i="4"/>
  <c r="D109" i="4"/>
  <c r="H76" i="3"/>
  <c r="M109" i="4"/>
  <c r="H21" i="6"/>
  <c r="D21" i="6"/>
  <c r="D76" i="2"/>
  <c r="M87" i="5"/>
  <c r="L76" i="2"/>
  <c r="H109" i="5"/>
  <c r="H43" i="4"/>
  <c r="H43" i="3"/>
  <c r="D87" i="2"/>
  <c r="M43" i="3"/>
  <c r="M54" i="6"/>
  <c r="M87" i="2"/>
  <c r="L32" i="4"/>
  <c r="L87" i="2"/>
  <c r="D32" i="4"/>
  <c r="M87" i="6"/>
  <c r="H21" i="4"/>
  <c r="L87" i="6"/>
  <c r="D21" i="4"/>
  <c r="D65" i="4"/>
  <c r="H76" i="4"/>
  <c r="M21" i="4"/>
  <c r="H98" i="3"/>
  <c r="L76" i="6"/>
  <c r="D98" i="3"/>
  <c r="D10" i="3"/>
  <c r="H54" i="4"/>
  <c r="D76" i="3"/>
  <c r="L109" i="4"/>
  <c r="M109" i="5"/>
  <c r="M76" i="2"/>
  <c r="L109" i="5"/>
  <c r="D43" i="4"/>
  <c r="H87" i="5"/>
  <c r="M32" i="4"/>
  <c r="L43" i="3"/>
  <c r="H54" i="6"/>
  <c r="H32" i="4"/>
  <c r="D43" i="3"/>
  <c r="D54" i="6"/>
  <c r="H87" i="2"/>
  <c r="M65" i="4"/>
  <c r="M76" i="4"/>
  <c r="L65" i="4"/>
  <c r="L76" i="4"/>
  <c r="H87" i="6"/>
  <c r="L21" i="4"/>
  <c r="D87" i="6"/>
  <c r="H65" i="4"/>
  <c r="D76" i="4"/>
  <c r="H10" i="3"/>
  <c r="M76" i="6"/>
  <c r="L21" i="6"/>
  <c r="M76" i="3"/>
  <c r="H109" i="4"/>
  <c r="D54" i="4"/>
  <c r="M43" i="4"/>
  <c r="L43" i="4"/>
  <c r="L87" i="5"/>
  <c r="H76" i="2"/>
  <c r="D109" i="5"/>
  <c r="P29" i="5"/>
  <c r="P32" i="5"/>
  <c r="P43" i="5"/>
  <c r="P40" i="5"/>
  <c r="P43" i="2"/>
  <c r="P40" i="2"/>
  <c r="P7" i="2"/>
  <c r="P10" i="2"/>
  <c r="P32" i="6"/>
  <c r="P29" i="6"/>
  <c r="P32" i="4"/>
  <c r="P29" i="4"/>
  <c r="P43" i="3"/>
  <c r="P40" i="3"/>
  <c r="P18" i="4"/>
  <c r="P21" i="4"/>
  <c r="P7" i="3"/>
  <c r="P10" i="3"/>
  <c r="P18" i="6"/>
  <c r="P21" i="6"/>
  <c r="P40" i="4"/>
  <c r="P43" i="4"/>
  <c r="J76" i="2" l="1"/>
  <c r="N43" i="4"/>
  <c r="J109" i="4"/>
  <c r="N76" i="3"/>
  <c r="N76" i="6"/>
  <c r="J10" i="3"/>
  <c r="J65" i="4"/>
  <c r="J87" i="6"/>
  <c r="N76" i="4"/>
  <c r="N65" i="4"/>
  <c r="J87" i="2"/>
  <c r="J45" i="3"/>
  <c r="J46" i="3"/>
  <c r="J32" i="4"/>
  <c r="J54" i="6"/>
  <c r="N32" i="4"/>
  <c r="J87" i="5"/>
  <c r="J45" i="4"/>
  <c r="J46" i="4"/>
  <c r="N76" i="2"/>
  <c r="N109" i="5"/>
  <c r="J54" i="4"/>
  <c r="J12" i="3"/>
  <c r="J13" i="3"/>
  <c r="J98" i="3"/>
  <c r="N21" i="4"/>
  <c r="J76" i="4"/>
  <c r="J24" i="4"/>
  <c r="J23" i="4"/>
  <c r="J21" i="4"/>
  <c r="N87" i="6"/>
  <c r="J35" i="4"/>
  <c r="J34" i="4"/>
  <c r="N87" i="2"/>
  <c r="N54" i="6"/>
  <c r="N43" i="3"/>
  <c r="J43" i="3"/>
  <c r="J43" i="4"/>
  <c r="J109" i="5"/>
  <c r="N87" i="5"/>
  <c r="J24" i="6"/>
  <c r="J23" i="6"/>
  <c r="J21" i="6"/>
  <c r="N109" i="4"/>
  <c r="J76" i="3"/>
  <c r="N54" i="4"/>
  <c r="N21" i="6"/>
  <c r="J34" i="6"/>
  <c r="J35" i="6"/>
  <c r="J32" i="6"/>
  <c r="N10" i="2"/>
  <c r="J65" i="2"/>
  <c r="N32" i="6"/>
  <c r="J10" i="2"/>
  <c r="J87" i="4"/>
  <c r="J12" i="2"/>
  <c r="J13" i="2"/>
  <c r="N87" i="4"/>
  <c r="N65" i="2"/>
  <c r="J45" i="2"/>
  <c r="J46" i="2"/>
  <c r="J45" i="5"/>
  <c r="J46" i="5"/>
  <c r="J32" i="5"/>
  <c r="J43" i="2"/>
  <c r="J43" i="5"/>
  <c r="J34" i="5"/>
  <c r="J35" i="5"/>
  <c r="N43" i="2"/>
  <c r="N43" i="5"/>
  <c r="N32" i="5"/>
  <c r="N10" i="3"/>
  <c r="J76" i="6"/>
  <c r="N98" i="3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<sst xmlns="http://schemas.openxmlformats.org/spreadsheetml/2006/main" count="7258" uniqueCount="189">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</sst>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4F-4240-8D66-7B57DDAF27B3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38.181567999999999</c:v>
                </c:pt>
                <c:pt idx="1">
                  <c:v>54.989343999999996</c:v>
                </c:pt>
                <c:pt idx="2">
                  <c:v>79.259944000000004</c:v>
                </c:pt>
                <c:pt idx="3">
                  <c:v>112.20760800000001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17.249051333333334</c:v>
                </c:pt>
                <c:pt idx="1">
                  <c:v>16.49781586666667</c:v>
                </c:pt>
                <c:pt idx="2">
                  <c:v>16.438795799999998</c:v>
                </c:pt>
                <c:pt idx="3">
                  <c:v>16.334541533333333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4F-4240-8D66-7B57DDAF27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4F-4240-8D66-7B57DDAF27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4F-4240-8D66-7B57DDAF2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70-45B7-81EC-61C76FC79BAA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27.67136</c:v>
                </c:pt>
                <c:pt idx="1">
                  <c:v>40.102560000000004</c:v>
                </c:pt>
                <c:pt idx="2">
                  <c:v>59.783936000000004</c:v>
                </c:pt>
                <c:pt idx="3">
                  <c:v>87.085135999999991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30.61671461904762</c:v>
                </c:pt>
                <c:pt idx="1">
                  <c:v>33.943176571428566</c:v>
                </c:pt>
                <c:pt idx="2">
                  <c:v>38.126922333333333</c:v>
                </c:pt>
                <c:pt idx="3">
                  <c:v>42.552329285714286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70-45B7-81EC-61C76FC79BA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70-45B7-81EC-61C76FC79BA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70-45B7-81EC-61C76FC7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5-460C-95DB-672C1F6F7DD0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28.541695999999998</c:v>
                </c:pt>
                <c:pt idx="1">
                  <c:v>41.50998400000001</c:v>
                </c:pt>
                <c:pt idx="2">
                  <c:v>62.10004</c:v>
                </c:pt>
                <c:pt idx="3">
                  <c:v>90.501656000000011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30.633726285714289</c:v>
                </c:pt>
                <c:pt idx="1">
                  <c:v>33.996017571428581</c:v>
                </c:pt>
                <c:pt idx="2">
                  <c:v>38.220913190476189</c:v>
                </c:pt>
                <c:pt idx="3">
                  <c:v>42.432831333333326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5-460C-95DB-672C1F6F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45-460C-95DB-672C1F6F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5-460C-95DB-672C1F6F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6-46FC-91C4-99143D90A070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96-46FC-91C4-99143D90A0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96-46FC-91C4-99143D90A0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96-46FC-91C4-99143D90A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F-46B0-8B18-8C4C37AB5D4D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BF-46B0-8B18-8C4C37AB5D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BF-46B0-8B18-8C4C37AB5D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BF-46B0-8B18-8C4C37AB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67-4D75-AEF8-208FA21B5F71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67-4D75-AEF8-208FA21B5F7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67-4D75-AEF8-208FA21B5F7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67-4D75-AEF8-208FA21B5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7F-4EC2-96BA-788976ACC3D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F-4EC2-96BA-788976ACC3D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7F-4EC2-96BA-788976ACC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D-4679-B58A-F2FEB891C9D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D-4679-B58A-F2FEB891C9D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2D-4679-B58A-F2FEB891C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6A-4656-A62C-D2CBED21AE7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6A-4656-A62C-D2CBED21AE7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6A-4656-A62C-D2CBED21A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41-44F3-A261-CF12913D0CD5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37.256023999999996</c:v>
                </c:pt>
                <c:pt idx="1">
                  <c:v>53.544432000000008</c:v>
                </c:pt>
                <c:pt idx="2">
                  <c:v>76.998888000000008</c:v>
                </c:pt>
                <c:pt idx="3">
                  <c:v>108.939312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17.374985333333331</c:v>
                </c:pt>
                <c:pt idx="1">
                  <c:v>16.574298799999998</c:v>
                </c:pt>
                <c:pt idx="2">
                  <c:v>16.511690533333333</c:v>
                </c:pt>
                <c:pt idx="3">
                  <c:v>16.380948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41-44F3-A261-CF12913D0C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41-44F3-A261-CF12913D0C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41-44F3-A261-CF12913D0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A-4279-9874-A8AAB54BBCE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38.181567999999999</c:v>
                </c:pt>
                <c:pt idx="1">
                  <c:v>54.989343999999996</c:v>
                </c:pt>
                <c:pt idx="2">
                  <c:v>79.259944000000004</c:v>
                </c:pt>
                <c:pt idx="3">
                  <c:v>112.20760800000001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23.292099533333332</c:v>
                </c:pt>
                <c:pt idx="1">
                  <c:v>22.934513066666668</c:v>
                </c:pt>
                <c:pt idx="2">
                  <c:v>22.718845000000002</c:v>
                </c:pt>
                <c:pt idx="3">
                  <c:v>22.5460776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7A-4279-9874-A8AAB54BBCE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7A-4279-9874-A8AAB54BBCE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7A-4279-9874-A8AAB54B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6-4FF5-979B-23DF86796578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27.67136</c:v>
                </c:pt>
                <c:pt idx="1">
                  <c:v>40.102560000000004</c:v>
                </c:pt>
                <c:pt idx="2">
                  <c:v>59.783936000000004</c:v>
                </c:pt>
                <c:pt idx="3">
                  <c:v>87.085135999999991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34.516313095238104</c:v>
                </c:pt>
                <c:pt idx="1">
                  <c:v>37.318816904761903</c:v>
                </c:pt>
                <c:pt idx="2">
                  <c:v>41.427697000000002</c:v>
                </c:pt>
                <c:pt idx="3">
                  <c:v>45.596036523809524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96-4FF5-979B-23DF867965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96-4FF5-979B-23DF867965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6-4FF5-979B-23DF8679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99-4DFB-9ADA-F3D3A6C97A89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28.541695999999998</c:v>
                </c:pt>
                <c:pt idx="1">
                  <c:v>41.50998400000001</c:v>
                </c:pt>
                <c:pt idx="2">
                  <c:v>62.10004</c:v>
                </c:pt>
                <c:pt idx="3">
                  <c:v>90.501656000000011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34.532868190476186</c:v>
                </c:pt>
                <c:pt idx="1">
                  <c:v>37.340230571428563</c:v>
                </c:pt>
                <c:pt idx="2">
                  <c:v>41.529669904761903</c:v>
                </c:pt>
                <c:pt idx="3">
                  <c:v>45.488029095238097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99-4DFB-9ADA-F3D3A6C97A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99-4DFB-9ADA-F3D3A6C97A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99-4DFB-9ADA-F3D3A6C9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4-4957-87C5-97342934290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34-4957-87C5-97342934290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34-4957-87C5-97342934290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34-4957-87C5-973429342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6D-44EE-B9EC-18F05DA4A245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6D-44EE-B9EC-18F05DA4A24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6D-44EE-B9EC-18F05DA4A24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6D-44EE-B9EC-18F05DA4A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4-44DE-A5C1-254B092B26D7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54-44DE-A5C1-254B092B26D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54-44DE-A5C1-254B092B26D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54-44DE-A5C1-254B092B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9-4F78-B9F0-495F2D2F3C4F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9-4F78-B9F0-495F2D2F3C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9-4F78-B9F0-495F2D2F3C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B9-4F78-B9F0-495F2D2F3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F-4CB3-8EB0-E0C810C0EA40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9F-4CB3-8EB0-E0C810C0EA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9F-4CB3-8EB0-E0C810C0EA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9F-4CB3-8EB0-E0C810C0E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3-4DD7-984B-CE3FC2F9C58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3-4DD7-984B-CE3FC2F9C58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A3-4DD7-984B-CE3FC2F9C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C-4347-A82D-144074164764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37.256023999999996</c:v>
                </c:pt>
                <c:pt idx="1">
                  <c:v>53.544432000000008</c:v>
                </c:pt>
                <c:pt idx="2">
                  <c:v>76.998888000000008</c:v>
                </c:pt>
                <c:pt idx="3">
                  <c:v>108.939312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23.578263666666665</c:v>
                </c:pt>
                <c:pt idx="1">
                  <c:v>23.015679866666666</c:v>
                </c:pt>
                <c:pt idx="2">
                  <c:v>22.8640358</c:v>
                </c:pt>
                <c:pt idx="3">
                  <c:v>22.619255066666668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C-4347-A82D-1440741647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EC-4347-A82D-1440741647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EC-4347-A82D-144074164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28-41EE-977D-A13A2257739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38.181567999999999</c:v>
                </c:pt>
                <c:pt idx="1">
                  <c:v>54.989343999999996</c:v>
                </c:pt>
                <c:pt idx="2">
                  <c:v>79.259944000000004</c:v>
                </c:pt>
                <c:pt idx="3">
                  <c:v>112.20760800000001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0.71750574866666672</c:v>
                </c:pt>
                <c:pt idx="1">
                  <c:v>0.71415751199999988</c:v>
                </c:pt>
                <c:pt idx="2">
                  <c:v>0.71326403199999999</c:v>
                </c:pt>
                <c:pt idx="3">
                  <c:v>0.71207595666666657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28-41EE-977D-A13A225773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28-41EE-977D-A13A225773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28-41EE-977D-A13A22577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E-47A7-99E6-0B7D6733387A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27.67136</c:v>
                </c:pt>
                <c:pt idx="1">
                  <c:v>40.102560000000004</c:v>
                </c:pt>
                <c:pt idx="2">
                  <c:v>59.783936000000004</c:v>
                </c:pt>
                <c:pt idx="3">
                  <c:v>87.085135999999991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0.96686431476190482</c:v>
                </c:pt>
                <c:pt idx="1">
                  <c:v>0.98011491380952365</c:v>
                </c:pt>
                <c:pt idx="2">
                  <c:v>0.98939261047619043</c:v>
                </c:pt>
                <c:pt idx="3">
                  <c:v>0.99409626523809513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E-47A7-99E6-0B7D673338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EE-47A7-99E6-0B7D673338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EE-47A7-99E6-0B7D67333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5-476B-89D2-734FEE82EA15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28.541695999999998</c:v>
                </c:pt>
                <c:pt idx="1">
                  <c:v>41.50998400000001</c:v>
                </c:pt>
                <c:pt idx="2">
                  <c:v>62.10004</c:v>
                </c:pt>
                <c:pt idx="3">
                  <c:v>90.501656000000011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0.96605876476190478</c:v>
                </c:pt>
                <c:pt idx="1">
                  <c:v>0.97917555238095255</c:v>
                </c:pt>
                <c:pt idx="2">
                  <c:v>0.98903771714285715</c:v>
                </c:pt>
                <c:pt idx="3">
                  <c:v>0.99385602238095228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E5-476B-89D2-734FEE82EA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E5-476B-89D2-734FEE82EA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E5-476B-89D2-734FEE82E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81-4AB7-AE55-99E42116D3D9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81-4AB7-AE55-99E42116D3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81-4AB7-AE55-99E42116D3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81-4AB7-AE55-99E42116D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D-404B-8447-FDF9D8C7B72B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D-404B-8447-FDF9D8C7B72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7D-404B-8447-FDF9D8C7B72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7D-404B-8447-FDF9D8C7B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C0-4B1B-9D59-2ECBD2AFDDC4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C0-4B1B-9D59-2ECBD2AFDD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C0-4B1B-9D59-2ECBD2AFDD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C0-4B1B-9D59-2ECBD2AF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C2-4929-B2B1-BCFC7574105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C2-4929-B2B1-BCFC7574105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C2-4929-B2B1-BCFC75741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C-426C-B467-28B44711119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2C-426C-B467-28B44711119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2C-426C-B467-28B447111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E-4DAA-9396-148E830B27E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7E-4DAA-9396-148E830B27E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7E-4DAA-9396-148E830B2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A2-42C3-93A9-5B99CCFB670A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37.256023999999996</c:v>
                </c:pt>
                <c:pt idx="1">
                  <c:v>53.544432000000008</c:v>
                </c:pt>
                <c:pt idx="2">
                  <c:v>76.998888000000008</c:v>
                </c:pt>
                <c:pt idx="3">
                  <c:v>108.939312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0.72379628800000007</c:v>
                </c:pt>
                <c:pt idx="1">
                  <c:v>0.72019659000000003</c:v>
                </c:pt>
                <c:pt idx="2">
                  <c:v>0.71951376066666672</c:v>
                </c:pt>
                <c:pt idx="3">
                  <c:v>0.71841891599999996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A2-42C3-93A9-5B99CCFB67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A2-42C3-93A9-5B99CCFB67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A2-42C3-93A9-5B99CCFB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4F-4F06-8B97-480FEFBA71C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38.181567999999999</c:v>
                </c:pt>
                <c:pt idx="1">
                  <c:v>54.989343999999996</c:v>
                </c:pt>
                <c:pt idx="2">
                  <c:v>79.259944000000004</c:v>
                </c:pt>
                <c:pt idx="3">
                  <c:v>112.20760800000001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0.78166528866666662</c:v>
                </c:pt>
                <c:pt idx="1">
                  <c:v>0.77597755533333346</c:v>
                </c:pt>
                <c:pt idx="2">
                  <c:v>0.7767141580000001</c:v>
                </c:pt>
                <c:pt idx="3">
                  <c:v>0.77554937266666657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4F-4F06-8B97-480FEFBA71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4F-4F06-8B97-480FEFBA71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4F-4F06-8B97-480FEFBA7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67-423A-836C-175F5EB180D2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27.67136</c:v>
                </c:pt>
                <c:pt idx="1">
                  <c:v>40.102560000000004</c:v>
                </c:pt>
                <c:pt idx="2">
                  <c:v>59.783936000000004</c:v>
                </c:pt>
                <c:pt idx="3">
                  <c:v>87.085135999999991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0.97376541428571439</c:v>
                </c:pt>
                <c:pt idx="1">
                  <c:v>0.98474425095238094</c:v>
                </c:pt>
                <c:pt idx="2">
                  <c:v>0.99275354952380923</c:v>
                </c:pt>
                <c:pt idx="3">
                  <c:v>0.99653951380952388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67-423A-836C-175F5EB180D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67-423A-836C-175F5EB180D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67-423A-836C-175F5EB18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6C-48C9-AB2B-A5C873EFEE86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28.541695999999998</c:v>
                </c:pt>
                <c:pt idx="1">
                  <c:v>41.50998400000001</c:v>
                </c:pt>
                <c:pt idx="2">
                  <c:v>62.10004</c:v>
                </c:pt>
                <c:pt idx="3">
                  <c:v>90.501656000000011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0.97346077714285695</c:v>
                </c:pt>
                <c:pt idx="1">
                  <c:v>0.98457388619047626</c:v>
                </c:pt>
                <c:pt idx="2">
                  <c:v>0.99265061476190464</c:v>
                </c:pt>
                <c:pt idx="3">
                  <c:v>0.99644433333333349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6C-48C9-AB2B-A5C873EFEE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6C-48C9-AB2B-A5C873EFEE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6C-48C9-AB2B-A5C873EFE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3A-4429-A698-68D78F52FF45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3A-4429-A698-68D78F52FF4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3A-4429-A698-68D78F52FF4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3A-4429-A698-68D78F52F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E8-446B-8714-E64D1B891B7C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E8-446B-8714-E64D1B891B7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E8-446B-8714-E64D1B891B7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E8-446B-8714-E64D1B891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6-43DD-8BA2-E4F950CC596B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26-43DD-8BA2-E4F950CC596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26-43DD-8BA2-E4F950CC596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26-43DD-8BA2-E4F950CC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C2-4C8D-AADC-8C08B1A3CDE9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C2-4C8D-AADC-8C08B1A3CD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C2-4C8D-AADC-8C08B1A3CD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C2-4C8D-AADC-8C08B1A3C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6-490D-9ED2-31EFFD0F5EE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6-490D-9ED2-31EFFD0F5EE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6-490D-9ED2-31EFFD0F5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0-471C-8ED4-36649A47D5F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0-471C-8ED4-36649A47D5F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E0-471C-8ED4-36649A47D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7C-4FAC-BC32-CF118A2B058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7C-4FAC-BC32-CF118A2B058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7C-4FAC-BC32-CF118A2B0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2-4162-9FAA-ADE5424F70B0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37.256023999999996</c:v>
                </c:pt>
                <c:pt idx="1">
                  <c:v>53.544432000000008</c:v>
                </c:pt>
                <c:pt idx="2">
                  <c:v>76.998888000000008</c:v>
                </c:pt>
                <c:pt idx="3">
                  <c:v>108.939312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0.78408962933333326</c:v>
                </c:pt>
                <c:pt idx="1">
                  <c:v>0.77796662466666666</c:v>
                </c:pt>
                <c:pt idx="2">
                  <c:v>0.7782779093333333</c:v>
                </c:pt>
                <c:pt idx="3">
                  <c:v>0.77748608733333335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2-4162-9FAA-ADE5424F70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2-4162-9FAA-ADE5424F70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2-4162-9FAA-ADE5424F7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B-4B27-96DF-836157D82BCD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38.181567999999999</c:v>
                </c:pt>
                <c:pt idx="1">
                  <c:v>54.989343999999996</c:v>
                </c:pt>
                <c:pt idx="2">
                  <c:v>79.259944000000004</c:v>
                </c:pt>
                <c:pt idx="3">
                  <c:v>112.20760800000001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0.56103006666666666</c:v>
                </c:pt>
                <c:pt idx="1">
                  <c:v>0.56523049800000003</c:v>
                </c:pt>
                <c:pt idx="2">
                  <c:v>0.56679286866666656</c:v>
                </c:pt>
                <c:pt idx="3">
                  <c:v>0.56566608200000001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6B-4B27-96DF-836157D82BC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6B-4B27-96DF-836157D82BC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6B-4B27-96DF-836157D82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8B-4B2B-B02F-6D6F7313C484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27.67136</c:v>
                </c:pt>
                <c:pt idx="1">
                  <c:v>40.102560000000004</c:v>
                </c:pt>
                <c:pt idx="2">
                  <c:v>59.783936000000004</c:v>
                </c:pt>
                <c:pt idx="3">
                  <c:v>87.085135999999991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5.6413960476190482E-2</c:v>
                </c:pt>
                <c:pt idx="1">
                  <c:v>3.7110384142857139E-2</c:v>
                </c:pt>
                <c:pt idx="2">
                  <c:v>2.064096342857143E-2</c:v>
                </c:pt>
                <c:pt idx="3">
                  <c:v>8.7300931190476185E-3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8B-4B2B-B02F-6D6F7313C4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8B-4B2B-B02F-6D6F7313C4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87.085135999999991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8B-4B2B-B02F-6D6F7313C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10-4E6D-8B36-0B37598D7703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28.541695999999998</c:v>
                </c:pt>
                <c:pt idx="1">
                  <c:v>41.50998400000001</c:v>
                </c:pt>
                <c:pt idx="2">
                  <c:v>62.10004</c:v>
                </c:pt>
                <c:pt idx="3">
                  <c:v>90.501656000000011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5.6892585857142859E-2</c:v>
                </c:pt>
                <c:pt idx="1">
                  <c:v>3.7326662809523806E-2</c:v>
                </c:pt>
                <c:pt idx="2">
                  <c:v>2.0654894380952377E-2</c:v>
                </c:pt>
                <c:pt idx="3">
                  <c:v>9.0141502380952383E-3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10-4E6D-8B36-0B37598D770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10-4E6D-8B36-0B37598D770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90.501656000000011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10-4E6D-8B36-0B37598D7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BE-4A62-9452-5BD6D27D7636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BE-4A62-9452-5BD6D27D763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BE-4A62-9452-5BD6D27D763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BE-4A62-9452-5BD6D27D7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C-4F15-A84B-8BA7CB3C309A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C-4F15-A84B-8BA7CB3C309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C-4F15-A84B-8BA7CB3C309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FC-4F15-A84B-8BA7CB3C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C-4444-92A3-E4C7FF664B8F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C-4444-92A3-E4C7FF664B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EC-4444-92A3-E4C7FF664B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EC-4444-92A3-E4C7FF664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94-4C0D-85BC-D30D56F6E23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94-4C0D-85BC-D30D56F6E23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94-4C0D-85BC-D30D56F6E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F8-4612-A64B-77A1CEEC852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F8-4612-A64B-77A1CEEC852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F8-4612-A64B-77A1CEEC8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F8-4BBE-9B7E-B456DDE7941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F8-4BBE-9B7E-B456DDE7941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F8-4BBE-9B7E-B456DDE79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5C-4375-AA0B-4B9635106BB6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37.256023999999996</c:v>
                </c:pt>
                <c:pt idx="1">
                  <c:v>53.544432000000008</c:v>
                </c:pt>
                <c:pt idx="2">
                  <c:v>76.998888000000008</c:v>
                </c:pt>
                <c:pt idx="3">
                  <c:v>108.939312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0.55492258733333333</c:v>
                </c:pt>
                <c:pt idx="1">
                  <c:v>0.56120443933333342</c:v>
                </c:pt>
                <c:pt idx="2">
                  <c:v>0.56281924466666666</c:v>
                </c:pt>
                <c:pt idx="3">
                  <c:v>0.56234953866666659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5C-4375-AA0B-4B9635106BB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5C-4375-AA0B-4B9635106BB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112.20760800000001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5C-4375-AA0B-4B9635106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D11" sqref="D11:H12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0</v>
      </c>
      <c r="E9" s="218">
        <f t="shared" ref="E9:E18" ca="1" si="2">INDIRECT($C9&amp;"!AN$5")</f>
        <v>0</v>
      </c>
      <c r="F9" s="218">
        <f t="shared" ref="F9:F18" ca="1" si="3">INDIRECT($C9&amp;"!AO$5")</f>
        <v>0</v>
      </c>
      <c r="G9" s="218">
        <f t="shared" ref="G9:G18" ca="1" si="4">INDIRECT($C9&amp;"!AP$5")</f>
        <v>0</v>
      </c>
      <c r="H9" s="219">
        <f t="shared" ref="H9:H18" ca="1" si="5">INDIRECT($C9&amp;"!AQ$5")</f>
        <v>0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0</v>
      </c>
      <c r="E10" s="218">
        <f t="shared" ca="1" si="2"/>
        <v>0</v>
      </c>
      <c r="F10" s="218">
        <f t="shared" ca="1" si="3"/>
        <v>0</v>
      </c>
      <c r="G10" s="218">
        <f t="shared" ca="1" si="4"/>
        <v>0</v>
      </c>
      <c r="H10" s="221">
        <f t="shared" ca="1" si="5"/>
        <v>0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-0.12810433670149024</v>
      </c>
      <c r="E11" s="218">
        <f t="shared" ca="1" si="2"/>
        <v>-9.6823405233044335E-2</v>
      </c>
      <c r="F11" s="218">
        <f t="shared" ca="1" si="3"/>
        <v>-1.7791220306456745E-3</v>
      </c>
      <c r="G11" s="218">
        <f t="shared" ca="1" si="4"/>
        <v>-1.702098189696577E-2</v>
      </c>
      <c r="H11" s="221">
        <f t="shared" ca="1" si="5"/>
        <v>-0.13459752588617724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-0.13967832457101181</v>
      </c>
      <c r="E12" s="218">
        <f t="shared" ca="1" si="2"/>
        <v>-0.10759847338678918</v>
      </c>
      <c r="F12" s="218">
        <f t="shared" ca="1" si="3"/>
        <v>-3.648004616641054E-3</v>
      </c>
      <c r="G12" s="218">
        <f t="shared" ca="1" si="4"/>
        <v>-2.7394192925394023E-2</v>
      </c>
      <c r="H12" s="221">
        <f t="shared" ca="1" si="5"/>
        <v>-0.15193946783459544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>
        <f ca="1">IF(COUNTIF(D10:D15,"=0")&gt;0,0,AVERAGE(D10:D15))</f>
        <v>0</v>
      </c>
      <c r="E19" s="222">
        <f ca="1">IF(COUNTIF(E10:E15,"=0")&gt;0,0,AVERAGE(E10:E15))</f>
        <v>0</v>
      </c>
      <c r="F19" s="222">
        <f ca="1">IF(COUNTIF(F10:F15,"=0")&gt;0,0,AVERAGE(F10:F15))</f>
        <v>0</v>
      </c>
      <c r="G19" s="222">
        <f ca="1">IF(COUNTIF(G10:G15,"=0")&gt;0,0,AVERAGE(G10:G15))</f>
        <v>0</v>
      </c>
      <c r="H19" s="223">
        <f ca="1">IF(COUNTIF(H10:H15,"=0")&gt;0,0,AVERAGE(H10:H15))</f>
        <v>0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37.256023999999996</v>
      </c>
      <c r="I7" s="10"/>
      <c r="J7" s="228">
        <f ca="1">H7/D7-1</f>
        <v>6.0094824487424425E-3</v>
      </c>
      <c r="L7" s="74">
        <f ca="1">INDIRECT($B7&amp;"!"&amp;L$3&amp;"5")</f>
        <v>27.262733600000001</v>
      </c>
      <c r="M7" s="75">
        <f ca="1">INDIRECT($B7&amp;"!"&amp;M$3&amp;"5")</f>
        <v>17.374985333333331</v>
      </c>
      <c r="N7" s="76">
        <f ca="1">M7-L7</f>
        <v>-9.8877482666666694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53.544432000000008</v>
      </c>
      <c r="I8" s="10"/>
      <c r="J8" s="228">
        <f ca="1">H8/D8-1</f>
        <v>5.6537327588046526E-3</v>
      </c>
      <c r="L8" s="74">
        <f ca="1">INDIRECT($B8&amp;"!"&amp;L$3&amp;"6")</f>
        <v>30.5955504</v>
      </c>
      <c r="M8" s="75">
        <f ca="1">INDIRECT($B8&amp;"!"&amp;M$3&amp;"6")</f>
        <v>16.574298799999998</v>
      </c>
      <c r="N8" s="76">
        <f ca="1">M8-L8</f>
        <v>-14.021251600000003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76.998888000000008</v>
      </c>
      <c r="I9" s="10"/>
      <c r="J9" s="228">
        <f ca="1">H9/D9-1</f>
        <v>2.9378950004204096E-3</v>
      </c>
      <c r="L9" s="74">
        <f ca="1">INDIRECT($B9&amp;"!"&amp;L$3&amp;"7")</f>
        <v>35.178384000000008</v>
      </c>
      <c r="M9" s="75">
        <f ca="1">INDIRECT($B9&amp;"!"&amp;M$3&amp;"7")</f>
        <v>16.511690533333333</v>
      </c>
      <c r="N9" s="76">
        <f ca="1">M9-L9</f>
        <v>-18.666693466666676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108.939312</v>
      </c>
      <c r="I10" s="10"/>
      <c r="J10" s="228">
        <f ca="1">H10/D10-1</f>
        <v>7.0937459880426879E-4</v>
      </c>
      <c r="L10" s="74">
        <f ca="1">INDIRECT($B10&amp;"!"&amp;L$3&amp;"8")</f>
        <v>37.847506266666663</v>
      </c>
      <c r="M10" s="75">
        <f ca="1">INDIRECT($B10&amp;"!"&amp;M$3&amp;"8")</f>
        <v>16.380948</v>
      </c>
      <c r="N10" s="76">
        <f ca="1">M10-L10</f>
        <v>-21.466558266666663</v>
      </c>
      <c r="O10" s="226"/>
      <c r="P10" s="231">
        <f ca="1">bdrate(L7:L10,D7:D10,M7:M10,H7:H10)</f>
        <v>-0.50744943571305234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108.939312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38.181567999999999</v>
      </c>
      <c r="I18" s="10"/>
      <c r="J18" s="228">
        <f ca="1">H18/D18-1</f>
        <v>6.2289815356921796E-3</v>
      </c>
      <c r="L18" s="74">
        <f ca="1">INDIRECT($B18&amp;"!"&amp;L$3&amp;"5")</f>
        <v>27.225800466666666</v>
      </c>
      <c r="M18" s="75">
        <f ca="1">INDIRECT($B18&amp;"!"&amp;M$3&amp;"5")</f>
        <v>17.249051333333334</v>
      </c>
      <c r="N18" s="76">
        <f ca="1">M18-L18</f>
        <v>-9.9767491333333318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54.989343999999996</v>
      </c>
      <c r="I19" s="10"/>
      <c r="J19" s="228">
        <f ca="1">H19/D19-1</f>
        <v>5.6285145297954031E-3</v>
      </c>
      <c r="L19" s="74">
        <f ca="1">INDIRECT($B19&amp;"!"&amp;L$3&amp;"6")</f>
        <v>30.717614933333337</v>
      </c>
      <c r="M19" s="75">
        <f ca="1">INDIRECT($B19&amp;"!"&amp;M$3&amp;"6")</f>
        <v>16.49781586666667</v>
      </c>
      <c r="N19" s="76">
        <f ca="1">M19-L19</f>
        <v>-14.219799066666667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79.259944000000004</v>
      </c>
      <c r="I20" s="10"/>
      <c r="J20" s="228">
        <f ca="1">H20/D20-1</f>
        <v>2.7726442822082475E-3</v>
      </c>
      <c r="L20" s="74">
        <f ca="1">INDIRECT($B20&amp;"!"&amp;L$3&amp;"7")</f>
        <v>35.108155866666671</v>
      </c>
      <c r="M20" s="75">
        <f ca="1">INDIRECT($B20&amp;"!"&amp;M$3&amp;"7")</f>
        <v>16.438795799999998</v>
      </c>
      <c r="N20" s="76">
        <f ca="1">M20-L20</f>
        <v>-18.669360066666673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112.20760800000001</v>
      </c>
      <c r="I21" s="10"/>
      <c r="J21" s="228">
        <f ca="1">H21/D21-1</f>
        <v>5.649866232997347E-4</v>
      </c>
      <c r="L21" s="74">
        <f ca="1">INDIRECT($B21&amp;"!"&amp;L$3&amp;"8")</f>
        <v>37.605895933333336</v>
      </c>
      <c r="M21" s="75">
        <f ca="1">INDIRECT($B21&amp;"!"&amp;M$3&amp;"8")</f>
        <v>16.334541533333333</v>
      </c>
      <c r="N21" s="76">
        <f ca="1">M21-L21</f>
        <v>-21.271354400000003</v>
      </c>
      <c r="O21" s="226"/>
      <c r="P21" s="231">
        <f ca="1">bdrate(L18:L21,D18:D21,M18:M21,H18:H21)</f>
        <v>-0.50907426685901225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112.20760800000001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27.67136</v>
      </c>
      <c r="I29" s="10"/>
      <c r="J29" s="228">
        <f ca="1">H29/D29-1</f>
        <v>7.7962520417158565E-3</v>
      </c>
      <c r="L29" s="74">
        <f ca="1">INDIRECT($B29&amp;"!"&amp;L$3&amp;"5")</f>
        <v>30.246270333333335</v>
      </c>
      <c r="M29" s="75">
        <f ca="1">INDIRECT($B29&amp;"!"&amp;M$3&amp;"5")</f>
        <v>30.61671461904762</v>
      </c>
      <c r="N29" s="76">
        <f ca="1">M29-L29</f>
        <v>0.37044428571428512</v>
      </c>
      <c r="O29" s="226"/>
      <c r="P29" s="228">
        <f ca="1">bdrate(D29:D32,L29:L32,H29:H32,M29:M32)</f>
        <v>-0.12810433670149224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40.102560000000004</v>
      </c>
      <c r="I30" s="10"/>
      <c r="J30" s="228">
        <f ca="1">H30/D30-1</f>
        <v>9.3317713935481272E-3</v>
      </c>
      <c r="L30" s="74">
        <f ca="1">INDIRECT($B30&amp;"!"&amp;L$3&amp;"6")</f>
        <v>33.072678761904761</v>
      </c>
      <c r="M30" s="75">
        <f ca="1">INDIRECT($B30&amp;"!"&amp;M$3&amp;"6")</f>
        <v>33.943176571428566</v>
      </c>
      <c r="N30" s="76">
        <f ca="1">M30-L30</f>
        <v>0.87049780952380473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59.783936000000004</v>
      </c>
      <c r="I31" s="10"/>
      <c r="J31" s="228">
        <f ca="1">H31/D31-1</f>
        <v>3.8949499986431491E-3</v>
      </c>
      <c r="L31" s="74">
        <f ca="1">INDIRECT($B31&amp;"!"&amp;L$3&amp;"7")</f>
        <v>36.281602476190471</v>
      </c>
      <c r="M31" s="75">
        <f ca="1">INDIRECT($B31&amp;"!"&amp;M$3&amp;"7")</f>
        <v>38.126922333333333</v>
      </c>
      <c r="N31" s="76">
        <f ca="1">M31-L31</f>
        <v>1.8453198571428615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87.085135999999991</v>
      </c>
      <c r="I32" s="10"/>
      <c r="J32" s="228">
        <f ca="1">H32/D32-1</f>
        <v>1.0754143757170098E-3</v>
      </c>
      <c r="L32" s="74">
        <f ca="1">INDIRECT($B32&amp;"!"&amp;L$3&amp;"8")</f>
        <v>39.436459095238085</v>
      </c>
      <c r="M32" s="75">
        <f ca="1">INDIRECT($B32&amp;"!"&amp;M$3&amp;"8")</f>
        <v>42.552329285714286</v>
      </c>
      <c r="N32" s="76">
        <f ca="1">M32-L32</f>
        <v>3.1158701904762012</v>
      </c>
      <c r="O32" s="226"/>
      <c r="P32" s="231">
        <f ca="1">bdrate(L29:L32,D29:D32,M29:M32,H29:H32)</f>
        <v>4.5458729024831168E-2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87.085135999999991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28.541695999999998</v>
      </c>
      <c r="I40" s="10"/>
      <c r="J40" s="228">
        <f ca="1">H40/D40-1</f>
        <v>7.9404317881706099E-3</v>
      </c>
      <c r="L40" s="74">
        <f ca="1">INDIRECT($B40&amp;"!"&amp;L$3&amp;"5")</f>
        <v>30.214093190476195</v>
      </c>
      <c r="M40" s="75">
        <f ca="1">INDIRECT($B40&amp;"!"&amp;M$3&amp;"5")</f>
        <v>30.633726285714289</v>
      </c>
      <c r="N40" s="76">
        <f ca="1">M40-L40</f>
        <v>0.419633095238094</v>
      </c>
      <c r="O40" s="226"/>
      <c r="P40" s="228">
        <f ca="1">bdrate(D40:D43,L40:L43,H40:H43,M40:M43)</f>
        <v>-0.13967832457100848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41.50998400000001</v>
      </c>
      <c r="I41" s="10"/>
      <c r="J41" s="228">
        <f ca="1">H41/D41-1</f>
        <v>9.3249896417104683E-3</v>
      </c>
      <c r="L41" s="74">
        <f ca="1">INDIRECT($B41&amp;"!"&amp;L$3&amp;"6")</f>
        <v>32.999578714285725</v>
      </c>
      <c r="M41" s="75">
        <f ca="1">INDIRECT($B41&amp;"!"&amp;M$3&amp;"6")</f>
        <v>33.996017571428581</v>
      </c>
      <c r="N41" s="76">
        <f ca="1">M41-L41</f>
        <v>0.99643885714285574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62.10004</v>
      </c>
      <c r="I42" s="10"/>
      <c r="J42" s="228">
        <f ca="1">H42/D42-1</f>
        <v>3.7985912560631885E-3</v>
      </c>
      <c r="L42" s="74">
        <f ca="1">INDIRECT($B42&amp;"!"&amp;L$3&amp;"7")</f>
        <v>36.248342999999991</v>
      </c>
      <c r="M42" s="75">
        <f ca="1">INDIRECT($B42&amp;"!"&amp;M$3&amp;"7")</f>
        <v>38.220913190476189</v>
      </c>
      <c r="N42" s="76">
        <f ca="1">M42-L42</f>
        <v>1.9725701904761976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90.501656000000011</v>
      </c>
      <c r="I43" s="10"/>
      <c r="J43" s="228">
        <f ca="1">H43/D43-1</f>
        <v>9.3894096625457557E-4</v>
      </c>
      <c r="L43" s="74">
        <f ca="1">INDIRECT($B43&amp;"!"&amp;L$3&amp;"8")</f>
        <v>39.028174857142858</v>
      </c>
      <c r="M43" s="75">
        <f ca="1">INDIRECT($B43&amp;"!"&amp;M$3&amp;"8")</f>
        <v>42.432831333333326</v>
      </c>
      <c r="N43" s="76">
        <f ca="1">M43-L43</f>
        <v>3.4046564761904676</v>
      </c>
      <c r="O43" s="226"/>
      <c r="P43" s="231">
        <f ca="1">bdrate(L40:L43,D40:D43,M40:M43,H40:H43)</f>
        <v>4.9790294919327405E-2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90.501656000000011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37.256023999999996</v>
      </c>
      <c r="I7" s="10"/>
      <c r="J7" s="228">
        <f ca="1">H7/D7-1</f>
        <v>6.0094824487424425E-3</v>
      </c>
      <c r="L7" s="74">
        <f ca="1">INDIRECT($B7&amp;"!"&amp;L$3&amp;"5")</f>
        <v>32.469316800000001</v>
      </c>
      <c r="M7" s="75">
        <f ca="1">INDIRECT($B7&amp;"!"&amp;M$3&amp;"5")</f>
        <v>23.578263666666665</v>
      </c>
      <c r="N7" s="76">
        <f ca="1">M7-L7</f>
        <v>-8.8910531333333367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53.544432000000008</v>
      </c>
      <c r="I8" s="10"/>
      <c r="J8" s="228">
        <f ca="1">H8/D8-1</f>
        <v>5.6537327588046526E-3</v>
      </c>
      <c r="L8" s="74">
        <f ca="1">INDIRECT($B8&amp;"!"&amp;L$3&amp;"6")</f>
        <v>35.243102133333331</v>
      </c>
      <c r="M8" s="75">
        <f ca="1">INDIRECT($B8&amp;"!"&amp;M$3&amp;"6")</f>
        <v>23.015679866666666</v>
      </c>
      <c r="N8" s="76">
        <f ca="1">M8-L8</f>
        <v>-12.227422266666665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76.998888000000008</v>
      </c>
      <c r="I9" s="10"/>
      <c r="J9" s="228">
        <f ca="1">H9/D9-1</f>
        <v>2.9378950004204096E-3</v>
      </c>
      <c r="L9" s="74">
        <f ca="1">INDIRECT($B9&amp;"!"&amp;L$3&amp;"7")</f>
        <v>39.28737146666667</v>
      </c>
      <c r="M9" s="75">
        <f ca="1">INDIRECT($B9&amp;"!"&amp;M$3&amp;"7")</f>
        <v>22.8640358</v>
      </c>
      <c r="N9" s="76">
        <f ca="1">M9-L9</f>
        <v>-16.42333566666667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108.939312</v>
      </c>
      <c r="I10" s="10"/>
      <c r="J10" s="228">
        <f ca="1">H10/D10-1</f>
        <v>7.0937459880426879E-4</v>
      </c>
      <c r="L10" s="74">
        <f ca="1">INDIRECT($B10&amp;"!"&amp;L$3&amp;"8")</f>
        <v>41.929521733333331</v>
      </c>
      <c r="M10" s="75">
        <f ca="1">INDIRECT($B10&amp;"!"&amp;M$3&amp;"8")</f>
        <v>22.619255066666668</v>
      </c>
      <c r="N10" s="76">
        <f ca="1">M10-L10</f>
        <v>-19.310266666666664</v>
      </c>
      <c r="O10" s="226"/>
      <c r="P10" s="231">
        <f ca="1">bdrate(L7:L10,D7:D10,M7:M10,H7:H10)</f>
        <v>-0.3974255082336261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108.939312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38.181567999999999</v>
      </c>
      <c r="I18" s="10"/>
      <c r="J18" s="228">
        <f ca="1">H18/D18-1</f>
        <v>6.2289815356921796E-3</v>
      </c>
      <c r="L18" s="74">
        <f ca="1">INDIRECT($B18&amp;"!"&amp;L$3&amp;"5")</f>
        <v>32.321196866666668</v>
      </c>
      <c r="M18" s="75">
        <f ca="1">INDIRECT($B18&amp;"!"&amp;M$3&amp;"5")</f>
        <v>23.292099533333332</v>
      </c>
      <c r="N18" s="76">
        <f ca="1">M18-L18</f>
        <v>-9.0290973333333362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54.989343999999996</v>
      </c>
      <c r="I19" s="10"/>
      <c r="J19" s="228">
        <f ca="1">H19/D19-1</f>
        <v>5.6285145297954031E-3</v>
      </c>
      <c r="L19" s="74">
        <f ca="1">INDIRECT($B19&amp;"!"&amp;L$3&amp;"6")</f>
        <v>35.232715600000006</v>
      </c>
      <c r="M19" s="75">
        <f ca="1">INDIRECT($B19&amp;"!"&amp;M$3&amp;"6")</f>
        <v>22.934513066666668</v>
      </c>
      <c r="N19" s="76">
        <f ca="1">M19-L19</f>
        <v>-12.298202533333338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79.259944000000004</v>
      </c>
      <c r="I20" s="10"/>
      <c r="J20" s="228">
        <f ca="1">H20/D20-1</f>
        <v>2.7726442822082475E-3</v>
      </c>
      <c r="L20" s="74">
        <f ca="1">INDIRECT($B20&amp;"!"&amp;L$3&amp;"7")</f>
        <v>39.210842266666667</v>
      </c>
      <c r="M20" s="75">
        <f ca="1">INDIRECT($B20&amp;"!"&amp;M$3&amp;"7")</f>
        <v>22.718845000000002</v>
      </c>
      <c r="N20" s="76">
        <f ca="1">M20-L20</f>
        <v>-16.491997266666665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112.20760800000001</v>
      </c>
      <c r="I21" s="10"/>
      <c r="J21" s="228">
        <f ca="1">H21/D21-1</f>
        <v>5.649866232997347E-4</v>
      </c>
      <c r="L21" s="74">
        <f ca="1">INDIRECT($B21&amp;"!"&amp;L$3&amp;"8")</f>
        <v>41.687570999999998</v>
      </c>
      <c r="M21" s="75">
        <f ca="1">INDIRECT($B21&amp;"!"&amp;M$3&amp;"8")</f>
        <v>22.5460776</v>
      </c>
      <c r="N21" s="76">
        <f ca="1">M21-L21</f>
        <v>-19.141493399999998</v>
      </c>
      <c r="O21" s="226"/>
      <c r="P21" s="231">
        <f ca="1">bdrate(L18:L21,D18:D21,M18:M21,H18:H21)</f>
        <v>-0.39933628937970589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112.20760800000001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27.67136</v>
      </c>
      <c r="I29" s="10"/>
      <c r="J29" s="228">
        <f ca="1">H29/D29-1</f>
        <v>7.7962520417158565E-3</v>
      </c>
      <c r="L29" s="74">
        <f ca="1">INDIRECT($B29&amp;"!"&amp;L$3&amp;"5")</f>
        <v>33.862599857142854</v>
      </c>
      <c r="M29" s="75">
        <f ca="1">INDIRECT($B29&amp;"!"&amp;M$3&amp;"5")</f>
        <v>34.516313095238104</v>
      </c>
      <c r="N29" s="76">
        <f ca="1">M29-L29</f>
        <v>0.65371323809524995</v>
      </c>
      <c r="O29" s="226"/>
      <c r="P29" s="228">
        <f ca="1">bdrate(D29:D32,L29:L32,H29:H32,M29:M32)</f>
        <v>-9.6823405233043447E-2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40.102560000000004</v>
      </c>
      <c r="I30" s="10"/>
      <c r="J30" s="228">
        <f ca="1">H30/D30-1</f>
        <v>9.3317713935481272E-3</v>
      </c>
      <c r="L30" s="74">
        <f ca="1">INDIRECT($B30&amp;"!"&amp;L$3&amp;"6")</f>
        <v>36.632195285714296</v>
      </c>
      <c r="M30" s="75">
        <f ca="1">INDIRECT($B30&amp;"!"&amp;M$3&amp;"6")</f>
        <v>37.318816904761903</v>
      </c>
      <c r="N30" s="76">
        <f ca="1">M30-L30</f>
        <v>0.68662161904760666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59.783936000000004</v>
      </c>
      <c r="I31" s="10"/>
      <c r="J31" s="228">
        <f ca="1">H31/D31-1</f>
        <v>3.8949499986431491E-3</v>
      </c>
      <c r="L31" s="74">
        <f ca="1">INDIRECT($B31&amp;"!"&amp;L$3&amp;"7")</f>
        <v>40.251414476190476</v>
      </c>
      <c r="M31" s="75">
        <f ca="1">INDIRECT($B31&amp;"!"&amp;M$3&amp;"7")</f>
        <v>41.427697000000002</v>
      </c>
      <c r="N31" s="76">
        <f ca="1">M31-L31</f>
        <v>1.176282523809526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87.085135999999991</v>
      </c>
      <c r="I32" s="10"/>
      <c r="J32" s="228">
        <f ca="1">H32/D32-1</f>
        <v>1.0754143757170098E-3</v>
      </c>
      <c r="L32" s="74">
        <f ca="1">INDIRECT($B32&amp;"!"&amp;L$3&amp;"8")</f>
        <v>43.588469761904761</v>
      </c>
      <c r="M32" s="75">
        <f ca="1">INDIRECT($B32&amp;"!"&amp;M$3&amp;"8")</f>
        <v>45.596036523809524</v>
      </c>
      <c r="N32" s="76">
        <f ca="1">M32-L32</f>
        <v>2.0075667619047621</v>
      </c>
      <c r="O32" s="226"/>
      <c r="P32" s="231">
        <f ca="1">bdrate(L29:L32,D29:D32,M29:M32,H29:H32)</f>
        <v>2.7642740876355099E-2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87.085135999999991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28.541695999999998</v>
      </c>
      <c r="I40" s="10"/>
      <c r="J40" s="228">
        <f ca="1">H40/D40-1</f>
        <v>7.9404317881706099E-3</v>
      </c>
      <c r="L40" s="74">
        <f ca="1">INDIRECT($B40&amp;"!"&amp;L$3&amp;"5")</f>
        <v>33.832055285714283</v>
      </c>
      <c r="M40" s="75">
        <f ca="1">INDIRECT($B40&amp;"!"&amp;M$3&amp;"5")</f>
        <v>34.532868190476186</v>
      </c>
      <c r="N40" s="76">
        <f ca="1">M40-L40</f>
        <v>0.70081290476190361</v>
      </c>
      <c r="O40" s="226"/>
      <c r="P40" s="228">
        <f ca="1">bdrate(D40:D43,L40:L43,H40:H43,M40:M43)</f>
        <v>-0.1075984733867883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41.50998400000001</v>
      </c>
      <c r="I41" s="10"/>
      <c r="J41" s="228">
        <f ca="1">H41/D41-1</f>
        <v>9.3249896417104683E-3</v>
      </c>
      <c r="L41" s="74">
        <f ca="1">INDIRECT($B41&amp;"!"&amp;L$3&amp;"6")</f>
        <v>36.531831238095236</v>
      </c>
      <c r="M41" s="75">
        <f ca="1">INDIRECT($B41&amp;"!"&amp;M$3&amp;"6")</f>
        <v>37.340230571428563</v>
      </c>
      <c r="N41" s="76">
        <f ca="1">M41-L41</f>
        <v>0.80839933333332681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62.10004</v>
      </c>
      <c r="I42" s="10"/>
      <c r="J42" s="228">
        <f ca="1">H42/D42-1</f>
        <v>3.7985912560631885E-3</v>
      </c>
      <c r="L42" s="74">
        <f ca="1">INDIRECT($B42&amp;"!"&amp;L$3&amp;"7")</f>
        <v>40.276491190476186</v>
      </c>
      <c r="M42" s="75">
        <f ca="1">INDIRECT($B42&amp;"!"&amp;M$3&amp;"7")</f>
        <v>41.529669904761903</v>
      </c>
      <c r="N42" s="76">
        <f ca="1">M42-L42</f>
        <v>1.2531787142857169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90.501656000000011</v>
      </c>
      <c r="I43" s="10"/>
      <c r="J43" s="228">
        <f ca="1">H43/D43-1</f>
        <v>9.3894096625457557E-4</v>
      </c>
      <c r="L43" s="74">
        <f ca="1">INDIRECT($B43&amp;"!"&amp;L$3&amp;"8")</f>
        <v>43.229996952380951</v>
      </c>
      <c r="M43" s="75">
        <f ca="1">INDIRECT($B43&amp;"!"&amp;M$3&amp;"8")</f>
        <v>45.488029095238097</v>
      </c>
      <c r="N43" s="76">
        <f ca="1">M43-L43</f>
        <v>2.2580321428571466</v>
      </c>
      <c r="O43" s="226"/>
      <c r="P43" s="231">
        <f ca="1">bdrate(L40:L43,D40:D43,M40:M43,H40:H43)</f>
        <v>3.0682364416008356E-2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90.501656000000011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37.256023999999996</v>
      </c>
      <c r="I7" s="10"/>
      <c r="J7" s="228">
        <f ca="1">H7/D7-1</f>
        <v>6.0094824487424425E-3</v>
      </c>
      <c r="L7" s="74">
        <f ca="1">INDIRECT($B7&amp;"!"&amp;L$3&amp;"5")</f>
        <v>0.95834516733333319</v>
      </c>
      <c r="M7" s="75">
        <f ca="1">INDIRECT($B7&amp;"!"&amp;M$3&amp;"5")</f>
        <v>0.72379628800000007</v>
      </c>
      <c r="N7" s="76">
        <f ca="1">M7-L7</f>
        <v>-0.23454887933333313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53.544432000000008</v>
      </c>
      <c r="I8" s="10"/>
      <c r="J8" s="228">
        <f ca="1">H8/D8-1</f>
        <v>5.6537327588046526E-3</v>
      </c>
      <c r="L8" s="74">
        <f ca="1">INDIRECT($B8&amp;"!"&amp;L$3&amp;"6")</f>
        <v>0.97572819666666666</v>
      </c>
      <c r="M8" s="75">
        <f ca="1">INDIRECT($B8&amp;"!"&amp;M$3&amp;"6")</f>
        <v>0.72019659000000003</v>
      </c>
      <c r="N8" s="76">
        <f ca="1">M8-L8</f>
        <v>-0.25553160666666663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76.998888000000008</v>
      </c>
      <c r="I9" s="10"/>
      <c r="J9" s="228">
        <f ca="1">H9/D9-1</f>
        <v>2.9378950004204096E-3</v>
      </c>
      <c r="L9" s="74">
        <f ca="1">INDIRECT($B9&amp;"!"&amp;L$3&amp;"7")</f>
        <v>0.98810945533333316</v>
      </c>
      <c r="M9" s="75">
        <f ca="1">INDIRECT($B9&amp;"!"&amp;M$3&amp;"7")</f>
        <v>0.71951376066666672</v>
      </c>
      <c r="N9" s="76">
        <f ca="1">M9-L9</f>
        <v>-0.26859569466666644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108.939312</v>
      </c>
      <c r="I10" s="10"/>
      <c r="J10" s="228">
        <f ca="1">H10/D10-1</f>
        <v>7.0937459880426879E-4</v>
      </c>
      <c r="L10" s="74">
        <f ca="1">INDIRECT($B10&amp;"!"&amp;L$3&amp;"8")</f>
        <v>0.99241337466666668</v>
      </c>
      <c r="M10" s="75">
        <f ca="1">INDIRECT($B10&amp;"!"&amp;M$3&amp;"8")</f>
        <v>0.71841891599999996</v>
      </c>
      <c r="N10" s="76">
        <f ca="1">M10-L10</f>
        <v>-0.27399445866666672</v>
      </c>
      <c r="O10" s="226"/>
      <c r="P10" s="231">
        <f ca="1">bdrate(L7:L10,D7:D10,M7:M10,H7:H10)</f>
        <v>-0.26774359270156789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108.939312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38.181567999999999</v>
      </c>
      <c r="I18" s="10"/>
      <c r="J18" s="228">
        <f ca="1">H18/D18-1</f>
        <v>6.2289815356921796E-3</v>
      </c>
      <c r="L18" s="74">
        <f ca="1">INDIRECT($B18&amp;"!"&amp;L$3&amp;"5")</f>
        <v>0.95700066866666644</v>
      </c>
      <c r="M18" s="75">
        <f ca="1">INDIRECT($B18&amp;"!"&amp;M$3&amp;"5")</f>
        <v>0.71750574866666672</v>
      </c>
      <c r="N18" s="76">
        <f ca="1">M18-L18</f>
        <v>-0.23949491999999972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54.989343999999996</v>
      </c>
      <c r="I19" s="10"/>
      <c r="J19" s="228">
        <f ca="1">H19/D19-1</f>
        <v>5.6285145297954031E-3</v>
      </c>
      <c r="L19" s="74">
        <f ca="1">INDIRECT($B19&amp;"!"&amp;L$3&amp;"6")</f>
        <v>0.97492547266666674</v>
      </c>
      <c r="M19" s="75">
        <f ca="1">INDIRECT($B19&amp;"!"&amp;M$3&amp;"6")</f>
        <v>0.71415751199999988</v>
      </c>
      <c r="N19" s="76">
        <f ca="1">M19-L19</f>
        <v>-0.26076796066666685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79.259944000000004</v>
      </c>
      <c r="I20" s="10"/>
      <c r="J20" s="228">
        <f ca="1">H20/D20-1</f>
        <v>2.7726442822082475E-3</v>
      </c>
      <c r="L20" s="74">
        <f ca="1">INDIRECT($B20&amp;"!"&amp;L$3&amp;"7")</f>
        <v>0.98757465333333327</v>
      </c>
      <c r="M20" s="75">
        <f ca="1">INDIRECT($B20&amp;"!"&amp;M$3&amp;"7")</f>
        <v>0.71326403199999999</v>
      </c>
      <c r="N20" s="76">
        <f ca="1">M20-L20</f>
        <v>-0.27431062133333328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112.20760800000001</v>
      </c>
      <c r="I21" s="10"/>
      <c r="J21" s="228">
        <f ca="1">H21/D21-1</f>
        <v>5.649866232997347E-4</v>
      </c>
      <c r="L21" s="74">
        <f ca="1">INDIRECT($B21&amp;"!"&amp;L$3&amp;"8")</f>
        <v>0.99193363933333345</v>
      </c>
      <c r="M21" s="75">
        <f ca="1">INDIRECT($B21&amp;"!"&amp;M$3&amp;"8")</f>
        <v>0.71207595666666657</v>
      </c>
      <c r="N21" s="76">
        <f ca="1">M21-L21</f>
        <v>-0.27985768266666688</v>
      </c>
      <c r="O21" s="226"/>
      <c r="P21" s="231">
        <f ca="1">bdrate(L18:L21,D18:D21,M18:M21,H18:H21)</f>
        <v>-0.27357434356600796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112.20760800000001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27.67136</v>
      </c>
      <c r="I29" s="10"/>
      <c r="J29" s="228">
        <f ca="1">H29/D29-1</f>
        <v>7.7962520417158565E-3</v>
      </c>
      <c r="L29" s="74">
        <f ca="1">INDIRECT($B29&amp;"!"&amp;L$3&amp;"5")</f>
        <v>0.96684382285714265</v>
      </c>
      <c r="M29" s="75">
        <f ca="1">INDIRECT($B29&amp;"!"&amp;M$3&amp;"5")</f>
        <v>0.96686431476190482</v>
      </c>
      <c r="N29" s="76">
        <f ca="1">M29-L29</f>
        <v>2.0491904762165447E-5</v>
      </c>
      <c r="O29" s="226"/>
      <c r="P29" s="228">
        <f ca="1">bdrate(D29:D32,L29:L32,H29:H32,M29:M32)</f>
        <v>-1.7791220306456745E-3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40.102560000000004</v>
      </c>
      <c r="I30" s="10"/>
      <c r="J30" s="228">
        <f ca="1">H30/D30-1</f>
        <v>9.3317713935481272E-3</v>
      </c>
      <c r="L30" s="74">
        <f ca="1">INDIRECT($B30&amp;"!"&amp;L$3&amp;"6")</f>
        <v>0.98000114238095259</v>
      </c>
      <c r="M30" s="75">
        <f ca="1">INDIRECT($B30&amp;"!"&amp;M$3&amp;"6")</f>
        <v>0.98011491380952365</v>
      </c>
      <c r="N30" s="76">
        <f ca="1">M30-L30</f>
        <v>1.1377142857105227E-4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59.783936000000004</v>
      </c>
      <c r="I31" s="10"/>
      <c r="J31" s="228">
        <f ca="1">H31/D31-1</f>
        <v>3.8949499986431491E-3</v>
      </c>
      <c r="L31" s="74">
        <f ca="1">INDIRECT($B31&amp;"!"&amp;L$3&amp;"7")</f>
        <v>0.98903340333333323</v>
      </c>
      <c r="M31" s="75">
        <f ca="1">INDIRECT($B31&amp;"!"&amp;M$3&amp;"7")</f>
        <v>0.98939261047619043</v>
      </c>
      <c r="N31" s="76">
        <f ca="1">M31-L31</f>
        <v>3.5920714285719857E-4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87.085135999999991</v>
      </c>
      <c r="I32" s="10"/>
      <c r="J32" s="228">
        <f ca="1">H32/D32-1</f>
        <v>1.0754143757170098E-3</v>
      </c>
      <c r="L32" s="74">
        <f ca="1">INDIRECT($B32&amp;"!"&amp;L$3&amp;"8")</f>
        <v>0.99375173238095238</v>
      </c>
      <c r="M32" s="75">
        <f ca="1">INDIRECT($B32&amp;"!"&amp;M$3&amp;"8")</f>
        <v>0.99409626523809513</v>
      </c>
      <c r="N32" s="76">
        <f ca="1">M32-L32</f>
        <v>3.4453285714275417E-4</v>
      </c>
      <c r="O32" s="226"/>
      <c r="P32" s="231">
        <f ca="1">bdrate(L29:L32,D29:D32,M29:M32,H29:H32)</f>
        <v>1.3746950065374186E-4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87.085135999999991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28.541695999999998</v>
      </c>
      <c r="I40" s="10"/>
      <c r="J40" s="228">
        <f ca="1">H40/D40-1</f>
        <v>7.9404317881706099E-3</v>
      </c>
      <c r="L40" s="74">
        <f ca="1">INDIRECT($B40&amp;"!"&amp;L$3&amp;"5")</f>
        <v>0.96582942476190481</v>
      </c>
      <c r="M40" s="75">
        <f ca="1">INDIRECT($B40&amp;"!"&amp;M$3&amp;"5")</f>
        <v>0.96605876476190478</v>
      </c>
      <c r="N40" s="76">
        <f ca="1">M40-L40</f>
        <v>2.2933999999996679E-4</v>
      </c>
      <c r="O40" s="226"/>
      <c r="P40" s="228">
        <f ca="1">bdrate(D40:D43,L40:L43,H40:H43,M40:M43)</f>
        <v>-3.6480046166381674E-3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41.50998400000001</v>
      </c>
      <c r="I41" s="10"/>
      <c r="J41" s="228">
        <f ca="1">H41/D41-1</f>
        <v>9.3249896417104683E-3</v>
      </c>
      <c r="L41" s="74">
        <f ca="1">INDIRECT($B41&amp;"!"&amp;L$3&amp;"6")</f>
        <v>0.97901262523809529</v>
      </c>
      <c r="M41" s="75">
        <f ca="1">INDIRECT($B41&amp;"!"&amp;M$3&amp;"6")</f>
        <v>0.97917555238095255</v>
      </c>
      <c r="N41" s="76">
        <f ca="1">M41-L41</f>
        <v>1.6292714285726095E-4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62.10004</v>
      </c>
      <c r="I42" s="10"/>
      <c r="J42" s="228">
        <f ca="1">H42/D42-1</f>
        <v>3.7985912560631885E-3</v>
      </c>
      <c r="L42" s="74">
        <f ca="1">INDIRECT($B42&amp;"!"&amp;L$3&amp;"7")</f>
        <v>0.98868709857142867</v>
      </c>
      <c r="M42" s="75">
        <f ca="1">INDIRECT($B42&amp;"!"&amp;M$3&amp;"7")</f>
        <v>0.98903771714285715</v>
      </c>
      <c r="N42" s="76">
        <f ca="1">M42-L42</f>
        <v>3.5061857142848485E-4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90.501656000000011</v>
      </c>
      <c r="I43" s="10"/>
      <c r="J43" s="228">
        <f ca="1">H43/D43-1</f>
        <v>9.3894096625457557E-4</v>
      </c>
      <c r="L43" s="74">
        <f ca="1">INDIRECT($B43&amp;"!"&amp;L$3&amp;"8")</f>
        <v>0.99344393809523812</v>
      </c>
      <c r="M43" s="75">
        <f ca="1">INDIRECT($B43&amp;"!"&amp;M$3&amp;"8")</f>
        <v>0.99385602238095228</v>
      </c>
      <c r="N43" s="76">
        <f ca="1">M43-L43</f>
        <v>4.1208428571415379E-4</v>
      </c>
      <c r="O43" s="226"/>
      <c r="P43" s="231">
        <f ca="1">bdrate(L40:L43,D40:D43,M40:M43,H40:H43)</f>
        <v>1.7294280067914336E-4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90.501656000000011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37.256023999999996</v>
      </c>
      <c r="I7" s="10"/>
      <c r="J7" s="228">
        <f ca="1">H7/D7-1</f>
        <v>6.0094824487424425E-3</v>
      </c>
      <c r="L7" s="74">
        <f ca="1">INDIRECT($B7&amp;"!"&amp;L$3&amp;"5")</f>
        <v>0.95456353799999993</v>
      </c>
      <c r="M7" s="75">
        <f ca="1">INDIRECT($B7&amp;"!"&amp;M$3&amp;"5")</f>
        <v>0.78408962933333326</v>
      </c>
      <c r="N7" s="76">
        <f ca="1">M7-L7</f>
        <v>-0.17047390866666667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53.544432000000008</v>
      </c>
      <c r="I8" s="10"/>
      <c r="J8" s="228">
        <f ca="1">H8/D8-1</f>
        <v>5.6537327588046526E-3</v>
      </c>
      <c r="L8" s="74">
        <f ca="1">INDIRECT($B8&amp;"!"&amp;L$3&amp;"6")</f>
        <v>0.97258593333333343</v>
      </c>
      <c r="M8" s="75">
        <f ca="1">INDIRECT($B8&amp;"!"&amp;M$3&amp;"6")</f>
        <v>0.77796662466666666</v>
      </c>
      <c r="N8" s="76">
        <f ca="1">M8-L8</f>
        <v>-0.19461930866666677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76.998888000000008</v>
      </c>
      <c r="I9" s="10"/>
      <c r="J9" s="228">
        <f ca="1">H9/D9-1</f>
        <v>2.9378950004204096E-3</v>
      </c>
      <c r="L9" s="74">
        <f ca="1">INDIRECT($B9&amp;"!"&amp;L$3&amp;"7")</f>
        <v>0.99038261466666655</v>
      </c>
      <c r="M9" s="75">
        <f ca="1">INDIRECT($B9&amp;"!"&amp;M$3&amp;"7")</f>
        <v>0.7782779093333333</v>
      </c>
      <c r="N9" s="76">
        <f ca="1">M9-L9</f>
        <v>-0.21210470533333325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108.939312</v>
      </c>
      <c r="I10" s="10"/>
      <c r="J10" s="228">
        <f ca="1">H10/D10-1</f>
        <v>7.0937459880426879E-4</v>
      </c>
      <c r="L10" s="74">
        <f ca="1">INDIRECT($B10&amp;"!"&amp;L$3&amp;"8")</f>
        <v>0.99521364000000001</v>
      </c>
      <c r="M10" s="75">
        <f ca="1">INDIRECT($B10&amp;"!"&amp;M$3&amp;"8")</f>
        <v>0.77748608733333335</v>
      </c>
      <c r="N10" s="76">
        <f ca="1">M10-L10</f>
        <v>-0.21772755266666666</v>
      </c>
      <c r="O10" s="226"/>
      <c r="P10" s="231">
        <f ca="1">bdrate(L7:L10,D7:D10,M7:M10,H7:H10)</f>
        <v>-0.20820900329446779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108.939312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38.181567999999999</v>
      </c>
      <c r="I18" s="10"/>
      <c r="J18" s="228">
        <f ca="1">H18/D18-1</f>
        <v>6.2289815356921796E-3</v>
      </c>
      <c r="L18" s="74">
        <f ca="1">INDIRECT($B18&amp;"!"&amp;L$3&amp;"5")</f>
        <v>0.95395936733333342</v>
      </c>
      <c r="M18" s="75">
        <f ca="1">INDIRECT($B18&amp;"!"&amp;M$3&amp;"5")</f>
        <v>0.78166528866666662</v>
      </c>
      <c r="N18" s="76">
        <f ca="1">M18-L18</f>
        <v>-0.17229407866666679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54.989343999999996</v>
      </c>
      <c r="I19" s="10"/>
      <c r="J19" s="228">
        <f ca="1">H19/D19-1</f>
        <v>5.6285145297954031E-3</v>
      </c>
      <c r="L19" s="74">
        <f ca="1">INDIRECT($B19&amp;"!"&amp;L$3&amp;"6")</f>
        <v>0.97223756466666666</v>
      </c>
      <c r="M19" s="75">
        <f ca="1">INDIRECT($B19&amp;"!"&amp;M$3&amp;"6")</f>
        <v>0.77597755533333346</v>
      </c>
      <c r="N19" s="76">
        <f ca="1">M19-L19</f>
        <v>-0.19626000933333321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79.259944000000004</v>
      </c>
      <c r="I20" s="10"/>
      <c r="J20" s="228">
        <f ca="1">H20/D20-1</f>
        <v>2.7726442822082475E-3</v>
      </c>
      <c r="L20" s="74">
        <f ca="1">INDIRECT($B20&amp;"!"&amp;L$3&amp;"7")</f>
        <v>0.99005189866666643</v>
      </c>
      <c r="M20" s="75">
        <f ca="1">INDIRECT($B20&amp;"!"&amp;M$3&amp;"7")</f>
        <v>0.7767141580000001</v>
      </c>
      <c r="N20" s="76">
        <f ca="1">M20-L20</f>
        <v>-0.21333774066666633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112.20760800000001</v>
      </c>
      <c r="I21" s="10"/>
      <c r="J21" s="228">
        <f ca="1">H21/D21-1</f>
        <v>5.649866232997347E-4</v>
      </c>
      <c r="L21" s="74">
        <f ca="1">INDIRECT($B21&amp;"!"&amp;L$3&amp;"8")</f>
        <v>0.99515773399999985</v>
      </c>
      <c r="M21" s="75">
        <f ca="1">INDIRECT($B21&amp;"!"&amp;M$3&amp;"8")</f>
        <v>0.77554937266666657</v>
      </c>
      <c r="N21" s="76">
        <f ca="1">M21-L21</f>
        <v>-0.21960836133333328</v>
      </c>
      <c r="O21" s="226"/>
      <c r="P21" s="231">
        <f ca="1">bdrate(L18:L21,D18:D21,M18:M21,H18:H21)</f>
        <v>-0.20968994957462905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112.20760800000001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27.67136</v>
      </c>
      <c r="I29" s="10"/>
      <c r="J29" s="228">
        <f ca="1">H29/D29-1</f>
        <v>7.7962520417158565E-3</v>
      </c>
      <c r="L29" s="74">
        <f ca="1">INDIRECT($B29&amp;"!"&amp;L$3&amp;"5")</f>
        <v>0.97327361047619032</v>
      </c>
      <c r="M29" s="75">
        <f ca="1">INDIRECT($B29&amp;"!"&amp;M$3&amp;"5")</f>
        <v>0.97376541428571439</v>
      </c>
      <c r="N29" s="76">
        <f ca="1">M29-L29</f>
        <v>4.9180380952407177E-4</v>
      </c>
      <c r="O29" s="226"/>
      <c r="P29" s="228">
        <f ca="1">bdrate(D29:D32,L29:L32,H29:H32,M29:M32)</f>
        <v>-1.7020981896962106E-2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40.102560000000004</v>
      </c>
      <c r="I30" s="10"/>
      <c r="J30" s="228">
        <f ca="1">H30/D30-1</f>
        <v>9.3317713935481272E-3</v>
      </c>
      <c r="L30" s="74">
        <f ca="1">INDIRECT($B30&amp;"!"&amp;L$3&amp;"6")</f>
        <v>0.98426155285714267</v>
      </c>
      <c r="M30" s="75">
        <f ca="1">INDIRECT($B30&amp;"!"&amp;M$3&amp;"6")</f>
        <v>0.98474425095238094</v>
      </c>
      <c r="N30" s="76">
        <f ca="1">M30-L30</f>
        <v>4.8269809523826535E-4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59.783936000000004</v>
      </c>
      <c r="I31" s="10"/>
      <c r="J31" s="228">
        <f ca="1">H31/D31-1</f>
        <v>3.8949499986431491E-3</v>
      </c>
      <c r="L31" s="74">
        <f ca="1">INDIRECT($B31&amp;"!"&amp;L$3&amp;"7")</f>
        <v>0.99228081523809508</v>
      </c>
      <c r="M31" s="75">
        <f ca="1">INDIRECT($B31&amp;"!"&amp;M$3&amp;"7")</f>
        <v>0.99275354952380923</v>
      </c>
      <c r="N31" s="76">
        <f ca="1">M31-L31</f>
        <v>4.7273428571414922E-4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87.085135999999991</v>
      </c>
      <c r="I32" s="10"/>
      <c r="J32" s="228">
        <f ca="1">H32/D32-1</f>
        <v>1.0754143757170098E-3</v>
      </c>
      <c r="L32" s="74">
        <f ca="1">INDIRECT($B32&amp;"!"&amp;L$3&amp;"8")</f>
        <v>0.99594449714285727</v>
      </c>
      <c r="M32" s="75">
        <f ca="1">INDIRECT($B32&amp;"!"&amp;M$3&amp;"8")</f>
        <v>0.99653951380952388</v>
      </c>
      <c r="N32" s="76">
        <f ca="1">M32-L32</f>
        <v>5.9501666666661457E-4</v>
      </c>
      <c r="O32" s="226"/>
      <c r="P32" s="231">
        <f ca="1">bdrate(L29:L32,D29:D32,M29:M32,H29:H32)</f>
        <v>4.0140875311767132E-4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87.085135999999991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28.541695999999998</v>
      </c>
      <c r="I40" s="10"/>
      <c r="J40" s="228">
        <f ca="1">H40/D40-1</f>
        <v>7.9404317881706099E-3</v>
      </c>
      <c r="L40" s="74">
        <f ca="1">INDIRECT($B40&amp;"!"&amp;L$3&amp;"5")</f>
        <v>0.9725471133333331</v>
      </c>
      <c r="M40" s="75">
        <f ca="1">INDIRECT($B40&amp;"!"&amp;M$3&amp;"5")</f>
        <v>0.97346077714285695</v>
      </c>
      <c r="N40" s="76">
        <f ca="1">M40-L40</f>
        <v>9.1366380952384585E-4</v>
      </c>
      <c r="O40" s="226"/>
      <c r="P40" s="228">
        <f ca="1">bdrate(D40:D43,L40:L43,H40:H43,M40:M43)</f>
        <v>-2.7394192925391914E-2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41.50998400000001</v>
      </c>
      <c r="I41" s="10"/>
      <c r="J41" s="228">
        <f ca="1">H41/D41-1</f>
        <v>9.3249896417104683E-3</v>
      </c>
      <c r="L41" s="74">
        <f ca="1">INDIRECT($B41&amp;"!"&amp;L$3&amp;"6")</f>
        <v>0.98376468238095238</v>
      </c>
      <c r="M41" s="75">
        <f ca="1">INDIRECT($B41&amp;"!"&amp;M$3&amp;"6")</f>
        <v>0.98457388619047626</v>
      </c>
      <c r="N41" s="76">
        <f ca="1">M41-L41</f>
        <v>8.0920380952387294E-4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62.10004</v>
      </c>
      <c r="I42" s="10"/>
      <c r="J42" s="228">
        <f ca="1">H42/D42-1</f>
        <v>3.7985912560631885E-3</v>
      </c>
      <c r="L42" s="74">
        <f ca="1">INDIRECT($B42&amp;"!"&amp;L$3&amp;"7")</f>
        <v>0.99210457047619049</v>
      </c>
      <c r="M42" s="75">
        <f ca="1">INDIRECT($B42&amp;"!"&amp;M$3&amp;"7")</f>
        <v>0.99265061476190464</v>
      </c>
      <c r="N42" s="76">
        <f ca="1">M42-L42</f>
        <v>5.4604428571414232E-4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90.501656000000011</v>
      </c>
      <c r="I43" s="10"/>
      <c r="J43" s="228">
        <f ca="1">H43/D43-1</f>
        <v>9.3894096625457557E-4</v>
      </c>
      <c r="L43" s="74">
        <f ca="1">INDIRECT($B43&amp;"!"&amp;L$3&amp;"8")</f>
        <v>0.99578089857142849</v>
      </c>
      <c r="M43" s="75">
        <f ca="1">INDIRECT($B43&amp;"!"&amp;M$3&amp;"8")</f>
        <v>0.99644433333333349</v>
      </c>
      <c r="N43" s="76">
        <f ca="1">M43-L43</f>
        <v>6.6343476190500184E-4</v>
      </c>
      <c r="O43" s="226"/>
      <c r="P43" s="231">
        <f ca="1">bdrate(L40:L43,D40:D43,M40:M43,H40:H43)</f>
        <v>5.7316317971634057E-4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90.501656000000011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37.256023999999996</v>
      </c>
      <c r="I7" s="10"/>
      <c r="J7" s="228">
        <f ca="1">H7/D7-1</f>
        <v>6.0094824487424425E-3</v>
      </c>
      <c r="L7" s="74">
        <f ca="1">INDIRECT($B7&amp;"!"&amp;L$3&amp;"5")</f>
        <v>6.6124997733333329E-2</v>
      </c>
      <c r="M7" s="75">
        <f ca="1">INDIRECT($B7&amp;"!"&amp;M$3&amp;"5")</f>
        <v>0.55492258733333333</v>
      </c>
      <c r="N7" s="76">
        <f ca="1">M7-L7</f>
        <v>0.48879758959999997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53.544432000000008</v>
      </c>
      <c r="I8" s="10"/>
      <c r="J8" s="228">
        <f ca="1">H8/D8-1</f>
        <v>5.6537327588046526E-3</v>
      </c>
      <c r="L8" s="74">
        <f ca="1">INDIRECT($B8&amp;"!"&amp;L$3&amp;"6")</f>
        <v>4.1026583800000009E-2</v>
      </c>
      <c r="M8" s="75">
        <f ca="1">INDIRECT($B8&amp;"!"&amp;M$3&amp;"6")</f>
        <v>0.56120443933333342</v>
      </c>
      <c r="N8" s="76">
        <f ca="1">M8-L8</f>
        <v>0.5201778555333334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76.998888000000008</v>
      </c>
      <c r="I9" s="10"/>
      <c r="J9" s="228">
        <f ca="1">H9/D9-1</f>
        <v>2.9378950004204096E-3</v>
      </c>
      <c r="L9" s="74">
        <f ca="1">INDIRECT($B9&amp;"!"&amp;L$3&amp;"7")</f>
        <v>2.4438632800000002E-2</v>
      </c>
      <c r="M9" s="75">
        <f ca="1">INDIRECT($B9&amp;"!"&amp;M$3&amp;"7")</f>
        <v>0.56281924466666666</v>
      </c>
      <c r="N9" s="76">
        <f ca="1">M9-L9</f>
        <v>0.53838061186666664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108.939312</v>
      </c>
      <c r="I10" s="10"/>
      <c r="J10" s="228">
        <f ca="1">H10/D10-1</f>
        <v>7.0937459880426879E-4</v>
      </c>
      <c r="L10" s="74">
        <f ca="1">INDIRECT($B10&amp;"!"&amp;L$3&amp;"8")</f>
        <v>1.7444335733333333E-2</v>
      </c>
      <c r="M10" s="75">
        <f ca="1">INDIRECT($B10&amp;"!"&amp;M$3&amp;"8")</f>
        <v>0.56234953866666659</v>
      </c>
      <c r="N10" s="76">
        <f ca="1">M10-L10</f>
        <v>0.54490520293333322</v>
      </c>
      <c r="O10" s="226"/>
      <c r="P10" s="231">
        <f ca="1">bdrate(L7:L10,D7:D10,M7:M10,H7:H10)</f>
        <v>18.663233602781535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108.939312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38.181567999999999</v>
      </c>
      <c r="I18" s="10"/>
      <c r="J18" s="228">
        <f ca="1">H18/D18-1</f>
        <v>6.2289815356921796E-3</v>
      </c>
      <c r="L18" s="74">
        <f ca="1">INDIRECT($B18&amp;"!"&amp;L$3&amp;"5")</f>
        <v>6.8758821599999992E-2</v>
      </c>
      <c r="M18" s="75">
        <f ca="1">INDIRECT($B18&amp;"!"&amp;M$3&amp;"5")</f>
        <v>0.56103006666666666</v>
      </c>
      <c r="N18" s="76">
        <f ca="1">M18-L18</f>
        <v>0.49227124506666664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54.989343999999996</v>
      </c>
      <c r="I19" s="10"/>
      <c r="J19" s="228">
        <f ca="1">H19/D19-1</f>
        <v>5.6285145297954031E-3</v>
      </c>
      <c r="L19" s="74">
        <f ca="1">INDIRECT($B19&amp;"!"&amp;L$3&amp;"6")</f>
        <v>4.2517676533333333E-2</v>
      </c>
      <c r="M19" s="75">
        <f ca="1">INDIRECT($B19&amp;"!"&amp;M$3&amp;"6")</f>
        <v>0.56523049800000003</v>
      </c>
      <c r="N19" s="76">
        <f ca="1">M19-L19</f>
        <v>0.52271282146666664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79.259944000000004</v>
      </c>
      <c r="I20" s="10"/>
      <c r="J20" s="228">
        <f ca="1">H20/D20-1</f>
        <v>2.7726442822082475E-3</v>
      </c>
      <c r="L20" s="74">
        <f ca="1">INDIRECT($B20&amp;"!"&amp;L$3&amp;"7")</f>
        <v>2.4925761000000001E-2</v>
      </c>
      <c r="M20" s="75">
        <f ca="1">INDIRECT($B20&amp;"!"&amp;M$3&amp;"7")</f>
        <v>0.56679286866666656</v>
      </c>
      <c r="N20" s="76">
        <f ca="1">M20-L20</f>
        <v>0.54186710766666657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112.20760800000001</v>
      </c>
      <c r="I21" s="10"/>
      <c r="J21" s="228">
        <f ca="1">H21/D21-1</f>
        <v>5.649866232997347E-4</v>
      </c>
      <c r="L21" s="74">
        <f ca="1">INDIRECT($B21&amp;"!"&amp;L$3&amp;"8")</f>
        <v>1.8274979066666665E-2</v>
      </c>
      <c r="M21" s="75">
        <f ca="1">INDIRECT($B21&amp;"!"&amp;M$3&amp;"8")</f>
        <v>0.56566608200000001</v>
      </c>
      <c r="N21" s="76">
        <f ca="1">M21-L21</f>
        <v>0.54739110293333337</v>
      </c>
      <c r="O21" s="226"/>
      <c r="P21" s="231">
        <f ca="1">bdrate(L18:L21,D18:D21,M18:M21,H18:H21)</f>
        <v>18.206474854882686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112.20760800000001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27.67136</v>
      </c>
      <c r="I29" s="10"/>
      <c r="J29" s="228">
        <f ca="1">H29/D29-1</f>
        <v>7.7962520417158565E-3</v>
      </c>
      <c r="L29" s="74">
        <f ca="1">INDIRECT($B29&amp;"!"&amp;L$3&amp;"5")</f>
        <v>6.4074182428571436E-2</v>
      </c>
      <c r="M29" s="75">
        <f ca="1">INDIRECT($B29&amp;"!"&amp;M$3&amp;"5")</f>
        <v>5.6413960476190482E-2</v>
      </c>
      <c r="N29" s="76">
        <f ca="1">M29-L29</f>
        <v>-7.6602219523809537E-3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40.102560000000004</v>
      </c>
      <c r="I30" s="10"/>
      <c r="J30" s="228">
        <f ca="1">H30/D30-1</f>
        <v>9.3317713935481272E-3</v>
      </c>
      <c r="L30" s="74">
        <f ca="1">INDIRECT($B30&amp;"!"&amp;L$3&amp;"6")</f>
        <v>4.3200263047619043E-2</v>
      </c>
      <c r="M30" s="75">
        <f ca="1">INDIRECT($B30&amp;"!"&amp;M$3&amp;"6")</f>
        <v>3.7110384142857139E-2</v>
      </c>
      <c r="N30" s="76">
        <f ca="1">M30-L30</f>
        <v>-6.0898789047619042E-3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59.783936000000004</v>
      </c>
      <c r="I31" s="10"/>
      <c r="J31" s="228">
        <f ca="1">H31/D31-1</f>
        <v>3.8949499986431491E-3</v>
      </c>
      <c r="L31" s="74">
        <f ca="1">INDIRECT($B31&amp;"!"&amp;L$3&amp;"7")</f>
        <v>2.7228831333333335E-2</v>
      </c>
      <c r="M31" s="75">
        <f ca="1">INDIRECT($B31&amp;"!"&amp;M$3&amp;"7")</f>
        <v>2.064096342857143E-2</v>
      </c>
      <c r="N31" s="76">
        <f ca="1">M31-L31</f>
        <v>-6.587867904761905E-3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87.085135999999991</v>
      </c>
      <c r="I32" s="10"/>
      <c r="J32" s="228">
        <f ca="1">H32/D32-1</f>
        <v>1.0754143757170098E-3</v>
      </c>
      <c r="L32" s="74">
        <f ca="1">INDIRECT($B32&amp;"!"&amp;L$3&amp;"8")</f>
        <v>1.4458101000000004E-2</v>
      </c>
      <c r="M32" s="75">
        <f ca="1">INDIRECT($B32&amp;"!"&amp;M$3&amp;"8")</f>
        <v>8.7300931190476185E-3</v>
      </c>
      <c r="N32" s="76">
        <f ca="1">M32-L32</f>
        <v>-5.7280078809523859E-3</v>
      </c>
      <c r="O32" s="226"/>
      <c r="P32" s="231">
        <f ca="1">bdrate(L29:L32,D29:D32,M29:M32,H29:H32)</f>
        <v>-0.23551166754299346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87.085135999999991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28.541695999999998</v>
      </c>
      <c r="I40" s="10"/>
      <c r="J40" s="228">
        <f ca="1">H40/D40-1</f>
        <v>7.9404317881706099E-3</v>
      </c>
      <c r="L40" s="74">
        <f ca="1">INDIRECT($B40&amp;"!"&amp;L$3&amp;"5")</f>
        <v>6.5973396238095255E-2</v>
      </c>
      <c r="M40" s="75">
        <f ca="1">INDIRECT($B40&amp;"!"&amp;M$3&amp;"5")</f>
        <v>5.6892585857142859E-2</v>
      </c>
      <c r="N40" s="76">
        <f ca="1">M40-L40</f>
        <v>-9.0808103809523963E-3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41.50998400000001</v>
      </c>
      <c r="I41" s="10"/>
      <c r="J41" s="228">
        <f ca="1">H41/D41-1</f>
        <v>9.3249896417104683E-3</v>
      </c>
      <c r="L41" s="74">
        <f ca="1">INDIRECT($B41&amp;"!"&amp;L$3&amp;"6")</f>
        <v>4.448833447619048E-2</v>
      </c>
      <c r="M41" s="75">
        <f ca="1">INDIRECT($B41&amp;"!"&amp;M$3&amp;"6")</f>
        <v>3.7326662809523806E-2</v>
      </c>
      <c r="N41" s="76">
        <f ca="1">M41-L41</f>
        <v>-7.1616716666666747E-3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62.10004</v>
      </c>
      <c r="I42" s="10"/>
      <c r="J42" s="228">
        <f ca="1">H42/D42-1</f>
        <v>3.7985912560631885E-3</v>
      </c>
      <c r="L42" s="74">
        <f ca="1">INDIRECT($B42&amp;"!"&amp;L$3&amp;"7")</f>
        <v>2.7850360190476191E-2</v>
      </c>
      <c r="M42" s="75">
        <f ca="1">INDIRECT($B42&amp;"!"&amp;M$3&amp;"7")</f>
        <v>2.0654894380952377E-2</v>
      </c>
      <c r="N42" s="76">
        <f ca="1">M42-L42</f>
        <v>-7.1954658095238141E-3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90.501656000000011</v>
      </c>
      <c r="I43" s="10"/>
      <c r="J43" s="228">
        <f ca="1">H43/D43-1</f>
        <v>9.3894096625457557E-4</v>
      </c>
      <c r="L43" s="74">
        <f ca="1">INDIRECT($B43&amp;"!"&amp;L$3&amp;"8")</f>
        <v>1.5608584595238097E-2</v>
      </c>
      <c r="M43" s="75">
        <f ca="1">INDIRECT($B43&amp;"!"&amp;M$3&amp;"8")</f>
        <v>9.0141502380952383E-3</v>
      </c>
      <c r="N43" s="76">
        <f ca="1">M43-L43</f>
        <v>-6.5944343571428584E-3</v>
      </c>
      <c r="O43" s="226"/>
      <c r="P43" s="231">
        <f ca="1">bdrate(L40:L43,D40:D43,M40:M43,H40:H43)</f>
        <v>-0.25536200785411711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90.501656000000011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37256.023999999998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17.374985333333331</v>
      </c>
      <c r="Y5" s="30">
        <f t="shared" si="2"/>
        <v>23.578263666666665</v>
      </c>
      <c r="Z5" s="30">
        <f t="shared" si="2"/>
        <v>0.72379628800000007</v>
      </c>
      <c r="AA5" s="91">
        <f t="shared" si="2"/>
        <v>0.78408962933333326</v>
      </c>
      <c r="AB5" s="91">
        <f t="shared" si="2"/>
        <v>0.55492258733333333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0</v>
      </c>
      <c r="AN5" s="245">
        <f>bdrate($E5:$E8,G5:G8,$W5:$W8,Y5:Y8)</f>
        <v>0</v>
      </c>
      <c r="AO5" s="245">
        <f>bdrate($E5:$E8,H5:H8,$W5:$W8,Z5:Z8)</f>
        <v>0</v>
      </c>
      <c r="AP5" s="245">
        <f>bdrate($E5:$E8,I5:I8,$W5:$W8,AA5:AA8)</f>
        <v>0</v>
      </c>
      <c r="AQ5" s="246">
        <f>bdrateInverted($E5:$E8,J5:J8,$W5:$W8,AB5:AB8)</f>
        <v>0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53544.432000000008</v>
      </c>
      <c r="X6" s="91">
        <f t="shared" si="2"/>
        <v>16.574298799999998</v>
      </c>
      <c r="Y6" s="91">
        <f t="shared" si="2"/>
        <v>23.015679866666666</v>
      </c>
      <c r="Z6" s="91">
        <f t="shared" si="2"/>
        <v>0.72019659000000003</v>
      </c>
      <c r="AA6" s="91">
        <f t="shared" si="2"/>
        <v>0.77796662466666666</v>
      </c>
      <c r="AB6" s="91">
        <f t="shared" si="2"/>
        <v>0.56120443933333342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76998.888000000006</v>
      </c>
      <c r="X7" s="91">
        <f t="shared" si="2"/>
        <v>16.511690533333333</v>
      </c>
      <c r="Y7" s="91">
        <f t="shared" si="2"/>
        <v>22.8640358</v>
      </c>
      <c r="Z7" s="91">
        <f t="shared" si="2"/>
        <v>0.71951376066666672</v>
      </c>
      <c r="AA7" s="91">
        <f t="shared" si="2"/>
        <v>0.7782779093333333</v>
      </c>
      <c r="AB7" s="91">
        <f t="shared" si="2"/>
        <v>0.56281924466666666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108939.31200000001</v>
      </c>
      <c r="X8" s="91">
        <f t="shared" si="2"/>
        <v>16.380948</v>
      </c>
      <c r="Y8" s="91">
        <f t="shared" si="2"/>
        <v>22.619255066666668</v>
      </c>
      <c r="Z8" s="91">
        <f t="shared" si="2"/>
        <v>0.71841891599999996</v>
      </c>
      <c r="AA8" s="91">
        <f t="shared" si="2"/>
        <v>0.77748608733333335</v>
      </c>
      <c r="AB8" s="91">
        <f t="shared" si="2"/>
        <v>0.56234953866666659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6882.7759999999998</v>
      </c>
      <c r="Y16" s="167">
        <v>2605.096</v>
      </c>
      <c r="Z16" s="167">
        <v>1030.1120000000001</v>
      </c>
      <c r="AA16" s="167">
        <v>167.816</v>
      </c>
      <c r="AB16" s="167">
        <v>11102.464</v>
      </c>
      <c r="AC16" s="60">
        <v>7159.5119999999997</v>
      </c>
      <c r="AD16" s="60">
        <v>2367.0239999999999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9121.5519999999997</v>
      </c>
      <c r="Y17" s="168">
        <v>6736.1840000000002</v>
      </c>
      <c r="Z17" s="168">
        <v>3589.72</v>
      </c>
      <c r="AA17" s="168">
        <v>1253.56</v>
      </c>
      <c r="AB17" s="168">
        <v>14289.704</v>
      </c>
      <c r="AC17" s="62">
        <v>9490.6640000000007</v>
      </c>
      <c r="AD17" s="62">
        <v>3121.8240000000001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11410.68</v>
      </c>
      <c r="Y18" s="168">
        <v>12330.24</v>
      </c>
      <c r="Z18" s="168">
        <v>8658.84</v>
      </c>
      <c r="AA18" s="168">
        <v>5244.5839999999998</v>
      </c>
      <c r="AB18" s="168">
        <v>17597.103999999999</v>
      </c>
      <c r="AC18" s="62">
        <v>11920.64</v>
      </c>
      <c r="AD18" s="62">
        <v>3895.576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13588.432000000001</v>
      </c>
      <c r="Y19" s="168">
        <v>18541.871999999999</v>
      </c>
      <c r="Z19" s="168">
        <v>16534.056</v>
      </c>
      <c r="AA19" s="168">
        <v>14153.888000000001</v>
      </c>
      <c r="AB19" s="168">
        <v>21009.52</v>
      </c>
      <c r="AC19" s="62">
        <v>14466.056</v>
      </c>
      <c r="AD19" s="62">
        <v>4704.2640000000001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37256.023999999998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53544.432000000008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76998.888000000006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108939.31200000001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17.547055</v>
      </c>
      <c r="Y33" s="97">
        <v>23.699251</v>
      </c>
      <c r="Z33" s="97">
        <v>0.73344750000000003</v>
      </c>
      <c r="AA33" s="60">
        <v>0.78901527000000005</v>
      </c>
      <c r="AB33" s="60">
        <v>0.54638180000000003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-9.251297000000001</v>
      </c>
      <c r="AN33" s="96">
        <f t="shared" ref="AN33:AN96" si="5">IF(OR(Y33="",G33=""),"",Y33-G33)</f>
        <v>-8.3564800000000012</v>
      </c>
      <c r="AO33" s="96">
        <f t="shared" ref="AO33:AO96" si="6">IF(OR(Z33="",H33=""),"",Z33-H33)</f>
        <v>-0.22466838999999994</v>
      </c>
      <c r="AP33" s="96">
        <f t="shared" ref="AP33:AP96" si="7">IF(OR(AA33="",I33=""),"",AA33-I33)</f>
        <v>-0.16111736999999993</v>
      </c>
      <c r="AQ33" s="121">
        <f t="shared" ref="AQ33:AQ96" si="8">IF(OR(AB33="",J33=""),"",AB33-J33)</f>
        <v>0.47575209000000002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16.824486</v>
      </c>
      <c r="Y34" s="190">
        <v>23.158895999999999</v>
      </c>
      <c r="Z34" s="190">
        <v>0.72983838000000001</v>
      </c>
      <c r="AA34" s="62">
        <v>0.78328918999999997</v>
      </c>
      <c r="AB34" s="62">
        <v>0.55452060000000003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-13.858566</v>
      </c>
      <c r="AN34" s="122">
        <f t="shared" si="5"/>
        <v>-12.030413000000003</v>
      </c>
      <c r="AO34" s="122">
        <f t="shared" si="6"/>
        <v>-0.24582534999999994</v>
      </c>
      <c r="AP34" s="122">
        <f t="shared" si="7"/>
        <v>-0.18913077</v>
      </c>
      <c r="AQ34" s="88">
        <f t="shared" si="8"/>
        <v>0.51074666600000007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16.712157999999999</v>
      </c>
      <c r="Y35" s="190">
        <v>22.933288999999998</v>
      </c>
      <c r="Z35" s="190">
        <v>0.72909880000000005</v>
      </c>
      <c r="AA35" s="62">
        <v>0.78330418999999996</v>
      </c>
      <c r="AB35" s="62">
        <v>0.55644475999999998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-18.533055000000001</v>
      </c>
      <c r="AN35" s="122">
        <f t="shared" si="5"/>
        <v>-16.392116000000005</v>
      </c>
      <c r="AO35" s="122">
        <f t="shared" si="6"/>
        <v>-0.25892598</v>
      </c>
      <c r="AP35" s="122">
        <f t="shared" si="7"/>
        <v>-0.20694303000000003</v>
      </c>
      <c r="AQ35" s="88">
        <f t="shared" si="8"/>
        <v>0.53056604699999999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16.619823</v>
      </c>
      <c r="Y36" s="190">
        <v>22.609451</v>
      </c>
      <c r="Z36" s="190">
        <v>0.72800456999999996</v>
      </c>
      <c r="AA36" s="62">
        <v>0.78322579999999997</v>
      </c>
      <c r="AB36" s="62">
        <v>0.55537175999999999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-21.359159000000002</v>
      </c>
      <c r="AN36" s="122">
        <f t="shared" si="5"/>
        <v>-19.462117999999997</v>
      </c>
      <c r="AO36" s="122">
        <f t="shared" si="6"/>
        <v>-0.26432217000000002</v>
      </c>
      <c r="AP36" s="122">
        <f t="shared" si="7"/>
        <v>-0.21194252000000002</v>
      </c>
      <c r="AQ36" s="88">
        <f t="shared" si="8"/>
        <v>0.53723854400000004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17.391479</v>
      </c>
      <c r="Y38" s="97">
        <v>23.505669999999999</v>
      </c>
      <c r="Z38" s="97">
        <v>0.72858235000000005</v>
      </c>
      <c r="AA38" s="60">
        <v>0.78278550999999996</v>
      </c>
      <c r="AB38" s="60">
        <v>0.55410033000000003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-9.7678580000000004</v>
      </c>
      <c r="AN38" s="96">
        <f t="shared" si="5"/>
        <v>-8.8079840000000011</v>
      </c>
      <c r="AO38" s="96">
        <f t="shared" si="6"/>
        <v>-0.23055026000000001</v>
      </c>
      <c r="AP38" s="96">
        <f t="shared" si="7"/>
        <v>-0.17069614</v>
      </c>
      <c r="AQ38" s="121">
        <f t="shared" si="8"/>
        <v>0.48644974000000002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16.636012999999998</v>
      </c>
      <c r="Y39" s="190">
        <v>22.94922</v>
      </c>
      <c r="Z39" s="190">
        <v>0.72476105000000002</v>
      </c>
      <c r="AA39" s="62">
        <v>0.77616414</v>
      </c>
      <c r="AB39" s="62">
        <v>0.56210667000000003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-13.975477000000001</v>
      </c>
      <c r="AN39" s="122">
        <f t="shared" si="5"/>
        <v>-12.176599999999997</v>
      </c>
      <c r="AO39" s="122">
        <f t="shared" si="6"/>
        <v>-0.25078697999999999</v>
      </c>
      <c r="AP39" s="122">
        <f t="shared" si="7"/>
        <v>-0.19701809999999997</v>
      </c>
      <c r="AQ39" s="88">
        <f t="shared" si="8"/>
        <v>0.51920182700000006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16.513266999999999</v>
      </c>
      <c r="Y40" s="190">
        <v>22.712026000000002</v>
      </c>
      <c r="Z40" s="190">
        <v>0.72402259999999996</v>
      </c>
      <c r="AA40" s="62">
        <v>0.77571117999999994</v>
      </c>
      <c r="AB40" s="62">
        <v>0.56370050000000005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-18.591363999999999</v>
      </c>
      <c r="AN40" s="122">
        <f t="shared" si="5"/>
        <v>-16.493747999999997</v>
      </c>
      <c r="AO40" s="122">
        <f t="shared" si="6"/>
        <v>-0.26369708000000003</v>
      </c>
      <c r="AP40" s="122">
        <f t="shared" si="7"/>
        <v>-0.21464081000000002</v>
      </c>
      <c r="AQ40" s="88">
        <f t="shared" si="8"/>
        <v>0.53740879800000008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16.381288000000001</v>
      </c>
      <c r="Y41" s="190">
        <v>22.424016999999999</v>
      </c>
      <c r="Z41" s="190">
        <v>0.72308243000000005</v>
      </c>
      <c r="AA41" s="62">
        <v>0.77506032000000002</v>
      </c>
      <c r="AB41" s="62">
        <v>0.56287039999999999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-21.391158999999998</v>
      </c>
      <c r="AN41" s="122">
        <f t="shared" si="5"/>
        <v>-19.463438000000004</v>
      </c>
      <c r="AO41" s="122">
        <f t="shared" si="6"/>
        <v>-0.26888889999999999</v>
      </c>
      <c r="AP41" s="122">
        <f t="shared" si="7"/>
        <v>-0.22006004000000001</v>
      </c>
      <c r="AQ41" s="88">
        <f t="shared" si="8"/>
        <v>0.54397684099999999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17.145142</v>
      </c>
      <c r="Y43" s="97">
        <v>23.365617</v>
      </c>
      <c r="Z43" s="97">
        <v>0.72011634999999996</v>
      </c>
      <c r="AA43" s="60">
        <v>0.77541475999999998</v>
      </c>
      <c r="AB43" s="60">
        <v>0.56536549999999997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-10.332068</v>
      </c>
      <c r="AN43" s="96">
        <f t="shared" si="5"/>
        <v>-9.1771689999999992</v>
      </c>
      <c r="AO43" s="96">
        <f t="shared" si="6"/>
        <v>-0.23877248000000006</v>
      </c>
      <c r="AP43" s="96">
        <f t="shared" si="7"/>
        <v>-0.18044064999999998</v>
      </c>
      <c r="AQ43" s="121">
        <f t="shared" si="8"/>
        <v>0.50120822999999992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16.43722</v>
      </c>
      <c r="Y44" s="190">
        <v>22.831209999999999</v>
      </c>
      <c r="Z44" s="190">
        <v>0.71669928999999999</v>
      </c>
      <c r="AA44" s="62">
        <v>0.76901204999999995</v>
      </c>
      <c r="AB44" s="62">
        <v>0.57239439999999997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-14.152125999999999</v>
      </c>
      <c r="AN44" s="122">
        <f t="shared" si="5"/>
        <v>-12.277745000000003</v>
      </c>
      <c r="AO44" s="122">
        <f t="shared" si="6"/>
        <v>-0.25860466000000004</v>
      </c>
      <c r="AP44" s="122">
        <f t="shared" si="7"/>
        <v>-0.20430742000000002</v>
      </c>
      <c r="AQ44" s="88">
        <f t="shared" si="8"/>
        <v>0.53171942299999997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16.306971999999998</v>
      </c>
      <c r="Y45" s="190">
        <v>22.602525</v>
      </c>
      <c r="Z45" s="190">
        <v>0.71611174</v>
      </c>
      <c r="AA45" s="62">
        <v>0.76856356000000003</v>
      </c>
      <c r="AB45" s="62">
        <v>0.57354309999999997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-18.878060000000001</v>
      </c>
      <c r="AN45" s="122">
        <f t="shared" si="5"/>
        <v>-16.664943999999998</v>
      </c>
      <c r="AO45" s="122">
        <f t="shared" si="6"/>
        <v>-0.27167430999999997</v>
      </c>
      <c r="AP45" s="122">
        <f t="shared" si="7"/>
        <v>-0.22192177999999996</v>
      </c>
      <c r="AQ45" s="88">
        <f t="shared" si="8"/>
        <v>0.54884981799999999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16.163166</v>
      </c>
      <c r="Y46" s="190">
        <v>22.368314000000002</v>
      </c>
      <c r="Z46" s="190">
        <v>0.71524202999999997</v>
      </c>
      <c r="AA46" s="62">
        <v>0.76753987999999995</v>
      </c>
      <c r="AB46" s="62">
        <v>0.57235307000000002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-21.678244000000003</v>
      </c>
      <c r="AN46" s="122">
        <f t="shared" si="5"/>
        <v>-19.578903999999998</v>
      </c>
      <c r="AO46" s="122">
        <f t="shared" si="6"/>
        <v>-0.27686724000000007</v>
      </c>
      <c r="AP46" s="122">
        <f t="shared" si="7"/>
        <v>-0.22759607000000004</v>
      </c>
      <c r="AQ46" s="88">
        <f t="shared" si="8"/>
        <v>0.55462877200000005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17.033788000000001</v>
      </c>
      <c r="Y48" s="97">
        <v>23.313903</v>
      </c>
      <c r="Z48" s="97">
        <v>0.72317967000000005</v>
      </c>
      <c r="AA48" s="60">
        <v>0.77840279000000001</v>
      </c>
      <c r="AB48" s="60">
        <v>0.56360109999999997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-10.494726999999997</v>
      </c>
      <c r="AN48" s="96">
        <f t="shared" si="5"/>
        <v>-9.2594499999999975</v>
      </c>
      <c r="AO48" s="96">
        <f t="shared" si="6"/>
        <v>-0.23571036999999995</v>
      </c>
      <c r="AP48" s="96">
        <f t="shared" si="7"/>
        <v>-0.17711979</v>
      </c>
      <c r="AQ48" s="121">
        <f t="shared" si="8"/>
        <v>0.49848161999999996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16.361163000000001</v>
      </c>
      <c r="Y49" s="190">
        <v>22.790452999999999</v>
      </c>
      <c r="Z49" s="190">
        <v>0.71977902999999999</v>
      </c>
      <c r="AA49" s="62">
        <v>0.77232202000000005</v>
      </c>
      <c r="AB49" s="62">
        <v>0.57054704000000001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-14.002841</v>
      </c>
      <c r="AN49" s="122">
        <f t="shared" si="5"/>
        <v>-12.120890000000003</v>
      </c>
      <c r="AO49" s="122">
        <f t="shared" si="6"/>
        <v>-0.25504148000000004</v>
      </c>
      <c r="AP49" s="122">
        <f t="shared" si="7"/>
        <v>-0.19984996999999993</v>
      </c>
      <c r="AQ49" s="88">
        <f t="shared" si="8"/>
        <v>0.52760307800000006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16.246673000000001</v>
      </c>
      <c r="Y50" s="190">
        <v>22.584303999999999</v>
      </c>
      <c r="Z50" s="190">
        <v>0.71902361999999997</v>
      </c>
      <c r="AA50" s="62">
        <v>0.77212692999999999</v>
      </c>
      <c r="AB50" s="62">
        <v>0.57131240000000005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-18.932114999999996</v>
      </c>
      <c r="AN50" s="122">
        <f t="shared" si="5"/>
        <v>-16.669270999999998</v>
      </c>
      <c r="AO50" s="122">
        <f t="shared" si="6"/>
        <v>-0.26864125000000005</v>
      </c>
      <c r="AP50" s="122">
        <f t="shared" si="7"/>
        <v>-0.21834337999999998</v>
      </c>
      <c r="AQ50" s="88">
        <f t="shared" si="8"/>
        <v>0.54553448300000007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16.084496000000001</v>
      </c>
      <c r="Y51" s="190">
        <v>22.405263000000001</v>
      </c>
      <c r="Z51" s="190">
        <v>0.71828628000000005</v>
      </c>
      <c r="AA51" s="62">
        <v>0.77096432000000004</v>
      </c>
      <c r="AB51" s="62">
        <v>0.57034689999999999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-21.703002999999995</v>
      </c>
      <c r="AN51" s="122">
        <f t="shared" si="5"/>
        <v>-19.480999000000001</v>
      </c>
      <c r="AO51" s="122">
        <f t="shared" si="6"/>
        <v>-0.27366830999999991</v>
      </c>
      <c r="AP51" s="122">
        <f t="shared" si="7"/>
        <v>-0.22409925999999991</v>
      </c>
      <c r="AQ51" s="88">
        <f t="shared" si="8"/>
        <v>0.55173448000000003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17.059225000000001</v>
      </c>
      <c r="Y53" s="97">
        <v>23.298127999999998</v>
      </c>
      <c r="Z53" s="97">
        <v>0.71980498999999998</v>
      </c>
      <c r="AA53" s="60">
        <v>0.77945231000000004</v>
      </c>
      <c r="AB53" s="60">
        <v>0.5672739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-10.578049999999998</v>
      </c>
      <c r="AN53" s="96">
        <f t="shared" si="5"/>
        <v>-9.3054830000000024</v>
      </c>
      <c r="AO53" s="96">
        <f t="shared" si="6"/>
        <v>-0.23704592000000002</v>
      </c>
      <c r="AP53" s="96">
        <f t="shared" si="7"/>
        <v>-0.17694220999999999</v>
      </c>
      <c r="AQ53" s="121">
        <f t="shared" si="8"/>
        <v>0.49868356999999996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16.402775999999999</v>
      </c>
      <c r="Y54" s="190">
        <v>22.783007999999999</v>
      </c>
      <c r="Z54" s="190">
        <v>0.71602874000000005</v>
      </c>
      <c r="AA54" s="62">
        <v>0.77341170000000004</v>
      </c>
      <c r="AB54" s="62">
        <v>0.57390609999999997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-13.939278999999999</v>
      </c>
      <c r="AN54" s="122">
        <f t="shared" si="5"/>
        <v>-12.090154999999999</v>
      </c>
      <c r="AO54" s="122">
        <f t="shared" si="6"/>
        <v>-0.25801080999999992</v>
      </c>
      <c r="AP54" s="122">
        <f t="shared" si="7"/>
        <v>-0.19912213000000001</v>
      </c>
      <c r="AQ54" s="88">
        <f t="shared" si="8"/>
        <v>0.52889566700000001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16.289164</v>
      </c>
      <c r="Y55" s="190">
        <v>22.569307999999999</v>
      </c>
      <c r="Z55" s="190">
        <v>0.71482791999999995</v>
      </c>
      <c r="AA55" s="62">
        <v>0.77251815000000001</v>
      </c>
      <c r="AB55" s="62">
        <v>0.57473350000000001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-18.704956000000003</v>
      </c>
      <c r="AN55" s="122">
        <f t="shared" si="5"/>
        <v>-16.491706999999998</v>
      </c>
      <c r="AO55" s="122">
        <f t="shared" si="6"/>
        <v>-0.27226037000000003</v>
      </c>
      <c r="AP55" s="122">
        <f t="shared" si="7"/>
        <v>-0.21785125999999999</v>
      </c>
      <c r="AQ55" s="88">
        <f t="shared" si="8"/>
        <v>0.54714658199999999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16.096969000000001</v>
      </c>
      <c r="Y56" s="190">
        <v>22.417038000000002</v>
      </c>
      <c r="Z56" s="190">
        <v>0.71367252999999997</v>
      </c>
      <c r="AA56" s="62">
        <v>0.77099253000000001</v>
      </c>
      <c r="AB56" s="62">
        <v>0.57376839999999996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-21.335099999999997</v>
      </c>
      <c r="AN56" s="122">
        <f t="shared" si="5"/>
        <v>-19.086684000000002</v>
      </c>
      <c r="AO56" s="122">
        <f t="shared" si="6"/>
        <v>-0.27775713000000002</v>
      </c>
      <c r="AP56" s="122">
        <f t="shared" si="7"/>
        <v>-0.22383220000000004</v>
      </c>
      <c r="AQ56" s="88">
        <f t="shared" si="8"/>
        <v>0.55377580799999993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17.510051000000001</v>
      </c>
      <c r="Y58" s="97">
        <v>23.681519999999999</v>
      </c>
      <c r="Z58" s="97">
        <v>0.73059735999999997</v>
      </c>
      <c r="AA58" s="60">
        <v>0.78935732000000003</v>
      </c>
      <c r="AB58" s="60">
        <v>0.54607755000000002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-9.3847710000000006</v>
      </c>
      <c r="AN58" s="96">
        <f t="shared" si="5"/>
        <v>-8.583198000000003</v>
      </c>
      <c r="AO58" s="96">
        <f t="shared" si="6"/>
        <v>-0.22807702000000007</v>
      </c>
      <c r="AP58" s="96">
        <f t="shared" si="7"/>
        <v>-0.16455840999999993</v>
      </c>
      <c r="AQ58" s="121">
        <f t="shared" si="8"/>
        <v>0.47683399000000004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16.61572</v>
      </c>
      <c r="Y59" s="190">
        <v>23.065943999999998</v>
      </c>
      <c r="Z59" s="190">
        <v>0.72687436000000005</v>
      </c>
      <c r="AA59" s="62">
        <v>0.78285393000000003</v>
      </c>
      <c r="AB59" s="62">
        <v>0.55182249999999999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-14.200661</v>
      </c>
      <c r="AN59" s="122">
        <f t="shared" si="5"/>
        <v>-12.427129000000004</v>
      </c>
      <c r="AO59" s="122">
        <f t="shared" si="6"/>
        <v>-0.2495701199999999</v>
      </c>
      <c r="AP59" s="122">
        <f t="shared" si="7"/>
        <v>-0.19209047999999995</v>
      </c>
      <c r="AQ59" s="88">
        <f t="shared" si="8"/>
        <v>0.51080897199999997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16.579263000000001</v>
      </c>
      <c r="Y60" s="190">
        <v>22.936105000000001</v>
      </c>
      <c r="Z60" s="190">
        <v>0.72644567000000004</v>
      </c>
      <c r="AA60" s="62">
        <v>0.78334811999999998</v>
      </c>
      <c r="AB60" s="62">
        <v>0.55325334999999998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-18.714583000000001</v>
      </c>
      <c r="AN60" s="122">
        <f t="shared" si="5"/>
        <v>-16.454575000000002</v>
      </c>
      <c r="AO60" s="122">
        <f t="shared" si="6"/>
        <v>-0.26220157999999993</v>
      </c>
      <c r="AP60" s="122">
        <f t="shared" si="7"/>
        <v>-0.20759420000000006</v>
      </c>
      <c r="AQ60" s="88">
        <f t="shared" si="8"/>
        <v>0.52944607799999999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16.518097999999998</v>
      </c>
      <c r="Y61" s="190">
        <v>22.669011000000001</v>
      </c>
      <c r="Z61" s="190">
        <v>0.72551231999999999</v>
      </c>
      <c r="AA61" s="62">
        <v>0.78326848999999998</v>
      </c>
      <c r="AB61" s="62">
        <v>0.55261899999999997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-21.438441000000001</v>
      </c>
      <c r="AN61" s="122">
        <f t="shared" si="5"/>
        <v>-19.371210999999999</v>
      </c>
      <c r="AO61" s="122">
        <f t="shared" si="6"/>
        <v>-0.26734071000000004</v>
      </c>
      <c r="AP61" s="122">
        <f t="shared" si="7"/>
        <v>-0.21242630000000007</v>
      </c>
      <c r="AQ61" s="88">
        <f t="shared" si="8"/>
        <v>0.53579634899999995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17.250820999999998</v>
      </c>
      <c r="Y63" s="97">
        <v>23.487255999999999</v>
      </c>
      <c r="Z63" s="97">
        <v>0.72592617999999998</v>
      </c>
      <c r="AA63" s="60">
        <v>0.78351992000000004</v>
      </c>
      <c r="AB63" s="60">
        <v>0.54847394999999999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-9.8292480000000033</v>
      </c>
      <c r="AN63" s="96">
        <f t="shared" si="5"/>
        <v>-8.9265140000000009</v>
      </c>
      <c r="AO63" s="96">
        <f t="shared" si="6"/>
        <v>-0.23357988000000007</v>
      </c>
      <c r="AP63" s="96">
        <f t="shared" si="7"/>
        <v>-0.17055186</v>
      </c>
      <c r="AQ63" s="121">
        <f t="shared" si="8"/>
        <v>0.48312224999999998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16.441693000000001</v>
      </c>
      <c r="Y64" s="190">
        <v>22.937355</v>
      </c>
      <c r="Z64" s="190">
        <v>0.72183503999999998</v>
      </c>
      <c r="AA64" s="62">
        <v>0.77701746999999999</v>
      </c>
      <c r="AB64" s="62">
        <v>0.5550678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-14.204951999999999</v>
      </c>
      <c r="AN64" s="122">
        <f t="shared" si="5"/>
        <v>-12.440006</v>
      </c>
      <c r="AO64" s="122">
        <f t="shared" si="6"/>
        <v>-0.25463561000000001</v>
      </c>
      <c r="AP64" s="122">
        <f t="shared" si="7"/>
        <v>-0.19505897000000005</v>
      </c>
      <c r="AQ64" s="88">
        <f t="shared" si="8"/>
        <v>0.51520376700000003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16.397189999999998</v>
      </c>
      <c r="Y65" s="190">
        <v>22.799509</v>
      </c>
      <c r="Z65" s="190">
        <v>0.72129979</v>
      </c>
      <c r="AA65" s="62">
        <v>0.77734283999999998</v>
      </c>
      <c r="AB65" s="62">
        <v>0.55694509999999997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-18.907098999999999</v>
      </c>
      <c r="AN65" s="122">
        <f t="shared" si="5"/>
        <v>-16.627884999999999</v>
      </c>
      <c r="AO65" s="122">
        <f t="shared" si="6"/>
        <v>-0.26728249000000004</v>
      </c>
      <c r="AP65" s="122">
        <f t="shared" si="7"/>
        <v>-0.21319451</v>
      </c>
      <c r="AQ65" s="88">
        <f t="shared" si="8"/>
        <v>0.533356355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16.304908000000001</v>
      </c>
      <c r="Y66" s="190">
        <v>22.537029</v>
      </c>
      <c r="Z66" s="190">
        <v>0.72034061000000005</v>
      </c>
      <c r="AA66" s="62">
        <v>0.77679482</v>
      </c>
      <c r="AB66" s="62">
        <v>0.55661833000000005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-21.635789999999997</v>
      </c>
      <c r="AN66" s="122">
        <f t="shared" si="5"/>
        <v>-19.505630999999997</v>
      </c>
      <c r="AO66" s="122">
        <f t="shared" si="6"/>
        <v>-0.27239806999999994</v>
      </c>
      <c r="AP66" s="122">
        <f t="shared" si="7"/>
        <v>-0.21856107000000002</v>
      </c>
      <c r="AQ66" s="88">
        <f t="shared" si="8"/>
        <v>0.53991083000000006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17.201912</v>
      </c>
      <c r="Y68" s="97">
        <v>23.494871</v>
      </c>
      <c r="Z68" s="97">
        <v>0.72033636000000001</v>
      </c>
      <c r="AA68" s="60">
        <v>0.77917449000000005</v>
      </c>
      <c r="AB68" s="60">
        <v>0.55916259999999995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-10.138024999999999</v>
      </c>
      <c r="AN68" s="96">
        <f t="shared" si="5"/>
        <v>-9.1038480000000028</v>
      </c>
      <c r="AO68" s="96">
        <f t="shared" si="6"/>
        <v>-0.23918503999999996</v>
      </c>
      <c r="AP68" s="96">
        <f t="shared" si="7"/>
        <v>-0.17568207999999996</v>
      </c>
      <c r="AQ68" s="121">
        <f t="shared" si="8"/>
        <v>0.49623225399999993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16.406153</v>
      </c>
      <c r="Y69" s="190">
        <v>22.960663</v>
      </c>
      <c r="Z69" s="190">
        <v>0.71684548999999997</v>
      </c>
      <c r="AA69" s="62">
        <v>0.77326298000000004</v>
      </c>
      <c r="AB69" s="62">
        <v>0.56470819999999999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-14.293545999999999</v>
      </c>
      <c r="AN69" s="122">
        <f t="shared" si="5"/>
        <v>-12.457587</v>
      </c>
      <c r="AO69" s="122">
        <f t="shared" si="6"/>
        <v>-0.25925129000000002</v>
      </c>
      <c r="AP69" s="122">
        <f t="shared" si="7"/>
        <v>-0.19814475999999992</v>
      </c>
      <c r="AQ69" s="88">
        <f t="shared" si="8"/>
        <v>0.52561535800000003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16.350241</v>
      </c>
      <c r="Y70" s="190">
        <v>22.812076000000001</v>
      </c>
      <c r="Z70" s="190">
        <v>0.71638891999999998</v>
      </c>
      <c r="AA70" s="62">
        <v>0.77349365999999997</v>
      </c>
      <c r="AB70" s="62">
        <v>0.56621087000000003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-18.975651000000003</v>
      </c>
      <c r="AN70" s="122">
        <f t="shared" si="5"/>
        <v>-16.632369999999998</v>
      </c>
      <c r="AO70" s="122">
        <f t="shared" si="6"/>
        <v>-0.27194381000000001</v>
      </c>
      <c r="AP70" s="122">
        <f t="shared" si="7"/>
        <v>-0.21651016000000001</v>
      </c>
      <c r="AQ70" s="88">
        <f t="shared" si="8"/>
        <v>0.543159748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16.224181000000002</v>
      </c>
      <c r="Y71" s="190">
        <v>22.554196999999998</v>
      </c>
      <c r="Z71" s="190">
        <v>0.71536288000000003</v>
      </c>
      <c r="AA71" s="62">
        <v>0.77254124000000002</v>
      </c>
      <c r="AB71" s="62">
        <v>0.56620179999999998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-21.694789</v>
      </c>
      <c r="AN71" s="122">
        <f t="shared" si="5"/>
        <v>-19.456402999999998</v>
      </c>
      <c r="AO71" s="122">
        <f t="shared" si="6"/>
        <v>-0.27723721999999995</v>
      </c>
      <c r="AP71" s="122">
        <f t="shared" si="7"/>
        <v>-0.22248323999999997</v>
      </c>
      <c r="AQ71" s="88">
        <f t="shared" si="8"/>
        <v>0.54959708399999996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17.242936</v>
      </c>
      <c r="Y73" s="97">
        <v>23.566151999999999</v>
      </c>
      <c r="Z73" s="97">
        <v>0.72272481</v>
      </c>
      <c r="AA73" s="60">
        <v>0.78147215000000003</v>
      </c>
      <c r="AB73" s="60">
        <v>0.56129384000000004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-10.211893</v>
      </c>
      <c r="AN73" s="96">
        <f t="shared" si="5"/>
        <v>-9.0956160000000033</v>
      </c>
      <c r="AO73" s="96">
        <f t="shared" si="6"/>
        <v>-0.23680197999999997</v>
      </c>
      <c r="AP73" s="96">
        <f t="shared" si="7"/>
        <v>-0.17359141</v>
      </c>
      <c r="AQ73" s="121">
        <f t="shared" si="8"/>
        <v>0.49861652000000006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16.483492999999999</v>
      </c>
      <c r="Y74" s="190">
        <v>23.049893000000001</v>
      </c>
      <c r="Z74" s="190">
        <v>0.71927563999999999</v>
      </c>
      <c r="AA74" s="62">
        <v>0.77551720000000002</v>
      </c>
      <c r="AB74" s="62">
        <v>0.56632300000000002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-14.177140000000001</v>
      </c>
      <c r="AN74" s="122">
        <f t="shared" si="5"/>
        <v>-12.311671999999998</v>
      </c>
      <c r="AO74" s="122">
        <f t="shared" si="6"/>
        <v>-0.25650245999999999</v>
      </c>
      <c r="AP74" s="122">
        <f t="shared" si="7"/>
        <v>-0.19556609999999996</v>
      </c>
      <c r="AQ74" s="88">
        <f t="shared" si="8"/>
        <v>0.52691723700000004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16.428781000000001</v>
      </c>
      <c r="Y75" s="190">
        <v>22.900096000000001</v>
      </c>
      <c r="Z75" s="190">
        <v>0.71891011999999999</v>
      </c>
      <c r="AA75" s="62">
        <v>0.77574938999999998</v>
      </c>
      <c r="AB75" s="62">
        <v>0.56772982999999999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-18.885429000000002</v>
      </c>
      <c r="AN75" s="122">
        <f t="shared" si="5"/>
        <v>-16.531179999999996</v>
      </c>
      <c r="AO75" s="122">
        <f t="shared" si="6"/>
        <v>-0.26927442000000001</v>
      </c>
      <c r="AP75" s="122">
        <f t="shared" si="7"/>
        <v>-0.21433096000000007</v>
      </c>
      <c r="AQ75" s="88">
        <f t="shared" si="8"/>
        <v>0.54447891299999995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16.273966999999999</v>
      </c>
      <c r="Y76" s="190">
        <v>22.663215999999998</v>
      </c>
      <c r="Z76" s="190">
        <v>0.71793306999999995</v>
      </c>
      <c r="AA76" s="62">
        <v>0.77447891000000002</v>
      </c>
      <c r="AB76" s="62">
        <v>0.56758224999999995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-21.607706999999998</v>
      </c>
      <c r="AN76" s="122">
        <f t="shared" si="5"/>
        <v>-19.305467</v>
      </c>
      <c r="AO76" s="122">
        <f t="shared" si="6"/>
        <v>-0.27449210000000002</v>
      </c>
      <c r="AP76" s="122">
        <f t="shared" si="7"/>
        <v>-0.22059996999999998</v>
      </c>
      <c r="AQ76" s="88">
        <f t="shared" si="8"/>
        <v>0.55076203499999998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17.253951000000001</v>
      </c>
      <c r="Y78" s="97">
        <v>23.521953</v>
      </c>
      <c r="Z78" s="97">
        <v>0.71910861999999998</v>
      </c>
      <c r="AA78" s="60">
        <v>0.78267129999999996</v>
      </c>
      <c r="AB78" s="60">
        <v>0.56124289999999999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-10.254801999999998</v>
      </c>
      <c r="AN78" s="96">
        <f t="shared" si="5"/>
        <v>-9.0962039999999966</v>
      </c>
      <c r="AO78" s="96">
        <f t="shared" si="6"/>
        <v>-0.23849922000000001</v>
      </c>
      <c r="AP78" s="96">
        <f t="shared" si="7"/>
        <v>-0.17300692000000006</v>
      </c>
      <c r="AQ78" s="121">
        <f t="shared" si="8"/>
        <v>0.49507806999999998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16.527951000000002</v>
      </c>
      <c r="Y79" s="190">
        <v>23.019372000000001</v>
      </c>
      <c r="Z79" s="190">
        <v>0.71544262000000003</v>
      </c>
      <c r="AA79" s="62">
        <v>0.77655003</v>
      </c>
      <c r="AB79" s="62">
        <v>0.56613089999999999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-14.060828999999998</v>
      </c>
      <c r="AN79" s="122">
        <f t="shared" si="5"/>
        <v>-12.209489999999999</v>
      </c>
      <c r="AO79" s="122">
        <f t="shared" si="6"/>
        <v>-0.25922806999999992</v>
      </c>
      <c r="AP79" s="122">
        <f t="shared" si="7"/>
        <v>-0.19540215000000005</v>
      </c>
      <c r="AQ79" s="88">
        <f t="shared" si="8"/>
        <v>0.52333613000000001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16.471854</v>
      </c>
      <c r="Y80" s="190">
        <v>22.871682</v>
      </c>
      <c r="Z80" s="190">
        <v>0.71452824999999998</v>
      </c>
      <c r="AA80" s="62">
        <v>0.77648684000000001</v>
      </c>
      <c r="AB80" s="62">
        <v>0.56742625999999996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-18.658459999999998</v>
      </c>
      <c r="AN80" s="122">
        <f t="shared" si="5"/>
        <v>-16.354216000000001</v>
      </c>
      <c r="AO80" s="122">
        <f t="shared" si="6"/>
        <v>-0.27284808000000005</v>
      </c>
      <c r="AP80" s="122">
        <f t="shared" si="7"/>
        <v>-0.21368984999999996</v>
      </c>
      <c r="AQ80" s="88">
        <f t="shared" si="8"/>
        <v>0.54227706399999998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16.294809999999998</v>
      </c>
      <c r="Y81" s="190">
        <v>22.669706000000001</v>
      </c>
      <c r="Z81" s="190">
        <v>0.71327752</v>
      </c>
      <c r="AA81" s="62">
        <v>0.77513642000000005</v>
      </c>
      <c r="AB81" s="62">
        <v>0.56698269999999995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-21.302537000000001</v>
      </c>
      <c r="AN81" s="122">
        <f t="shared" si="5"/>
        <v>-18.982545999999996</v>
      </c>
      <c r="AO81" s="122">
        <f t="shared" si="6"/>
        <v>-0.27841408999999995</v>
      </c>
      <c r="AP81" s="122">
        <f t="shared" si="7"/>
        <v>-0.21978934999999999</v>
      </c>
      <c r="AQ81" s="88">
        <f t="shared" si="8"/>
        <v>0.54849757999999993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17.807941</v>
      </c>
      <c r="Y83" s="97">
        <v>23.904243000000001</v>
      </c>
      <c r="Z83" s="97">
        <v>0.72677122000000005</v>
      </c>
      <c r="AA83" s="60">
        <v>0.79271866000000002</v>
      </c>
      <c r="AB83" s="60">
        <v>0.53962279999999996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-9.1719550000000005</v>
      </c>
      <c r="AN83" s="96">
        <f t="shared" si="5"/>
        <v>-8.4210330000000013</v>
      </c>
      <c r="AO83" s="96">
        <f t="shared" si="6"/>
        <v>-0.22979719999999992</v>
      </c>
      <c r="AP83" s="96">
        <f t="shared" si="7"/>
        <v>-0.16272717999999997</v>
      </c>
      <c r="AQ83" s="121">
        <f t="shared" si="8"/>
        <v>0.46919986999999996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16.829737999999999</v>
      </c>
      <c r="Y84" s="190">
        <v>23.220694000000002</v>
      </c>
      <c r="Z84" s="190">
        <v>0.72282760000000001</v>
      </c>
      <c r="AA84" s="62">
        <v>0.78565406999999998</v>
      </c>
      <c r="AB84" s="62">
        <v>0.54643995000000001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-13.679366000000002</v>
      </c>
      <c r="AN84" s="122">
        <f t="shared" si="5"/>
        <v>-12.055147999999996</v>
      </c>
      <c r="AO84" s="122">
        <f t="shared" si="6"/>
        <v>-0.25327045000000004</v>
      </c>
      <c r="AP84" s="122">
        <f t="shared" si="7"/>
        <v>-0.18893451000000006</v>
      </c>
      <c r="AQ84" s="88">
        <f t="shared" si="8"/>
        <v>0.50541725000000004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16.822026000000001</v>
      </c>
      <c r="Y85" s="190">
        <v>23.148817999999999</v>
      </c>
      <c r="Z85" s="190">
        <v>0.72252547</v>
      </c>
      <c r="AA85" s="62">
        <v>0.78754679000000005</v>
      </c>
      <c r="AB85" s="62">
        <v>0.54789909999999997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-18.173473000000001</v>
      </c>
      <c r="AN85" s="122">
        <f t="shared" si="5"/>
        <v>-15.982699000000004</v>
      </c>
      <c r="AO85" s="122">
        <f t="shared" si="6"/>
        <v>-0.26604952999999998</v>
      </c>
      <c r="AP85" s="122">
        <f t="shared" si="7"/>
        <v>-0.2035785</v>
      </c>
      <c r="AQ85" s="88">
        <f t="shared" si="8"/>
        <v>0.52413101799999995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16.748692999999999</v>
      </c>
      <c r="Y86" s="190">
        <v>22.858953</v>
      </c>
      <c r="Z86" s="190">
        <v>0.72137894999999996</v>
      </c>
      <c r="AA86" s="62">
        <v>0.78758837999999998</v>
      </c>
      <c r="AB86" s="62">
        <v>0.54793570000000003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-21.070181999999999</v>
      </c>
      <c r="AN86" s="122">
        <f t="shared" si="5"/>
        <v>-19.014623999999998</v>
      </c>
      <c r="AO86" s="122">
        <f t="shared" si="6"/>
        <v>-0.27160202</v>
      </c>
      <c r="AP86" s="122">
        <f t="shared" si="7"/>
        <v>-0.20809657999999998</v>
      </c>
      <c r="AQ86" s="88">
        <f t="shared" si="8"/>
        <v>0.53115594600000005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17.660692000000001</v>
      </c>
      <c r="Y88" s="97">
        <v>23.768699000000002</v>
      </c>
      <c r="Z88" s="97">
        <v>0.72411692000000005</v>
      </c>
      <c r="AA88" s="60">
        <v>0.78817199999999998</v>
      </c>
      <c r="AB88" s="60">
        <v>0.54439879999999996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-9.4095049999999993</v>
      </c>
      <c r="AN88" s="96">
        <f t="shared" si="5"/>
        <v>-8.6389209999999999</v>
      </c>
      <c r="AO88" s="96">
        <f t="shared" si="6"/>
        <v>-0.23359936999999997</v>
      </c>
      <c r="AP88" s="96">
        <f t="shared" si="7"/>
        <v>-0.16650156000000005</v>
      </c>
      <c r="AQ88" s="121">
        <f t="shared" si="8"/>
        <v>0.47771559999999996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16.720506</v>
      </c>
      <c r="Y89" s="190">
        <v>23.122661000000001</v>
      </c>
      <c r="Z89" s="190">
        <v>0.72033484999999997</v>
      </c>
      <c r="AA89" s="62">
        <v>0.78188042999999996</v>
      </c>
      <c r="AB89" s="62">
        <v>0.55127210000000004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-13.867926000000001</v>
      </c>
      <c r="AN89" s="122">
        <f t="shared" si="5"/>
        <v>-12.222859999999997</v>
      </c>
      <c r="AO89" s="122">
        <f t="shared" si="6"/>
        <v>-0.25590946000000003</v>
      </c>
      <c r="AP89" s="122">
        <f t="shared" si="7"/>
        <v>-0.19123294000000002</v>
      </c>
      <c r="AQ89" s="88">
        <f t="shared" si="8"/>
        <v>0.51134406200000004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16.712423000000001</v>
      </c>
      <c r="Y90" s="190">
        <v>23.037483000000002</v>
      </c>
      <c r="Z90" s="190">
        <v>0.72008011000000005</v>
      </c>
      <c r="AA90" s="62">
        <v>0.78333807</v>
      </c>
      <c r="AB90" s="62">
        <v>0.55312276000000005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-18.414822000000001</v>
      </c>
      <c r="AN90" s="122">
        <f t="shared" si="5"/>
        <v>-16.237038999999996</v>
      </c>
      <c r="AO90" s="122">
        <f t="shared" si="6"/>
        <v>-0.2684514899999999</v>
      </c>
      <c r="AP90" s="122">
        <f t="shared" si="7"/>
        <v>-0.20737939999999999</v>
      </c>
      <c r="AQ90" s="88">
        <f t="shared" si="8"/>
        <v>0.52952659200000007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16.611090999999998</v>
      </c>
      <c r="Y91" s="190">
        <v>22.764966999999999</v>
      </c>
      <c r="Z91" s="190">
        <v>0.71879263000000004</v>
      </c>
      <c r="AA91" s="62">
        <v>0.78295532000000001</v>
      </c>
      <c r="AB91" s="62">
        <v>0.55287164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-21.302167000000001</v>
      </c>
      <c r="AN91" s="122">
        <f t="shared" si="5"/>
        <v>-19.227006000000003</v>
      </c>
      <c r="AO91" s="122">
        <f t="shared" si="6"/>
        <v>-0.27410515999999996</v>
      </c>
      <c r="AP91" s="122">
        <f t="shared" si="7"/>
        <v>-0.21250018999999998</v>
      </c>
      <c r="AQ91" s="88">
        <f t="shared" si="8"/>
        <v>0.53617616499999998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17.469180000000001</v>
      </c>
      <c r="Y93" s="97">
        <v>23.719443999999999</v>
      </c>
      <c r="Z93" s="97">
        <v>0.71971708000000001</v>
      </c>
      <c r="AA93" s="60">
        <v>0.78347707</v>
      </c>
      <c r="AB93" s="60">
        <v>0.55188760000000003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-9.7605949999999986</v>
      </c>
      <c r="AN93" s="96">
        <f t="shared" si="5"/>
        <v>-8.8116489999999992</v>
      </c>
      <c r="AO93" s="96">
        <f t="shared" si="6"/>
        <v>-0.23885906000000001</v>
      </c>
      <c r="AP93" s="96">
        <f t="shared" si="7"/>
        <v>-0.16991361000000005</v>
      </c>
      <c r="AQ93" s="121">
        <f t="shared" si="8"/>
        <v>0.48837503000000004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16.586410999999998</v>
      </c>
      <c r="Y94" s="190">
        <v>23.122488000000001</v>
      </c>
      <c r="Z94" s="190">
        <v>0.71602239000000001</v>
      </c>
      <c r="AA94" s="62">
        <v>0.77739709999999995</v>
      </c>
      <c r="AB94" s="62">
        <v>0.55824200000000002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-14.102998000000003</v>
      </c>
      <c r="AN94" s="122">
        <f t="shared" si="5"/>
        <v>-12.289503</v>
      </c>
      <c r="AO94" s="122">
        <f t="shared" si="6"/>
        <v>-0.26055152999999998</v>
      </c>
      <c r="AP94" s="122">
        <f t="shared" si="7"/>
        <v>-0.19391873000000004</v>
      </c>
      <c r="AQ94" s="88">
        <f t="shared" si="8"/>
        <v>0.52016154599999997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16.577069000000002</v>
      </c>
      <c r="Y95" s="190">
        <v>23.036940999999999</v>
      </c>
      <c r="Z95" s="190">
        <v>0.71536712999999996</v>
      </c>
      <c r="AA95" s="62">
        <v>0.77857493</v>
      </c>
      <c r="AB95" s="62">
        <v>0.56042579999999997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-18.752421999999996</v>
      </c>
      <c r="AN95" s="122">
        <f t="shared" si="5"/>
        <v>-16.417093000000001</v>
      </c>
      <c r="AO95" s="122">
        <f t="shared" si="6"/>
        <v>-0.27328503000000004</v>
      </c>
      <c r="AP95" s="122">
        <f t="shared" si="7"/>
        <v>-0.21156317999999996</v>
      </c>
      <c r="AQ95" s="88">
        <f t="shared" si="8"/>
        <v>0.53785994500000001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16.460349000000001</v>
      </c>
      <c r="Y96" s="190">
        <v>22.784911999999998</v>
      </c>
      <c r="Z96" s="190">
        <v>0.7141634</v>
      </c>
      <c r="AA96" s="62">
        <v>0.77787371000000005</v>
      </c>
      <c r="AB96" s="62">
        <v>0.56020740000000002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-21.620812000000001</v>
      </c>
      <c r="AN96" s="122">
        <f t="shared" si="5"/>
        <v>-19.365098000000003</v>
      </c>
      <c r="AO96" s="122">
        <f t="shared" si="6"/>
        <v>-0.27876672999999996</v>
      </c>
      <c r="AP96" s="122">
        <f t="shared" si="7"/>
        <v>-0.21728821999999992</v>
      </c>
      <c r="AQ96" s="88">
        <f t="shared" si="8"/>
        <v>0.54420299800000005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17.554790000000001</v>
      </c>
      <c r="Y98" s="97">
        <v>23.745497</v>
      </c>
      <c r="Z98" s="97">
        <v>0.72368186000000001</v>
      </c>
      <c r="AA98" s="60">
        <v>0.78698478999999999</v>
      </c>
      <c r="AB98" s="60">
        <v>0.55887580000000003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-9.8450249999999997</v>
      </c>
      <c r="AN98" s="96">
        <f t="shared" si="15"/>
        <v>-8.9163969999999964</v>
      </c>
      <c r="AO98" s="96">
        <f t="shared" si="16"/>
        <v>-0.23504177000000004</v>
      </c>
      <c r="AP98" s="96">
        <f t="shared" si="17"/>
        <v>-0.16770945000000004</v>
      </c>
      <c r="AQ98" s="121">
        <f t="shared" si="18"/>
        <v>0.49550167600000006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16.673038999999999</v>
      </c>
      <c r="Y99" s="190">
        <v>23.161252999999999</v>
      </c>
      <c r="Z99" s="190">
        <v>0.72051166</v>
      </c>
      <c r="AA99" s="62">
        <v>0.78131585999999997</v>
      </c>
      <c r="AB99" s="62">
        <v>0.56388587000000001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-13.977881</v>
      </c>
      <c r="AN99" s="122">
        <f t="shared" si="15"/>
        <v>-12.231725999999998</v>
      </c>
      <c r="AO99" s="122">
        <f t="shared" si="16"/>
        <v>-0.25597738000000003</v>
      </c>
      <c r="AP99" s="122">
        <f t="shared" si="17"/>
        <v>-0.19055085000000005</v>
      </c>
      <c r="AQ99" s="88">
        <f t="shared" si="18"/>
        <v>0.52521184300000001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16.638234000000001</v>
      </c>
      <c r="Y100" s="190">
        <v>23.050460000000001</v>
      </c>
      <c r="Z100" s="190">
        <v>0.71955075999999996</v>
      </c>
      <c r="AA100" s="62">
        <v>0.78186661000000002</v>
      </c>
      <c r="AB100" s="62">
        <v>0.56665367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-18.587875</v>
      </c>
      <c r="AN100" s="122">
        <f t="shared" si="15"/>
        <v>-16.326783999999996</v>
      </c>
      <c r="AO100" s="122">
        <f t="shared" si="16"/>
        <v>-0.26901897000000008</v>
      </c>
      <c r="AP100" s="122">
        <f t="shared" si="17"/>
        <v>-0.20824164999999994</v>
      </c>
      <c r="AQ100" s="88">
        <f t="shared" si="18"/>
        <v>0.54335219700000004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16.478355000000001</v>
      </c>
      <c r="Y101" s="190">
        <v>22.805146000000001</v>
      </c>
      <c r="Z101" s="190">
        <v>0.71823369000000004</v>
      </c>
      <c r="AA101" s="62">
        <v>0.78068864999999998</v>
      </c>
      <c r="AB101" s="62">
        <v>0.56658129999999995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-21.550640000000001</v>
      </c>
      <c r="AN101" s="122">
        <f t="shared" si="15"/>
        <v>-19.302616</v>
      </c>
      <c r="AO101" s="122">
        <f t="shared" si="16"/>
        <v>-0.27462463999999998</v>
      </c>
      <c r="AP101" s="122">
        <f t="shared" si="17"/>
        <v>-0.21461202000000001</v>
      </c>
      <c r="AQ101" s="88">
        <f t="shared" si="18"/>
        <v>0.55019027599999992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17.495816999999999</v>
      </c>
      <c r="Y103" s="97">
        <v>23.601751</v>
      </c>
      <c r="Z103" s="97">
        <v>0.71883304999999997</v>
      </c>
      <c r="AA103" s="60">
        <v>0.78872609999999999</v>
      </c>
      <c r="AB103" s="60">
        <v>0.55608033999999995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-9.8864049999999999</v>
      </c>
      <c r="AN103" s="96">
        <f t="shared" si="15"/>
        <v>-8.8658509999999993</v>
      </c>
      <c r="AO103" s="96">
        <f t="shared" si="16"/>
        <v>-0.23804523</v>
      </c>
      <c r="AP103" s="96">
        <f t="shared" si="17"/>
        <v>-0.16654999000000004</v>
      </c>
      <c r="AQ103" s="121">
        <f t="shared" si="18"/>
        <v>0.49071333399999995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16.668119999999998</v>
      </c>
      <c r="Y104" s="190">
        <v>23.062087999999999</v>
      </c>
      <c r="Z104" s="190">
        <v>0.71587270999999997</v>
      </c>
      <c r="AA104" s="62">
        <v>0.78385119999999997</v>
      </c>
      <c r="AB104" s="62">
        <v>0.56069946000000004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-13.825186000000002</v>
      </c>
      <c r="AN104" s="122">
        <f t="shared" si="15"/>
        <v>-12.070409999999999</v>
      </c>
      <c r="AO104" s="122">
        <f t="shared" si="16"/>
        <v>-0.25980845000000008</v>
      </c>
      <c r="AP104" s="122">
        <f t="shared" si="17"/>
        <v>-0.18896175000000004</v>
      </c>
      <c r="AQ104" s="88">
        <f t="shared" si="18"/>
        <v>0.520485007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16.630043000000001</v>
      </c>
      <c r="Y105" s="190">
        <v>22.965914999999999</v>
      </c>
      <c r="Z105" s="190">
        <v>0.71452550999999997</v>
      </c>
      <c r="AA105" s="62">
        <v>0.78419738000000005</v>
      </c>
      <c r="AB105" s="62">
        <v>0.56288766999999995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-18.291038</v>
      </c>
      <c r="AN105" s="122">
        <f t="shared" si="15"/>
        <v>-16.074408000000002</v>
      </c>
      <c r="AO105" s="122">
        <f t="shared" si="16"/>
        <v>-0.27338103000000002</v>
      </c>
      <c r="AP105" s="122">
        <f t="shared" si="17"/>
        <v>-0.20578790999999996</v>
      </c>
      <c r="AQ105" s="88">
        <f t="shared" si="18"/>
        <v>0.53861554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16.454025999999999</v>
      </c>
      <c r="Y106" s="190">
        <v>22.757605999999999</v>
      </c>
      <c r="Z106" s="190">
        <v>0.71300083000000003</v>
      </c>
      <c r="AA106" s="62">
        <v>0.78318251999999999</v>
      </c>
      <c r="AB106" s="62">
        <v>0.56293243000000004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-21.308644000000001</v>
      </c>
      <c r="AN106" s="122">
        <f t="shared" si="15"/>
        <v>-19.051255000000001</v>
      </c>
      <c r="AO106" s="122">
        <f t="shared" si="16"/>
        <v>-0.27943238999999997</v>
      </c>
      <c r="AP106" s="122">
        <f t="shared" si="17"/>
        <v>-0.21202626000000002</v>
      </c>
      <c r="AQ106" s="88">
        <f t="shared" si="18"/>
        <v>0.54593433600000008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17.033788000000001</v>
      </c>
      <c r="Y641" s="136">
        <f t="shared" si="60"/>
        <v>23.298127999999998</v>
      </c>
      <c r="Z641" s="136">
        <f t="shared" si="60"/>
        <v>0.71883304999999997</v>
      </c>
      <c r="AA641" s="136">
        <f t="shared" si="60"/>
        <v>0.77541475999999998</v>
      </c>
      <c r="AB641" s="136">
        <f t="shared" si="60"/>
        <v>0.53962279999999996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16.361163000000001</v>
      </c>
      <c r="Y642" s="18">
        <f t="shared" si="60"/>
        <v>22.783007999999999</v>
      </c>
      <c r="Z642" s="18">
        <f t="shared" si="60"/>
        <v>0.71544262000000003</v>
      </c>
      <c r="AA642" s="18">
        <f t="shared" si="60"/>
        <v>0.76901204999999995</v>
      </c>
      <c r="AB642" s="18">
        <f t="shared" si="60"/>
        <v>0.54643995000000001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16.246673000000001</v>
      </c>
      <c r="Y643" s="18">
        <f t="shared" si="60"/>
        <v>22.569307999999999</v>
      </c>
      <c r="Z643" s="18">
        <f t="shared" si="60"/>
        <v>0.71452550999999997</v>
      </c>
      <c r="AA643" s="18">
        <f t="shared" si="60"/>
        <v>0.76856356000000003</v>
      </c>
      <c r="AB643" s="18">
        <f t="shared" si="60"/>
        <v>0.54789909999999997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16.084496000000001</v>
      </c>
      <c r="Y644" s="18">
        <f t="shared" si="60"/>
        <v>22.368314000000002</v>
      </c>
      <c r="Z644" s="18">
        <f t="shared" si="60"/>
        <v>0.71300083000000003</v>
      </c>
      <c r="AA644" s="18">
        <f t="shared" si="60"/>
        <v>0.76753987999999995</v>
      </c>
      <c r="AB644" s="18">
        <f t="shared" si="60"/>
        <v>0.54793570000000003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17.807941</v>
      </c>
      <c r="Y646" s="136">
        <f t="shared" si="62"/>
        <v>23.904243000000001</v>
      </c>
      <c r="Z646" s="136">
        <f t="shared" si="62"/>
        <v>0.73344750000000003</v>
      </c>
      <c r="AA646" s="136">
        <f t="shared" si="62"/>
        <v>0.79271866000000002</v>
      </c>
      <c r="AB646" s="136">
        <f t="shared" si="62"/>
        <v>0.5672739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16.829737999999999</v>
      </c>
      <c r="Y647" s="18">
        <f t="shared" si="62"/>
        <v>23.220694000000002</v>
      </c>
      <c r="Z647" s="18">
        <f t="shared" si="62"/>
        <v>0.72983838000000001</v>
      </c>
      <c r="AA647" s="18">
        <f t="shared" si="62"/>
        <v>0.78565406999999998</v>
      </c>
      <c r="AB647" s="18">
        <f t="shared" si="62"/>
        <v>0.57390609999999997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16.822026000000001</v>
      </c>
      <c r="Y648" s="18">
        <f t="shared" si="62"/>
        <v>23.148817999999999</v>
      </c>
      <c r="Z648" s="18">
        <f t="shared" si="62"/>
        <v>0.72909880000000005</v>
      </c>
      <c r="AA648" s="18">
        <f t="shared" si="62"/>
        <v>0.78754679000000005</v>
      </c>
      <c r="AB648" s="18">
        <f t="shared" si="62"/>
        <v>0.57473350000000001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16.748692999999999</v>
      </c>
      <c r="Y649" s="18">
        <f t="shared" si="62"/>
        <v>22.858953</v>
      </c>
      <c r="Z649" s="18">
        <f t="shared" si="62"/>
        <v>0.72800456999999996</v>
      </c>
      <c r="AA649" s="18">
        <f t="shared" si="62"/>
        <v>0.78758837999999998</v>
      </c>
      <c r="AB649" s="18">
        <f t="shared" si="62"/>
        <v>0.57376839999999996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0.77415299999999831</v>
      </c>
      <c r="Y651" s="136">
        <f t="shared" si="64"/>
        <v>0.60611500000000262</v>
      </c>
      <c r="Z651" s="136">
        <f t="shared" si="64"/>
        <v>1.4614450000000057E-2</v>
      </c>
      <c r="AA651" s="136">
        <f t="shared" si="64"/>
        <v>1.7303900000000039E-2</v>
      </c>
      <c r="AB651" s="136">
        <f t="shared" si="64"/>
        <v>2.765110000000004E-2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0.46857499999999774</v>
      </c>
      <c r="Y652" s="18">
        <f t="shared" si="64"/>
        <v>0.43768600000000291</v>
      </c>
      <c r="Z652" s="18">
        <f t="shared" si="64"/>
        <v>1.439575999999998E-2</v>
      </c>
      <c r="AA652" s="18">
        <f t="shared" si="64"/>
        <v>1.6642020000000035E-2</v>
      </c>
      <c r="AB652" s="18">
        <f t="shared" si="64"/>
        <v>2.7466149999999967E-2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0.57535299999999978</v>
      </c>
      <c r="Y653" s="18">
        <f t="shared" si="64"/>
        <v>0.57950999999999908</v>
      </c>
      <c r="Z653" s="18">
        <f t="shared" si="64"/>
        <v>1.4573290000000072E-2</v>
      </c>
      <c r="AA653" s="18">
        <f t="shared" si="64"/>
        <v>1.8983230000000018E-2</v>
      </c>
      <c r="AB653" s="18">
        <f t="shared" si="64"/>
        <v>2.6834400000000036E-2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0.66419699999999793</v>
      </c>
      <c r="Y654" s="18">
        <f t="shared" si="64"/>
        <v>0.49063899999999805</v>
      </c>
      <c r="Z654" s="18">
        <f t="shared" si="64"/>
        <v>1.5003739999999932E-2</v>
      </c>
      <c r="AA654" s="18">
        <f t="shared" si="64"/>
        <v>2.0048500000000025E-2</v>
      </c>
      <c r="AB654" s="18">
        <f t="shared" si="64"/>
        <v>2.5832699999999931E-2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38181.567999999999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17.249051333333334</v>
      </c>
      <c r="Y5" s="30">
        <f t="shared" si="2"/>
        <v>23.292099533333332</v>
      </c>
      <c r="Z5" s="30">
        <f t="shared" si="2"/>
        <v>0.71750574866666672</v>
      </c>
      <c r="AA5" s="91">
        <f t="shared" si="2"/>
        <v>0.78166528866666662</v>
      </c>
      <c r="AB5" s="91">
        <f t="shared" si="2"/>
        <v>0.56103006666666666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0</v>
      </c>
      <c r="AN5" s="245">
        <f>bdrate($E5:$E8,G5:G8,$W5:$W8,Y5:Y8)</f>
        <v>0</v>
      </c>
      <c r="AO5" s="245">
        <f>bdrate($E5:$E8,H5:H8,$W5:$W8,Z5:Z8)</f>
        <v>0</v>
      </c>
      <c r="AP5" s="245">
        <f>bdrate($E5:$E8,I5:I8,$W5:$W8,AA5:AA8)</f>
        <v>0</v>
      </c>
      <c r="AQ5" s="246">
        <f>bdrateInverted($E5:$E8,J5:J8,$W5:$W8,AB5:AB8)</f>
        <v>0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54989.343999999997</v>
      </c>
      <c r="X6" s="91">
        <f t="shared" si="2"/>
        <v>16.49781586666667</v>
      </c>
      <c r="Y6" s="91">
        <f t="shared" si="2"/>
        <v>22.934513066666668</v>
      </c>
      <c r="Z6" s="91">
        <f t="shared" si="2"/>
        <v>0.71415751199999988</v>
      </c>
      <c r="AA6" s="91">
        <f t="shared" si="2"/>
        <v>0.77597755533333346</v>
      </c>
      <c r="AB6" s="91">
        <f t="shared" si="2"/>
        <v>0.56523049800000003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79259.944000000003</v>
      </c>
      <c r="X7" s="91">
        <f t="shared" si="2"/>
        <v>16.438795799999998</v>
      </c>
      <c r="Y7" s="91">
        <f t="shared" si="2"/>
        <v>22.718845000000002</v>
      </c>
      <c r="Z7" s="91">
        <f t="shared" si="2"/>
        <v>0.71326403199999999</v>
      </c>
      <c r="AA7" s="91">
        <f t="shared" si="2"/>
        <v>0.7767141580000001</v>
      </c>
      <c r="AB7" s="91">
        <f t="shared" si="2"/>
        <v>0.56679286866666656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112207.60800000001</v>
      </c>
      <c r="X8" s="91">
        <f t="shared" si="2"/>
        <v>16.334541533333333</v>
      </c>
      <c r="Y8" s="91">
        <f t="shared" si="2"/>
        <v>22.5460776</v>
      </c>
      <c r="Z8" s="91">
        <f t="shared" si="2"/>
        <v>0.71207595666666657</v>
      </c>
      <c r="AA8" s="91">
        <f t="shared" si="2"/>
        <v>0.77554937266666657</v>
      </c>
      <c r="AB8" s="91">
        <f t="shared" si="2"/>
        <v>0.56566608200000001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7081.576</v>
      </c>
      <c r="Y16" s="167">
        <v>2762.576</v>
      </c>
      <c r="Z16" s="167">
        <v>1101.3599999999999</v>
      </c>
      <c r="AA16" s="167">
        <v>191.64</v>
      </c>
      <c r="AB16" s="167">
        <v>11311.08</v>
      </c>
      <c r="AC16" s="60">
        <v>7332</v>
      </c>
      <c r="AD16" s="60">
        <v>2395.4319999999998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9340.7520000000004</v>
      </c>
      <c r="Y17" s="168">
        <v>7061.576</v>
      </c>
      <c r="Z17" s="168">
        <v>3811.248</v>
      </c>
      <c r="AA17" s="168">
        <v>1404.7280000000001</v>
      </c>
      <c r="AB17" s="168">
        <v>14528.248</v>
      </c>
      <c r="AC17" s="62">
        <v>9682.0239999999994</v>
      </c>
      <c r="AD17" s="62">
        <v>3154.864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11653.103999999999</v>
      </c>
      <c r="Y18" s="168">
        <v>12783.736000000001</v>
      </c>
      <c r="Z18" s="168">
        <v>9121.3040000000001</v>
      </c>
      <c r="AA18" s="168">
        <v>5758.4719999999998</v>
      </c>
      <c r="AB18" s="168">
        <v>17869.655999999999</v>
      </c>
      <c r="AC18" s="62">
        <v>12136.647999999999</v>
      </c>
      <c r="AD18" s="62">
        <v>3931.12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13855.272000000001</v>
      </c>
      <c r="Y19" s="168">
        <v>19073.32</v>
      </c>
      <c r="Z19" s="168">
        <v>17276.295999999998</v>
      </c>
      <c r="AA19" s="168">
        <v>15231.432000000001</v>
      </c>
      <c r="AB19" s="168">
        <v>21317.304</v>
      </c>
      <c r="AC19" s="62">
        <v>14705.152</v>
      </c>
      <c r="AD19" s="62">
        <v>4742.9279999999999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38181.567999999999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54989.343999999997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79259.944000000003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112207.60800000001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17.423435999999999</v>
      </c>
      <c r="Y33" s="97">
        <v>23.478019</v>
      </c>
      <c r="Z33" s="97">
        <v>0.72617288000000002</v>
      </c>
      <c r="AA33" s="60">
        <v>0.78604030999999996</v>
      </c>
      <c r="AB33" s="60">
        <v>0.55075574000000005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-9.3992730000000009</v>
      </c>
      <c r="AN33" s="96">
        <f t="shared" ref="AN33:AN96" si="5">IF(OR(Y33="",G33=""),"",Y33-G33)</f>
        <v>-8.4162549999999996</v>
      </c>
      <c r="AO33" s="96">
        <f t="shared" ref="AO33:AO96" si="6">IF(OR(Z33="",H33=""),"",Z33-H33)</f>
        <v>-0.23017155</v>
      </c>
      <c r="AP33" s="96">
        <f t="shared" ref="AP33:AP96" si="7">IF(OR(AA33="",I33=""),"",AA33-I33)</f>
        <v>-0.16370360000000006</v>
      </c>
      <c r="AQ33" s="121">
        <f t="shared" ref="AQ33:AQ96" si="8">IF(OR(AB33="",J33=""),"",AB33-J33)</f>
        <v>0.47759397000000003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16.658026</v>
      </c>
      <c r="Y34" s="190">
        <v>23.034409</v>
      </c>
      <c r="Z34" s="190">
        <v>0.72323422999999998</v>
      </c>
      <c r="AA34" s="62">
        <v>0.78020332000000003</v>
      </c>
      <c r="AB34" s="62">
        <v>0.558388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-14.060651</v>
      </c>
      <c r="AN34" s="122">
        <f t="shared" si="5"/>
        <v>-12.071355999999998</v>
      </c>
      <c r="AO34" s="122">
        <f t="shared" si="6"/>
        <v>-0.25169975</v>
      </c>
      <c r="AP34" s="122">
        <f t="shared" si="7"/>
        <v>-0.19240541999999994</v>
      </c>
      <c r="AQ34" s="88">
        <f t="shared" si="8"/>
        <v>0.51338428800000002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16.598506</v>
      </c>
      <c r="Y35" s="190">
        <v>22.792013000000001</v>
      </c>
      <c r="Z35" s="190">
        <v>0.72227306000000002</v>
      </c>
      <c r="AA35" s="62">
        <v>0.78146930999999997</v>
      </c>
      <c r="AB35" s="62">
        <v>0.56119339999999995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-18.609827000000003</v>
      </c>
      <c r="AN35" s="122">
        <f t="shared" si="5"/>
        <v>-16.480636000000001</v>
      </c>
      <c r="AO35" s="122">
        <f t="shared" si="6"/>
        <v>-0.26512839999999993</v>
      </c>
      <c r="AP35" s="122">
        <f t="shared" si="7"/>
        <v>-0.20853655999999998</v>
      </c>
      <c r="AQ35" s="88">
        <f t="shared" si="8"/>
        <v>0.53465412800000001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16.500540999999998</v>
      </c>
      <c r="Y36" s="190">
        <v>22.543194</v>
      </c>
      <c r="Z36" s="190">
        <v>0.72097257000000003</v>
      </c>
      <c r="AA36" s="62">
        <v>0.78078117999999996</v>
      </c>
      <c r="AB36" s="62">
        <v>0.55882679999999996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-21.321262000000004</v>
      </c>
      <c r="AN36" s="122">
        <f t="shared" si="5"/>
        <v>-19.368366999999999</v>
      </c>
      <c r="AO36" s="122">
        <f t="shared" si="6"/>
        <v>-0.27086767999999994</v>
      </c>
      <c r="AP36" s="122">
        <f t="shared" si="7"/>
        <v>-0.21443275000000006</v>
      </c>
      <c r="AQ36" s="88">
        <f t="shared" si="8"/>
        <v>0.54035179599999994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17.326352</v>
      </c>
      <c r="Y38" s="97">
        <v>23.281199999999998</v>
      </c>
      <c r="Z38" s="97">
        <v>0.72194807999999999</v>
      </c>
      <c r="AA38" s="60">
        <v>0.78103407999999996</v>
      </c>
      <c r="AB38" s="60">
        <v>0.55973077000000004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-9.828678</v>
      </c>
      <c r="AN38" s="96">
        <f t="shared" si="5"/>
        <v>-8.9253690000000034</v>
      </c>
      <c r="AO38" s="96">
        <f t="shared" si="6"/>
        <v>-0.23535518</v>
      </c>
      <c r="AP38" s="96">
        <f t="shared" si="7"/>
        <v>-0.17163771000000005</v>
      </c>
      <c r="AQ38" s="121">
        <f t="shared" si="8"/>
        <v>0.48934168000000006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16.552002000000002</v>
      </c>
      <c r="Y39" s="190">
        <v>22.852632</v>
      </c>
      <c r="Z39" s="190">
        <v>0.71840568999999999</v>
      </c>
      <c r="AA39" s="62">
        <v>0.77416129</v>
      </c>
      <c r="AB39" s="62">
        <v>0.56571939999999998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-14.118561</v>
      </c>
      <c r="AN39" s="122">
        <f t="shared" si="5"/>
        <v>-12.231417</v>
      </c>
      <c r="AO39" s="122">
        <f t="shared" si="6"/>
        <v>-0.25652015000000006</v>
      </c>
      <c r="AP39" s="122">
        <f t="shared" si="7"/>
        <v>-0.19884762</v>
      </c>
      <c r="AQ39" s="88">
        <f t="shared" si="8"/>
        <v>0.52135293599999999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16.445834000000001</v>
      </c>
      <c r="Y40" s="190">
        <v>22.572016000000001</v>
      </c>
      <c r="Z40" s="190">
        <v>0.71778459999999999</v>
      </c>
      <c r="AA40" s="62">
        <v>0.77467447</v>
      </c>
      <c r="AB40" s="62">
        <v>0.56750069999999997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-18.636380999999997</v>
      </c>
      <c r="AN40" s="122">
        <f t="shared" si="5"/>
        <v>-16.603033</v>
      </c>
      <c r="AO40" s="122">
        <f t="shared" si="6"/>
        <v>-0.26942947000000006</v>
      </c>
      <c r="AP40" s="122">
        <f t="shared" si="7"/>
        <v>-0.21573759999999997</v>
      </c>
      <c r="AQ40" s="88">
        <f t="shared" si="8"/>
        <v>0.54051720799999992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16.328403999999999</v>
      </c>
      <c r="Y41" s="190">
        <v>22.363733</v>
      </c>
      <c r="Z41" s="190">
        <v>0.71667760000000003</v>
      </c>
      <c r="AA41" s="62">
        <v>0.77341521999999996</v>
      </c>
      <c r="AB41" s="62">
        <v>0.56509980000000004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-21.235619</v>
      </c>
      <c r="AN41" s="122">
        <f t="shared" si="5"/>
        <v>-19.309799999999999</v>
      </c>
      <c r="AO41" s="122">
        <f t="shared" si="6"/>
        <v>-0.27487222999999994</v>
      </c>
      <c r="AP41" s="122">
        <f t="shared" si="7"/>
        <v>-0.2217597</v>
      </c>
      <c r="AQ41" s="88">
        <f t="shared" si="8"/>
        <v>0.54570795000000005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17.055705</v>
      </c>
      <c r="Y43" s="97">
        <v>23.139641000000001</v>
      </c>
      <c r="Z43" s="97">
        <v>0.71395023000000002</v>
      </c>
      <c r="AA43" s="60">
        <v>0.77341831999999999</v>
      </c>
      <c r="AB43" s="60">
        <v>0.57218855999999996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-10.340222000000001</v>
      </c>
      <c r="AN43" s="96">
        <f t="shared" si="5"/>
        <v>-9.2866600000000012</v>
      </c>
      <c r="AO43" s="96">
        <f t="shared" si="6"/>
        <v>-0.24360289000000002</v>
      </c>
      <c r="AP43" s="96">
        <f t="shared" si="7"/>
        <v>-0.18156549</v>
      </c>
      <c r="AQ43" s="121">
        <f t="shared" si="8"/>
        <v>0.50671111999999996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16.360389000000001</v>
      </c>
      <c r="Y44" s="190">
        <v>22.757225999999999</v>
      </c>
      <c r="Z44" s="190">
        <v>0.71114478000000003</v>
      </c>
      <c r="AA44" s="62">
        <v>0.76739009000000002</v>
      </c>
      <c r="AB44" s="62">
        <v>0.57571850000000002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-14.33737</v>
      </c>
      <c r="AN44" s="122">
        <f t="shared" si="5"/>
        <v>-12.357228000000003</v>
      </c>
      <c r="AO44" s="122">
        <f t="shared" si="6"/>
        <v>-0.26340884999999992</v>
      </c>
      <c r="AP44" s="122">
        <f t="shared" si="7"/>
        <v>-0.20562740000000002</v>
      </c>
      <c r="AQ44" s="88">
        <f t="shared" si="8"/>
        <v>0.53445691299999998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16.217324999999999</v>
      </c>
      <c r="Y45" s="190">
        <v>22.465927000000001</v>
      </c>
      <c r="Z45" s="190">
        <v>0.71028040999999997</v>
      </c>
      <c r="AA45" s="62">
        <v>0.76725241</v>
      </c>
      <c r="AB45" s="62">
        <v>0.57620930000000004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-18.976479999999999</v>
      </c>
      <c r="AN45" s="122">
        <f t="shared" si="5"/>
        <v>-16.789273000000001</v>
      </c>
      <c r="AO45" s="122">
        <f t="shared" si="6"/>
        <v>-0.27694064000000007</v>
      </c>
      <c r="AP45" s="122">
        <f t="shared" si="7"/>
        <v>-0.22313168999999999</v>
      </c>
      <c r="AQ45" s="88">
        <f t="shared" si="8"/>
        <v>0.55127448499999998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16.096948000000001</v>
      </c>
      <c r="Y46" s="190">
        <v>22.295105</v>
      </c>
      <c r="Z46" s="190">
        <v>0.70936750999999998</v>
      </c>
      <c r="AA46" s="62">
        <v>0.76574713000000005</v>
      </c>
      <c r="AB46" s="62">
        <v>0.57468050000000004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-21.505267</v>
      </c>
      <c r="AN46" s="122">
        <f t="shared" si="5"/>
        <v>-19.395766000000002</v>
      </c>
      <c r="AO46" s="122">
        <f t="shared" si="6"/>
        <v>-0.28223297999999997</v>
      </c>
      <c r="AP46" s="122">
        <f t="shared" si="7"/>
        <v>-0.22939037999999989</v>
      </c>
      <c r="AQ46" s="88">
        <f t="shared" si="8"/>
        <v>0.55665285500000006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16.934730999999999</v>
      </c>
      <c r="Y48" s="97">
        <v>23.093921000000002</v>
      </c>
      <c r="Z48" s="97">
        <v>0.71719909999999998</v>
      </c>
      <c r="AA48" s="60">
        <v>0.77605281999999998</v>
      </c>
      <c r="AB48" s="60">
        <v>0.56989204999999998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-10.471356</v>
      </c>
      <c r="AN48" s="96">
        <f t="shared" si="5"/>
        <v>-9.3329689999999985</v>
      </c>
      <c r="AO48" s="96">
        <f t="shared" si="6"/>
        <v>-0.24057413000000005</v>
      </c>
      <c r="AP48" s="96">
        <f t="shared" si="7"/>
        <v>-0.17891098999999999</v>
      </c>
      <c r="AQ48" s="121">
        <f t="shared" si="8"/>
        <v>0.50275108000000002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16.288734999999999</v>
      </c>
      <c r="Y49" s="190">
        <v>22.737442000000001</v>
      </c>
      <c r="Z49" s="190">
        <v>0.71439856000000002</v>
      </c>
      <c r="AA49" s="62">
        <v>0.77016967999999997</v>
      </c>
      <c r="AB49" s="62">
        <v>0.57291409999999998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-14.262530000000002</v>
      </c>
      <c r="AN49" s="122">
        <f t="shared" si="5"/>
        <v>-12.241411999999997</v>
      </c>
      <c r="AO49" s="122">
        <f t="shared" si="6"/>
        <v>-0.25968230000000003</v>
      </c>
      <c r="AP49" s="122">
        <f t="shared" si="7"/>
        <v>-0.20200952000000005</v>
      </c>
      <c r="AQ49" s="88">
        <f t="shared" si="8"/>
        <v>0.52928949400000003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16.155180000000001</v>
      </c>
      <c r="Y50" s="190">
        <v>22.459318</v>
      </c>
      <c r="Z50" s="190">
        <v>0.71360407000000003</v>
      </c>
      <c r="AA50" s="62">
        <v>0.77026333999999996</v>
      </c>
      <c r="AB50" s="62">
        <v>0.57308040000000005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-19.060469999999995</v>
      </c>
      <c r="AN50" s="122">
        <f t="shared" si="5"/>
        <v>-16.804908000000001</v>
      </c>
      <c r="AO50" s="122">
        <f t="shared" si="6"/>
        <v>-0.27339141</v>
      </c>
      <c r="AP50" s="122">
        <f t="shared" si="7"/>
        <v>-0.21995050999999999</v>
      </c>
      <c r="AQ50" s="88">
        <f t="shared" si="8"/>
        <v>0.54699568600000004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16.024090999999999</v>
      </c>
      <c r="Y51" s="190">
        <v>22.339385</v>
      </c>
      <c r="Z51" s="190">
        <v>0.71265301999999997</v>
      </c>
      <c r="AA51" s="62">
        <v>0.76870848000000003</v>
      </c>
      <c r="AB51" s="62">
        <v>0.57230020000000004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-21.520786000000001</v>
      </c>
      <c r="AN51" s="122">
        <f t="shared" si="5"/>
        <v>-19.280507999999998</v>
      </c>
      <c r="AO51" s="122">
        <f t="shared" si="6"/>
        <v>-0.27873529000000008</v>
      </c>
      <c r="AP51" s="122">
        <f t="shared" si="7"/>
        <v>-0.22636546000000002</v>
      </c>
      <c r="AQ51" s="88">
        <f t="shared" si="8"/>
        <v>0.55312065300000002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16.977796000000001</v>
      </c>
      <c r="Y53" s="97">
        <v>23.101222</v>
      </c>
      <c r="Z53" s="97">
        <v>0.71352333000000001</v>
      </c>
      <c r="AA53" s="60">
        <v>0.77707541999999996</v>
      </c>
      <c r="AB53" s="60">
        <v>0.57298070000000001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-10.48405</v>
      </c>
      <c r="AN53" s="96">
        <f t="shared" si="5"/>
        <v>-9.3170530000000014</v>
      </c>
      <c r="AO53" s="96">
        <f t="shared" si="6"/>
        <v>-0.24232715999999999</v>
      </c>
      <c r="AP53" s="96">
        <f t="shared" si="7"/>
        <v>-0.17831761000000002</v>
      </c>
      <c r="AQ53" s="121">
        <f t="shared" si="8"/>
        <v>0.50200169000000006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16.330493000000001</v>
      </c>
      <c r="Y54" s="190">
        <v>22.744969999999999</v>
      </c>
      <c r="Z54" s="190">
        <v>0.71015070999999996</v>
      </c>
      <c r="AA54" s="62">
        <v>0.77072653000000002</v>
      </c>
      <c r="AB54" s="62">
        <v>0.57709100000000002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-14.205006999999998</v>
      </c>
      <c r="AN54" s="122">
        <f t="shared" si="5"/>
        <v>-12.196832000000004</v>
      </c>
      <c r="AO54" s="122">
        <f t="shared" si="6"/>
        <v>-0.26310578000000007</v>
      </c>
      <c r="AP54" s="122">
        <f t="shared" si="7"/>
        <v>-0.20185918999999997</v>
      </c>
      <c r="AQ54" s="88">
        <f t="shared" si="8"/>
        <v>0.53119401500000007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16.202178</v>
      </c>
      <c r="Y55" s="190">
        <v>22.460341</v>
      </c>
      <c r="Z55" s="190">
        <v>0.70887619999999996</v>
      </c>
      <c r="AA55" s="62">
        <v>0.77031631</v>
      </c>
      <c r="AB55" s="62">
        <v>0.57805954999999998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-18.797436000000001</v>
      </c>
      <c r="AN55" s="122">
        <f t="shared" si="5"/>
        <v>-16.570284000000001</v>
      </c>
      <c r="AO55" s="122">
        <f t="shared" si="6"/>
        <v>-0.27751807000000006</v>
      </c>
      <c r="AP55" s="122">
        <f t="shared" si="7"/>
        <v>-0.21955868000000001</v>
      </c>
      <c r="AQ55" s="88">
        <f t="shared" si="8"/>
        <v>0.55016735999999999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16.047394000000001</v>
      </c>
      <c r="Y56" s="190">
        <v>22.35444</v>
      </c>
      <c r="Z56" s="190">
        <v>0.70749885000000001</v>
      </c>
      <c r="AA56" s="62">
        <v>0.76843165999999996</v>
      </c>
      <c r="AB56" s="62">
        <v>0.57775986000000001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-21.200168000000001</v>
      </c>
      <c r="AN56" s="122">
        <f t="shared" si="5"/>
        <v>-18.939916</v>
      </c>
      <c r="AO56" s="122">
        <f t="shared" si="6"/>
        <v>-0.28342648999999998</v>
      </c>
      <c r="AP56" s="122">
        <f t="shared" si="7"/>
        <v>-0.22641106</v>
      </c>
      <c r="AQ56" s="88">
        <f t="shared" si="8"/>
        <v>0.55713612200000007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17.362137000000001</v>
      </c>
      <c r="Y58" s="97">
        <v>23.343458999999999</v>
      </c>
      <c r="Z58" s="97">
        <v>0.72317633999999997</v>
      </c>
      <c r="AA58" s="60">
        <v>0.78620736000000002</v>
      </c>
      <c r="AB58" s="60">
        <v>0.55273616000000003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-9.6537760000000006</v>
      </c>
      <c r="AN58" s="96">
        <f t="shared" si="5"/>
        <v>-8.785382000000002</v>
      </c>
      <c r="AO58" s="96">
        <f t="shared" si="6"/>
        <v>-0.23384382000000004</v>
      </c>
      <c r="AP58" s="96">
        <f t="shared" si="7"/>
        <v>-0.16826777999999998</v>
      </c>
      <c r="AQ58" s="121">
        <f t="shared" si="8"/>
        <v>0.47928448000000001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16.495426999999999</v>
      </c>
      <c r="Y59" s="190">
        <v>22.921468000000001</v>
      </c>
      <c r="Z59" s="190">
        <v>0.71989338999999997</v>
      </c>
      <c r="AA59" s="62">
        <v>0.77984396</v>
      </c>
      <c r="AB59" s="62">
        <v>0.55890744999999997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-14.375913000000001</v>
      </c>
      <c r="AN59" s="122">
        <f t="shared" si="5"/>
        <v>-12.482899</v>
      </c>
      <c r="AO59" s="122">
        <f t="shared" si="6"/>
        <v>-0.25585372000000006</v>
      </c>
      <c r="AP59" s="122">
        <f t="shared" si="7"/>
        <v>-0.19461013000000005</v>
      </c>
      <c r="AQ59" s="88">
        <f t="shared" si="8"/>
        <v>0.51536949399999998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16.501761999999999</v>
      </c>
      <c r="Y60" s="190">
        <v>22.753971</v>
      </c>
      <c r="Z60" s="190">
        <v>0.71926447000000004</v>
      </c>
      <c r="AA60" s="62">
        <v>0.78147305</v>
      </c>
      <c r="AB60" s="62">
        <v>0.56009330000000002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-18.683154000000002</v>
      </c>
      <c r="AN60" s="122">
        <f t="shared" si="5"/>
        <v>-16.545062000000001</v>
      </c>
      <c r="AO60" s="122">
        <f t="shared" si="6"/>
        <v>-0.26891444999999992</v>
      </c>
      <c r="AP60" s="122">
        <f t="shared" si="7"/>
        <v>-0.20907125999999998</v>
      </c>
      <c r="AQ60" s="88">
        <f t="shared" si="8"/>
        <v>0.535566192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16.451243000000002</v>
      </c>
      <c r="Y61" s="190">
        <v>22.568200999999998</v>
      </c>
      <c r="Z61" s="190">
        <v>0.71818353000000001</v>
      </c>
      <c r="AA61" s="62">
        <v>0.78088625</v>
      </c>
      <c r="AB61" s="62">
        <v>0.55877054000000004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-21.297476</v>
      </c>
      <c r="AN61" s="122">
        <f t="shared" si="5"/>
        <v>-19.287962000000004</v>
      </c>
      <c r="AO61" s="122">
        <f t="shared" si="6"/>
        <v>-0.27427225999999993</v>
      </c>
      <c r="AP61" s="122">
        <f t="shared" si="7"/>
        <v>-0.21466198000000003</v>
      </c>
      <c r="AQ61" s="88">
        <f t="shared" si="8"/>
        <v>0.54107185499999999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17.120830000000002</v>
      </c>
      <c r="Y63" s="97">
        <v>23.172954000000001</v>
      </c>
      <c r="Z63" s="97">
        <v>0.71985812999999998</v>
      </c>
      <c r="AA63" s="60">
        <v>0.78100491999999999</v>
      </c>
      <c r="AB63" s="60">
        <v>0.55555019999999999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-10.020271999999999</v>
      </c>
      <c r="AN63" s="96">
        <f t="shared" si="5"/>
        <v>-9.153065999999999</v>
      </c>
      <c r="AO63" s="96">
        <f t="shared" si="6"/>
        <v>-0.23813256000000005</v>
      </c>
      <c r="AP63" s="96">
        <f t="shared" si="7"/>
        <v>-0.17260176000000005</v>
      </c>
      <c r="AQ63" s="121">
        <f t="shared" si="8"/>
        <v>0.48833865999999998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16.343007</v>
      </c>
      <c r="Y64" s="190">
        <v>22.819320999999999</v>
      </c>
      <c r="Z64" s="190">
        <v>0.71576457000000004</v>
      </c>
      <c r="AA64" s="62">
        <v>0.77482108000000005</v>
      </c>
      <c r="AB64" s="62">
        <v>0.56025195000000005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-14.421534000000001</v>
      </c>
      <c r="AN64" s="122">
        <f t="shared" si="5"/>
        <v>-12.536570000000001</v>
      </c>
      <c r="AO64" s="122">
        <f t="shared" si="6"/>
        <v>-0.25978302999999991</v>
      </c>
      <c r="AP64" s="122">
        <f t="shared" si="7"/>
        <v>-0.19661035999999998</v>
      </c>
      <c r="AQ64" s="88">
        <f t="shared" si="8"/>
        <v>0.51859788000000007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16.314142</v>
      </c>
      <c r="Y65" s="190">
        <v>22.627642999999999</v>
      </c>
      <c r="Z65" s="190">
        <v>0.71505437999999999</v>
      </c>
      <c r="AA65" s="62">
        <v>0.77581120000000003</v>
      </c>
      <c r="AB65" s="62">
        <v>0.56205565000000002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-18.893896000000002</v>
      </c>
      <c r="AN65" s="122">
        <f t="shared" si="5"/>
        <v>-16.708216999999998</v>
      </c>
      <c r="AO65" s="122">
        <f t="shared" si="6"/>
        <v>-0.27302112000000001</v>
      </c>
      <c r="AP65" s="122">
        <f t="shared" si="7"/>
        <v>-0.21432888999999999</v>
      </c>
      <c r="AQ65" s="88">
        <f t="shared" si="8"/>
        <v>0.53824636599999998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16.249013000000001</v>
      </c>
      <c r="Y66" s="190">
        <v>22.449665</v>
      </c>
      <c r="Z66" s="190">
        <v>0.71401055000000002</v>
      </c>
      <c r="AA66" s="62">
        <v>0.77492534000000002</v>
      </c>
      <c r="AB66" s="62">
        <v>0.56049424000000003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-21.458902999999996</v>
      </c>
      <c r="AN66" s="122">
        <f t="shared" si="5"/>
        <v>-19.371055999999999</v>
      </c>
      <c r="AO66" s="122">
        <f t="shared" si="6"/>
        <v>-0.27826308</v>
      </c>
      <c r="AP66" s="122">
        <f t="shared" si="7"/>
        <v>-0.22033280999999993</v>
      </c>
      <c r="AQ66" s="88">
        <f t="shared" si="8"/>
        <v>0.54308283300000004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17.085103</v>
      </c>
      <c r="Y68" s="97">
        <v>23.193874999999998</v>
      </c>
      <c r="Z68" s="97">
        <v>0.71476972000000005</v>
      </c>
      <c r="AA68" s="60">
        <v>0.77719510000000003</v>
      </c>
      <c r="AB68" s="60">
        <v>0.56538372999999997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-10.246604999999999</v>
      </c>
      <c r="AN68" s="96">
        <f t="shared" si="5"/>
        <v>-9.3132659999999987</v>
      </c>
      <c r="AO68" s="96">
        <f t="shared" si="6"/>
        <v>-0.24351692999999996</v>
      </c>
      <c r="AP68" s="96">
        <f t="shared" si="7"/>
        <v>-0.17714072999999997</v>
      </c>
      <c r="AQ68" s="121">
        <f t="shared" si="8"/>
        <v>0.50110630999999994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16.333207000000002</v>
      </c>
      <c r="Y69" s="190">
        <v>22.873616999999999</v>
      </c>
      <c r="Z69" s="190">
        <v>0.71144350000000001</v>
      </c>
      <c r="AA69" s="62">
        <v>0.77160214999999999</v>
      </c>
      <c r="AB69" s="62">
        <v>0.56848514000000006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-14.516347</v>
      </c>
      <c r="AN69" s="122">
        <f t="shared" si="5"/>
        <v>-12.572879000000004</v>
      </c>
      <c r="AO69" s="122">
        <f t="shared" si="6"/>
        <v>-0.26376650000000001</v>
      </c>
      <c r="AP69" s="122">
        <f t="shared" si="7"/>
        <v>-0.19931637999999996</v>
      </c>
      <c r="AQ69" s="88">
        <f t="shared" si="8"/>
        <v>0.52799591700000004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16.273958</v>
      </c>
      <c r="Y70" s="190">
        <v>22.655135999999999</v>
      </c>
      <c r="Z70" s="190">
        <v>0.71075345000000001</v>
      </c>
      <c r="AA70" s="62">
        <v>0.77219404000000003</v>
      </c>
      <c r="AB70" s="62">
        <v>0.57005154999999996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-18.958592000000003</v>
      </c>
      <c r="AN70" s="122">
        <f t="shared" si="5"/>
        <v>-16.694696999999998</v>
      </c>
      <c r="AO70" s="122">
        <f t="shared" si="6"/>
        <v>-0.27711551000000001</v>
      </c>
      <c r="AP70" s="122">
        <f t="shared" si="7"/>
        <v>-0.21748135999999996</v>
      </c>
      <c r="AQ70" s="88">
        <f t="shared" si="8"/>
        <v>0.54664267499999997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16.181533000000002</v>
      </c>
      <c r="Y71" s="190">
        <v>22.479543</v>
      </c>
      <c r="Z71" s="190">
        <v>0.70974508999999997</v>
      </c>
      <c r="AA71" s="62">
        <v>0.77097355999999995</v>
      </c>
      <c r="AB71" s="62">
        <v>0.56908630000000004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-21.462921999999999</v>
      </c>
      <c r="AN71" s="122">
        <f t="shared" si="5"/>
        <v>-19.257071000000003</v>
      </c>
      <c r="AO71" s="122">
        <f t="shared" si="6"/>
        <v>-0.28237239000000003</v>
      </c>
      <c r="AP71" s="122">
        <f t="shared" si="7"/>
        <v>-0.22406928000000004</v>
      </c>
      <c r="AQ71" s="88">
        <f t="shared" si="8"/>
        <v>0.55172322000000007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17.131229999999999</v>
      </c>
      <c r="Y73" s="97">
        <v>23.283678999999999</v>
      </c>
      <c r="Z73" s="97">
        <v>0.71725534000000002</v>
      </c>
      <c r="AA73" s="60">
        <v>0.77943642000000002</v>
      </c>
      <c r="AB73" s="60">
        <v>0.56708329999999996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-10.233308000000001</v>
      </c>
      <c r="AN73" s="96">
        <f t="shared" si="5"/>
        <v>-9.2289219999999972</v>
      </c>
      <c r="AO73" s="96">
        <f t="shared" si="6"/>
        <v>-0.24112318999999993</v>
      </c>
      <c r="AP73" s="96">
        <f t="shared" si="7"/>
        <v>-0.17399502999999994</v>
      </c>
      <c r="AQ73" s="121">
        <f t="shared" si="8"/>
        <v>0.50263972999999995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16.415786000000001</v>
      </c>
      <c r="Y74" s="190">
        <v>22.983801</v>
      </c>
      <c r="Z74" s="190">
        <v>0.71368229000000005</v>
      </c>
      <c r="AA74" s="62">
        <v>0.77392351000000004</v>
      </c>
      <c r="AB74" s="62">
        <v>0.57000910000000005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-14.426366999999999</v>
      </c>
      <c r="AN74" s="122">
        <f t="shared" si="5"/>
        <v>-12.426760000000002</v>
      </c>
      <c r="AO74" s="122">
        <f t="shared" si="6"/>
        <v>-0.26133304999999996</v>
      </c>
      <c r="AP74" s="122">
        <f t="shared" si="7"/>
        <v>-0.19693931999999992</v>
      </c>
      <c r="AQ74" s="88">
        <f t="shared" si="8"/>
        <v>0.52936867500000007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16.350951999999999</v>
      </c>
      <c r="Y75" s="190">
        <v>22.758253</v>
      </c>
      <c r="Z75" s="190">
        <v>0.71324905000000005</v>
      </c>
      <c r="AA75" s="62">
        <v>0.77436516</v>
      </c>
      <c r="AB75" s="62">
        <v>0.57162577000000003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-18.903531000000001</v>
      </c>
      <c r="AN75" s="122">
        <f t="shared" si="5"/>
        <v>-16.607068999999999</v>
      </c>
      <c r="AO75" s="122">
        <f t="shared" si="6"/>
        <v>-0.27450462999999992</v>
      </c>
      <c r="AP75" s="122">
        <f t="shared" si="7"/>
        <v>-0.21527931</v>
      </c>
      <c r="AQ75" s="88">
        <f t="shared" si="8"/>
        <v>0.54794697200000009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16.236965000000001</v>
      </c>
      <c r="Y76" s="190">
        <v>22.599786999999999</v>
      </c>
      <c r="Z76" s="190">
        <v>0.71235731999999996</v>
      </c>
      <c r="AA76" s="62">
        <v>0.77291467000000003</v>
      </c>
      <c r="AB76" s="62">
        <v>0.57045126000000002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-21.390322999999999</v>
      </c>
      <c r="AN76" s="122">
        <f t="shared" si="5"/>
        <v>-19.107793999999998</v>
      </c>
      <c r="AO76" s="122">
        <f t="shared" si="6"/>
        <v>-0.27964792999999999</v>
      </c>
      <c r="AP76" s="122">
        <f t="shared" si="7"/>
        <v>-0.22216649999999993</v>
      </c>
      <c r="AQ76" s="88">
        <f t="shared" si="8"/>
        <v>0.55280063200000007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17.150852</v>
      </c>
      <c r="Y78" s="97">
        <v>23.273904000000002</v>
      </c>
      <c r="Z78" s="97">
        <v>0.71310061000000002</v>
      </c>
      <c r="AA78" s="60">
        <v>0.78029431000000005</v>
      </c>
      <c r="AB78" s="60">
        <v>0.56723636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-10.254853000000001</v>
      </c>
      <c r="AN78" s="96">
        <f t="shared" si="5"/>
        <v>-9.1839379999999977</v>
      </c>
      <c r="AO78" s="96">
        <f t="shared" si="6"/>
        <v>-0.24328022999999999</v>
      </c>
      <c r="AP78" s="96">
        <f t="shared" si="7"/>
        <v>-0.17369583</v>
      </c>
      <c r="AQ78" s="121">
        <f t="shared" si="8"/>
        <v>0.49891885000000002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16.448537999999999</v>
      </c>
      <c r="Y79" s="190">
        <v>22.958082999999998</v>
      </c>
      <c r="Z79" s="190">
        <v>0.70964974000000003</v>
      </c>
      <c r="AA79" s="62">
        <v>0.77463006000000001</v>
      </c>
      <c r="AB79" s="62">
        <v>0.56984250000000003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-14.324705999999999</v>
      </c>
      <c r="AN79" s="122">
        <f t="shared" si="5"/>
        <v>-12.319783000000005</v>
      </c>
      <c r="AO79" s="122">
        <f t="shared" si="6"/>
        <v>-0.26401523999999998</v>
      </c>
      <c r="AP79" s="122">
        <f t="shared" si="7"/>
        <v>-0.19713431999999997</v>
      </c>
      <c r="AQ79" s="88">
        <f t="shared" si="8"/>
        <v>0.52574841000000005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16.385608000000001</v>
      </c>
      <c r="Y80" s="190">
        <v>22.739614</v>
      </c>
      <c r="Z80" s="190">
        <v>0.70877031999999995</v>
      </c>
      <c r="AA80" s="62">
        <v>0.77473325000000004</v>
      </c>
      <c r="AB80" s="62">
        <v>0.57128310000000004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-18.694602999999997</v>
      </c>
      <c r="AN80" s="122">
        <f t="shared" si="5"/>
        <v>-16.429674000000002</v>
      </c>
      <c r="AO80" s="122">
        <f t="shared" si="6"/>
        <v>-0.27792450000000002</v>
      </c>
      <c r="AP80" s="122">
        <f t="shared" si="7"/>
        <v>-0.21495973000000002</v>
      </c>
      <c r="AQ80" s="88">
        <f t="shared" si="8"/>
        <v>0.54507973600000004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16.252243</v>
      </c>
      <c r="Y81" s="190">
        <v>22.601884999999999</v>
      </c>
      <c r="Z81" s="190">
        <v>0.70746330000000002</v>
      </c>
      <c r="AA81" s="62">
        <v>0.77322438000000004</v>
      </c>
      <c r="AB81" s="62">
        <v>0.5702661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-21.108150999999999</v>
      </c>
      <c r="AN81" s="122">
        <f t="shared" si="5"/>
        <v>-18.799583999999999</v>
      </c>
      <c r="AO81" s="122">
        <f t="shared" si="6"/>
        <v>-0.28362957</v>
      </c>
      <c r="AP81" s="122">
        <f t="shared" si="7"/>
        <v>-0.22165338999999995</v>
      </c>
      <c r="AQ81" s="88">
        <f t="shared" si="8"/>
        <v>0.55031609800000003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17.601027999999999</v>
      </c>
      <c r="Y83" s="97">
        <v>23.570153000000001</v>
      </c>
      <c r="Z83" s="97">
        <v>0.71910808999999998</v>
      </c>
      <c r="AA83" s="60">
        <v>0.78881036999999998</v>
      </c>
      <c r="AB83" s="60">
        <v>0.54542270000000004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-9.3620470000000005</v>
      </c>
      <c r="AN83" s="96">
        <f t="shared" si="5"/>
        <v>-8.5500360000000022</v>
      </c>
      <c r="AO83" s="96">
        <f t="shared" si="6"/>
        <v>-0.23551370999999999</v>
      </c>
      <c r="AP83" s="96">
        <f t="shared" si="7"/>
        <v>-0.16602283000000007</v>
      </c>
      <c r="AQ83" s="121">
        <f t="shared" si="8"/>
        <v>0.47044816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16.764303999999999</v>
      </c>
      <c r="Y84" s="190">
        <v>23.164113</v>
      </c>
      <c r="Z84" s="190">
        <v>0.71593315999999996</v>
      </c>
      <c r="AA84" s="62">
        <v>0.78382211000000002</v>
      </c>
      <c r="AB84" s="62">
        <v>0.55085689999999998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-13.827299</v>
      </c>
      <c r="AN84" s="122">
        <f t="shared" si="5"/>
        <v>-12.043159000000003</v>
      </c>
      <c r="AO84" s="122">
        <f t="shared" si="6"/>
        <v>-0.25948612000000004</v>
      </c>
      <c r="AP84" s="122">
        <f t="shared" si="7"/>
        <v>-0.19007710999999994</v>
      </c>
      <c r="AQ84" s="88">
        <f t="shared" si="8"/>
        <v>0.50718469999999993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16.770254000000001</v>
      </c>
      <c r="Y85" s="190">
        <v>23.010183000000001</v>
      </c>
      <c r="Z85" s="190">
        <v>0.71489329000000001</v>
      </c>
      <c r="AA85" s="62">
        <v>0.78596166999999995</v>
      </c>
      <c r="AB85" s="62">
        <v>0.55237409999999998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-18.062404000000001</v>
      </c>
      <c r="AN85" s="122">
        <f t="shared" si="5"/>
        <v>-15.972264999999997</v>
      </c>
      <c r="AO85" s="122">
        <f t="shared" si="6"/>
        <v>-0.2731536</v>
      </c>
      <c r="AP85" s="122">
        <f t="shared" si="7"/>
        <v>-0.2046112000000001</v>
      </c>
      <c r="AQ85" s="88">
        <f t="shared" si="8"/>
        <v>0.52795056600000001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16.715451999999999</v>
      </c>
      <c r="Y86" s="190">
        <v>22.805783999999999</v>
      </c>
      <c r="Z86" s="190">
        <v>0.71361657999999994</v>
      </c>
      <c r="AA86" s="62">
        <v>0.78557418000000001</v>
      </c>
      <c r="AB86" s="62">
        <v>0.55159736000000004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-20.853245999999999</v>
      </c>
      <c r="AN86" s="122">
        <f t="shared" si="5"/>
        <v>-18.854845999999998</v>
      </c>
      <c r="AO86" s="122">
        <f t="shared" si="6"/>
        <v>-0.27888951000000006</v>
      </c>
      <c r="AP86" s="122">
        <f t="shared" si="7"/>
        <v>-0.20986729000000004</v>
      </c>
      <c r="AQ86" s="88">
        <f t="shared" si="8"/>
        <v>0.53391681400000002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17.469345000000001</v>
      </c>
      <c r="Y88" s="97">
        <v>23.370471999999999</v>
      </c>
      <c r="Z88" s="97">
        <v>0.71719652</v>
      </c>
      <c r="AA88" s="60">
        <v>0.78500990000000004</v>
      </c>
      <c r="AB88" s="60">
        <v>0.5522108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-9.6452050000000007</v>
      </c>
      <c r="AN88" s="96">
        <f t="shared" si="5"/>
        <v>-8.9009479999999996</v>
      </c>
      <c r="AO88" s="96">
        <f t="shared" si="6"/>
        <v>-0.23899331000000001</v>
      </c>
      <c r="AP88" s="96">
        <f t="shared" si="7"/>
        <v>-0.16907556999999995</v>
      </c>
      <c r="AQ88" s="121">
        <f t="shared" si="8"/>
        <v>0.48160957500000001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16.664259000000001</v>
      </c>
      <c r="Y89" s="190">
        <v>23.020890000000001</v>
      </c>
      <c r="Z89" s="190">
        <v>0.71366695999999996</v>
      </c>
      <c r="AA89" s="62">
        <v>0.78018195999999995</v>
      </c>
      <c r="AB89" s="62">
        <v>0.55597160000000001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-14.006874999999997</v>
      </c>
      <c r="AN89" s="122">
        <f t="shared" si="5"/>
        <v>-12.261184</v>
      </c>
      <c r="AO89" s="122">
        <f t="shared" si="6"/>
        <v>-0.26172287000000005</v>
      </c>
      <c r="AP89" s="122">
        <f t="shared" si="7"/>
        <v>-0.19216817000000008</v>
      </c>
      <c r="AQ89" s="88">
        <f t="shared" si="8"/>
        <v>0.513779078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16.657333000000001</v>
      </c>
      <c r="Y90" s="190">
        <v>22.855405999999999</v>
      </c>
      <c r="Z90" s="190">
        <v>0.71272950999999996</v>
      </c>
      <c r="AA90" s="62">
        <v>0.78190561999999997</v>
      </c>
      <c r="AB90" s="62">
        <v>0.5575445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-18.339979999999997</v>
      </c>
      <c r="AN90" s="122">
        <f t="shared" si="5"/>
        <v>-16.295004000000002</v>
      </c>
      <c r="AO90" s="122">
        <f t="shared" si="6"/>
        <v>-0.27537331000000009</v>
      </c>
      <c r="AP90" s="122">
        <f t="shared" si="7"/>
        <v>-0.20847067000000008</v>
      </c>
      <c r="AQ90" s="88">
        <f t="shared" si="8"/>
        <v>0.53345362299999999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16.582422000000001</v>
      </c>
      <c r="Y91" s="190">
        <v>22.663985</v>
      </c>
      <c r="Z91" s="190">
        <v>0.71141124</v>
      </c>
      <c r="AA91" s="62">
        <v>0.78119629999999995</v>
      </c>
      <c r="AB91" s="62">
        <v>0.55683000000000005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-21.078589000000001</v>
      </c>
      <c r="AN91" s="122">
        <f t="shared" si="5"/>
        <v>-19.099523999999999</v>
      </c>
      <c r="AO91" s="122">
        <f t="shared" si="6"/>
        <v>-0.28105261999999998</v>
      </c>
      <c r="AP91" s="122">
        <f t="shared" si="7"/>
        <v>-0.21413132000000001</v>
      </c>
      <c r="AQ91" s="88">
        <f t="shared" si="8"/>
        <v>0.53904499800000005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17.30864</v>
      </c>
      <c r="Y93" s="97">
        <v>23.368884000000001</v>
      </c>
      <c r="Z93" s="97">
        <v>0.71372482999999998</v>
      </c>
      <c r="AA93" s="60">
        <v>0.78145220000000004</v>
      </c>
      <c r="AB93" s="60">
        <v>0.55836759999999996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-9.8936579999999985</v>
      </c>
      <c r="AN93" s="96">
        <f t="shared" si="5"/>
        <v>-9.0179749999999999</v>
      </c>
      <c r="AO93" s="96">
        <f t="shared" si="6"/>
        <v>-0.24362949</v>
      </c>
      <c r="AP93" s="96">
        <f t="shared" si="7"/>
        <v>-0.17239668999999991</v>
      </c>
      <c r="AQ93" s="121">
        <f t="shared" si="8"/>
        <v>0.49182475999999997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16.551881000000002</v>
      </c>
      <c r="Y94" s="190">
        <v>23.047485000000002</v>
      </c>
      <c r="Z94" s="190">
        <v>0.71019483999999999</v>
      </c>
      <c r="AA94" s="62">
        <v>0.77636733999999996</v>
      </c>
      <c r="AB94" s="62">
        <v>0.56199060000000001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-14.249561999999997</v>
      </c>
      <c r="AN94" s="122">
        <f t="shared" si="5"/>
        <v>-12.343035999999998</v>
      </c>
      <c r="AO94" s="122">
        <f t="shared" si="6"/>
        <v>-0.26547131999999996</v>
      </c>
      <c r="AP94" s="122">
        <f t="shared" si="7"/>
        <v>-0.19418681000000004</v>
      </c>
      <c r="AQ94" s="88">
        <f t="shared" si="8"/>
        <v>0.52248650799999996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16.536128999999999</v>
      </c>
      <c r="Y95" s="190">
        <v>22.887664000000001</v>
      </c>
      <c r="Z95" s="190">
        <v>0.70912206</v>
      </c>
      <c r="AA95" s="62">
        <v>0.77736452</v>
      </c>
      <c r="AB95" s="62">
        <v>0.56393720000000003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-18.659915999999999</v>
      </c>
      <c r="AN95" s="122">
        <f t="shared" si="5"/>
        <v>-16.435913999999997</v>
      </c>
      <c r="AO95" s="122">
        <f t="shared" si="6"/>
        <v>-0.27907850999999995</v>
      </c>
      <c r="AP95" s="122">
        <f t="shared" si="7"/>
        <v>-0.21252132000000001</v>
      </c>
      <c r="AQ95" s="88">
        <f t="shared" si="8"/>
        <v>0.54117528500000001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16.448882000000001</v>
      </c>
      <c r="Y96" s="190">
        <v>22.709522</v>
      </c>
      <c r="Z96" s="190">
        <v>0.70783454999999995</v>
      </c>
      <c r="AA96" s="62">
        <v>0.77636249000000002</v>
      </c>
      <c r="AB96" s="62">
        <v>0.56296849999999998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-21.306234</v>
      </c>
      <c r="AN96" s="122">
        <f t="shared" si="5"/>
        <v>-19.125819</v>
      </c>
      <c r="AO96" s="122">
        <f t="shared" si="6"/>
        <v>-0.28460359000000002</v>
      </c>
      <c r="AP96" s="122">
        <f t="shared" si="7"/>
        <v>-0.21879214000000002</v>
      </c>
      <c r="AQ96" s="88">
        <f t="shared" si="8"/>
        <v>0.54606602999999998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17.421343</v>
      </c>
      <c r="Y98" s="97">
        <v>23.40127</v>
      </c>
      <c r="Z98" s="97">
        <v>0.71808888000000004</v>
      </c>
      <c r="AA98" s="60">
        <v>0.78512461</v>
      </c>
      <c r="AB98" s="60">
        <v>0.56509330000000002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-9.9068509999999996</v>
      </c>
      <c r="AN98" s="96">
        <f t="shared" si="15"/>
        <v>-9.0810830000000031</v>
      </c>
      <c r="AO98" s="96">
        <f t="shared" si="16"/>
        <v>-0.23977613999999992</v>
      </c>
      <c r="AP98" s="96">
        <f t="shared" si="17"/>
        <v>-0.16916500999999995</v>
      </c>
      <c r="AQ98" s="121">
        <f t="shared" si="18"/>
        <v>0.49901966600000003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16.639495</v>
      </c>
      <c r="Y99" s="190">
        <v>23.096066</v>
      </c>
      <c r="Z99" s="190">
        <v>0.71472226000000005</v>
      </c>
      <c r="AA99" s="62">
        <v>0.77996776000000001</v>
      </c>
      <c r="AB99" s="62">
        <v>0.56826836000000003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-14.172432000000001</v>
      </c>
      <c r="AN99" s="122">
        <f t="shared" si="15"/>
        <v>-12.299703999999998</v>
      </c>
      <c r="AO99" s="122">
        <f t="shared" si="16"/>
        <v>-0.26098493999999994</v>
      </c>
      <c r="AP99" s="122">
        <f t="shared" si="17"/>
        <v>-0.19144808999999996</v>
      </c>
      <c r="AQ99" s="88">
        <f t="shared" si="18"/>
        <v>0.52811255000000001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16.596487</v>
      </c>
      <c r="Y100" s="190">
        <v>22.906777000000002</v>
      </c>
      <c r="Z100" s="190">
        <v>0.71372358000000002</v>
      </c>
      <c r="AA100" s="62">
        <v>0.78056362000000001</v>
      </c>
      <c r="AB100" s="62">
        <v>0.57038825999999998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-18.540645000000001</v>
      </c>
      <c r="AN100" s="122">
        <f t="shared" si="15"/>
        <v>-16.368874000000002</v>
      </c>
      <c r="AO100" s="122">
        <f t="shared" si="16"/>
        <v>-0.27441735</v>
      </c>
      <c r="AP100" s="122">
        <f t="shared" si="17"/>
        <v>-0.20921804999999993</v>
      </c>
      <c r="AQ100" s="88">
        <f t="shared" si="18"/>
        <v>0.54665240900000001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16.470804999999999</v>
      </c>
      <c r="Y101" s="190">
        <v>22.732506000000001</v>
      </c>
      <c r="Z101" s="190">
        <v>0.71238995999999999</v>
      </c>
      <c r="AA101" s="62">
        <v>0.77912250000000005</v>
      </c>
      <c r="AB101" s="62">
        <v>0.56975067000000001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-21.283357000000002</v>
      </c>
      <c r="AN101" s="122">
        <f t="shared" si="15"/>
        <v>-19.095351999999998</v>
      </c>
      <c r="AO101" s="122">
        <f t="shared" si="16"/>
        <v>-0.28005495999999996</v>
      </c>
      <c r="AP101" s="122">
        <f t="shared" si="17"/>
        <v>-0.21610595999999993</v>
      </c>
      <c r="AQ101" s="88">
        <f t="shared" si="18"/>
        <v>0.55215025100000004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17.367242000000001</v>
      </c>
      <c r="Y103" s="97">
        <v>23.30884</v>
      </c>
      <c r="Z103" s="97">
        <v>0.71351414999999996</v>
      </c>
      <c r="AA103" s="60">
        <v>0.78682319000000001</v>
      </c>
      <c r="AB103" s="60">
        <v>0.56081903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-9.9110829999999979</v>
      </c>
      <c r="AN103" s="96">
        <f t="shared" si="15"/>
        <v>-8.9435380000000002</v>
      </c>
      <c r="AO103" s="96">
        <f t="shared" si="16"/>
        <v>-0.24258351</v>
      </c>
      <c r="AP103" s="96">
        <f t="shared" si="17"/>
        <v>-0.16791455</v>
      </c>
      <c r="AQ103" s="121">
        <f t="shared" si="18"/>
        <v>0.492478945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16.621689</v>
      </c>
      <c r="Y104" s="190">
        <v>23.006173</v>
      </c>
      <c r="Z104" s="190">
        <v>0.71007799999999999</v>
      </c>
      <c r="AA104" s="62">
        <v>0.78185249000000001</v>
      </c>
      <c r="AB104" s="62">
        <v>0.56404286999999997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-13.991831999999999</v>
      </c>
      <c r="AN104" s="122">
        <f t="shared" si="15"/>
        <v>-12.088818999999997</v>
      </c>
      <c r="AO104" s="122">
        <f t="shared" si="16"/>
        <v>-0.26468579000000003</v>
      </c>
      <c r="AP104" s="122">
        <f t="shared" si="17"/>
        <v>-0.1906603</v>
      </c>
      <c r="AQ104" s="88">
        <f t="shared" si="18"/>
        <v>0.52237146400000001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16.576288999999999</v>
      </c>
      <c r="Y105" s="190">
        <v>22.838412999999999</v>
      </c>
      <c r="Z105" s="190">
        <v>0.70858202999999997</v>
      </c>
      <c r="AA105" s="62">
        <v>0.78236439999999996</v>
      </c>
      <c r="AB105" s="62">
        <v>0.56649625000000003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-18.223085999999999</v>
      </c>
      <c r="AN105" s="122">
        <f t="shared" si="15"/>
        <v>-16.075049000000003</v>
      </c>
      <c r="AO105" s="122">
        <f t="shared" si="16"/>
        <v>-0.27874834999999998</v>
      </c>
      <c r="AP105" s="122">
        <f t="shared" si="17"/>
        <v>-0.20720928000000005</v>
      </c>
      <c r="AQ105" s="88">
        <f t="shared" si="18"/>
        <v>0.54168392399999998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16.432186999999999</v>
      </c>
      <c r="Y106" s="190">
        <v>22.684429000000002</v>
      </c>
      <c r="Z106" s="190">
        <v>0.70695768000000003</v>
      </c>
      <c r="AA106" s="62">
        <v>0.78097724999999996</v>
      </c>
      <c r="AB106" s="62">
        <v>0.56610910000000003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-21.048013000000005</v>
      </c>
      <c r="AN106" s="122">
        <f t="shared" si="15"/>
        <v>-18.829035999999995</v>
      </c>
      <c r="AO106" s="122">
        <f t="shared" si="16"/>
        <v>-0.28494465999999996</v>
      </c>
      <c r="AP106" s="122">
        <f t="shared" si="17"/>
        <v>-0.21398539999999999</v>
      </c>
      <c r="AQ106" s="88">
        <f t="shared" si="18"/>
        <v>0.54772443700000006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16.934730999999999</v>
      </c>
      <c r="Y641" s="136">
        <f t="shared" si="60"/>
        <v>23.093921000000002</v>
      </c>
      <c r="Z641" s="136">
        <f t="shared" si="60"/>
        <v>0.71310061000000002</v>
      </c>
      <c r="AA641" s="136">
        <f t="shared" si="60"/>
        <v>0.77341831999999999</v>
      </c>
      <c r="AB641" s="136">
        <f t="shared" si="60"/>
        <v>0.54542270000000004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16.288734999999999</v>
      </c>
      <c r="Y642" s="18">
        <f t="shared" si="60"/>
        <v>22.737442000000001</v>
      </c>
      <c r="Z642" s="18">
        <f t="shared" si="60"/>
        <v>0.70964974000000003</v>
      </c>
      <c r="AA642" s="18">
        <f t="shared" si="60"/>
        <v>0.76739009000000002</v>
      </c>
      <c r="AB642" s="18">
        <f t="shared" si="60"/>
        <v>0.55085689999999998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16.155180000000001</v>
      </c>
      <c r="Y643" s="18">
        <f t="shared" si="60"/>
        <v>22.459318</v>
      </c>
      <c r="Z643" s="18">
        <f t="shared" si="60"/>
        <v>0.70858202999999997</v>
      </c>
      <c r="AA643" s="18">
        <f t="shared" si="60"/>
        <v>0.76725241</v>
      </c>
      <c r="AB643" s="18">
        <f t="shared" si="60"/>
        <v>0.55237409999999998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16.024090999999999</v>
      </c>
      <c r="Y644" s="18">
        <f t="shared" si="60"/>
        <v>22.295105</v>
      </c>
      <c r="Z644" s="18">
        <f t="shared" si="60"/>
        <v>0.70695768000000003</v>
      </c>
      <c r="AA644" s="18">
        <f t="shared" si="60"/>
        <v>0.76574713000000005</v>
      </c>
      <c r="AB644" s="18">
        <f t="shared" si="60"/>
        <v>0.55159736000000004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17.601027999999999</v>
      </c>
      <c r="Y646" s="136">
        <f t="shared" si="62"/>
        <v>23.570153000000001</v>
      </c>
      <c r="Z646" s="136">
        <f t="shared" si="62"/>
        <v>0.72617288000000002</v>
      </c>
      <c r="AA646" s="136">
        <f t="shared" si="62"/>
        <v>0.78881036999999998</v>
      </c>
      <c r="AB646" s="136">
        <f t="shared" si="62"/>
        <v>0.57298070000000001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16.764303999999999</v>
      </c>
      <c r="Y647" s="18">
        <f t="shared" si="62"/>
        <v>23.164113</v>
      </c>
      <c r="Z647" s="18">
        <f t="shared" si="62"/>
        <v>0.72323422999999998</v>
      </c>
      <c r="AA647" s="18">
        <f t="shared" si="62"/>
        <v>0.78382211000000002</v>
      </c>
      <c r="AB647" s="18">
        <f t="shared" si="62"/>
        <v>0.57709100000000002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16.770254000000001</v>
      </c>
      <c r="Y648" s="18">
        <f t="shared" si="62"/>
        <v>23.010183000000001</v>
      </c>
      <c r="Z648" s="18">
        <f t="shared" si="62"/>
        <v>0.72227306000000002</v>
      </c>
      <c r="AA648" s="18">
        <f t="shared" si="62"/>
        <v>0.78596166999999995</v>
      </c>
      <c r="AB648" s="18">
        <f t="shared" si="62"/>
        <v>0.57805954999999998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16.715451999999999</v>
      </c>
      <c r="Y649" s="18">
        <f t="shared" si="62"/>
        <v>22.805783999999999</v>
      </c>
      <c r="Z649" s="18">
        <f t="shared" si="62"/>
        <v>0.72097257000000003</v>
      </c>
      <c r="AA649" s="18">
        <f t="shared" si="62"/>
        <v>0.78557418000000001</v>
      </c>
      <c r="AB649" s="18">
        <f t="shared" si="62"/>
        <v>0.57775986000000001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0.66629700000000014</v>
      </c>
      <c r="Y651" s="136">
        <f t="shared" si="64"/>
        <v>0.47623199999999954</v>
      </c>
      <c r="Z651" s="136">
        <f t="shared" si="64"/>
        <v>1.3072269999999997E-2</v>
      </c>
      <c r="AA651" s="136">
        <f t="shared" si="64"/>
        <v>1.539204999999999E-2</v>
      </c>
      <c r="AB651" s="136">
        <f t="shared" si="64"/>
        <v>2.7557999999999971E-2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0.47556900000000013</v>
      </c>
      <c r="Y652" s="18">
        <f t="shared" si="64"/>
        <v>0.42667099999999891</v>
      </c>
      <c r="Z652" s="18">
        <f t="shared" si="64"/>
        <v>1.3584489999999949E-2</v>
      </c>
      <c r="AA652" s="18">
        <f t="shared" si="64"/>
        <v>1.6432019999999992E-2</v>
      </c>
      <c r="AB652" s="18">
        <f t="shared" si="64"/>
        <v>2.6234100000000038E-2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0.6150739999999999</v>
      </c>
      <c r="Y653" s="18">
        <f t="shared" si="64"/>
        <v>0.55086500000000171</v>
      </c>
      <c r="Z653" s="18">
        <f t="shared" si="64"/>
        <v>1.3691030000000048E-2</v>
      </c>
      <c r="AA653" s="18">
        <f t="shared" si="64"/>
        <v>1.870925999999995E-2</v>
      </c>
      <c r="AB653" s="18">
        <f t="shared" si="64"/>
        <v>2.5685449999999999E-2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0.69136100000000056</v>
      </c>
      <c r="Y654" s="18">
        <f t="shared" si="64"/>
        <v>0.51067899999999966</v>
      </c>
      <c r="Z654" s="18">
        <f t="shared" si="64"/>
        <v>1.4014890000000002E-2</v>
      </c>
      <c r="AA654" s="18">
        <f t="shared" si="64"/>
        <v>1.9827049999999957E-2</v>
      </c>
      <c r="AB654" s="18">
        <f t="shared" si="64"/>
        <v>2.6162499999999977E-2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27671.360000000001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30.61671461904762</v>
      </c>
      <c r="Y5" s="30">
        <f t="shared" si="2"/>
        <v>34.516313095238104</v>
      </c>
      <c r="Z5" s="30">
        <f t="shared" si="2"/>
        <v>0.96686431476190482</v>
      </c>
      <c r="AA5" s="91">
        <f t="shared" si="2"/>
        <v>0.97376541428571439</v>
      </c>
      <c r="AB5" s="91">
        <f t="shared" si="2"/>
        <v>5.6413960476190482E-2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-0.12810433670149024</v>
      </c>
      <c r="AN5" s="245">
        <f>bdrate($E5:$E8,G5:G8,$W5:$W8,Y5:Y8)</f>
        <v>-9.6823405233044335E-2</v>
      </c>
      <c r="AO5" s="245">
        <f>bdrate($E5:$E8,H5:H8,$W5:$W8,Z5:Z8)</f>
        <v>-1.7791220306456745E-3</v>
      </c>
      <c r="AP5" s="245">
        <f>bdrate($E5:$E8,I5:I8,$W5:$W8,AA5:AA8)</f>
        <v>-1.702098189696577E-2</v>
      </c>
      <c r="AQ5" s="246">
        <f>bdrateInverted($E5:$E8,J5:J8,$W5:$W8,AB5:AB8)</f>
        <v>-0.13459752588617724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40102.560000000005</v>
      </c>
      <c r="X6" s="91">
        <f t="shared" si="2"/>
        <v>33.943176571428566</v>
      </c>
      <c r="Y6" s="91">
        <f t="shared" si="2"/>
        <v>37.318816904761903</v>
      </c>
      <c r="Z6" s="91">
        <f t="shared" si="2"/>
        <v>0.98011491380952365</v>
      </c>
      <c r="AA6" s="91">
        <f t="shared" si="2"/>
        <v>0.98474425095238094</v>
      </c>
      <c r="AB6" s="91">
        <f t="shared" si="2"/>
        <v>3.7110384142857139E-2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59783.936000000002</v>
      </c>
      <c r="X7" s="91">
        <f t="shared" si="2"/>
        <v>38.126922333333333</v>
      </c>
      <c r="Y7" s="91">
        <f t="shared" si="2"/>
        <v>41.427697000000002</v>
      </c>
      <c r="Z7" s="91">
        <f t="shared" si="2"/>
        <v>0.98939261047619043</v>
      </c>
      <c r="AA7" s="91">
        <f t="shared" si="2"/>
        <v>0.99275354952380923</v>
      </c>
      <c r="AB7" s="91">
        <f t="shared" si="2"/>
        <v>2.064096342857143E-2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87085.135999999984</v>
      </c>
      <c r="X8" s="91">
        <f t="shared" si="2"/>
        <v>42.552329285714286</v>
      </c>
      <c r="Y8" s="91">
        <f t="shared" si="2"/>
        <v>45.596036523809524</v>
      </c>
      <c r="Z8" s="91">
        <f t="shared" si="2"/>
        <v>0.99409626523809513</v>
      </c>
      <c r="AA8" s="91">
        <f t="shared" si="2"/>
        <v>0.99653951380952388</v>
      </c>
      <c r="AB8" s="91">
        <f t="shared" si="2"/>
        <v>8.7300931190476185E-3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5797.9120000000003</v>
      </c>
      <c r="Y16" s="167">
        <v>1150.808</v>
      </c>
      <c r="Z16" s="167">
        <v>431.91199999999998</v>
      </c>
      <c r="AA16" s="167">
        <v>217.31200000000001</v>
      </c>
      <c r="AB16" s="167">
        <v>8571.2720000000008</v>
      </c>
      <c r="AC16" s="60">
        <v>5023.9440000000004</v>
      </c>
      <c r="AD16" s="60">
        <v>1855.7280000000001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7649.8320000000003</v>
      </c>
      <c r="Y17" s="168">
        <v>3839.9520000000002</v>
      </c>
      <c r="Z17" s="168">
        <v>2033.9839999999999</v>
      </c>
      <c r="AA17" s="168">
        <v>1539.808</v>
      </c>
      <c r="AB17" s="168">
        <v>11093.744000000001</v>
      </c>
      <c r="AC17" s="62">
        <v>6863.5039999999999</v>
      </c>
      <c r="AD17" s="62">
        <v>2459.2640000000001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9568.3919999999998</v>
      </c>
      <c r="Y18" s="168">
        <v>8184.9040000000005</v>
      </c>
      <c r="Z18" s="168">
        <v>6025.9440000000004</v>
      </c>
      <c r="AA18" s="168">
        <v>5823.848</v>
      </c>
      <c r="AB18" s="168">
        <v>13694.36</v>
      </c>
      <c r="AC18" s="62">
        <v>8782.52</v>
      </c>
      <c r="AD18" s="62">
        <v>3081.4960000000001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11404.944</v>
      </c>
      <c r="Y19" s="168">
        <v>13301.191999999999</v>
      </c>
      <c r="Z19" s="168">
        <v>12661.992</v>
      </c>
      <c r="AA19" s="168">
        <v>14158.12</v>
      </c>
      <c r="AB19" s="168">
        <v>16403.815999999999</v>
      </c>
      <c r="AC19" s="62">
        <v>10804.688</v>
      </c>
      <c r="AD19" s="62">
        <v>3727.9119999999998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27671.360000000001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40102.560000000005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59783.936000000002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87085.135999999984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27.469104999999999</v>
      </c>
      <c r="Y33" s="97">
        <v>31.126788000000001</v>
      </c>
      <c r="Z33" s="97">
        <v>0.95887721000000004</v>
      </c>
      <c r="AA33" s="60">
        <v>0.96553473000000001</v>
      </c>
      <c r="AB33" s="60">
        <v>6.6415000000000002E-2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0.56224899999999778</v>
      </c>
      <c r="AN33" s="96">
        <f t="shared" ref="AN33:AN96" si="5">IF(OR(Y33="",G33=""),"",Y33-G33)</f>
        <v>0.75890400000000113</v>
      </c>
      <c r="AO33" s="96">
        <f t="shared" ref="AO33:AO96" si="6">IF(OR(Z33="",H33=""),"",Z33-H33)</f>
        <v>1.6654999999998754E-4</v>
      </c>
      <c r="AP33" s="96">
        <f t="shared" ref="AP33:AP96" si="7">IF(OR(AA33="",I33=""),"",AA33-I33)</f>
        <v>9.7875000000002821E-4</v>
      </c>
      <c r="AQ33" s="121">
        <f t="shared" ref="AQ33:AQ96" si="8">IF(OR(AB33="",J33=""),"",AB33-J33)</f>
        <v>-1.6311759999999995E-2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31.483523000000002</v>
      </c>
      <c r="Y34" s="190">
        <v>34.750317000000003</v>
      </c>
      <c r="Z34" s="190">
        <v>0.97759141000000005</v>
      </c>
      <c r="AA34" s="62">
        <v>0.98123150999999997</v>
      </c>
      <c r="AB34" s="62">
        <v>4.4245479999999997E-2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0.69309200000000004</v>
      </c>
      <c r="AN34" s="122">
        <f t="shared" si="5"/>
        <v>0.55186600000000396</v>
      </c>
      <c r="AO34" s="122">
        <f t="shared" si="6"/>
        <v>-1.7003999999998243E-4</v>
      </c>
      <c r="AP34" s="122">
        <f t="shared" si="7"/>
        <v>3.0774999999994002E-4</v>
      </c>
      <c r="AQ34" s="88">
        <f t="shared" si="8"/>
        <v>-1.2363180000000001E-2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36.323524999999997</v>
      </c>
      <c r="Y35" s="190">
        <v>39.731538</v>
      </c>
      <c r="Z35" s="190">
        <v>0.98895591000000005</v>
      </c>
      <c r="AA35" s="62">
        <v>0.99191815999999999</v>
      </c>
      <c r="AB35" s="62">
        <v>2.2221390000000001E-2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2.5250699999999995</v>
      </c>
      <c r="AN35" s="122">
        <f t="shared" si="5"/>
        <v>1.8812769999999972</v>
      </c>
      <c r="AO35" s="122">
        <f t="shared" si="6"/>
        <v>7.4510000000005405E-4</v>
      </c>
      <c r="AP35" s="122">
        <f t="shared" si="7"/>
        <v>7.5999000000004369E-4</v>
      </c>
      <c r="AQ35" s="88">
        <f t="shared" si="8"/>
        <v>-1.0887448000000001E-2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41.610036000000001</v>
      </c>
      <c r="Y36" s="190">
        <v>44.663980000000002</v>
      </c>
      <c r="Z36" s="190">
        <v>0.99417845000000005</v>
      </c>
      <c r="AA36" s="62">
        <v>0.99642997</v>
      </c>
      <c r="AB36" s="62">
        <v>8.6807524999999996E-3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3.850752</v>
      </c>
      <c r="AN36" s="122">
        <f t="shared" si="5"/>
        <v>2.6024050000000045</v>
      </c>
      <c r="AO36" s="122">
        <f t="shared" si="6"/>
        <v>4.4161000000009221E-4</v>
      </c>
      <c r="AP36" s="122">
        <f t="shared" si="7"/>
        <v>6.0605000000002462E-4</v>
      </c>
      <c r="AQ36" s="88">
        <f t="shared" si="8"/>
        <v>-7.4862735000000014E-3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28.195671999999998</v>
      </c>
      <c r="Y38" s="97">
        <v>32.217500000000001</v>
      </c>
      <c r="Z38" s="97">
        <v>0.96131475</v>
      </c>
      <c r="AA38" s="60">
        <v>0.96666470000000004</v>
      </c>
      <c r="AB38" s="60">
        <v>6.2524479999999993E-2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0.99524999999999864</v>
      </c>
      <c r="AN38" s="96">
        <f t="shared" si="5"/>
        <v>1.1297570000000015</v>
      </c>
      <c r="AO38" s="96">
        <f t="shared" si="6"/>
        <v>4.562500000000469E-4</v>
      </c>
      <c r="AP38" s="96">
        <f t="shared" si="7"/>
        <v>1.4815200000000139E-3</v>
      </c>
      <c r="AQ38" s="121">
        <f t="shared" si="8"/>
        <v>-1.2173150000000008E-2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32.352232000000001</v>
      </c>
      <c r="Y39" s="190">
        <v>35.534851000000003</v>
      </c>
      <c r="Z39" s="190">
        <v>0.97835459000000002</v>
      </c>
      <c r="AA39" s="62">
        <v>0.98165866999999996</v>
      </c>
      <c r="AB39" s="62">
        <v>4.4217672E-2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0.99005999999999972</v>
      </c>
      <c r="AN39" s="122">
        <f t="shared" si="5"/>
        <v>0.67904000000000053</v>
      </c>
      <c r="AO39" s="122">
        <f t="shared" si="6"/>
        <v>4.9100000000024124E-5</v>
      </c>
      <c r="AP39" s="122">
        <f t="shared" si="7"/>
        <v>5.8004999999994311E-4</v>
      </c>
      <c r="AQ39" s="88">
        <f t="shared" si="8"/>
        <v>-8.6159979999999997E-3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36.922415999999998</v>
      </c>
      <c r="Y40" s="190">
        <v>40.312429999999999</v>
      </c>
      <c r="Z40" s="190">
        <v>0.98893801000000003</v>
      </c>
      <c r="AA40" s="62">
        <v>0.99200708000000004</v>
      </c>
      <c r="AB40" s="62">
        <v>2.3438476E-2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2.1006829999999965</v>
      </c>
      <c r="AN40" s="122">
        <f t="shared" si="5"/>
        <v>1.4583859999999973</v>
      </c>
      <c r="AO40" s="122">
        <f t="shared" si="6"/>
        <v>5.0935000000007502E-4</v>
      </c>
      <c r="AP40" s="122">
        <f t="shared" si="7"/>
        <v>5.8754000000005302E-4</v>
      </c>
      <c r="AQ40" s="88">
        <f t="shared" si="8"/>
        <v>-7.9250540000000008E-3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41.689121999999998</v>
      </c>
      <c r="Y41" s="190">
        <v>44.816625999999999</v>
      </c>
      <c r="Z41" s="190">
        <v>0.99410874999999999</v>
      </c>
      <c r="AA41" s="62">
        <v>0.99634920999999999</v>
      </c>
      <c r="AB41" s="62">
        <v>9.0557020000000005E-3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3.7455080000000009</v>
      </c>
      <c r="AN41" s="122">
        <f t="shared" si="5"/>
        <v>2.5214780000000019</v>
      </c>
      <c r="AO41" s="122">
        <f t="shared" si="6"/>
        <v>4.5907000000000586E-4</v>
      </c>
      <c r="AP41" s="122">
        <f t="shared" si="7"/>
        <v>6.1412999999999052E-4</v>
      </c>
      <c r="AQ41" s="88">
        <f t="shared" si="8"/>
        <v>-8.3183030000000008E-3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29.332578999999999</v>
      </c>
      <c r="Y43" s="97">
        <v>33.129308000000002</v>
      </c>
      <c r="Z43" s="97">
        <v>0.96359697</v>
      </c>
      <c r="AA43" s="60">
        <v>0.96906999999999999</v>
      </c>
      <c r="AB43" s="60">
        <v>6.2087062999999998E-2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0.6734189999999991</v>
      </c>
      <c r="AN43" s="96">
        <f t="shared" si="5"/>
        <v>0.75727799999999945</v>
      </c>
      <c r="AO43" s="96">
        <f t="shared" si="6"/>
        <v>5.5883999999994938E-4</v>
      </c>
      <c r="AP43" s="96">
        <f t="shared" si="7"/>
        <v>1.0042299999999393E-3</v>
      </c>
      <c r="AQ43" s="121">
        <f t="shared" si="8"/>
        <v>-1.0034056999999999E-2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32.829268999999996</v>
      </c>
      <c r="Y44" s="190">
        <v>36.02422</v>
      </c>
      <c r="Z44" s="190">
        <v>0.97882208999999998</v>
      </c>
      <c r="AA44" s="62">
        <v>0.98220121000000005</v>
      </c>
      <c r="AB44" s="62">
        <v>4.3134525E-2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1.0326249999999959</v>
      </c>
      <c r="AN44" s="122">
        <f t="shared" si="5"/>
        <v>0.6519440000000003</v>
      </c>
      <c r="AO44" s="122">
        <f t="shared" si="6"/>
        <v>1.5034999999996579E-4</v>
      </c>
      <c r="AP44" s="122">
        <f t="shared" si="7"/>
        <v>6.3162999999999414E-4</v>
      </c>
      <c r="AQ44" s="88">
        <f t="shared" si="8"/>
        <v>-6.5453580000000011E-3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37.187187000000002</v>
      </c>
      <c r="Y45" s="190">
        <v>40.663682999999999</v>
      </c>
      <c r="Z45" s="190">
        <v>0.98908932000000005</v>
      </c>
      <c r="AA45" s="62">
        <v>0.99201209000000001</v>
      </c>
      <c r="AB45" s="62">
        <v>2.3732968E-2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1.966267000000002</v>
      </c>
      <c r="AN45" s="122">
        <f t="shared" si="5"/>
        <v>1.3062979999999982</v>
      </c>
      <c r="AO45" s="122">
        <f t="shared" si="6"/>
        <v>4.7384000000005866E-4</v>
      </c>
      <c r="AP45" s="122">
        <f t="shared" si="7"/>
        <v>4.6234000000000552E-4</v>
      </c>
      <c r="AQ45" s="88">
        <f t="shared" si="8"/>
        <v>-7.8774799999999992E-3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41.829484999999998</v>
      </c>
      <c r="Y46" s="190">
        <v>45.015276</v>
      </c>
      <c r="Z46" s="190">
        <v>0.99413333999999998</v>
      </c>
      <c r="AA46" s="62">
        <v>0.99630291999999998</v>
      </c>
      <c r="AB46" s="62">
        <v>9.1735529999999992E-3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3.4121389999999963</v>
      </c>
      <c r="AN46" s="122">
        <f t="shared" si="5"/>
        <v>2.2478279999999984</v>
      </c>
      <c r="AO46" s="122">
        <f t="shared" si="6"/>
        <v>4.6303000000003092E-4</v>
      </c>
      <c r="AP46" s="122">
        <f t="shared" si="7"/>
        <v>5.8263999999996763E-4</v>
      </c>
      <c r="AQ46" s="88">
        <f t="shared" si="8"/>
        <v>-7.407923000000002E-3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29.930997000000001</v>
      </c>
      <c r="Y48" s="97">
        <v>33.714094000000003</v>
      </c>
      <c r="Z48" s="97">
        <v>0.96423636999999995</v>
      </c>
      <c r="AA48" s="60">
        <v>0.97036655000000005</v>
      </c>
      <c r="AB48" s="60">
        <v>5.7054617000000002E-2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0.18515800000000127</v>
      </c>
      <c r="AN48" s="96">
        <f t="shared" si="5"/>
        <v>0.48865400000000392</v>
      </c>
      <c r="AO48" s="96">
        <f t="shared" si="6"/>
        <v>3.6815999999995075E-4</v>
      </c>
      <c r="AP48" s="96">
        <f t="shared" si="7"/>
        <v>7.7138000000009921E-4</v>
      </c>
      <c r="AQ48" s="121">
        <f t="shared" si="8"/>
        <v>-6.4683779999999969E-3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33.638142000000002</v>
      </c>
      <c r="Y49" s="190">
        <v>36.860219000000001</v>
      </c>
      <c r="Z49" s="190">
        <v>0.97850864999999998</v>
      </c>
      <c r="AA49" s="62">
        <v>0.98280372000000005</v>
      </c>
      <c r="AB49" s="62">
        <v>3.8649768000000001E-2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0.90305599999999941</v>
      </c>
      <c r="AN49" s="122">
        <f t="shared" si="5"/>
        <v>0.65487800000000362</v>
      </c>
      <c r="AO49" s="122">
        <f t="shared" si="6"/>
        <v>2.0182999999995843E-4</v>
      </c>
      <c r="AP49" s="122">
        <f t="shared" si="7"/>
        <v>4.2859000000006198E-4</v>
      </c>
      <c r="AQ49" s="88">
        <f t="shared" si="8"/>
        <v>-4.0537969999999979E-3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37.789194000000002</v>
      </c>
      <c r="Y50" s="190">
        <v>41.146847999999999</v>
      </c>
      <c r="Z50" s="190">
        <v>0.98870806</v>
      </c>
      <c r="AA50" s="62">
        <v>0.99203078</v>
      </c>
      <c r="AB50" s="62">
        <v>2.1922415000000001E-2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1.8216930000000033</v>
      </c>
      <c r="AN50" s="122">
        <f t="shared" si="5"/>
        <v>1.099257999999999</v>
      </c>
      <c r="AO50" s="122">
        <f t="shared" si="6"/>
        <v>3.4999000000002223E-4</v>
      </c>
      <c r="AP50" s="122">
        <f t="shared" si="7"/>
        <v>4.6520999999999368E-4</v>
      </c>
      <c r="AQ50" s="88">
        <f t="shared" si="8"/>
        <v>-6.0561049999999991E-3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42.004060000000003</v>
      </c>
      <c r="Y51" s="190">
        <v>45.153910000000003</v>
      </c>
      <c r="Z51" s="190">
        <v>0.99386753999999999</v>
      </c>
      <c r="AA51" s="62">
        <v>0.99621948000000005</v>
      </c>
      <c r="AB51" s="62">
        <v>8.8637284999999993E-3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3.116810000000001</v>
      </c>
      <c r="AN51" s="122">
        <f t="shared" si="5"/>
        <v>1.976302000000004</v>
      </c>
      <c r="AO51" s="122">
        <f t="shared" si="6"/>
        <v>3.7586999999994486E-4</v>
      </c>
      <c r="AP51" s="122">
        <f t="shared" si="7"/>
        <v>5.6501000000008794E-4</v>
      </c>
      <c r="AQ51" s="88">
        <f t="shared" si="8"/>
        <v>-5.8587505000000008E-3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30.120121999999999</v>
      </c>
      <c r="Y53" s="97">
        <v>33.870310000000003</v>
      </c>
      <c r="Z53" s="97">
        <v>0.96399584000000005</v>
      </c>
      <c r="AA53" s="60">
        <v>0.97085116999999999</v>
      </c>
      <c r="AB53" s="60">
        <v>5.6203419999999997E-2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0.42638099999999923</v>
      </c>
      <c r="AN53" s="96">
        <f t="shared" si="5"/>
        <v>0.60319900000000359</v>
      </c>
      <c r="AO53" s="96">
        <f t="shared" si="6"/>
        <v>1.0909000000003388E-4</v>
      </c>
      <c r="AP53" s="96">
        <f t="shared" si="7"/>
        <v>5.6718000000000046E-4</v>
      </c>
      <c r="AQ53" s="121">
        <f t="shared" si="8"/>
        <v>-7.7719139999999978E-3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33.560847000000003</v>
      </c>
      <c r="Y54" s="190">
        <v>36.818221999999999</v>
      </c>
      <c r="Z54" s="190">
        <v>0.97842108000000005</v>
      </c>
      <c r="AA54" s="62">
        <v>0.982962</v>
      </c>
      <c r="AB54" s="62">
        <v>3.7399349999999998E-2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0.95578100000000177</v>
      </c>
      <c r="AN54" s="122">
        <f t="shared" si="5"/>
        <v>0.67059100000000171</v>
      </c>
      <c r="AO54" s="122">
        <f t="shared" si="6"/>
        <v>1.7993000000005033E-4</v>
      </c>
      <c r="AP54" s="122">
        <f t="shared" si="7"/>
        <v>4.7218000000004423E-4</v>
      </c>
      <c r="AQ54" s="88">
        <f t="shared" si="8"/>
        <v>-4.9947260000000049E-3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37.603963</v>
      </c>
      <c r="Y55" s="190">
        <v>41.017096000000002</v>
      </c>
      <c r="Z55" s="190">
        <v>0.98855019</v>
      </c>
      <c r="AA55" s="62">
        <v>0.99196198000000002</v>
      </c>
      <c r="AB55" s="62">
        <v>2.193871E-2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1.7542419999999979</v>
      </c>
      <c r="AN55" s="122">
        <f t="shared" si="5"/>
        <v>1.0794270000000026</v>
      </c>
      <c r="AO55" s="122">
        <f t="shared" si="6"/>
        <v>3.9981000000000044E-4</v>
      </c>
      <c r="AP55" s="122">
        <f t="shared" si="7"/>
        <v>5.0168999999999908E-4</v>
      </c>
      <c r="AQ55" s="88">
        <f t="shared" si="8"/>
        <v>-6.3790339999999987E-3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42.015884999999997</v>
      </c>
      <c r="Y56" s="190">
        <v>45.165554</v>
      </c>
      <c r="Z56" s="190">
        <v>0.99386907000000002</v>
      </c>
      <c r="AA56" s="62">
        <v>0.99622705</v>
      </c>
      <c r="AB56" s="62">
        <v>8.3566070000000003E-3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2.9795949999999962</v>
      </c>
      <c r="AN56" s="122">
        <f t="shared" si="5"/>
        <v>1.9605010000000007</v>
      </c>
      <c r="AO56" s="122">
        <f t="shared" si="6"/>
        <v>4.3725999999999487E-4</v>
      </c>
      <c r="AP56" s="122">
        <f t="shared" si="7"/>
        <v>6.6491999999995777E-4</v>
      </c>
      <c r="AQ56" s="88">
        <f t="shared" si="8"/>
        <v>-5.2060930000000002E-3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30.241018</v>
      </c>
      <c r="Y58" s="97">
        <v>33.972949999999997</v>
      </c>
      <c r="Z58" s="97">
        <v>0.96338537999999996</v>
      </c>
      <c r="AA58" s="60">
        <v>0.97114082000000002</v>
      </c>
      <c r="AB58" s="60">
        <v>5.8079264999999998E-2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0.35165600000000197</v>
      </c>
      <c r="AN58" s="96">
        <f t="shared" si="5"/>
        <v>0.52946999999999633</v>
      </c>
      <c r="AO58" s="96">
        <f t="shared" si="6"/>
        <v>-1.5309000000007789E-4</v>
      </c>
      <c r="AP58" s="96">
        <f t="shared" si="7"/>
        <v>2.0827000000001039E-4</v>
      </c>
      <c r="AQ58" s="121">
        <f t="shared" si="8"/>
        <v>-6.7544450000000048E-3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33.595607000000001</v>
      </c>
      <c r="Y59" s="190">
        <v>36.850057</v>
      </c>
      <c r="Z59" s="190">
        <v>0.97834823999999998</v>
      </c>
      <c r="AA59" s="62">
        <v>0.98340923000000002</v>
      </c>
      <c r="AB59" s="62">
        <v>3.7986315999999999E-2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0.83764299999999992</v>
      </c>
      <c r="AN59" s="122">
        <f t="shared" si="5"/>
        <v>0.57865799999999723</v>
      </c>
      <c r="AO59" s="122">
        <f t="shared" si="6"/>
        <v>2.1976000000001328E-4</v>
      </c>
      <c r="AP59" s="122">
        <f t="shared" si="7"/>
        <v>4.0276000000005752E-4</v>
      </c>
      <c r="AQ59" s="88">
        <f t="shared" si="8"/>
        <v>-4.7767199999999982E-3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37.315995000000001</v>
      </c>
      <c r="Y60" s="190">
        <v>40.792464000000002</v>
      </c>
      <c r="Z60" s="190">
        <v>0.98854690999999995</v>
      </c>
      <c r="AA60" s="62">
        <v>0.99193279999999995</v>
      </c>
      <c r="AB60" s="62">
        <v>2.3208850999999999E-2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1.4129259999999988</v>
      </c>
      <c r="AN60" s="122">
        <f t="shared" si="5"/>
        <v>0.84974300000000369</v>
      </c>
      <c r="AO60" s="122">
        <f t="shared" si="6"/>
        <v>3.5065999999994713E-4</v>
      </c>
      <c r="AP60" s="122">
        <f t="shared" si="7"/>
        <v>5.1424999999993837E-4</v>
      </c>
      <c r="AQ60" s="88">
        <f t="shared" si="8"/>
        <v>-5.4787589999999997E-3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41.918601000000002</v>
      </c>
      <c r="Y61" s="190">
        <v>45.067616999999998</v>
      </c>
      <c r="Z61" s="190">
        <v>0.99386810999999997</v>
      </c>
      <c r="AA61" s="62">
        <v>0.99624391999999995</v>
      </c>
      <c r="AB61" s="62">
        <v>8.6508709999999992E-3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2.587017000000003</v>
      </c>
      <c r="AN61" s="122">
        <f t="shared" si="5"/>
        <v>1.672311999999998</v>
      </c>
      <c r="AO61" s="122">
        <f t="shared" si="6"/>
        <v>3.9655999999999025E-4</v>
      </c>
      <c r="AP61" s="122">
        <f t="shared" si="7"/>
        <v>7.1008999999999656E-4</v>
      </c>
      <c r="AQ61" s="88">
        <f t="shared" si="8"/>
        <v>-4.3828520000000013E-3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30.267410999999999</v>
      </c>
      <c r="Y63" s="97">
        <v>34.144046000000003</v>
      </c>
      <c r="Z63" s="97">
        <v>0.96225846000000004</v>
      </c>
      <c r="AA63" s="60">
        <v>0.97173339000000003</v>
      </c>
      <c r="AB63" s="60">
        <v>6.0156969999999997E-2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7.4632999999998617E-2</v>
      </c>
      <c r="AN63" s="96">
        <f t="shared" si="5"/>
        <v>0.29431399999999996</v>
      </c>
      <c r="AO63" s="96">
        <f t="shared" si="6"/>
        <v>-2.4226999999998888E-4</v>
      </c>
      <c r="AP63" s="96">
        <f t="shared" si="7"/>
        <v>1.1924000000007595E-4</v>
      </c>
      <c r="AQ63" s="121">
        <f t="shared" si="8"/>
        <v>-3.160550000000005E-3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33.575468000000001</v>
      </c>
      <c r="Y64" s="190">
        <v>36.929298000000003</v>
      </c>
      <c r="Z64" s="190">
        <v>0.97813764999999997</v>
      </c>
      <c r="AA64" s="62">
        <v>0.98348791000000002</v>
      </c>
      <c r="AB64" s="62">
        <v>3.8142524999999997E-2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0.3002480000000034</v>
      </c>
      <c r="AN64" s="122">
        <f t="shared" si="5"/>
        <v>0.2406610000000029</v>
      </c>
      <c r="AO64" s="122">
        <f t="shared" si="6"/>
        <v>2.2756999999995475E-4</v>
      </c>
      <c r="AP64" s="122">
        <f t="shared" si="7"/>
        <v>2.8828000000002962E-4</v>
      </c>
      <c r="AQ64" s="88">
        <f t="shared" si="8"/>
        <v>-2.3315920000000004E-3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37.534962</v>
      </c>
      <c r="Y65" s="190">
        <v>41.000635000000003</v>
      </c>
      <c r="Z65" s="190">
        <v>0.98865099000000001</v>
      </c>
      <c r="AA65" s="62">
        <v>0.99208956000000004</v>
      </c>
      <c r="AB65" s="62">
        <v>2.316439E-2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0.99741300000000166</v>
      </c>
      <c r="AN65" s="122">
        <f t="shared" si="5"/>
        <v>0.61132700000000284</v>
      </c>
      <c r="AO65" s="122">
        <f t="shared" si="6"/>
        <v>2.7237999999996099E-4</v>
      </c>
      <c r="AP65" s="122">
        <f t="shared" si="7"/>
        <v>2.9514000000008256E-4</v>
      </c>
      <c r="AQ65" s="88">
        <f t="shared" si="8"/>
        <v>-3.6767029999999999E-3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42.036735</v>
      </c>
      <c r="Y66" s="190">
        <v>45.240769</v>
      </c>
      <c r="Z66" s="190">
        <v>0.99393045000000002</v>
      </c>
      <c r="AA66" s="62">
        <v>0.99631438000000005</v>
      </c>
      <c r="AB66" s="62">
        <v>8.8801234999999999E-3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2.0109210000000033</v>
      </c>
      <c r="AN66" s="122">
        <f t="shared" si="5"/>
        <v>1.3641319999999979</v>
      </c>
      <c r="AO66" s="122">
        <f t="shared" si="6"/>
        <v>3.2543000000007094E-4</v>
      </c>
      <c r="AP66" s="122">
        <f t="shared" si="7"/>
        <v>5.6688000000004735E-4</v>
      </c>
      <c r="AQ66" s="88">
        <f t="shared" si="8"/>
        <v>-3.3876424999999995E-3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29.377469000000001</v>
      </c>
      <c r="Y68" s="97">
        <v>33.333697999999998</v>
      </c>
      <c r="Z68" s="97">
        <v>0.96245144999999999</v>
      </c>
      <c r="AA68" s="60">
        <v>0.96964717</v>
      </c>
      <c r="AB68" s="60">
        <v>5.6154873000000001E-2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0.61943899999999985</v>
      </c>
      <c r="AN68" s="96">
        <f t="shared" si="5"/>
        <v>1.1578269999999975</v>
      </c>
      <c r="AO68" s="96">
        <f t="shared" si="6"/>
        <v>-1.3750000000034568E-5</v>
      </c>
      <c r="AP68" s="96">
        <f t="shared" si="7"/>
        <v>1.1401600000000567E-3</v>
      </c>
      <c r="AQ68" s="121">
        <f t="shared" si="8"/>
        <v>-1.4121056999999999E-2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33.356735</v>
      </c>
      <c r="Y69" s="190">
        <v>36.776411000000003</v>
      </c>
      <c r="Z69" s="190">
        <v>0.97849397999999999</v>
      </c>
      <c r="AA69" s="62">
        <v>0.98319487000000005</v>
      </c>
      <c r="AB69" s="62">
        <v>3.4895471999999997E-2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1.3622049999999994</v>
      </c>
      <c r="AN69" s="122">
        <f t="shared" si="5"/>
        <v>1.2172180000000026</v>
      </c>
      <c r="AO69" s="122">
        <f t="shared" si="6"/>
        <v>1.4985000000000692E-4</v>
      </c>
      <c r="AP69" s="122">
        <f t="shared" si="7"/>
        <v>6.6524000000001138E-4</v>
      </c>
      <c r="AQ69" s="88">
        <f t="shared" si="8"/>
        <v>-1.2212441000000004E-2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37.869410000000002</v>
      </c>
      <c r="Y70" s="190">
        <v>41.079984000000003</v>
      </c>
      <c r="Z70" s="190">
        <v>0.98926820999999998</v>
      </c>
      <c r="AA70" s="62">
        <v>0.99257181999999999</v>
      </c>
      <c r="AB70" s="62">
        <v>1.8115151999999999E-2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3.0287199999999999</v>
      </c>
      <c r="AN70" s="122">
        <f t="shared" si="5"/>
        <v>2.0239080000000058</v>
      </c>
      <c r="AO70" s="122">
        <f t="shared" si="6"/>
        <v>5.4039999999999644E-4</v>
      </c>
      <c r="AP70" s="122">
        <f t="shared" si="7"/>
        <v>7.6076000000002697E-4</v>
      </c>
      <c r="AQ70" s="88">
        <f t="shared" si="8"/>
        <v>-1.1349911000000001E-2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42.331408000000003</v>
      </c>
      <c r="Y71" s="190">
        <v>45.355558000000002</v>
      </c>
      <c r="Z71" s="190">
        <v>0.99415849000000001</v>
      </c>
      <c r="AA71" s="62">
        <v>0.99646601000000001</v>
      </c>
      <c r="AB71" s="62">
        <v>7.8404170000000006E-3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4.2487550000000027</v>
      </c>
      <c r="AN71" s="122">
        <f t="shared" si="5"/>
        <v>2.9395239999999987</v>
      </c>
      <c r="AO71" s="122">
        <f t="shared" si="6"/>
        <v>4.5315000000001326E-4</v>
      </c>
      <c r="AP71" s="122">
        <f t="shared" si="7"/>
        <v>6.7187999999995807E-4</v>
      </c>
      <c r="AQ71" s="88">
        <f t="shared" si="8"/>
        <v>-7.1204700000000003E-3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30.142455000000002</v>
      </c>
      <c r="Y73" s="97">
        <v>34.27854</v>
      </c>
      <c r="Z73" s="97">
        <v>0.96520488000000004</v>
      </c>
      <c r="AA73" s="60">
        <v>0.97054779000000002</v>
      </c>
      <c r="AB73" s="60">
        <v>5.2895270000000001E-2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0.42063000000000272</v>
      </c>
      <c r="AN73" s="96">
        <f t="shared" si="5"/>
        <v>0.83739099999999667</v>
      </c>
      <c r="AO73" s="96">
        <f t="shared" si="6"/>
        <v>-8.09399999999183E-5</v>
      </c>
      <c r="AP73" s="96">
        <f t="shared" si="7"/>
        <v>8.3545000000007086E-4</v>
      </c>
      <c r="AQ73" s="121">
        <f t="shared" si="8"/>
        <v>-8.7321139999999992E-3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33.805204000000003</v>
      </c>
      <c r="Y74" s="190">
        <v>37.233153999999999</v>
      </c>
      <c r="Z74" s="190">
        <v>0.97931780000000002</v>
      </c>
      <c r="AA74" s="62">
        <v>0.98341838000000004</v>
      </c>
      <c r="AB74" s="62">
        <v>3.4294073000000001E-2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1.2460909999999998</v>
      </c>
      <c r="AN74" s="122">
        <f t="shared" si="5"/>
        <v>0.95783600000000035</v>
      </c>
      <c r="AO74" s="122">
        <f t="shared" si="6"/>
        <v>1.8030000000002211E-4</v>
      </c>
      <c r="AP74" s="122">
        <f t="shared" si="7"/>
        <v>6.6333000000007303E-4</v>
      </c>
      <c r="AQ74" s="88">
        <f t="shared" si="8"/>
        <v>-6.7574869999999995E-3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38.278359999999999</v>
      </c>
      <c r="Y75" s="190">
        <v>41.539253000000002</v>
      </c>
      <c r="Z75" s="190">
        <v>0.98928669999999996</v>
      </c>
      <c r="AA75" s="62">
        <v>0.99251045999999998</v>
      </c>
      <c r="AB75" s="62">
        <v>1.7784459999999998E-2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2.0140659999999997</v>
      </c>
      <c r="AN75" s="122">
        <f t="shared" si="5"/>
        <v>1.2805910000000011</v>
      </c>
      <c r="AO75" s="122">
        <f t="shared" si="6"/>
        <v>4.1053999999995927E-4</v>
      </c>
      <c r="AP75" s="122">
        <f t="shared" si="7"/>
        <v>6.6491000000001854E-4</v>
      </c>
      <c r="AQ75" s="88">
        <f t="shared" si="8"/>
        <v>-6.059966E-3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42.514018</v>
      </c>
      <c r="Y76" s="190">
        <v>45.559821999999997</v>
      </c>
      <c r="Z76" s="190">
        <v>0.99410639999999995</v>
      </c>
      <c r="AA76" s="62">
        <v>0.99645813000000005</v>
      </c>
      <c r="AB76" s="62">
        <v>7.8268939999999992E-3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4.2394490000000005</v>
      </c>
      <c r="AN76" s="122">
        <f t="shared" si="5"/>
        <v>2.8632649999999984</v>
      </c>
      <c r="AO76" s="122">
        <f t="shared" si="6"/>
        <v>4.2917999999991796E-4</v>
      </c>
      <c r="AP76" s="122">
        <f t="shared" si="7"/>
        <v>6.9764000000005488E-4</v>
      </c>
      <c r="AQ76" s="88">
        <f t="shared" si="8"/>
        <v>-8.416616E-3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30.444813</v>
      </c>
      <c r="Y78" s="97">
        <v>34.191966000000001</v>
      </c>
      <c r="Z78" s="97">
        <v>0.96686176000000001</v>
      </c>
      <c r="AA78" s="60">
        <v>0.9719814</v>
      </c>
      <c r="AB78" s="60">
        <v>5.4430555999999998E-2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0.62877100000000041</v>
      </c>
      <c r="AN78" s="96">
        <f t="shared" si="5"/>
        <v>0.68538800000000322</v>
      </c>
      <c r="AO78" s="96">
        <f t="shared" si="6"/>
        <v>4.7890000000050392E-5</v>
      </c>
      <c r="AP78" s="96">
        <f t="shared" si="7"/>
        <v>6.0020000000005069E-4</v>
      </c>
      <c r="AQ78" s="121">
        <f t="shared" si="8"/>
        <v>-9.8928740000000029E-3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33.642003000000003</v>
      </c>
      <c r="Y79" s="190">
        <v>36.984355000000001</v>
      </c>
      <c r="Z79" s="190">
        <v>0.97978712999999995</v>
      </c>
      <c r="AA79" s="62">
        <v>0.98346352999999997</v>
      </c>
      <c r="AB79" s="62">
        <v>3.5627223999999999E-2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1.2531540000000021</v>
      </c>
      <c r="AN79" s="122">
        <f t="shared" si="5"/>
        <v>0.78472299999999962</v>
      </c>
      <c r="AO79" s="122">
        <f t="shared" si="6"/>
        <v>1.9497999999995574E-4</v>
      </c>
      <c r="AP79" s="122">
        <f t="shared" si="7"/>
        <v>5.5678999999997369E-4</v>
      </c>
      <c r="AQ79" s="88">
        <f t="shared" si="8"/>
        <v>-7.1525659999999991E-3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38.093783999999999</v>
      </c>
      <c r="Y80" s="190">
        <v>41.414475000000003</v>
      </c>
      <c r="Z80" s="190">
        <v>0.98941659000000004</v>
      </c>
      <c r="AA80" s="62">
        <v>0.99249706000000004</v>
      </c>
      <c r="AB80" s="62">
        <v>1.878111E-2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2.1611940000000018</v>
      </c>
      <c r="AN80" s="122">
        <f t="shared" si="5"/>
        <v>1.2766380000000055</v>
      </c>
      <c r="AO80" s="122">
        <f t="shared" si="6"/>
        <v>3.9525000000006916E-4</v>
      </c>
      <c r="AP80" s="122">
        <f t="shared" si="7"/>
        <v>6.0862000000005967E-4</v>
      </c>
      <c r="AQ80" s="88">
        <f t="shared" si="8"/>
        <v>-8.5290680000000008E-3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42.528790000000001</v>
      </c>
      <c r="Y81" s="190">
        <v>45.653016999999998</v>
      </c>
      <c r="Z81" s="190">
        <v>0.99414049999999998</v>
      </c>
      <c r="AA81" s="62">
        <v>0.99647266999999995</v>
      </c>
      <c r="AB81" s="62">
        <v>7.9682889999999999E-3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3.8430699999999973</v>
      </c>
      <c r="AN81" s="122">
        <f t="shared" si="5"/>
        <v>2.544323999999996</v>
      </c>
      <c r="AO81" s="122">
        <f t="shared" si="6"/>
        <v>4.2109999999995207E-4</v>
      </c>
      <c r="AP81" s="122">
        <f t="shared" si="7"/>
        <v>6.6136999999999446E-4</v>
      </c>
      <c r="AQ81" s="88">
        <f t="shared" si="8"/>
        <v>-7.6283610000000002E-3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30.668697999999999</v>
      </c>
      <c r="Y83" s="97">
        <v>34.479930000000003</v>
      </c>
      <c r="Z83" s="97">
        <v>0.96783922</v>
      </c>
      <c r="AA83" s="60">
        <v>0.97407175999999995</v>
      </c>
      <c r="AB83" s="60">
        <v>5.2538886999999999E-2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0.16406599999999827</v>
      </c>
      <c r="AN83" s="96">
        <f t="shared" si="5"/>
        <v>0.62489100000000519</v>
      </c>
      <c r="AO83" s="96">
        <f t="shared" si="6"/>
        <v>9.8999999999960231E-5</v>
      </c>
      <c r="AP83" s="96">
        <f t="shared" si="7"/>
        <v>7.0026999999994732E-4</v>
      </c>
      <c r="AQ83" s="121">
        <f t="shared" si="8"/>
        <v>-7.0353969999999988E-3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34.335244000000003</v>
      </c>
      <c r="Y84" s="190">
        <v>37.569327000000001</v>
      </c>
      <c r="Z84" s="190">
        <v>0.98023231</v>
      </c>
      <c r="AA84" s="62">
        <v>0.98481775999999999</v>
      </c>
      <c r="AB84" s="62">
        <v>3.4093709999999999E-2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1.1096410000000034</v>
      </c>
      <c r="AN84" s="122">
        <f t="shared" si="5"/>
        <v>0.84601400000000382</v>
      </c>
      <c r="AO84" s="122">
        <f t="shared" si="6"/>
        <v>8.5140000000039073E-5</v>
      </c>
      <c r="AP84" s="122">
        <f t="shared" si="7"/>
        <v>7.4222999999995487E-4</v>
      </c>
      <c r="AQ84" s="88">
        <f t="shared" si="8"/>
        <v>-5.2827240000000025E-3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38.520339</v>
      </c>
      <c r="Y85" s="190">
        <v>41.728774999999999</v>
      </c>
      <c r="Z85" s="190">
        <v>0.98922564999999996</v>
      </c>
      <c r="AA85" s="62">
        <v>0.99264160999999995</v>
      </c>
      <c r="AB85" s="62">
        <v>1.8649124E-2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2.2213750000000019</v>
      </c>
      <c r="AN85" s="122">
        <f t="shared" si="5"/>
        <v>1.3104700000000022</v>
      </c>
      <c r="AO85" s="122">
        <f t="shared" si="6"/>
        <v>3.5284999999996014E-4</v>
      </c>
      <c r="AP85" s="122">
        <f t="shared" si="7"/>
        <v>4.4682999999989814E-4</v>
      </c>
      <c r="AQ85" s="88">
        <f t="shared" si="8"/>
        <v>-7.1424609999999993E-3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42.555416999999998</v>
      </c>
      <c r="Y86" s="190">
        <v>45.601990000000001</v>
      </c>
      <c r="Z86" s="190">
        <v>0.99391631999999996</v>
      </c>
      <c r="AA86" s="62">
        <v>0.99643981000000004</v>
      </c>
      <c r="AB86" s="62">
        <v>8.1423009999999994E-3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3.3760830000000013</v>
      </c>
      <c r="AN86" s="122">
        <f t="shared" si="5"/>
        <v>2.129837000000002</v>
      </c>
      <c r="AO86" s="122">
        <f t="shared" si="6"/>
        <v>3.5074000000001604E-4</v>
      </c>
      <c r="AP86" s="122">
        <f t="shared" si="7"/>
        <v>6.6912000000007854E-4</v>
      </c>
      <c r="AQ86" s="88">
        <f t="shared" si="8"/>
        <v>-5.7846249999999998E-3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30.912617000000001</v>
      </c>
      <c r="Y88" s="97">
        <v>34.743648999999998</v>
      </c>
      <c r="Z88" s="97">
        <v>0.96809736999999996</v>
      </c>
      <c r="AA88" s="60">
        <v>0.97416216</v>
      </c>
      <c r="AB88" s="60">
        <v>5.1018139999999997E-2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0.40616400000000041</v>
      </c>
      <c r="AN88" s="96">
        <f t="shared" si="5"/>
        <v>0.67794999999999561</v>
      </c>
      <c r="AO88" s="96">
        <f t="shared" si="6"/>
        <v>-3.4920000000049356E-5</v>
      </c>
      <c r="AP88" s="96">
        <f t="shared" si="7"/>
        <v>6.8475999999995096E-4</v>
      </c>
      <c r="AQ88" s="121">
        <f t="shared" si="8"/>
        <v>-6.8728970000000028E-3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34.388944000000002</v>
      </c>
      <c r="Y89" s="190">
        <v>37.650849999999998</v>
      </c>
      <c r="Z89" s="190">
        <v>0.98065013999999995</v>
      </c>
      <c r="AA89" s="62">
        <v>0.98529186999999996</v>
      </c>
      <c r="AB89" s="62">
        <v>3.3147799999999998E-2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0.91111899999999935</v>
      </c>
      <c r="AN89" s="122">
        <f t="shared" si="5"/>
        <v>0.70344599999999957</v>
      </c>
      <c r="AO89" s="122">
        <f t="shared" si="6"/>
        <v>2.9039999999924682E-5</v>
      </c>
      <c r="AP89" s="122">
        <f t="shared" si="7"/>
        <v>6.814899999999513E-4</v>
      </c>
      <c r="AQ89" s="88">
        <f t="shared" si="8"/>
        <v>-4.5929040000000018E-3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38.655430000000003</v>
      </c>
      <c r="Y90" s="190">
        <v>41.893110999999998</v>
      </c>
      <c r="Z90" s="190">
        <v>0.98940905999999995</v>
      </c>
      <c r="AA90" s="62">
        <v>0.99278613999999998</v>
      </c>
      <c r="AB90" s="62">
        <v>1.8343479999999999E-2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1.9063760000000016</v>
      </c>
      <c r="AN90" s="122">
        <f t="shared" si="5"/>
        <v>1.1666099999999986</v>
      </c>
      <c r="AO90" s="122">
        <f t="shared" si="6"/>
        <v>3.308399999999434E-4</v>
      </c>
      <c r="AP90" s="122">
        <f t="shared" si="7"/>
        <v>5.963900000000022E-4</v>
      </c>
      <c r="AQ90" s="88">
        <f t="shared" si="8"/>
        <v>-5.4418560000000019E-3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42.753286000000003</v>
      </c>
      <c r="Y91" s="190">
        <v>45.814616000000001</v>
      </c>
      <c r="Z91" s="190">
        <v>0.99410118000000003</v>
      </c>
      <c r="AA91" s="62">
        <v>0.99653126999999997</v>
      </c>
      <c r="AB91" s="62">
        <v>7.8535830000000008E-3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3.0799570000000003</v>
      </c>
      <c r="AN91" s="122">
        <f t="shared" si="5"/>
        <v>1.9630709999999993</v>
      </c>
      <c r="AO91" s="122">
        <f t="shared" si="6"/>
        <v>3.2784000000007918E-4</v>
      </c>
      <c r="AP91" s="122">
        <f t="shared" si="7"/>
        <v>6.7379000000000744E-4</v>
      </c>
      <c r="AQ91" s="88">
        <f t="shared" si="8"/>
        <v>-4.8172739999999999E-3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31.204183</v>
      </c>
      <c r="Y93" s="97">
        <v>34.959738000000002</v>
      </c>
      <c r="Z93" s="97">
        <v>0.96821889999999999</v>
      </c>
      <c r="AA93" s="60">
        <v>0.97479128000000004</v>
      </c>
      <c r="AB93" s="60">
        <v>5.27865E-2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0.51193200000000161</v>
      </c>
      <c r="AN93" s="96">
        <f t="shared" si="5"/>
        <v>0.58304700000000054</v>
      </c>
      <c r="AO93" s="96">
        <f t="shared" si="6"/>
        <v>-2.0642999999997969E-4</v>
      </c>
      <c r="AP93" s="96">
        <f t="shared" si="7"/>
        <v>3.4604999999998665E-4</v>
      </c>
      <c r="AQ93" s="121">
        <f t="shared" si="8"/>
        <v>-6.2885869999999983E-3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34.495699999999999</v>
      </c>
      <c r="Y94" s="190">
        <v>37.792122999999997</v>
      </c>
      <c r="Z94" s="190">
        <v>0.98082864999999997</v>
      </c>
      <c r="AA94" s="62">
        <v>0.98560647000000001</v>
      </c>
      <c r="AB94" s="62">
        <v>3.3723976000000003E-2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0.97293700000000172</v>
      </c>
      <c r="AN94" s="122">
        <f t="shared" si="5"/>
        <v>0.62348299999999313</v>
      </c>
      <c r="AO94" s="122">
        <f t="shared" si="6"/>
        <v>1.2255999999999379E-4</v>
      </c>
      <c r="AP94" s="122">
        <f t="shared" si="7"/>
        <v>5.0116000000000049E-4</v>
      </c>
      <c r="AQ94" s="88">
        <f t="shared" si="8"/>
        <v>-4.5589919999999978E-3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38.142867000000003</v>
      </c>
      <c r="Y95" s="190">
        <v>41.565097000000002</v>
      </c>
      <c r="Z95" s="190">
        <v>0.98951173000000003</v>
      </c>
      <c r="AA95" s="62">
        <v>0.99279046999999998</v>
      </c>
      <c r="AB95" s="62">
        <v>1.9590650000000001E-2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1.3994649999999993</v>
      </c>
      <c r="AN95" s="122">
        <f t="shared" si="5"/>
        <v>0.89464399999999955</v>
      </c>
      <c r="AO95" s="122">
        <f t="shared" si="6"/>
        <v>2.8386000000002465E-4</v>
      </c>
      <c r="AP95" s="122">
        <f t="shared" si="7"/>
        <v>4.3048000000001085E-4</v>
      </c>
      <c r="AQ95" s="88">
        <f t="shared" si="8"/>
        <v>-4.7955589999999979E-3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42.717937999999997</v>
      </c>
      <c r="Y96" s="190">
        <v>45.819313000000001</v>
      </c>
      <c r="Z96" s="190">
        <v>0.99417809000000001</v>
      </c>
      <c r="AA96" s="62">
        <v>0.99655035999999997</v>
      </c>
      <c r="AB96" s="62">
        <v>8.0326019999999998E-3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2.7322299999999942</v>
      </c>
      <c r="AN96" s="122">
        <f t="shared" si="5"/>
        <v>1.7031180000000035</v>
      </c>
      <c r="AO96" s="122">
        <f t="shared" si="6"/>
        <v>3.0039000000003924E-4</v>
      </c>
      <c r="AP96" s="122">
        <f t="shared" si="7"/>
        <v>6.1373999999991824E-4</v>
      </c>
      <c r="AQ96" s="88">
        <f t="shared" si="8"/>
        <v>-4.2548310000000006E-3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31.291236999999999</v>
      </c>
      <c r="Y98" s="97">
        <v>35.335704</v>
      </c>
      <c r="Z98" s="97">
        <v>0.96756677000000002</v>
      </c>
      <c r="AA98" s="60">
        <v>0.97503567999999996</v>
      </c>
      <c r="AB98" s="60">
        <v>5.4940103999999997E-2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9.1139999999999333E-2</v>
      </c>
      <c r="AN98" s="96">
        <f t="shared" si="15"/>
        <v>0.30297900000000055</v>
      </c>
      <c r="AO98" s="96">
        <f t="shared" si="16"/>
        <v>-1.2122999999997219E-4</v>
      </c>
      <c r="AP98" s="96">
        <f t="shared" si="17"/>
        <v>7.7710000000008606E-5</v>
      </c>
      <c r="AQ98" s="121">
        <f t="shared" si="18"/>
        <v>-1.4455060000000061E-3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34.605502000000001</v>
      </c>
      <c r="Y99" s="190">
        <v>38.077928999999997</v>
      </c>
      <c r="Z99" s="190">
        <v>0.98053519</v>
      </c>
      <c r="AA99" s="62">
        <v>0.98563378999999995</v>
      </c>
      <c r="AB99" s="62">
        <v>3.466317E-2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0.37877199999999789</v>
      </c>
      <c r="AN99" s="122">
        <f t="shared" si="15"/>
        <v>0.2615029999999976</v>
      </c>
      <c r="AO99" s="122">
        <f t="shared" si="16"/>
        <v>6.1239999999962436E-5</v>
      </c>
      <c r="AP99" s="122">
        <f t="shared" si="17"/>
        <v>2.7867999999997561E-4</v>
      </c>
      <c r="AQ99" s="88">
        <f t="shared" si="18"/>
        <v>-9.0881500000000032E-4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38.442076</v>
      </c>
      <c r="Y100" s="190">
        <v>41.736038000000001</v>
      </c>
      <c r="Z100" s="190">
        <v>0.98952505000000002</v>
      </c>
      <c r="AA100" s="62">
        <v>0.99277910999999996</v>
      </c>
      <c r="AB100" s="62">
        <v>2.0043964000000001E-2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1.1248220000000018</v>
      </c>
      <c r="AN100" s="122">
        <f t="shared" si="15"/>
        <v>0.69355800000000301</v>
      </c>
      <c r="AO100" s="122">
        <f t="shared" si="16"/>
        <v>2.2474999999999579E-4</v>
      </c>
      <c r="AP100" s="122">
        <f t="shared" si="17"/>
        <v>3.0372000000000732E-4</v>
      </c>
      <c r="AQ100" s="88">
        <f t="shared" si="18"/>
        <v>-2.7752859999999983E-3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42.779536</v>
      </c>
      <c r="Y101" s="190">
        <v>45.897421000000001</v>
      </c>
      <c r="Z101" s="190">
        <v>0.99424040000000002</v>
      </c>
      <c r="AA101" s="62">
        <v>0.99655689000000003</v>
      </c>
      <c r="AB101" s="62">
        <v>8.5632780000000006E-3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2.0158989999999974</v>
      </c>
      <c r="AN101" s="122">
        <f t="shared" si="15"/>
        <v>1.2675589999999985</v>
      </c>
      <c r="AO101" s="122">
        <f t="shared" si="16"/>
        <v>2.3189000000001236E-4</v>
      </c>
      <c r="AP101" s="122">
        <f t="shared" si="17"/>
        <v>4.924400000000384E-4</v>
      </c>
      <c r="AQ101" s="88">
        <f t="shared" si="18"/>
        <v>-2.9372459999999993E-3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31.214296999999998</v>
      </c>
      <c r="Y103" s="97">
        <v>35.468927999999998</v>
      </c>
      <c r="Z103" s="97">
        <v>0.96857145</v>
      </c>
      <c r="AA103" s="60">
        <v>0.97750398999999999</v>
      </c>
      <c r="AB103" s="60">
        <v>5.9365220000000003E-2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0.3226230000000001</v>
      </c>
      <c r="AN103" s="96">
        <f t="shared" si="15"/>
        <v>1.1820820000000012</v>
      </c>
      <c r="AO103" s="96">
        <f t="shared" si="16"/>
        <v>-1.9409000000003562E-4</v>
      </c>
      <c r="AP103" s="96">
        <f t="shared" si="17"/>
        <v>3.2599999999993745E-4</v>
      </c>
      <c r="AQ103" s="121">
        <f t="shared" si="18"/>
        <v>-1.2235870000000003E-2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34.671579999999999</v>
      </c>
      <c r="Y104" s="190">
        <v>38.356831999999997</v>
      </c>
      <c r="Z104" s="190">
        <v>0.98122703</v>
      </c>
      <c r="AA104" s="62">
        <v>0.98687636999999995</v>
      </c>
      <c r="AB104" s="62">
        <v>3.7059599999999998E-2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1.1576919999999973</v>
      </c>
      <c r="AN104" s="122">
        <f t="shared" si="15"/>
        <v>1.4246529999999993</v>
      </c>
      <c r="AO104" s="122">
        <f t="shared" si="16"/>
        <v>1.926199999999767E-4</v>
      </c>
      <c r="AP104" s="122">
        <f t="shared" si="17"/>
        <v>4.2112999999999179E-4</v>
      </c>
      <c r="AQ104" s="88">
        <f t="shared" si="18"/>
        <v>-1.1386035000000003E-2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39.025680000000001</v>
      </c>
      <c r="Y105" s="190">
        <v>42.177523000000001</v>
      </c>
      <c r="Z105" s="190">
        <v>0.99012151999999998</v>
      </c>
      <c r="AA105" s="62">
        <v>0.99378529000000004</v>
      </c>
      <c r="AB105" s="62">
        <v>1.9606497000000001E-2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2.9966909999999984</v>
      </c>
      <c r="AN105" s="122">
        <f t="shared" si="15"/>
        <v>1.9884610000000009</v>
      </c>
      <c r="AO105" s="122">
        <f t="shared" si="16"/>
        <v>3.6860999999999144E-4</v>
      </c>
      <c r="AP105" s="122">
        <f t="shared" si="17"/>
        <v>6.6555000000001474E-4</v>
      </c>
      <c r="AQ105" s="88">
        <f t="shared" si="18"/>
        <v>-1.1409979000000001E-2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43.100394999999999</v>
      </c>
      <c r="Y106" s="190">
        <v>45.991351999999999</v>
      </c>
      <c r="Z106" s="190">
        <v>0.99416979000000005</v>
      </c>
      <c r="AA106" s="62">
        <v>0.99680453999999996</v>
      </c>
      <c r="AB106" s="62">
        <v>9.2998479999999994E-3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4.0118769999999984</v>
      </c>
      <c r="AN106" s="122">
        <f t="shared" si="15"/>
        <v>2.5594819999999956</v>
      </c>
      <c r="AO106" s="122">
        <f t="shared" si="16"/>
        <v>3.2273000000004881E-4</v>
      </c>
      <c r="AP106" s="122">
        <f t="shared" si="17"/>
        <v>5.7702999999997839E-4</v>
      </c>
      <c r="AQ106" s="88">
        <f t="shared" si="18"/>
        <v>-7.4482080000000013E-3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31.04419</v>
      </c>
      <c r="Y108" s="97">
        <v>35.397832999999999</v>
      </c>
      <c r="Z108" s="97">
        <v>0.97046341999999997</v>
      </c>
      <c r="AA108" s="60">
        <v>0.97834933999999996</v>
      </c>
      <c r="AB108" s="60">
        <v>5.5967879999999998E-2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-0.24599599999999811</v>
      </c>
      <c r="AN108" s="96">
        <f t="shared" si="15"/>
        <v>0.58871399999999596</v>
      </c>
      <c r="AO108" s="96">
        <f t="shared" si="16"/>
        <v>-2.3110000000003961E-4</v>
      </c>
      <c r="AP108" s="96">
        <f t="shared" si="17"/>
        <v>6.8439999999947432E-5</v>
      </c>
      <c r="AQ108" s="121">
        <f t="shared" si="18"/>
        <v>-6.9749000000000061E-3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34.251809000000002</v>
      </c>
      <c r="Y109" s="190">
        <v>38.051119</v>
      </c>
      <c r="Z109" s="190">
        <v>0.98172338000000003</v>
      </c>
      <c r="AA109" s="62">
        <v>0.98704605999999995</v>
      </c>
      <c r="AB109" s="62">
        <v>3.6329686999999999E-2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0.27907400000000138</v>
      </c>
      <c r="AN109" s="122">
        <f t="shared" si="15"/>
        <v>0.7505960000000016</v>
      </c>
      <c r="AO109" s="122">
        <f t="shared" si="16"/>
        <v>1.867200000000846E-4</v>
      </c>
      <c r="AP109" s="122">
        <f t="shared" si="17"/>
        <v>3.7882000000000193E-4</v>
      </c>
      <c r="AQ109" s="88">
        <f t="shared" si="18"/>
        <v>-6.9793230000000026E-3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38.964815999999999</v>
      </c>
      <c r="Y110" s="190">
        <v>42.185727</v>
      </c>
      <c r="Z110" s="190">
        <v>0.99003629999999998</v>
      </c>
      <c r="AA110" s="62">
        <v>0.9936625</v>
      </c>
      <c r="AB110" s="62">
        <v>2.0130084999999999E-2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1.6153899999999979</v>
      </c>
      <c r="AN110" s="122">
        <f t="shared" si="15"/>
        <v>1.0656159999999986</v>
      </c>
      <c r="AO110" s="122">
        <f t="shared" si="16"/>
        <v>3.4944000000003417E-4</v>
      </c>
      <c r="AP110" s="122">
        <f t="shared" si="17"/>
        <v>5.1330999999998905E-4</v>
      </c>
      <c r="AQ110" s="88">
        <f t="shared" si="18"/>
        <v>-6.2815350000000013E-3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43.106904999999998</v>
      </c>
      <c r="Y111" s="190">
        <v>45.965966999999999</v>
      </c>
      <c r="Z111" s="190">
        <v>0.99416543999999996</v>
      </c>
      <c r="AA111" s="62">
        <v>0.99676165000000005</v>
      </c>
      <c r="AB111" s="62">
        <v>9.6391310000000004E-3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3.9029150000000001</v>
      </c>
      <c r="AN111" s="122">
        <f t="shared" si="15"/>
        <v>2.3261269999999996</v>
      </c>
      <c r="AO111" s="122">
        <f t="shared" si="16"/>
        <v>3.2239000000000573E-4</v>
      </c>
      <c r="AP111" s="122">
        <f t="shared" si="17"/>
        <v>6.4962000000001741E-4</v>
      </c>
      <c r="AQ111" s="88">
        <f t="shared" si="18"/>
        <v>-8.9819500000000007E-3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31.802900000000001</v>
      </c>
      <c r="Y113" s="97">
        <v>35.468722</v>
      </c>
      <c r="Z113" s="97">
        <v>0.97155391000000002</v>
      </c>
      <c r="AA113" s="60">
        <v>0.97907054999999998</v>
      </c>
      <c r="AB113" s="60">
        <v>5.5407852E-2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0.4955210000000001</v>
      </c>
      <c r="AN113" s="96">
        <f t="shared" si="15"/>
        <v>0.59233299999999645</v>
      </c>
      <c r="AO113" s="96">
        <f t="shared" si="16"/>
        <v>3.2719999999986094E-5</v>
      </c>
      <c r="AP113" s="96">
        <f t="shared" si="17"/>
        <v>1.6384000000002619E-4</v>
      </c>
      <c r="AQ113" s="121">
        <f t="shared" si="18"/>
        <v>-1.0254218000000002E-2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34.602592000000001</v>
      </c>
      <c r="Y114" s="190">
        <v>37.955160999999997</v>
      </c>
      <c r="Z114" s="190">
        <v>0.98208859999999998</v>
      </c>
      <c r="AA114" s="62">
        <v>0.98712140000000004</v>
      </c>
      <c r="AB114" s="62">
        <v>3.6993390000000001E-2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1.0918029999999987</v>
      </c>
      <c r="AN114" s="122">
        <f t="shared" si="15"/>
        <v>0.72448899999999838</v>
      </c>
      <c r="AO114" s="122">
        <f t="shared" si="16"/>
        <v>2.0584000000001268E-4</v>
      </c>
      <c r="AP114" s="122">
        <f t="shared" si="17"/>
        <v>5.6419000000007546E-4</v>
      </c>
      <c r="AQ114" s="88">
        <f t="shared" si="18"/>
        <v>-9.6404900000000016E-3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38.736437000000002</v>
      </c>
      <c r="Y115" s="190">
        <v>41.933106000000002</v>
      </c>
      <c r="Z115" s="190">
        <v>0.98996684999999995</v>
      </c>
      <c r="AA115" s="62">
        <v>0.99354693000000005</v>
      </c>
      <c r="AB115" s="62">
        <v>2.0913350000000001E-2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2.1940200000000019</v>
      </c>
      <c r="AN115" s="122">
        <f t="shared" si="15"/>
        <v>1.2570329999999998</v>
      </c>
      <c r="AO115" s="122">
        <f t="shared" si="16"/>
        <v>3.3014999999991801E-4</v>
      </c>
      <c r="AP115" s="122">
        <f t="shared" si="17"/>
        <v>3.7311000000006533E-4</v>
      </c>
      <c r="AQ115" s="88">
        <f t="shared" si="18"/>
        <v>-9.8964399999999994E-3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43.198849000000003</v>
      </c>
      <c r="Y116" s="190">
        <v>46.177627000000001</v>
      </c>
      <c r="Z116" s="190">
        <v>0.99419762</v>
      </c>
      <c r="AA116" s="62">
        <v>0.99688217000000001</v>
      </c>
      <c r="AB116" s="62">
        <v>9.0651829999999992E-3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3.6444840000000056</v>
      </c>
      <c r="AN116" s="122">
        <f t="shared" si="15"/>
        <v>2.3281350000000032</v>
      </c>
      <c r="AO116" s="122">
        <f t="shared" si="16"/>
        <v>3.1972999999996254E-4</v>
      </c>
      <c r="AP116" s="122">
        <f t="shared" si="17"/>
        <v>6.0981000000004393E-4</v>
      </c>
      <c r="AQ116" s="88">
        <f t="shared" si="18"/>
        <v>-7.5037530000000002E-3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32.320109000000002</v>
      </c>
      <c r="Y118" s="97">
        <v>36.100259000000001</v>
      </c>
      <c r="Z118" s="97">
        <v>0.97238871999999998</v>
      </c>
      <c r="AA118" s="60">
        <v>0.98041431000000001</v>
      </c>
      <c r="AB118" s="60">
        <v>5.1797368000000003E-2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0.34301600000000221</v>
      </c>
      <c r="AN118" s="96">
        <f t="shared" si="15"/>
        <v>0.72055199999999786</v>
      </c>
      <c r="AO118" s="96">
        <f t="shared" si="16"/>
        <v>7.890999999993209E-5</v>
      </c>
      <c r="AP118" s="96">
        <f t="shared" si="17"/>
        <v>4.262800000000011E-4</v>
      </c>
      <c r="AQ118" s="121">
        <f t="shared" si="18"/>
        <v>-6.7563949999999984E-3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35.091796000000002</v>
      </c>
      <c r="Y119" s="190">
        <v>38.480911999999996</v>
      </c>
      <c r="Z119" s="190">
        <v>0.98217023000000003</v>
      </c>
      <c r="AA119" s="62">
        <v>0.98764596000000004</v>
      </c>
      <c r="AB119" s="62">
        <v>3.4751079999999997E-2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1.0886830000000032</v>
      </c>
      <c r="AN119" s="122">
        <f t="shared" si="15"/>
        <v>0.89685899999999918</v>
      </c>
      <c r="AO119" s="122">
        <f t="shared" si="16"/>
        <v>6.2320000000060105E-5</v>
      </c>
      <c r="AP119" s="122">
        <f t="shared" si="17"/>
        <v>6.5024000000002413E-4</v>
      </c>
      <c r="AQ119" s="88">
        <f t="shared" si="18"/>
        <v>-6.6016600000000022E-3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39.011218999999997</v>
      </c>
      <c r="Y120" s="190">
        <v>42.165008999999998</v>
      </c>
      <c r="Z120" s="190">
        <v>0.98975572000000001</v>
      </c>
      <c r="AA120" s="62">
        <v>0.99362916999999995</v>
      </c>
      <c r="AB120" s="62">
        <v>2.0054687000000002E-2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2.117607999999997</v>
      </c>
      <c r="AN120" s="122">
        <f t="shared" si="15"/>
        <v>1.2968619999999973</v>
      </c>
      <c r="AO120" s="122">
        <f t="shared" si="16"/>
        <v>2.7421999999999169E-4</v>
      </c>
      <c r="AP120" s="122">
        <f t="shared" si="17"/>
        <v>2.8004999999997615E-4</v>
      </c>
      <c r="AQ120" s="88">
        <f t="shared" si="18"/>
        <v>-7.1321529999999987E-3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43.218792000000001</v>
      </c>
      <c r="Y121" s="190">
        <v>46.163713000000001</v>
      </c>
      <c r="Z121" s="190">
        <v>0.99404906999999998</v>
      </c>
      <c r="AA121" s="62">
        <v>0.99686551000000001</v>
      </c>
      <c r="AB121" s="62">
        <v>9.1841779999999994E-3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2.9904229999999998</v>
      </c>
      <c r="AN121" s="122">
        <f t="shared" si="15"/>
        <v>1.8456600000000023</v>
      </c>
      <c r="AO121" s="122">
        <f t="shared" si="16"/>
        <v>2.8764000000003342E-4</v>
      </c>
      <c r="AP121" s="122">
        <f t="shared" si="17"/>
        <v>6.1244999999998662E-4</v>
      </c>
      <c r="AQ121" s="88">
        <f t="shared" si="18"/>
        <v>-4.8576130000000002E-3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32.429071</v>
      </c>
      <c r="Y123" s="97">
        <v>36.277852000000003</v>
      </c>
      <c r="Z123" s="97">
        <v>0.97251186999999994</v>
      </c>
      <c r="AA123" s="60">
        <v>0.9796861</v>
      </c>
      <c r="AB123" s="60">
        <v>5.2730060000000002E-2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0.36759200000000192</v>
      </c>
      <c r="AN123" s="96">
        <f t="shared" si="15"/>
        <v>0.59115600000000512</v>
      </c>
      <c r="AO123" s="96">
        <f t="shared" si="16"/>
        <v>-2.2940000000026828E-5</v>
      </c>
      <c r="AP123" s="96">
        <f t="shared" si="17"/>
        <v>0</v>
      </c>
      <c r="AQ123" s="121">
        <f t="shared" si="18"/>
        <v>-4.359573999999998E-3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34.974150999999999</v>
      </c>
      <c r="Y124" s="190">
        <v>38.414440999999997</v>
      </c>
      <c r="Z124" s="190">
        <v>0.98234659000000002</v>
      </c>
      <c r="AA124" s="62">
        <v>0.98742965000000005</v>
      </c>
      <c r="AB124" s="62">
        <v>3.5144112999999998E-2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0.70216399999999624</v>
      </c>
      <c r="AN124" s="122">
        <f t="shared" si="15"/>
        <v>0.69140799999999558</v>
      </c>
      <c r="AO124" s="122">
        <f t="shared" si="16"/>
        <v>8.5589999999968747E-5</v>
      </c>
      <c r="AP124" s="122">
        <f t="shared" si="17"/>
        <v>3.039000000000236E-4</v>
      </c>
      <c r="AQ124" s="88">
        <f t="shared" si="18"/>
        <v>-4.9993099999999999E-3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39.095301999999997</v>
      </c>
      <c r="Y125" s="190">
        <v>42.242398999999999</v>
      </c>
      <c r="Z125" s="190">
        <v>0.98988745</v>
      </c>
      <c r="AA125" s="62">
        <v>0.99360590999999998</v>
      </c>
      <c r="AB125" s="62">
        <v>2.0115457E-2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1.4883549999999985</v>
      </c>
      <c r="AN125" s="122">
        <f t="shared" si="15"/>
        <v>0.93575899999999734</v>
      </c>
      <c r="AO125" s="122">
        <f t="shared" si="16"/>
        <v>2.1923999999995392E-4</v>
      </c>
      <c r="AP125" s="122">
        <f t="shared" si="17"/>
        <v>2.3972999999999356E-4</v>
      </c>
      <c r="AQ125" s="88">
        <f t="shared" si="18"/>
        <v>-4.4836590000000009E-3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43.282384</v>
      </c>
      <c r="Y126" s="190">
        <v>46.202686999999997</v>
      </c>
      <c r="Z126" s="190">
        <v>0.99413563000000005</v>
      </c>
      <c r="AA126" s="62">
        <v>0.99684594000000004</v>
      </c>
      <c r="AB126" s="62">
        <v>9.2002899999999999E-3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2.2518870000000035</v>
      </c>
      <c r="AN126" s="122">
        <f t="shared" si="15"/>
        <v>1.3455619999999939</v>
      </c>
      <c r="AO126" s="122">
        <f t="shared" si="16"/>
        <v>2.3442000000006846E-4</v>
      </c>
      <c r="AP126" s="122">
        <f t="shared" si="17"/>
        <v>4.4319000000003772E-4</v>
      </c>
      <c r="AQ126" s="88">
        <f t="shared" si="18"/>
        <v>-3.6756900000000006E-3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32.353884000000001</v>
      </c>
      <c r="Y128" s="97">
        <v>36.206147999999999</v>
      </c>
      <c r="Z128" s="97">
        <v>0.97293680000000005</v>
      </c>
      <c r="AA128" s="60">
        <v>0.97951374000000002</v>
      </c>
      <c r="AB128" s="60">
        <v>5.4223319999999998E-2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0.32232299999999725</v>
      </c>
      <c r="AN128" s="96">
        <f t="shared" si="15"/>
        <v>0.35355299999999801</v>
      </c>
      <c r="AO128" s="96">
        <f t="shared" si="16"/>
        <v>-1.0841999999999796E-4</v>
      </c>
      <c r="AP128" s="96">
        <f t="shared" si="17"/>
        <v>-7.0869999999945144E-5</v>
      </c>
      <c r="AQ128" s="121">
        <f t="shared" si="18"/>
        <v>-3.0067730000000042E-3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34.746008000000003</v>
      </c>
      <c r="Y129" s="190">
        <v>38.200009000000001</v>
      </c>
      <c r="Z129" s="190">
        <v>0.98259023999999995</v>
      </c>
      <c r="AA129" s="62">
        <v>0.98715125999999997</v>
      </c>
      <c r="AB129" s="62">
        <v>3.6664106000000002E-2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0.64630400000000066</v>
      </c>
      <c r="AN129" s="122">
        <f t="shared" si="15"/>
        <v>0.36545200000000477</v>
      </c>
      <c r="AO129" s="122">
        <f t="shared" si="16"/>
        <v>6.0569999999926516E-5</v>
      </c>
      <c r="AP129" s="122">
        <f t="shared" si="17"/>
        <v>2.273400000000203E-4</v>
      </c>
      <c r="AQ129" s="88">
        <f t="shared" si="18"/>
        <v>-2.899251999999998E-3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38.548344999999998</v>
      </c>
      <c r="Y130" s="190">
        <v>41.821041000000001</v>
      </c>
      <c r="Z130" s="190">
        <v>0.99012193999999998</v>
      </c>
      <c r="AA130" s="62">
        <v>0.99356394999999997</v>
      </c>
      <c r="AB130" s="62">
        <v>2.0385604000000002E-2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1.0853269999999995</v>
      </c>
      <c r="AN130" s="122">
        <f t="shared" si="15"/>
        <v>0.69069799999999759</v>
      </c>
      <c r="AO130" s="122">
        <f t="shared" si="16"/>
        <v>1.987500000000253E-4</v>
      </c>
      <c r="AP130" s="122">
        <f t="shared" si="17"/>
        <v>3.1260999999993544E-4</v>
      </c>
      <c r="AQ130" s="88">
        <f t="shared" si="18"/>
        <v>-3.0771029999999977E-3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43.198390000000003</v>
      </c>
      <c r="Y131" s="190">
        <v>46.10924</v>
      </c>
      <c r="Z131" s="190">
        <v>0.99424981999999995</v>
      </c>
      <c r="AA131" s="62">
        <v>0.99683865999999999</v>
      </c>
      <c r="AB131" s="62">
        <v>9.1737009999999994E-3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1.8890220000000042</v>
      </c>
      <c r="AN131" s="122">
        <f t="shared" si="15"/>
        <v>1.1094129999999964</v>
      </c>
      <c r="AO131" s="122">
        <f t="shared" si="16"/>
        <v>2.022999999999886E-4</v>
      </c>
      <c r="AP131" s="122">
        <f t="shared" si="17"/>
        <v>4.5190999999999981E-4</v>
      </c>
      <c r="AQ131" s="88">
        <f t="shared" si="18"/>
        <v>-2.755556000000001E-3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32.188180000000003</v>
      </c>
      <c r="Y133" s="97">
        <v>36.424612000000003</v>
      </c>
      <c r="Z133" s="97">
        <v>0.97181910999999999</v>
      </c>
      <c r="AA133" s="60">
        <v>0.97893706999999996</v>
      </c>
      <c r="AB133" s="60">
        <v>5.7916324999999998E-2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6.3363000000002501E-2</v>
      </c>
      <c r="AN133" s="96">
        <f t="shared" si="15"/>
        <v>0.26853900000000408</v>
      </c>
      <c r="AO133" s="96">
        <f t="shared" si="16"/>
        <v>-7.7899999999964109E-5</v>
      </c>
      <c r="AP133" s="96">
        <f t="shared" si="17"/>
        <v>-1.0098000000002827E-4</v>
      </c>
      <c r="AQ133" s="121">
        <f t="shared" si="18"/>
        <v>-2.142450000000018E-4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34.804352000000002</v>
      </c>
      <c r="Y134" s="190">
        <v>38.385348</v>
      </c>
      <c r="Z134" s="190">
        <v>0.98223821</v>
      </c>
      <c r="AA134" s="62">
        <v>0.98717765000000002</v>
      </c>
      <c r="AB134" s="62">
        <v>3.815503E-2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0.36831000000000103</v>
      </c>
      <c r="AN134" s="122">
        <f t="shared" si="15"/>
        <v>0.14373599999999698</v>
      </c>
      <c r="AO134" s="122">
        <f t="shared" si="16"/>
        <v>-8.6070000000049163E-5</v>
      </c>
      <c r="AP134" s="122">
        <f t="shared" si="17"/>
        <v>3.9087999999998235E-4</v>
      </c>
      <c r="AQ134" s="88">
        <f t="shared" si="18"/>
        <v>-2.3408700000000088E-4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38.604061999999999</v>
      </c>
      <c r="Y135" s="190">
        <v>41.835405000000002</v>
      </c>
      <c r="Z135" s="190">
        <v>0.99027266000000003</v>
      </c>
      <c r="AA135" s="62">
        <v>0.99350167</v>
      </c>
      <c r="AB135" s="62">
        <v>2.1319411999999999E-2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0.82001400000000046</v>
      </c>
      <c r="AN135" s="122">
        <f t="shared" si="15"/>
        <v>0.53536900000000287</v>
      </c>
      <c r="AO135" s="122">
        <f t="shared" si="16"/>
        <v>1.6332000000007785E-4</v>
      </c>
      <c r="AP135" s="122">
        <f t="shared" si="17"/>
        <v>1.4519000000001725E-4</v>
      </c>
      <c r="AQ135" s="88">
        <f t="shared" si="18"/>
        <v>-1.6896670000000023E-3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43.208883</v>
      </c>
      <c r="Y136" s="190">
        <v>46.080711999999998</v>
      </c>
      <c r="Z136" s="190">
        <v>0.99425711000000006</v>
      </c>
      <c r="AA136" s="62">
        <v>0.99676925000000005</v>
      </c>
      <c r="AB136" s="62">
        <v>9.8809229999999998E-3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1.5044809999999984</v>
      </c>
      <c r="AN136" s="122">
        <f t="shared" si="15"/>
        <v>0.88886699999999763</v>
      </c>
      <c r="AO136" s="122">
        <f t="shared" si="16"/>
        <v>1.3286000000001241E-4</v>
      </c>
      <c r="AP136" s="122">
        <f t="shared" si="17"/>
        <v>3.6164000000005192E-4</v>
      </c>
      <c r="AQ136" s="88">
        <f t="shared" si="18"/>
        <v>-2.0581350000000009E-3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27.469104999999999</v>
      </c>
      <c r="Y641" s="136">
        <f t="shared" si="60"/>
        <v>31.126788000000001</v>
      </c>
      <c r="Z641" s="136">
        <f t="shared" si="60"/>
        <v>0.95887721000000004</v>
      </c>
      <c r="AA641" s="136">
        <f t="shared" si="60"/>
        <v>0.96553473000000001</v>
      </c>
      <c r="AB641" s="136">
        <f t="shared" si="60"/>
        <v>5.1018139999999997E-2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31.483523000000002</v>
      </c>
      <c r="Y642" s="18">
        <f t="shared" si="60"/>
        <v>34.750317000000003</v>
      </c>
      <c r="Z642" s="18">
        <f t="shared" si="60"/>
        <v>0.97759141000000005</v>
      </c>
      <c r="AA642" s="18">
        <f t="shared" si="60"/>
        <v>0.98123150999999997</v>
      </c>
      <c r="AB642" s="18">
        <f t="shared" si="60"/>
        <v>3.3147799999999998E-2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36.323524999999997</v>
      </c>
      <c r="Y643" s="18">
        <f t="shared" si="60"/>
        <v>39.731538</v>
      </c>
      <c r="Z643" s="18">
        <f t="shared" si="60"/>
        <v>0.98854690999999995</v>
      </c>
      <c r="AA643" s="18">
        <f t="shared" si="60"/>
        <v>0.99191815999999999</v>
      </c>
      <c r="AB643" s="18">
        <f t="shared" si="60"/>
        <v>1.7784459999999998E-2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41.610036000000001</v>
      </c>
      <c r="Y644" s="18">
        <f t="shared" si="60"/>
        <v>44.663980000000002</v>
      </c>
      <c r="Z644" s="18">
        <f t="shared" si="60"/>
        <v>0.99386753999999999</v>
      </c>
      <c r="AA644" s="18">
        <f t="shared" si="60"/>
        <v>0.99621948000000005</v>
      </c>
      <c r="AB644" s="18">
        <f t="shared" si="60"/>
        <v>7.8268939999999992E-3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32.429071</v>
      </c>
      <c r="Y646" s="136">
        <f t="shared" si="62"/>
        <v>36.424612000000003</v>
      </c>
      <c r="Z646" s="136">
        <f t="shared" si="62"/>
        <v>0.97293680000000005</v>
      </c>
      <c r="AA646" s="136">
        <f t="shared" si="62"/>
        <v>0.98041431000000001</v>
      </c>
      <c r="AB646" s="136">
        <f t="shared" si="62"/>
        <v>6.6415000000000002E-2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35.091796000000002</v>
      </c>
      <c r="Y647" s="18">
        <f t="shared" si="62"/>
        <v>38.480911999999996</v>
      </c>
      <c r="Z647" s="18">
        <f t="shared" si="62"/>
        <v>0.98259023999999995</v>
      </c>
      <c r="AA647" s="18">
        <f t="shared" si="62"/>
        <v>0.98764596000000004</v>
      </c>
      <c r="AB647" s="18">
        <f t="shared" si="62"/>
        <v>4.4245479999999997E-2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39.095301999999997</v>
      </c>
      <c r="Y648" s="18">
        <f t="shared" si="62"/>
        <v>42.242398999999999</v>
      </c>
      <c r="Z648" s="18">
        <f t="shared" si="62"/>
        <v>0.99027266000000003</v>
      </c>
      <c r="AA648" s="18">
        <f t="shared" si="62"/>
        <v>0.99378529000000004</v>
      </c>
      <c r="AB648" s="18">
        <f t="shared" si="62"/>
        <v>2.3732968E-2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43.282384</v>
      </c>
      <c r="Y649" s="18">
        <f t="shared" si="62"/>
        <v>46.202686999999997</v>
      </c>
      <c r="Z649" s="18">
        <f t="shared" si="62"/>
        <v>0.99425711000000006</v>
      </c>
      <c r="AA649" s="18">
        <f t="shared" si="62"/>
        <v>0.99688217000000001</v>
      </c>
      <c r="AB649" s="18">
        <f t="shared" si="62"/>
        <v>9.8809229999999998E-3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4.9599660000000014</v>
      </c>
      <c r="Y651" s="136">
        <f t="shared" si="64"/>
        <v>5.2978240000000021</v>
      </c>
      <c r="Z651" s="136">
        <f t="shared" si="64"/>
        <v>1.4059590000000011E-2</v>
      </c>
      <c r="AA651" s="136">
        <f t="shared" si="64"/>
        <v>1.4879580000000003E-2</v>
      </c>
      <c r="AB651" s="136">
        <f t="shared" si="64"/>
        <v>1.5396860000000005E-2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3.6082730000000005</v>
      </c>
      <c r="Y652" s="18">
        <f t="shared" si="64"/>
        <v>3.7305949999999939</v>
      </c>
      <c r="Z652" s="18">
        <f t="shared" si="64"/>
        <v>4.9988299999998986E-3</v>
      </c>
      <c r="AA652" s="18">
        <f t="shared" si="64"/>
        <v>6.4144500000000715E-3</v>
      </c>
      <c r="AB652" s="18">
        <f t="shared" si="64"/>
        <v>1.1097679999999999E-2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2.7717770000000002</v>
      </c>
      <c r="Y653" s="18">
        <f t="shared" si="64"/>
        <v>2.5108609999999985</v>
      </c>
      <c r="Z653" s="18">
        <f t="shared" si="64"/>
        <v>1.7257500000000814E-3</v>
      </c>
      <c r="AA653" s="18">
        <f t="shared" si="64"/>
        <v>1.8671300000000501E-3</v>
      </c>
      <c r="AB653" s="18">
        <f t="shared" si="64"/>
        <v>5.9485080000000017E-3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1.6723479999999995</v>
      </c>
      <c r="Y654" s="18">
        <f t="shared" si="64"/>
        <v>1.5387069999999952</v>
      </c>
      <c r="Z654" s="18">
        <f t="shared" si="64"/>
        <v>3.8957000000006126E-4</v>
      </c>
      <c r="AA654" s="18">
        <f t="shared" si="64"/>
        <v>6.6268999999996581E-4</v>
      </c>
      <c r="AB654" s="18">
        <f t="shared" si="64"/>
        <v>2.0540290000000006E-3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28541.695999999996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30.633726285714289</v>
      </c>
      <c r="Y5" s="30">
        <f t="shared" si="2"/>
        <v>34.532868190476186</v>
      </c>
      <c r="Z5" s="30">
        <f t="shared" si="2"/>
        <v>0.96605876476190478</v>
      </c>
      <c r="AA5" s="91">
        <f t="shared" si="2"/>
        <v>0.97346077714285695</v>
      </c>
      <c r="AB5" s="91">
        <f t="shared" si="2"/>
        <v>5.6892585857142859E-2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-0.13967832457101181</v>
      </c>
      <c r="AN5" s="245">
        <f>bdrate($E5:$E8,G5:G8,$W5:$W8,Y5:Y8)</f>
        <v>-0.10759847338678918</v>
      </c>
      <c r="AO5" s="245">
        <f>bdrate($E5:$E8,H5:H8,$W5:$W8,Z5:Z8)</f>
        <v>-3.648004616641054E-3</v>
      </c>
      <c r="AP5" s="245">
        <f>bdrate($E5:$E8,I5:I8,$W5:$W8,AA5:AA8)</f>
        <v>-2.7394192925394023E-2</v>
      </c>
      <c r="AQ5" s="246">
        <f>bdrateInverted($E5:$E8,J5:J8,$W5:$W8,AB5:AB8)</f>
        <v>-0.15193946783459544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41509.984000000011</v>
      </c>
      <c r="X6" s="91">
        <f t="shared" si="2"/>
        <v>33.996017571428581</v>
      </c>
      <c r="Y6" s="91">
        <f t="shared" si="2"/>
        <v>37.340230571428563</v>
      </c>
      <c r="Z6" s="91">
        <f t="shared" si="2"/>
        <v>0.97917555238095255</v>
      </c>
      <c r="AA6" s="91">
        <f t="shared" si="2"/>
        <v>0.98457388619047626</v>
      </c>
      <c r="AB6" s="91">
        <f t="shared" si="2"/>
        <v>3.7326662809523806E-2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62100.04</v>
      </c>
      <c r="X7" s="91">
        <f t="shared" si="2"/>
        <v>38.220913190476189</v>
      </c>
      <c r="Y7" s="91">
        <f t="shared" si="2"/>
        <v>41.529669904761903</v>
      </c>
      <c r="Z7" s="91">
        <f t="shared" si="2"/>
        <v>0.98903771714285715</v>
      </c>
      <c r="AA7" s="91">
        <f t="shared" si="2"/>
        <v>0.99265061476190464</v>
      </c>
      <c r="AB7" s="91">
        <f t="shared" si="2"/>
        <v>2.0654894380952377E-2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90501.656000000003</v>
      </c>
      <c r="X8" s="91">
        <f t="shared" si="2"/>
        <v>42.432831333333326</v>
      </c>
      <c r="Y8" s="91">
        <f t="shared" si="2"/>
        <v>45.488029095238097</v>
      </c>
      <c r="Z8" s="91">
        <f t="shared" si="2"/>
        <v>0.99385602238095228</v>
      </c>
      <c r="AA8" s="91">
        <f t="shared" si="2"/>
        <v>0.99644433333333349</v>
      </c>
      <c r="AB8" s="91">
        <f t="shared" si="2"/>
        <v>9.0141502380952383E-3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6016.2</v>
      </c>
      <c r="Y16" s="167">
        <v>1245.432</v>
      </c>
      <c r="Z16" s="167">
        <v>465.952</v>
      </c>
      <c r="AA16" s="167">
        <v>240.304</v>
      </c>
      <c r="AB16" s="167">
        <v>8771.848</v>
      </c>
      <c r="AC16" s="60">
        <v>5224.7439999999997</v>
      </c>
      <c r="AD16" s="60">
        <v>1888.32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7890.7520000000004</v>
      </c>
      <c r="Y17" s="168">
        <v>4127.2960000000003</v>
      </c>
      <c r="Z17" s="168">
        <v>2205.08</v>
      </c>
      <c r="AA17" s="168">
        <v>1689.104</v>
      </c>
      <c r="AB17" s="168">
        <v>11322.832</v>
      </c>
      <c r="AC17" s="62">
        <v>7088.192</v>
      </c>
      <c r="AD17" s="62">
        <v>2497.8319999999999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9837.76</v>
      </c>
      <c r="Y18" s="168">
        <v>8656.0640000000003</v>
      </c>
      <c r="Z18" s="168">
        <v>6498.848</v>
      </c>
      <c r="AA18" s="168">
        <v>6296.9040000000005</v>
      </c>
      <c r="AB18" s="168">
        <v>13961.472</v>
      </c>
      <c r="AC18" s="62">
        <v>9034.9279999999999</v>
      </c>
      <c r="AD18" s="62">
        <v>3125.1680000000001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11701.84</v>
      </c>
      <c r="Y19" s="168">
        <v>13865.864</v>
      </c>
      <c r="Z19" s="168">
        <v>13496.008</v>
      </c>
      <c r="AA19" s="168">
        <v>15176.376</v>
      </c>
      <c r="AB19" s="168">
        <v>16708.84</v>
      </c>
      <c r="AC19" s="62">
        <v>11084.608</v>
      </c>
      <c r="AD19" s="62">
        <v>3779.2240000000002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28541.695999999996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41509.984000000011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62100.04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90501.656000000003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28.098351999999998</v>
      </c>
      <c r="Y33" s="97">
        <v>32.054631999999998</v>
      </c>
      <c r="Z33" s="97">
        <v>0.95969048000000001</v>
      </c>
      <c r="AA33" s="60">
        <v>0.96715499000000005</v>
      </c>
      <c r="AB33" s="60">
        <v>6.4367679999999997E-2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0.52089599999999692</v>
      </c>
      <c r="AN33" s="96">
        <f t="shared" ref="AN33:AN96" si="5">IF(OR(Y33="",G33=""),"",Y33-G33)</f>
        <v>0.92044499999999729</v>
      </c>
      <c r="AO33" s="96">
        <f t="shared" ref="AO33:AO96" si="6">IF(OR(Z33="",H33=""),"",Z33-H33)</f>
        <v>2.5553000000000381E-4</v>
      </c>
      <c r="AP33" s="96">
        <f t="shared" ref="AP33:AP96" si="7">IF(OR(AA33="",I33=""),"",AA33-I33)</f>
        <v>1.1351800000000134E-3</v>
      </c>
      <c r="AQ33" s="121">
        <f t="shared" ref="AQ33:AQ96" si="8">IF(OR(AB33="",J33=""),"",AB33-J33)</f>
        <v>-1.9156489999999998E-2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31.776192000000002</v>
      </c>
      <c r="Y34" s="190">
        <v>34.925879999999999</v>
      </c>
      <c r="Z34" s="190">
        <v>0.97700306000000003</v>
      </c>
      <c r="AA34" s="62">
        <v>0.98135163999999997</v>
      </c>
      <c r="AB34" s="62">
        <v>4.2804333999999999E-2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1.0171320000000001</v>
      </c>
      <c r="AN34" s="122">
        <f t="shared" si="5"/>
        <v>0.84953900000000004</v>
      </c>
      <c r="AO34" s="122">
        <f t="shared" si="6"/>
        <v>6.3450000000075946E-5</v>
      </c>
      <c r="AP34" s="122">
        <f t="shared" si="7"/>
        <v>1.1666099999999568E-3</v>
      </c>
      <c r="AQ34" s="88">
        <f t="shared" si="8"/>
        <v>-1.5285854000000001E-2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37.218060000000001</v>
      </c>
      <c r="Y35" s="190">
        <v>40.541446999999998</v>
      </c>
      <c r="Z35" s="190">
        <v>0.98912591999999999</v>
      </c>
      <c r="AA35" s="62">
        <v>0.99230404999999999</v>
      </c>
      <c r="AB35" s="62">
        <v>2.1770306E-2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2.5164380000000008</v>
      </c>
      <c r="AN35" s="122">
        <f t="shared" si="5"/>
        <v>1.4932609999999968</v>
      </c>
      <c r="AO35" s="122">
        <f t="shared" si="6"/>
        <v>4.1393999999994602E-4</v>
      </c>
      <c r="AP35" s="122">
        <f t="shared" si="7"/>
        <v>5.2189000000002483E-4</v>
      </c>
      <c r="AQ35" s="88">
        <f t="shared" si="8"/>
        <v>-1.1324517000000003E-2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41.460711000000003</v>
      </c>
      <c r="Y36" s="190">
        <v>44.589995000000002</v>
      </c>
      <c r="Z36" s="190">
        <v>0.99399298999999997</v>
      </c>
      <c r="AA36" s="62">
        <v>0.99630397999999998</v>
      </c>
      <c r="AB36" s="62">
        <v>8.8417270000000006E-3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4.175571000000005</v>
      </c>
      <c r="AN36" s="122">
        <f t="shared" si="5"/>
        <v>2.8943459999999988</v>
      </c>
      <c r="AO36" s="122">
        <f t="shared" si="6"/>
        <v>4.9623999999992563E-4</v>
      </c>
      <c r="AP36" s="122">
        <f t="shared" si="7"/>
        <v>6.4129999999995579E-4</v>
      </c>
      <c r="AQ36" s="88">
        <f t="shared" si="8"/>
        <v>-1.0181618999999999E-2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28.675245</v>
      </c>
      <c r="Y38" s="97">
        <v>32.566229999999997</v>
      </c>
      <c r="Z38" s="97">
        <v>0.96097862000000001</v>
      </c>
      <c r="AA38" s="60">
        <v>0.96692935999999996</v>
      </c>
      <c r="AB38" s="60">
        <v>6.0594625999999999E-2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0.48189599999999899</v>
      </c>
      <c r="AN38" s="96">
        <f t="shared" si="5"/>
        <v>0.75780799999999715</v>
      </c>
      <c r="AO38" s="96">
        <f t="shared" si="6"/>
        <v>1.2297999999999476E-4</v>
      </c>
      <c r="AP38" s="96">
        <f t="shared" si="7"/>
        <v>8.447999999999789E-4</v>
      </c>
      <c r="AQ38" s="121">
        <f t="shared" si="8"/>
        <v>-1.5471077999999999E-2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32.499557000000003</v>
      </c>
      <c r="Y39" s="190">
        <v>35.718539999999997</v>
      </c>
      <c r="Z39" s="190">
        <v>0.97726088</v>
      </c>
      <c r="AA39" s="62">
        <v>0.98154377999999998</v>
      </c>
      <c r="AB39" s="62">
        <v>4.2443767E-2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1.2468680000000028</v>
      </c>
      <c r="AN39" s="122">
        <f t="shared" si="5"/>
        <v>0.98603899999999811</v>
      </c>
      <c r="AO39" s="122">
        <f t="shared" si="6"/>
        <v>6.9369999999957521E-5</v>
      </c>
      <c r="AP39" s="122">
        <f t="shared" si="7"/>
        <v>1.19111999999999E-3</v>
      </c>
      <c r="AQ39" s="88">
        <f t="shared" si="8"/>
        <v>-1.1569293000000001E-2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37.318156999999999</v>
      </c>
      <c r="Y40" s="190">
        <v>40.714190000000002</v>
      </c>
      <c r="Z40" s="190">
        <v>0.98884598999999995</v>
      </c>
      <c r="AA40" s="62">
        <v>0.99200622999999999</v>
      </c>
      <c r="AB40" s="62">
        <v>2.2857927E-2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2.3168199999999999</v>
      </c>
      <c r="AN40" s="122">
        <f t="shared" si="5"/>
        <v>1.4945110000000028</v>
      </c>
      <c r="AO40" s="122">
        <f t="shared" si="6"/>
        <v>4.3176999999994248E-4</v>
      </c>
      <c r="AP40" s="122">
        <f t="shared" si="7"/>
        <v>5.8712999999999127E-4</v>
      </c>
      <c r="AQ40" s="88">
        <f t="shared" si="8"/>
        <v>-8.9668889999999987E-3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41.580401000000002</v>
      </c>
      <c r="Y41" s="190">
        <v>44.695614999999997</v>
      </c>
      <c r="Z41" s="190">
        <v>0.99388692000000001</v>
      </c>
      <c r="AA41" s="62">
        <v>0.99620750999999996</v>
      </c>
      <c r="AB41" s="62">
        <v>8.9673029999999994E-3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4.1904189999999986</v>
      </c>
      <c r="AN41" s="122">
        <f t="shared" si="5"/>
        <v>2.9322639999999964</v>
      </c>
      <c r="AO41" s="122">
        <f t="shared" si="6"/>
        <v>5.567100000000158E-4</v>
      </c>
      <c r="AP41" s="122">
        <f t="shared" si="7"/>
        <v>6.9840999999992714E-4</v>
      </c>
      <c r="AQ41" s="88">
        <f t="shared" si="8"/>
        <v>-9.9543909999999999E-3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29.265557999999999</v>
      </c>
      <c r="Y43" s="97">
        <v>33.023508999999997</v>
      </c>
      <c r="Z43" s="97">
        <v>0.96263076000000003</v>
      </c>
      <c r="AA43" s="60">
        <v>0.96874558</v>
      </c>
      <c r="AB43" s="60">
        <v>6.1746466999999999E-2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0.49735399999999785</v>
      </c>
      <c r="AN43" s="96">
        <f t="shared" si="5"/>
        <v>0.61385899999999793</v>
      </c>
      <c r="AO43" s="96">
        <f t="shared" si="6"/>
        <v>5.1637000000004374E-4</v>
      </c>
      <c r="AP43" s="96">
        <f t="shared" si="7"/>
        <v>9.480800000000178E-4</v>
      </c>
      <c r="AQ43" s="121">
        <f t="shared" si="8"/>
        <v>-1.2863753000000006E-2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32.864924999999999</v>
      </c>
      <c r="Y44" s="190">
        <v>36.093868999999998</v>
      </c>
      <c r="Z44" s="190">
        <v>0.97764534000000003</v>
      </c>
      <c r="AA44" s="62">
        <v>0.98204548999999997</v>
      </c>
      <c r="AB44" s="62">
        <v>4.2228725000000002E-2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1.1715680000000006</v>
      </c>
      <c r="AN44" s="122">
        <f t="shared" si="5"/>
        <v>0.840916</v>
      </c>
      <c r="AO44" s="122">
        <f t="shared" si="6"/>
        <v>1.3079000000004726E-4</v>
      </c>
      <c r="AP44" s="122">
        <f t="shared" si="7"/>
        <v>1.0613699999999504E-3</v>
      </c>
      <c r="AQ44" s="88">
        <f t="shared" si="8"/>
        <v>-7.8240149999999967E-3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37.323540999999999</v>
      </c>
      <c r="Y45" s="190">
        <v>40.823959000000002</v>
      </c>
      <c r="Z45" s="190">
        <v>0.98877806000000001</v>
      </c>
      <c r="AA45" s="62">
        <v>0.99197239000000004</v>
      </c>
      <c r="AB45" s="62">
        <v>2.3455719999999999E-2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2.3042820000000006</v>
      </c>
      <c r="AN45" s="122">
        <f t="shared" si="5"/>
        <v>1.5377989999999997</v>
      </c>
      <c r="AO45" s="122">
        <f t="shared" si="6"/>
        <v>3.7734000000000378E-4</v>
      </c>
      <c r="AP45" s="122">
        <f t="shared" si="7"/>
        <v>4.8244000000008391E-4</v>
      </c>
      <c r="AQ45" s="88">
        <f t="shared" si="8"/>
        <v>-9.0539800000000031E-3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41.661174000000003</v>
      </c>
      <c r="Y46" s="190">
        <v>44.857157999999998</v>
      </c>
      <c r="Z46" s="190">
        <v>0.99386032000000002</v>
      </c>
      <c r="AA46" s="62">
        <v>0.99619416999999999</v>
      </c>
      <c r="AB46" s="62">
        <v>9.2107170000000002E-3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3.8684980000000024</v>
      </c>
      <c r="AN46" s="122">
        <f t="shared" si="5"/>
        <v>2.688449999999996</v>
      </c>
      <c r="AO46" s="122">
        <f t="shared" si="6"/>
        <v>5.3831000000004181E-4</v>
      </c>
      <c r="AP46" s="122">
        <f t="shared" si="7"/>
        <v>6.5471999999999753E-4</v>
      </c>
      <c r="AQ46" s="88">
        <f t="shared" si="8"/>
        <v>-8.9268480000000011E-3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30.000471000000001</v>
      </c>
      <c r="Y48" s="97">
        <v>33.716405000000002</v>
      </c>
      <c r="Z48" s="97">
        <v>0.96322964</v>
      </c>
      <c r="AA48" s="60">
        <v>0.96994015</v>
      </c>
      <c r="AB48" s="60">
        <v>5.7648434999999998E-2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0.35442800000000219</v>
      </c>
      <c r="AN48" s="96">
        <f t="shared" si="5"/>
        <v>0.60979499999999831</v>
      </c>
      <c r="AO48" s="96">
        <f t="shared" si="6"/>
        <v>5.2956000000004E-4</v>
      </c>
      <c r="AP48" s="96">
        <f t="shared" si="7"/>
        <v>1.1080700000000165E-3</v>
      </c>
      <c r="AQ48" s="121">
        <f t="shared" si="8"/>
        <v>-9.2763250000000019E-3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33.621459000000002</v>
      </c>
      <c r="Y49" s="190">
        <v>36.818837000000002</v>
      </c>
      <c r="Z49" s="190">
        <v>0.97729189000000005</v>
      </c>
      <c r="AA49" s="62">
        <v>0.98259019000000003</v>
      </c>
      <c r="AB49" s="62">
        <v>3.8821130000000002E-2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0.98638199999999898</v>
      </c>
      <c r="AN49" s="122">
        <f t="shared" si="5"/>
        <v>0.72795900000000557</v>
      </c>
      <c r="AO49" s="122">
        <f t="shared" si="6"/>
        <v>3.0567000000003564E-4</v>
      </c>
      <c r="AP49" s="122">
        <f t="shared" si="7"/>
        <v>7.9031000000007179E-4</v>
      </c>
      <c r="AQ49" s="88">
        <f t="shared" si="8"/>
        <v>-5.3382859999999976E-3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37.705153000000003</v>
      </c>
      <c r="Y50" s="190">
        <v>41.112155000000001</v>
      </c>
      <c r="Z50" s="190">
        <v>0.98833936</v>
      </c>
      <c r="AA50" s="62">
        <v>0.99187365999999999</v>
      </c>
      <c r="AB50" s="62">
        <v>2.2039881000000001E-2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2.0710499999999996</v>
      </c>
      <c r="AN50" s="122">
        <f t="shared" si="5"/>
        <v>1.3027920000000037</v>
      </c>
      <c r="AO50" s="122">
        <f t="shared" si="6"/>
        <v>4.3029000000005535E-4</v>
      </c>
      <c r="AP50" s="122">
        <f t="shared" si="7"/>
        <v>5.3522999999999765E-4</v>
      </c>
      <c r="AQ50" s="88">
        <f t="shared" si="8"/>
        <v>-7.2455220000000008E-3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42.006920999999998</v>
      </c>
      <c r="Y51" s="190">
        <v>45.154586999999999</v>
      </c>
      <c r="Z51" s="190">
        <v>0.99370888000000002</v>
      </c>
      <c r="AA51" s="62">
        <v>0.99617</v>
      </c>
      <c r="AB51" s="62">
        <v>9.0003180000000002E-3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3.6391769999999966</v>
      </c>
      <c r="AN51" s="122">
        <f t="shared" si="5"/>
        <v>2.4322289999999995</v>
      </c>
      <c r="AO51" s="122">
        <f t="shared" si="6"/>
        <v>4.9465000000004089E-4</v>
      </c>
      <c r="AP51" s="122">
        <f t="shared" si="7"/>
        <v>6.8371000000000404E-4</v>
      </c>
      <c r="AQ51" s="88">
        <f t="shared" si="8"/>
        <v>-7.1301260000000005E-3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30.094055000000001</v>
      </c>
      <c r="Y53" s="97">
        <v>33.808982999999998</v>
      </c>
      <c r="Z53" s="97">
        <v>0.96258332999999996</v>
      </c>
      <c r="AA53" s="60">
        <v>0.97020320999999998</v>
      </c>
      <c r="AB53" s="60">
        <v>5.6882724000000003E-2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0.57200600000000179</v>
      </c>
      <c r="AN53" s="96">
        <f t="shared" si="5"/>
        <v>0.71355699999999445</v>
      </c>
      <c r="AO53" s="96">
        <f t="shared" si="6"/>
        <v>2.0645999999990838E-4</v>
      </c>
      <c r="AP53" s="96">
        <f t="shared" si="7"/>
        <v>8.3686999999998957E-4</v>
      </c>
      <c r="AQ53" s="121">
        <f t="shared" si="8"/>
        <v>-9.748635999999998E-3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33.525499000000003</v>
      </c>
      <c r="Y54" s="190">
        <v>36.741503000000002</v>
      </c>
      <c r="Z54" s="190">
        <v>0.97717869999999996</v>
      </c>
      <c r="AA54" s="62">
        <v>0.98251193999999997</v>
      </c>
      <c r="AB54" s="62">
        <v>3.8077038000000001E-2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1.0668320000000051</v>
      </c>
      <c r="AN54" s="122">
        <f t="shared" si="5"/>
        <v>0.75658500000000117</v>
      </c>
      <c r="AO54" s="122">
        <f t="shared" si="6"/>
        <v>2.8075999999999102E-4</v>
      </c>
      <c r="AP54" s="122">
        <f t="shared" si="7"/>
        <v>7.5550999999995927E-4</v>
      </c>
      <c r="AQ54" s="88">
        <f t="shared" si="8"/>
        <v>-6.3559899999999989E-3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37.477147000000002</v>
      </c>
      <c r="Y55" s="190">
        <v>40.928004999999999</v>
      </c>
      <c r="Z55" s="190">
        <v>0.98822217000000001</v>
      </c>
      <c r="AA55" s="62">
        <v>0.99171427999999995</v>
      </c>
      <c r="AB55" s="62">
        <v>2.2191296999999999E-2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1.7973810000000014</v>
      </c>
      <c r="AN55" s="122">
        <f t="shared" si="5"/>
        <v>1.1645359999999982</v>
      </c>
      <c r="AO55" s="122">
        <f t="shared" si="6"/>
        <v>4.4611000000005507E-4</v>
      </c>
      <c r="AP55" s="122">
        <f t="shared" si="7"/>
        <v>5.5747999999999909E-4</v>
      </c>
      <c r="AQ55" s="88">
        <f t="shared" si="8"/>
        <v>-6.3435310000000029E-3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41.771529999999998</v>
      </c>
      <c r="Y56" s="190">
        <v>44.946174999999997</v>
      </c>
      <c r="Z56" s="190">
        <v>0.99363159000000001</v>
      </c>
      <c r="AA56" s="62">
        <v>0.99608903000000004</v>
      </c>
      <c r="AB56" s="62">
        <v>9.1291810000000001E-3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3.1740250000000003</v>
      </c>
      <c r="AN56" s="122">
        <f t="shared" si="5"/>
        <v>2.1209479999999985</v>
      </c>
      <c r="AO56" s="122">
        <f t="shared" si="6"/>
        <v>4.8692999999999653E-4</v>
      </c>
      <c r="AP56" s="122">
        <f t="shared" si="7"/>
        <v>7.2094000000000324E-4</v>
      </c>
      <c r="AQ56" s="88">
        <f t="shared" si="8"/>
        <v>-5.8696200000000007E-3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30.123092</v>
      </c>
      <c r="Y58" s="97">
        <v>33.859516999999997</v>
      </c>
      <c r="Z58" s="97">
        <v>0.96193178000000001</v>
      </c>
      <c r="AA58" s="60">
        <v>0.97016793000000001</v>
      </c>
      <c r="AB58" s="60">
        <v>5.8705684000000001E-2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0.44076199999999943</v>
      </c>
      <c r="AN58" s="96">
        <f t="shared" si="5"/>
        <v>0.60140799999999928</v>
      </c>
      <c r="AO58" s="96">
        <f t="shared" si="6"/>
        <v>1.0169000000004313E-4</v>
      </c>
      <c r="AP58" s="96">
        <f t="shared" si="7"/>
        <v>5.6062000000001166E-4</v>
      </c>
      <c r="AQ58" s="121">
        <f t="shared" si="8"/>
        <v>-8.6267159999999996E-3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33.604982999999997</v>
      </c>
      <c r="Y59" s="190">
        <v>36.818162000000001</v>
      </c>
      <c r="Z59" s="190">
        <v>0.97707255000000004</v>
      </c>
      <c r="AA59" s="62">
        <v>0.98268834999999999</v>
      </c>
      <c r="AB59" s="62">
        <v>3.8787431999999997E-2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1.0191909999999993</v>
      </c>
      <c r="AN59" s="122">
        <f t="shared" si="5"/>
        <v>0.72080600000000317</v>
      </c>
      <c r="AO59" s="122">
        <f t="shared" si="6"/>
        <v>4.1963000000000417E-4</v>
      </c>
      <c r="AP59" s="122">
        <f t="shared" si="7"/>
        <v>7.938399999999346E-4</v>
      </c>
      <c r="AQ59" s="88">
        <f t="shared" si="8"/>
        <v>-6.215654000000001E-3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37.302655999999999</v>
      </c>
      <c r="Y60" s="190">
        <v>40.792816999999999</v>
      </c>
      <c r="Z60" s="190">
        <v>0.98823804999999998</v>
      </c>
      <c r="AA60" s="62">
        <v>0.99173803999999999</v>
      </c>
      <c r="AB60" s="62">
        <v>2.3254389E-2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1.4629979999999989</v>
      </c>
      <c r="AN60" s="122">
        <f t="shared" si="5"/>
        <v>0.96120799999999917</v>
      </c>
      <c r="AO60" s="122">
        <f t="shared" si="6"/>
        <v>4.4946999999995185E-4</v>
      </c>
      <c r="AP60" s="122">
        <f t="shared" si="7"/>
        <v>5.8678000000000896E-4</v>
      </c>
      <c r="AQ60" s="88">
        <f t="shared" si="8"/>
        <v>-5.1522459999999992E-3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41.702482000000003</v>
      </c>
      <c r="Y61" s="190">
        <v>44.881117000000003</v>
      </c>
      <c r="Z61" s="190">
        <v>0.99359185999999999</v>
      </c>
      <c r="AA61" s="62">
        <v>0.99608797000000004</v>
      </c>
      <c r="AB61" s="62">
        <v>9.5267140000000004E-3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2.6947180000000017</v>
      </c>
      <c r="AN61" s="122">
        <f t="shared" si="5"/>
        <v>1.7559230000000028</v>
      </c>
      <c r="AO61" s="122">
        <f t="shared" si="6"/>
        <v>4.129999999999967E-4</v>
      </c>
      <c r="AP61" s="122">
        <f t="shared" si="7"/>
        <v>7.641000000000453E-4</v>
      </c>
      <c r="AQ61" s="88">
        <f t="shared" si="8"/>
        <v>-4.7941370000000004E-3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30.176613</v>
      </c>
      <c r="Y63" s="97">
        <v>34.059023000000003</v>
      </c>
      <c r="Z63" s="97">
        <v>0.96128555000000004</v>
      </c>
      <c r="AA63" s="60">
        <v>0.97120660999999997</v>
      </c>
      <c r="AB63" s="60">
        <v>6.0842215999999998E-2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0.17960000000000065</v>
      </c>
      <c r="AN63" s="96">
        <f t="shared" si="5"/>
        <v>0.39854100000000159</v>
      </c>
      <c r="AO63" s="96">
        <f t="shared" si="6"/>
        <v>1.3853000000008109E-4</v>
      </c>
      <c r="AP63" s="96">
        <f t="shared" si="7"/>
        <v>8.5692999999997799E-4</v>
      </c>
      <c r="AQ63" s="121">
        <f t="shared" si="8"/>
        <v>-5.0041600000000006E-3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33.728149999999999</v>
      </c>
      <c r="Y64" s="190">
        <v>37.028444</v>
      </c>
      <c r="Z64" s="190">
        <v>0.97700708000000003</v>
      </c>
      <c r="AA64" s="62">
        <v>0.98316831000000005</v>
      </c>
      <c r="AB64" s="62">
        <v>3.8551530000000001E-2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0.58048999999999751</v>
      </c>
      <c r="AN64" s="122">
        <f t="shared" si="5"/>
        <v>0.46319700000000097</v>
      </c>
      <c r="AO64" s="122">
        <f t="shared" si="6"/>
        <v>4.0320000000004796E-4</v>
      </c>
      <c r="AP64" s="122">
        <f t="shared" si="7"/>
        <v>9.440800000000138E-4</v>
      </c>
      <c r="AQ64" s="88">
        <f t="shared" si="8"/>
        <v>-3.4446919999999992E-3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37.473421000000002</v>
      </c>
      <c r="Y65" s="190">
        <v>40.980995</v>
      </c>
      <c r="Z65" s="190">
        <v>0.98832324000000005</v>
      </c>
      <c r="AA65" s="62">
        <v>0.99196622000000001</v>
      </c>
      <c r="AB65" s="62">
        <v>2.3257325999999998E-2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1.0819130000000001</v>
      </c>
      <c r="AN65" s="122">
        <f t="shared" si="5"/>
        <v>0.72878599999999949</v>
      </c>
      <c r="AO65" s="122">
        <f t="shared" si="6"/>
        <v>3.4325000000001715E-4</v>
      </c>
      <c r="AP65" s="122">
        <f t="shared" si="7"/>
        <v>6.3659999999998718E-4</v>
      </c>
      <c r="AQ65" s="88">
        <f t="shared" si="8"/>
        <v>-3.664002000000003E-3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41.818677999999998</v>
      </c>
      <c r="Y66" s="190">
        <v>45.021746</v>
      </c>
      <c r="Z66" s="190">
        <v>0.99368389999999995</v>
      </c>
      <c r="AA66" s="62">
        <v>0.99618521999999998</v>
      </c>
      <c r="AB66" s="62">
        <v>9.4602120000000008E-3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2.1309770000000015</v>
      </c>
      <c r="AN66" s="122">
        <f t="shared" si="5"/>
        <v>1.4327040000000011</v>
      </c>
      <c r="AO66" s="122">
        <f t="shared" si="6"/>
        <v>3.635599999999295E-4</v>
      </c>
      <c r="AP66" s="122">
        <f t="shared" si="7"/>
        <v>6.3301999999998415E-4</v>
      </c>
      <c r="AQ66" s="88">
        <f t="shared" si="8"/>
        <v>-3.660244E-3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29.580186999999999</v>
      </c>
      <c r="Y68" s="97">
        <v>33.630693000000001</v>
      </c>
      <c r="Z68" s="97">
        <v>0.96245455000000002</v>
      </c>
      <c r="AA68" s="60">
        <v>0.96972437</v>
      </c>
      <c r="AB68" s="60">
        <v>5.6489207E-2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0.59560699999999756</v>
      </c>
      <c r="AN68" s="96">
        <f t="shared" si="5"/>
        <v>1.1719089999999994</v>
      </c>
      <c r="AO68" s="96">
        <f t="shared" si="6"/>
        <v>1.6656999999997701E-4</v>
      </c>
      <c r="AP68" s="96">
        <f t="shared" si="7"/>
        <v>1.5501500000000279E-3</v>
      </c>
      <c r="AQ68" s="121">
        <f t="shared" si="8"/>
        <v>-1.4877833000000007E-2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33.434097000000001</v>
      </c>
      <c r="Y69" s="190">
        <v>36.848036</v>
      </c>
      <c r="Z69" s="190">
        <v>0.97762621999999999</v>
      </c>
      <c r="AA69" s="62">
        <v>0.98292407000000004</v>
      </c>
      <c r="AB69" s="62">
        <v>3.517812E-2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1.455363000000002</v>
      </c>
      <c r="AN69" s="122">
        <f t="shared" si="5"/>
        <v>1.2870819999999981</v>
      </c>
      <c r="AO69" s="122">
        <f t="shared" si="6"/>
        <v>1.1974000000003482E-4</v>
      </c>
      <c r="AP69" s="122">
        <f t="shared" si="7"/>
        <v>1.1540600000000678E-3</v>
      </c>
      <c r="AQ69" s="88">
        <f t="shared" si="8"/>
        <v>-1.1688270000000001E-2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38.259590000000003</v>
      </c>
      <c r="Y70" s="190">
        <v>41.431578000000002</v>
      </c>
      <c r="Z70" s="190">
        <v>0.98898178000000003</v>
      </c>
      <c r="AA70" s="62">
        <v>0.99249646000000002</v>
      </c>
      <c r="AB70" s="62">
        <v>1.7916729999999999E-2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3.1773520000000062</v>
      </c>
      <c r="AN70" s="122">
        <f t="shared" si="5"/>
        <v>1.9953849999999989</v>
      </c>
      <c r="AO70" s="122">
        <f t="shared" si="6"/>
        <v>4.1645000000001264E-4</v>
      </c>
      <c r="AP70" s="122">
        <f t="shared" si="7"/>
        <v>6.82150000000048E-4</v>
      </c>
      <c r="AQ70" s="88">
        <f t="shared" si="8"/>
        <v>-1.2129190000000001E-2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42.196649999999998</v>
      </c>
      <c r="Y71" s="190">
        <v>45.174027000000002</v>
      </c>
      <c r="Z71" s="190">
        <v>0.99387749999999997</v>
      </c>
      <c r="AA71" s="62">
        <v>0.99637655999999997</v>
      </c>
      <c r="AB71" s="62">
        <v>8.1002130000000002E-3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4.653614999999995</v>
      </c>
      <c r="AN71" s="122">
        <f t="shared" si="5"/>
        <v>3.1907550000000029</v>
      </c>
      <c r="AO71" s="122">
        <f t="shared" si="6"/>
        <v>5.0284999999994362E-4</v>
      </c>
      <c r="AP71" s="122">
        <f t="shared" si="7"/>
        <v>7.314099999999879E-4</v>
      </c>
      <c r="AQ71" s="88">
        <f t="shared" si="8"/>
        <v>-9.4818349999999992E-3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30.090893000000001</v>
      </c>
      <c r="Y73" s="97">
        <v>34.192658999999999</v>
      </c>
      <c r="Z73" s="97">
        <v>0.96452519000000003</v>
      </c>
      <c r="AA73" s="60">
        <v>0.97023174000000001</v>
      </c>
      <c r="AB73" s="60">
        <v>5.3575396999999997E-2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0.56391999999999953</v>
      </c>
      <c r="AN73" s="96">
        <f t="shared" si="5"/>
        <v>0.92647699999999844</v>
      </c>
      <c r="AO73" s="96">
        <f t="shared" si="6"/>
        <v>3.5576999999997749E-4</v>
      </c>
      <c r="AP73" s="96">
        <f t="shared" si="7"/>
        <v>1.4442100000000568E-3</v>
      </c>
      <c r="AQ73" s="121">
        <f t="shared" si="8"/>
        <v>-1.0431693000000006E-2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33.688828000000001</v>
      </c>
      <c r="Y74" s="190">
        <v>37.105376</v>
      </c>
      <c r="Z74" s="190">
        <v>0.97826261000000003</v>
      </c>
      <c r="AA74" s="62">
        <v>0.98280840000000003</v>
      </c>
      <c r="AB74" s="62">
        <v>3.4930862E-2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1.4058250000000001</v>
      </c>
      <c r="AN74" s="122">
        <f t="shared" si="5"/>
        <v>1.0943520000000007</v>
      </c>
      <c r="AO74" s="122">
        <f t="shared" si="6"/>
        <v>1.4884999999997817E-4</v>
      </c>
      <c r="AP74" s="122">
        <f t="shared" si="7"/>
        <v>1.181100000000046E-3</v>
      </c>
      <c r="AQ74" s="88">
        <f t="shared" si="8"/>
        <v>-7.3486420000000024E-3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38.249780999999999</v>
      </c>
      <c r="Y75" s="190">
        <v>41.499062000000002</v>
      </c>
      <c r="Z75" s="190">
        <v>0.98885590000000001</v>
      </c>
      <c r="AA75" s="62">
        <v>0.99225173</v>
      </c>
      <c r="AB75" s="62">
        <v>1.8129514999999999E-2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2.2714439999999954</v>
      </c>
      <c r="AN75" s="122">
        <f t="shared" si="5"/>
        <v>1.4347990000000053</v>
      </c>
      <c r="AO75" s="122">
        <f t="shared" si="6"/>
        <v>4.2076000000002001E-4</v>
      </c>
      <c r="AP75" s="122">
        <f t="shared" si="7"/>
        <v>6.8878999999999468E-4</v>
      </c>
      <c r="AQ75" s="88">
        <f t="shared" si="8"/>
        <v>-7.3847300000000025E-3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42.388010999999999</v>
      </c>
      <c r="Y76" s="190">
        <v>45.420352000000001</v>
      </c>
      <c r="Z76" s="190">
        <v>0.99386149999999995</v>
      </c>
      <c r="AA76" s="62">
        <v>0.99635220000000002</v>
      </c>
      <c r="AB76" s="62">
        <v>7.9950669999999998E-3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4.4850179999999966</v>
      </c>
      <c r="AN76" s="122">
        <f t="shared" si="5"/>
        <v>3.1317689999999985</v>
      </c>
      <c r="AO76" s="122">
        <f t="shared" si="6"/>
        <v>5.0435999999998149E-4</v>
      </c>
      <c r="AP76" s="122">
        <f t="shared" si="7"/>
        <v>7.238099999999914E-4</v>
      </c>
      <c r="AQ76" s="88">
        <f t="shared" si="8"/>
        <v>-8.5677280000000019E-3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30.452356000000002</v>
      </c>
      <c r="Y78" s="97">
        <v>34.171399000000001</v>
      </c>
      <c r="Z78" s="97">
        <v>0.96618556</v>
      </c>
      <c r="AA78" s="60">
        <v>0.97136186999999996</v>
      </c>
      <c r="AB78" s="60">
        <v>5.4194473E-2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0.81560500000000147</v>
      </c>
      <c r="AN78" s="96">
        <f t="shared" si="5"/>
        <v>0.83248199999999883</v>
      </c>
      <c r="AO78" s="96">
        <f t="shared" si="6"/>
        <v>4.3733000000001354E-4</v>
      </c>
      <c r="AP78" s="96">
        <f t="shared" si="7"/>
        <v>1.2874899999999467E-3</v>
      </c>
      <c r="AQ78" s="121">
        <f t="shared" si="8"/>
        <v>-1.2278661000000003E-2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33.684054000000003</v>
      </c>
      <c r="Y79" s="190">
        <v>36.994684999999997</v>
      </c>
      <c r="Z79" s="190">
        <v>0.97880102000000002</v>
      </c>
      <c r="AA79" s="62">
        <v>0.98314884000000002</v>
      </c>
      <c r="AB79" s="62">
        <v>3.5992416999999999E-2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1.4430650000000043</v>
      </c>
      <c r="AN79" s="122">
        <f t="shared" si="5"/>
        <v>0.94004099999999369</v>
      </c>
      <c r="AO79" s="122">
        <f t="shared" si="6"/>
        <v>1.110699999999909E-4</v>
      </c>
      <c r="AP79" s="122">
        <f t="shared" si="7"/>
        <v>9.2532000000000725E-4</v>
      </c>
      <c r="AQ79" s="88">
        <f t="shared" si="8"/>
        <v>-8.2285830000000046E-3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38.137971999999998</v>
      </c>
      <c r="Y80" s="190">
        <v>41.501173000000001</v>
      </c>
      <c r="Z80" s="190">
        <v>0.98890696</v>
      </c>
      <c r="AA80" s="62">
        <v>0.99238194000000002</v>
      </c>
      <c r="AB80" s="62">
        <v>1.8992874999999999E-2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2.5767999999999986</v>
      </c>
      <c r="AN80" s="122">
        <f t="shared" si="5"/>
        <v>1.632080000000002</v>
      </c>
      <c r="AO80" s="122">
        <f t="shared" si="6"/>
        <v>3.8753999999996402E-4</v>
      </c>
      <c r="AP80" s="122">
        <f t="shared" si="7"/>
        <v>6.4452999999997651E-4</v>
      </c>
      <c r="AQ80" s="88">
        <f t="shared" si="8"/>
        <v>-1.0042086000000002E-2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42.415028999999997</v>
      </c>
      <c r="Y81" s="190">
        <v>45.510207999999999</v>
      </c>
      <c r="Z81" s="190">
        <v>0.99388584000000002</v>
      </c>
      <c r="AA81" s="62">
        <v>0.99635379000000002</v>
      </c>
      <c r="AB81" s="62">
        <v>8.2094219999999992E-3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4.0975070000000002</v>
      </c>
      <c r="AN81" s="122">
        <f t="shared" si="5"/>
        <v>2.8044879999999992</v>
      </c>
      <c r="AO81" s="122">
        <f t="shared" si="6"/>
        <v>4.8477000000002324E-4</v>
      </c>
      <c r="AP81" s="122">
        <f t="shared" si="7"/>
        <v>6.8511000000004429E-4</v>
      </c>
      <c r="AQ81" s="88">
        <f t="shared" si="8"/>
        <v>-7.910116E-3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30.677814999999999</v>
      </c>
      <c r="Y83" s="97">
        <v>34.498711</v>
      </c>
      <c r="Z83" s="97">
        <v>0.96701563999999995</v>
      </c>
      <c r="AA83" s="60">
        <v>0.97330782999999998</v>
      </c>
      <c r="AB83" s="60">
        <v>5.2626207000000001E-2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0.33114799999999889</v>
      </c>
      <c r="AN83" s="96">
        <f t="shared" si="5"/>
        <v>0.79990099999999842</v>
      </c>
      <c r="AO83" s="96">
        <f t="shared" si="6"/>
        <v>4.2159999999991093E-4</v>
      </c>
      <c r="AP83" s="96">
        <f t="shared" si="7"/>
        <v>1.3057100000000155E-3</v>
      </c>
      <c r="AQ83" s="121">
        <f t="shared" si="8"/>
        <v>-9.0840759999999965E-3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34.335166000000001</v>
      </c>
      <c r="Y84" s="190">
        <v>37.561895999999997</v>
      </c>
      <c r="Z84" s="190">
        <v>0.97922089000000001</v>
      </c>
      <c r="AA84" s="62">
        <v>0.98460990999999998</v>
      </c>
      <c r="AB84" s="62">
        <v>3.4147730000000001E-2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1.1372050000000016</v>
      </c>
      <c r="AN84" s="122">
        <f t="shared" si="5"/>
        <v>0.91914899999999733</v>
      </c>
      <c r="AO84" s="122">
        <f t="shared" si="6"/>
        <v>5.0250000000029438E-5</v>
      </c>
      <c r="AP84" s="122">
        <f t="shared" si="7"/>
        <v>9.8529000000002753E-4</v>
      </c>
      <c r="AQ84" s="88">
        <f t="shared" si="8"/>
        <v>-6.4897299999999991E-3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38.494914000000001</v>
      </c>
      <c r="Y85" s="190">
        <v>41.74521</v>
      </c>
      <c r="Z85" s="190">
        <v>0.98873759000000006</v>
      </c>
      <c r="AA85" s="62">
        <v>0.99245897000000005</v>
      </c>
      <c r="AB85" s="62">
        <v>1.8616832999999999E-2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2.1716890000000006</v>
      </c>
      <c r="AN85" s="122">
        <f t="shared" si="5"/>
        <v>1.2841629999999995</v>
      </c>
      <c r="AO85" s="122">
        <f t="shared" si="6"/>
        <v>3.6962000000007045E-4</v>
      </c>
      <c r="AP85" s="122">
        <f t="shared" si="7"/>
        <v>5.8105000000008289E-4</v>
      </c>
      <c r="AQ85" s="88">
        <f t="shared" si="8"/>
        <v>-7.367145000000002E-3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42.411754999999999</v>
      </c>
      <c r="Y86" s="190">
        <v>45.450467000000003</v>
      </c>
      <c r="Z86" s="190">
        <v>0.99368266000000005</v>
      </c>
      <c r="AA86" s="62">
        <v>0.99633775999999996</v>
      </c>
      <c r="AB86" s="62">
        <v>8.3291089999999995E-3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3.8070969999999988</v>
      </c>
      <c r="AN86" s="122">
        <f t="shared" si="5"/>
        <v>2.4633980000000051</v>
      </c>
      <c r="AO86" s="122">
        <f t="shared" si="6"/>
        <v>4.2510000000006709E-4</v>
      </c>
      <c r="AP86" s="122">
        <f t="shared" si="7"/>
        <v>7.4552999999999425E-4</v>
      </c>
      <c r="AQ86" s="88">
        <f t="shared" si="8"/>
        <v>-6.9391399999999999E-3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30.875474000000001</v>
      </c>
      <c r="Y88" s="97">
        <v>34.699151999999998</v>
      </c>
      <c r="Z88" s="97">
        <v>0.96732366999999997</v>
      </c>
      <c r="AA88" s="60">
        <v>0.97356748999999998</v>
      </c>
      <c r="AB88" s="60">
        <v>5.2141670000000001E-2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0.54469900000000138</v>
      </c>
      <c r="AN88" s="96">
        <f t="shared" si="5"/>
        <v>0.81023899999999571</v>
      </c>
      <c r="AO88" s="96">
        <f t="shared" si="6"/>
        <v>1.3783000000000545E-4</v>
      </c>
      <c r="AP88" s="96">
        <f t="shared" si="7"/>
        <v>1.2314500000000228E-3</v>
      </c>
      <c r="AQ88" s="121">
        <f t="shared" si="8"/>
        <v>-8.1282260000000023E-3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34.349136000000001</v>
      </c>
      <c r="Y89" s="190">
        <v>37.593839000000003</v>
      </c>
      <c r="Z89" s="190">
        <v>0.97976903999999998</v>
      </c>
      <c r="AA89" s="62">
        <v>0.98516758000000004</v>
      </c>
      <c r="AB89" s="62">
        <v>3.3553336000000003E-2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0.89182800000000384</v>
      </c>
      <c r="AN89" s="122">
        <f t="shared" si="5"/>
        <v>0.7132660000000044</v>
      </c>
      <c r="AO89" s="122">
        <f t="shared" si="6"/>
        <v>8.3649999999990676E-5</v>
      </c>
      <c r="AP89" s="122">
        <f t="shared" si="7"/>
        <v>8.0200000000008043E-4</v>
      </c>
      <c r="AQ89" s="88">
        <f t="shared" si="8"/>
        <v>-5.8877579999999999E-3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38.555625999999997</v>
      </c>
      <c r="Y90" s="190">
        <v>41.851360999999997</v>
      </c>
      <c r="Z90" s="190">
        <v>0.98897296000000001</v>
      </c>
      <c r="AA90" s="62">
        <v>0.99261902999999996</v>
      </c>
      <c r="AB90" s="62">
        <v>1.8588978999999999E-2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1.8023819999999944</v>
      </c>
      <c r="AN90" s="122">
        <f t="shared" si="5"/>
        <v>1.1024349999999998</v>
      </c>
      <c r="AO90" s="122">
        <f t="shared" si="6"/>
        <v>3.4559000000000673E-4</v>
      </c>
      <c r="AP90" s="122">
        <f t="shared" si="7"/>
        <v>6.8815999999993771E-4</v>
      </c>
      <c r="AQ90" s="88">
        <f t="shared" si="8"/>
        <v>-5.8642510000000009E-3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42.615822000000001</v>
      </c>
      <c r="Y91" s="190">
        <v>45.673484000000002</v>
      </c>
      <c r="Z91" s="190">
        <v>0.99387903</v>
      </c>
      <c r="AA91" s="62">
        <v>0.99644350999999998</v>
      </c>
      <c r="AB91" s="62">
        <v>8.1368399999999994E-3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3.3942940000000021</v>
      </c>
      <c r="AN91" s="122">
        <f t="shared" si="5"/>
        <v>2.1822890000000044</v>
      </c>
      <c r="AO91" s="122">
        <f t="shared" si="6"/>
        <v>3.9471999999995955E-4</v>
      </c>
      <c r="AP91" s="122">
        <f t="shared" si="7"/>
        <v>7.1889999999996679E-4</v>
      </c>
      <c r="AQ91" s="88">
        <f t="shared" si="8"/>
        <v>-5.6004140000000015E-3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30.975325000000002</v>
      </c>
      <c r="Y93" s="97">
        <v>34.757964999999999</v>
      </c>
      <c r="Z93" s="97">
        <v>0.96722344999999998</v>
      </c>
      <c r="AA93" s="60">
        <v>0.97361772000000002</v>
      </c>
      <c r="AB93" s="60">
        <v>5.4024009999999997E-2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0.57193700000000192</v>
      </c>
      <c r="AN93" s="96">
        <f t="shared" si="5"/>
        <v>0.64402299999999713</v>
      </c>
      <c r="AO93" s="96">
        <f t="shared" si="6"/>
        <v>-3.4410000000040242E-5</v>
      </c>
      <c r="AP93" s="96">
        <f t="shared" si="7"/>
        <v>7.4710000000000054E-4</v>
      </c>
      <c r="AQ93" s="121">
        <f t="shared" si="8"/>
        <v>-7.1177980000000016E-3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34.608612999999998</v>
      </c>
      <c r="Y94" s="190">
        <v>37.846426000000001</v>
      </c>
      <c r="Z94" s="190">
        <v>0.98005836999999996</v>
      </c>
      <c r="AA94" s="62">
        <v>0.98556789</v>
      </c>
      <c r="AB94" s="62">
        <v>3.4221745999999997E-2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1.1719719999999967</v>
      </c>
      <c r="AN94" s="122">
        <f t="shared" si="5"/>
        <v>0.77674000000000376</v>
      </c>
      <c r="AO94" s="122">
        <f t="shared" si="6"/>
        <v>2.147299999999408E-4</v>
      </c>
      <c r="AP94" s="122">
        <f t="shared" si="7"/>
        <v>8.6545999999998457E-4</v>
      </c>
      <c r="AQ94" s="88">
        <f t="shared" si="8"/>
        <v>-6.3924010000000059E-3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38.214388</v>
      </c>
      <c r="Y95" s="190">
        <v>41.649932</v>
      </c>
      <c r="Z95" s="190">
        <v>0.98912951999999998</v>
      </c>
      <c r="AA95" s="62">
        <v>0.99268431999999995</v>
      </c>
      <c r="AB95" s="62">
        <v>1.9765534000000001E-2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1.4242259999999973</v>
      </c>
      <c r="AN95" s="122">
        <f t="shared" si="5"/>
        <v>0.93627500000000197</v>
      </c>
      <c r="AO95" s="122">
        <f t="shared" si="6"/>
        <v>3.4703999999996515E-4</v>
      </c>
      <c r="AP95" s="122">
        <f t="shared" si="7"/>
        <v>5.1266999999999285E-4</v>
      </c>
      <c r="AQ95" s="88">
        <f t="shared" si="8"/>
        <v>-4.9409880000000003E-3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42.582709999999999</v>
      </c>
      <c r="Y96" s="190">
        <v>45.683472999999999</v>
      </c>
      <c r="Z96" s="190">
        <v>0.99393494999999998</v>
      </c>
      <c r="AA96" s="62">
        <v>0.99644509000000003</v>
      </c>
      <c r="AB96" s="62">
        <v>8.3939849999999996E-3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2.873069000000001</v>
      </c>
      <c r="AN96" s="122">
        <f t="shared" si="5"/>
        <v>1.7905499999999961</v>
      </c>
      <c r="AO96" s="122">
        <f t="shared" si="6"/>
        <v>3.6508000000001761E-4</v>
      </c>
      <c r="AP96" s="122">
        <f t="shared" si="7"/>
        <v>7.3484000000001437E-4</v>
      </c>
      <c r="AQ96" s="88">
        <f t="shared" si="8"/>
        <v>-4.8664240000000011E-3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30.952188</v>
      </c>
      <c r="Y98" s="97">
        <v>35.037844</v>
      </c>
      <c r="Z98" s="97">
        <v>0.96617346999999998</v>
      </c>
      <c r="AA98" s="60">
        <v>0.97366233000000002</v>
      </c>
      <c r="AB98" s="60">
        <v>5.6864209999999998E-2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8.9676000000000755E-2</v>
      </c>
      <c r="AN98" s="96">
        <f t="shared" si="15"/>
        <v>0.31692900000000179</v>
      </c>
      <c r="AO98" s="96">
        <f t="shared" si="16"/>
        <v>8.2990000000005004E-5</v>
      </c>
      <c r="AP98" s="96">
        <f t="shared" si="17"/>
        <v>4.8752000000007456E-4</v>
      </c>
      <c r="AQ98" s="121">
        <f t="shared" si="18"/>
        <v>-2.2006999999999999E-3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34.684914999999997</v>
      </c>
      <c r="Y99" s="190">
        <v>38.134903999999999</v>
      </c>
      <c r="Z99" s="190">
        <v>0.97978887999999997</v>
      </c>
      <c r="AA99" s="62">
        <v>0.98543628999999999</v>
      </c>
      <c r="AB99" s="62">
        <v>3.5745997000000002E-2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0.57585100000000011</v>
      </c>
      <c r="AN99" s="122">
        <f t="shared" si="15"/>
        <v>0.49470799999999571</v>
      </c>
      <c r="AO99" s="122">
        <f t="shared" si="16"/>
        <v>2.5838999999994172E-4</v>
      </c>
      <c r="AP99" s="122">
        <f t="shared" si="17"/>
        <v>7.2000999999999316E-4</v>
      </c>
      <c r="AQ99" s="88">
        <f t="shared" si="18"/>
        <v>-2.1184199999999959E-3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38.400666000000001</v>
      </c>
      <c r="Y100" s="190">
        <v>41.752409</v>
      </c>
      <c r="Z100" s="190">
        <v>0.98909466999999995</v>
      </c>
      <c r="AA100" s="62">
        <v>0.99269662999999997</v>
      </c>
      <c r="AB100" s="62">
        <v>2.0599983999999998E-2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1.1217260000000024</v>
      </c>
      <c r="AN100" s="122">
        <f t="shared" si="15"/>
        <v>0.75634900000000016</v>
      </c>
      <c r="AO100" s="122">
        <f t="shared" si="16"/>
        <v>2.5528999999990809E-4</v>
      </c>
      <c r="AP100" s="122">
        <f t="shared" si="17"/>
        <v>4.2464999999991537E-4</v>
      </c>
      <c r="AQ100" s="88">
        <f t="shared" si="18"/>
        <v>-3.115231000000003E-3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42.575110000000002</v>
      </c>
      <c r="Y101" s="190">
        <v>45.720373000000002</v>
      </c>
      <c r="Z101" s="190">
        <v>0.99397148000000002</v>
      </c>
      <c r="AA101" s="62">
        <v>0.99645061000000001</v>
      </c>
      <c r="AB101" s="62">
        <v>9.060083E-3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2.1407530000000037</v>
      </c>
      <c r="AN101" s="122">
        <f t="shared" si="15"/>
        <v>1.3724570000000043</v>
      </c>
      <c r="AO101" s="122">
        <f t="shared" si="16"/>
        <v>3.2779000000004999E-4</v>
      </c>
      <c r="AP101" s="122">
        <f t="shared" si="17"/>
        <v>5.9282000000004942E-4</v>
      </c>
      <c r="AQ101" s="88">
        <f t="shared" si="18"/>
        <v>-3.4391579999999995E-3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31.057033000000001</v>
      </c>
      <c r="Y103" s="97">
        <v>35.371332000000002</v>
      </c>
      <c r="Z103" s="97">
        <v>0.96733106999999996</v>
      </c>
      <c r="AA103" s="60">
        <v>0.97644085000000003</v>
      </c>
      <c r="AB103" s="60">
        <v>6.2145605999999999E-2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0.33665399999999934</v>
      </c>
      <c r="AN103" s="96">
        <f t="shared" si="15"/>
        <v>1.0752570000000006</v>
      </c>
      <c r="AO103" s="96">
        <f t="shared" si="16"/>
        <v>-1.8619000000008601E-4</v>
      </c>
      <c r="AP103" s="96">
        <f t="shared" si="17"/>
        <v>6.82150000000048E-4</v>
      </c>
      <c r="AQ103" s="121">
        <f t="shared" si="18"/>
        <v>-1.0706544000000005E-2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34.582729</v>
      </c>
      <c r="Y104" s="190">
        <v>38.274284999999999</v>
      </c>
      <c r="Z104" s="190">
        <v>0.98020993000000001</v>
      </c>
      <c r="AA104" s="62">
        <v>0.98673100999999996</v>
      </c>
      <c r="AB104" s="62">
        <v>3.7313553999999999E-2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1.112721999999998</v>
      </c>
      <c r="AN104" s="122">
        <f t="shared" si="15"/>
        <v>1.3725329999999971</v>
      </c>
      <c r="AO104" s="122">
        <f t="shared" si="16"/>
        <v>1.4632999999997232E-4</v>
      </c>
      <c r="AP104" s="122">
        <f t="shared" si="17"/>
        <v>7.3344999999991334E-4</v>
      </c>
      <c r="AQ104" s="88">
        <f t="shared" si="18"/>
        <v>-1.0622526E-2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39.028686</v>
      </c>
      <c r="Y105" s="190">
        <v>42.161068999999998</v>
      </c>
      <c r="Z105" s="190">
        <v>0.98962417000000003</v>
      </c>
      <c r="AA105" s="62">
        <v>0.99355254999999998</v>
      </c>
      <c r="AB105" s="62">
        <v>1.9726430999999999E-2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3.0293750000000017</v>
      </c>
      <c r="AN105" s="122">
        <f t="shared" si="15"/>
        <v>1.9608129999999946</v>
      </c>
      <c r="AO105" s="122">
        <f t="shared" si="16"/>
        <v>2.9908000000000712E-4</v>
      </c>
      <c r="AP105" s="122">
        <f t="shared" si="17"/>
        <v>6.4699000000001394E-4</v>
      </c>
      <c r="AQ105" s="88">
        <f t="shared" si="18"/>
        <v>-1.2045628999999999E-2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42.960842999999997</v>
      </c>
      <c r="Y106" s="190">
        <v>45.844900000000003</v>
      </c>
      <c r="Z106" s="190">
        <v>0.99394667000000003</v>
      </c>
      <c r="AA106" s="62">
        <v>0.99668256</v>
      </c>
      <c r="AB106" s="62">
        <v>9.5053315000000003E-3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4.4253420000000006</v>
      </c>
      <c r="AN106" s="122">
        <f t="shared" si="15"/>
        <v>2.9233000000000047</v>
      </c>
      <c r="AO106" s="122">
        <f t="shared" si="16"/>
        <v>4.1896000000007927E-4</v>
      </c>
      <c r="AP106" s="122">
        <f t="shared" si="17"/>
        <v>6.3796000000004849E-4</v>
      </c>
      <c r="AQ106" s="88">
        <f t="shared" si="18"/>
        <v>-9.5261244999999984E-3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30.911452000000001</v>
      </c>
      <c r="Y108" s="97">
        <v>35.246752000000001</v>
      </c>
      <c r="Z108" s="97">
        <v>0.96944412000000002</v>
      </c>
      <c r="AA108" s="60">
        <v>0.97798415999999999</v>
      </c>
      <c r="AB108" s="60">
        <v>5.7808699999999998E-2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-0.18581599999999909</v>
      </c>
      <c r="AN108" s="96">
        <f t="shared" si="15"/>
        <v>0.5175830000000019</v>
      </c>
      <c r="AO108" s="96">
        <f t="shared" si="16"/>
        <v>1.009999999967981E-6</v>
      </c>
      <c r="AP108" s="96">
        <f t="shared" si="17"/>
        <v>6.2046000000004486E-4</v>
      </c>
      <c r="AQ108" s="121">
        <f t="shared" si="18"/>
        <v>-6.7343300000000036E-3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34.304704999999998</v>
      </c>
      <c r="Y109" s="190">
        <v>38.041736</v>
      </c>
      <c r="Z109" s="190">
        <v>0.98085157999999995</v>
      </c>
      <c r="AA109" s="62">
        <v>0.98698754</v>
      </c>
      <c r="AB109" s="62">
        <v>3.6517929999999997E-2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0.37821900000000142</v>
      </c>
      <c r="AN109" s="122">
        <f t="shared" si="15"/>
        <v>0.722723000000002</v>
      </c>
      <c r="AO109" s="122">
        <f t="shared" si="16"/>
        <v>1.0485999999998441E-4</v>
      </c>
      <c r="AP109" s="122">
        <f t="shared" si="17"/>
        <v>5.156699999999681E-4</v>
      </c>
      <c r="AQ109" s="88">
        <f t="shared" si="18"/>
        <v>-6.6939180000000001E-3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38.787709999999997</v>
      </c>
      <c r="Y110" s="190">
        <v>42.032958999999998</v>
      </c>
      <c r="Z110" s="190">
        <v>0.98957605999999998</v>
      </c>
      <c r="AA110" s="62">
        <v>0.99327350000000003</v>
      </c>
      <c r="AB110" s="62">
        <v>2.0033926000000001E-2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1.557696</v>
      </c>
      <c r="AN110" s="122">
        <f t="shared" si="15"/>
        <v>1.0042550000000006</v>
      </c>
      <c r="AO110" s="122">
        <f t="shared" si="16"/>
        <v>3.2595000000001928E-4</v>
      </c>
      <c r="AP110" s="122">
        <f t="shared" si="17"/>
        <v>3.6500000000005972E-4</v>
      </c>
      <c r="AQ110" s="88">
        <f t="shared" si="18"/>
        <v>-6.4679899999999999E-3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42.884954999999998</v>
      </c>
      <c r="Y111" s="190">
        <v>45.779231000000003</v>
      </c>
      <c r="Z111" s="190">
        <v>0.99392002999999995</v>
      </c>
      <c r="AA111" s="62">
        <v>0.99664715999999998</v>
      </c>
      <c r="AB111" s="62">
        <v>9.5523334999999994E-3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3.856774999999999</v>
      </c>
      <c r="AN111" s="122">
        <f t="shared" si="15"/>
        <v>2.4300640000000016</v>
      </c>
      <c r="AO111" s="122">
        <f t="shared" si="16"/>
        <v>3.8079999999995895E-4</v>
      </c>
      <c r="AP111" s="122">
        <f t="shared" si="17"/>
        <v>6.2434000000000101E-4</v>
      </c>
      <c r="AQ111" s="88">
        <f t="shared" si="18"/>
        <v>-8.793678499999999E-3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31.699619999999999</v>
      </c>
      <c r="Y113" s="97">
        <v>35.408189999999998</v>
      </c>
      <c r="Z113" s="97">
        <v>0.97032704999999997</v>
      </c>
      <c r="AA113" s="60">
        <v>0.97866869000000001</v>
      </c>
      <c r="AB113" s="60">
        <v>5.5996727000000003E-2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0.62120799999999932</v>
      </c>
      <c r="AN113" s="96">
        <f t="shared" si="15"/>
        <v>0.7063839999999999</v>
      </c>
      <c r="AO113" s="96">
        <f t="shared" si="16"/>
        <v>9.4049999999956668E-5</v>
      </c>
      <c r="AP113" s="96">
        <f t="shared" si="17"/>
        <v>6.9989999999997554E-4</v>
      </c>
      <c r="AQ113" s="121">
        <f t="shared" si="18"/>
        <v>-1.0792412999999994E-2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34.691709000000003</v>
      </c>
      <c r="Y114" s="190">
        <v>37.989562999999997</v>
      </c>
      <c r="Z114" s="190">
        <v>0.98115070999999998</v>
      </c>
      <c r="AA114" s="62">
        <v>0.98705151999999996</v>
      </c>
      <c r="AB114" s="62">
        <v>3.7628322999999998E-2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1.263772000000003</v>
      </c>
      <c r="AN114" s="122">
        <f t="shared" si="15"/>
        <v>0.83059199999999578</v>
      </c>
      <c r="AO114" s="122">
        <f t="shared" si="16"/>
        <v>4.8269999999961399E-5</v>
      </c>
      <c r="AP114" s="122">
        <f t="shared" si="17"/>
        <v>6.0483999999993987E-4</v>
      </c>
      <c r="AQ114" s="88">
        <f t="shared" si="18"/>
        <v>-1.0069094000000001E-2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38.849387999999998</v>
      </c>
      <c r="Y115" s="190">
        <v>42.105713999999999</v>
      </c>
      <c r="Z115" s="190">
        <v>0.98952691000000004</v>
      </c>
      <c r="AA115" s="62">
        <v>0.99353550000000002</v>
      </c>
      <c r="AB115" s="62">
        <v>2.022906E-2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2.4906229999999994</v>
      </c>
      <c r="AN115" s="122">
        <f t="shared" si="15"/>
        <v>1.5957319999999982</v>
      </c>
      <c r="AO115" s="122">
        <f t="shared" si="16"/>
        <v>3.3707000000005038E-4</v>
      </c>
      <c r="AP115" s="122">
        <f t="shared" si="17"/>
        <v>7.0778999999998593E-4</v>
      </c>
      <c r="AQ115" s="88">
        <f t="shared" si="18"/>
        <v>-1.0408621E-2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42.968814999999999</v>
      </c>
      <c r="Y116" s="190">
        <v>45.962313999999999</v>
      </c>
      <c r="Z116" s="190">
        <v>0.99387968999999998</v>
      </c>
      <c r="AA116" s="62">
        <v>0.99673489999999998</v>
      </c>
      <c r="AB116" s="62">
        <v>9.4348049999999992E-3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3.6798840000000013</v>
      </c>
      <c r="AN116" s="122">
        <f t="shared" si="15"/>
        <v>2.4399889999999971</v>
      </c>
      <c r="AO116" s="122">
        <f t="shared" si="16"/>
        <v>3.5731999999999431E-4</v>
      </c>
      <c r="AP116" s="122">
        <f t="shared" si="17"/>
        <v>6.1268000000003209E-4</v>
      </c>
      <c r="AQ116" s="88">
        <f t="shared" si="18"/>
        <v>-7.2828879999999995E-3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32.332011000000001</v>
      </c>
      <c r="Y118" s="97">
        <v>36.102556</v>
      </c>
      <c r="Z118" s="97">
        <v>0.97162998</v>
      </c>
      <c r="AA118" s="60">
        <v>0.98045808000000001</v>
      </c>
      <c r="AB118" s="60">
        <v>5.2505344000000002E-2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0.44366000000000128</v>
      </c>
      <c r="AN118" s="96">
        <f t="shared" si="15"/>
        <v>0.80663700000000205</v>
      </c>
      <c r="AO118" s="96">
        <f t="shared" si="16"/>
        <v>2.5571999999995931E-4</v>
      </c>
      <c r="AP118" s="96">
        <f t="shared" si="17"/>
        <v>8.1023000000002288E-4</v>
      </c>
      <c r="AQ118" s="121">
        <f t="shared" si="18"/>
        <v>-7.8194159999999957E-3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35.166004999999998</v>
      </c>
      <c r="Y119" s="190">
        <v>38.497269000000003</v>
      </c>
      <c r="Z119" s="190">
        <v>0.98128729999999997</v>
      </c>
      <c r="AA119" s="62">
        <v>0.98771118000000002</v>
      </c>
      <c r="AB119" s="62">
        <v>3.5374786999999998E-2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1.1927129999999977</v>
      </c>
      <c r="AN119" s="122">
        <f t="shared" si="15"/>
        <v>0.9704980000000063</v>
      </c>
      <c r="AO119" s="122">
        <f t="shared" si="16"/>
        <v>1.8399999999973993E-5</v>
      </c>
      <c r="AP119" s="122">
        <f t="shared" si="17"/>
        <v>5.7475000000006826E-4</v>
      </c>
      <c r="AQ119" s="88">
        <f t="shared" si="18"/>
        <v>-7.3988030000000024E-3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39.100459999999998</v>
      </c>
      <c r="Y120" s="190">
        <v>42.256104000000001</v>
      </c>
      <c r="Z120" s="190">
        <v>0.98935428000000003</v>
      </c>
      <c r="AA120" s="62">
        <v>0.99351929000000005</v>
      </c>
      <c r="AB120" s="62">
        <v>1.9717056E-2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2.2014609999999948</v>
      </c>
      <c r="AN120" s="122">
        <f t="shared" si="15"/>
        <v>1.4010420000000039</v>
      </c>
      <c r="AO120" s="122">
        <f t="shared" si="16"/>
        <v>2.9854000000006931E-4</v>
      </c>
      <c r="AP120" s="122">
        <f t="shared" si="17"/>
        <v>4.6694000000002678E-4</v>
      </c>
      <c r="AQ120" s="88">
        <f t="shared" si="18"/>
        <v>-7.2940810000000009E-3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43.113933000000003</v>
      </c>
      <c r="Y121" s="190">
        <v>46.077587000000001</v>
      </c>
      <c r="Z121" s="190">
        <v>0.99380855000000001</v>
      </c>
      <c r="AA121" s="62">
        <v>0.99677333999999995</v>
      </c>
      <c r="AB121" s="62">
        <v>9.4288189999999997E-3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3.275190000000002</v>
      </c>
      <c r="AN121" s="122">
        <f t="shared" si="15"/>
        <v>2.0999109999999988</v>
      </c>
      <c r="AO121" s="122">
        <f t="shared" si="16"/>
        <v>3.382200000000557E-4</v>
      </c>
      <c r="AP121" s="122">
        <f t="shared" si="17"/>
        <v>6.4235999999995297E-4</v>
      </c>
      <c r="AQ121" s="88">
        <f t="shared" si="18"/>
        <v>-5.3143660000000009E-3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32.498330000000003</v>
      </c>
      <c r="Y123" s="97">
        <v>36.283101000000002</v>
      </c>
      <c r="Z123" s="97">
        <v>0.97174839999999996</v>
      </c>
      <c r="AA123" s="60">
        <v>0.97966734</v>
      </c>
      <c r="AB123" s="60">
        <v>5.3144425000000002E-2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0.46834100000000234</v>
      </c>
      <c r="AN123" s="96">
        <f t="shared" si="15"/>
        <v>0.66804700000000139</v>
      </c>
      <c r="AO123" s="96">
        <f t="shared" si="16"/>
        <v>1.3621999999990919E-4</v>
      </c>
      <c r="AP123" s="96">
        <f t="shared" si="17"/>
        <v>3.3156999999994774E-4</v>
      </c>
      <c r="AQ123" s="121">
        <f t="shared" si="18"/>
        <v>-5.4382389999999975E-3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34.911372</v>
      </c>
      <c r="Y124" s="190">
        <v>38.315758000000002</v>
      </c>
      <c r="Z124" s="190">
        <v>0.98154799000000004</v>
      </c>
      <c r="AA124" s="62">
        <v>0.98731226999999999</v>
      </c>
      <c r="AB124" s="62">
        <v>3.5682169999999999E-2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0.60180600000000339</v>
      </c>
      <c r="AN124" s="122">
        <f t="shared" si="15"/>
        <v>0.65388200000000296</v>
      </c>
      <c r="AO124" s="122">
        <f t="shared" si="16"/>
        <v>2.6480000000050907E-5</v>
      </c>
      <c r="AP124" s="122">
        <f t="shared" si="17"/>
        <v>1.1543000000002746E-4</v>
      </c>
      <c r="AQ124" s="88">
        <f t="shared" si="18"/>
        <v>-5.7570129999999983E-3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39.094864999999999</v>
      </c>
      <c r="Y125" s="190">
        <v>42.224777000000003</v>
      </c>
      <c r="Z125" s="190">
        <v>0.98951796000000003</v>
      </c>
      <c r="AA125" s="62">
        <v>0.99352003</v>
      </c>
      <c r="AB125" s="62">
        <v>2.0062515999999999E-2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1.661845999999997</v>
      </c>
      <c r="AN125" s="122">
        <f t="shared" si="15"/>
        <v>1.0329960000000042</v>
      </c>
      <c r="AO125" s="122">
        <f t="shared" si="16"/>
        <v>2.8935000000007705E-4</v>
      </c>
      <c r="AP125" s="122">
        <f t="shared" si="17"/>
        <v>4.1720000000000645E-4</v>
      </c>
      <c r="AQ125" s="88">
        <f t="shared" si="18"/>
        <v>-5.6769899999999998E-3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43.253376000000003</v>
      </c>
      <c r="Y126" s="190">
        <v>46.187254000000003</v>
      </c>
      <c r="Z126" s="190">
        <v>0.99390162000000004</v>
      </c>
      <c r="AA126" s="62">
        <v>0.99679932999999998</v>
      </c>
      <c r="AB126" s="62">
        <v>9.3515049999999995E-3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2.8124770000000012</v>
      </c>
      <c r="AN126" s="122">
        <f t="shared" si="15"/>
        <v>1.7578600000000009</v>
      </c>
      <c r="AO126" s="122">
        <f t="shared" si="16"/>
        <v>3.1409000000004461E-4</v>
      </c>
      <c r="AP126" s="122">
        <f t="shared" si="17"/>
        <v>6.5289000000001707E-4</v>
      </c>
      <c r="AQ126" s="88">
        <f t="shared" si="18"/>
        <v>-4.4778044999999999E-3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32.494396000000002</v>
      </c>
      <c r="Y128" s="97">
        <v>36.265237999999997</v>
      </c>
      <c r="Z128" s="97">
        <v>0.97215249000000004</v>
      </c>
      <c r="AA128" s="60">
        <v>0.98008371000000005</v>
      </c>
      <c r="AB128" s="60">
        <v>5.4457224999999998E-2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0.46598000000000184</v>
      </c>
      <c r="AN128" s="96">
        <f t="shared" si="15"/>
        <v>0.47978299999999763</v>
      </c>
      <c r="AO128" s="96">
        <f t="shared" si="16"/>
        <v>1.3381000000001197E-4</v>
      </c>
      <c r="AP128" s="96">
        <f t="shared" si="17"/>
        <v>7.2418000000007421E-4</v>
      </c>
      <c r="AQ128" s="121">
        <f t="shared" si="18"/>
        <v>-3.8333010000000042E-3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34.887945999999999</v>
      </c>
      <c r="Y129" s="190">
        <v>38.278440000000003</v>
      </c>
      <c r="Z129" s="190">
        <v>0.98189380999999998</v>
      </c>
      <c r="AA129" s="62">
        <v>0.98747653000000002</v>
      </c>
      <c r="AB129" s="62">
        <v>3.7013984999999999E-2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0.73880700000000132</v>
      </c>
      <c r="AN129" s="122">
        <f t="shared" si="15"/>
        <v>0.47696700000000192</v>
      </c>
      <c r="AO129" s="122">
        <f t="shared" si="16"/>
        <v>1.3960999999995671E-4</v>
      </c>
      <c r="AP129" s="122">
        <f t="shared" si="17"/>
        <v>5.6241000000001318E-4</v>
      </c>
      <c r="AQ129" s="88">
        <f t="shared" si="18"/>
        <v>-4.4200569999999981E-3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38.746113000000001</v>
      </c>
      <c r="Y130" s="190">
        <v>41.976256999999997</v>
      </c>
      <c r="Z130" s="190">
        <v>0.98975351</v>
      </c>
      <c r="AA130" s="62">
        <v>0.99355652999999999</v>
      </c>
      <c r="AB130" s="62">
        <v>2.0729912E-2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1.3209780000000038</v>
      </c>
      <c r="AN130" s="122">
        <f t="shared" si="15"/>
        <v>0.83239700000000028</v>
      </c>
      <c r="AO130" s="122">
        <f t="shared" si="16"/>
        <v>2.440599999999904E-4</v>
      </c>
      <c r="AP130" s="122">
        <f t="shared" si="17"/>
        <v>4.2467000000001587E-4</v>
      </c>
      <c r="AQ130" s="88">
        <f t="shared" si="18"/>
        <v>-4.0267730000000009E-3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43.341141999999998</v>
      </c>
      <c r="Y131" s="190">
        <v>46.315266999999999</v>
      </c>
      <c r="Z131" s="190">
        <v>0.99402763999999999</v>
      </c>
      <c r="AA131" s="62">
        <v>0.99687112</v>
      </c>
      <c r="AB131" s="62">
        <v>9.4559729999999995E-3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2.3390190000000004</v>
      </c>
      <c r="AN131" s="122">
        <f t="shared" si="15"/>
        <v>1.4534009999999995</v>
      </c>
      <c r="AO131" s="122">
        <f t="shared" si="16"/>
        <v>2.6676999999997175E-4</v>
      </c>
      <c r="AP131" s="122">
        <f t="shared" si="17"/>
        <v>5.4646000000002637E-4</v>
      </c>
      <c r="AQ131" s="88">
        <f t="shared" si="18"/>
        <v>-3.3569110000000006E-3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32.277785999999999</v>
      </c>
      <c r="Y133" s="97">
        <v>36.436340999999999</v>
      </c>
      <c r="Z133" s="97">
        <v>0.97136926000000001</v>
      </c>
      <c r="AA133" s="60">
        <v>0.97955230999999998</v>
      </c>
      <c r="AB133" s="60">
        <v>5.7983270000000003E-2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0.1027339999999981</v>
      </c>
      <c r="AN133" s="96">
        <f t="shared" si="15"/>
        <v>0.34600700000000018</v>
      </c>
      <c r="AO133" s="96">
        <f t="shared" si="16"/>
        <v>9.4272000000006351E-4</v>
      </c>
      <c r="AP133" s="96">
        <f t="shared" si="17"/>
        <v>9.7426999999994379E-4</v>
      </c>
      <c r="AQ133" s="121">
        <f t="shared" si="18"/>
        <v>-1.1066299999999973E-3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34.966329000000002</v>
      </c>
      <c r="Y134" s="190">
        <v>38.517394000000003</v>
      </c>
      <c r="Z134" s="190">
        <v>0.98175875000000001</v>
      </c>
      <c r="AA134" s="62">
        <v>0.98721888000000002</v>
      </c>
      <c r="AB134" s="62">
        <v>3.8845006000000001E-2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0.46760499999999894</v>
      </c>
      <c r="AN134" s="122">
        <f t="shared" si="15"/>
        <v>0.37881200000000348</v>
      </c>
      <c r="AO134" s="122">
        <f t="shared" si="16"/>
        <v>2.7796999999996075E-4</v>
      </c>
      <c r="AP134" s="122">
        <f t="shared" si="17"/>
        <v>5.5064999999998587E-4</v>
      </c>
      <c r="AQ134" s="88">
        <f t="shared" si="18"/>
        <v>-1.2461059999999968E-3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38.900883</v>
      </c>
      <c r="Y135" s="190">
        <v>42.041894999999997</v>
      </c>
      <c r="Z135" s="190">
        <v>0.98988699999999996</v>
      </c>
      <c r="AA135" s="62">
        <v>0.99354156000000005</v>
      </c>
      <c r="AB135" s="62">
        <v>2.1816584999999999E-2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1.0654940000000011</v>
      </c>
      <c r="AN135" s="122">
        <f t="shared" si="15"/>
        <v>0.66513899999999637</v>
      </c>
      <c r="AO135" s="122">
        <f t="shared" si="16"/>
        <v>1.3447999999993687E-4</v>
      </c>
      <c r="AP135" s="122">
        <f t="shared" si="17"/>
        <v>3.0879000000005874E-4</v>
      </c>
      <c r="AQ135" s="88">
        <f t="shared" si="18"/>
        <v>-2.5903900000000014E-3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43.37941</v>
      </c>
      <c r="Y136" s="190">
        <v>46.303280999999998</v>
      </c>
      <c r="Z136" s="190">
        <v>0.99404285000000003</v>
      </c>
      <c r="AA136" s="62">
        <v>0.99682519000000003</v>
      </c>
      <c r="AB136" s="62">
        <v>1.0207496999999999E-2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1.784360999999997</v>
      </c>
      <c r="AN136" s="122">
        <f t="shared" si="15"/>
        <v>1.1215800000000016</v>
      </c>
      <c r="AO136" s="122">
        <f t="shared" si="16"/>
        <v>2.2354000000002205E-4</v>
      </c>
      <c r="AP136" s="122">
        <f t="shared" si="17"/>
        <v>4.8681999999999892E-4</v>
      </c>
      <c r="AQ136" s="88">
        <f t="shared" si="18"/>
        <v>-2.4095490000000004E-3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28.098351999999998</v>
      </c>
      <c r="Y641" s="136">
        <f t="shared" si="60"/>
        <v>32.054631999999998</v>
      </c>
      <c r="Z641" s="136">
        <f t="shared" si="60"/>
        <v>0.95969048000000001</v>
      </c>
      <c r="AA641" s="136">
        <f t="shared" si="60"/>
        <v>0.96692935999999996</v>
      </c>
      <c r="AB641" s="136">
        <f t="shared" si="60"/>
        <v>5.2141670000000001E-2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31.776192000000002</v>
      </c>
      <c r="Y642" s="18">
        <f t="shared" si="60"/>
        <v>34.925879999999999</v>
      </c>
      <c r="Z642" s="18">
        <f t="shared" si="60"/>
        <v>0.97700306000000003</v>
      </c>
      <c r="AA642" s="18">
        <f t="shared" si="60"/>
        <v>0.98135163999999997</v>
      </c>
      <c r="AB642" s="18">
        <f t="shared" si="60"/>
        <v>3.3553336000000003E-2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37.218060000000001</v>
      </c>
      <c r="Y643" s="18">
        <f t="shared" si="60"/>
        <v>40.541446999999998</v>
      </c>
      <c r="Z643" s="18">
        <f t="shared" si="60"/>
        <v>0.98822217000000001</v>
      </c>
      <c r="AA643" s="18">
        <f t="shared" si="60"/>
        <v>0.99171427999999995</v>
      </c>
      <c r="AB643" s="18">
        <f t="shared" si="60"/>
        <v>1.7916729999999999E-2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41.460711000000003</v>
      </c>
      <c r="Y644" s="18">
        <f t="shared" si="60"/>
        <v>44.589995000000002</v>
      </c>
      <c r="Z644" s="18">
        <f t="shared" si="60"/>
        <v>0.99359185999999999</v>
      </c>
      <c r="AA644" s="18">
        <f t="shared" si="60"/>
        <v>0.99608797000000004</v>
      </c>
      <c r="AB644" s="18">
        <f t="shared" si="60"/>
        <v>7.9950669999999998E-3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32.498330000000003</v>
      </c>
      <c r="Y646" s="136">
        <f t="shared" si="62"/>
        <v>36.436340999999999</v>
      </c>
      <c r="Z646" s="136">
        <f t="shared" si="62"/>
        <v>0.97215249000000004</v>
      </c>
      <c r="AA646" s="136">
        <f t="shared" si="62"/>
        <v>0.98045808000000001</v>
      </c>
      <c r="AB646" s="136">
        <f t="shared" si="62"/>
        <v>6.4367679999999997E-2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35.166004999999998</v>
      </c>
      <c r="Y647" s="18">
        <f t="shared" si="62"/>
        <v>38.517394000000003</v>
      </c>
      <c r="Z647" s="18">
        <f t="shared" si="62"/>
        <v>0.98189380999999998</v>
      </c>
      <c r="AA647" s="18">
        <f t="shared" si="62"/>
        <v>0.98771118000000002</v>
      </c>
      <c r="AB647" s="18">
        <f t="shared" si="62"/>
        <v>4.2804333999999999E-2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39.100459999999998</v>
      </c>
      <c r="Y648" s="18">
        <f t="shared" si="62"/>
        <v>42.256104000000001</v>
      </c>
      <c r="Z648" s="18">
        <f t="shared" si="62"/>
        <v>0.98988699999999996</v>
      </c>
      <c r="AA648" s="18">
        <f t="shared" si="62"/>
        <v>0.99355652999999999</v>
      </c>
      <c r="AB648" s="18">
        <f t="shared" si="62"/>
        <v>2.3455719999999999E-2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43.37941</v>
      </c>
      <c r="Y649" s="18">
        <f t="shared" si="62"/>
        <v>46.315266999999999</v>
      </c>
      <c r="Z649" s="18">
        <f t="shared" si="62"/>
        <v>0.99404285000000003</v>
      </c>
      <c r="AA649" s="18">
        <f t="shared" si="62"/>
        <v>0.99687112</v>
      </c>
      <c r="AB649" s="18">
        <f t="shared" si="62"/>
        <v>1.0207496999999999E-2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4.3999780000000044</v>
      </c>
      <c r="Y651" s="136">
        <f t="shared" si="64"/>
        <v>4.3817090000000007</v>
      </c>
      <c r="Z651" s="136">
        <f t="shared" si="64"/>
        <v>1.2462010000000023E-2</v>
      </c>
      <c r="AA651" s="136">
        <f t="shared" si="64"/>
        <v>1.352872000000005E-2</v>
      </c>
      <c r="AB651" s="136">
        <f t="shared" si="64"/>
        <v>1.2226009999999995E-2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3.3898129999999966</v>
      </c>
      <c r="Y652" s="18">
        <f t="shared" si="64"/>
        <v>3.5915140000000036</v>
      </c>
      <c r="Z652" s="18">
        <f t="shared" si="64"/>
        <v>4.8907499999999438E-3</v>
      </c>
      <c r="AA652" s="18">
        <f t="shared" si="64"/>
        <v>6.3595400000000524E-3</v>
      </c>
      <c r="AB652" s="18">
        <f t="shared" si="64"/>
        <v>9.2509979999999964E-3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1.882399999999997</v>
      </c>
      <c r="Y653" s="18">
        <f t="shared" si="64"/>
        <v>1.7146570000000025</v>
      </c>
      <c r="Z653" s="18">
        <f t="shared" si="64"/>
        <v>1.6648299999999505E-3</v>
      </c>
      <c r="AA653" s="18">
        <f t="shared" si="64"/>
        <v>1.8422500000000452E-3</v>
      </c>
      <c r="AB653" s="18">
        <f t="shared" si="64"/>
        <v>5.5389900000000006E-3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1.9186989999999966</v>
      </c>
      <c r="Y654" s="18">
        <f t="shared" si="64"/>
        <v>1.7252719999999968</v>
      </c>
      <c r="Z654" s="18">
        <f t="shared" si="64"/>
        <v>4.5099000000003997E-4</v>
      </c>
      <c r="AA654" s="18">
        <f t="shared" si="64"/>
        <v>7.8314999999995472E-4</v>
      </c>
      <c r="AB654" s="18">
        <f t="shared" si="64"/>
        <v>2.2124299999999996E-3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2025-06-24T00:44:32Z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