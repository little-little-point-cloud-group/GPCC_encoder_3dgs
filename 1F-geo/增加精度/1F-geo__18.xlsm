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增加精度\"/>
    </mc:Choice>
  </mc:AlternateContent>
  <xr:revisionPtr revIDLastSave="0" documentId="13_ncr:1_{4D81CA99-5C96-46B1-8103-EDBD2E265259}" xr6:coauthVersionLast="47" xr6:coauthVersionMax="47" xr10:uidLastSave="{00000000-0000-0000-0000-000000000000}"/>
  <bookViews>
    <workbookView xWindow="4368" yWindow="3960" windowWidth="11904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49" i="10" l="1"/>
  <c r="AB654" i="10" s="1"/>
  <c r="AA649" i="10"/>
  <c r="AA654" i="10" s="1"/>
  <c r="Z649" i="10"/>
  <c r="Z654" i="10" s="1"/>
  <c r="Y649" i="10"/>
  <c r="Y654" i="10" s="1"/>
  <c r="X649" i="10"/>
  <c r="X654" i="10" s="1"/>
  <c r="J649" i="10"/>
  <c r="J654" i="10" s="1"/>
  <c r="I649" i="10"/>
  <c r="I654" i="10" s="1"/>
  <c r="H649" i="10"/>
  <c r="H654" i="10" s="1"/>
  <c r="G649" i="10"/>
  <c r="G654" i="10" s="1"/>
  <c r="F649" i="10"/>
  <c r="F654" i="10" s="1"/>
  <c r="AB648" i="10"/>
  <c r="AB653" i="10" s="1"/>
  <c r="AA648" i="10"/>
  <c r="AA653" i="10" s="1"/>
  <c r="Z648" i="10"/>
  <c r="Z653" i="10" s="1"/>
  <c r="Y648" i="10"/>
  <c r="Y653" i="10" s="1"/>
  <c r="X648" i="10"/>
  <c r="X653" i="10" s="1"/>
  <c r="J648" i="10"/>
  <c r="J653" i="10" s="1"/>
  <c r="I648" i="10"/>
  <c r="I653" i="10" s="1"/>
  <c r="H648" i="10"/>
  <c r="H653" i="10" s="1"/>
  <c r="G648" i="10"/>
  <c r="G653" i="10" s="1"/>
  <c r="F648" i="10"/>
  <c r="F653" i="10" s="1"/>
  <c r="AB647" i="10"/>
  <c r="AB652" i="10" s="1"/>
  <c r="AA647" i="10"/>
  <c r="AA652" i="10" s="1"/>
  <c r="Z647" i="10"/>
  <c r="Z652" i="10" s="1"/>
  <c r="Y647" i="10"/>
  <c r="Y652" i="10" s="1"/>
  <c r="X647" i="10"/>
  <c r="X652" i="10" s="1"/>
  <c r="J647" i="10"/>
  <c r="J652" i="10" s="1"/>
  <c r="I647" i="10"/>
  <c r="I652" i="10" s="1"/>
  <c r="H647" i="10"/>
  <c r="H652" i="10" s="1"/>
  <c r="G647" i="10"/>
  <c r="G652" i="10" s="1"/>
  <c r="F647" i="10"/>
  <c r="F652" i="10" s="1"/>
  <c r="AB646" i="10"/>
  <c r="AB651" i="10" s="1"/>
  <c r="AA646" i="10"/>
  <c r="AA651" i="10" s="1"/>
  <c r="Z646" i="10"/>
  <c r="Z651" i="10" s="1"/>
  <c r="Y646" i="10"/>
  <c r="Y651" i="10" s="1"/>
  <c r="X646" i="10"/>
  <c r="X651" i="10" s="1"/>
  <c r="J646" i="10"/>
  <c r="J651" i="10" s="1"/>
  <c r="I646" i="10"/>
  <c r="I651" i="10" s="1"/>
  <c r="H646" i="10"/>
  <c r="H651" i="10" s="1"/>
  <c r="G646" i="10"/>
  <c r="G651" i="10" s="1"/>
  <c r="F646" i="10"/>
  <c r="F651" i="10" s="1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E7" i="10" s="1"/>
  <c r="W24" i="10"/>
  <c r="E24" i="10"/>
  <c r="W23" i="10"/>
  <c r="E23" i="10"/>
  <c r="U13" i="10"/>
  <c r="C13" i="10"/>
  <c r="AI10" i="10"/>
  <c r="R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Q10" i="10" s="1"/>
  <c r="P7" i="10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E6" i="10"/>
  <c r="AJ5" i="10"/>
  <c r="AJ10" i="10" s="1"/>
  <c r="AI5" i="10"/>
  <c r="AH5" i="10"/>
  <c r="AB5" i="10"/>
  <c r="AA5" i="10"/>
  <c r="Z5" i="10"/>
  <c r="Y5" i="10"/>
  <c r="X5" i="10"/>
  <c r="W5" i="10"/>
  <c r="R5" i="10"/>
  <c r="Q5" i="10"/>
  <c r="P5" i="10"/>
  <c r="P10" i="10" s="1"/>
  <c r="J5" i="10"/>
  <c r="I5" i="10"/>
  <c r="H5" i="10"/>
  <c r="G5" i="10"/>
  <c r="F5" i="10"/>
  <c r="E5" i="10"/>
  <c r="AL2" i="10"/>
  <c r="U2" i="10"/>
  <c r="T2" i="10"/>
  <c r="C2" i="10"/>
  <c r="J654" i="9"/>
  <c r="I654" i="9"/>
  <c r="Y653" i="9"/>
  <c r="Y652" i="9"/>
  <c r="X652" i="9"/>
  <c r="J652" i="9"/>
  <c r="I652" i="9"/>
  <c r="X651" i="9"/>
  <c r="AB649" i="9"/>
  <c r="AA649" i="9"/>
  <c r="AA654" i="9" s="1"/>
  <c r="Z649" i="9"/>
  <c r="Z654" i="9" s="1"/>
  <c r="Y649" i="9"/>
  <c r="X649" i="9"/>
  <c r="J649" i="9"/>
  <c r="I649" i="9"/>
  <c r="H649" i="9"/>
  <c r="G649" i="9"/>
  <c r="G654" i="9" s="1"/>
  <c r="F649" i="9"/>
  <c r="AB648" i="9"/>
  <c r="AA648" i="9"/>
  <c r="AA653" i="9" s="1"/>
  <c r="Z648" i="9"/>
  <c r="Z653" i="9" s="1"/>
  <c r="Y648" i="9"/>
  <c r="X648" i="9"/>
  <c r="X653" i="9" s="1"/>
  <c r="J648" i="9"/>
  <c r="J653" i="9" s="1"/>
  <c r="I648" i="9"/>
  <c r="I653" i="9" s="1"/>
  <c r="H648" i="9"/>
  <c r="H653" i="9" s="1"/>
  <c r="G648" i="9"/>
  <c r="F648" i="9"/>
  <c r="F653" i="9" s="1"/>
  <c r="AB647" i="9"/>
  <c r="AB652" i="9" s="1"/>
  <c r="AA647" i="9"/>
  <c r="AA652" i="9" s="1"/>
  <c r="Z647" i="9"/>
  <c r="Z652" i="9" s="1"/>
  <c r="Y647" i="9"/>
  <c r="X647" i="9"/>
  <c r="J647" i="9"/>
  <c r="I647" i="9"/>
  <c r="H647" i="9"/>
  <c r="G647" i="9"/>
  <c r="F647" i="9"/>
  <c r="F652" i="9" s="1"/>
  <c r="AB646" i="9"/>
  <c r="AB651" i="9" s="1"/>
  <c r="AA646" i="9"/>
  <c r="Z646" i="9"/>
  <c r="Y646" i="9"/>
  <c r="X646" i="9"/>
  <c r="J646" i="9"/>
  <c r="I646" i="9"/>
  <c r="I651" i="9" s="1"/>
  <c r="H646" i="9"/>
  <c r="G646" i="9"/>
  <c r="F646" i="9"/>
  <c r="F651" i="9" s="1"/>
  <c r="AB644" i="9"/>
  <c r="AB654" i="9" s="1"/>
  <c r="AA644" i="9"/>
  <c r="Z644" i="9"/>
  <c r="Y644" i="9"/>
  <c r="Y654" i="9" s="1"/>
  <c r="X644" i="9"/>
  <c r="X654" i="9" s="1"/>
  <c r="J644" i="9"/>
  <c r="I644" i="9"/>
  <c r="H644" i="9"/>
  <c r="H654" i="9" s="1"/>
  <c r="G644" i="9"/>
  <c r="F644" i="9"/>
  <c r="F654" i="9" s="1"/>
  <c r="AB643" i="9"/>
  <c r="AB653" i="9" s="1"/>
  <c r="AA643" i="9"/>
  <c r="Z643" i="9"/>
  <c r="Y643" i="9"/>
  <c r="X643" i="9"/>
  <c r="J643" i="9"/>
  <c r="I643" i="9"/>
  <c r="H643" i="9"/>
  <c r="G643" i="9"/>
  <c r="G653" i="9" s="1"/>
  <c r="F643" i="9"/>
  <c r="AB642" i="9"/>
  <c r="AA642" i="9"/>
  <c r="Z642" i="9"/>
  <c r="Y642" i="9"/>
  <c r="X642" i="9"/>
  <c r="J642" i="9"/>
  <c r="I642" i="9"/>
  <c r="H642" i="9"/>
  <c r="H652" i="9" s="1"/>
  <c r="G642" i="9"/>
  <c r="G652" i="9" s="1"/>
  <c r="F642" i="9"/>
  <c r="AB641" i="9"/>
  <c r="AA641" i="9"/>
  <c r="AA651" i="9" s="1"/>
  <c r="Z641" i="9"/>
  <c r="Z651" i="9" s="1"/>
  <c r="Y641" i="9"/>
  <c r="Y651" i="9" s="1"/>
  <c r="X641" i="9"/>
  <c r="J641" i="9"/>
  <c r="J651" i="9" s="1"/>
  <c r="I641" i="9"/>
  <c r="H641" i="9"/>
  <c r="H651" i="9" s="1"/>
  <c r="G641" i="9"/>
  <c r="G651" i="9" s="1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W7" i="9" s="1"/>
  <c r="E25" i="9"/>
  <c r="E7" i="9" s="1"/>
  <c r="W24" i="9"/>
  <c r="E24" i="9"/>
  <c r="E6" i="9" s="1"/>
  <c r="W23" i="9"/>
  <c r="E23" i="9"/>
  <c r="E5" i="9" s="1"/>
  <c r="U13" i="9"/>
  <c r="C13" i="9"/>
  <c r="AJ10" i="9"/>
  <c r="R10" i="9"/>
  <c r="AJ8" i="9"/>
  <c r="AI8" i="9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W6" i="9"/>
  <c r="R6" i="9"/>
  <c r="Q6" i="9"/>
  <c r="Q10" i="9" s="1"/>
  <c r="P6" i="9"/>
  <c r="J6" i="9"/>
  <c r="I6" i="9"/>
  <c r="H6" i="9"/>
  <c r="G6" i="9"/>
  <c r="F6" i="9"/>
  <c r="AJ5" i="9"/>
  <c r="AI5" i="9"/>
  <c r="AI10" i="9" s="1"/>
  <c r="AH5" i="9"/>
  <c r="AH10" i="9" s="1"/>
  <c r="AB5" i="9"/>
  <c r="AA5" i="9"/>
  <c r="Z5" i="9"/>
  <c r="Y5" i="9"/>
  <c r="X5" i="9"/>
  <c r="W5" i="9"/>
  <c r="R5" i="9"/>
  <c r="Q5" i="9"/>
  <c r="P5" i="9"/>
  <c r="P10" i="9" s="1"/>
  <c r="J5" i="9"/>
  <c r="I5" i="9"/>
  <c r="H5" i="9"/>
  <c r="G5" i="9"/>
  <c r="F5" i="9"/>
  <c r="AL2" i="9"/>
  <c r="U2" i="9"/>
  <c r="T2" i="9"/>
  <c r="C2" i="9"/>
  <c r="AB654" i="8"/>
  <c r="H654" i="8"/>
  <c r="X653" i="8"/>
  <c r="H653" i="8"/>
  <c r="F653" i="8"/>
  <c r="AB652" i="8"/>
  <c r="H652" i="8"/>
  <c r="G652" i="8"/>
  <c r="J651" i="8"/>
  <c r="AB649" i="8"/>
  <c r="AA649" i="8"/>
  <c r="Z649" i="8"/>
  <c r="Z654" i="8" s="1"/>
  <c r="Y649" i="8"/>
  <c r="X649" i="8"/>
  <c r="J649" i="8"/>
  <c r="J654" i="8" s="1"/>
  <c r="I649" i="8"/>
  <c r="I654" i="8" s="1"/>
  <c r="H649" i="8"/>
  <c r="G649" i="8"/>
  <c r="G654" i="8" s="1"/>
  <c r="F649" i="8"/>
  <c r="F654" i="8" s="1"/>
  <c r="AB648" i="8"/>
  <c r="AB653" i="8" s="1"/>
  <c r="AA648" i="8"/>
  <c r="AA653" i="8" s="1"/>
  <c r="Z648" i="8"/>
  <c r="Y648" i="8"/>
  <c r="Y653" i="8" s="1"/>
  <c r="X648" i="8"/>
  <c r="J648" i="8"/>
  <c r="J653" i="8" s="1"/>
  <c r="I648" i="8"/>
  <c r="I653" i="8" s="1"/>
  <c r="H648" i="8"/>
  <c r="G648" i="8"/>
  <c r="F648" i="8"/>
  <c r="AB647" i="8"/>
  <c r="AA647" i="8"/>
  <c r="Z647" i="8"/>
  <c r="Y647" i="8"/>
  <c r="Y652" i="8" s="1"/>
  <c r="X647" i="8"/>
  <c r="X652" i="8" s="1"/>
  <c r="J647" i="8"/>
  <c r="I647" i="8"/>
  <c r="H647" i="8"/>
  <c r="G647" i="8"/>
  <c r="F647" i="8"/>
  <c r="AB646" i="8"/>
  <c r="AB651" i="8" s="1"/>
  <c r="AA646" i="8"/>
  <c r="Z646" i="8"/>
  <c r="Y646" i="8"/>
  <c r="Y651" i="8" s="1"/>
  <c r="X646" i="8"/>
  <c r="X651" i="8" s="1"/>
  <c r="J646" i="8"/>
  <c r="I646" i="8"/>
  <c r="I651" i="8" s="1"/>
  <c r="H646" i="8"/>
  <c r="H651" i="8" s="1"/>
  <c r="G646" i="8"/>
  <c r="G651" i="8" s="1"/>
  <c r="F646" i="8"/>
  <c r="F651" i="8" s="1"/>
  <c r="AB644" i="8"/>
  <c r="AA644" i="8"/>
  <c r="AA654" i="8" s="1"/>
  <c r="Z644" i="8"/>
  <c r="Y644" i="8"/>
  <c r="Y654" i="8" s="1"/>
  <c r="X644" i="8"/>
  <c r="X654" i="8" s="1"/>
  <c r="J644" i="8"/>
  <c r="I644" i="8"/>
  <c r="H644" i="8"/>
  <c r="G644" i="8"/>
  <c r="F644" i="8"/>
  <c r="AB643" i="8"/>
  <c r="AA643" i="8"/>
  <c r="Z643" i="8"/>
  <c r="Z653" i="8" s="1"/>
  <c r="Y643" i="8"/>
  <c r="X643" i="8"/>
  <c r="J643" i="8"/>
  <c r="I643" i="8"/>
  <c r="H643" i="8"/>
  <c r="G643" i="8"/>
  <c r="G653" i="8" s="1"/>
  <c r="F643" i="8"/>
  <c r="AB642" i="8"/>
  <c r="AA642" i="8"/>
  <c r="AA652" i="8" s="1"/>
  <c r="Z642" i="8"/>
  <c r="Z652" i="8" s="1"/>
  <c r="Y642" i="8"/>
  <c r="X642" i="8"/>
  <c r="J642" i="8"/>
  <c r="J652" i="8" s="1"/>
  <c r="I642" i="8"/>
  <c r="I652" i="8" s="1"/>
  <c r="H642" i="8"/>
  <c r="G642" i="8"/>
  <c r="F642" i="8"/>
  <c r="F652" i="8" s="1"/>
  <c r="AB641" i="8"/>
  <c r="AA641" i="8"/>
  <c r="AA651" i="8" s="1"/>
  <c r="Z641" i="8"/>
  <c r="Z651" i="8" s="1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W7" i="8" s="1"/>
  <c r="E25" i="8"/>
  <c r="E7" i="8" s="1"/>
  <c r="W24" i="8"/>
  <c r="E24" i="8"/>
  <c r="E6" i="8" s="1"/>
  <c r="W23" i="8"/>
  <c r="E23" i="8"/>
  <c r="E5" i="8" s="1"/>
  <c r="U13" i="8"/>
  <c r="C13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H5" i="8"/>
  <c r="AB5" i="8"/>
  <c r="AA5" i="8"/>
  <c r="Z5" i="8"/>
  <c r="Y5" i="8"/>
  <c r="X5" i="8"/>
  <c r="W5" i="8"/>
  <c r="R5" i="8"/>
  <c r="R10" i="8" s="1"/>
  <c r="Q5" i="8"/>
  <c r="P5" i="8"/>
  <c r="P10" i="8" s="1"/>
  <c r="J5" i="8"/>
  <c r="I5" i="8"/>
  <c r="H5" i="8"/>
  <c r="G5" i="8"/>
  <c r="F5" i="8"/>
  <c r="AL2" i="8"/>
  <c r="U2" i="8"/>
  <c r="T2" i="8"/>
  <c r="C2" i="8"/>
  <c r="AA653" i="7"/>
  <c r="Y653" i="7"/>
  <c r="X653" i="7"/>
  <c r="X651" i="7"/>
  <c r="F651" i="7"/>
  <c r="AB649" i="7"/>
  <c r="AB654" i="7" s="1"/>
  <c r="AA649" i="7"/>
  <c r="AA654" i="7" s="1"/>
  <c r="Z649" i="7"/>
  <c r="Z654" i="7" s="1"/>
  <c r="Y649" i="7"/>
  <c r="Y654" i="7" s="1"/>
  <c r="X649" i="7"/>
  <c r="X654" i="7" s="1"/>
  <c r="J649" i="7"/>
  <c r="J654" i="7" s="1"/>
  <c r="I649" i="7"/>
  <c r="I654" i="7" s="1"/>
  <c r="H649" i="7"/>
  <c r="H654" i="7" s="1"/>
  <c r="G649" i="7"/>
  <c r="G654" i="7" s="1"/>
  <c r="F649" i="7"/>
  <c r="F654" i="7" s="1"/>
  <c r="AB648" i="7"/>
  <c r="AA648" i="7"/>
  <c r="Z648" i="7"/>
  <c r="Y648" i="7"/>
  <c r="X648" i="7"/>
  <c r="J648" i="7"/>
  <c r="I648" i="7"/>
  <c r="H648" i="7"/>
  <c r="G648" i="7"/>
  <c r="F648" i="7"/>
  <c r="AB647" i="7"/>
  <c r="AA647" i="7"/>
  <c r="Z647" i="7"/>
  <c r="Y647" i="7"/>
  <c r="X647" i="7"/>
  <c r="J647" i="7"/>
  <c r="I647" i="7"/>
  <c r="H647" i="7"/>
  <c r="H652" i="7" s="1"/>
  <c r="G647" i="7"/>
  <c r="G652" i="7" s="1"/>
  <c r="F647" i="7"/>
  <c r="F652" i="7" s="1"/>
  <c r="AB646" i="7"/>
  <c r="AB651" i="7" s="1"/>
  <c r="AA646" i="7"/>
  <c r="AA651" i="7" s="1"/>
  <c r="Z646" i="7"/>
  <c r="Z651" i="7" s="1"/>
  <c r="Y646" i="7"/>
  <c r="Y651" i="7" s="1"/>
  <c r="X646" i="7"/>
  <c r="J646" i="7"/>
  <c r="J651" i="7" s="1"/>
  <c r="I646" i="7"/>
  <c r="I651" i="7" s="1"/>
  <c r="H646" i="7"/>
  <c r="H651" i="7" s="1"/>
  <c r="G646" i="7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Z653" i="7" s="1"/>
  <c r="Y643" i="7"/>
  <c r="X643" i="7"/>
  <c r="J643" i="7"/>
  <c r="J653" i="7" s="1"/>
  <c r="I643" i="7"/>
  <c r="I653" i="7" s="1"/>
  <c r="H643" i="7"/>
  <c r="G643" i="7"/>
  <c r="F643" i="7"/>
  <c r="F653" i="7" s="1"/>
  <c r="AB642" i="7"/>
  <c r="AB652" i="7" s="1"/>
  <c r="AA642" i="7"/>
  <c r="AA652" i="7" s="1"/>
  <c r="Z642" i="7"/>
  <c r="Z652" i="7" s="1"/>
  <c r="Y642" i="7"/>
  <c r="Y652" i="7" s="1"/>
  <c r="X642" i="7"/>
  <c r="J642" i="7"/>
  <c r="J652" i="7" s="1"/>
  <c r="I642" i="7"/>
  <c r="I652" i="7" s="1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W8" i="7" s="1"/>
  <c r="E26" i="7"/>
  <c r="E8" i="7" s="1"/>
  <c r="W25" i="7"/>
  <c r="W7" i="7" s="1"/>
  <c r="E25" i="7"/>
  <c r="W24" i="7"/>
  <c r="E24" i="7"/>
  <c r="W23" i="7"/>
  <c r="W5" i="7" s="1"/>
  <c r="E23" i="7"/>
  <c r="E5" i="7" s="1"/>
  <c r="U13" i="7"/>
  <c r="C13" i="7"/>
  <c r="AJ8" i="7"/>
  <c r="AI8" i="7"/>
  <c r="AH8" i="7"/>
  <c r="AB8" i="7"/>
  <c r="AA8" i="7"/>
  <c r="Z8" i="7"/>
  <c r="Y8" i="7"/>
  <c r="X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J10" i="7" s="1"/>
  <c r="AI5" i="7"/>
  <c r="AI10" i="7" s="1"/>
  <c r="AH5" i="7"/>
  <c r="AH10" i="7" s="1"/>
  <c r="AB5" i="7"/>
  <c r="AA5" i="7"/>
  <c r="Z5" i="7"/>
  <c r="Y5" i="7"/>
  <c r="X5" i="7"/>
  <c r="R5" i="7"/>
  <c r="R10" i="7" s="1"/>
  <c r="Q5" i="7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F108" i="6"/>
  <c r="F109" i="6" s="1"/>
  <c r="B106" i="6"/>
  <c r="L105" i="6"/>
  <c r="L103" i="6"/>
  <c r="F103" i="6"/>
  <c r="F106" i="6" s="1"/>
  <c r="F107" i="6" s="1"/>
  <c r="M101" i="6"/>
  <c r="L101" i="6"/>
  <c r="F95" i="6"/>
  <c r="F96" i="6" s="1"/>
  <c r="F97" i="6" s="1"/>
  <c r="F98" i="6" s="1"/>
  <c r="B95" i="6"/>
  <c r="M94" i="6"/>
  <c r="F92" i="6"/>
  <c r="L92" i="6" s="1"/>
  <c r="M90" i="6"/>
  <c r="L90" i="6"/>
  <c r="F84" i="6"/>
  <c r="F85" i="6" s="1"/>
  <c r="F86" i="6" s="1"/>
  <c r="F87" i="6" s="1"/>
  <c r="B84" i="6"/>
  <c r="F81" i="6"/>
  <c r="L81" i="6" s="1"/>
  <c r="L83" i="6" s="1"/>
  <c r="M79" i="6"/>
  <c r="L79" i="6"/>
  <c r="B74" i="6"/>
  <c r="F73" i="6"/>
  <c r="F74" i="6" s="1"/>
  <c r="F75" i="6" s="1"/>
  <c r="F76" i="6" s="1"/>
  <c r="B73" i="6"/>
  <c r="F70" i="6"/>
  <c r="L70" i="6" s="1"/>
  <c r="M68" i="6"/>
  <c r="L68" i="6"/>
  <c r="F62" i="6"/>
  <c r="F63" i="6" s="1"/>
  <c r="F64" i="6" s="1"/>
  <c r="F65" i="6" s="1"/>
  <c r="B62" i="6"/>
  <c r="M61" i="6"/>
  <c r="L61" i="6"/>
  <c r="L59" i="6"/>
  <c r="F59" i="6"/>
  <c r="M57" i="6"/>
  <c r="L57" i="6"/>
  <c r="F52" i="6"/>
  <c r="F53" i="6" s="1"/>
  <c r="F54" i="6" s="1"/>
  <c r="F51" i="6"/>
  <c r="B51" i="6"/>
  <c r="B52" i="6" s="1"/>
  <c r="M50" i="6"/>
  <c r="F48" i="6"/>
  <c r="L48" i="6" s="1"/>
  <c r="M46" i="6"/>
  <c r="L46" i="6"/>
  <c r="F42" i="6"/>
  <c r="F43" i="6" s="1"/>
  <c r="B41" i="6"/>
  <c r="B40" i="6"/>
  <c r="L37" i="6"/>
  <c r="M39" i="6" s="1"/>
  <c r="F37" i="6"/>
  <c r="F40" i="6" s="1"/>
  <c r="F41" i="6" s="1"/>
  <c r="M35" i="6"/>
  <c r="L35" i="6"/>
  <c r="B31" i="6"/>
  <c r="B29" i="6"/>
  <c r="B30" i="6" s="1"/>
  <c r="F26" i="6"/>
  <c r="M24" i="6"/>
  <c r="L24" i="6"/>
  <c r="B18" i="6"/>
  <c r="M17" i="6"/>
  <c r="L17" i="6"/>
  <c r="L15" i="6"/>
  <c r="F15" i="6"/>
  <c r="F18" i="6" s="1"/>
  <c r="F19" i="6" s="1"/>
  <c r="F20" i="6" s="1"/>
  <c r="F21" i="6" s="1"/>
  <c r="M13" i="6"/>
  <c r="L13" i="6"/>
  <c r="B8" i="6"/>
  <c r="B9" i="6" s="1"/>
  <c r="F7" i="6"/>
  <c r="F8" i="6" s="1"/>
  <c r="F9" i="6" s="1"/>
  <c r="F10" i="6" s="1"/>
  <c r="B7" i="6"/>
  <c r="F4" i="6"/>
  <c r="L4" i="6" s="1"/>
  <c r="F2" i="6"/>
  <c r="B2" i="6"/>
  <c r="L94" i="6" s="1"/>
  <c r="M112" i="5"/>
  <c r="L112" i="5"/>
  <c r="F106" i="5"/>
  <c r="F107" i="5" s="1"/>
  <c r="F108" i="5" s="1"/>
  <c r="F109" i="5" s="1"/>
  <c r="B106" i="5"/>
  <c r="B107" i="5" s="1"/>
  <c r="L105" i="5"/>
  <c r="F103" i="5"/>
  <c r="L103" i="5" s="1"/>
  <c r="M101" i="5"/>
  <c r="L101" i="5"/>
  <c r="F96" i="5"/>
  <c r="F97" i="5" s="1"/>
  <c r="F98" i="5" s="1"/>
  <c r="B96" i="5"/>
  <c r="B97" i="5" s="1"/>
  <c r="F95" i="5"/>
  <c r="B95" i="5"/>
  <c r="L92" i="5"/>
  <c r="L94" i="5" s="1"/>
  <c r="F92" i="5"/>
  <c r="M90" i="5"/>
  <c r="L90" i="5"/>
  <c r="B85" i="5"/>
  <c r="F84" i="5"/>
  <c r="F85" i="5" s="1"/>
  <c r="F86" i="5" s="1"/>
  <c r="F87" i="5" s="1"/>
  <c r="B84" i="5"/>
  <c r="F81" i="5"/>
  <c r="L81" i="5" s="1"/>
  <c r="L83" i="5" s="1"/>
  <c r="M79" i="5"/>
  <c r="L79" i="5"/>
  <c r="B75" i="5"/>
  <c r="F74" i="5"/>
  <c r="F75" i="5" s="1"/>
  <c r="F76" i="5" s="1"/>
  <c r="B74" i="5"/>
  <c r="F73" i="5"/>
  <c r="B73" i="5"/>
  <c r="L70" i="5"/>
  <c r="L72" i="5" s="1"/>
  <c r="F70" i="5"/>
  <c r="M68" i="5"/>
  <c r="L68" i="5"/>
  <c r="B62" i="5"/>
  <c r="F59" i="5"/>
  <c r="L59" i="5" s="1"/>
  <c r="M57" i="5"/>
  <c r="L57" i="5"/>
  <c r="B52" i="5"/>
  <c r="F51" i="5"/>
  <c r="F52" i="5" s="1"/>
  <c r="F53" i="5" s="1"/>
  <c r="F54" i="5" s="1"/>
  <c r="B51" i="5"/>
  <c r="L48" i="5"/>
  <c r="L50" i="5" s="1"/>
  <c r="F48" i="5"/>
  <c r="M46" i="5"/>
  <c r="L46" i="5"/>
  <c r="B42" i="5"/>
  <c r="F41" i="5"/>
  <c r="F42" i="5" s="1"/>
  <c r="F43" i="5" s="1"/>
  <c r="B41" i="5"/>
  <c r="F40" i="5"/>
  <c r="B40" i="5"/>
  <c r="L37" i="5"/>
  <c r="F37" i="5"/>
  <c r="M35" i="5"/>
  <c r="L35" i="5"/>
  <c r="B30" i="5"/>
  <c r="F29" i="5"/>
  <c r="F30" i="5" s="1"/>
  <c r="F31" i="5" s="1"/>
  <c r="F32" i="5" s="1"/>
  <c r="B29" i="5"/>
  <c r="L26" i="5"/>
  <c r="L28" i="5" s="1"/>
  <c r="F26" i="5"/>
  <c r="M24" i="5"/>
  <c r="L24" i="5"/>
  <c r="B19" i="5"/>
  <c r="B18" i="5"/>
  <c r="F15" i="5"/>
  <c r="F18" i="5" s="1"/>
  <c r="F19" i="5" s="1"/>
  <c r="F20" i="5" s="1"/>
  <c r="F21" i="5" s="1"/>
  <c r="M13" i="5"/>
  <c r="L13" i="5"/>
  <c r="F8" i="5"/>
  <c r="F9" i="5" s="1"/>
  <c r="F10" i="5" s="1"/>
  <c r="B8" i="5"/>
  <c r="B9" i="5" s="1"/>
  <c r="F7" i="5"/>
  <c r="B7" i="5"/>
  <c r="L4" i="5"/>
  <c r="L6" i="5" s="1"/>
  <c r="F4" i="5"/>
  <c r="F2" i="5"/>
  <c r="B2" i="5"/>
  <c r="M112" i="4"/>
  <c r="L112" i="4"/>
  <c r="F108" i="4"/>
  <c r="F109" i="4" s="1"/>
  <c r="F106" i="4"/>
  <c r="F107" i="4" s="1"/>
  <c r="B106" i="4"/>
  <c r="B107" i="4" s="1"/>
  <c r="F103" i="4"/>
  <c r="L103" i="4" s="1"/>
  <c r="M105" i="4" s="1"/>
  <c r="M101" i="4"/>
  <c r="L101" i="4"/>
  <c r="F98" i="4"/>
  <c r="F96" i="4"/>
  <c r="F97" i="4" s="1"/>
  <c r="B95" i="4"/>
  <c r="M94" i="4"/>
  <c r="L92" i="4"/>
  <c r="F92" i="4"/>
  <c r="F95" i="4" s="1"/>
  <c r="M90" i="4"/>
  <c r="L90" i="4"/>
  <c r="F86" i="4"/>
  <c r="F87" i="4" s="1"/>
  <c r="B86" i="4"/>
  <c r="F85" i="4"/>
  <c r="F84" i="4"/>
  <c r="B84" i="4"/>
  <c r="B85" i="4" s="1"/>
  <c r="F81" i="4"/>
  <c r="L81" i="4" s="1"/>
  <c r="M83" i="4" s="1"/>
  <c r="M79" i="4"/>
  <c r="L79" i="4"/>
  <c r="F75" i="4"/>
  <c r="F76" i="4" s="1"/>
  <c r="B75" i="4"/>
  <c r="F74" i="4"/>
  <c r="B74" i="4"/>
  <c r="B73" i="4"/>
  <c r="M72" i="4"/>
  <c r="L70" i="4"/>
  <c r="F70" i="4"/>
  <c r="F73" i="4" s="1"/>
  <c r="M68" i="4"/>
  <c r="L68" i="4"/>
  <c r="F65" i="4"/>
  <c r="F63" i="4"/>
  <c r="F64" i="4" s="1"/>
  <c r="B62" i="4"/>
  <c r="F59" i="4"/>
  <c r="F62" i="4" s="1"/>
  <c r="M57" i="4"/>
  <c r="L57" i="4"/>
  <c r="F53" i="4"/>
  <c r="F54" i="4" s="1"/>
  <c r="B53" i="4"/>
  <c r="B52" i="4"/>
  <c r="B51" i="4"/>
  <c r="M50" i="4"/>
  <c r="L48" i="4"/>
  <c r="F48" i="4"/>
  <c r="F51" i="4" s="1"/>
  <c r="F52" i="4" s="1"/>
  <c r="M46" i="4"/>
  <c r="L46" i="4"/>
  <c r="F42" i="4"/>
  <c r="F43" i="4" s="1"/>
  <c r="B42" i="4"/>
  <c r="B40" i="4"/>
  <c r="B41" i="4" s="1"/>
  <c r="F37" i="4"/>
  <c r="F40" i="4" s="1"/>
  <c r="F41" i="4" s="1"/>
  <c r="M35" i="4"/>
  <c r="L35" i="4"/>
  <c r="F30" i="4"/>
  <c r="F31" i="4" s="1"/>
  <c r="F32" i="4" s="1"/>
  <c r="B29" i="4"/>
  <c r="L26" i="4"/>
  <c r="M28" i="4" s="1"/>
  <c r="F26" i="4"/>
  <c r="F29" i="4" s="1"/>
  <c r="M24" i="4"/>
  <c r="L24" i="4"/>
  <c r="F21" i="4"/>
  <c r="F19" i="4"/>
  <c r="F20" i="4" s="1"/>
  <c r="F18" i="4"/>
  <c r="B18" i="4"/>
  <c r="B19" i="4" s="1"/>
  <c r="B20" i="4" s="1"/>
  <c r="L15" i="4"/>
  <c r="M17" i="4" s="1"/>
  <c r="F15" i="4"/>
  <c r="M13" i="4"/>
  <c r="L13" i="4"/>
  <c r="F9" i="4"/>
  <c r="F10" i="4" s="1"/>
  <c r="F8" i="4"/>
  <c r="B7" i="4"/>
  <c r="L4" i="4"/>
  <c r="M6" i="4" s="1"/>
  <c r="F4" i="4"/>
  <c r="F7" i="4" s="1"/>
  <c r="F2" i="4"/>
  <c r="B2" i="4"/>
  <c r="M112" i="3"/>
  <c r="L112" i="3"/>
  <c r="B107" i="3"/>
  <c r="B106" i="3"/>
  <c r="F103" i="3"/>
  <c r="F106" i="3" s="1"/>
  <c r="F107" i="3" s="1"/>
  <c r="F108" i="3" s="1"/>
  <c r="F109" i="3" s="1"/>
  <c r="M101" i="3"/>
  <c r="L101" i="3"/>
  <c r="B96" i="3"/>
  <c r="F95" i="3"/>
  <c r="F96" i="3" s="1"/>
  <c r="F97" i="3" s="1"/>
  <c r="F98" i="3" s="1"/>
  <c r="B95" i="3"/>
  <c r="M94" i="3"/>
  <c r="F92" i="3"/>
  <c r="L92" i="3" s="1"/>
  <c r="M90" i="3"/>
  <c r="L90" i="3"/>
  <c r="F84" i="3"/>
  <c r="F85" i="3" s="1"/>
  <c r="F86" i="3" s="1"/>
  <c r="F87" i="3" s="1"/>
  <c r="B84" i="3"/>
  <c r="L81" i="3"/>
  <c r="M83" i="3" s="1"/>
  <c r="F81" i="3"/>
  <c r="M79" i="3"/>
  <c r="L79" i="3"/>
  <c r="F76" i="3"/>
  <c r="F74" i="3"/>
  <c r="F75" i="3" s="1"/>
  <c r="B74" i="3"/>
  <c r="B75" i="3" s="1"/>
  <c r="F73" i="3"/>
  <c r="B73" i="3"/>
  <c r="F70" i="3"/>
  <c r="L70" i="3" s="1"/>
  <c r="M68" i="3"/>
  <c r="L68" i="3"/>
  <c r="B63" i="3"/>
  <c r="B62" i="3"/>
  <c r="F59" i="3"/>
  <c r="L59" i="3" s="1"/>
  <c r="M57" i="3"/>
  <c r="L57" i="3"/>
  <c r="B52" i="3"/>
  <c r="B51" i="3"/>
  <c r="F48" i="3"/>
  <c r="M46" i="3"/>
  <c r="L46" i="3"/>
  <c r="F40" i="3"/>
  <c r="F41" i="3" s="1"/>
  <c r="F42" i="3" s="1"/>
  <c r="F43" i="3" s="1"/>
  <c r="B40" i="3"/>
  <c r="L37" i="3"/>
  <c r="F37" i="3"/>
  <c r="M35" i="3"/>
  <c r="L35" i="3"/>
  <c r="B31" i="3"/>
  <c r="B32" i="3" s="1"/>
  <c r="B30" i="3"/>
  <c r="B29" i="3"/>
  <c r="F26" i="3"/>
  <c r="M24" i="3"/>
  <c r="L24" i="3"/>
  <c r="B19" i="3"/>
  <c r="B18" i="3"/>
  <c r="F15" i="3"/>
  <c r="M13" i="3"/>
  <c r="L13" i="3"/>
  <c r="F8" i="3"/>
  <c r="F9" i="3" s="1"/>
  <c r="F10" i="3" s="1"/>
  <c r="F7" i="3"/>
  <c r="B7" i="3"/>
  <c r="M6" i="3"/>
  <c r="F4" i="3"/>
  <c r="L4" i="3" s="1"/>
  <c r="F2" i="3"/>
  <c r="M72" i="3" s="1"/>
  <c r="B2" i="3"/>
  <c r="M112" i="2"/>
  <c r="L112" i="2"/>
  <c r="B109" i="2"/>
  <c r="B108" i="2"/>
  <c r="B107" i="2"/>
  <c r="B106" i="2"/>
  <c r="L103" i="2"/>
  <c r="M105" i="2" s="1"/>
  <c r="F103" i="2"/>
  <c r="F106" i="2" s="1"/>
  <c r="F107" i="2" s="1"/>
  <c r="F108" i="2" s="1"/>
  <c r="F109" i="2" s="1"/>
  <c r="M101" i="2"/>
  <c r="L101" i="2"/>
  <c r="B98" i="2"/>
  <c r="B97" i="2"/>
  <c r="B96" i="2"/>
  <c r="F95" i="2"/>
  <c r="F96" i="2" s="1"/>
  <c r="F97" i="2" s="1"/>
  <c r="F98" i="2" s="1"/>
  <c r="B95" i="2"/>
  <c r="L92" i="2"/>
  <c r="L94" i="2" s="1"/>
  <c r="F92" i="2"/>
  <c r="M90" i="2"/>
  <c r="L90" i="2"/>
  <c r="B84" i="2"/>
  <c r="F81" i="2"/>
  <c r="L81" i="2" s="1"/>
  <c r="M83" i="2" s="1"/>
  <c r="M79" i="2"/>
  <c r="L79" i="2"/>
  <c r="B75" i="2"/>
  <c r="F74" i="2"/>
  <c r="F75" i="2" s="1"/>
  <c r="F76" i="2" s="1"/>
  <c r="B74" i="2"/>
  <c r="F73" i="2"/>
  <c r="B73" i="2"/>
  <c r="L70" i="2"/>
  <c r="F70" i="2"/>
  <c r="M68" i="2"/>
  <c r="L68" i="2"/>
  <c r="B62" i="2"/>
  <c r="F59" i="2"/>
  <c r="F62" i="2" s="1"/>
  <c r="F63" i="2" s="1"/>
  <c r="F64" i="2" s="1"/>
  <c r="F65" i="2" s="1"/>
  <c r="M57" i="2"/>
  <c r="L57" i="2"/>
  <c r="B53" i="2"/>
  <c r="F52" i="2"/>
  <c r="F53" i="2" s="1"/>
  <c r="F54" i="2" s="1"/>
  <c r="B52" i="2"/>
  <c r="F51" i="2"/>
  <c r="B51" i="2"/>
  <c r="L48" i="2"/>
  <c r="L50" i="2" s="1"/>
  <c r="F48" i="2"/>
  <c r="M46" i="2"/>
  <c r="L46" i="2"/>
  <c r="F43" i="2"/>
  <c r="B42" i="2"/>
  <c r="B41" i="2"/>
  <c r="B40" i="2"/>
  <c r="F37" i="2"/>
  <c r="F40" i="2" s="1"/>
  <c r="F41" i="2" s="1"/>
  <c r="F42" i="2" s="1"/>
  <c r="M35" i="2"/>
  <c r="L35" i="2"/>
  <c r="B32" i="2"/>
  <c r="B31" i="2"/>
  <c r="B30" i="2"/>
  <c r="B29" i="2"/>
  <c r="F26" i="2"/>
  <c r="F29" i="2" s="1"/>
  <c r="F30" i="2" s="1"/>
  <c r="F31" i="2" s="1"/>
  <c r="F32" i="2" s="1"/>
  <c r="M24" i="2"/>
  <c r="L24" i="2"/>
  <c r="F18" i="2"/>
  <c r="F19" i="2" s="1"/>
  <c r="F20" i="2" s="1"/>
  <c r="F21" i="2" s="1"/>
  <c r="B18" i="2"/>
  <c r="B19" i="2" s="1"/>
  <c r="M17" i="2"/>
  <c r="L17" i="2"/>
  <c r="L15" i="2"/>
  <c r="F15" i="2"/>
  <c r="M13" i="2"/>
  <c r="L13" i="2"/>
  <c r="B8" i="2"/>
  <c r="B9" i="2" s="1"/>
  <c r="B7" i="2"/>
  <c r="F4" i="2"/>
  <c r="F2" i="2"/>
  <c r="B2" i="2"/>
  <c r="AN5" i="8"/>
  <c r="AM5" i="8"/>
  <c r="AM5" i="9"/>
  <c r="AM5" i="10"/>
  <c r="AO5" i="8"/>
  <c r="AO5" i="10"/>
  <c r="AQ5" i="9"/>
  <c r="AP5" i="9"/>
  <c r="AO5" i="9"/>
  <c r="AN5" i="9"/>
  <c r="AQ5" i="10"/>
  <c r="AP5" i="10"/>
  <c r="AP5" i="7"/>
  <c r="AO5" i="7"/>
  <c r="AN5" i="7"/>
  <c r="AM5" i="7"/>
  <c r="AN5" i="10"/>
  <c r="AQ5" i="7"/>
  <c r="AP5" i="8"/>
  <c r="AQ5" i="8"/>
  <c r="L41" i="2"/>
  <c r="D41" i="6"/>
  <c r="L106" i="5"/>
  <c r="H95" i="2"/>
  <c r="M7" i="5"/>
  <c r="H18" i="5"/>
  <c r="D7" i="5"/>
  <c r="H73" i="3"/>
  <c r="M7" i="6"/>
  <c r="L31" i="2"/>
  <c r="M74" i="2"/>
  <c r="L29" i="6"/>
  <c r="L51" i="2"/>
  <c r="L106" i="2"/>
  <c r="D51" i="2"/>
  <c r="D75" i="4"/>
  <c r="L106" i="4"/>
  <c r="M73" i="6"/>
  <c r="L18" i="5"/>
  <c r="H52" i="2"/>
  <c r="H74" i="4"/>
  <c r="F13" i="1"/>
  <c r="H40" i="4"/>
  <c r="F15" i="1"/>
  <c r="L73" i="5"/>
  <c r="L95" i="5"/>
  <c r="L51" i="5"/>
  <c r="H95" i="6"/>
  <c r="L7" i="6"/>
  <c r="M84" i="5"/>
  <c r="D52" i="5"/>
  <c r="M62" i="2"/>
  <c r="M109" i="2"/>
  <c r="D7" i="6"/>
  <c r="D14" i="1"/>
  <c r="E18" i="1"/>
  <c r="M51" i="4"/>
  <c r="F16" i="1"/>
  <c r="H19" i="2"/>
  <c r="D107" i="2"/>
  <c r="L74" i="3"/>
  <c r="F10" i="1"/>
  <c r="H96" i="5"/>
  <c r="H73" i="6"/>
  <c r="L73" i="3"/>
  <c r="M51" i="5"/>
  <c r="L18" i="2"/>
  <c r="D30" i="2"/>
  <c r="D9" i="1"/>
  <c r="D63" i="3"/>
  <c r="D7" i="2"/>
  <c r="D12" i="1"/>
  <c r="D51" i="3"/>
  <c r="M7" i="2"/>
  <c r="D51" i="4"/>
  <c r="M40" i="4"/>
  <c r="L95" i="6"/>
  <c r="B17" i="1"/>
  <c r="L74" i="5"/>
  <c r="G14" i="1"/>
  <c r="L95" i="4"/>
  <c r="H10" i="1"/>
  <c r="L85" i="4"/>
  <c r="D73" i="6"/>
  <c r="D18" i="6"/>
  <c r="D73" i="3"/>
  <c r="L95" i="2"/>
  <c r="E16" i="1"/>
  <c r="D52" i="2"/>
  <c r="L8" i="6"/>
  <c r="L32" i="2"/>
  <c r="H74" i="2"/>
  <c r="D109" i="2"/>
  <c r="M29" i="2"/>
  <c r="F14" i="1"/>
  <c r="H52" i="4"/>
  <c r="D74" i="5"/>
  <c r="E15" i="1"/>
  <c r="H95" i="5"/>
  <c r="D74" i="2"/>
  <c r="L40" i="4"/>
  <c r="G16" i="1"/>
  <c r="L74" i="2"/>
  <c r="L73" i="2"/>
  <c r="D74" i="6"/>
  <c r="H16" i="1"/>
  <c r="M18" i="2"/>
  <c r="B14" i="1"/>
  <c r="E17" i="1"/>
  <c r="D52" i="4"/>
  <c r="L84" i="3"/>
  <c r="M106" i="4"/>
  <c r="L51" i="4"/>
  <c r="L30" i="2"/>
  <c r="B15" i="1"/>
  <c r="D95" i="2"/>
  <c r="G11" i="1"/>
  <c r="M75" i="4"/>
  <c r="M97" i="2"/>
  <c r="D62" i="2"/>
  <c r="B18" i="1"/>
  <c r="M73" i="3"/>
  <c r="M29" i="6"/>
  <c r="D62" i="4"/>
  <c r="M95" i="4"/>
  <c r="M30" i="2"/>
  <c r="M96" i="3"/>
  <c r="H106" i="2"/>
  <c r="M74" i="5"/>
  <c r="H51" i="5"/>
  <c r="L53" i="2"/>
  <c r="M51" i="2"/>
  <c r="H7" i="3"/>
  <c r="F9" i="1"/>
  <c r="E13" i="1"/>
  <c r="H62" i="3"/>
  <c r="G18" i="1"/>
  <c r="M19" i="3"/>
  <c r="L29" i="4"/>
  <c r="L30" i="6"/>
  <c r="L19" i="4"/>
  <c r="H7" i="5"/>
  <c r="H32" i="2"/>
  <c r="M31" i="2"/>
  <c r="D74" i="4"/>
  <c r="M40" i="5"/>
  <c r="M51" i="3"/>
  <c r="H18" i="2"/>
  <c r="M107" i="3"/>
  <c r="M106" i="3"/>
  <c r="D95" i="5"/>
  <c r="H73" i="2"/>
  <c r="M73" i="2"/>
  <c r="H84" i="4"/>
  <c r="D73" i="5"/>
  <c r="P73" i="5" s="1"/>
  <c r="L96" i="5"/>
  <c r="G17" i="1"/>
  <c r="H30" i="2"/>
  <c r="L7" i="5"/>
  <c r="B13" i="1"/>
  <c r="H75" i="4"/>
  <c r="M52" i="2"/>
  <c r="D18" i="2"/>
  <c r="D18" i="1"/>
  <c r="L29" i="2"/>
  <c r="H29" i="4"/>
  <c r="L84" i="5"/>
  <c r="L73" i="6"/>
  <c r="H31" i="2"/>
  <c r="E9" i="1"/>
  <c r="H62" i="4"/>
  <c r="F18" i="1"/>
  <c r="M40" i="2"/>
  <c r="H15" i="1"/>
  <c r="M73" i="5"/>
  <c r="H17" i="1"/>
  <c r="H7" i="2"/>
  <c r="H106" i="5"/>
  <c r="B12" i="1"/>
  <c r="H40" i="2"/>
  <c r="D7" i="4"/>
  <c r="D42" i="4"/>
  <c r="D51" i="5"/>
  <c r="L62" i="3"/>
  <c r="D106" i="3"/>
  <c r="L32" i="3"/>
  <c r="H73" i="4"/>
  <c r="D106" i="2"/>
  <c r="D29" i="2"/>
  <c r="D15" i="1"/>
  <c r="M62" i="3"/>
  <c r="L7" i="2"/>
  <c r="L62" i="2"/>
  <c r="L41" i="4"/>
  <c r="D62" i="5"/>
  <c r="H14" i="1"/>
  <c r="L84" i="2"/>
  <c r="M42" i="2"/>
  <c r="H75" i="2"/>
  <c r="F11" i="1"/>
  <c r="B9" i="1"/>
  <c r="M41" i="2"/>
  <c r="M84" i="4"/>
  <c r="B10" i="1"/>
  <c r="D8" i="2"/>
  <c r="G15" i="1"/>
  <c r="D29" i="6"/>
  <c r="D18" i="5"/>
  <c r="D11" i="1"/>
  <c r="L75" i="4"/>
  <c r="G10" i="1"/>
  <c r="H7" i="6"/>
  <c r="H29" i="5"/>
  <c r="D9" i="2"/>
  <c r="H96" i="2"/>
  <c r="L106" i="3"/>
  <c r="H12" i="1"/>
  <c r="H9" i="1"/>
  <c r="H106" i="3"/>
  <c r="H74" i="5"/>
  <c r="H13" i="1"/>
  <c r="L18" i="3"/>
  <c r="G9" i="1"/>
  <c r="L51" i="3"/>
  <c r="H84" i="5"/>
  <c r="H19" i="5"/>
  <c r="M32" i="2"/>
  <c r="D29" i="4"/>
  <c r="H11" i="1"/>
  <c r="E10" i="1"/>
  <c r="M29" i="4"/>
  <c r="L84" i="4"/>
  <c r="D41" i="2"/>
  <c r="M95" i="5"/>
  <c r="E12" i="1"/>
  <c r="B11" i="1"/>
  <c r="D106" i="4"/>
  <c r="D40" i="4"/>
  <c r="D108" i="2"/>
  <c r="G13" i="1"/>
  <c r="D10" i="1"/>
  <c r="G12" i="1"/>
  <c r="H30" i="3"/>
  <c r="D40" i="2"/>
  <c r="L29" i="5"/>
  <c r="H18" i="1"/>
  <c r="L74" i="4"/>
  <c r="M19" i="5"/>
  <c r="D13" i="1"/>
  <c r="H95" i="4"/>
  <c r="H8" i="2"/>
  <c r="D73" i="2"/>
  <c r="H51" i="2"/>
  <c r="F12" i="1"/>
  <c r="D29" i="3"/>
  <c r="M18" i="5"/>
  <c r="M106" i="2"/>
  <c r="L52" i="2"/>
  <c r="H41" i="5"/>
  <c r="L96" i="2"/>
  <c r="D31" i="2"/>
  <c r="H84" i="6"/>
  <c r="E14" i="1"/>
  <c r="D30" i="3"/>
  <c r="D16" i="1"/>
  <c r="D84" i="5"/>
  <c r="L40" i="2"/>
  <c r="H73" i="5"/>
  <c r="P76" i="5" s="1"/>
  <c r="H7" i="4"/>
  <c r="L40" i="5"/>
  <c r="M29" i="5"/>
  <c r="B16" i="1"/>
  <c r="M74" i="4"/>
  <c r="H29" i="2"/>
  <c r="D32" i="2"/>
  <c r="L75" i="5"/>
  <c r="F17" i="1"/>
  <c r="H107" i="5"/>
  <c r="D17" i="1"/>
  <c r="L107" i="2"/>
  <c r="D29" i="5"/>
  <c r="E11" i="1"/>
  <c r="M95" i="2"/>
  <c r="H51" i="3"/>
  <c r="P76" i="3"/>
  <c r="P73" i="3"/>
  <c r="P98" i="5"/>
  <c r="P95" i="5"/>
  <c r="P73" i="6"/>
  <c r="P76" i="6"/>
  <c r="P54" i="5"/>
  <c r="P51" i="5"/>
  <c r="P62" i="2"/>
  <c r="P65" i="2"/>
  <c r="P87" i="5"/>
  <c r="P84" i="5"/>
  <c r="P29" i="2"/>
  <c r="P32" i="2"/>
  <c r="J34" i="2" l="1"/>
  <c r="J35" i="2"/>
  <c r="J90" i="5"/>
  <c r="J89" i="5"/>
  <c r="N74" i="2"/>
  <c r="J112" i="4"/>
  <c r="J111" i="4"/>
  <c r="J84" i="5"/>
  <c r="N51" i="3"/>
  <c r="J112" i="3"/>
  <c r="J111" i="3"/>
  <c r="J31" i="2"/>
  <c r="J74" i="4"/>
  <c r="N29" i="5"/>
  <c r="J100" i="2"/>
  <c r="J101" i="2"/>
  <c r="N62" i="2"/>
  <c r="J68" i="4"/>
  <c r="J67" i="4"/>
  <c r="J79" i="6"/>
  <c r="J78" i="6"/>
  <c r="J74" i="2"/>
  <c r="J62" i="4"/>
  <c r="J78" i="3"/>
  <c r="J79" i="3"/>
  <c r="N74" i="4"/>
  <c r="J57" i="5"/>
  <c r="J56" i="5"/>
  <c r="N73" i="3"/>
  <c r="N84" i="5"/>
  <c r="N32" i="2"/>
  <c r="J73" i="6"/>
  <c r="J78" i="5"/>
  <c r="J79" i="5"/>
  <c r="J75" i="4"/>
  <c r="J18" i="2"/>
  <c r="J51" i="5"/>
  <c r="N18" i="2"/>
  <c r="J73" i="5"/>
  <c r="N31" i="2"/>
  <c r="J52" i="2"/>
  <c r="J18" i="5"/>
  <c r="N74" i="5"/>
  <c r="N51" i="4"/>
  <c r="J100" i="5"/>
  <c r="J101" i="5"/>
  <c r="D19" i="1"/>
  <c r="J40" i="2"/>
  <c r="G19" i="1"/>
  <c r="J52" i="4"/>
  <c r="H19" i="1"/>
  <c r="J111" i="2"/>
  <c r="J112" i="2"/>
  <c r="N40" i="5"/>
  <c r="J74" i="5"/>
  <c r="N41" i="2"/>
  <c r="J30" i="3"/>
  <c r="N40" i="4"/>
  <c r="J29" i="2"/>
  <c r="J68" i="5"/>
  <c r="J67" i="5"/>
  <c r="J7" i="6"/>
  <c r="N7" i="6"/>
  <c r="N62" i="3"/>
  <c r="N18" i="5"/>
  <c r="J95" i="5"/>
  <c r="J8" i="2"/>
  <c r="N29" i="2"/>
  <c r="N7" i="5"/>
  <c r="J73" i="2"/>
  <c r="J51" i="3"/>
  <c r="N95" i="4"/>
  <c r="N106" i="4"/>
  <c r="J7" i="2"/>
  <c r="J32" i="2"/>
  <c r="N52" i="2"/>
  <c r="J57" i="3"/>
  <c r="J56" i="3"/>
  <c r="N84" i="4"/>
  <c r="J7" i="5"/>
  <c r="N95" i="2"/>
  <c r="N75" i="4"/>
  <c r="N51" i="5"/>
  <c r="N29" i="6"/>
  <c r="J106" i="2"/>
  <c r="J106" i="3"/>
  <c r="J30" i="2"/>
  <c r="N106" i="2"/>
  <c r="N51" i="2"/>
  <c r="N106" i="3"/>
  <c r="N40" i="2"/>
  <c r="J7" i="4"/>
  <c r="J51" i="2"/>
  <c r="N30" i="2"/>
  <c r="J29" i="4"/>
  <c r="J68" i="2"/>
  <c r="J67" i="2"/>
  <c r="J56" i="2"/>
  <c r="J57" i="2"/>
  <c r="J40" i="4"/>
  <c r="J57" i="4"/>
  <c r="J56" i="4"/>
  <c r="N29" i="4"/>
  <c r="N95" i="5"/>
  <c r="J29" i="5"/>
  <c r="J95" i="2"/>
  <c r="E19" i="1"/>
  <c r="N73" i="6"/>
  <c r="N73" i="2"/>
  <c r="F19" i="1"/>
  <c r="N7" i="2"/>
  <c r="J78" i="2"/>
  <c r="J79" i="2"/>
  <c r="J73" i="3"/>
  <c r="N73" i="5"/>
  <c r="B10" i="5"/>
  <c r="B43" i="5"/>
  <c r="F18" i="3"/>
  <c r="F19" i="3" s="1"/>
  <c r="F20" i="3" s="1"/>
  <c r="F21" i="3" s="1"/>
  <c r="L15" i="3"/>
  <c r="M17" i="3" s="1"/>
  <c r="B87" i="4"/>
  <c r="B76" i="2"/>
  <c r="B32" i="6"/>
  <c r="B10" i="6"/>
  <c r="B20" i="3"/>
  <c r="B53" i="6"/>
  <c r="B53" i="3"/>
  <c r="B20" i="2"/>
  <c r="L94" i="3"/>
  <c r="L72" i="3"/>
  <c r="L50" i="3"/>
  <c r="L28" i="3"/>
  <c r="L6" i="3"/>
  <c r="L39" i="3"/>
  <c r="L83" i="3"/>
  <c r="L61" i="3"/>
  <c r="B86" i="5"/>
  <c r="B75" i="6"/>
  <c r="L48" i="3"/>
  <c r="M50" i="3" s="1"/>
  <c r="F51" i="3"/>
  <c r="F52" i="3" s="1"/>
  <c r="F53" i="3" s="1"/>
  <c r="F54" i="3" s="1"/>
  <c r="B43" i="4"/>
  <c r="B31" i="5"/>
  <c r="Q10" i="8"/>
  <c r="L15" i="5"/>
  <c r="F84" i="2"/>
  <c r="F85" i="2" s="1"/>
  <c r="F86" i="2" s="1"/>
  <c r="F87" i="2" s="1"/>
  <c r="B19" i="6"/>
  <c r="L39" i="6"/>
  <c r="L61" i="2"/>
  <c r="B76" i="3"/>
  <c r="B108" i="5"/>
  <c r="B96" i="6"/>
  <c r="L4" i="2"/>
  <c r="F7" i="2"/>
  <c r="F8" i="2" s="1"/>
  <c r="F9" i="2" s="1"/>
  <c r="F10" i="2" s="1"/>
  <c r="L37" i="2"/>
  <c r="L39" i="2" s="1"/>
  <c r="B41" i="3"/>
  <c r="F62" i="3"/>
  <c r="F63" i="3" s="1"/>
  <c r="F64" i="3" s="1"/>
  <c r="F65" i="3" s="1"/>
  <c r="M39" i="5"/>
  <c r="L39" i="5"/>
  <c r="B53" i="5"/>
  <c r="B42" i="6"/>
  <c r="Q10" i="7"/>
  <c r="L94" i="4"/>
  <c r="L72" i="4"/>
  <c r="L50" i="4"/>
  <c r="L28" i="4"/>
  <c r="L6" i="4"/>
  <c r="L83" i="4"/>
  <c r="L105" i="4"/>
  <c r="L61" i="4"/>
  <c r="L17" i="4"/>
  <c r="L105" i="2"/>
  <c r="B21" i="4"/>
  <c r="B63" i="6"/>
  <c r="B20" i="5"/>
  <c r="B10" i="2"/>
  <c r="M61" i="5"/>
  <c r="L61" i="5"/>
  <c r="B64" i="3"/>
  <c r="B63" i="5"/>
  <c r="B98" i="5"/>
  <c r="B107" i="6"/>
  <c r="B54" i="2"/>
  <c r="B85" i="2"/>
  <c r="F62" i="5"/>
  <c r="F63" i="5" s="1"/>
  <c r="F64" i="5" s="1"/>
  <c r="F65" i="5" s="1"/>
  <c r="L26" i="2"/>
  <c r="L28" i="2" s="1"/>
  <c r="B85" i="3"/>
  <c r="B54" i="4"/>
  <c r="B85" i="6"/>
  <c r="L26" i="6"/>
  <c r="M28" i="6" s="1"/>
  <c r="F29" i="6"/>
  <c r="F30" i="6" s="1"/>
  <c r="F31" i="6" s="1"/>
  <c r="F32" i="6" s="1"/>
  <c r="B43" i="2"/>
  <c r="L83" i="2"/>
  <c r="M83" i="5"/>
  <c r="M61" i="3"/>
  <c r="M83" i="6"/>
  <c r="B76" i="4"/>
  <c r="L37" i="4"/>
  <c r="M39" i="4" s="1"/>
  <c r="L26" i="3"/>
  <c r="F29" i="3"/>
  <c r="F30" i="3" s="1"/>
  <c r="F31" i="3" s="1"/>
  <c r="F32" i="3" s="1"/>
  <c r="B108" i="3"/>
  <c r="L59" i="2"/>
  <c r="M61" i="2" s="1"/>
  <c r="M28" i="3"/>
  <c r="L59" i="4"/>
  <c r="M61" i="4" s="1"/>
  <c r="B76" i="5"/>
  <c r="B63" i="2"/>
  <c r="G653" i="7"/>
  <c r="L6" i="2"/>
  <c r="L72" i="2"/>
  <c r="H653" i="7"/>
  <c r="B8" i="3"/>
  <c r="B97" i="3"/>
  <c r="M94" i="2"/>
  <c r="M72" i="2"/>
  <c r="M50" i="2"/>
  <c r="M28" i="2"/>
  <c r="M6" i="2"/>
  <c r="M39" i="2"/>
  <c r="M39" i="3"/>
  <c r="B8" i="4"/>
  <c r="B63" i="4"/>
  <c r="B96" i="4"/>
  <c r="M94" i="5"/>
  <c r="M72" i="5"/>
  <c r="M50" i="5"/>
  <c r="M28" i="5"/>
  <c r="M6" i="5"/>
  <c r="M105" i="5"/>
  <c r="X652" i="7"/>
  <c r="M105" i="6"/>
  <c r="AI10" i="8"/>
  <c r="M72" i="6"/>
  <c r="L103" i="3"/>
  <c r="L105" i="3" s="1"/>
  <c r="AH10" i="8"/>
  <c r="B30" i="4"/>
  <c r="M6" i="6"/>
  <c r="B108" i="4"/>
  <c r="G651" i="7"/>
  <c r="AB653" i="7"/>
  <c r="AH10" i="10"/>
  <c r="L6" i="6"/>
  <c r="L28" i="6"/>
  <c r="L50" i="6"/>
  <c r="L72" i="6"/>
  <c r="P51" i="4"/>
  <c r="P95" i="2"/>
  <c r="P106" i="2"/>
  <c r="P106" i="4"/>
  <c r="P95" i="4"/>
  <c r="P54" i="2"/>
  <c r="P106" i="5"/>
  <c r="P51" i="3"/>
  <c r="P84" i="4"/>
  <c r="P95" i="6"/>
  <c r="P106" i="3"/>
  <c r="P54" i="3"/>
  <c r="P84" i="3"/>
  <c r="P73" i="2"/>
  <c r="P109" i="2"/>
  <c r="P62" i="3"/>
  <c r="P76" i="2"/>
  <c r="P109" i="3"/>
  <c r="P51" i="2"/>
  <c r="P65" i="5"/>
  <c r="P65" i="4"/>
  <c r="P98" i="2"/>
  <c r="H95" i="3"/>
  <c r="D52" i="3"/>
  <c r="L30" i="3"/>
  <c r="D97" i="2"/>
  <c r="L8" i="2"/>
  <c r="M18" i="6"/>
  <c r="L29" i="3"/>
  <c r="H40" i="3"/>
  <c r="L97" i="5"/>
  <c r="D40" i="3"/>
  <c r="D41" i="5"/>
  <c r="H29" i="6"/>
  <c r="H40" i="6"/>
  <c r="D20" i="4"/>
  <c r="M84" i="3"/>
  <c r="D9" i="6"/>
  <c r="M96" i="2"/>
  <c r="M9" i="2"/>
  <c r="M18" i="3"/>
  <c r="D85" i="4"/>
  <c r="L51" i="6"/>
  <c r="L9" i="6"/>
  <c r="D53" i="4"/>
  <c r="L107" i="5"/>
  <c r="L31" i="6"/>
  <c r="L9" i="5"/>
  <c r="M8" i="5"/>
  <c r="M18" i="4"/>
  <c r="M84" i="2"/>
  <c r="H62" i="5"/>
  <c r="D62" i="6"/>
  <c r="H75" i="3"/>
  <c r="L42" i="4"/>
  <c r="M31" i="6"/>
  <c r="L40" i="6"/>
  <c r="H98" i="2"/>
  <c r="M9" i="5"/>
  <c r="L30" i="5"/>
  <c r="M53" i="4"/>
  <c r="D106" i="5"/>
  <c r="M41" i="4"/>
  <c r="L75" i="3"/>
  <c r="M108" i="2"/>
  <c r="M19" i="2"/>
  <c r="H107" i="4"/>
  <c r="M41" i="5"/>
  <c r="M52" i="3"/>
  <c r="M85" i="5"/>
  <c r="H108" i="2"/>
  <c r="M42" i="5"/>
  <c r="D30" i="5"/>
  <c r="H63" i="3"/>
  <c r="H8" i="5"/>
  <c r="H18" i="3"/>
  <c r="H85" i="5"/>
  <c r="M74" i="3"/>
  <c r="M9" i="6"/>
  <c r="D73" i="4"/>
  <c r="D40" i="5"/>
  <c r="L20" i="4"/>
  <c r="M107" i="4"/>
  <c r="M73" i="4"/>
  <c r="M85" i="4"/>
  <c r="M32" i="3"/>
  <c r="H42" i="2"/>
  <c r="H42" i="4"/>
  <c r="H29" i="3"/>
  <c r="H41" i="2"/>
  <c r="L40" i="3"/>
  <c r="L84" i="6"/>
  <c r="D75" i="5"/>
  <c r="H74" i="6"/>
  <c r="H31" i="3"/>
  <c r="L62" i="5"/>
  <c r="L52" i="5"/>
  <c r="M51" i="6"/>
  <c r="M40" i="6"/>
  <c r="L42" i="5"/>
  <c r="H97" i="2"/>
  <c r="L18" i="6"/>
  <c r="H9" i="6"/>
  <c r="L74" i="6"/>
  <c r="H75" i="5"/>
  <c r="D41" i="4"/>
  <c r="H30" i="5"/>
  <c r="L75" i="2"/>
  <c r="M7" i="4"/>
  <c r="D19" i="4"/>
  <c r="D18" i="4"/>
  <c r="H74" i="3"/>
  <c r="M75" i="2"/>
  <c r="D42" i="2"/>
  <c r="H41" i="4"/>
  <c r="M63" i="3"/>
  <c r="H52" i="6"/>
  <c r="L41" i="6"/>
  <c r="L95" i="3"/>
  <c r="H41" i="6"/>
  <c r="D9" i="5"/>
  <c r="D19" i="3"/>
  <c r="H51" i="4"/>
  <c r="M62" i="6"/>
  <c r="H96" i="3"/>
  <c r="H40" i="5"/>
  <c r="H85" i="4"/>
  <c r="M52" i="4"/>
  <c r="L96" i="3"/>
  <c r="D62" i="3"/>
  <c r="M30" i="5"/>
  <c r="L41" i="5"/>
  <c r="D98" i="2"/>
  <c r="M8" i="2"/>
  <c r="H97" i="5"/>
  <c r="L98" i="2"/>
  <c r="H62" i="2"/>
  <c r="M62" i="5"/>
  <c r="M30" i="3"/>
  <c r="M30" i="6"/>
  <c r="D97" i="5"/>
  <c r="L107" i="3"/>
  <c r="M52" i="5"/>
  <c r="M107" i="5"/>
  <c r="H52" i="5"/>
  <c r="M40" i="3"/>
  <c r="D51" i="6"/>
  <c r="H19" i="3"/>
  <c r="D7" i="3"/>
  <c r="H51" i="6"/>
  <c r="D95" i="4"/>
  <c r="L73" i="4"/>
  <c r="D75" i="3"/>
  <c r="L7" i="4"/>
  <c r="L42" i="2"/>
  <c r="H109" i="2"/>
  <c r="H18" i="4"/>
  <c r="D86" i="4"/>
  <c r="L86" i="4"/>
  <c r="D75" i="2"/>
  <c r="M97" i="5"/>
  <c r="H52" i="3"/>
  <c r="D84" i="3"/>
  <c r="L52" i="6"/>
  <c r="D18" i="3"/>
  <c r="D85" i="5"/>
  <c r="H62" i="6"/>
  <c r="H32" i="3"/>
  <c r="L62" i="4"/>
  <c r="D96" i="2"/>
  <c r="H106" i="6"/>
  <c r="M29" i="3"/>
  <c r="L19" i="5"/>
  <c r="L19" i="2"/>
  <c r="D84" i="6"/>
  <c r="M86" i="4"/>
  <c r="M62" i="4"/>
  <c r="M95" i="6"/>
  <c r="L8" i="5"/>
  <c r="M106" i="6"/>
  <c r="L63" i="3"/>
  <c r="M8" i="6"/>
  <c r="L18" i="4"/>
  <c r="H107" i="2"/>
  <c r="M106" i="5"/>
  <c r="L108" i="2"/>
  <c r="L85" i="5"/>
  <c r="M31" i="3"/>
  <c r="H18" i="6"/>
  <c r="D74" i="3"/>
  <c r="H20" i="4"/>
  <c r="H19" i="4"/>
  <c r="D31" i="6"/>
  <c r="H30" i="6"/>
  <c r="H106" i="4"/>
  <c r="H53" i="2"/>
  <c r="M75" i="3"/>
  <c r="H84" i="2"/>
  <c r="H8" i="6"/>
  <c r="D95" i="3"/>
  <c r="D106" i="6"/>
  <c r="L9" i="2"/>
  <c r="D30" i="6"/>
  <c r="L107" i="4"/>
  <c r="M52" i="6"/>
  <c r="L62" i="6"/>
  <c r="M74" i="6"/>
  <c r="M53" i="2"/>
  <c r="D96" i="5"/>
  <c r="L97" i="2"/>
  <c r="D84" i="2"/>
  <c r="M84" i="6"/>
  <c r="D84" i="4"/>
  <c r="M98" i="2"/>
  <c r="M7" i="3"/>
  <c r="D95" i="6"/>
  <c r="M96" i="5"/>
  <c r="D107" i="5"/>
  <c r="D32" i="3"/>
  <c r="D31" i="3"/>
  <c r="D19" i="2"/>
  <c r="H53" i="4"/>
  <c r="D96" i="3"/>
  <c r="L31" i="3"/>
  <c r="D8" i="6"/>
  <c r="H9" i="5"/>
  <c r="M75" i="5"/>
  <c r="L106" i="6"/>
  <c r="M20" i="4"/>
  <c r="L53" i="4"/>
  <c r="L7" i="3"/>
  <c r="L109" i="2"/>
  <c r="M41" i="6"/>
  <c r="L19" i="3"/>
  <c r="D52" i="6"/>
  <c r="D40" i="6"/>
  <c r="H31" i="6"/>
  <c r="M107" i="2"/>
  <c r="H9" i="2"/>
  <c r="D107" i="3"/>
  <c r="H84" i="3"/>
  <c r="H42" i="5"/>
  <c r="H86" i="4"/>
  <c r="H107" i="3"/>
  <c r="D8" i="5"/>
  <c r="M42" i="4"/>
  <c r="M95" i="3"/>
  <c r="D42" i="5"/>
  <c r="L52" i="3"/>
  <c r="D53" i="2"/>
  <c r="M19" i="4"/>
  <c r="D19" i="5"/>
  <c r="L52" i="4"/>
  <c r="D107" i="4"/>
  <c r="P73" i="4"/>
  <c r="P76" i="4"/>
  <c r="P84" i="6"/>
  <c r="P87" i="6"/>
  <c r="P98" i="3"/>
  <c r="P95" i="3"/>
  <c r="P62" i="6"/>
  <c r="P65" i="6"/>
  <c r="P29" i="3"/>
  <c r="P32" i="3"/>
  <c r="J96" i="5" l="1"/>
  <c r="J29" i="3"/>
  <c r="N74" i="3"/>
  <c r="J90" i="3"/>
  <c r="J89" i="3"/>
  <c r="J53" i="4"/>
  <c r="J31" i="3"/>
  <c r="N75" i="3"/>
  <c r="N32" i="3"/>
  <c r="J42" i="4"/>
  <c r="J9" i="5"/>
  <c r="N8" i="6"/>
  <c r="N9" i="2"/>
  <c r="J109" i="2"/>
  <c r="N51" i="6"/>
  <c r="J51" i="6"/>
  <c r="J52" i="5"/>
  <c r="J18" i="3"/>
  <c r="N8" i="2"/>
  <c r="J68" i="3"/>
  <c r="J67" i="3"/>
  <c r="J62" i="3"/>
  <c r="J41" i="2"/>
  <c r="J107" i="2"/>
  <c r="J75" i="5"/>
  <c r="N53" i="4"/>
  <c r="J84" i="2"/>
  <c r="J30" i="5"/>
  <c r="N9" i="5"/>
  <c r="J29" i="6"/>
  <c r="N42" i="2"/>
  <c r="J67" i="6"/>
  <c r="J68" i="6"/>
  <c r="N41" i="6"/>
  <c r="J31" i="6"/>
  <c r="J96" i="2"/>
  <c r="J106" i="4"/>
  <c r="J52" i="3"/>
  <c r="J53" i="2"/>
  <c r="N98" i="2"/>
  <c r="J19" i="4"/>
  <c r="J7" i="3"/>
  <c r="J42" i="2"/>
  <c r="J19" i="5"/>
  <c r="J41" i="6"/>
  <c r="J98" i="2"/>
  <c r="J74" i="6"/>
  <c r="N19" i="4"/>
  <c r="N19" i="5"/>
  <c r="N84" i="6"/>
  <c r="J90" i="2"/>
  <c r="J89" i="2"/>
  <c r="J75" i="2"/>
  <c r="J89" i="6"/>
  <c r="J90" i="6"/>
  <c r="J84" i="6"/>
  <c r="N31" i="3"/>
  <c r="J107" i="4"/>
  <c r="N97" i="2"/>
  <c r="J62" i="2"/>
  <c r="N96" i="2"/>
  <c r="N74" i="6"/>
  <c r="J106" i="6"/>
  <c r="N106" i="6"/>
  <c r="N107" i="4"/>
  <c r="J85" i="4"/>
  <c r="J18" i="4"/>
  <c r="J74" i="3"/>
  <c r="J62" i="6"/>
  <c r="N20" i="4"/>
  <c r="N52" i="3"/>
  <c r="N52" i="6"/>
  <c r="J111" i="6"/>
  <c r="J112" i="6"/>
  <c r="J8" i="6"/>
  <c r="J52" i="6"/>
  <c r="J41" i="5"/>
  <c r="N85" i="4"/>
  <c r="N7" i="4"/>
  <c r="J97" i="5"/>
  <c r="N85" i="5"/>
  <c r="N75" i="2"/>
  <c r="N97" i="5"/>
  <c r="N31" i="6"/>
  <c r="J101" i="3"/>
  <c r="J100" i="3"/>
  <c r="N42" i="4"/>
  <c r="N30" i="6"/>
  <c r="N62" i="6"/>
  <c r="N18" i="6"/>
  <c r="J40" i="6"/>
  <c r="N18" i="3"/>
  <c r="J97" i="2"/>
  <c r="J30" i="6"/>
  <c r="N107" i="5"/>
  <c r="N109" i="2"/>
  <c r="N53" i="2"/>
  <c r="N95" i="3"/>
  <c r="N52" i="5"/>
  <c r="N75" i="5"/>
  <c r="N84" i="2"/>
  <c r="J107" i="5"/>
  <c r="N84" i="3"/>
  <c r="N95" i="6"/>
  <c r="N41" i="4"/>
  <c r="N62" i="5"/>
  <c r="J86" i="4"/>
  <c r="J90" i="4"/>
  <c r="J89" i="4"/>
  <c r="J84" i="4"/>
  <c r="N107" i="2"/>
  <c r="J107" i="3"/>
  <c r="N30" i="3"/>
  <c r="N63" i="3"/>
  <c r="J85" i="5"/>
  <c r="J19" i="3"/>
  <c r="N86" i="4"/>
  <c r="J101" i="4"/>
  <c r="J100" i="4"/>
  <c r="J95" i="4"/>
  <c r="J40" i="3"/>
  <c r="N107" i="3"/>
  <c r="J40" i="5"/>
  <c r="J63" i="3"/>
  <c r="N30" i="5"/>
  <c r="N18" i="4"/>
  <c r="N19" i="3"/>
  <c r="N40" i="6"/>
  <c r="N73" i="4"/>
  <c r="N108" i="2"/>
  <c r="J18" i="6"/>
  <c r="J8" i="5"/>
  <c r="J57" i="6"/>
  <c r="J56" i="6"/>
  <c r="J19" i="2"/>
  <c r="N8" i="5"/>
  <c r="N40" i="3"/>
  <c r="J20" i="4"/>
  <c r="N19" i="2"/>
  <c r="N9" i="6"/>
  <c r="J96" i="3"/>
  <c r="N96" i="5"/>
  <c r="N62" i="4"/>
  <c r="J9" i="6"/>
  <c r="J62" i="5"/>
  <c r="J41" i="4"/>
  <c r="J78" i="4"/>
  <c r="J79" i="4"/>
  <c r="J73" i="4"/>
  <c r="J75" i="3"/>
  <c r="J32" i="3"/>
  <c r="N42" i="5"/>
  <c r="J84" i="3"/>
  <c r="N96" i="3"/>
  <c r="J95" i="3"/>
  <c r="N52" i="4"/>
  <c r="J108" i="2"/>
  <c r="N106" i="5"/>
  <c r="N7" i="3"/>
  <c r="J112" i="5"/>
  <c r="J111" i="5"/>
  <c r="J106" i="5"/>
  <c r="J51" i="4"/>
  <c r="N29" i="3"/>
  <c r="N41" i="5"/>
  <c r="J9" i="2"/>
  <c r="J42" i="5"/>
  <c r="J101" i="6"/>
  <c r="J100" i="6"/>
  <c r="J95" i="6"/>
  <c r="J34" i="3"/>
  <c r="J35" i="3"/>
  <c r="B9" i="4"/>
  <c r="B64" i="2"/>
  <c r="B21" i="5"/>
  <c r="B43" i="6"/>
  <c r="B54" i="3"/>
  <c r="B108" i="6"/>
  <c r="B54" i="5"/>
  <c r="B54" i="6"/>
  <c r="B76" i="6"/>
  <c r="B87" i="5"/>
  <c r="B86" i="6"/>
  <c r="B64" i="6"/>
  <c r="B20" i="6"/>
  <c r="B98" i="3"/>
  <c r="B42" i="3"/>
  <c r="B86" i="2"/>
  <c r="L17" i="3"/>
  <c r="B109" i="4"/>
  <c r="B9" i="3"/>
  <c r="B86" i="3"/>
  <c r="M17" i="5"/>
  <c r="L17" i="5"/>
  <c r="B31" i="4"/>
  <c r="L39" i="4"/>
  <c r="B97" i="4"/>
  <c r="B97" i="6"/>
  <c r="B21" i="3"/>
  <c r="M105" i="3"/>
  <c r="B109" i="3"/>
  <c r="B65" i="3"/>
  <c r="B64" i="5"/>
  <c r="B32" i="5"/>
  <c r="B21" i="2"/>
  <c r="B109" i="5"/>
  <c r="B64" i="4"/>
  <c r="P54" i="4"/>
  <c r="P98" i="6"/>
  <c r="P62" i="5"/>
  <c r="P51" i="6"/>
  <c r="P109" i="6"/>
  <c r="P87" i="3"/>
  <c r="P65" i="3"/>
  <c r="P84" i="2"/>
  <c r="P109" i="4"/>
  <c r="P87" i="4"/>
  <c r="P87" i="2"/>
  <c r="P98" i="4"/>
  <c r="P62" i="4"/>
  <c r="P109" i="5"/>
  <c r="P54" i="6"/>
  <c r="P106" i="6"/>
  <c r="H108" i="4"/>
  <c r="H20" i="3"/>
  <c r="D63" i="6"/>
  <c r="M75" i="6"/>
  <c r="M43" i="4"/>
  <c r="L8" i="3"/>
  <c r="M86" i="5"/>
  <c r="H20" i="2"/>
  <c r="L63" i="5"/>
  <c r="M108" i="3"/>
  <c r="L108" i="5"/>
  <c r="M63" i="2"/>
  <c r="M41" i="3"/>
  <c r="H54" i="2"/>
  <c r="H31" i="5"/>
  <c r="H76" i="4"/>
  <c r="D43" i="4"/>
  <c r="D10" i="6"/>
  <c r="D53" i="3"/>
  <c r="H76" i="3"/>
  <c r="H41" i="3"/>
  <c r="H20" i="5"/>
  <c r="M54" i="4"/>
  <c r="L21" i="4"/>
  <c r="H76" i="5"/>
  <c r="D54" i="4"/>
  <c r="M64" i="3"/>
  <c r="D64" i="3"/>
  <c r="D63" i="4"/>
  <c r="H43" i="4"/>
  <c r="M10" i="6"/>
  <c r="M107" i="6"/>
  <c r="M98" i="5"/>
  <c r="L97" i="3"/>
  <c r="M53" i="5"/>
  <c r="L85" i="2"/>
  <c r="H85" i="2"/>
  <c r="H108" i="3"/>
  <c r="M85" i="3"/>
  <c r="L53" i="6"/>
  <c r="D53" i="5"/>
  <c r="H53" i="6"/>
  <c r="L10" i="2"/>
  <c r="L43" i="4"/>
  <c r="L20" i="5"/>
  <c r="D20" i="5"/>
  <c r="D108" i="3"/>
  <c r="L53" i="3"/>
  <c r="H8" i="4"/>
  <c r="L10" i="5"/>
  <c r="L108" i="4"/>
  <c r="L54" i="4"/>
  <c r="L20" i="3"/>
  <c r="D10" i="2"/>
  <c r="D20" i="3"/>
  <c r="D43" i="5"/>
  <c r="L75" i="6"/>
  <c r="M20" i="2"/>
  <c r="M30" i="4"/>
  <c r="L20" i="2"/>
  <c r="D96" i="4"/>
  <c r="H97" i="3"/>
  <c r="L107" i="6"/>
  <c r="D10" i="5"/>
  <c r="D30" i="4"/>
  <c r="M96" i="4"/>
  <c r="D21" i="4"/>
  <c r="L76" i="2"/>
  <c r="L41" i="3"/>
  <c r="D19" i="6"/>
  <c r="M8" i="4"/>
  <c r="H63" i="2"/>
  <c r="M31" i="5"/>
  <c r="M85" i="2"/>
  <c r="M63" i="6"/>
  <c r="L31" i="5"/>
  <c r="M76" i="4"/>
  <c r="L76" i="4"/>
  <c r="H8" i="3"/>
  <c r="H42" i="6"/>
  <c r="H85" i="3"/>
  <c r="H53" i="3"/>
  <c r="H63" i="6"/>
  <c r="H63" i="4"/>
  <c r="H64" i="3"/>
  <c r="M97" i="3"/>
  <c r="D87" i="4"/>
  <c r="L85" i="6"/>
  <c r="M63" i="4"/>
  <c r="L54" i="2"/>
  <c r="M10" i="5"/>
  <c r="M87" i="4"/>
  <c r="M108" i="4"/>
  <c r="L96" i="6"/>
  <c r="D96" i="6"/>
  <c r="H75" i="6"/>
  <c r="H10" i="5"/>
  <c r="D85" i="2"/>
  <c r="D86" i="5"/>
  <c r="M8" i="3"/>
  <c r="L96" i="4"/>
  <c r="L86" i="5"/>
  <c r="D76" i="5"/>
  <c r="L108" i="3"/>
  <c r="H76" i="2"/>
  <c r="H43" i="5"/>
  <c r="H32" i="6"/>
  <c r="L43" i="2"/>
  <c r="D108" i="4"/>
  <c r="L76" i="5"/>
  <c r="L53" i="5"/>
  <c r="H10" i="2"/>
  <c r="L98" i="5"/>
  <c r="D85" i="3"/>
  <c r="H87" i="4"/>
  <c r="H43" i="2"/>
  <c r="M19" i="6"/>
  <c r="L32" i="6"/>
  <c r="L19" i="6"/>
  <c r="D76" i="4"/>
  <c r="M20" i="3"/>
  <c r="D20" i="2"/>
  <c r="D76" i="3"/>
  <c r="D75" i="6"/>
  <c r="L42" i="6"/>
  <c r="H96" i="6"/>
  <c r="M21" i="4"/>
  <c r="D63" i="2"/>
  <c r="M108" i="5"/>
  <c r="L87" i="4"/>
  <c r="D31" i="5"/>
  <c r="H107" i="6"/>
  <c r="M76" i="2"/>
  <c r="D8" i="4"/>
  <c r="M76" i="3"/>
  <c r="L64" i="3"/>
  <c r="M63" i="5"/>
  <c r="D63" i="5"/>
  <c r="M85" i="6"/>
  <c r="D107" i="6"/>
  <c r="D32" i="6"/>
  <c r="H86" i="5"/>
  <c r="D42" i="6"/>
  <c r="H53" i="5"/>
  <c r="L63" i="2"/>
  <c r="H30" i="4"/>
  <c r="D76" i="2"/>
  <c r="D85" i="6"/>
  <c r="M76" i="5"/>
  <c r="D54" i="2"/>
  <c r="M10" i="2"/>
  <c r="H96" i="4"/>
  <c r="M20" i="5"/>
  <c r="L63" i="4"/>
  <c r="L30" i="4"/>
  <c r="H10" i="6"/>
  <c r="M43" i="5"/>
  <c r="L8" i="4"/>
  <c r="L10" i="6"/>
  <c r="L43" i="5"/>
  <c r="M53" i="3"/>
  <c r="H63" i="5"/>
  <c r="D8" i="3"/>
  <c r="M96" i="6"/>
  <c r="H21" i="4"/>
  <c r="L63" i="6"/>
  <c r="L85" i="3"/>
  <c r="H98" i="5"/>
  <c r="M32" i="6"/>
  <c r="D97" i="3"/>
  <c r="D41" i="3"/>
  <c r="D108" i="5"/>
  <c r="M43" i="2"/>
  <c r="H54" i="4"/>
  <c r="L76" i="3"/>
  <c r="H19" i="6"/>
  <c r="M54" i="2"/>
  <c r="H108" i="5"/>
  <c r="D53" i="6"/>
  <c r="H85" i="6"/>
  <c r="M53" i="6"/>
  <c r="M42" i="6"/>
  <c r="D98" i="5"/>
  <c r="D43" i="2"/>
  <c r="P40" i="4"/>
  <c r="P43" i="4"/>
  <c r="P10" i="5"/>
  <c r="P7" i="5"/>
  <c r="P7" i="2"/>
  <c r="P10" i="2"/>
  <c r="P7" i="6"/>
  <c r="P10" i="6"/>
  <c r="P40" i="5"/>
  <c r="P43" i="5"/>
  <c r="P21" i="4"/>
  <c r="P18" i="4"/>
  <c r="P29" i="6"/>
  <c r="P32" i="6"/>
  <c r="P43" i="2"/>
  <c r="P40" i="2"/>
  <c r="N63" i="2" l="1"/>
  <c r="N63" i="5"/>
  <c r="N97" i="3"/>
  <c r="J54" i="2"/>
  <c r="N43" i="4"/>
  <c r="N63" i="6"/>
  <c r="J53" i="6"/>
  <c r="J108" i="5"/>
  <c r="J108" i="3"/>
  <c r="N87" i="4"/>
  <c r="N42" i="6"/>
  <c r="J76" i="3"/>
  <c r="J13" i="6"/>
  <c r="J12" i="6"/>
  <c r="J63" i="2"/>
  <c r="N98" i="5"/>
  <c r="N85" i="6"/>
  <c r="N53" i="3"/>
  <c r="N43" i="5"/>
  <c r="N75" i="6"/>
  <c r="J42" i="6"/>
  <c r="J45" i="5"/>
  <c r="J46" i="5"/>
  <c r="J23" i="4"/>
  <c r="J24" i="4"/>
  <c r="J85" i="6"/>
  <c r="N10" i="2"/>
  <c r="J53" i="3"/>
  <c r="N30" i="4"/>
  <c r="N53" i="6"/>
  <c r="N108" i="3"/>
  <c r="N85" i="2"/>
  <c r="J12" i="2"/>
  <c r="J13" i="2"/>
  <c r="J54" i="4"/>
  <c r="J45" i="2"/>
  <c r="J46" i="2"/>
  <c r="J10" i="2"/>
  <c r="J75" i="6"/>
  <c r="J30" i="4"/>
  <c r="N108" i="5"/>
  <c r="N21" i="4"/>
  <c r="N54" i="4"/>
  <c r="J43" i="2"/>
  <c r="N108" i="4"/>
  <c r="J76" i="5"/>
  <c r="N53" i="5"/>
  <c r="N20" i="3"/>
  <c r="N20" i="2"/>
  <c r="J20" i="3"/>
  <c r="J21" i="4"/>
  <c r="J41" i="3"/>
  <c r="N76" i="2"/>
  <c r="J8" i="4"/>
  <c r="N107" i="6"/>
  <c r="N85" i="3"/>
  <c r="N76" i="3"/>
  <c r="J8" i="3"/>
  <c r="J76" i="2"/>
  <c r="N43" i="2"/>
  <c r="J98" i="5"/>
  <c r="J63" i="4"/>
  <c r="J45" i="4"/>
  <c r="J46" i="4"/>
  <c r="J63" i="6"/>
  <c r="J76" i="4"/>
  <c r="N86" i="5"/>
  <c r="J32" i="6"/>
  <c r="N8" i="4"/>
  <c r="N19" i="6"/>
  <c r="J87" i="4"/>
  <c r="J53" i="5"/>
  <c r="N41" i="3"/>
  <c r="J20" i="2"/>
  <c r="N76" i="4"/>
  <c r="N10" i="5"/>
  <c r="J43" i="4"/>
  <c r="J85" i="2"/>
  <c r="J20" i="5"/>
  <c r="J85" i="3"/>
  <c r="N32" i="6"/>
  <c r="J12" i="5"/>
  <c r="J13" i="5"/>
  <c r="J63" i="5"/>
  <c r="N76" i="5"/>
  <c r="J19" i="6"/>
  <c r="N64" i="3"/>
  <c r="N8" i="3"/>
  <c r="J86" i="5"/>
  <c r="J35" i="6"/>
  <c r="J34" i="6"/>
  <c r="J10" i="5"/>
  <c r="J10" i="6"/>
  <c r="J96" i="4"/>
  <c r="N63" i="4"/>
  <c r="N20" i="5"/>
  <c r="J97" i="3"/>
  <c r="J107" i="6"/>
  <c r="N10" i="6"/>
  <c r="J64" i="3"/>
  <c r="J43" i="5"/>
  <c r="N96" i="6"/>
  <c r="N31" i="5"/>
  <c r="J96" i="6"/>
  <c r="J31" i="5"/>
  <c r="N96" i="4"/>
  <c r="J108" i="4"/>
  <c r="N54" i="2"/>
  <c r="B65" i="5"/>
  <c r="B65" i="2"/>
  <c r="B21" i="6"/>
  <c r="B65" i="6"/>
  <c r="B98" i="4"/>
  <c r="B65" i="4"/>
  <c r="B87" i="6"/>
  <c r="B43" i="3"/>
  <c r="B10" i="3"/>
  <c r="B10" i="4"/>
  <c r="B87" i="2"/>
  <c r="B98" i="6"/>
  <c r="B109" i="6"/>
  <c r="B32" i="4"/>
  <c r="B87" i="3"/>
  <c r="D97" i="6"/>
  <c r="M87" i="5"/>
  <c r="D108" i="6"/>
  <c r="L86" i="2"/>
  <c r="D86" i="3"/>
  <c r="D64" i="5"/>
  <c r="L109" i="4"/>
  <c r="L64" i="6"/>
  <c r="D54" i="6"/>
  <c r="M21" i="2"/>
  <c r="H108" i="6"/>
  <c r="H64" i="4"/>
  <c r="H42" i="3"/>
  <c r="M9" i="4"/>
  <c r="M54" i="3"/>
  <c r="H109" i="4"/>
  <c r="M21" i="5"/>
  <c r="L54" i="3"/>
  <c r="H76" i="6"/>
  <c r="L31" i="4"/>
  <c r="L20" i="6"/>
  <c r="L97" i="6"/>
  <c r="D54" i="3"/>
  <c r="D86" i="6"/>
  <c r="D21" i="2"/>
  <c r="M76" i="6"/>
  <c r="D64" i="2"/>
  <c r="L109" i="5"/>
  <c r="M64" i="2"/>
  <c r="L97" i="4"/>
  <c r="M43" i="6"/>
  <c r="L76" i="6"/>
  <c r="H98" i="3"/>
  <c r="M86" i="6"/>
  <c r="L21" i="2"/>
  <c r="H86" i="6"/>
  <c r="H21" i="2"/>
  <c r="L54" i="6"/>
  <c r="D76" i="6"/>
  <c r="H86" i="3"/>
  <c r="H21" i="3"/>
  <c r="D42" i="3"/>
  <c r="M20" i="6"/>
  <c r="L86" i="6"/>
  <c r="L9" i="3"/>
  <c r="H87" i="5"/>
  <c r="H54" i="5"/>
  <c r="D97" i="4"/>
  <c r="H64" i="2"/>
  <c r="L65" i="3"/>
  <c r="D64" i="4"/>
  <c r="L21" i="5"/>
  <c r="M21" i="3"/>
  <c r="D43" i="6"/>
  <c r="D32" i="5"/>
  <c r="H54" i="3"/>
  <c r="H31" i="4"/>
  <c r="M54" i="5"/>
  <c r="H21" i="5"/>
  <c r="L87" i="5"/>
  <c r="M64" i="4"/>
  <c r="M64" i="6"/>
  <c r="H32" i="5"/>
  <c r="H20" i="6"/>
  <c r="M86" i="3"/>
  <c r="H97" i="6"/>
  <c r="M54" i="6"/>
  <c r="M9" i="3"/>
  <c r="M97" i="4"/>
  <c r="L43" i="6"/>
  <c r="D64" i="6"/>
  <c r="M109" i="4"/>
  <c r="D65" i="3"/>
  <c r="L32" i="5"/>
  <c r="H109" i="5"/>
  <c r="D109" i="5"/>
  <c r="L9" i="4"/>
  <c r="M64" i="5"/>
  <c r="H9" i="3"/>
  <c r="D9" i="4"/>
  <c r="D98" i="3"/>
  <c r="D20" i="6"/>
  <c r="D21" i="3"/>
  <c r="H86" i="2"/>
  <c r="D109" i="4"/>
  <c r="L64" i="4"/>
  <c r="D31" i="4"/>
  <c r="H64" i="5"/>
  <c r="L109" i="3"/>
  <c r="D9" i="3"/>
  <c r="H9" i="4"/>
  <c r="L64" i="5"/>
  <c r="M108" i="6"/>
  <c r="M98" i="3"/>
  <c r="M86" i="2"/>
  <c r="D87" i="5"/>
  <c r="L21" i="3"/>
  <c r="H109" i="3"/>
  <c r="D86" i="2"/>
  <c r="M31" i="4"/>
  <c r="M109" i="3"/>
  <c r="M97" i="6"/>
  <c r="M42" i="3"/>
  <c r="H43" i="6"/>
  <c r="H54" i="6"/>
  <c r="M109" i="5"/>
  <c r="D54" i="5"/>
  <c r="D109" i="3"/>
  <c r="L86" i="3"/>
  <c r="L64" i="2"/>
  <c r="H65" i="3"/>
  <c r="D21" i="5"/>
  <c r="L42" i="3"/>
  <c r="L108" i="6"/>
  <c r="H97" i="4"/>
  <c r="L98" i="3"/>
  <c r="L54" i="5"/>
  <c r="M32" i="5"/>
  <c r="M65" i="3"/>
  <c r="H64" i="6"/>
  <c r="P21" i="2"/>
  <c r="P18" i="2"/>
  <c r="P18" i="3"/>
  <c r="P21" i="3"/>
  <c r="P43" i="6"/>
  <c r="P40" i="6"/>
  <c r="P21" i="5"/>
  <c r="P18" i="5"/>
  <c r="P32" i="5"/>
  <c r="P29" i="5"/>
  <c r="N64" i="2" l="1"/>
  <c r="J64" i="2"/>
  <c r="N31" i="4"/>
  <c r="N21" i="5"/>
  <c r="J24" i="2"/>
  <c r="J23" i="2"/>
  <c r="J109" i="5"/>
  <c r="J45" i="6"/>
  <c r="J46" i="6"/>
  <c r="N54" i="6"/>
  <c r="N108" i="6"/>
  <c r="N97" i="6"/>
  <c r="N43" i="6"/>
  <c r="N109" i="4"/>
  <c r="J43" i="6"/>
  <c r="N54" i="5"/>
  <c r="J54" i="3"/>
  <c r="N65" i="3"/>
  <c r="N87" i="5"/>
  <c r="J64" i="5"/>
  <c r="N64" i="5"/>
  <c r="N21" i="3"/>
  <c r="J97" i="4"/>
  <c r="J21" i="2"/>
  <c r="N54" i="3"/>
  <c r="J64" i="4"/>
  <c r="J76" i="6"/>
  <c r="N9" i="3"/>
  <c r="J87" i="5"/>
  <c r="J21" i="5"/>
  <c r="J109" i="4"/>
  <c r="N32" i="5"/>
  <c r="N76" i="6"/>
  <c r="N86" i="2"/>
  <c r="N64" i="4"/>
  <c r="J9" i="3"/>
  <c r="N64" i="6"/>
  <c r="J65" i="3"/>
  <c r="J35" i="5"/>
  <c r="J34" i="5"/>
  <c r="J42" i="3"/>
  <c r="J86" i="6"/>
  <c r="J23" i="3"/>
  <c r="J24" i="3"/>
  <c r="J97" i="6"/>
  <c r="J86" i="3"/>
  <c r="J9" i="4"/>
  <c r="N97" i="4"/>
  <c r="J64" i="6"/>
  <c r="J54" i="5"/>
  <c r="J98" i="3"/>
  <c r="J20" i="6"/>
  <c r="J31" i="4"/>
  <c r="J21" i="3"/>
  <c r="J32" i="5"/>
  <c r="N86" i="3"/>
  <c r="J54" i="6"/>
  <c r="J108" i="6"/>
  <c r="N21" i="2"/>
  <c r="N109" i="5"/>
  <c r="N42" i="3"/>
  <c r="J86" i="2"/>
  <c r="N86" i="6"/>
  <c r="N20" i="6"/>
  <c r="N9" i="4"/>
  <c r="N109" i="3"/>
  <c r="N98" i="3"/>
  <c r="J109" i="3"/>
  <c r="J24" i="5"/>
  <c r="J23" i="5"/>
  <c r="M65" i="6"/>
  <c r="D65" i="5"/>
  <c r="D87" i="2"/>
  <c r="H87" i="2"/>
  <c r="D109" i="6"/>
  <c r="H32" i="4"/>
  <c r="L87" i="3"/>
  <c r="L10" i="4"/>
  <c r="M87" i="2"/>
  <c r="H65" i="4"/>
  <c r="H98" i="4"/>
  <c r="H65" i="2"/>
  <c r="M10" i="3"/>
  <c r="D21" i="6"/>
  <c r="L87" i="2"/>
  <c r="H10" i="4"/>
  <c r="D10" i="3"/>
  <c r="L65" i="6"/>
  <c r="D65" i="4"/>
  <c r="H21" i="6"/>
  <c r="M65" i="5"/>
  <c r="D43" i="3"/>
  <c r="D87" i="6"/>
  <c r="D87" i="3"/>
  <c r="M98" i="6"/>
  <c r="D10" i="4"/>
  <c r="D32" i="4"/>
  <c r="M10" i="4"/>
  <c r="L65" i="2"/>
  <c r="H109" i="6"/>
  <c r="H87" i="6"/>
  <c r="L21" i="6"/>
  <c r="L109" i="6"/>
  <c r="M87" i="3"/>
  <c r="M109" i="6"/>
  <c r="H65" i="6"/>
  <c r="L98" i="4"/>
  <c r="L43" i="3"/>
  <c r="H43" i="3"/>
  <c r="D65" i="2"/>
  <c r="H98" i="6"/>
  <c r="M98" i="4"/>
  <c r="L32" i="4"/>
  <c r="H65" i="5"/>
  <c r="L87" i="6"/>
  <c r="M65" i="4"/>
  <c r="L65" i="4"/>
  <c r="M65" i="2"/>
  <c r="M87" i="6"/>
  <c r="L10" i="3"/>
  <c r="M32" i="4"/>
  <c r="L65" i="5"/>
  <c r="H87" i="3"/>
  <c r="D65" i="6"/>
  <c r="D98" i="4"/>
  <c r="M21" i="6"/>
  <c r="L98" i="6"/>
  <c r="D98" i="6"/>
  <c r="M43" i="3"/>
  <c r="H10" i="3"/>
  <c r="P7" i="4"/>
  <c r="P10" i="4"/>
  <c r="P32" i="4"/>
  <c r="P29" i="4"/>
  <c r="P21" i="6"/>
  <c r="P18" i="6"/>
  <c r="P40" i="3"/>
  <c r="P43" i="3"/>
  <c r="P10" i="3"/>
  <c r="P7" i="3"/>
  <c r="J109" i="6" l="1"/>
  <c r="J10" i="4"/>
  <c r="N87" i="2"/>
  <c r="J12" i="3"/>
  <c r="J13" i="3"/>
  <c r="N10" i="3"/>
  <c r="J32" i="4"/>
  <c r="J87" i="2"/>
  <c r="N32" i="4"/>
  <c r="J46" i="3"/>
  <c r="J45" i="3"/>
  <c r="J65" i="5"/>
  <c r="J98" i="6"/>
  <c r="J35" i="4"/>
  <c r="J34" i="4"/>
  <c r="N43" i="3"/>
  <c r="N109" i="6"/>
  <c r="J21" i="6"/>
  <c r="N98" i="4"/>
  <c r="J65" i="2"/>
  <c r="N87" i="3"/>
  <c r="N65" i="2"/>
  <c r="N65" i="6"/>
  <c r="J10" i="3"/>
  <c r="N10" i="4"/>
  <c r="J12" i="4"/>
  <c r="J13" i="4"/>
  <c r="N21" i="6"/>
  <c r="J24" i="6"/>
  <c r="J23" i="6"/>
  <c r="J43" i="3"/>
  <c r="J87" i="3"/>
  <c r="N98" i="6"/>
  <c r="N65" i="5"/>
  <c r="J65" i="4"/>
  <c r="J65" i="6"/>
  <c r="J98" i="4"/>
  <c r="J87" i="6"/>
  <c r="N87" i="6"/>
  <c r="N65" i="4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<sst xmlns="http://schemas.openxmlformats.org/spreadsheetml/2006/main" count="7258" uniqueCount="189">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</sst>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14" fontId="13" fillId="2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10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47-4964-A77F-05897E3C1373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38.189176000000003</c:v>
                </c:pt>
                <c:pt idx="1">
                  <c:v>55.003951999999998</c:v>
                </c:pt>
                <c:pt idx="2">
                  <c:v>79.280384000000026</c:v>
                </c:pt>
                <c:pt idx="3">
                  <c:v>112.233456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27.927755399999999</c:v>
                </c:pt>
                <c:pt idx="1">
                  <c:v>31.9758496</c:v>
                </c:pt>
                <c:pt idx="2">
                  <c:v>37.232871266666663</c:v>
                </c:pt>
                <c:pt idx="3">
                  <c:v>40.654519933333326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47-4964-A77F-05897E3C137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47-4964-A77F-05897E3C137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47-4964-A77F-05897E3C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49-4C53-A3E2-751284339A79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27.668527999999998</c:v>
                </c:pt>
                <c:pt idx="1">
                  <c:v>40.101616</c:v>
                </c:pt>
                <c:pt idx="2">
                  <c:v>59.786320000000011</c:v>
                </c:pt>
                <c:pt idx="3">
                  <c:v>87.090271999999999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30.641332904761899</c:v>
                </c:pt>
                <c:pt idx="1">
                  <c:v>33.949089047619047</c:v>
                </c:pt>
                <c:pt idx="2">
                  <c:v>38.109473809523806</c:v>
                </c:pt>
                <c:pt idx="3">
                  <c:v>42.514211238095243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49-4C53-A3E2-751284339A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49-4C53-A3E2-751284339A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49-4C53-A3E2-751284339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7-4876-BE6D-679E59715627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28.538847999999998</c:v>
                </c:pt>
                <c:pt idx="1">
                  <c:v>41.508255999999996</c:v>
                </c:pt>
                <c:pt idx="2">
                  <c:v>62.103111999999996</c:v>
                </c:pt>
                <c:pt idx="3">
                  <c:v>90.507136000000003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30.664802333333334</c:v>
                </c:pt>
                <c:pt idx="1">
                  <c:v>34.018893952380949</c:v>
                </c:pt>
                <c:pt idx="2">
                  <c:v>38.191245619047614</c:v>
                </c:pt>
                <c:pt idx="3">
                  <c:v>42.414998142857137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E7-4876-BE6D-679E597156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E7-4876-BE6D-679E597156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E7-4876-BE6D-679E59715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B2-4508-890E-65A0CF82327D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B2-4508-890E-65A0CF82327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B2-4508-890E-65A0CF82327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B2-4508-890E-65A0CF823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A0-4404-9C90-74CAB34AC3FE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A0-4404-9C90-74CAB34AC3F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A0-4404-9C90-74CAB34AC3F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A0-4404-9C90-74CAB34AC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24-4E20-8FCD-2E23BB25B5CF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24-4E20-8FCD-2E23BB25B5C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24-4E20-8FCD-2E23BB25B5C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24-4E20-8FCD-2E23BB25B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C-45AC-B584-59834FA12A4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6C-45AC-B584-59834FA12A4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6C-45AC-B584-59834FA12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D5-40C4-9F74-A7A5FA21423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D5-40C4-9F74-A7A5FA21423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D5-40C4-9F74-A7A5FA214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D2-43A4-87CA-D272A0D349B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D2-43A4-87CA-D272A0D349B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D2-43A4-87CA-D272A0D3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45-4A90-BC55-03A911AF7F29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37.261919999999989</c:v>
                </c:pt>
                <c:pt idx="1">
                  <c:v>53.557663999999995</c:v>
                </c:pt>
                <c:pt idx="2">
                  <c:v>77.018511999999987</c:v>
                </c:pt>
                <c:pt idx="3">
                  <c:v>108.96416799999999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27.991566133333333</c:v>
                </c:pt>
                <c:pt idx="1">
                  <c:v>31.827726266666666</c:v>
                </c:pt>
                <c:pt idx="2">
                  <c:v>37.346993666666663</c:v>
                </c:pt>
                <c:pt idx="3">
                  <c:v>40.977408333333329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45-4A90-BC55-03A911AF7F2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45-4A90-BC55-03A911AF7F2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45-4A90-BC55-03A911AF7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C3-47E7-B460-1BCA2A216AF0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38.189176000000003</c:v>
                </c:pt>
                <c:pt idx="1">
                  <c:v>55.003951999999998</c:v>
                </c:pt>
                <c:pt idx="2">
                  <c:v>79.280384000000026</c:v>
                </c:pt>
                <c:pt idx="3">
                  <c:v>112.233456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33.82971633333333</c:v>
                </c:pt>
                <c:pt idx="1">
                  <c:v>36.727271933333334</c:v>
                </c:pt>
                <c:pt idx="2">
                  <c:v>40.904221799999988</c:v>
                </c:pt>
                <c:pt idx="3">
                  <c:v>43.997404999999993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C3-47E7-B460-1BCA2A216AF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C3-47E7-B460-1BCA2A216AF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C3-47E7-B460-1BCA2A216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F2-4565-B0C9-E02C633977AE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27.668527999999998</c:v>
                </c:pt>
                <c:pt idx="1">
                  <c:v>40.101616</c:v>
                </c:pt>
                <c:pt idx="2">
                  <c:v>59.786320000000011</c:v>
                </c:pt>
                <c:pt idx="3">
                  <c:v>87.090271999999999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34.513368809523804</c:v>
                </c:pt>
                <c:pt idx="1">
                  <c:v>37.317018761904762</c:v>
                </c:pt>
                <c:pt idx="2">
                  <c:v>41.422641857142857</c:v>
                </c:pt>
                <c:pt idx="3">
                  <c:v>45.568502238095235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F2-4565-B0C9-E02C633977A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F2-4565-B0C9-E02C633977A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F2-4565-B0C9-E02C63397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17-4A96-B917-01B9D36EF39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28.538847999999998</c:v>
                </c:pt>
                <c:pt idx="1">
                  <c:v>41.508255999999996</c:v>
                </c:pt>
                <c:pt idx="2">
                  <c:v>62.103111999999996</c:v>
                </c:pt>
                <c:pt idx="3">
                  <c:v>90.507136000000003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34.544556952380958</c:v>
                </c:pt>
                <c:pt idx="1">
                  <c:v>37.356987952380962</c:v>
                </c:pt>
                <c:pt idx="2">
                  <c:v>41.510153857142853</c:v>
                </c:pt>
                <c:pt idx="3">
                  <c:v>45.481171238095236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17-4A96-B917-01B9D36EF3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17-4A96-B917-01B9D36EF3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17-4A96-B917-01B9D36EF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D0-4491-B113-4BD65FB8D84B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D0-4491-B113-4BD65FB8D84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D0-4491-B113-4BD65FB8D84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D0-4491-B113-4BD65FB8D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44-4869-A2CE-CB369F0A65A7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44-4869-A2CE-CB369F0A65A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44-4869-A2CE-CB369F0A65A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44-4869-A2CE-CB369F0A6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40-44A5-B697-2641DBC4F326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40-44A5-B697-2641DBC4F32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40-44A5-B697-2641DBC4F32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40-44A5-B697-2641DBC4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1D-4259-9429-9CA5326E31B1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1D-4259-9429-9CA5326E31B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1D-4259-9429-9CA5326E31B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1D-4259-9429-9CA5326E3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92-4F46-A737-F3A471283CE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92-4F46-A737-F3A471283CE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92-4F46-A737-F3A471283CE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92-4F46-A737-F3A471283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D5-4D4A-8DB1-20F60B495DB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D5-4D4A-8DB1-20F60B495DB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D5-4D4A-8DB1-20F60B495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C5-4312-A077-8F17248B18E9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37.261919999999989</c:v>
                </c:pt>
                <c:pt idx="1">
                  <c:v>53.557663999999995</c:v>
                </c:pt>
                <c:pt idx="2">
                  <c:v>77.018511999999987</c:v>
                </c:pt>
                <c:pt idx="3">
                  <c:v>108.96416799999999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33.854797999999995</c:v>
                </c:pt>
                <c:pt idx="1">
                  <c:v>36.656290066666671</c:v>
                </c:pt>
                <c:pt idx="2">
                  <c:v>41.028742866666668</c:v>
                </c:pt>
                <c:pt idx="3">
                  <c:v>44.273146466666667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C5-4312-A077-8F17248B18E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C5-4312-A077-8F17248B18E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C5-4312-A077-8F17248B1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1-4EA4-BEF3-CD2D5F62F124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38.189176000000003</c:v>
                </c:pt>
                <c:pt idx="1">
                  <c:v>55.003951999999998</c:v>
                </c:pt>
                <c:pt idx="2">
                  <c:v>79.280384000000026</c:v>
                </c:pt>
                <c:pt idx="3">
                  <c:v>112.233456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0.95675044266666676</c:v>
                </c:pt>
                <c:pt idx="1">
                  <c:v>0.97529467133333325</c:v>
                </c:pt>
                <c:pt idx="2">
                  <c:v>0.98793152200000001</c:v>
                </c:pt>
                <c:pt idx="3">
                  <c:v>0.9923799419999999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1-4EA4-BEF3-CD2D5F62F1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91-4EA4-BEF3-CD2D5F62F1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1-4EA4-BEF3-CD2D5F62F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34-4406-86F2-3B370CDB3B8F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27.668527999999998</c:v>
                </c:pt>
                <c:pt idx="1">
                  <c:v>40.101616</c:v>
                </c:pt>
                <c:pt idx="2">
                  <c:v>59.786320000000011</c:v>
                </c:pt>
                <c:pt idx="3">
                  <c:v>87.090271999999999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0.96689024809523805</c:v>
                </c:pt>
                <c:pt idx="1">
                  <c:v>0.98013896761904762</c:v>
                </c:pt>
                <c:pt idx="2">
                  <c:v>0.9894025995238096</c:v>
                </c:pt>
                <c:pt idx="3">
                  <c:v>0.99409615619047609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34-4406-86F2-3B370CDB3B8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34-4406-86F2-3B370CDB3B8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34-4406-86F2-3B370CDB3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F2-4224-BFF0-3028DFD549E1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28.538847999999998</c:v>
                </c:pt>
                <c:pt idx="1">
                  <c:v>41.508255999999996</c:v>
                </c:pt>
                <c:pt idx="2">
                  <c:v>62.103111999999996</c:v>
                </c:pt>
                <c:pt idx="3">
                  <c:v>90.507136000000003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0.96605915142857157</c:v>
                </c:pt>
                <c:pt idx="1">
                  <c:v>0.97919751238095232</c:v>
                </c:pt>
                <c:pt idx="2">
                  <c:v>0.98903518095238108</c:v>
                </c:pt>
                <c:pt idx="3">
                  <c:v>0.993850030952381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F2-4224-BFF0-3028DFD549E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F2-4224-BFF0-3028DFD549E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F2-4224-BFF0-3028DFD5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72-4564-BF5C-F112B329DED7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72-4564-BF5C-F112B329DED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72-4564-BF5C-F112B329DED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72-4564-BF5C-F112B329D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5-4A53-82C1-F85EAF85F9CD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5-4A53-82C1-F85EAF85F9C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5-4A53-82C1-F85EAF85F9C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B05-4A53-82C1-F85EAF85F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D9-4D93-81BF-6633C6A695FB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D9-4D93-81BF-6633C6A695F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D9-4D93-81BF-6633C6A695F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D9-4D93-81BF-6633C6A69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F9-46AD-99A0-448F946787E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F9-46AD-99A0-448F946787E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F9-46AD-99A0-448F94678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F7-4D75-8DFA-3FB90B1D1EF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F7-4D75-8DFA-3FB90B1D1EF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F7-4D75-8DFA-3FB90B1D1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4F-4B1A-B6C2-45E29485C2B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4F-4B1A-B6C2-45E29485C2B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4F-4B1A-B6C2-45E29485C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F0-4B85-B7A8-588C78B3DAD6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37.261919999999989</c:v>
                </c:pt>
                <c:pt idx="1">
                  <c:v>53.557663999999995</c:v>
                </c:pt>
                <c:pt idx="2">
                  <c:v>77.018511999999987</c:v>
                </c:pt>
                <c:pt idx="3">
                  <c:v>108.96416799999999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0.95816603999999994</c:v>
                </c:pt>
                <c:pt idx="1">
                  <c:v>0.97602559533333322</c:v>
                </c:pt>
                <c:pt idx="2">
                  <c:v>0.98840114133333346</c:v>
                </c:pt>
                <c:pt idx="3">
                  <c:v>0.99281843400000003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F0-4B85-B7A8-588C78B3DAD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F0-4B85-B7A8-588C78B3DAD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F0-4B85-B7A8-588C78B3D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9C-4CF9-9AFE-2563DF657242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38.189176000000003</c:v>
                </c:pt>
                <c:pt idx="1">
                  <c:v>55.003951999999998</c:v>
                </c:pt>
                <c:pt idx="2">
                  <c:v>79.280384000000026</c:v>
                </c:pt>
                <c:pt idx="3">
                  <c:v>112.233456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0.95599265866666672</c:v>
                </c:pt>
                <c:pt idx="1">
                  <c:v>0.97512612600000004</c:v>
                </c:pt>
                <c:pt idx="2">
                  <c:v>0.99073920000000015</c:v>
                </c:pt>
                <c:pt idx="3">
                  <c:v>0.99613614133333328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9C-4CF9-9AFE-2563DF65724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9C-4CF9-9AFE-2563DF65724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9C-4CF9-9AFE-2563DF657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89-47C5-A175-B352855B2614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27.668527999999998</c:v>
                </c:pt>
                <c:pt idx="1">
                  <c:v>40.101616</c:v>
                </c:pt>
                <c:pt idx="2">
                  <c:v>59.786320000000011</c:v>
                </c:pt>
                <c:pt idx="3">
                  <c:v>87.090271999999999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0.97380925238095217</c:v>
                </c:pt>
                <c:pt idx="1">
                  <c:v>0.98472835809523807</c:v>
                </c:pt>
                <c:pt idx="2">
                  <c:v>0.99275222904761917</c:v>
                </c:pt>
                <c:pt idx="3">
                  <c:v>0.99652747333333325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89-47C5-A175-B352855B261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89-47C5-A175-B352855B261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89-47C5-A175-B352855B2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E7-4805-ABF1-496DDBC2C519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28.538847999999998</c:v>
                </c:pt>
                <c:pt idx="1">
                  <c:v>41.508255999999996</c:v>
                </c:pt>
                <c:pt idx="2">
                  <c:v>62.103111999999996</c:v>
                </c:pt>
                <c:pt idx="3">
                  <c:v>90.507136000000003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0.9735054185714288</c:v>
                </c:pt>
                <c:pt idx="1">
                  <c:v>0.98459050904761913</c:v>
                </c:pt>
                <c:pt idx="2">
                  <c:v>0.99264497571428578</c:v>
                </c:pt>
                <c:pt idx="3">
                  <c:v>0.99643639190476174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E7-4805-ABF1-496DDBC2C51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E7-4805-ABF1-496DDBC2C51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E7-4805-ABF1-496DDBC2C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37-4E51-93C3-66570755C867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37-4E51-93C3-66570755C86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37-4E51-93C3-66570755C86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37-4E51-93C3-66570755C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EC-4575-8BE4-364EA1E844DA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EC-4575-8BE4-364EA1E844D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EC-4575-8BE4-364EA1E844D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EC-4575-8BE4-364EA1E84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F-457B-A0AC-69FD458C7521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4F-457B-A0AC-69FD458C752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4F-457B-A0AC-69FD458C752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A4F-457B-A0AC-69FD458C7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C2-40F8-AA43-19E0A96570E7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C2-40F8-AA43-19E0A96570E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C2-40F8-AA43-19E0A96570E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C2-40F8-AA43-19E0A9657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44-4BD2-857B-ACDC2191B9A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44-4BD2-857B-ACDC2191B9A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44-4BD2-857B-ACDC2191B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52-407E-A930-011155844FC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52-407E-A930-011155844FC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52-407E-A930-011155844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43-4725-B50D-70EA1D3C376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43-4725-B50D-70EA1D3C376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43-4725-B50D-70EA1D3C3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FE-4407-9751-FB38889F5926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37.261919999999989</c:v>
                </c:pt>
                <c:pt idx="1">
                  <c:v>53.557663999999995</c:v>
                </c:pt>
                <c:pt idx="2">
                  <c:v>77.018511999999987</c:v>
                </c:pt>
                <c:pt idx="3">
                  <c:v>108.96416799999999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0.95643100733333319</c:v>
                </c:pt>
                <c:pt idx="1">
                  <c:v>0.97506103133333322</c:v>
                </c:pt>
                <c:pt idx="2">
                  <c:v>0.99094338133333337</c:v>
                </c:pt>
                <c:pt idx="3">
                  <c:v>0.99629961866666672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FE-4407-9751-FB38889F592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FE-4407-9751-FB38889F592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FE-4407-9751-FB38889F5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29-42E4-ADCF-950B9AC9F4E5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38.189176000000003</c:v>
                </c:pt>
                <c:pt idx="1">
                  <c:v>55.003951999999998</c:v>
                </c:pt>
                <c:pt idx="2">
                  <c:v>79.280384000000026</c:v>
                </c:pt>
                <c:pt idx="3">
                  <c:v>112.233456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5.7653934866666666E-2</c:v>
                </c:pt>
                <c:pt idx="1">
                  <c:v>3.2993913999999999E-2</c:v>
                </c:pt>
                <c:pt idx="2">
                  <c:v>1.6347793166666666E-2</c:v>
                </c:pt>
                <c:pt idx="3">
                  <c:v>9.7067375000000015E-3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29-42E4-ADCF-950B9AC9F4E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29-42E4-ADCF-950B9AC9F4E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29-42E4-ADCF-950B9AC9F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61-4E35-8E6A-645B1CB4B13A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27.668527999999998</c:v>
                </c:pt>
                <c:pt idx="1">
                  <c:v>40.101616</c:v>
                </c:pt>
                <c:pt idx="2">
                  <c:v>59.786320000000011</c:v>
                </c:pt>
                <c:pt idx="3">
                  <c:v>87.090271999999999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5.6582082571428577E-2</c:v>
                </c:pt>
                <c:pt idx="1">
                  <c:v>3.7005951619047614E-2</c:v>
                </c:pt>
                <c:pt idx="2">
                  <c:v>2.0685357047619053E-2</c:v>
                </c:pt>
                <c:pt idx="3">
                  <c:v>8.7995432857142872E-3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61-4E35-8E6A-645B1CB4B1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61-4E35-8E6A-645B1CB4B1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27.457296000000003</c:v>
                </c:pt>
                <c:pt idx="1">
                  <c:v>87.090271999999999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61-4E35-8E6A-645B1CB4B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25-4563-9406-5AC857929272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28.538847999999998</c:v>
                </c:pt>
                <c:pt idx="1">
                  <c:v>41.508255999999996</c:v>
                </c:pt>
                <c:pt idx="2">
                  <c:v>62.103111999999996</c:v>
                </c:pt>
                <c:pt idx="3">
                  <c:v>90.507136000000003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5.7035352238095242E-2</c:v>
                </c:pt>
                <c:pt idx="1">
                  <c:v>3.7234894333333331E-2</c:v>
                </c:pt>
                <c:pt idx="2">
                  <c:v>2.0739478904761906E-2</c:v>
                </c:pt>
                <c:pt idx="3">
                  <c:v>9.0903787142857153E-3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25-4563-9406-5AC85792927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25-4563-9406-5AC85792927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28.316848</c:v>
                </c:pt>
                <c:pt idx="1">
                  <c:v>90.507136000000003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25-4563-9406-5AC85792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2B-4794-96A4-A05892742100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2B-4794-96A4-A0589274210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2B-4794-96A4-A0589274210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2B-4794-96A4-A05892742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5B-47B7-8AD2-B2FC2D0ED3A9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5B-47B7-8AD2-B2FC2D0ED3A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5B-47B7-8AD2-B2FC2D0ED3A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5B-47B7-8AD2-B2FC2D0ED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7E-483A-976D-BDFC86EC3B3F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E-483A-976D-BDFC86EC3B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7E-483A-976D-BDFC86EC3B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7E-483A-976D-BDFC86EC3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12-4926-A23F-0D66670C599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12-4926-A23F-0D66670C599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12-4926-A23F-0D66670C5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01-4B23-B4A0-81F95E9C838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01-4B23-B4A0-81F95E9C838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01-4B23-B4A0-81F95E9C8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B3-4EF6-8E14-24584C23FE2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B3-4EF6-8E14-24584C23FE2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B3-4EF6-8E14-24584C23F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37-41BE-B01C-AC256DFDB112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37.261919999999989</c:v>
                </c:pt>
                <c:pt idx="1">
                  <c:v>53.557663999999995</c:v>
                </c:pt>
                <c:pt idx="2">
                  <c:v>77.018511999999987</c:v>
                </c:pt>
                <c:pt idx="3">
                  <c:v>108.96416799999999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5.6483739399999996E-2</c:v>
                </c:pt>
                <c:pt idx="1">
                  <c:v>3.2345189933333331E-2</c:v>
                </c:pt>
                <c:pt idx="2">
                  <c:v>1.5874248466666668E-2</c:v>
                </c:pt>
                <c:pt idx="3">
                  <c:v>9.0151280266666679E-3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37-41BE-B01C-AC256DFDB11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37-41BE-B01C-AC256DFDB11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37.945208000000001</c:v>
                </c:pt>
                <c:pt idx="1">
                  <c:v>112.233456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37-41BE-B01C-AC256DFDB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H12" sqref="H12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>
        <f t="shared" ref="D9:D18" ca="1" si="1">INDIRECT($C9&amp;"!AM$5")</f>
        <v>-0.12379125555645676</v>
      </c>
      <c r="E9" s="218">
        <f t="shared" ref="E9:E18" ca="1" si="2">INDIRECT($C9&amp;"!AN$5")</f>
        <v>-0.14746145612387374</v>
      </c>
      <c r="F9" s="218">
        <f t="shared" ref="F9:F18" ca="1" si="3">INDIRECT($C9&amp;"!AO$5")</f>
        <v>-2.6753674593873455E-3</v>
      </c>
      <c r="G9" s="218">
        <f t="shared" ref="G9:G18" ca="1" si="4">INDIRECT($C9&amp;"!AP$5")</f>
        <v>-3.4603823427148739E-2</v>
      </c>
      <c r="H9" s="219">
        <f t="shared" ref="H9:H18" ca="1" si="5">INDIRECT($C9&amp;"!AQ$5")</f>
        <v>-0.1587751934150905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>
        <f t="shared" ca="1" si="1"/>
        <v>-0.12471531819401249</v>
      </c>
      <c r="E10" s="218">
        <f t="shared" ca="1" si="2"/>
        <v>-0.15267372801615042</v>
      </c>
      <c r="F10" s="218">
        <f t="shared" ca="1" si="3"/>
        <v>-4.0343826924288395E-3</v>
      </c>
      <c r="G10" s="218">
        <f t="shared" ca="1" si="4"/>
        <v>-4.0495650675673622E-2</v>
      </c>
      <c r="H10" s="221">
        <f t="shared" ca="1" si="5"/>
        <v>-0.16519343803910203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-0.12844714778397959</v>
      </c>
      <c r="E11" s="218">
        <f t="shared" ca="1" si="2"/>
        <v>-9.6461962299694837E-2</v>
      </c>
      <c r="F11" s="218">
        <f t="shared" ca="1" si="3"/>
        <v>-2.5046159085472253E-3</v>
      </c>
      <c r="G11" s="218">
        <f t="shared" ca="1" si="4"/>
        <v>-1.6872598783842618E-2</v>
      </c>
      <c r="H11" s="221">
        <f t="shared" ca="1" si="5"/>
        <v>-0.13473857056385052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>
        <f t="shared" ca="1" si="1"/>
        <v>-0.14074727865771575</v>
      </c>
      <c r="E12" s="218">
        <f t="shared" ca="1" si="2"/>
        <v>-0.10785516584721611</v>
      </c>
      <c r="F12" s="218">
        <f t="shared" ca="1" si="3"/>
        <v>-4.0067227857477627E-3</v>
      </c>
      <c r="G12" s="218">
        <f t="shared" ca="1" si="4"/>
        <v>-2.7905062297595151E-2</v>
      </c>
      <c r="H12" s="221">
        <f t="shared" ca="1" si="5"/>
        <v>-0.15182960278667257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#REF!</v>
      </c>
      <c r="E19" s="222" t="e">
        <f ca="1">IF(COUNTIF(E10:E15,"=0")&gt;0,0,AVERAGE(E10:E15))</f>
        <v>#REF!</v>
      </c>
      <c r="F19" s="222" t="e">
        <f ca="1">IF(COUNTIF(F10:F15,"=0")&gt;0,0,AVERAGE(F10:F15))</f>
        <v>#REF!</v>
      </c>
      <c r="G19" s="222" t="e">
        <f ca="1">IF(COUNTIF(G10:G15,"=0")&gt;0,0,AVERAGE(G10:G15))</f>
        <v>#REF!</v>
      </c>
      <c r="H19" s="223" t="e">
        <f ca="1">IF(COUNTIF(H10:H15,"=0")&gt;0,0,AVERAGE(H10:H15))</f>
        <v>#REF!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23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37.261919999999989</v>
      </c>
      <c r="I7" s="10"/>
      <c r="J7" s="228">
        <f ca="1">H7/D7-1</f>
        <v>6.1686897734023471E-3</v>
      </c>
      <c r="L7" s="74">
        <f ca="1">INDIRECT($B7&amp;"!"&amp;L$3&amp;"5")</f>
        <v>27.262733600000001</v>
      </c>
      <c r="M7" s="75">
        <f ca="1">INDIRECT($B7&amp;"!"&amp;M$3&amp;"5")</f>
        <v>27.991566133333333</v>
      </c>
      <c r="N7" s="76">
        <f ca="1">M7-L7</f>
        <v>0.72883253333333187</v>
      </c>
      <c r="O7" s="226"/>
      <c r="P7" s="228">
        <f ca="1">bdrate(D7:D10,L7:L10,H7:H10,M7:M10)</f>
        <v>-0.12379125555645898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53.557663999999995</v>
      </c>
      <c r="I8" s="10"/>
      <c r="J8" s="228">
        <f ca="1">H8/D8-1</f>
        <v>5.9022517867375335E-3</v>
      </c>
      <c r="L8" s="74">
        <f ca="1">INDIRECT($B8&amp;"!"&amp;L$3&amp;"6")</f>
        <v>30.5955504</v>
      </c>
      <c r="M8" s="75">
        <f ca="1">INDIRECT($B8&amp;"!"&amp;M$3&amp;"6")</f>
        <v>31.827726266666666</v>
      </c>
      <c r="N8" s="76">
        <f ca="1">M8-L8</f>
        <v>1.2321758666666653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77.018511999999987</v>
      </c>
      <c r="I9" s="10"/>
      <c r="J9" s="228">
        <f ca="1">H9/D9-1</f>
        <v>3.1935045782036653E-3</v>
      </c>
      <c r="L9" s="74">
        <f ca="1">INDIRECT($B9&amp;"!"&amp;L$3&amp;"7")</f>
        <v>35.178384000000008</v>
      </c>
      <c r="M9" s="75">
        <f ca="1">INDIRECT($B9&amp;"!"&amp;M$3&amp;"7")</f>
        <v>37.346993666666663</v>
      </c>
      <c r="N9" s="76">
        <f ca="1">M9-L9</f>
        <v>2.1686096666666543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108.96416799999999</v>
      </c>
      <c r="I10" s="10"/>
      <c r="J10" s="228">
        <f ca="1">H10/D10-1</f>
        <v>9.3770018447547621E-4</v>
      </c>
      <c r="L10" s="74">
        <f ca="1">INDIRECT($B10&amp;"!"&amp;L$3&amp;"8")</f>
        <v>37.847506266666663</v>
      </c>
      <c r="M10" s="75">
        <f ca="1">INDIRECT($B10&amp;"!"&amp;M$3&amp;"8")</f>
        <v>40.977408333333329</v>
      </c>
      <c r="N10" s="76">
        <f ca="1">M10-L10</f>
        <v>3.1299020666666664</v>
      </c>
      <c r="O10" s="226"/>
      <c r="P10" s="231">
        <f ca="1">bdrate(L7:L10,D7:D10,M7:M10,H7:H10)</f>
        <v>5.5365690956576508E-2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108.96416799999999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23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38.189176000000003</v>
      </c>
      <c r="I18" s="10"/>
      <c r="J18" s="228">
        <f ca="1">H18/D18-1</f>
        <v>6.4294811613629932E-3</v>
      </c>
      <c r="L18" s="74">
        <f ca="1">INDIRECT($B18&amp;"!"&amp;L$3&amp;"5")</f>
        <v>27.225800466666666</v>
      </c>
      <c r="M18" s="75">
        <f ca="1">INDIRECT($B18&amp;"!"&amp;M$3&amp;"5")</f>
        <v>27.927755399999999</v>
      </c>
      <c r="N18" s="76">
        <f ca="1">M18-L18</f>
        <v>0.70195493333333303</v>
      </c>
      <c r="O18" s="226"/>
      <c r="P18" s="228">
        <f ca="1">bdrate(D18:D21,L18:L21,H18:H21,M18:M21)</f>
        <v>-0.12471531819401316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55.003951999999998</v>
      </c>
      <c r="I19" s="10"/>
      <c r="J19" s="228">
        <f ca="1">H19/D19-1</f>
        <v>5.8956612217118121E-3</v>
      </c>
      <c r="L19" s="74">
        <f ca="1">INDIRECT($B19&amp;"!"&amp;L$3&amp;"6")</f>
        <v>30.717614933333337</v>
      </c>
      <c r="M19" s="75">
        <f ca="1">INDIRECT($B19&amp;"!"&amp;M$3&amp;"6")</f>
        <v>31.9758496</v>
      </c>
      <c r="N19" s="76">
        <f ca="1">M19-L19</f>
        <v>1.2582346666666631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79.280384000000026</v>
      </c>
      <c r="I20" s="10"/>
      <c r="J20" s="228">
        <f ca="1">H20/D20-1</f>
        <v>3.031244929833532E-3</v>
      </c>
      <c r="L20" s="74">
        <f ca="1">INDIRECT($B20&amp;"!"&amp;L$3&amp;"7")</f>
        <v>35.108155866666671</v>
      </c>
      <c r="M20" s="75">
        <f ca="1">INDIRECT($B20&amp;"!"&amp;M$3&amp;"7")</f>
        <v>37.232871266666663</v>
      </c>
      <c r="N20" s="76">
        <f ca="1">M20-L20</f>
        <v>2.1247153999999924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112.233456</v>
      </c>
      <c r="I21" s="10"/>
      <c r="J21" s="228">
        <f ca="1">H21/D21-1</f>
        <v>7.9547548439595772E-4</v>
      </c>
      <c r="L21" s="74">
        <f ca="1">INDIRECT($B21&amp;"!"&amp;L$3&amp;"8")</f>
        <v>37.605895933333336</v>
      </c>
      <c r="M21" s="75">
        <f ca="1">INDIRECT($B21&amp;"!"&amp;M$3&amp;"8")</f>
        <v>40.654519933333326</v>
      </c>
      <c r="N21" s="76">
        <f ca="1">M21-L21</f>
        <v>3.0486239999999896</v>
      </c>
      <c r="O21" s="226"/>
      <c r="P21" s="231">
        <f ca="1">bdrate(L18:L21,D18:D21,M18:M21,H18:H21)</f>
        <v>5.471962760578597E-2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112.233456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23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27.668527999999998</v>
      </c>
      <c r="I29" s="10"/>
      <c r="J29" s="228">
        <f ca="1">H29/D29-1</f>
        <v>7.6931100571591138E-3</v>
      </c>
      <c r="L29" s="74">
        <f ca="1">INDIRECT($B29&amp;"!"&amp;L$3&amp;"5")</f>
        <v>30.246270333333335</v>
      </c>
      <c r="M29" s="75">
        <f ca="1">INDIRECT($B29&amp;"!"&amp;M$3&amp;"5")</f>
        <v>30.641332904761899</v>
      </c>
      <c r="N29" s="76">
        <f ca="1">M29-L29</f>
        <v>0.39506257142856427</v>
      </c>
      <c r="O29" s="226"/>
      <c r="P29" s="228">
        <f ca="1">bdrate(D29:D32,L29:L32,H29:H32,M29:M32)</f>
        <v>-0.1284471477839817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40.101616</v>
      </c>
      <c r="I30" s="10"/>
      <c r="J30" s="228">
        <f ca="1">H30/D30-1</f>
        <v>9.3080120826163348E-3</v>
      </c>
      <c r="L30" s="74">
        <f ca="1">INDIRECT($B30&amp;"!"&amp;L$3&amp;"6")</f>
        <v>33.072678761904761</v>
      </c>
      <c r="M30" s="75">
        <f ca="1">INDIRECT($B30&amp;"!"&amp;M$3&amp;"6")</f>
        <v>33.949089047619047</v>
      </c>
      <c r="N30" s="76">
        <f ca="1">M30-L30</f>
        <v>0.87641028571428592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59.786320000000011</v>
      </c>
      <c r="I31" s="10"/>
      <c r="J31" s="228">
        <f ca="1">H31/D31-1</f>
        <v>3.9349822501295595E-3</v>
      </c>
      <c r="L31" s="74">
        <f ca="1">INDIRECT($B31&amp;"!"&amp;L$3&amp;"7")</f>
        <v>36.281602476190471</v>
      </c>
      <c r="M31" s="75">
        <f ca="1">INDIRECT($B31&amp;"!"&amp;M$3&amp;"7")</f>
        <v>38.109473809523806</v>
      </c>
      <c r="N31" s="76">
        <f ca="1">M31-L31</f>
        <v>1.8278713333333343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87.090271999999999</v>
      </c>
      <c r="I32" s="10"/>
      <c r="J32" s="228">
        <f ca="1">H32/D32-1</f>
        <v>1.1344545697662411E-3</v>
      </c>
      <c r="L32" s="74">
        <f ca="1">INDIRECT($B32&amp;"!"&amp;L$3&amp;"8")</f>
        <v>39.436459095238085</v>
      </c>
      <c r="M32" s="75">
        <f ca="1">INDIRECT($B32&amp;"!"&amp;M$3&amp;"8")</f>
        <v>42.514211238095243</v>
      </c>
      <c r="N32" s="76">
        <f ca="1">M32-L32</f>
        <v>3.0777521428571575</v>
      </c>
      <c r="O32" s="226"/>
      <c r="P32" s="231">
        <f ca="1">bdrate(L29:L32,D29:D32,M29:M32,H29:H32)</f>
        <v>4.5154331304492201E-2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87.090271999999999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23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28.538847999999998</v>
      </c>
      <c r="I40" s="10"/>
      <c r="J40" s="228">
        <f ca="1">H40/D40-1</f>
        <v>7.8398556223489013E-3</v>
      </c>
      <c r="L40" s="74">
        <f ca="1">INDIRECT($B40&amp;"!"&amp;L$3&amp;"5")</f>
        <v>30.214093190476195</v>
      </c>
      <c r="M40" s="75">
        <f ca="1">INDIRECT($B40&amp;"!"&amp;M$3&amp;"5")</f>
        <v>30.664802333333334</v>
      </c>
      <c r="N40" s="76">
        <f ca="1">M40-L40</f>
        <v>0.45070914285713926</v>
      </c>
      <c r="O40" s="226"/>
      <c r="P40" s="228">
        <f ca="1">bdrate(D40:D43,L40:L43,H40:H43,M40:M43)</f>
        <v>-0.14074727865771353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41.508255999999996</v>
      </c>
      <c r="I41" s="10"/>
      <c r="J41" s="228">
        <f ca="1">H41/D41-1</f>
        <v>9.282972916719201E-3</v>
      </c>
      <c r="L41" s="74">
        <f ca="1">INDIRECT($B41&amp;"!"&amp;L$3&amp;"6")</f>
        <v>32.999578714285725</v>
      </c>
      <c r="M41" s="75">
        <f ca="1">INDIRECT($B41&amp;"!"&amp;M$3&amp;"6")</f>
        <v>34.018893952380949</v>
      </c>
      <c r="N41" s="76">
        <f ca="1">M41-L41</f>
        <v>1.0193152380952242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62.103111999999996</v>
      </c>
      <c r="I42" s="10"/>
      <c r="J42" s="228">
        <f ca="1">H42/D42-1</f>
        <v>3.8482477340997523E-3</v>
      </c>
      <c r="L42" s="74">
        <f ca="1">INDIRECT($B42&amp;"!"&amp;L$3&amp;"7")</f>
        <v>36.248342999999991</v>
      </c>
      <c r="M42" s="75">
        <f ca="1">INDIRECT($B42&amp;"!"&amp;M$3&amp;"7")</f>
        <v>38.191245619047614</v>
      </c>
      <c r="N42" s="76">
        <f ca="1">M42-L42</f>
        <v>1.9429026190476222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90.507136000000003</v>
      </c>
      <c r="I43" s="10"/>
      <c r="J43" s="228">
        <f ca="1">H43/D43-1</f>
        <v>9.9954919862188518E-4</v>
      </c>
      <c r="L43" s="74">
        <f ca="1">INDIRECT($B43&amp;"!"&amp;L$3&amp;"8")</f>
        <v>39.028174857142858</v>
      </c>
      <c r="M43" s="75">
        <f ca="1">INDIRECT($B43&amp;"!"&amp;M$3&amp;"8")</f>
        <v>42.414998142857137</v>
      </c>
      <c r="N43" s="76">
        <f ca="1">M43-L43</f>
        <v>3.3868232857142786</v>
      </c>
      <c r="O43" s="226"/>
      <c r="P43" s="231">
        <f ca="1">bdrate(L40:L43,D40:D43,M40:M43,H40:H43)</f>
        <v>4.9563677189175426E-2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90.507136000000003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23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23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23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23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23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23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workbookViewId="0">
      <selection activeCell="R25" sqref="R25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34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37.261919999999989</v>
      </c>
      <c r="I7" s="10"/>
      <c r="J7" s="228">
        <f ca="1">H7/D7-1</f>
        <v>6.1686897734023471E-3</v>
      </c>
      <c r="L7" s="74">
        <f ca="1">INDIRECT($B7&amp;"!"&amp;L$3&amp;"5")</f>
        <v>32.469316800000001</v>
      </c>
      <c r="M7" s="75">
        <f ca="1">INDIRECT($B7&amp;"!"&amp;M$3&amp;"5")</f>
        <v>33.854797999999995</v>
      </c>
      <c r="N7" s="76">
        <f ca="1">M7-L7</f>
        <v>1.3854811999999939</v>
      </c>
      <c r="O7" s="226"/>
      <c r="P7" s="228">
        <f ca="1">bdrate(D7:D10,L7:L10,H7:H10,M7:M10)</f>
        <v>-0.14746145612387607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53.557663999999995</v>
      </c>
      <c r="I8" s="10"/>
      <c r="J8" s="228">
        <f ca="1">H8/D8-1</f>
        <v>5.9022517867375335E-3</v>
      </c>
      <c r="L8" s="74">
        <f ca="1">INDIRECT($B8&amp;"!"&amp;L$3&amp;"6")</f>
        <v>35.243102133333331</v>
      </c>
      <c r="M8" s="75">
        <f ca="1">INDIRECT($B8&amp;"!"&amp;M$3&amp;"6")</f>
        <v>36.656290066666671</v>
      </c>
      <c r="N8" s="76">
        <f ca="1">M8-L8</f>
        <v>1.4131879333333401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77.018511999999987</v>
      </c>
      <c r="I9" s="10"/>
      <c r="J9" s="228">
        <f ca="1">H9/D9-1</f>
        <v>3.1935045782036653E-3</v>
      </c>
      <c r="L9" s="74">
        <f ca="1">INDIRECT($B9&amp;"!"&amp;L$3&amp;"7")</f>
        <v>39.28737146666667</v>
      </c>
      <c r="M9" s="75">
        <f ca="1">INDIRECT($B9&amp;"!"&amp;M$3&amp;"7")</f>
        <v>41.028742866666668</v>
      </c>
      <c r="N9" s="76">
        <f ca="1">M9-L9</f>
        <v>1.7413713999999985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108.96416799999999</v>
      </c>
      <c r="I10" s="10"/>
      <c r="J10" s="228">
        <f ca="1">H10/D10-1</f>
        <v>9.3770018447547621E-4</v>
      </c>
      <c r="L10" s="74">
        <f ca="1">INDIRECT($B10&amp;"!"&amp;L$3&amp;"8")</f>
        <v>41.929521733333331</v>
      </c>
      <c r="M10" s="75">
        <f ca="1">INDIRECT($B10&amp;"!"&amp;M$3&amp;"8")</f>
        <v>44.273146466666667</v>
      </c>
      <c r="N10" s="76">
        <f ca="1">M10-L10</f>
        <v>2.3436247333333355</v>
      </c>
      <c r="O10" s="226"/>
      <c r="P10" s="231">
        <f ca="1">bdrate(L7:L10,D7:D10,M7:M10,H7:H10)</f>
        <v>4.4091532134311828E-2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108.96416799999999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34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38.189176000000003</v>
      </c>
      <c r="I18" s="10"/>
      <c r="J18" s="228">
        <f ca="1">H18/D18-1</f>
        <v>6.4294811613629932E-3</v>
      </c>
      <c r="L18" s="74">
        <f ca="1">INDIRECT($B18&amp;"!"&amp;L$3&amp;"5")</f>
        <v>32.321196866666668</v>
      </c>
      <c r="M18" s="75">
        <f ca="1">INDIRECT($B18&amp;"!"&amp;M$3&amp;"5")</f>
        <v>33.82971633333333</v>
      </c>
      <c r="N18" s="76">
        <f ca="1">M18-L18</f>
        <v>1.5085194666666624</v>
      </c>
      <c r="O18" s="226"/>
      <c r="P18" s="228">
        <f ca="1">bdrate(D18:D21,L18:L21,H18:H21,M18:M21)</f>
        <v>-0.15267372801615009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55.003951999999998</v>
      </c>
      <c r="I19" s="10"/>
      <c r="J19" s="228">
        <f ca="1">H19/D19-1</f>
        <v>5.8956612217118121E-3</v>
      </c>
      <c r="L19" s="74">
        <f ca="1">INDIRECT($B19&amp;"!"&amp;L$3&amp;"6")</f>
        <v>35.232715600000006</v>
      </c>
      <c r="M19" s="75">
        <f ca="1">INDIRECT($B19&amp;"!"&amp;M$3&amp;"6")</f>
        <v>36.727271933333334</v>
      </c>
      <c r="N19" s="76">
        <f ca="1">M19-L19</f>
        <v>1.4945563333333283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79.280384000000026</v>
      </c>
      <c r="I20" s="10"/>
      <c r="J20" s="228">
        <f ca="1">H20/D20-1</f>
        <v>3.031244929833532E-3</v>
      </c>
      <c r="L20" s="74">
        <f ca="1">INDIRECT($B20&amp;"!"&amp;L$3&amp;"7")</f>
        <v>39.210842266666667</v>
      </c>
      <c r="M20" s="75">
        <f ca="1">INDIRECT($B20&amp;"!"&amp;M$3&amp;"7")</f>
        <v>40.904221799999988</v>
      </c>
      <c r="N20" s="76">
        <f ca="1">M20-L20</f>
        <v>1.6933795333333208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112.233456</v>
      </c>
      <c r="I21" s="10"/>
      <c r="J21" s="228">
        <f ca="1">H21/D21-1</f>
        <v>7.9547548439595772E-4</v>
      </c>
      <c r="L21" s="74">
        <f ca="1">INDIRECT($B21&amp;"!"&amp;L$3&amp;"8")</f>
        <v>41.687570999999998</v>
      </c>
      <c r="M21" s="75">
        <f ca="1">INDIRECT($B21&amp;"!"&amp;M$3&amp;"8")</f>
        <v>43.997404999999993</v>
      </c>
      <c r="N21" s="76">
        <f ca="1">M21-L21</f>
        <v>2.3098339999999951</v>
      </c>
      <c r="O21" s="226"/>
      <c r="P21" s="231">
        <f ca="1">bdrate(L18:L21,D18:D21,M18:M21,H18:H21)</f>
        <v>4.4458542226917031E-2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112.233456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34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27.668527999999998</v>
      </c>
      <c r="I29" s="10"/>
      <c r="J29" s="228">
        <f ca="1">H29/D29-1</f>
        <v>7.6931100571591138E-3</v>
      </c>
      <c r="L29" s="74">
        <f ca="1">INDIRECT($B29&amp;"!"&amp;L$3&amp;"5")</f>
        <v>33.862599857142854</v>
      </c>
      <c r="M29" s="75">
        <f ca="1">INDIRECT($B29&amp;"!"&amp;M$3&amp;"5")</f>
        <v>34.513368809523804</v>
      </c>
      <c r="N29" s="76">
        <f ca="1">M29-L29</f>
        <v>0.65076895238095034</v>
      </c>
      <c r="O29" s="226"/>
      <c r="P29" s="228">
        <f ca="1">bdrate(D29:D32,L29:L32,H29:H32,M29:M32)</f>
        <v>-9.6461962299695725E-2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40.101616</v>
      </c>
      <c r="I30" s="10"/>
      <c r="J30" s="228">
        <f ca="1">H30/D30-1</f>
        <v>9.3080120826163348E-3</v>
      </c>
      <c r="L30" s="74">
        <f ca="1">INDIRECT($B30&amp;"!"&amp;L$3&amp;"6")</f>
        <v>36.632195285714296</v>
      </c>
      <c r="M30" s="75">
        <f ca="1">INDIRECT($B30&amp;"!"&amp;M$3&amp;"6")</f>
        <v>37.317018761904762</v>
      </c>
      <c r="N30" s="76">
        <f ca="1">M30-L30</f>
        <v>0.68482347619046635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59.786320000000011</v>
      </c>
      <c r="I31" s="10"/>
      <c r="J31" s="228">
        <f ca="1">H31/D31-1</f>
        <v>3.9349822501295595E-3</v>
      </c>
      <c r="L31" s="74">
        <f ca="1">INDIRECT($B31&amp;"!"&amp;L$3&amp;"7")</f>
        <v>40.251414476190476</v>
      </c>
      <c r="M31" s="75">
        <f ca="1">INDIRECT($B31&amp;"!"&amp;M$3&amp;"7")</f>
        <v>41.422641857142857</v>
      </c>
      <c r="N31" s="76">
        <f ca="1">M31-L31</f>
        <v>1.1712273809523808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87.090271999999999</v>
      </c>
      <c r="I32" s="10"/>
      <c r="J32" s="228">
        <f ca="1">H32/D32-1</f>
        <v>1.1344545697662411E-3</v>
      </c>
      <c r="L32" s="74">
        <f ca="1">INDIRECT($B32&amp;"!"&amp;L$3&amp;"8")</f>
        <v>43.588469761904761</v>
      </c>
      <c r="M32" s="75">
        <f ca="1">INDIRECT($B32&amp;"!"&amp;M$3&amp;"8")</f>
        <v>45.568502238095235</v>
      </c>
      <c r="N32" s="76">
        <f ca="1">M32-L32</f>
        <v>1.9800324761904733</v>
      </c>
      <c r="O32" s="226"/>
      <c r="P32" s="231">
        <f ca="1">bdrate(L29:L32,D29:D32,M29:M32,H29:H32)</f>
        <v>2.7444800328468855E-2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87.090271999999999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34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28.538847999999998</v>
      </c>
      <c r="I40" s="10"/>
      <c r="J40" s="228">
        <f ca="1">H40/D40-1</f>
        <v>7.8398556223489013E-3</v>
      </c>
      <c r="L40" s="74">
        <f ca="1">INDIRECT($B40&amp;"!"&amp;L$3&amp;"5")</f>
        <v>33.832055285714283</v>
      </c>
      <c r="M40" s="75">
        <f ca="1">INDIRECT($B40&amp;"!"&amp;M$3&amp;"5")</f>
        <v>34.544556952380958</v>
      </c>
      <c r="N40" s="76">
        <f ca="1">M40-L40</f>
        <v>0.71250166666667525</v>
      </c>
      <c r="O40" s="226"/>
      <c r="P40" s="228">
        <f ca="1">bdrate(D40:D43,L40:L43,H40:H43,M40:M43)</f>
        <v>-0.10785516584721522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41.508255999999996</v>
      </c>
      <c r="I41" s="10"/>
      <c r="J41" s="228">
        <f ca="1">H41/D41-1</f>
        <v>9.282972916719201E-3</v>
      </c>
      <c r="L41" s="74">
        <f ca="1">INDIRECT($B41&amp;"!"&amp;L$3&amp;"6")</f>
        <v>36.531831238095236</v>
      </c>
      <c r="M41" s="75">
        <f ca="1">INDIRECT($B41&amp;"!"&amp;M$3&amp;"6")</f>
        <v>37.356987952380962</v>
      </c>
      <c r="N41" s="76">
        <f ca="1">M41-L41</f>
        <v>0.82515671428572546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62.103111999999996</v>
      </c>
      <c r="I42" s="10"/>
      <c r="J42" s="228">
        <f ca="1">H42/D42-1</f>
        <v>3.8482477340997523E-3</v>
      </c>
      <c r="L42" s="74">
        <f ca="1">INDIRECT($B42&amp;"!"&amp;L$3&amp;"7")</f>
        <v>40.276491190476186</v>
      </c>
      <c r="M42" s="75">
        <f ca="1">INDIRECT($B42&amp;"!"&amp;M$3&amp;"7")</f>
        <v>41.510153857142853</v>
      </c>
      <c r="N42" s="76">
        <f ca="1">M42-L42</f>
        <v>1.2336626666666675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90.507136000000003</v>
      </c>
      <c r="I43" s="10"/>
      <c r="J43" s="228">
        <f ca="1">H43/D43-1</f>
        <v>9.9954919862188518E-4</v>
      </c>
      <c r="L43" s="74">
        <f ca="1">INDIRECT($B43&amp;"!"&amp;L$3&amp;"8")</f>
        <v>43.229996952380951</v>
      </c>
      <c r="M43" s="75">
        <f ca="1">INDIRECT($B43&amp;"!"&amp;M$3&amp;"8")</f>
        <v>45.481171238095236</v>
      </c>
      <c r="N43" s="76">
        <f ca="1">M43-L43</f>
        <v>2.2511742857142849</v>
      </c>
      <c r="O43" s="226"/>
      <c r="P43" s="231">
        <f ca="1">bdrate(L40:L43,D40:D43,M40:M43,H40:H43)</f>
        <v>3.0559154112455467E-2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90.507136000000003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34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34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34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34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34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34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37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37.261919999999989</v>
      </c>
      <c r="I7" s="10"/>
      <c r="J7" s="228">
        <f ca="1">H7/D7-1</f>
        <v>6.1686897734023471E-3</v>
      </c>
      <c r="L7" s="74">
        <f ca="1">INDIRECT($B7&amp;"!"&amp;L$3&amp;"5")</f>
        <v>0.95834516733333319</v>
      </c>
      <c r="M7" s="75">
        <f ca="1">INDIRECT($B7&amp;"!"&amp;M$3&amp;"5")</f>
        <v>0.95816603999999994</v>
      </c>
      <c r="N7" s="76">
        <f ca="1">M7-L7</f>
        <v>-1.7912733333325104E-4</v>
      </c>
      <c r="O7" s="226"/>
      <c r="P7" s="228">
        <f ca="1">bdrate(D7:D10,L7:L10,H7:H10,M7:M10)</f>
        <v>-2.6753674593877896E-3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53.557663999999995</v>
      </c>
      <c r="I8" s="10"/>
      <c r="J8" s="228">
        <f ca="1">H8/D8-1</f>
        <v>5.9022517867375335E-3</v>
      </c>
      <c r="L8" s="74">
        <f ca="1">INDIRECT($B8&amp;"!"&amp;L$3&amp;"6")</f>
        <v>0.97572819666666666</v>
      </c>
      <c r="M8" s="75">
        <f ca="1">INDIRECT($B8&amp;"!"&amp;M$3&amp;"6")</f>
        <v>0.97602559533333322</v>
      </c>
      <c r="N8" s="76">
        <f ca="1">M8-L8</f>
        <v>2.9739866666655956E-4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77.018511999999987</v>
      </c>
      <c r="I9" s="10"/>
      <c r="J9" s="228">
        <f ca="1">H9/D9-1</f>
        <v>3.1935045782036653E-3</v>
      </c>
      <c r="L9" s="74">
        <f ca="1">INDIRECT($B9&amp;"!"&amp;L$3&amp;"7")</f>
        <v>0.98810945533333316</v>
      </c>
      <c r="M9" s="75">
        <f ca="1">INDIRECT($B9&amp;"!"&amp;M$3&amp;"7")</f>
        <v>0.98840114133333346</v>
      </c>
      <c r="N9" s="76">
        <f ca="1">M9-L9</f>
        <v>2.9168600000029077E-4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108.96416799999999</v>
      </c>
      <c r="I10" s="10"/>
      <c r="J10" s="228">
        <f ca="1">H10/D10-1</f>
        <v>9.3770018447547621E-4</v>
      </c>
      <c r="L10" s="74">
        <f ca="1">INDIRECT($B10&amp;"!"&amp;L$3&amp;"8")</f>
        <v>0.99241337466666668</v>
      </c>
      <c r="M10" s="75">
        <f ca="1">INDIRECT($B10&amp;"!"&amp;M$3&amp;"8")</f>
        <v>0.99281843400000003</v>
      </c>
      <c r="N10" s="76">
        <f ca="1">M10-L10</f>
        <v>4.0505933333334632E-4</v>
      </c>
      <c r="O10" s="226"/>
      <c r="P10" s="231">
        <f ca="1">bdrate(L7:L10,D7:D10,M7:M10,H7:H10)</f>
        <v>1.5404557082199233E-4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108.96416799999999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37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38.189176000000003</v>
      </c>
      <c r="I18" s="10"/>
      <c r="J18" s="228">
        <f ca="1">H18/D18-1</f>
        <v>6.4294811613629932E-3</v>
      </c>
      <c r="L18" s="74">
        <f ca="1">INDIRECT($B18&amp;"!"&amp;L$3&amp;"5")</f>
        <v>0.95700066866666644</v>
      </c>
      <c r="M18" s="75">
        <f ca="1">INDIRECT($B18&amp;"!"&amp;M$3&amp;"5")</f>
        <v>0.95675044266666676</v>
      </c>
      <c r="N18" s="76">
        <f ca="1">M18-L18</f>
        <v>-2.5022599999968698E-4</v>
      </c>
      <c r="O18" s="226"/>
      <c r="P18" s="228">
        <f ca="1">bdrate(D18:D21,L18:L21,H18:H21,M18:M21)</f>
        <v>-4.0343826924288395E-3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55.003951999999998</v>
      </c>
      <c r="I19" s="10"/>
      <c r="J19" s="228">
        <f ca="1">H19/D19-1</f>
        <v>5.8956612217118121E-3</v>
      </c>
      <c r="L19" s="74">
        <f ca="1">INDIRECT($B19&amp;"!"&amp;L$3&amp;"6")</f>
        <v>0.97492547266666674</v>
      </c>
      <c r="M19" s="75">
        <f ca="1">INDIRECT($B19&amp;"!"&amp;M$3&amp;"6")</f>
        <v>0.97529467133333325</v>
      </c>
      <c r="N19" s="76">
        <f ca="1">M19-L19</f>
        <v>3.691986666665148E-4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79.280384000000026</v>
      </c>
      <c r="I20" s="10"/>
      <c r="J20" s="228">
        <f ca="1">H20/D20-1</f>
        <v>3.031244929833532E-3</v>
      </c>
      <c r="L20" s="74">
        <f ca="1">INDIRECT($B20&amp;"!"&amp;L$3&amp;"7")</f>
        <v>0.98757465333333327</v>
      </c>
      <c r="M20" s="75">
        <f ca="1">INDIRECT($B20&amp;"!"&amp;M$3&amp;"7")</f>
        <v>0.98793152200000001</v>
      </c>
      <c r="N20" s="76">
        <f ca="1">M20-L20</f>
        <v>3.56868666666732E-4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112.233456</v>
      </c>
      <c r="I21" s="10"/>
      <c r="J21" s="228">
        <f ca="1">H21/D21-1</f>
        <v>7.9547548439595772E-4</v>
      </c>
      <c r="L21" s="74">
        <f ca="1">INDIRECT($B21&amp;"!"&amp;L$3&amp;"8")</f>
        <v>0.99193363933333345</v>
      </c>
      <c r="M21" s="75">
        <f ca="1">INDIRECT($B21&amp;"!"&amp;M$3&amp;"8")</f>
        <v>0.9923799419999999</v>
      </c>
      <c r="N21" s="76">
        <f ca="1">M21-L21</f>
        <v>4.463026666664538E-4</v>
      </c>
      <c r="O21" s="226"/>
      <c r="P21" s="231">
        <f ca="1">bdrate(L18:L21,D18:D21,M18:M21,H18:H21)</f>
        <v>2.0289415986729509E-4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112.233456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37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27.668527999999998</v>
      </c>
      <c r="I29" s="10"/>
      <c r="J29" s="228">
        <f ca="1">H29/D29-1</f>
        <v>7.6931100571591138E-3</v>
      </c>
      <c r="L29" s="74">
        <f ca="1">INDIRECT($B29&amp;"!"&amp;L$3&amp;"5")</f>
        <v>0.96684382285714265</v>
      </c>
      <c r="M29" s="75">
        <f ca="1">INDIRECT($B29&amp;"!"&amp;M$3&amp;"5")</f>
        <v>0.96689024809523805</v>
      </c>
      <c r="N29" s="76">
        <f ca="1">M29-L29</f>
        <v>4.642523809539334E-5</v>
      </c>
      <c r="O29" s="226"/>
      <c r="P29" s="228">
        <f ca="1">bdrate(D29:D32,L29:L32,H29:H32,M29:M32)</f>
        <v>-2.5046159085447828E-3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40.101616</v>
      </c>
      <c r="I30" s="10"/>
      <c r="J30" s="228">
        <f ca="1">H30/D30-1</f>
        <v>9.3080120826163348E-3</v>
      </c>
      <c r="L30" s="74">
        <f ca="1">INDIRECT($B30&amp;"!"&amp;L$3&amp;"6")</f>
        <v>0.98000114238095259</v>
      </c>
      <c r="M30" s="75">
        <f ca="1">INDIRECT($B30&amp;"!"&amp;M$3&amp;"6")</f>
        <v>0.98013896761904762</v>
      </c>
      <c r="N30" s="76">
        <f ca="1">M30-L30</f>
        <v>1.3782523809502401E-4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59.786320000000011</v>
      </c>
      <c r="I31" s="10"/>
      <c r="J31" s="228">
        <f ca="1">H31/D31-1</f>
        <v>3.9349822501295595E-3</v>
      </c>
      <c r="L31" s="74">
        <f ca="1">INDIRECT($B31&amp;"!"&amp;L$3&amp;"7")</f>
        <v>0.98903340333333323</v>
      </c>
      <c r="M31" s="75">
        <f ca="1">INDIRECT($B31&amp;"!"&amp;M$3&amp;"7")</f>
        <v>0.9894025995238096</v>
      </c>
      <c r="N31" s="76">
        <f ca="1">M31-L31</f>
        <v>3.6919619047637298E-4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87.090271999999999</v>
      </c>
      <c r="I32" s="10"/>
      <c r="J32" s="228">
        <f ca="1">H32/D32-1</f>
        <v>1.1344545697662411E-3</v>
      </c>
      <c r="L32" s="74">
        <f ca="1">INDIRECT($B32&amp;"!"&amp;L$3&amp;"8")</f>
        <v>0.99375173238095238</v>
      </c>
      <c r="M32" s="75">
        <f ca="1">INDIRECT($B32&amp;"!"&amp;M$3&amp;"8")</f>
        <v>0.99409615619047609</v>
      </c>
      <c r="N32" s="76">
        <f ca="1">M32-L32</f>
        <v>3.4442380952370844E-4</v>
      </c>
      <c r="O32" s="226"/>
      <c r="P32" s="231">
        <f ca="1">bdrate(L29:L32,D29:D32,M29:M32,H29:H32)</f>
        <v>1.5048310062248937E-4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87.090271999999999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37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28.538847999999998</v>
      </c>
      <c r="I40" s="10"/>
      <c r="J40" s="228">
        <f ca="1">H40/D40-1</f>
        <v>7.8398556223489013E-3</v>
      </c>
      <c r="L40" s="74">
        <f ca="1">INDIRECT($B40&amp;"!"&amp;L$3&amp;"5")</f>
        <v>0.96582942476190481</v>
      </c>
      <c r="M40" s="75">
        <f ca="1">INDIRECT($B40&amp;"!"&amp;M$3&amp;"5")</f>
        <v>0.96605915142857157</v>
      </c>
      <c r="N40" s="76">
        <f ca="1">M40-L40</f>
        <v>2.29726666666763E-4</v>
      </c>
      <c r="O40" s="226"/>
      <c r="P40" s="228">
        <f ca="1">bdrate(D40:D43,L40:L43,H40:H43,M40:M43)</f>
        <v>-4.0067227857459864E-3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41.508255999999996</v>
      </c>
      <c r="I41" s="10"/>
      <c r="J41" s="228">
        <f ca="1">H41/D41-1</f>
        <v>9.282972916719201E-3</v>
      </c>
      <c r="L41" s="74">
        <f ca="1">INDIRECT($B41&amp;"!"&amp;L$3&amp;"6")</f>
        <v>0.97901262523809529</v>
      </c>
      <c r="M41" s="75">
        <f ca="1">INDIRECT($B41&amp;"!"&amp;M$3&amp;"6")</f>
        <v>0.97919751238095232</v>
      </c>
      <c r="N41" s="76">
        <f ca="1">M41-L41</f>
        <v>1.8488714285702645E-4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62.103111999999996</v>
      </c>
      <c r="I42" s="10"/>
      <c r="J42" s="228">
        <f ca="1">H42/D42-1</f>
        <v>3.8482477340997523E-3</v>
      </c>
      <c r="L42" s="74">
        <f ca="1">INDIRECT($B42&amp;"!"&amp;L$3&amp;"7")</f>
        <v>0.98868709857142867</v>
      </c>
      <c r="M42" s="75">
        <f ca="1">INDIRECT($B42&amp;"!"&amp;M$3&amp;"7")</f>
        <v>0.98903518095238108</v>
      </c>
      <c r="N42" s="76">
        <f ca="1">M42-L42</f>
        <v>3.4808238095240807E-4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90.507136000000003</v>
      </c>
      <c r="I43" s="10"/>
      <c r="J43" s="228">
        <f ca="1">H43/D43-1</f>
        <v>9.9954919862188518E-4</v>
      </c>
      <c r="L43" s="74">
        <f ca="1">INDIRECT($B43&amp;"!"&amp;L$3&amp;"8")</f>
        <v>0.99344393809523812</v>
      </c>
      <c r="M43" s="75">
        <f ca="1">INDIRECT($B43&amp;"!"&amp;M$3&amp;"8")</f>
        <v>0.993850030952381</v>
      </c>
      <c r="N43" s="76">
        <f ca="1">M43-L43</f>
        <v>4.0609285714288124E-4</v>
      </c>
      <c r="O43" s="226"/>
      <c r="P43" s="231">
        <f ca="1">bdrate(L40:L43,D40:D43,M40:M43,H40:H43)</f>
        <v>1.7705455311545215E-4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90.507136000000003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37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37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37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37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37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37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40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37.261919999999989</v>
      </c>
      <c r="I7" s="10"/>
      <c r="J7" s="228">
        <f ca="1">H7/D7-1</f>
        <v>6.1686897734023471E-3</v>
      </c>
      <c r="L7" s="74">
        <f ca="1">INDIRECT($B7&amp;"!"&amp;L$3&amp;"5")</f>
        <v>0.95456353799999993</v>
      </c>
      <c r="M7" s="75">
        <f ca="1">INDIRECT($B7&amp;"!"&amp;M$3&amp;"5")</f>
        <v>0.95643100733333319</v>
      </c>
      <c r="N7" s="76">
        <f ca="1">M7-L7</f>
        <v>1.8674693333332604E-3</v>
      </c>
      <c r="O7" s="226"/>
      <c r="P7" s="228">
        <f ca="1">bdrate(D7:D10,L7:L10,H7:H10,M7:M10)</f>
        <v>-3.4603823427149516E-2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53.557663999999995</v>
      </c>
      <c r="I8" s="10"/>
      <c r="J8" s="228">
        <f ca="1">H8/D8-1</f>
        <v>5.9022517867375335E-3</v>
      </c>
      <c r="L8" s="74">
        <f ca="1">INDIRECT($B8&amp;"!"&amp;L$3&amp;"6")</f>
        <v>0.97258593333333343</v>
      </c>
      <c r="M8" s="75">
        <f ca="1">INDIRECT($B8&amp;"!"&amp;M$3&amp;"6")</f>
        <v>0.97506103133333322</v>
      </c>
      <c r="N8" s="76">
        <f ca="1">M8-L8</f>
        <v>2.4750979999997869E-3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77.018511999999987</v>
      </c>
      <c r="I9" s="10"/>
      <c r="J9" s="228">
        <f ca="1">H9/D9-1</f>
        <v>3.1935045782036653E-3</v>
      </c>
      <c r="L9" s="74">
        <f ca="1">INDIRECT($B9&amp;"!"&amp;L$3&amp;"7")</f>
        <v>0.99038261466666655</v>
      </c>
      <c r="M9" s="75">
        <f ca="1">INDIRECT($B9&amp;"!"&amp;M$3&amp;"7")</f>
        <v>0.99094338133333337</v>
      </c>
      <c r="N9" s="76">
        <f ca="1">M9-L9</f>
        <v>5.6076666666682318E-4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108.96416799999999</v>
      </c>
      <c r="I10" s="10"/>
      <c r="J10" s="228">
        <f ca="1">H10/D10-1</f>
        <v>9.3770018447547621E-4</v>
      </c>
      <c r="L10" s="74">
        <f ca="1">INDIRECT($B10&amp;"!"&amp;L$3&amp;"8")</f>
        <v>0.99521364000000001</v>
      </c>
      <c r="M10" s="75">
        <f ca="1">INDIRECT($B10&amp;"!"&amp;M$3&amp;"8")</f>
        <v>0.99629961866666672</v>
      </c>
      <c r="N10" s="76">
        <f ca="1">M10-L10</f>
        <v>1.0859786666667093E-3</v>
      </c>
      <c r="O10" s="226"/>
      <c r="P10" s="231">
        <f ca="1">bdrate(L7:L10,D7:D10,M7:M10,H7:H10)</f>
        <v>1.2487214826790716E-3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108.96416799999999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40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38.189176000000003</v>
      </c>
      <c r="I18" s="10"/>
      <c r="J18" s="228">
        <f ca="1">H18/D18-1</f>
        <v>6.4294811613629932E-3</v>
      </c>
      <c r="L18" s="74">
        <f ca="1">INDIRECT($B18&amp;"!"&amp;L$3&amp;"5")</f>
        <v>0.95395936733333342</v>
      </c>
      <c r="M18" s="75">
        <f ca="1">INDIRECT($B18&amp;"!"&amp;M$3&amp;"5")</f>
        <v>0.95599265866666672</v>
      </c>
      <c r="N18" s="76">
        <f ca="1">M18-L18</f>
        <v>2.033291333333298E-3</v>
      </c>
      <c r="O18" s="226"/>
      <c r="P18" s="228">
        <f ca="1">bdrate(D18:D21,L18:L21,H18:H21,M18:M21)</f>
        <v>-4.0495650675674399E-2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55.003951999999998</v>
      </c>
      <c r="I19" s="10"/>
      <c r="J19" s="228">
        <f ca="1">H19/D19-1</f>
        <v>5.8956612217118121E-3</v>
      </c>
      <c r="L19" s="74">
        <f ca="1">INDIRECT($B19&amp;"!"&amp;L$3&amp;"6")</f>
        <v>0.97223756466666666</v>
      </c>
      <c r="M19" s="75">
        <f ca="1">INDIRECT($B19&amp;"!"&amp;M$3&amp;"6")</f>
        <v>0.97512612600000004</v>
      </c>
      <c r="N19" s="76">
        <f ca="1">M19-L19</f>
        <v>2.8885613333333726E-3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79.280384000000026</v>
      </c>
      <c r="I20" s="10"/>
      <c r="J20" s="228">
        <f ca="1">H20/D20-1</f>
        <v>3.031244929833532E-3</v>
      </c>
      <c r="L20" s="74">
        <f ca="1">INDIRECT($B20&amp;"!"&amp;L$3&amp;"7")</f>
        <v>0.99005189866666643</v>
      </c>
      <c r="M20" s="75">
        <f ca="1">INDIRECT($B20&amp;"!"&amp;M$3&amp;"7")</f>
        <v>0.99073920000000015</v>
      </c>
      <c r="N20" s="76">
        <f ca="1">M20-L20</f>
        <v>6.8730133333372301E-4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112.233456</v>
      </c>
      <c r="I21" s="10"/>
      <c r="J21" s="228">
        <f ca="1">H21/D21-1</f>
        <v>7.9547548439595772E-4</v>
      </c>
      <c r="L21" s="74">
        <f ca="1">INDIRECT($B21&amp;"!"&amp;L$3&amp;"8")</f>
        <v>0.99515773399999985</v>
      </c>
      <c r="M21" s="75">
        <f ca="1">INDIRECT($B21&amp;"!"&amp;M$3&amp;"8")</f>
        <v>0.99613614133333328</v>
      </c>
      <c r="N21" s="76">
        <f ca="1">M21-L21</f>
        <v>9.7840733333343088E-4</v>
      </c>
      <c r="O21" s="226"/>
      <c r="P21" s="231">
        <f ca="1">bdrate(L18:L21,D18:D21,M18:M21,H18:H21)</f>
        <v>1.4123696473198333E-3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112.233456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40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27.668527999999998</v>
      </c>
      <c r="I29" s="10"/>
      <c r="J29" s="228">
        <f ca="1">H29/D29-1</f>
        <v>7.6931100571591138E-3</v>
      </c>
      <c r="L29" s="74">
        <f ca="1">INDIRECT($B29&amp;"!"&amp;L$3&amp;"5")</f>
        <v>0.97327361047619032</v>
      </c>
      <c r="M29" s="75">
        <f ca="1">INDIRECT($B29&amp;"!"&amp;M$3&amp;"5")</f>
        <v>0.97380925238095217</v>
      </c>
      <c r="N29" s="76">
        <f ca="1">M29-L29</f>
        <v>5.3564190476185214E-4</v>
      </c>
      <c r="O29" s="226"/>
      <c r="P29" s="228">
        <f ca="1">bdrate(D29:D32,L29:L32,H29:H32,M29:M32)</f>
        <v>-1.6872598783839288E-2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40.101616</v>
      </c>
      <c r="I30" s="10"/>
      <c r="J30" s="228">
        <f ca="1">H30/D30-1</f>
        <v>9.3080120826163348E-3</v>
      </c>
      <c r="L30" s="74">
        <f ca="1">INDIRECT($B30&amp;"!"&amp;L$3&amp;"6")</f>
        <v>0.98426155285714267</v>
      </c>
      <c r="M30" s="75">
        <f ca="1">INDIRECT($B30&amp;"!"&amp;M$3&amp;"6")</f>
        <v>0.98472835809523807</v>
      </c>
      <c r="N30" s="76">
        <f ca="1">M30-L30</f>
        <v>4.6680523809539132E-4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59.786320000000011</v>
      </c>
      <c r="I31" s="10"/>
      <c r="J31" s="228">
        <f ca="1">H31/D31-1</f>
        <v>3.9349822501295595E-3</v>
      </c>
      <c r="L31" s="74">
        <f ca="1">INDIRECT($B31&amp;"!"&amp;L$3&amp;"7")</f>
        <v>0.99228081523809508</v>
      </c>
      <c r="M31" s="75">
        <f ca="1">INDIRECT($B31&amp;"!"&amp;M$3&amp;"7")</f>
        <v>0.99275222904761917</v>
      </c>
      <c r="N31" s="76">
        <f ca="1">M31-L31</f>
        <v>4.7141380952409051E-4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87.090271999999999</v>
      </c>
      <c r="I32" s="10"/>
      <c r="J32" s="228">
        <f ca="1">H32/D32-1</f>
        <v>1.1344545697662411E-3</v>
      </c>
      <c r="L32" s="74">
        <f ca="1">INDIRECT($B32&amp;"!"&amp;L$3&amp;"8")</f>
        <v>0.99594449714285727</v>
      </c>
      <c r="M32" s="75">
        <f ca="1">INDIRECT($B32&amp;"!"&amp;M$3&amp;"8")</f>
        <v>0.99652747333333325</v>
      </c>
      <c r="N32" s="76">
        <f ca="1">M32-L32</f>
        <v>5.8297619047598115E-4</v>
      </c>
      <c r="O32" s="226"/>
      <c r="P32" s="231">
        <f ca="1">bdrate(L29:L32,D29:D32,M29:M32,H29:H32)</f>
        <v>3.9669867233915745E-4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87.090271999999999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40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28.538847999999998</v>
      </c>
      <c r="I40" s="10"/>
      <c r="J40" s="228">
        <f ca="1">H40/D40-1</f>
        <v>7.8398556223489013E-3</v>
      </c>
      <c r="L40" s="74">
        <f ca="1">INDIRECT($B40&amp;"!"&amp;L$3&amp;"5")</f>
        <v>0.9725471133333331</v>
      </c>
      <c r="M40" s="75">
        <f ca="1">INDIRECT($B40&amp;"!"&amp;M$3&amp;"5")</f>
        <v>0.9735054185714288</v>
      </c>
      <c r="N40" s="76">
        <f ca="1">M40-L40</f>
        <v>9.5830523809570245E-4</v>
      </c>
      <c r="O40" s="226"/>
      <c r="P40" s="228">
        <f ca="1">bdrate(D40:D43,L40:L43,H40:H43,M40:M43)</f>
        <v>-2.7905062297591599E-2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41.508255999999996</v>
      </c>
      <c r="I41" s="10"/>
      <c r="J41" s="228">
        <f ca="1">H41/D41-1</f>
        <v>9.282972916719201E-3</v>
      </c>
      <c r="L41" s="74">
        <f ca="1">INDIRECT($B41&amp;"!"&amp;L$3&amp;"6")</f>
        <v>0.98376468238095238</v>
      </c>
      <c r="M41" s="75">
        <f ca="1">INDIRECT($B41&amp;"!"&amp;M$3&amp;"6")</f>
        <v>0.98459050904761913</v>
      </c>
      <c r="N41" s="76">
        <f ca="1">M41-L41</f>
        <v>8.2582666666675131E-4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62.103111999999996</v>
      </c>
      <c r="I42" s="10"/>
      <c r="J42" s="228">
        <f ca="1">H42/D42-1</f>
        <v>3.8482477340997523E-3</v>
      </c>
      <c r="L42" s="74">
        <f ca="1">INDIRECT($B42&amp;"!"&amp;L$3&amp;"7")</f>
        <v>0.99210457047619049</v>
      </c>
      <c r="M42" s="75">
        <f ca="1">INDIRECT($B42&amp;"!"&amp;M$3&amp;"7")</f>
        <v>0.99264497571428578</v>
      </c>
      <c r="N42" s="76">
        <f ca="1">M42-L42</f>
        <v>5.4040523809528729E-4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90.507136000000003</v>
      </c>
      <c r="I43" s="10"/>
      <c r="J43" s="228">
        <f ca="1">H43/D43-1</f>
        <v>9.9954919862188518E-4</v>
      </c>
      <c r="L43" s="74">
        <f ca="1">INDIRECT($B43&amp;"!"&amp;L$3&amp;"8")</f>
        <v>0.99578089857142849</v>
      </c>
      <c r="M43" s="75">
        <f ca="1">INDIRECT($B43&amp;"!"&amp;M$3&amp;"8")</f>
        <v>0.99643639190476174</v>
      </c>
      <c r="N43" s="76">
        <f ca="1">M43-L43</f>
        <v>6.5549333333325688E-4</v>
      </c>
      <c r="O43" s="226"/>
      <c r="P43" s="231">
        <f ca="1">bdrate(L40:L43,D40:D43,M40:M43,H40:H43)</f>
        <v>5.7738799632978122E-4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90.507136000000003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40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40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40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40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40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40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8" t="str">
        <f>'Summary (auto)'!C3</f>
        <v>MPEG-151</v>
      </c>
      <c r="C2" s="279"/>
      <c r="D2" s="279"/>
      <c r="E2" s="201"/>
      <c r="F2" s="288" t="str">
        <f>'Summary (auto)'!C4</f>
        <v>my</v>
      </c>
      <c r="G2" s="279"/>
      <c r="H2" s="279"/>
      <c r="I2" s="211"/>
      <c r="J2" s="212" t="s">
        <v>15</v>
      </c>
      <c r="K2" s="211"/>
      <c r="L2" s="284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1" t="s">
        <v>10</v>
      </c>
      <c r="C4" s="282"/>
      <c r="D4" s="283"/>
      <c r="E4" s="3"/>
      <c r="F4" s="281" t="str">
        <f>B4</f>
        <v>breakfast_track</v>
      </c>
      <c r="G4" s="282"/>
      <c r="H4" s="283"/>
      <c r="I4" s="3"/>
      <c r="J4" s="213"/>
      <c r="L4" s="285" t="str">
        <f>F4</f>
        <v>breakfast_track</v>
      </c>
      <c r="M4" s="282"/>
      <c r="N4" s="283"/>
      <c r="O4" s="181"/>
      <c r="P4" s="213"/>
      <c r="Q4" s="181"/>
      <c r="R4" s="181"/>
      <c r="S4" s="181"/>
      <c r="T4" s="181"/>
      <c r="U4" s="211"/>
      <c r="V4" s="211"/>
      <c r="X4" s="280"/>
      <c r="Y4" s="279"/>
      <c r="Z4" s="279"/>
    </row>
    <row r="5" spans="1:32" x14ac:dyDescent="0.25">
      <c r="B5" s="278" t="s">
        <v>20</v>
      </c>
      <c r="C5" s="279"/>
      <c r="D5" s="69" t="s">
        <v>21</v>
      </c>
      <c r="E5" s="226"/>
      <c r="F5" s="278" t="s">
        <v>20</v>
      </c>
      <c r="G5" s="279"/>
      <c r="H5" s="69" t="s">
        <v>21</v>
      </c>
      <c r="I5" s="10"/>
      <c r="J5" s="214" t="s">
        <v>22</v>
      </c>
      <c r="L5" s="286" t="s">
        <v>40</v>
      </c>
      <c r="M5" s="279"/>
      <c r="N5" s="287"/>
      <c r="O5" s="67"/>
      <c r="P5" s="4"/>
      <c r="Q5" s="67"/>
      <c r="R5" s="284"/>
      <c r="S5" s="279"/>
      <c r="T5" s="279"/>
      <c r="U5" s="212"/>
      <c r="V5" s="212"/>
      <c r="X5" s="284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37.261919999999989</v>
      </c>
      <c r="I7" s="10"/>
      <c r="J7" s="228">
        <f ca="1">H7/D7-1</f>
        <v>6.1686897734023471E-3</v>
      </c>
      <c r="L7" s="74">
        <f ca="1">INDIRECT($B7&amp;"!"&amp;L$3&amp;"5")</f>
        <v>6.6124997733333329E-2</v>
      </c>
      <c r="M7" s="75">
        <f ca="1">INDIRECT($B7&amp;"!"&amp;M$3&amp;"5")</f>
        <v>5.6483739399999996E-2</v>
      </c>
      <c r="N7" s="76">
        <f ca="1">M7-L7</f>
        <v>-9.6412583333333329E-3</v>
      </c>
      <c r="O7" s="226"/>
      <c r="P7" s="228">
        <f ca="1">bdrate(D7:D10,L7:L10,H7:H10,M7:M10)</f>
        <v>0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53.557663999999995</v>
      </c>
      <c r="I8" s="10"/>
      <c r="J8" s="228">
        <f ca="1">H8/D8-1</f>
        <v>5.9022517867375335E-3</v>
      </c>
      <c r="L8" s="74">
        <f ca="1">INDIRECT($B8&amp;"!"&amp;L$3&amp;"6")</f>
        <v>4.1026583800000009E-2</v>
      </c>
      <c r="M8" s="75">
        <f ca="1">INDIRECT($B8&amp;"!"&amp;M$3&amp;"6")</f>
        <v>3.2345189933333331E-2</v>
      </c>
      <c r="N8" s="76">
        <f ca="1">M8-L8</f>
        <v>-8.6813938666666784E-3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77.018511999999987</v>
      </c>
      <c r="I9" s="10"/>
      <c r="J9" s="228">
        <f ca="1">H9/D9-1</f>
        <v>3.1935045782036653E-3</v>
      </c>
      <c r="L9" s="74">
        <f ca="1">INDIRECT($B9&amp;"!"&amp;L$3&amp;"7")</f>
        <v>2.4438632800000002E-2</v>
      </c>
      <c r="M9" s="75">
        <f ca="1">INDIRECT($B9&amp;"!"&amp;M$3&amp;"7")</f>
        <v>1.5874248466666668E-2</v>
      </c>
      <c r="N9" s="76">
        <f ca="1">M9-L9</f>
        <v>-8.5643843333333344E-3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108.96416799999999</v>
      </c>
      <c r="I10" s="10"/>
      <c r="J10" s="228">
        <f ca="1">H10/D10-1</f>
        <v>9.3770018447547621E-4</v>
      </c>
      <c r="L10" s="74">
        <f ca="1">INDIRECT($B10&amp;"!"&amp;L$3&amp;"8")</f>
        <v>1.7444335733333333E-2</v>
      </c>
      <c r="M10" s="75">
        <f ca="1">INDIRECT($B10&amp;"!"&amp;M$3&amp;"8")</f>
        <v>9.0151280266666679E-3</v>
      </c>
      <c r="N10" s="76">
        <f ca="1">M10-L10</f>
        <v>-8.4292077066666655E-3</v>
      </c>
      <c r="O10" s="226"/>
      <c r="P10" s="231">
        <f ca="1">bdrate(L7:L10,D7:D10,M7:M10,H7:H10)</f>
        <v>-0.32457321578732345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37.033472000000003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108.96416799999999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1" t="s">
        <v>11</v>
      </c>
      <c r="C15" s="282"/>
      <c r="D15" s="283"/>
      <c r="E15" s="3"/>
      <c r="F15" s="281" t="str">
        <f>B15</f>
        <v>breakfast_semitrack</v>
      </c>
      <c r="G15" s="282"/>
      <c r="H15" s="283"/>
      <c r="I15" s="3"/>
      <c r="J15" s="213"/>
      <c r="L15" s="285" t="str">
        <f>F15</f>
        <v>breakfast_semitrack</v>
      </c>
      <c r="M15" s="282"/>
      <c r="N15" s="283"/>
      <c r="O15" s="181"/>
      <c r="P15" s="213"/>
      <c r="Q15" s="181"/>
      <c r="R15" s="181"/>
      <c r="S15" s="181"/>
      <c r="T15" s="181"/>
      <c r="U15" s="211"/>
      <c r="V15" s="211"/>
      <c r="X15" s="280"/>
      <c r="Y15" s="279"/>
      <c r="Z15" s="279"/>
    </row>
    <row r="16" spans="1:32" x14ac:dyDescent="0.25">
      <c r="B16" s="278" t="s">
        <v>20</v>
      </c>
      <c r="C16" s="279"/>
      <c r="D16" s="69" t="s">
        <v>21</v>
      </c>
      <c r="E16" s="226"/>
      <c r="F16" s="278" t="s">
        <v>20</v>
      </c>
      <c r="G16" s="279"/>
      <c r="H16" s="69" t="s">
        <v>21</v>
      </c>
      <c r="I16" s="10"/>
      <c r="J16" s="214" t="s">
        <v>22</v>
      </c>
      <c r="L16" s="286" t="s">
        <v>40</v>
      </c>
      <c r="M16" s="279"/>
      <c r="N16" s="287"/>
      <c r="O16" s="67"/>
      <c r="P16" s="4"/>
      <c r="Q16" s="67"/>
      <c r="R16" s="284"/>
      <c r="S16" s="279"/>
      <c r="T16" s="279"/>
      <c r="U16" s="212"/>
      <c r="V16" s="212"/>
      <c r="X16" s="284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38.189176000000003</v>
      </c>
      <c r="I18" s="10"/>
      <c r="J18" s="228">
        <f ca="1">H18/D18-1</f>
        <v>6.4294811613629932E-3</v>
      </c>
      <c r="L18" s="74">
        <f ca="1">INDIRECT($B18&amp;"!"&amp;L$3&amp;"5")</f>
        <v>6.8758821599999992E-2</v>
      </c>
      <c r="M18" s="75">
        <f ca="1">INDIRECT($B18&amp;"!"&amp;M$3&amp;"5")</f>
        <v>5.7653934866666666E-2</v>
      </c>
      <c r="N18" s="76">
        <f ca="1">M18-L18</f>
        <v>-1.1104886733333326E-2</v>
      </c>
      <c r="O18" s="226"/>
      <c r="P18" s="228">
        <f ca="1">bdrate(D18:D21,L18:L21,H18:H21,M18:M21)</f>
        <v>0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55.003951999999998</v>
      </c>
      <c r="I19" s="10"/>
      <c r="J19" s="228">
        <f ca="1">H19/D19-1</f>
        <v>5.8956612217118121E-3</v>
      </c>
      <c r="L19" s="74">
        <f ca="1">INDIRECT($B19&amp;"!"&amp;L$3&amp;"6")</f>
        <v>4.2517676533333333E-2</v>
      </c>
      <c r="M19" s="75">
        <f ca="1">INDIRECT($B19&amp;"!"&amp;M$3&amp;"6")</f>
        <v>3.2993913999999999E-2</v>
      </c>
      <c r="N19" s="76">
        <f ca="1">M19-L19</f>
        <v>-9.5237625333333339E-3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79.280384000000026</v>
      </c>
      <c r="I20" s="10"/>
      <c r="J20" s="228">
        <f ca="1">H20/D20-1</f>
        <v>3.031244929833532E-3</v>
      </c>
      <c r="L20" s="74">
        <f ca="1">INDIRECT($B20&amp;"!"&amp;L$3&amp;"7")</f>
        <v>2.4925761000000001E-2</v>
      </c>
      <c r="M20" s="75">
        <f ca="1">INDIRECT($B20&amp;"!"&amp;M$3&amp;"7")</f>
        <v>1.6347793166666666E-2</v>
      </c>
      <c r="N20" s="76">
        <f ca="1">M20-L20</f>
        <v>-8.5779678333333352E-3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112.233456</v>
      </c>
      <c r="I21" s="10"/>
      <c r="J21" s="228">
        <f ca="1">H21/D21-1</f>
        <v>7.9547548439595772E-4</v>
      </c>
      <c r="L21" s="74">
        <f ca="1">INDIRECT($B21&amp;"!"&amp;L$3&amp;"8")</f>
        <v>1.8274979066666665E-2</v>
      </c>
      <c r="M21" s="75">
        <f ca="1">INDIRECT($B21&amp;"!"&amp;M$3&amp;"8")</f>
        <v>9.7067375000000015E-3</v>
      </c>
      <c r="N21" s="76">
        <f ca="1">M21-L21</f>
        <v>-8.568241566666664E-3</v>
      </c>
      <c r="O21" s="226"/>
      <c r="P21" s="231">
        <f ca="1">bdrate(L18:L21,D18:D21,M18:M21,H18:H21)</f>
        <v>-0.32223826155269464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37.945208000000001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112.233456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1" t="s">
        <v>12</v>
      </c>
      <c r="C26" s="282"/>
      <c r="D26" s="283"/>
      <c r="E26" s="3"/>
      <c r="F26" s="281" t="str">
        <f>B26</f>
        <v>cinema_track</v>
      </c>
      <c r="G26" s="282"/>
      <c r="H26" s="283"/>
      <c r="I26" s="3"/>
      <c r="J26" s="213"/>
      <c r="L26" s="285" t="str">
        <f>F26</f>
        <v>cinema_track</v>
      </c>
      <c r="M26" s="282"/>
      <c r="N26" s="283"/>
      <c r="O26" s="181"/>
      <c r="P26" s="213"/>
      <c r="U26" s="211"/>
      <c r="V26" s="211"/>
      <c r="X26" s="280"/>
      <c r="Y26" s="279"/>
      <c r="Z26" s="279"/>
    </row>
    <row r="27" spans="2:28" x14ac:dyDescent="0.25">
      <c r="B27" s="278" t="s">
        <v>20</v>
      </c>
      <c r="C27" s="279"/>
      <c r="D27" s="69" t="s">
        <v>21</v>
      </c>
      <c r="E27" s="226"/>
      <c r="F27" s="278" t="s">
        <v>20</v>
      </c>
      <c r="G27" s="279"/>
      <c r="H27" s="69" t="s">
        <v>21</v>
      </c>
      <c r="I27" s="10"/>
      <c r="J27" s="214" t="s">
        <v>22</v>
      </c>
      <c r="L27" s="286" t="s">
        <v>40</v>
      </c>
      <c r="M27" s="279"/>
      <c r="N27" s="287"/>
      <c r="O27" s="67"/>
      <c r="P27" s="4"/>
      <c r="R27" s="284"/>
      <c r="S27" s="279"/>
      <c r="T27" s="279"/>
      <c r="U27" s="212"/>
      <c r="V27" s="212"/>
      <c r="X27" s="284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27.668527999999998</v>
      </c>
      <c r="I29" s="10"/>
      <c r="J29" s="228">
        <f ca="1">H29/D29-1</f>
        <v>7.6931100571591138E-3</v>
      </c>
      <c r="L29" s="74">
        <f ca="1">INDIRECT($B29&amp;"!"&amp;L$3&amp;"5")</f>
        <v>6.4074182428571436E-2</v>
      </c>
      <c r="M29" s="75">
        <f ca="1">INDIRECT($B29&amp;"!"&amp;M$3&amp;"5")</f>
        <v>5.6582082571428577E-2</v>
      </c>
      <c r="N29" s="76">
        <f ca="1">M29-L29</f>
        <v>-7.4920998571428588E-3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40.101616</v>
      </c>
      <c r="I30" s="10"/>
      <c r="J30" s="228">
        <f ca="1">H30/D30-1</f>
        <v>9.3080120826163348E-3</v>
      </c>
      <c r="L30" s="74">
        <f ca="1">INDIRECT($B30&amp;"!"&amp;L$3&amp;"6")</f>
        <v>4.3200263047619043E-2</v>
      </c>
      <c r="M30" s="75">
        <f ca="1">INDIRECT($B30&amp;"!"&amp;M$3&amp;"6")</f>
        <v>3.7005951619047614E-2</v>
      </c>
      <c r="N30" s="76">
        <f ca="1">M30-L30</f>
        <v>-6.1943114285714293E-3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59.786320000000011</v>
      </c>
      <c r="I31" s="10"/>
      <c r="J31" s="228">
        <f ca="1">H31/D31-1</f>
        <v>3.9349822501295595E-3</v>
      </c>
      <c r="L31" s="74">
        <f ca="1">INDIRECT($B31&amp;"!"&amp;L$3&amp;"7")</f>
        <v>2.7228831333333335E-2</v>
      </c>
      <c r="M31" s="75">
        <f ca="1">INDIRECT($B31&amp;"!"&amp;M$3&amp;"7")</f>
        <v>2.0685357047619053E-2</v>
      </c>
      <c r="N31" s="76">
        <f ca="1">M31-L31</f>
        <v>-6.5434742857142826E-3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87.090271999999999</v>
      </c>
      <c r="I32" s="10"/>
      <c r="J32" s="228">
        <f ca="1">H32/D32-1</f>
        <v>1.1344545697662411E-3</v>
      </c>
      <c r="L32" s="74">
        <f ca="1">INDIRECT($B32&amp;"!"&amp;L$3&amp;"8")</f>
        <v>1.4458101000000004E-2</v>
      </c>
      <c r="M32" s="75">
        <f ca="1">INDIRECT($B32&amp;"!"&amp;M$3&amp;"8")</f>
        <v>8.7995432857142872E-3</v>
      </c>
      <c r="N32" s="76">
        <f ca="1">M32-L32</f>
        <v>-5.6585577142857172E-3</v>
      </c>
      <c r="O32" s="226"/>
      <c r="P32" s="231">
        <f ca="1">bdrate(L29:L32,D29:D32,M29:M32,H29:H32)</f>
        <v>-0.23398167915202439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27.457296000000003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87.090271999999999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1" t="s">
        <v>13</v>
      </c>
      <c r="C37" s="282"/>
      <c r="D37" s="283"/>
      <c r="E37" s="3"/>
      <c r="F37" s="281" t="str">
        <f>B37</f>
        <v>cinema_semitrack</v>
      </c>
      <c r="G37" s="282"/>
      <c r="H37" s="283"/>
      <c r="I37" s="3"/>
      <c r="J37" s="213"/>
      <c r="L37" s="285" t="str">
        <f>F37</f>
        <v>cinema_semitrack</v>
      </c>
      <c r="M37" s="282"/>
      <c r="N37" s="283"/>
      <c r="O37" s="181"/>
      <c r="P37" s="213"/>
      <c r="U37" s="211"/>
      <c r="V37" s="211"/>
      <c r="X37" s="280"/>
      <c r="Y37" s="279"/>
      <c r="Z37" s="279"/>
    </row>
    <row r="38" spans="2:28" x14ac:dyDescent="0.25">
      <c r="B38" s="278" t="s">
        <v>20</v>
      </c>
      <c r="C38" s="279"/>
      <c r="D38" s="69" t="s">
        <v>21</v>
      </c>
      <c r="E38" s="226"/>
      <c r="F38" s="278" t="s">
        <v>20</v>
      </c>
      <c r="G38" s="279"/>
      <c r="H38" s="69" t="s">
        <v>21</v>
      </c>
      <c r="I38" s="10"/>
      <c r="J38" s="214" t="s">
        <v>22</v>
      </c>
      <c r="L38" s="286" t="s">
        <v>40</v>
      </c>
      <c r="M38" s="279"/>
      <c r="N38" s="287"/>
      <c r="O38" s="67"/>
      <c r="P38" s="4"/>
      <c r="R38" s="284"/>
      <c r="S38" s="279"/>
      <c r="T38" s="279"/>
      <c r="U38" s="212"/>
      <c r="V38" s="212"/>
      <c r="X38" s="284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28.538847999999998</v>
      </c>
      <c r="I40" s="10"/>
      <c r="J40" s="228">
        <f ca="1">H40/D40-1</f>
        <v>7.8398556223489013E-3</v>
      </c>
      <c r="L40" s="74">
        <f ca="1">INDIRECT($B40&amp;"!"&amp;L$3&amp;"5")</f>
        <v>6.5973396238095255E-2</v>
      </c>
      <c r="M40" s="75">
        <f ca="1">INDIRECT($B40&amp;"!"&amp;M$3&amp;"5")</f>
        <v>5.7035352238095242E-2</v>
      </c>
      <c r="N40" s="76">
        <f ca="1">M40-L40</f>
        <v>-8.938044000000013E-3</v>
      </c>
      <c r="O40" s="226"/>
      <c r="P40" s="228">
        <f ca="1">bdrate(D40:D43,L40:L43,H40:H43,M40:M43)</f>
        <v>0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41.508255999999996</v>
      </c>
      <c r="I41" s="10"/>
      <c r="J41" s="228">
        <f ca="1">H41/D41-1</f>
        <v>9.282972916719201E-3</v>
      </c>
      <c r="L41" s="74">
        <f ca="1">INDIRECT($B41&amp;"!"&amp;L$3&amp;"6")</f>
        <v>4.448833447619048E-2</v>
      </c>
      <c r="M41" s="75">
        <f ca="1">INDIRECT($B41&amp;"!"&amp;M$3&amp;"6")</f>
        <v>3.7234894333333331E-2</v>
      </c>
      <c r="N41" s="76">
        <f ca="1">M41-L41</f>
        <v>-7.2534401428571496E-3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62.103111999999996</v>
      </c>
      <c r="I42" s="10"/>
      <c r="J42" s="228">
        <f ca="1">H42/D42-1</f>
        <v>3.8482477340997523E-3</v>
      </c>
      <c r="L42" s="74">
        <f ca="1">INDIRECT($B42&amp;"!"&amp;L$3&amp;"7")</f>
        <v>2.7850360190476191E-2</v>
      </c>
      <c r="M42" s="75">
        <f ca="1">INDIRECT($B42&amp;"!"&amp;M$3&amp;"7")</f>
        <v>2.0739478904761906E-2</v>
      </c>
      <c r="N42" s="76">
        <f ca="1">M42-L42</f>
        <v>-7.110881285714285E-3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90.507136000000003</v>
      </c>
      <c r="I43" s="10"/>
      <c r="J43" s="228">
        <f ca="1">H43/D43-1</f>
        <v>9.9954919862188518E-4</v>
      </c>
      <c r="L43" s="74">
        <f ca="1">INDIRECT($B43&amp;"!"&amp;L$3&amp;"8")</f>
        <v>1.5608584595238097E-2</v>
      </c>
      <c r="M43" s="75">
        <f ca="1">INDIRECT($B43&amp;"!"&amp;M$3&amp;"8")</f>
        <v>9.0903787142857153E-3</v>
      </c>
      <c r="N43" s="76">
        <f ca="1">M43-L43</f>
        <v>-6.5182058809523814E-3</v>
      </c>
      <c r="O43" s="226"/>
      <c r="P43" s="231">
        <f ca="1">bdrate(L40:L43,D40:D43,M40:M43,H40:H43)</f>
        <v>-0.25304790236605279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28.316848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90.507136000000003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1"/>
      <c r="C48" s="282"/>
      <c r="D48" s="283"/>
      <c r="E48" s="3"/>
      <c r="F48" s="281">
        <f>B48</f>
        <v>0</v>
      </c>
      <c r="G48" s="282"/>
      <c r="H48" s="283"/>
      <c r="I48" s="3"/>
      <c r="J48" s="213"/>
      <c r="L48" s="285">
        <f>F48</f>
        <v>0</v>
      </c>
      <c r="M48" s="282"/>
      <c r="N48" s="283"/>
      <c r="O48" s="181"/>
      <c r="P48" s="213"/>
      <c r="U48" s="211"/>
      <c r="V48" s="211"/>
      <c r="X48" s="280"/>
      <c r="Y48" s="279"/>
      <c r="Z48" s="279"/>
    </row>
    <row r="49" spans="2:28" x14ac:dyDescent="0.25">
      <c r="B49" s="278" t="s">
        <v>20</v>
      </c>
      <c r="C49" s="279"/>
      <c r="D49" s="69" t="s">
        <v>21</v>
      </c>
      <c r="E49" s="226"/>
      <c r="F49" s="278" t="s">
        <v>20</v>
      </c>
      <c r="G49" s="279"/>
      <c r="H49" s="69" t="s">
        <v>21</v>
      </c>
      <c r="I49" s="10"/>
      <c r="J49" s="214" t="s">
        <v>22</v>
      </c>
      <c r="L49" s="286" t="s">
        <v>40</v>
      </c>
      <c r="M49" s="279"/>
      <c r="N49" s="287"/>
      <c r="O49" s="67"/>
      <c r="P49" s="4"/>
      <c r="R49" s="284"/>
      <c r="S49" s="279"/>
      <c r="T49" s="279"/>
      <c r="U49" s="212"/>
      <c r="V49" s="212"/>
      <c r="X49" s="284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1"/>
      <c r="C59" s="282"/>
      <c r="D59" s="283"/>
      <c r="E59" s="3"/>
      <c r="F59" s="281">
        <f>B59</f>
        <v>0</v>
      </c>
      <c r="G59" s="282"/>
      <c r="H59" s="283"/>
      <c r="I59" s="3"/>
      <c r="J59" s="213"/>
      <c r="L59" s="285">
        <f>F59</f>
        <v>0</v>
      </c>
      <c r="M59" s="282"/>
      <c r="N59" s="283"/>
      <c r="O59" s="181"/>
      <c r="P59" s="213"/>
      <c r="U59" s="211"/>
      <c r="V59" s="211"/>
      <c r="X59" s="280"/>
      <c r="Y59" s="279"/>
      <c r="Z59" s="279"/>
    </row>
    <row r="60" spans="2:28" x14ac:dyDescent="0.25">
      <c r="B60" s="278" t="s">
        <v>20</v>
      </c>
      <c r="C60" s="279"/>
      <c r="D60" s="69" t="s">
        <v>21</v>
      </c>
      <c r="E60" s="226"/>
      <c r="F60" s="278" t="s">
        <v>20</v>
      </c>
      <c r="G60" s="279"/>
      <c r="H60" s="69" t="s">
        <v>21</v>
      </c>
      <c r="I60" s="10"/>
      <c r="J60" s="214" t="s">
        <v>22</v>
      </c>
      <c r="L60" s="286" t="s">
        <v>40</v>
      </c>
      <c r="M60" s="279"/>
      <c r="N60" s="287"/>
      <c r="O60" s="67"/>
      <c r="P60" s="4"/>
      <c r="R60" s="284"/>
      <c r="S60" s="279"/>
      <c r="T60" s="279"/>
      <c r="U60" s="212"/>
      <c r="V60" s="212"/>
      <c r="X60" s="284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1"/>
      <c r="C70" s="282"/>
      <c r="D70" s="283"/>
      <c r="E70" s="3"/>
      <c r="F70" s="281">
        <f>B70</f>
        <v>0</v>
      </c>
      <c r="G70" s="282"/>
      <c r="H70" s="283"/>
      <c r="I70" s="3"/>
      <c r="J70" s="213"/>
      <c r="L70" s="285">
        <f>F70</f>
        <v>0</v>
      </c>
      <c r="M70" s="282"/>
      <c r="N70" s="283"/>
      <c r="O70" s="181"/>
      <c r="P70" s="213"/>
      <c r="U70" s="211"/>
      <c r="V70" s="211"/>
      <c r="X70" s="280"/>
      <c r="Y70" s="279"/>
      <c r="Z70" s="279"/>
    </row>
    <row r="71" spans="2:28" x14ac:dyDescent="0.25">
      <c r="B71" s="278" t="s">
        <v>20</v>
      </c>
      <c r="C71" s="279"/>
      <c r="D71" s="69" t="s">
        <v>21</v>
      </c>
      <c r="E71" s="226"/>
      <c r="F71" s="278" t="s">
        <v>20</v>
      </c>
      <c r="G71" s="279"/>
      <c r="H71" s="69" t="s">
        <v>21</v>
      </c>
      <c r="I71" s="10"/>
      <c r="J71" s="214" t="s">
        <v>22</v>
      </c>
      <c r="L71" s="286" t="s">
        <v>40</v>
      </c>
      <c r="M71" s="279"/>
      <c r="N71" s="287"/>
      <c r="O71" s="67"/>
      <c r="P71" s="4"/>
      <c r="R71" s="284"/>
      <c r="S71" s="279"/>
      <c r="T71" s="279"/>
      <c r="U71" s="212"/>
      <c r="V71" s="212"/>
      <c r="X71" s="284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1"/>
      <c r="C81" s="282"/>
      <c r="D81" s="283"/>
      <c r="E81" s="3"/>
      <c r="F81" s="281">
        <f>B81</f>
        <v>0</v>
      </c>
      <c r="G81" s="282"/>
      <c r="H81" s="283"/>
      <c r="I81" s="3"/>
      <c r="J81" s="213"/>
      <c r="L81" s="285">
        <f>F81</f>
        <v>0</v>
      </c>
      <c r="M81" s="282"/>
      <c r="N81" s="283"/>
      <c r="O81" s="181"/>
      <c r="P81" s="213"/>
      <c r="U81" s="211"/>
      <c r="V81" s="211"/>
      <c r="X81" s="280"/>
      <c r="Y81" s="279"/>
      <c r="Z81" s="279"/>
    </row>
    <row r="82" spans="2:28" x14ac:dyDescent="0.25">
      <c r="B82" s="278" t="s">
        <v>20</v>
      </c>
      <c r="C82" s="279"/>
      <c r="D82" s="69" t="s">
        <v>21</v>
      </c>
      <c r="E82" s="226"/>
      <c r="F82" s="278" t="s">
        <v>20</v>
      </c>
      <c r="G82" s="279"/>
      <c r="H82" s="69" t="s">
        <v>21</v>
      </c>
      <c r="I82" s="10"/>
      <c r="J82" s="214" t="s">
        <v>22</v>
      </c>
      <c r="L82" s="286" t="s">
        <v>40</v>
      </c>
      <c r="M82" s="279"/>
      <c r="N82" s="287"/>
      <c r="O82" s="67"/>
      <c r="P82" s="4"/>
      <c r="R82" s="284"/>
      <c r="S82" s="279"/>
      <c r="T82" s="279"/>
      <c r="U82" s="212"/>
      <c r="V82" s="212"/>
      <c r="X82" s="284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1"/>
      <c r="C92" s="282"/>
      <c r="D92" s="283"/>
      <c r="E92" s="3"/>
      <c r="F92" s="281">
        <f>B92</f>
        <v>0</v>
      </c>
      <c r="G92" s="282"/>
      <c r="H92" s="283"/>
      <c r="I92" s="3"/>
      <c r="J92" s="213"/>
      <c r="L92" s="285">
        <f>F92</f>
        <v>0</v>
      </c>
      <c r="M92" s="282"/>
      <c r="N92" s="283"/>
      <c r="O92" s="181"/>
      <c r="P92" s="213"/>
      <c r="U92" s="211"/>
      <c r="V92" s="211"/>
      <c r="X92" s="280"/>
      <c r="Y92" s="279"/>
      <c r="Z92" s="279"/>
    </row>
    <row r="93" spans="2:28" x14ac:dyDescent="0.25">
      <c r="B93" s="278" t="s">
        <v>20</v>
      </c>
      <c r="C93" s="279"/>
      <c r="D93" s="69" t="s">
        <v>21</v>
      </c>
      <c r="E93" s="226"/>
      <c r="F93" s="278" t="s">
        <v>20</v>
      </c>
      <c r="G93" s="279"/>
      <c r="H93" s="69" t="s">
        <v>21</v>
      </c>
      <c r="I93" s="10"/>
      <c r="J93" s="214" t="s">
        <v>22</v>
      </c>
      <c r="L93" s="286" t="s">
        <v>40</v>
      </c>
      <c r="M93" s="279"/>
      <c r="N93" s="287"/>
      <c r="O93" s="67"/>
      <c r="P93" s="4"/>
      <c r="R93" s="284"/>
      <c r="S93" s="279"/>
      <c r="T93" s="279"/>
      <c r="U93" s="212"/>
      <c r="V93" s="212"/>
      <c r="X93" s="284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1"/>
      <c r="C103" s="282"/>
      <c r="D103" s="283"/>
      <c r="E103" s="3"/>
      <c r="F103" s="281">
        <f>B103</f>
        <v>0</v>
      </c>
      <c r="G103" s="282"/>
      <c r="H103" s="283"/>
      <c r="I103" s="3"/>
      <c r="J103" s="213"/>
      <c r="L103" s="285">
        <f>F103</f>
        <v>0</v>
      </c>
      <c r="M103" s="282"/>
      <c r="N103" s="283"/>
      <c r="O103" s="181"/>
      <c r="P103" s="213"/>
      <c r="U103" s="211"/>
      <c r="V103" s="211"/>
      <c r="X103" s="280"/>
      <c r="Y103" s="279"/>
      <c r="Z103" s="279"/>
    </row>
    <row r="104" spans="2:28" x14ac:dyDescent="0.25">
      <c r="B104" s="278" t="s">
        <v>20</v>
      </c>
      <c r="C104" s="279"/>
      <c r="D104" s="69" t="s">
        <v>21</v>
      </c>
      <c r="E104" s="226"/>
      <c r="F104" s="278" t="s">
        <v>20</v>
      </c>
      <c r="G104" s="279"/>
      <c r="H104" s="69" t="s">
        <v>21</v>
      </c>
      <c r="I104" s="10"/>
      <c r="J104" s="214" t="s">
        <v>22</v>
      </c>
      <c r="L104" s="286" t="s">
        <v>40</v>
      </c>
      <c r="M104" s="279"/>
      <c r="N104" s="287"/>
      <c r="O104" s="67"/>
      <c r="P104" s="4"/>
      <c r="R104" s="284"/>
      <c r="S104" s="279"/>
      <c r="T104" s="279"/>
      <c r="U104" s="212"/>
      <c r="V104" s="212"/>
      <c r="X104" s="284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breakfast_track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breakfast_track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37261.919999999991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27.991566133333333</v>
      </c>
      <c r="Y5" s="30">
        <f t="shared" si="2"/>
        <v>33.854797999999995</v>
      </c>
      <c r="Z5" s="30">
        <f t="shared" si="2"/>
        <v>0.95816603999999994</v>
      </c>
      <c r="AA5" s="91">
        <f t="shared" si="2"/>
        <v>0.95643100733333319</v>
      </c>
      <c r="AB5" s="91">
        <f t="shared" si="2"/>
        <v>5.6483739399999996E-2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-0.12379125555645676</v>
      </c>
      <c r="AN5" s="245">
        <f>bdrate($E5:$E8,G5:G8,$W5:$W8,Y5:Y8)</f>
        <v>-0.14746145612387374</v>
      </c>
      <c r="AO5" s="245">
        <f>bdrate($E5:$E8,H5:H8,$W5:$W8,Z5:Z8)</f>
        <v>-2.6753674593873455E-3</v>
      </c>
      <c r="AP5" s="245">
        <f>bdrate($E5:$E8,I5:I8,$W5:$W8,AA5:AA8)</f>
        <v>-3.4603823427148739E-2</v>
      </c>
      <c r="AQ5" s="246">
        <f>bdrateInverted($E5:$E8,J5:J8,$W5:$W8,AB5:AB8)</f>
        <v>-0.1587751934150905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53557.663999999997</v>
      </c>
      <c r="X6" s="91">
        <f t="shared" si="2"/>
        <v>31.827726266666666</v>
      </c>
      <c r="Y6" s="91">
        <f t="shared" si="2"/>
        <v>36.656290066666671</v>
      </c>
      <c r="Z6" s="91">
        <f t="shared" si="2"/>
        <v>0.97602559533333322</v>
      </c>
      <c r="AA6" s="91">
        <f t="shared" si="2"/>
        <v>0.97506103133333322</v>
      </c>
      <c r="AB6" s="91">
        <f t="shared" si="2"/>
        <v>3.2345189933333331E-2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77018.511999999988</v>
      </c>
      <c r="X7" s="91">
        <f t="shared" si="2"/>
        <v>37.346993666666663</v>
      </c>
      <c r="Y7" s="91">
        <f t="shared" si="2"/>
        <v>41.028742866666668</v>
      </c>
      <c r="Z7" s="91">
        <f t="shared" si="2"/>
        <v>0.98840114133333346</v>
      </c>
      <c r="AA7" s="91">
        <f t="shared" si="2"/>
        <v>0.99094338133333337</v>
      </c>
      <c r="AB7" s="91">
        <f t="shared" si="2"/>
        <v>1.5874248466666668E-2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108964.16799999999</v>
      </c>
      <c r="X8" s="91">
        <f t="shared" si="2"/>
        <v>40.977408333333329</v>
      </c>
      <c r="Y8" s="91">
        <f t="shared" si="2"/>
        <v>44.273146466666667</v>
      </c>
      <c r="Z8" s="91">
        <f t="shared" si="2"/>
        <v>0.99281843400000003</v>
      </c>
      <c r="AA8" s="91">
        <f t="shared" si="2"/>
        <v>0.99629961866666672</v>
      </c>
      <c r="AB8" s="91">
        <f t="shared" si="2"/>
        <v>9.0151280266666679E-3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5941.2240000000002</v>
      </c>
      <c r="X16" s="167">
        <v>6888.9840000000004</v>
      </c>
      <c r="Y16" s="167">
        <v>2605.0239999999999</v>
      </c>
      <c r="Z16" s="167">
        <v>1029.9760000000001</v>
      </c>
      <c r="AA16" s="167">
        <v>167.76</v>
      </c>
      <c r="AB16" s="167">
        <v>11102.44</v>
      </c>
      <c r="AC16" s="60">
        <v>7159.4880000000003</v>
      </c>
      <c r="AD16" s="60">
        <v>2367.0239999999999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5941.2240000000002</v>
      </c>
      <c r="X17" s="168">
        <v>9135.16</v>
      </c>
      <c r="Y17" s="168">
        <v>6735.9920000000002</v>
      </c>
      <c r="Z17" s="168">
        <v>3589.4639999999999</v>
      </c>
      <c r="AA17" s="168">
        <v>1253.56</v>
      </c>
      <c r="AB17" s="168">
        <v>14289.776</v>
      </c>
      <c r="AC17" s="62">
        <v>9490.68</v>
      </c>
      <c r="AD17" s="62">
        <v>3121.808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5941.2240000000002</v>
      </c>
      <c r="X18" s="168">
        <v>11429.808000000001</v>
      </c>
      <c r="Y18" s="168">
        <v>12330.456</v>
      </c>
      <c r="Z18" s="168">
        <v>8658.7199999999993</v>
      </c>
      <c r="AA18" s="168">
        <v>5244.7359999999999</v>
      </c>
      <c r="AB18" s="168">
        <v>17597.223999999998</v>
      </c>
      <c r="AC18" s="62">
        <v>11920.776</v>
      </c>
      <c r="AD18" s="62">
        <v>3895.5680000000002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5941.2240000000002</v>
      </c>
      <c r="X19" s="168">
        <v>13615.023999999999</v>
      </c>
      <c r="Y19" s="168">
        <v>18542.736000000001</v>
      </c>
      <c r="Z19" s="168">
        <v>16532.815999999999</v>
      </c>
      <c r="AA19" s="168">
        <v>14152.415999999999</v>
      </c>
      <c r="AB19" s="168">
        <v>21009.567999999999</v>
      </c>
      <c r="AC19" s="62">
        <v>14466.111999999999</v>
      </c>
      <c r="AD19" s="62">
        <v>4704.2719999999999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37261.919999999991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53557.663999999997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77018.511999999988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108964.16799999999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27.479388</v>
      </c>
      <c r="Y33" s="97">
        <v>33.312851999999999</v>
      </c>
      <c r="Z33" s="97">
        <v>0.95790401999999997</v>
      </c>
      <c r="AA33" s="60">
        <v>0.95317127999999995</v>
      </c>
      <c r="AB33" s="60">
        <v>6.1906334E-2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0.68103599999999886</v>
      </c>
      <c r="AN33" s="96">
        <f t="shared" ref="AN33:AN96" si="5">IF(OR(Y33="",G33=""),"",Y33-G33)</f>
        <v>1.2571209999999979</v>
      </c>
      <c r="AO33" s="96">
        <f t="shared" ref="AO33:AO96" si="6">IF(OR(Z33="",H33=""),"",Z33-H33)</f>
        <v>-2.1187000000000289E-4</v>
      </c>
      <c r="AP33" s="96">
        <f t="shared" ref="AP33:AP96" si="7">IF(OR(AA33="",I33=""),"",AA33-I33)</f>
        <v>3.0386399999999814E-3</v>
      </c>
      <c r="AQ33" s="121">
        <f t="shared" ref="AQ33:AQ96" si="8">IF(OR(AB33="",J33=""),"",AB33-J33)</f>
        <v>-8.723375999999998E-3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31.847722999999998</v>
      </c>
      <c r="Y34" s="190">
        <v>36.512301999999998</v>
      </c>
      <c r="Z34" s="190">
        <v>0.97597111000000003</v>
      </c>
      <c r="AA34" s="62">
        <v>0.97551805000000003</v>
      </c>
      <c r="AB34" s="62">
        <v>3.5840570000000002E-2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1.1646709999999985</v>
      </c>
      <c r="AN34" s="122">
        <f t="shared" si="5"/>
        <v>1.3229929999999968</v>
      </c>
      <c r="AO34" s="122">
        <f t="shared" si="6"/>
        <v>3.0738000000007926E-4</v>
      </c>
      <c r="AP34" s="122">
        <f t="shared" si="7"/>
        <v>3.0980900000000533E-3</v>
      </c>
      <c r="AQ34" s="88">
        <f t="shared" si="8"/>
        <v>-7.9333639999999983E-3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37.314385999999999</v>
      </c>
      <c r="Y35" s="190">
        <v>40.959974000000003</v>
      </c>
      <c r="Z35" s="190">
        <v>0.98836387000000003</v>
      </c>
      <c r="AA35" s="62">
        <v>0.99065928999999997</v>
      </c>
      <c r="AB35" s="62">
        <v>1.7506187999999999E-2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2.0691729999999993</v>
      </c>
      <c r="AN35" s="122">
        <f t="shared" si="5"/>
        <v>1.6345689999999991</v>
      </c>
      <c r="AO35" s="122">
        <f t="shared" si="6"/>
        <v>3.3908999999998635E-4</v>
      </c>
      <c r="AP35" s="122">
        <f t="shared" si="7"/>
        <v>4.1206999999998661E-4</v>
      </c>
      <c r="AQ35" s="88">
        <f t="shared" si="8"/>
        <v>-8.3725250000000022E-3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41.095542999999999</v>
      </c>
      <c r="Y36" s="190">
        <v>44.362977999999998</v>
      </c>
      <c r="Z36" s="190">
        <v>0.99274673999999996</v>
      </c>
      <c r="AA36" s="62">
        <v>0.99633488000000003</v>
      </c>
      <c r="AB36" s="62">
        <v>9.8624149999999994E-3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3.1165609999999973</v>
      </c>
      <c r="AN36" s="122">
        <f t="shared" si="5"/>
        <v>2.2914090000000016</v>
      </c>
      <c r="AO36" s="122">
        <f t="shared" si="6"/>
        <v>4.1999999999997595E-4</v>
      </c>
      <c r="AP36" s="122">
        <f t="shared" si="7"/>
        <v>1.1665600000000387E-3</v>
      </c>
      <c r="AQ36" s="88">
        <f t="shared" si="8"/>
        <v>-8.2708010000000012E-3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27.841462</v>
      </c>
      <c r="Y38" s="97">
        <v>33.617268000000003</v>
      </c>
      <c r="Z38" s="97">
        <v>0.95871905000000002</v>
      </c>
      <c r="AA38" s="60">
        <v>0.95560778999999996</v>
      </c>
      <c r="AB38" s="60">
        <v>5.8430724000000003E-2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0.6821249999999992</v>
      </c>
      <c r="AN38" s="96">
        <f t="shared" si="5"/>
        <v>1.3036140000000032</v>
      </c>
      <c r="AO38" s="96">
        <f t="shared" si="6"/>
        <v>-4.1356000000003501E-4</v>
      </c>
      <c r="AP38" s="96">
        <f t="shared" si="7"/>
        <v>2.1261399999999986E-3</v>
      </c>
      <c r="AQ38" s="121">
        <f t="shared" si="8"/>
        <v>-9.2198659999999932E-3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31.860275999999999</v>
      </c>
      <c r="Y39" s="190">
        <v>36.500109999999999</v>
      </c>
      <c r="Z39" s="190">
        <v>0.97588607000000005</v>
      </c>
      <c r="AA39" s="62">
        <v>0.97582261999999997</v>
      </c>
      <c r="AB39" s="62">
        <v>3.4323926999999997E-2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1.2487859999999991</v>
      </c>
      <c r="AN39" s="122">
        <f t="shared" si="5"/>
        <v>1.374290000000002</v>
      </c>
      <c r="AO39" s="122">
        <f t="shared" si="6"/>
        <v>3.3804000000003942E-4</v>
      </c>
      <c r="AP39" s="122">
        <f t="shared" si="7"/>
        <v>2.6403799999999977E-3</v>
      </c>
      <c r="AQ39" s="88">
        <f t="shared" si="8"/>
        <v>-8.5809160000000009E-3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37.302751000000001</v>
      </c>
      <c r="Y40" s="190">
        <v>40.951340999999999</v>
      </c>
      <c r="Z40" s="190">
        <v>0.98805673000000005</v>
      </c>
      <c r="AA40" s="62">
        <v>0.99077868000000002</v>
      </c>
      <c r="AB40" s="62">
        <v>1.7239029999999999E-2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2.198120000000003</v>
      </c>
      <c r="AN40" s="122">
        <f t="shared" si="5"/>
        <v>1.7455670000000012</v>
      </c>
      <c r="AO40" s="122">
        <f t="shared" si="6"/>
        <v>3.3705000000006091E-4</v>
      </c>
      <c r="AP40" s="122">
        <f t="shared" si="7"/>
        <v>4.2669000000006285E-4</v>
      </c>
      <c r="AQ40" s="88">
        <f t="shared" si="8"/>
        <v>-9.0526720000000012E-3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40.988633</v>
      </c>
      <c r="Y41" s="190">
        <v>44.284502000000003</v>
      </c>
      <c r="Z41" s="190">
        <v>0.99241343999999998</v>
      </c>
      <c r="AA41" s="62">
        <v>0.99622045000000004</v>
      </c>
      <c r="AB41" s="62">
        <v>9.940295E-3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3.2161860000000004</v>
      </c>
      <c r="AN41" s="122">
        <f t="shared" si="5"/>
        <v>2.3970470000000006</v>
      </c>
      <c r="AO41" s="122">
        <f t="shared" si="6"/>
        <v>4.4210999999994005E-4</v>
      </c>
      <c r="AP41" s="122">
        <f t="shared" si="7"/>
        <v>1.100089999999998E-3</v>
      </c>
      <c r="AQ41" s="88">
        <f t="shared" si="8"/>
        <v>-8.9532640000000007E-3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28.133044000000002</v>
      </c>
      <c r="Y43" s="97">
        <v>33.805408</v>
      </c>
      <c r="Z43" s="97">
        <v>0.95853851000000001</v>
      </c>
      <c r="AA43" s="60">
        <v>0.95635225999999995</v>
      </c>
      <c r="AB43" s="60">
        <v>5.5118542E-2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0.65583400000000225</v>
      </c>
      <c r="AN43" s="96">
        <f t="shared" si="5"/>
        <v>1.2626220000000004</v>
      </c>
      <c r="AO43" s="96">
        <f t="shared" si="6"/>
        <v>-3.5032000000001506E-4</v>
      </c>
      <c r="AP43" s="96">
        <f t="shared" si="7"/>
        <v>4.9684999999999313E-4</v>
      </c>
      <c r="AQ43" s="121">
        <f t="shared" si="8"/>
        <v>-9.0387280000000028E-3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31.812906999999999</v>
      </c>
      <c r="Y44" s="190">
        <v>36.462687000000003</v>
      </c>
      <c r="Z44" s="190">
        <v>0.97568102999999995</v>
      </c>
      <c r="AA44" s="62">
        <v>0.97589711999999995</v>
      </c>
      <c r="AB44" s="62">
        <v>3.2192885999999997E-2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1.2235610000000001</v>
      </c>
      <c r="AN44" s="122">
        <f t="shared" si="5"/>
        <v>1.3537320000000008</v>
      </c>
      <c r="AO44" s="122">
        <f t="shared" si="6"/>
        <v>3.7707999999991859E-4</v>
      </c>
      <c r="AP44" s="122">
        <f t="shared" si="7"/>
        <v>2.5776499999999869E-3</v>
      </c>
      <c r="AQ44" s="88">
        <f t="shared" si="8"/>
        <v>-8.4820910000000041E-3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37.370269999999998</v>
      </c>
      <c r="Y45" s="190">
        <v>40.985453999999997</v>
      </c>
      <c r="Z45" s="190">
        <v>0.98810827000000001</v>
      </c>
      <c r="AA45" s="62">
        <v>0.99097290000000005</v>
      </c>
      <c r="AB45" s="62">
        <v>1.632196E-2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2.1852379999999982</v>
      </c>
      <c r="AN45" s="122">
        <f t="shared" si="5"/>
        <v>1.7179849999999988</v>
      </c>
      <c r="AO45" s="122">
        <f t="shared" si="6"/>
        <v>3.222200000000397E-4</v>
      </c>
      <c r="AP45" s="122">
        <f t="shared" si="7"/>
        <v>4.8756000000005351E-4</v>
      </c>
      <c r="AQ45" s="88">
        <f t="shared" si="8"/>
        <v>-8.3713220000000005E-3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41.024355</v>
      </c>
      <c r="Y46" s="190">
        <v>44.298188000000003</v>
      </c>
      <c r="Z46" s="190">
        <v>0.99253559999999996</v>
      </c>
      <c r="AA46" s="62">
        <v>0.9962588</v>
      </c>
      <c r="AB46" s="62">
        <v>9.4673680000000003E-3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3.1829449999999966</v>
      </c>
      <c r="AN46" s="122">
        <f t="shared" si="5"/>
        <v>2.3509700000000038</v>
      </c>
      <c r="AO46" s="122">
        <f t="shared" si="6"/>
        <v>4.2632999999991927E-4</v>
      </c>
      <c r="AP46" s="122">
        <f t="shared" si="7"/>
        <v>1.1228500000000086E-3</v>
      </c>
      <c r="AQ46" s="88">
        <f t="shared" si="8"/>
        <v>-8.2569299999999991E-3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28.142946999999999</v>
      </c>
      <c r="Y48" s="97">
        <v>33.800260999999999</v>
      </c>
      <c r="Z48" s="97">
        <v>0.95846788000000005</v>
      </c>
      <c r="AA48" s="60">
        <v>0.95713828000000001</v>
      </c>
      <c r="AB48" s="60">
        <v>5.6489043000000003E-2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0.61443200000000076</v>
      </c>
      <c r="AN48" s="96">
        <f t="shared" si="5"/>
        <v>1.2269080000000017</v>
      </c>
      <c r="AO48" s="96">
        <f t="shared" si="6"/>
        <v>-4.2215999999994924E-4</v>
      </c>
      <c r="AP48" s="96">
        <f t="shared" si="7"/>
        <v>1.6156999999999977E-3</v>
      </c>
      <c r="AQ48" s="121">
        <f t="shared" si="8"/>
        <v>-8.6304369999999908E-3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31.528065999999999</v>
      </c>
      <c r="Y49" s="190">
        <v>36.239362999999997</v>
      </c>
      <c r="Z49" s="190">
        <v>0.97521033999999995</v>
      </c>
      <c r="AA49" s="62">
        <v>0.97470177000000002</v>
      </c>
      <c r="AB49" s="62">
        <v>3.4234599999999997E-2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1.1640619999999977</v>
      </c>
      <c r="AN49" s="122">
        <f t="shared" si="5"/>
        <v>1.3280199999999951</v>
      </c>
      <c r="AO49" s="122">
        <f t="shared" si="6"/>
        <v>3.898299999999244E-4</v>
      </c>
      <c r="AP49" s="122">
        <f t="shared" si="7"/>
        <v>2.529780000000037E-3</v>
      </c>
      <c r="AQ49" s="88">
        <f t="shared" si="8"/>
        <v>-8.7093620000000052E-3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37.316805000000002</v>
      </c>
      <c r="Y50" s="190">
        <v>40.918405</v>
      </c>
      <c r="Z50" s="190">
        <v>0.98797146000000002</v>
      </c>
      <c r="AA50" s="62">
        <v>0.99095049999999996</v>
      </c>
      <c r="AB50" s="62">
        <v>1.732852E-2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2.1380170000000049</v>
      </c>
      <c r="AN50" s="122">
        <f t="shared" si="5"/>
        <v>1.664830000000002</v>
      </c>
      <c r="AO50" s="122">
        <f t="shared" si="6"/>
        <v>3.0658999999999548E-4</v>
      </c>
      <c r="AP50" s="122">
        <f t="shared" si="7"/>
        <v>4.8018999999999146E-4</v>
      </c>
      <c r="AQ50" s="88">
        <f t="shared" si="8"/>
        <v>-8.4493970000000009E-3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40.914392999999997</v>
      </c>
      <c r="Y51" s="190">
        <v>44.206623</v>
      </c>
      <c r="Z51" s="190">
        <v>0.99238780000000004</v>
      </c>
      <c r="AA51" s="62">
        <v>0.99623293999999996</v>
      </c>
      <c r="AB51" s="62">
        <v>1.0449325000000001E-2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3.1268940000000001</v>
      </c>
      <c r="AN51" s="122">
        <f t="shared" si="5"/>
        <v>2.3203609999999983</v>
      </c>
      <c r="AO51" s="122">
        <f t="shared" si="6"/>
        <v>4.332100000000727E-4</v>
      </c>
      <c r="AP51" s="122">
        <f t="shared" si="7"/>
        <v>1.1693600000000082E-3</v>
      </c>
      <c r="AQ51" s="88">
        <f t="shared" si="8"/>
        <v>-8.1630950000000004E-3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28.228313</v>
      </c>
      <c r="Y53" s="97">
        <v>33.752955</v>
      </c>
      <c r="Z53" s="97">
        <v>0.95645007000000004</v>
      </c>
      <c r="AA53" s="60">
        <v>0.95792752000000003</v>
      </c>
      <c r="AB53" s="60">
        <v>5.9906326000000003E-2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0.59103800000000106</v>
      </c>
      <c r="AN53" s="96">
        <f t="shared" si="5"/>
        <v>1.1493439999999993</v>
      </c>
      <c r="AO53" s="96">
        <f t="shared" si="6"/>
        <v>-4.008399999999579E-4</v>
      </c>
      <c r="AP53" s="96">
        <f t="shared" si="7"/>
        <v>1.5330000000000066E-3</v>
      </c>
      <c r="AQ53" s="121">
        <f t="shared" si="8"/>
        <v>-8.6840040000000021E-3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31.495391999999999</v>
      </c>
      <c r="Y54" s="190">
        <v>36.130867000000002</v>
      </c>
      <c r="Z54" s="190">
        <v>0.97432658999999999</v>
      </c>
      <c r="AA54" s="62">
        <v>0.97482484999999997</v>
      </c>
      <c r="AB54" s="62">
        <v>3.6361806000000003E-2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1.1533370000000005</v>
      </c>
      <c r="AN54" s="122">
        <f t="shared" si="5"/>
        <v>1.2577040000000039</v>
      </c>
      <c r="AO54" s="122">
        <f t="shared" si="6"/>
        <v>2.8704000000001617E-4</v>
      </c>
      <c r="AP54" s="122">
        <f t="shared" si="7"/>
        <v>2.2910199999999215E-3</v>
      </c>
      <c r="AQ54" s="88">
        <f t="shared" si="8"/>
        <v>-8.648626999999999E-3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37.068871000000001</v>
      </c>
      <c r="Y55" s="190">
        <v>40.659703999999998</v>
      </c>
      <c r="Z55" s="190">
        <v>0.98737819000000004</v>
      </c>
      <c r="AA55" s="62">
        <v>0.99078491000000002</v>
      </c>
      <c r="AB55" s="62">
        <v>1.8933090999999999E-2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2.0747509999999991</v>
      </c>
      <c r="AN55" s="122">
        <f t="shared" si="5"/>
        <v>1.5986890000000002</v>
      </c>
      <c r="AO55" s="122">
        <f t="shared" si="6"/>
        <v>2.8990000000006511E-4</v>
      </c>
      <c r="AP55" s="122">
        <f t="shared" si="7"/>
        <v>4.1550000000001308E-4</v>
      </c>
      <c r="AQ55" s="88">
        <f t="shared" si="8"/>
        <v>-8.6538269999999994E-3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40.396158999999997</v>
      </c>
      <c r="Y56" s="190">
        <v>43.721727999999999</v>
      </c>
      <c r="Z56" s="190">
        <v>0.99186691000000005</v>
      </c>
      <c r="AA56" s="62">
        <v>0.99597970000000002</v>
      </c>
      <c r="AB56" s="62">
        <v>1.1601329000000001E-2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2.9640899999999988</v>
      </c>
      <c r="AN56" s="122">
        <f t="shared" si="5"/>
        <v>2.2180059999999955</v>
      </c>
      <c r="AO56" s="122">
        <f t="shared" si="6"/>
        <v>4.3725000000005565E-4</v>
      </c>
      <c r="AP56" s="122">
        <f t="shared" si="7"/>
        <v>1.1549699999999774E-3</v>
      </c>
      <c r="AQ56" s="88">
        <f t="shared" si="8"/>
        <v>-8.3912629999999995E-3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27.654039999999998</v>
      </c>
      <c r="Y58" s="97">
        <v>33.754615999999999</v>
      </c>
      <c r="Z58" s="97">
        <v>0.95850542000000005</v>
      </c>
      <c r="AA58" s="60">
        <v>0.95650992999999995</v>
      </c>
      <c r="AB58" s="60">
        <v>5.9269085999999999E-2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0.75921799999999706</v>
      </c>
      <c r="AN58" s="96">
        <f t="shared" si="5"/>
        <v>1.4898979999999966</v>
      </c>
      <c r="AO58" s="96">
        <f t="shared" si="6"/>
        <v>-1.6895999999999578E-4</v>
      </c>
      <c r="AP58" s="96">
        <f t="shared" si="7"/>
        <v>2.594199999999991E-3</v>
      </c>
      <c r="AQ58" s="121">
        <f t="shared" si="8"/>
        <v>-9.9744739999999971E-3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32.123202999999997</v>
      </c>
      <c r="Y59" s="190">
        <v>36.992790999999997</v>
      </c>
      <c r="Z59" s="190">
        <v>0.97671907999999996</v>
      </c>
      <c r="AA59" s="62">
        <v>0.97719745999999996</v>
      </c>
      <c r="AB59" s="62">
        <v>3.2518930000000001E-2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1.3068219999999968</v>
      </c>
      <c r="AN59" s="122">
        <f t="shared" si="5"/>
        <v>1.4997179999999943</v>
      </c>
      <c r="AO59" s="122">
        <f t="shared" si="6"/>
        <v>2.7460000000001372E-4</v>
      </c>
      <c r="AP59" s="122">
        <f t="shared" si="7"/>
        <v>2.2530499999999787E-3</v>
      </c>
      <c r="AQ59" s="88">
        <f t="shared" si="8"/>
        <v>-8.494597999999999E-3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37.509208999999998</v>
      </c>
      <c r="Y60" s="190">
        <v>41.172781999999998</v>
      </c>
      <c r="Z60" s="190">
        <v>0.98890990999999995</v>
      </c>
      <c r="AA60" s="62">
        <v>0.99163604999999999</v>
      </c>
      <c r="AB60" s="62">
        <v>1.5355386E-2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2.2153629999999964</v>
      </c>
      <c r="AN60" s="122">
        <f t="shared" si="5"/>
        <v>1.7821019999999947</v>
      </c>
      <c r="AO60" s="122">
        <f t="shared" si="6"/>
        <v>2.6265999999997014E-4</v>
      </c>
      <c r="AP60" s="122">
        <f t="shared" si="7"/>
        <v>6.93729999999948E-4</v>
      </c>
      <c r="AQ60" s="88">
        <f t="shared" si="8"/>
        <v>-8.4518860000000005E-3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41.168906999999997</v>
      </c>
      <c r="Y61" s="190">
        <v>44.449333000000003</v>
      </c>
      <c r="Z61" s="190">
        <v>0.99324679000000005</v>
      </c>
      <c r="AA61" s="62">
        <v>0.99648018999999999</v>
      </c>
      <c r="AB61" s="62">
        <v>8.2644759999999998E-3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3.2123679999999979</v>
      </c>
      <c r="AN61" s="122">
        <f t="shared" si="5"/>
        <v>2.4091110000000029</v>
      </c>
      <c r="AO61" s="122">
        <f t="shared" si="6"/>
        <v>3.9376000000002076E-4</v>
      </c>
      <c r="AP61" s="122">
        <f t="shared" si="7"/>
        <v>7.8539999999993615E-4</v>
      </c>
      <c r="AQ61" s="88">
        <f t="shared" si="8"/>
        <v>-8.5581750000000012E-3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27.849716999999998</v>
      </c>
      <c r="Y63" s="97">
        <v>33.922212000000002</v>
      </c>
      <c r="Z63" s="97">
        <v>0.95922225000000005</v>
      </c>
      <c r="AA63" s="60">
        <v>0.95569945000000001</v>
      </c>
      <c r="AB63" s="60">
        <v>5.5259139999999998E-2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0.76964799999999656</v>
      </c>
      <c r="AN63" s="96">
        <f t="shared" si="5"/>
        <v>1.5084420000000023</v>
      </c>
      <c r="AO63" s="96">
        <f t="shared" si="6"/>
        <v>-2.8380999999999545E-4</v>
      </c>
      <c r="AP63" s="96">
        <f t="shared" si="7"/>
        <v>1.62766999999997E-3</v>
      </c>
      <c r="AQ63" s="121">
        <f t="shared" si="8"/>
        <v>-1.009256E-2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31.918697000000002</v>
      </c>
      <c r="Y64" s="190">
        <v>36.893371999999999</v>
      </c>
      <c r="Z64" s="190">
        <v>0.97675690999999998</v>
      </c>
      <c r="AA64" s="62">
        <v>0.97473975000000002</v>
      </c>
      <c r="AB64" s="62">
        <v>3.1171020000000001E-2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1.2720520000000022</v>
      </c>
      <c r="AN64" s="122">
        <f t="shared" si="5"/>
        <v>1.5160109999999989</v>
      </c>
      <c r="AO64" s="122">
        <f t="shared" si="6"/>
        <v>2.8625999999998264E-4</v>
      </c>
      <c r="AP64" s="122">
        <f t="shared" si="7"/>
        <v>2.6633099999999743E-3</v>
      </c>
      <c r="AQ64" s="88">
        <f t="shared" si="8"/>
        <v>-8.6930129999999994E-3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37.591911000000003</v>
      </c>
      <c r="Y65" s="190">
        <v>41.265343999999999</v>
      </c>
      <c r="Z65" s="190">
        <v>0.98888379999999998</v>
      </c>
      <c r="AA65" s="62">
        <v>0.99118397999999996</v>
      </c>
      <c r="AB65" s="62">
        <v>1.4980088000000001E-2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2.287622000000006</v>
      </c>
      <c r="AN65" s="122">
        <f t="shared" si="5"/>
        <v>1.8379499999999993</v>
      </c>
      <c r="AO65" s="122">
        <f t="shared" si="6"/>
        <v>3.0151999999994405E-4</v>
      </c>
      <c r="AP65" s="122">
        <f t="shared" si="7"/>
        <v>6.4662999999998139E-4</v>
      </c>
      <c r="AQ65" s="88">
        <f t="shared" si="8"/>
        <v>-8.6086570000000005E-3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41.211633999999997</v>
      </c>
      <c r="Y66" s="190">
        <v>44.483558000000002</v>
      </c>
      <c r="Z66" s="190">
        <v>0.99314539000000002</v>
      </c>
      <c r="AA66" s="62">
        <v>0.99644069999999996</v>
      </c>
      <c r="AB66" s="62">
        <v>8.0451424999999997E-3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3.270935999999999</v>
      </c>
      <c r="AN66" s="122">
        <f t="shared" si="5"/>
        <v>2.4408980000000042</v>
      </c>
      <c r="AO66" s="122">
        <f t="shared" si="6"/>
        <v>4.0671000000003232E-4</v>
      </c>
      <c r="AP66" s="122">
        <f t="shared" si="7"/>
        <v>1.0848099999999361E-3</v>
      </c>
      <c r="AQ66" s="88">
        <f t="shared" si="8"/>
        <v>-8.6623575000000005E-3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28.103331000000001</v>
      </c>
      <c r="Y68" s="97">
        <v>34.097200000000001</v>
      </c>
      <c r="Z68" s="97">
        <v>0.95931756999999995</v>
      </c>
      <c r="AA68" s="60">
        <v>0.95628988000000004</v>
      </c>
      <c r="AB68" s="60">
        <v>5.3155830000000001E-2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0.76339400000000168</v>
      </c>
      <c r="AN68" s="96">
        <f t="shared" si="5"/>
        <v>1.4984809999999982</v>
      </c>
      <c r="AO68" s="96">
        <f t="shared" si="6"/>
        <v>-2.0383000000001594E-4</v>
      </c>
      <c r="AP68" s="96">
        <f t="shared" si="7"/>
        <v>1.433310000000021E-3</v>
      </c>
      <c r="AQ68" s="121">
        <f t="shared" si="8"/>
        <v>-9.774515999999997E-3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31.950403999999999</v>
      </c>
      <c r="Y69" s="190">
        <v>36.922083000000001</v>
      </c>
      <c r="Z69" s="190">
        <v>0.97642134000000003</v>
      </c>
      <c r="AA69" s="62">
        <v>0.97425941999999999</v>
      </c>
      <c r="AB69" s="62">
        <v>3.0442547E-2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1.250705</v>
      </c>
      <c r="AN69" s="122">
        <f t="shared" si="5"/>
        <v>1.5038330000000002</v>
      </c>
      <c r="AO69" s="122">
        <f t="shared" si="6"/>
        <v>3.2456000000002927E-4</v>
      </c>
      <c r="AP69" s="122">
        <f t="shared" si="7"/>
        <v>2.8516800000000231E-3</v>
      </c>
      <c r="AQ69" s="88">
        <f t="shared" si="8"/>
        <v>-8.6502950000000023E-3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37.566502999999997</v>
      </c>
      <c r="Y70" s="190">
        <v>41.259777999999997</v>
      </c>
      <c r="Z70" s="190">
        <v>0.98864388000000003</v>
      </c>
      <c r="AA70" s="62">
        <v>0.99060488000000002</v>
      </c>
      <c r="AB70" s="62">
        <v>1.4569219E-2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2.2406109999999941</v>
      </c>
      <c r="AN70" s="122">
        <f t="shared" si="5"/>
        <v>1.8153319999999979</v>
      </c>
      <c r="AO70" s="122">
        <f t="shared" si="6"/>
        <v>3.1115000000003779E-4</v>
      </c>
      <c r="AP70" s="122">
        <f t="shared" si="7"/>
        <v>6.0106000000004212E-4</v>
      </c>
      <c r="AQ70" s="88">
        <f t="shared" si="8"/>
        <v>-8.4819030000000007E-3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41.128546</v>
      </c>
      <c r="Y71" s="190">
        <v>44.413893000000002</v>
      </c>
      <c r="Z71" s="190">
        <v>0.99299320999999996</v>
      </c>
      <c r="AA71" s="62">
        <v>0.99631077000000001</v>
      </c>
      <c r="AB71" s="62">
        <v>8.254674E-3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3.2095759999999984</v>
      </c>
      <c r="AN71" s="122">
        <f t="shared" si="5"/>
        <v>2.403293000000005</v>
      </c>
      <c r="AO71" s="122">
        <f t="shared" si="6"/>
        <v>3.9310999999997431E-4</v>
      </c>
      <c r="AP71" s="122">
        <f t="shared" si="7"/>
        <v>1.2862900000000232E-3</v>
      </c>
      <c r="AQ71" s="88">
        <f t="shared" si="8"/>
        <v>-8.3500419999999985E-3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28.176656999999999</v>
      </c>
      <c r="Y73" s="97">
        <v>34.131036999999999</v>
      </c>
      <c r="Z73" s="97">
        <v>0.95925567</v>
      </c>
      <c r="AA73" s="60">
        <v>0.95637201000000005</v>
      </c>
      <c r="AB73" s="60">
        <v>5.3175025000000001E-2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0.72182799999999858</v>
      </c>
      <c r="AN73" s="96">
        <f t="shared" si="5"/>
        <v>1.469268999999997</v>
      </c>
      <c r="AO73" s="96">
        <f t="shared" si="6"/>
        <v>-2.7111999999995806E-4</v>
      </c>
      <c r="AP73" s="96">
        <f t="shared" si="7"/>
        <v>1.3084500000000165E-3</v>
      </c>
      <c r="AQ73" s="121">
        <f t="shared" si="8"/>
        <v>-9.5022949999999939E-3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31.894825000000001</v>
      </c>
      <c r="Y74" s="190">
        <v>36.859115000000003</v>
      </c>
      <c r="Z74" s="190">
        <v>0.97606132999999995</v>
      </c>
      <c r="AA74" s="62">
        <v>0.97396428000000002</v>
      </c>
      <c r="AB74" s="62">
        <v>3.0690614000000001E-2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1.2341920000000002</v>
      </c>
      <c r="AN74" s="122">
        <f t="shared" si="5"/>
        <v>1.4975500000000039</v>
      </c>
      <c r="AO74" s="122">
        <f t="shared" si="6"/>
        <v>2.8322999999996767E-4</v>
      </c>
      <c r="AP74" s="122">
        <f t="shared" si="7"/>
        <v>2.880980000000033E-3</v>
      </c>
      <c r="AQ74" s="88">
        <f t="shared" si="8"/>
        <v>-8.7151490000000019E-3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37.561799999999998</v>
      </c>
      <c r="Y75" s="190">
        <v>41.250635000000003</v>
      </c>
      <c r="Z75" s="190">
        <v>0.98848148000000002</v>
      </c>
      <c r="AA75" s="62">
        <v>0.99067260000000001</v>
      </c>
      <c r="AB75" s="62">
        <v>1.4870335E-2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2.2475899999999953</v>
      </c>
      <c r="AN75" s="122">
        <f t="shared" si="5"/>
        <v>1.8193590000000057</v>
      </c>
      <c r="AO75" s="122">
        <f t="shared" si="6"/>
        <v>2.969400000000233E-4</v>
      </c>
      <c r="AP75" s="122">
        <f t="shared" si="7"/>
        <v>5.9224999999996086E-4</v>
      </c>
      <c r="AQ75" s="88">
        <f t="shared" si="8"/>
        <v>-8.3805819999999993E-3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41.089790000000001</v>
      </c>
      <c r="Y76" s="190">
        <v>44.393495000000001</v>
      </c>
      <c r="Z76" s="190">
        <v>0.99283248999999996</v>
      </c>
      <c r="AA76" s="62">
        <v>0.99634668999999998</v>
      </c>
      <c r="AB76" s="62">
        <v>8.5807739999999993E-3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3.208116000000004</v>
      </c>
      <c r="AN76" s="122">
        <f t="shared" si="5"/>
        <v>2.4248120000000029</v>
      </c>
      <c r="AO76" s="122">
        <f t="shared" si="6"/>
        <v>4.073199999999888E-4</v>
      </c>
      <c r="AP76" s="122">
        <f t="shared" si="7"/>
        <v>1.2678099999999803E-3</v>
      </c>
      <c r="AQ76" s="88">
        <f t="shared" si="8"/>
        <v>-8.2394410000000001E-3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28.148733</v>
      </c>
      <c r="Y78" s="97">
        <v>33.914428000000001</v>
      </c>
      <c r="Z78" s="97">
        <v>0.95738224999999999</v>
      </c>
      <c r="AA78" s="60">
        <v>0.95675268000000002</v>
      </c>
      <c r="AB78" s="60">
        <v>5.6984894000000001E-2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0.63998000000000133</v>
      </c>
      <c r="AN78" s="96">
        <f t="shared" si="5"/>
        <v>1.2962710000000044</v>
      </c>
      <c r="AO78" s="96">
        <f t="shared" si="6"/>
        <v>-2.2558999999999774E-4</v>
      </c>
      <c r="AP78" s="96">
        <f t="shared" si="7"/>
        <v>1.0744599999999993E-3</v>
      </c>
      <c r="AQ78" s="121">
        <f t="shared" si="8"/>
        <v>-9.1799359999999927E-3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31.735572000000001</v>
      </c>
      <c r="Y79" s="190">
        <v>36.571392000000003</v>
      </c>
      <c r="Z79" s="190">
        <v>0.97491737999999994</v>
      </c>
      <c r="AA79" s="62">
        <v>0.97455714000000004</v>
      </c>
      <c r="AB79" s="62">
        <v>3.4176379999999999E-2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1.1467920000000014</v>
      </c>
      <c r="AN79" s="122">
        <f t="shared" si="5"/>
        <v>1.3425300000000036</v>
      </c>
      <c r="AO79" s="122">
        <f t="shared" si="6"/>
        <v>2.4668999999999386E-4</v>
      </c>
      <c r="AP79" s="122">
        <f t="shared" si="7"/>
        <v>2.6049599999999895E-3</v>
      </c>
      <c r="AQ79" s="88">
        <f t="shared" si="8"/>
        <v>-8.6183900000000035E-3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37.217953999999999</v>
      </c>
      <c r="Y80" s="190">
        <v>40.878129000000001</v>
      </c>
      <c r="Z80" s="190">
        <v>0.98765062000000003</v>
      </c>
      <c r="AA80" s="62">
        <v>0.99059366000000004</v>
      </c>
      <c r="AB80" s="62">
        <v>1.6965569999999999E-2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2.0876400000000004</v>
      </c>
      <c r="AN80" s="122">
        <f t="shared" si="5"/>
        <v>1.6522310000000004</v>
      </c>
      <c r="AO80" s="122">
        <f t="shared" si="6"/>
        <v>2.7429000000001036E-4</v>
      </c>
      <c r="AP80" s="122">
        <f t="shared" si="7"/>
        <v>4.1697000000007201E-4</v>
      </c>
      <c r="AQ80" s="88">
        <f t="shared" si="8"/>
        <v>-8.1836259999999994E-3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40.570692999999999</v>
      </c>
      <c r="Y81" s="190">
        <v>43.919587</v>
      </c>
      <c r="Z81" s="190">
        <v>0.99210452999999998</v>
      </c>
      <c r="AA81" s="62">
        <v>0.99604128000000003</v>
      </c>
      <c r="AB81" s="62">
        <v>1.0380927E-2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2.9733459999999994</v>
      </c>
      <c r="AN81" s="122">
        <f t="shared" si="5"/>
        <v>2.2673350000000028</v>
      </c>
      <c r="AO81" s="122">
        <f t="shared" si="6"/>
        <v>4.1292000000003881E-4</v>
      </c>
      <c r="AP81" s="122">
        <f t="shared" si="7"/>
        <v>1.1155099999999862E-3</v>
      </c>
      <c r="AQ81" s="88">
        <f t="shared" si="8"/>
        <v>-8.1041930000000009E-3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27.779942999999999</v>
      </c>
      <c r="Y83" s="97">
        <v>33.795172999999998</v>
      </c>
      <c r="Z83" s="97">
        <v>0.95646019999999998</v>
      </c>
      <c r="AA83" s="60">
        <v>0.95715302999999996</v>
      </c>
      <c r="AB83" s="60">
        <v>6.0216776999999999E-2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0.80004699999999929</v>
      </c>
      <c r="AN83" s="96">
        <f t="shared" si="5"/>
        <v>1.469896999999996</v>
      </c>
      <c r="AO83" s="96">
        <f t="shared" si="6"/>
        <v>-1.0821999999999221E-4</v>
      </c>
      <c r="AP83" s="96">
        <f t="shared" si="7"/>
        <v>1.7071899999999696E-3</v>
      </c>
      <c r="AQ83" s="121">
        <f t="shared" si="8"/>
        <v>-1.0206152999999996E-2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31.800865999999999</v>
      </c>
      <c r="Y84" s="190">
        <v>36.762833000000001</v>
      </c>
      <c r="Z84" s="190">
        <v>0.97627750000000002</v>
      </c>
      <c r="AA84" s="62">
        <v>0.97560873000000004</v>
      </c>
      <c r="AB84" s="62">
        <v>3.2243467999999997E-2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1.2917619999999985</v>
      </c>
      <c r="AN84" s="122">
        <f t="shared" si="5"/>
        <v>1.4869910000000033</v>
      </c>
      <c r="AO84" s="122">
        <f t="shared" si="6"/>
        <v>1.7944999999996991E-4</v>
      </c>
      <c r="AP84" s="122">
        <f t="shared" si="7"/>
        <v>1.0201499999999974E-3</v>
      </c>
      <c r="AQ84" s="88">
        <f t="shared" si="8"/>
        <v>-8.7792320000000049E-3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37.157632999999997</v>
      </c>
      <c r="Y85" s="190">
        <v>40.931576</v>
      </c>
      <c r="Z85" s="190">
        <v>0.98881839999999999</v>
      </c>
      <c r="AA85" s="62">
        <v>0.99181618999999999</v>
      </c>
      <c r="AB85" s="62">
        <v>1.5035059999999999E-2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2.1621339999999947</v>
      </c>
      <c r="AN85" s="122">
        <f t="shared" si="5"/>
        <v>1.8000589999999974</v>
      </c>
      <c r="AO85" s="122">
        <f t="shared" si="6"/>
        <v>2.4340000000000472E-4</v>
      </c>
      <c r="AP85" s="122">
        <f t="shared" si="7"/>
        <v>6.9089999999993879E-4</v>
      </c>
      <c r="AQ85" s="88">
        <f t="shared" si="8"/>
        <v>-8.733022E-3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40.867964000000001</v>
      </c>
      <c r="Y86" s="190">
        <v>44.205556999999999</v>
      </c>
      <c r="Z86" s="190">
        <v>0.99336917999999996</v>
      </c>
      <c r="AA86" s="62">
        <v>0.99644927000000005</v>
      </c>
      <c r="AB86" s="62">
        <v>8.13031E-3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3.0490890000000022</v>
      </c>
      <c r="AN86" s="122">
        <f t="shared" si="5"/>
        <v>2.3319800000000015</v>
      </c>
      <c r="AO86" s="122">
        <f t="shared" si="6"/>
        <v>3.8820999999999994E-4</v>
      </c>
      <c r="AP86" s="122">
        <f t="shared" si="7"/>
        <v>7.643100000001013E-4</v>
      </c>
      <c r="AQ86" s="88">
        <f t="shared" si="8"/>
        <v>-8.6494440000000009E-3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27.908397999999998</v>
      </c>
      <c r="Y88" s="97">
        <v>33.961457000000003</v>
      </c>
      <c r="Z88" s="97">
        <v>0.95771532000000004</v>
      </c>
      <c r="AA88" s="60">
        <v>0.95683280999999998</v>
      </c>
      <c r="AB88" s="60">
        <v>5.6328290000000003E-2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0.83820099999999798</v>
      </c>
      <c r="AN88" s="96">
        <f t="shared" si="5"/>
        <v>1.5538370000000015</v>
      </c>
      <c r="AO88" s="96">
        <f t="shared" si="6"/>
        <v>-9.6999999998903519E-7</v>
      </c>
      <c r="AP88" s="96">
        <f t="shared" si="7"/>
        <v>2.1592499999999459E-3</v>
      </c>
      <c r="AQ88" s="121">
        <f t="shared" si="8"/>
        <v>-1.0354909999999995E-2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31.899895999999998</v>
      </c>
      <c r="Y89" s="190">
        <v>36.865385000000003</v>
      </c>
      <c r="Z89" s="190">
        <v>0.97655705000000004</v>
      </c>
      <c r="AA89" s="62">
        <v>0.97580979999999995</v>
      </c>
      <c r="AB89" s="62">
        <v>3.0658435000000001E-2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1.3114639999999973</v>
      </c>
      <c r="AN89" s="122">
        <f t="shared" si="5"/>
        <v>1.5198640000000054</v>
      </c>
      <c r="AO89" s="122">
        <f t="shared" si="6"/>
        <v>3.1274000000003355E-4</v>
      </c>
      <c r="AP89" s="122">
        <f t="shared" si="7"/>
        <v>2.6964299999999719E-3</v>
      </c>
      <c r="AQ89" s="88">
        <f t="shared" si="8"/>
        <v>-9.2696029999999978E-3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37.343992</v>
      </c>
      <c r="Y90" s="190">
        <v>41.105632</v>
      </c>
      <c r="Z90" s="190">
        <v>0.98877912000000001</v>
      </c>
      <c r="AA90" s="62">
        <v>0.99132688000000002</v>
      </c>
      <c r="AB90" s="62">
        <v>1.4620206E-2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2.216746999999998</v>
      </c>
      <c r="AN90" s="122">
        <f t="shared" si="5"/>
        <v>1.8311100000000025</v>
      </c>
      <c r="AO90" s="122">
        <f t="shared" si="6"/>
        <v>2.4752000000005658E-4</v>
      </c>
      <c r="AP90" s="122">
        <f t="shared" si="7"/>
        <v>6.0941000000003243E-4</v>
      </c>
      <c r="AQ90" s="88">
        <f t="shared" si="8"/>
        <v>-8.9759620000000005E-3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41.075992999999997</v>
      </c>
      <c r="Y91" s="190">
        <v>44.381137000000003</v>
      </c>
      <c r="Z91" s="190">
        <v>0.99327571000000003</v>
      </c>
      <c r="AA91" s="62">
        <v>0.99643795999999996</v>
      </c>
      <c r="AB91" s="62">
        <v>7.7823284E-3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3.1627349999999979</v>
      </c>
      <c r="AN91" s="122">
        <f t="shared" si="5"/>
        <v>2.389164000000001</v>
      </c>
      <c r="AO91" s="122">
        <f t="shared" si="6"/>
        <v>3.7792000000003156E-4</v>
      </c>
      <c r="AP91" s="122">
        <f t="shared" si="7"/>
        <v>9.8244999999996807E-4</v>
      </c>
      <c r="AQ91" s="88">
        <f t="shared" si="8"/>
        <v>-8.9131466000000013E-3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28.070474000000001</v>
      </c>
      <c r="Y93" s="97">
        <v>34.067025999999998</v>
      </c>
      <c r="Z93" s="97">
        <v>0.95870816000000003</v>
      </c>
      <c r="AA93" s="60">
        <v>0.95599705999999995</v>
      </c>
      <c r="AB93" s="60">
        <v>5.2649046999999997E-2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0.84069900000000075</v>
      </c>
      <c r="AN93" s="96">
        <f t="shared" si="5"/>
        <v>1.535933</v>
      </c>
      <c r="AO93" s="96">
        <f t="shared" si="6"/>
        <v>1.3202000000001046E-4</v>
      </c>
      <c r="AP93" s="96">
        <f t="shared" si="7"/>
        <v>2.6063799999999082E-3</v>
      </c>
      <c r="AQ93" s="121">
        <f t="shared" si="8"/>
        <v>-1.0863523000000007E-2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31.953856999999999</v>
      </c>
      <c r="Y94" s="190">
        <v>36.873674999999999</v>
      </c>
      <c r="Z94" s="190">
        <v>0.97684627999999996</v>
      </c>
      <c r="AA94" s="62">
        <v>0.97436442999999995</v>
      </c>
      <c r="AB94" s="62">
        <v>2.9098256999999999E-2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1.264447999999998</v>
      </c>
      <c r="AN94" s="122">
        <f t="shared" si="5"/>
        <v>1.4616839999999982</v>
      </c>
      <c r="AO94" s="122">
        <f t="shared" si="6"/>
        <v>2.7235999999997151E-4</v>
      </c>
      <c r="AP94" s="122">
        <f t="shared" si="7"/>
        <v>3.0485999999999569E-3</v>
      </c>
      <c r="AQ94" s="88">
        <f t="shared" si="8"/>
        <v>-8.9821970000000008E-3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37.509861000000001</v>
      </c>
      <c r="Y95" s="190">
        <v>41.231878000000002</v>
      </c>
      <c r="Z95" s="190">
        <v>0.98892382999999995</v>
      </c>
      <c r="AA95" s="62">
        <v>0.99071081999999999</v>
      </c>
      <c r="AB95" s="62">
        <v>1.4056235E-2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2.1803700000000035</v>
      </c>
      <c r="AN95" s="122">
        <f t="shared" si="5"/>
        <v>1.7778440000000018</v>
      </c>
      <c r="AO95" s="122">
        <f t="shared" si="6"/>
        <v>2.7166999999994612E-4</v>
      </c>
      <c r="AP95" s="122">
        <f t="shared" si="7"/>
        <v>5.727100000000318E-4</v>
      </c>
      <c r="AQ95" s="88">
        <f t="shared" si="8"/>
        <v>-8.509619999999999E-3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41.248235999999999</v>
      </c>
      <c r="Y96" s="190">
        <v>44.510840999999999</v>
      </c>
      <c r="Z96" s="190">
        <v>0.99329358999999995</v>
      </c>
      <c r="AA96" s="62">
        <v>0.99639003000000004</v>
      </c>
      <c r="AB96" s="62">
        <v>7.5871525000000004E-3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3.167074999999997</v>
      </c>
      <c r="AN96" s="122">
        <f t="shared" si="5"/>
        <v>2.3608309999999975</v>
      </c>
      <c r="AO96" s="122">
        <f t="shared" si="6"/>
        <v>3.6345999999998213E-4</v>
      </c>
      <c r="AP96" s="122">
        <f t="shared" si="7"/>
        <v>1.2281000000000653E-3</v>
      </c>
      <c r="AQ96" s="88">
        <f t="shared" si="8"/>
        <v>-8.4172495000000014E-3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28.232932000000002</v>
      </c>
      <c r="Y98" s="97">
        <v>34.193750000000001</v>
      </c>
      <c r="Z98" s="97">
        <v>0.95882975000000004</v>
      </c>
      <c r="AA98" s="60">
        <v>0.95719765000000001</v>
      </c>
      <c r="AB98" s="60">
        <v>5.308906E-2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0.83311700000000144</v>
      </c>
      <c r="AN98" s="96">
        <f t="shared" si="15"/>
        <v>1.5318560000000048</v>
      </c>
      <c r="AO98" s="96">
        <f t="shared" si="16"/>
        <v>1.0611999999998734E-4</v>
      </c>
      <c r="AP98" s="96">
        <f t="shared" si="17"/>
        <v>2.5034099999999837E-3</v>
      </c>
      <c r="AQ98" s="121">
        <f t="shared" si="18"/>
        <v>-1.0285064000000003E-2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31.929663999999999</v>
      </c>
      <c r="Y99" s="190">
        <v>36.87641</v>
      </c>
      <c r="Z99" s="190">
        <v>0.97681017999999997</v>
      </c>
      <c r="AA99" s="62">
        <v>0.97488998000000004</v>
      </c>
      <c r="AB99" s="62">
        <v>2.9800322000000001E-2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1.2787439999999997</v>
      </c>
      <c r="AN99" s="122">
        <f t="shared" si="15"/>
        <v>1.4834310000000031</v>
      </c>
      <c r="AO99" s="122">
        <f t="shared" si="16"/>
        <v>3.2113999999994203E-4</v>
      </c>
      <c r="AP99" s="122">
        <f t="shared" si="17"/>
        <v>3.0232700000000223E-3</v>
      </c>
      <c r="AQ99" s="88">
        <f t="shared" si="18"/>
        <v>-8.8737049999999991E-3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37.432924</v>
      </c>
      <c r="Y100" s="190">
        <v>41.197271999999998</v>
      </c>
      <c r="Z100" s="190">
        <v>0.98885816999999998</v>
      </c>
      <c r="AA100" s="62">
        <v>0.99082018999999999</v>
      </c>
      <c r="AB100" s="62">
        <v>1.4628983999999999E-2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2.2068149999999989</v>
      </c>
      <c r="AN100" s="122">
        <f t="shared" si="15"/>
        <v>1.8200280000000006</v>
      </c>
      <c r="AO100" s="122">
        <f t="shared" si="16"/>
        <v>2.8843999999994541E-4</v>
      </c>
      <c r="AP100" s="122">
        <f t="shared" si="17"/>
        <v>7.1193000000002726E-4</v>
      </c>
      <c r="AQ100" s="88">
        <f t="shared" si="18"/>
        <v>-8.6724890000000002E-3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41.184390999999998</v>
      </c>
      <c r="Y101" s="190">
        <v>44.479174999999998</v>
      </c>
      <c r="Z101" s="190">
        <v>0.99324762</v>
      </c>
      <c r="AA101" s="62">
        <v>0.99642220999999997</v>
      </c>
      <c r="AB101" s="62">
        <v>8.0774200000000001E-3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3.1553959999999961</v>
      </c>
      <c r="AN101" s="122">
        <f t="shared" si="15"/>
        <v>2.3714129999999969</v>
      </c>
      <c r="AO101" s="122">
        <f t="shared" si="16"/>
        <v>3.8928999999998659E-4</v>
      </c>
      <c r="AP101" s="122">
        <f t="shared" si="17"/>
        <v>1.1215399999999764E-3</v>
      </c>
      <c r="AQ101" s="88">
        <f t="shared" si="18"/>
        <v>-8.3136040000000005E-3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28.124113000000001</v>
      </c>
      <c r="Y103" s="97">
        <v>33.696326999999997</v>
      </c>
      <c r="Z103" s="97">
        <v>0.95701448</v>
      </c>
      <c r="AA103" s="60">
        <v>0.95746348000000003</v>
      </c>
      <c r="AB103" s="60">
        <v>5.5277973000000001E-2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0.74189100000000252</v>
      </c>
      <c r="AN103" s="96">
        <f t="shared" si="15"/>
        <v>1.2287249999999972</v>
      </c>
      <c r="AO103" s="96">
        <f t="shared" si="16"/>
        <v>1.3620000000003074E-4</v>
      </c>
      <c r="AP103" s="96">
        <f t="shared" si="17"/>
        <v>2.1873900000000113E-3</v>
      </c>
      <c r="AQ103" s="121">
        <f t="shared" si="18"/>
        <v>-1.0089033000000004E-2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31.664546000000001</v>
      </c>
      <c r="Y104" s="190">
        <v>36.381965999999998</v>
      </c>
      <c r="Z104" s="190">
        <v>0.97594174</v>
      </c>
      <c r="AA104" s="62">
        <v>0.97376006999999998</v>
      </c>
      <c r="AB104" s="62">
        <v>3.1424087000000003E-2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1.1712400000000009</v>
      </c>
      <c r="AN104" s="122">
        <f t="shared" si="15"/>
        <v>1.2494680000000002</v>
      </c>
      <c r="AO104" s="122">
        <f t="shared" si="16"/>
        <v>2.6057999999995474E-4</v>
      </c>
      <c r="AP104" s="122">
        <f t="shared" si="17"/>
        <v>9.4711999999996799E-4</v>
      </c>
      <c r="AQ104" s="88">
        <f t="shared" si="18"/>
        <v>-8.7903659999999939E-3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36.940035000000002</v>
      </c>
      <c r="Y105" s="190">
        <v>40.663238999999997</v>
      </c>
      <c r="Z105" s="190">
        <v>0.98818938999999995</v>
      </c>
      <c r="AA105" s="62">
        <v>0.99063919</v>
      </c>
      <c r="AB105" s="62">
        <v>1.5703854999999999E-2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2.0189540000000008</v>
      </c>
      <c r="AN105" s="122">
        <f t="shared" si="15"/>
        <v>1.6229159999999965</v>
      </c>
      <c r="AO105" s="122">
        <f t="shared" si="16"/>
        <v>2.8284999999994564E-4</v>
      </c>
      <c r="AP105" s="122">
        <f t="shared" si="17"/>
        <v>6.5389999999998505E-4</v>
      </c>
      <c r="AQ105" s="88">
        <f t="shared" si="18"/>
        <v>-8.5682750000000002E-3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40.695887999999997</v>
      </c>
      <c r="Y106" s="190">
        <v>43.986601999999998</v>
      </c>
      <c r="Z106" s="190">
        <v>0.99281750999999996</v>
      </c>
      <c r="AA106" s="62">
        <v>0.99614840999999998</v>
      </c>
      <c r="AB106" s="62">
        <v>8.8029839999999998E-3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2.9332179999999966</v>
      </c>
      <c r="AN106" s="122">
        <f t="shared" si="15"/>
        <v>2.1777409999999975</v>
      </c>
      <c r="AO106" s="122">
        <f t="shared" si="16"/>
        <v>3.8428999999995384E-4</v>
      </c>
      <c r="AP106" s="122">
        <f t="shared" si="17"/>
        <v>9.396299999999691E-4</v>
      </c>
      <c r="AQ106" s="88">
        <f t="shared" si="18"/>
        <v>-8.1951099999999985E-3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27.479388</v>
      </c>
      <c r="Y641" s="136">
        <f t="shared" si="60"/>
        <v>33.312851999999999</v>
      </c>
      <c r="Z641" s="136">
        <f t="shared" si="60"/>
        <v>0.95645007000000004</v>
      </c>
      <c r="AA641" s="136">
        <f t="shared" si="60"/>
        <v>0.95317127999999995</v>
      </c>
      <c r="AB641" s="136">
        <f t="shared" si="60"/>
        <v>5.2649046999999997E-2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31.495391999999999</v>
      </c>
      <c r="Y642" s="18">
        <f t="shared" si="60"/>
        <v>36.130867000000002</v>
      </c>
      <c r="Z642" s="18">
        <f t="shared" si="60"/>
        <v>0.97432658999999999</v>
      </c>
      <c r="AA642" s="18">
        <f t="shared" si="60"/>
        <v>0.97376006999999998</v>
      </c>
      <c r="AB642" s="18">
        <f t="shared" si="60"/>
        <v>2.9098256999999999E-2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36.940035000000002</v>
      </c>
      <c r="Y643" s="18">
        <f t="shared" si="60"/>
        <v>40.659703999999998</v>
      </c>
      <c r="Z643" s="18">
        <f t="shared" si="60"/>
        <v>0.98737819000000004</v>
      </c>
      <c r="AA643" s="18">
        <f t="shared" si="60"/>
        <v>0.99059366000000004</v>
      </c>
      <c r="AB643" s="18">
        <f t="shared" si="60"/>
        <v>1.4056235E-2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40.396158999999997</v>
      </c>
      <c r="Y644" s="18">
        <f t="shared" si="60"/>
        <v>43.721727999999999</v>
      </c>
      <c r="Z644" s="18">
        <f t="shared" si="60"/>
        <v>0.99186691000000005</v>
      </c>
      <c r="AA644" s="18">
        <f t="shared" si="60"/>
        <v>0.99597970000000002</v>
      </c>
      <c r="AB644" s="18">
        <f t="shared" si="60"/>
        <v>7.5871525000000004E-3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28.232932000000002</v>
      </c>
      <c r="Y646" s="136">
        <f t="shared" si="62"/>
        <v>34.193750000000001</v>
      </c>
      <c r="Z646" s="136">
        <f t="shared" si="62"/>
        <v>0.95931756999999995</v>
      </c>
      <c r="AA646" s="136">
        <f t="shared" si="62"/>
        <v>0.95792752000000003</v>
      </c>
      <c r="AB646" s="136">
        <f t="shared" si="62"/>
        <v>6.1906334E-2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32.123202999999997</v>
      </c>
      <c r="Y647" s="18">
        <f t="shared" si="62"/>
        <v>36.992790999999997</v>
      </c>
      <c r="Z647" s="18">
        <f t="shared" si="62"/>
        <v>0.97684627999999996</v>
      </c>
      <c r="AA647" s="18">
        <f t="shared" si="62"/>
        <v>0.97719745999999996</v>
      </c>
      <c r="AB647" s="18">
        <f t="shared" si="62"/>
        <v>3.6361806000000003E-2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37.591911000000003</v>
      </c>
      <c r="Y648" s="18">
        <f t="shared" si="62"/>
        <v>41.265343999999999</v>
      </c>
      <c r="Z648" s="18">
        <f t="shared" si="62"/>
        <v>0.98892382999999995</v>
      </c>
      <c r="AA648" s="18">
        <f t="shared" si="62"/>
        <v>0.99181618999999999</v>
      </c>
      <c r="AB648" s="18">
        <f t="shared" si="62"/>
        <v>1.8933090999999999E-2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41.248235999999999</v>
      </c>
      <c r="Y649" s="18">
        <f t="shared" si="62"/>
        <v>44.510840999999999</v>
      </c>
      <c r="Z649" s="18">
        <f t="shared" si="62"/>
        <v>0.99336917999999996</v>
      </c>
      <c r="AA649" s="18">
        <f t="shared" si="62"/>
        <v>0.99648018999999999</v>
      </c>
      <c r="AB649" s="18">
        <f t="shared" si="62"/>
        <v>1.1601329000000001E-2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0.75354400000000155</v>
      </c>
      <c r="Y651" s="136">
        <f t="shared" si="64"/>
        <v>0.88089800000000196</v>
      </c>
      <c r="Z651" s="136">
        <f t="shared" si="64"/>
        <v>2.8674999999999118E-3</v>
      </c>
      <c r="AA651" s="136">
        <f t="shared" si="64"/>
        <v>4.7562400000000782E-3</v>
      </c>
      <c r="AB651" s="136">
        <f t="shared" si="64"/>
        <v>9.2572870000000029E-3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0.62781099999999768</v>
      </c>
      <c r="Y652" s="18">
        <f t="shared" si="64"/>
        <v>0.86192399999999481</v>
      </c>
      <c r="Z652" s="18">
        <f t="shared" si="64"/>
        <v>2.5196899999999633E-3</v>
      </c>
      <c r="AA652" s="18">
        <f t="shared" si="64"/>
        <v>3.4373899999999846E-3</v>
      </c>
      <c r="AB652" s="18">
        <f t="shared" si="64"/>
        <v>7.2635490000000046E-3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0.65187600000000145</v>
      </c>
      <c r="Y653" s="18">
        <f t="shared" si="64"/>
        <v>0.60564000000000107</v>
      </c>
      <c r="Z653" s="18">
        <f t="shared" si="64"/>
        <v>1.5456399999999038E-3</v>
      </c>
      <c r="AA653" s="18">
        <f t="shared" si="64"/>
        <v>1.2225299999999439E-3</v>
      </c>
      <c r="AB653" s="18">
        <f t="shared" si="64"/>
        <v>4.8768559999999989E-3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0.85207700000000131</v>
      </c>
      <c r="Y654" s="18">
        <f t="shared" si="64"/>
        <v>0.7891130000000004</v>
      </c>
      <c r="Z654" s="18">
        <f t="shared" si="64"/>
        <v>1.5022699999999167E-3</v>
      </c>
      <c r="AA654" s="18">
        <f t="shared" si="64"/>
        <v>5.0048999999996457E-4</v>
      </c>
      <c r="AB654" s="18">
        <f t="shared" si="64"/>
        <v>4.0141765000000001E-3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breakfast_semitrack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breakfast_semitrack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38189.175999999999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27.927755399999999</v>
      </c>
      <c r="Y5" s="30">
        <f t="shared" si="2"/>
        <v>33.82971633333333</v>
      </c>
      <c r="Z5" s="30">
        <f t="shared" si="2"/>
        <v>0.95675044266666676</v>
      </c>
      <c r="AA5" s="91">
        <f t="shared" si="2"/>
        <v>0.95599265866666672</v>
      </c>
      <c r="AB5" s="91">
        <f t="shared" si="2"/>
        <v>5.7653934866666666E-2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-0.12471531819401249</v>
      </c>
      <c r="AN5" s="245">
        <f>bdrate($E5:$E8,G5:G8,$W5:$W8,Y5:Y8)</f>
        <v>-0.15267372801615042</v>
      </c>
      <c r="AO5" s="245">
        <f>bdrate($E5:$E8,H5:H8,$W5:$W8,Z5:Z8)</f>
        <v>-4.0343826924288395E-3</v>
      </c>
      <c r="AP5" s="245">
        <f>bdrate($E5:$E8,I5:I8,$W5:$W8,AA5:AA8)</f>
        <v>-4.0495650675673622E-2</v>
      </c>
      <c r="AQ5" s="246">
        <f>bdrateInverted($E5:$E8,J5:J8,$W5:$W8,AB5:AB8)</f>
        <v>-0.16519343803910203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55003.951999999997</v>
      </c>
      <c r="X6" s="91">
        <f t="shared" si="2"/>
        <v>31.9758496</v>
      </c>
      <c r="Y6" s="91">
        <f t="shared" si="2"/>
        <v>36.727271933333334</v>
      </c>
      <c r="Z6" s="91">
        <f t="shared" si="2"/>
        <v>0.97529467133333325</v>
      </c>
      <c r="AA6" s="91">
        <f t="shared" si="2"/>
        <v>0.97512612600000004</v>
      </c>
      <c r="AB6" s="91">
        <f t="shared" si="2"/>
        <v>3.2993913999999999E-2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79280.38400000002</v>
      </c>
      <c r="X7" s="91">
        <f t="shared" si="2"/>
        <v>37.232871266666663</v>
      </c>
      <c r="Y7" s="91">
        <f t="shared" si="2"/>
        <v>40.904221799999988</v>
      </c>
      <c r="Z7" s="91">
        <f t="shared" si="2"/>
        <v>0.98793152200000001</v>
      </c>
      <c r="AA7" s="91">
        <f t="shared" si="2"/>
        <v>0.99073920000000015</v>
      </c>
      <c r="AB7" s="91">
        <f t="shared" si="2"/>
        <v>1.6347793166666666E-2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112233.45600000001</v>
      </c>
      <c r="X8" s="91">
        <f t="shared" si="2"/>
        <v>40.654519933333326</v>
      </c>
      <c r="Y8" s="91">
        <f t="shared" si="2"/>
        <v>43.997404999999993</v>
      </c>
      <c r="Z8" s="91">
        <f t="shared" si="2"/>
        <v>0.9923799419999999</v>
      </c>
      <c r="AA8" s="91">
        <f t="shared" si="2"/>
        <v>0.99613614133333328</v>
      </c>
      <c r="AB8" s="91">
        <f t="shared" si="2"/>
        <v>9.7067375000000015E-3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6005.9040000000005</v>
      </c>
      <c r="X16" s="167">
        <v>7089.0479999999998</v>
      </c>
      <c r="Y16" s="167">
        <v>2762.7280000000001</v>
      </c>
      <c r="Z16" s="167">
        <v>1101.3440000000001</v>
      </c>
      <c r="AA16" s="167">
        <v>191.65600000000001</v>
      </c>
      <c r="AB16" s="167">
        <v>11311.088</v>
      </c>
      <c r="AC16" s="60">
        <v>7331.9840000000004</v>
      </c>
      <c r="AD16" s="60">
        <v>2395.424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6005.9040000000005</v>
      </c>
      <c r="X17" s="168">
        <v>9355.5519999999997</v>
      </c>
      <c r="Y17" s="168">
        <v>7061.56</v>
      </c>
      <c r="Z17" s="168">
        <v>3811.1120000000001</v>
      </c>
      <c r="AA17" s="168">
        <v>1404.6</v>
      </c>
      <c r="AB17" s="168">
        <v>14528.296</v>
      </c>
      <c r="AC17" s="62">
        <v>9682.0640000000003</v>
      </c>
      <c r="AD17" s="62">
        <v>3154.864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6005.9040000000005</v>
      </c>
      <c r="X18" s="168">
        <v>11673.432000000001</v>
      </c>
      <c r="Y18" s="168">
        <v>12783.992</v>
      </c>
      <c r="Z18" s="168">
        <v>9120.9760000000006</v>
      </c>
      <c r="AA18" s="168">
        <v>5758.4080000000004</v>
      </c>
      <c r="AB18" s="168">
        <v>17869.776000000002</v>
      </c>
      <c r="AC18" s="62">
        <v>12136.808000000001</v>
      </c>
      <c r="AD18" s="62">
        <v>3931.0880000000002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6005.9040000000005</v>
      </c>
      <c r="X19" s="168">
        <v>13882.68</v>
      </c>
      <c r="Y19" s="168">
        <v>19074.256000000001</v>
      </c>
      <c r="Z19" s="168">
        <v>17274.919999999998</v>
      </c>
      <c r="AA19" s="168">
        <v>15230.263999999999</v>
      </c>
      <c r="AB19" s="168">
        <v>21317.344000000001</v>
      </c>
      <c r="AC19" s="62">
        <v>14705.2</v>
      </c>
      <c r="AD19" s="62">
        <v>4742.8879999999999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38189.175999999999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55003.951999999997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79280.38400000002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112233.45600000001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27.448905</v>
      </c>
      <c r="Y33" s="97">
        <v>33.329424000000003</v>
      </c>
      <c r="Z33" s="97">
        <v>0.95612200000000003</v>
      </c>
      <c r="AA33" s="60">
        <v>0.95290567000000004</v>
      </c>
      <c r="AB33" s="60">
        <v>6.2098473000000001E-2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0.6261960000000002</v>
      </c>
      <c r="AN33" s="96">
        <f t="shared" ref="AN33:AN96" si="5">IF(OR(Y33="",G33=""),"",Y33-G33)</f>
        <v>1.4351500000000037</v>
      </c>
      <c r="AO33" s="96">
        <f t="shared" ref="AO33:AO96" si="6">IF(OR(Z33="",H33=""),"",Z33-H33)</f>
        <v>-2.2242999999999569E-4</v>
      </c>
      <c r="AP33" s="96">
        <f t="shared" ref="AP33:AP96" si="7">IF(OR(AA33="",I33=""),"",AA33-I33)</f>
        <v>3.1617600000000134E-3</v>
      </c>
      <c r="AQ33" s="121">
        <f t="shared" ref="AQ33:AQ96" si="8">IF(OR(AB33="",J33=""),"",AB33-J33)</f>
        <v>-1.1063297E-2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31.871102</v>
      </c>
      <c r="Y34" s="190">
        <v>36.448884</v>
      </c>
      <c r="Z34" s="190">
        <v>0.97530517999999999</v>
      </c>
      <c r="AA34" s="62">
        <v>0.97567764999999995</v>
      </c>
      <c r="AB34" s="62">
        <v>3.5900219999999997E-2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1.1524250000000009</v>
      </c>
      <c r="AN34" s="122">
        <f t="shared" si="5"/>
        <v>1.3431190000000015</v>
      </c>
      <c r="AO34" s="122">
        <f t="shared" si="6"/>
        <v>3.7120000000001596E-4</v>
      </c>
      <c r="AP34" s="122">
        <f t="shared" si="7"/>
        <v>3.0689099999999803E-3</v>
      </c>
      <c r="AQ34" s="88">
        <f t="shared" si="8"/>
        <v>-9.1034920000000047E-3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37.228796000000003</v>
      </c>
      <c r="Y35" s="190">
        <v>40.829683000000003</v>
      </c>
      <c r="Z35" s="190">
        <v>0.98781271000000004</v>
      </c>
      <c r="AA35" s="62">
        <v>0.99061396000000002</v>
      </c>
      <c r="AB35" s="62">
        <v>1.8306926000000001E-2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2.0204629999999995</v>
      </c>
      <c r="AN35" s="122">
        <f t="shared" si="5"/>
        <v>1.5570340000000016</v>
      </c>
      <c r="AO35" s="122">
        <f t="shared" si="6"/>
        <v>4.1125000000008516E-4</v>
      </c>
      <c r="AP35" s="122">
        <f t="shared" si="7"/>
        <v>6.0809000000006108E-4</v>
      </c>
      <c r="AQ35" s="88">
        <f t="shared" si="8"/>
        <v>-8.232345999999998E-3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40.825406999999998</v>
      </c>
      <c r="Y36" s="190">
        <v>44.119067000000001</v>
      </c>
      <c r="Z36" s="190">
        <v>0.99228483000000001</v>
      </c>
      <c r="AA36" s="62">
        <v>0.99616853999999999</v>
      </c>
      <c r="AB36" s="62">
        <v>1.0305333999999999E-2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3.0036039999999957</v>
      </c>
      <c r="AN36" s="122">
        <f t="shared" si="5"/>
        <v>2.2075060000000022</v>
      </c>
      <c r="AO36" s="122">
        <f t="shared" si="6"/>
        <v>4.4458000000002773E-4</v>
      </c>
      <c r="AP36" s="122">
        <f t="shared" si="7"/>
        <v>9.5460999999996687E-4</v>
      </c>
      <c r="AQ36" s="88">
        <f t="shared" si="8"/>
        <v>-8.1696700000000004E-3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27.806380999999998</v>
      </c>
      <c r="Y38" s="97">
        <v>33.650067</v>
      </c>
      <c r="Z38" s="97">
        <v>0.95692482999999995</v>
      </c>
      <c r="AA38" s="60">
        <v>0.95506939999999996</v>
      </c>
      <c r="AB38" s="60">
        <v>5.9184432000000002E-2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0.65135099999999824</v>
      </c>
      <c r="AN38" s="96">
        <f t="shared" si="5"/>
        <v>1.4434979999999982</v>
      </c>
      <c r="AO38" s="96">
        <f t="shared" si="6"/>
        <v>-3.7843000000004068E-4</v>
      </c>
      <c r="AP38" s="96">
        <f t="shared" si="7"/>
        <v>2.397609999999939E-3</v>
      </c>
      <c r="AQ38" s="121">
        <f t="shared" si="8"/>
        <v>-1.1204657999999999E-2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31.930313000000002</v>
      </c>
      <c r="Y39" s="190">
        <v>36.510362999999998</v>
      </c>
      <c r="Z39" s="190">
        <v>0.97532098</v>
      </c>
      <c r="AA39" s="62">
        <v>0.97591061999999995</v>
      </c>
      <c r="AB39" s="62">
        <v>3.4853875999999999E-2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1.2597500000000004</v>
      </c>
      <c r="AN39" s="122">
        <f t="shared" si="5"/>
        <v>1.4263139999999979</v>
      </c>
      <c r="AO39" s="122">
        <f t="shared" si="6"/>
        <v>3.9513999999996052E-4</v>
      </c>
      <c r="AP39" s="122">
        <f t="shared" si="7"/>
        <v>2.9017099999999463E-3</v>
      </c>
      <c r="AQ39" s="88">
        <f t="shared" si="8"/>
        <v>-9.5125880000000024E-3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37.225316999999997</v>
      </c>
      <c r="Y40" s="190">
        <v>40.839395000000003</v>
      </c>
      <c r="Z40" s="190">
        <v>0.98761131999999996</v>
      </c>
      <c r="AA40" s="62">
        <v>0.99098600999999997</v>
      </c>
      <c r="AB40" s="62">
        <v>1.7847183999999999E-2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2.143101999999999</v>
      </c>
      <c r="AN40" s="122">
        <f t="shared" si="5"/>
        <v>1.6643460000000019</v>
      </c>
      <c r="AO40" s="122">
        <f t="shared" si="6"/>
        <v>3.9724999999990462E-4</v>
      </c>
      <c r="AP40" s="122">
        <f t="shared" si="7"/>
        <v>5.7393999999999501E-4</v>
      </c>
      <c r="AQ40" s="88">
        <f t="shared" si="8"/>
        <v>-9.1363080000000027E-3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40.700541999999999</v>
      </c>
      <c r="Y41" s="190">
        <v>44.018999000000001</v>
      </c>
      <c r="Z41" s="190">
        <v>0.99201843000000001</v>
      </c>
      <c r="AA41" s="62">
        <v>0.99611514999999995</v>
      </c>
      <c r="AB41" s="62">
        <v>1.0421289E-2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3.1365189999999998</v>
      </c>
      <c r="AN41" s="122">
        <f t="shared" si="5"/>
        <v>2.3454660000000018</v>
      </c>
      <c r="AO41" s="122">
        <f t="shared" si="6"/>
        <v>4.6860000000004121E-4</v>
      </c>
      <c r="AP41" s="122">
        <f t="shared" si="7"/>
        <v>9.4022999999998635E-4</v>
      </c>
      <c r="AQ41" s="88">
        <f t="shared" si="8"/>
        <v>-8.9705609999999984E-3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28.079141</v>
      </c>
      <c r="Y43" s="97">
        <v>33.830942999999998</v>
      </c>
      <c r="Z43" s="97">
        <v>0.95712989000000004</v>
      </c>
      <c r="AA43" s="60">
        <v>0.95592953999999997</v>
      </c>
      <c r="AB43" s="60">
        <v>5.5416882000000001E-2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0.68321399999999954</v>
      </c>
      <c r="AN43" s="96">
        <f t="shared" si="5"/>
        <v>1.4046419999999955</v>
      </c>
      <c r="AO43" s="96">
        <f t="shared" si="6"/>
        <v>-4.2322999999999666E-4</v>
      </c>
      <c r="AP43" s="96">
        <f t="shared" si="7"/>
        <v>9.4572999999997798E-4</v>
      </c>
      <c r="AQ43" s="121">
        <f t="shared" si="8"/>
        <v>-1.0060557999999997E-2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31.938344000000001</v>
      </c>
      <c r="Y44" s="190">
        <v>36.518026999999996</v>
      </c>
      <c r="Z44" s="190">
        <v>0.97496260000000001</v>
      </c>
      <c r="AA44" s="62">
        <v>0.97600986000000001</v>
      </c>
      <c r="AB44" s="62">
        <v>3.2791399999999998E-2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1.2405849999999994</v>
      </c>
      <c r="AN44" s="122">
        <f t="shared" si="5"/>
        <v>1.4035729999999944</v>
      </c>
      <c r="AO44" s="122">
        <f t="shared" si="6"/>
        <v>4.08970000000064E-4</v>
      </c>
      <c r="AP44" s="122">
        <f t="shared" si="7"/>
        <v>2.9923699999999664E-3</v>
      </c>
      <c r="AQ44" s="88">
        <f t="shared" si="8"/>
        <v>-8.470187000000004E-3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37.261293000000002</v>
      </c>
      <c r="Y45" s="190">
        <v>40.856439999999999</v>
      </c>
      <c r="Z45" s="190">
        <v>0.98761829000000001</v>
      </c>
      <c r="AA45" s="62">
        <v>0.99094831999999999</v>
      </c>
      <c r="AB45" s="62">
        <v>1.6681237000000002E-2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2.0674880000000044</v>
      </c>
      <c r="AN45" s="122">
        <f t="shared" si="5"/>
        <v>1.6012399999999971</v>
      </c>
      <c r="AO45" s="122">
        <f t="shared" si="6"/>
        <v>3.972399999999654E-4</v>
      </c>
      <c r="AP45" s="122">
        <f t="shared" si="7"/>
        <v>5.6422000000000416E-4</v>
      </c>
      <c r="AQ45" s="88">
        <f t="shared" si="8"/>
        <v>-8.2535779999999975E-3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40.653821000000001</v>
      </c>
      <c r="Y46" s="190">
        <v>43.963045000000001</v>
      </c>
      <c r="Z46" s="190">
        <v>0.99208658999999999</v>
      </c>
      <c r="AA46" s="62">
        <v>0.99610935</v>
      </c>
      <c r="AB46" s="62">
        <v>9.8762469999999995E-3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3.0516059999999996</v>
      </c>
      <c r="AN46" s="122">
        <f t="shared" si="5"/>
        <v>2.2721739999999997</v>
      </c>
      <c r="AO46" s="122">
        <f t="shared" si="6"/>
        <v>4.8610000000004483E-4</v>
      </c>
      <c r="AP46" s="122">
        <f t="shared" si="7"/>
        <v>9.718400000000571E-4</v>
      </c>
      <c r="AQ46" s="88">
        <f t="shared" si="8"/>
        <v>-8.1513979999999989E-3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28.109839000000001</v>
      </c>
      <c r="Y48" s="97">
        <v>33.806786000000002</v>
      </c>
      <c r="Z48" s="97">
        <v>0.95742216999999996</v>
      </c>
      <c r="AA48" s="60">
        <v>0.95718716000000004</v>
      </c>
      <c r="AB48" s="60">
        <v>5.778341E-2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0.70375200000000149</v>
      </c>
      <c r="AN48" s="96">
        <f t="shared" si="5"/>
        <v>1.3798960000000022</v>
      </c>
      <c r="AO48" s="96">
        <f t="shared" si="6"/>
        <v>-3.5106000000006965E-4</v>
      </c>
      <c r="AP48" s="96">
        <f t="shared" si="7"/>
        <v>2.2233500000000683E-3</v>
      </c>
      <c r="AQ48" s="121">
        <f t="shared" si="8"/>
        <v>-9.3575599999999939E-3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31.776744999999998</v>
      </c>
      <c r="Y49" s="190">
        <v>36.383555999999999</v>
      </c>
      <c r="Z49" s="190">
        <v>0.97451703000000001</v>
      </c>
      <c r="AA49" s="62">
        <v>0.97515735000000003</v>
      </c>
      <c r="AB49" s="62">
        <v>3.4849209999999999E-2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1.2254799999999975</v>
      </c>
      <c r="AN49" s="122">
        <f t="shared" si="5"/>
        <v>1.4047020000000003</v>
      </c>
      <c r="AO49" s="122">
        <f t="shared" si="6"/>
        <v>4.3616999999995798E-4</v>
      </c>
      <c r="AP49" s="122">
        <f t="shared" si="7"/>
        <v>2.9781500000000127E-3</v>
      </c>
      <c r="AQ49" s="88">
        <f t="shared" si="8"/>
        <v>-8.7753960000000047E-3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37.196416999999997</v>
      </c>
      <c r="Y50" s="190">
        <v>40.794898000000003</v>
      </c>
      <c r="Z50" s="190">
        <v>0.98739157</v>
      </c>
      <c r="AA50" s="62">
        <v>0.99065548000000003</v>
      </c>
      <c r="AB50" s="62">
        <v>1.7971939999999999E-2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1.9807670000000002</v>
      </c>
      <c r="AN50" s="122">
        <f t="shared" si="5"/>
        <v>1.5306720000000027</v>
      </c>
      <c r="AO50" s="122">
        <f t="shared" si="6"/>
        <v>3.9608999999996009E-4</v>
      </c>
      <c r="AP50" s="122">
        <f t="shared" si="7"/>
        <v>4.4163000000008168E-4</v>
      </c>
      <c r="AQ50" s="88">
        <f t="shared" si="8"/>
        <v>-8.1127739999999997E-3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40.507938000000003</v>
      </c>
      <c r="Y51" s="190">
        <v>43.843156999999998</v>
      </c>
      <c r="Z51" s="190">
        <v>0.99188867999999997</v>
      </c>
      <c r="AA51" s="62">
        <v>0.99606448000000003</v>
      </c>
      <c r="AB51" s="62">
        <v>1.1154443E-2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2.9630610000000033</v>
      </c>
      <c r="AN51" s="122">
        <f t="shared" si="5"/>
        <v>2.2232640000000004</v>
      </c>
      <c r="AO51" s="122">
        <f t="shared" si="6"/>
        <v>5.0036999999991671E-4</v>
      </c>
      <c r="AP51" s="122">
        <f t="shared" si="7"/>
        <v>9.9053999999998421E-4</v>
      </c>
      <c r="AQ51" s="88">
        <f t="shared" si="8"/>
        <v>-8.0251040000000017E-3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28.148945000000001</v>
      </c>
      <c r="Y53" s="97">
        <v>33.696365999999998</v>
      </c>
      <c r="Z53" s="97">
        <v>0.95542921999999997</v>
      </c>
      <c r="AA53" s="60">
        <v>0.95743962000000005</v>
      </c>
      <c r="AB53" s="60">
        <v>6.1532073E-2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0.6870989999999999</v>
      </c>
      <c r="AN53" s="96">
        <f t="shared" si="5"/>
        <v>1.2780909999999963</v>
      </c>
      <c r="AO53" s="96">
        <f t="shared" si="6"/>
        <v>-4.2127000000002912E-4</v>
      </c>
      <c r="AP53" s="96">
        <f t="shared" si="7"/>
        <v>2.0465900000000703E-3</v>
      </c>
      <c r="AQ53" s="121">
        <f t="shared" si="8"/>
        <v>-9.4469369999999955E-3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31.747858000000001</v>
      </c>
      <c r="Y54" s="190">
        <v>36.268974</v>
      </c>
      <c r="Z54" s="190">
        <v>0.97366114000000004</v>
      </c>
      <c r="AA54" s="62">
        <v>0.97538365000000005</v>
      </c>
      <c r="AB54" s="62">
        <v>3.7369378000000002E-2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1.2123580000000018</v>
      </c>
      <c r="AN54" s="122">
        <f t="shared" si="5"/>
        <v>1.3271719999999974</v>
      </c>
      <c r="AO54" s="122">
        <f t="shared" si="6"/>
        <v>4.0465000000000639E-4</v>
      </c>
      <c r="AP54" s="122">
        <f t="shared" si="7"/>
        <v>2.7979300000000595E-3</v>
      </c>
      <c r="AQ54" s="88">
        <f t="shared" si="8"/>
        <v>-8.5276069999999995E-3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36.9298</v>
      </c>
      <c r="Y55" s="190">
        <v>40.524042999999999</v>
      </c>
      <c r="Z55" s="190">
        <v>0.98676116999999997</v>
      </c>
      <c r="AA55" s="62">
        <v>0.99032571000000003</v>
      </c>
      <c r="AB55" s="62">
        <v>1.9738606999999998E-2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1.9301859999999991</v>
      </c>
      <c r="AN55" s="122">
        <f t="shared" si="5"/>
        <v>1.4934179999999984</v>
      </c>
      <c r="AO55" s="122">
        <f t="shared" si="6"/>
        <v>3.6689999999994782E-4</v>
      </c>
      <c r="AP55" s="122">
        <f t="shared" si="7"/>
        <v>4.5072000000001555E-4</v>
      </c>
      <c r="AQ55" s="88">
        <f t="shared" si="8"/>
        <v>-8.1535830000000024E-3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40.044241</v>
      </c>
      <c r="Y56" s="190">
        <v>43.401145999999997</v>
      </c>
      <c r="Z56" s="190">
        <v>0.99139703000000001</v>
      </c>
      <c r="AA56" s="62">
        <v>0.99576602999999997</v>
      </c>
      <c r="AB56" s="62">
        <v>1.2743864000000001E-2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2.7966789999999975</v>
      </c>
      <c r="AN56" s="122">
        <f t="shared" si="5"/>
        <v>2.1067899999999966</v>
      </c>
      <c r="AO56" s="122">
        <f t="shared" si="6"/>
        <v>4.7169000000002459E-4</v>
      </c>
      <c r="AP56" s="122">
        <f t="shared" si="7"/>
        <v>9.2331000000001051E-4</v>
      </c>
      <c r="AQ56" s="88">
        <f t="shared" si="8"/>
        <v>-7.8798739999999985E-3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27.640698</v>
      </c>
      <c r="Y58" s="97">
        <v>33.757055999999999</v>
      </c>
      <c r="Z58" s="97">
        <v>0.95670120999999997</v>
      </c>
      <c r="AA58" s="60">
        <v>0.95586707000000004</v>
      </c>
      <c r="AB58" s="60">
        <v>6.1096534000000001E-2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0.62478499999999926</v>
      </c>
      <c r="AN58" s="96">
        <f t="shared" si="5"/>
        <v>1.6282149999999973</v>
      </c>
      <c r="AO58" s="96">
        <f t="shared" si="6"/>
        <v>-3.1895000000004003E-4</v>
      </c>
      <c r="AP58" s="96">
        <f t="shared" si="7"/>
        <v>1.3919300000000412E-3</v>
      </c>
      <c r="AQ58" s="121">
        <f t="shared" si="8"/>
        <v>-1.2355146000000004E-2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32.172727999999999</v>
      </c>
      <c r="Y59" s="190">
        <v>36.994264999999999</v>
      </c>
      <c r="Z59" s="190">
        <v>0.97603311000000004</v>
      </c>
      <c r="AA59" s="62">
        <v>0.97670356000000003</v>
      </c>
      <c r="AB59" s="62">
        <v>3.3220939999999997E-2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1.3013879999999993</v>
      </c>
      <c r="AN59" s="122">
        <f t="shared" si="5"/>
        <v>1.589897999999998</v>
      </c>
      <c r="AO59" s="122">
        <f t="shared" si="6"/>
        <v>2.8600000000000847E-4</v>
      </c>
      <c r="AP59" s="122">
        <f t="shared" si="7"/>
        <v>2.2494699999999757E-3</v>
      </c>
      <c r="AQ59" s="88">
        <f t="shared" si="8"/>
        <v>-1.0317016000000005E-2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37.427103000000002</v>
      </c>
      <c r="Y60" s="190">
        <v>41.073217999999997</v>
      </c>
      <c r="Z60" s="190">
        <v>0.98852474999999995</v>
      </c>
      <c r="AA60" s="62">
        <v>0.99141115000000002</v>
      </c>
      <c r="AB60" s="62">
        <v>1.5796265E-2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2.2421870000000013</v>
      </c>
      <c r="AN60" s="122">
        <f t="shared" si="5"/>
        <v>1.7741849999999957</v>
      </c>
      <c r="AO60" s="122">
        <f t="shared" si="6"/>
        <v>3.4582999999999142E-4</v>
      </c>
      <c r="AP60" s="122">
        <f t="shared" si="7"/>
        <v>8.6684000000003536E-4</v>
      </c>
      <c r="AQ60" s="88">
        <f t="shared" si="8"/>
        <v>-8.7308429999999985E-3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40.954813999999999</v>
      </c>
      <c r="Y61" s="190">
        <v>44.288417000000003</v>
      </c>
      <c r="Z61" s="190">
        <v>0.99290140999999998</v>
      </c>
      <c r="AA61" s="62">
        <v>0.99635848999999999</v>
      </c>
      <c r="AB61" s="62">
        <v>8.7908580000000004E-3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3.2060949999999977</v>
      </c>
      <c r="AN61" s="122">
        <f t="shared" si="5"/>
        <v>2.4322540000000004</v>
      </c>
      <c r="AO61" s="122">
        <f t="shared" si="6"/>
        <v>4.4562000000003543E-4</v>
      </c>
      <c r="AP61" s="122">
        <f t="shared" si="7"/>
        <v>8.1025999999995157E-4</v>
      </c>
      <c r="AQ61" s="88">
        <f t="shared" si="8"/>
        <v>-8.9078269999999984E-3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27.819072999999999</v>
      </c>
      <c r="Y63" s="97">
        <v>33.927163999999998</v>
      </c>
      <c r="Z63" s="97">
        <v>0.95764035000000003</v>
      </c>
      <c r="AA63" s="60">
        <v>0.95507792999999996</v>
      </c>
      <c r="AB63" s="60">
        <v>5.595232E-2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0.67797099999999944</v>
      </c>
      <c r="AN63" s="96">
        <f t="shared" si="5"/>
        <v>1.6011439999999979</v>
      </c>
      <c r="AO63" s="96">
        <f t="shared" si="6"/>
        <v>-3.5034000000000454E-4</v>
      </c>
      <c r="AP63" s="96">
        <f t="shared" si="7"/>
        <v>1.471249999999924E-3</v>
      </c>
      <c r="AQ63" s="121">
        <f t="shared" si="8"/>
        <v>-1.125922E-2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32.083157999999997</v>
      </c>
      <c r="Y64" s="190">
        <v>36.978878999999999</v>
      </c>
      <c r="Z64" s="190">
        <v>0.97595562999999996</v>
      </c>
      <c r="AA64" s="62">
        <v>0.97450579000000004</v>
      </c>
      <c r="AB64" s="62">
        <v>3.1672223999999999E-2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1.3186169999999962</v>
      </c>
      <c r="AN64" s="122">
        <f t="shared" si="5"/>
        <v>1.6229879999999994</v>
      </c>
      <c r="AO64" s="122">
        <f t="shared" si="6"/>
        <v>4.0803000000000367E-4</v>
      </c>
      <c r="AP64" s="122">
        <f t="shared" si="7"/>
        <v>3.0743500000000035E-3</v>
      </c>
      <c r="AQ64" s="88">
        <f t="shared" si="8"/>
        <v>-9.9818460000000026E-3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37.500849000000002</v>
      </c>
      <c r="Y65" s="190">
        <v>41.152645999999997</v>
      </c>
      <c r="Z65" s="190">
        <v>0.98844308000000003</v>
      </c>
      <c r="AA65" s="62">
        <v>0.99098149999999996</v>
      </c>
      <c r="AB65" s="62">
        <v>1.5051365000000001E-2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2.2928110000000004</v>
      </c>
      <c r="AN65" s="122">
        <f t="shared" si="5"/>
        <v>1.8167860000000005</v>
      </c>
      <c r="AO65" s="122">
        <f t="shared" si="6"/>
        <v>3.6758000000003399E-4</v>
      </c>
      <c r="AP65" s="122">
        <f t="shared" si="7"/>
        <v>8.4140999999993138E-4</v>
      </c>
      <c r="AQ65" s="88">
        <f t="shared" si="8"/>
        <v>-8.7579189999999994E-3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40.975096000000001</v>
      </c>
      <c r="Y66" s="190">
        <v>44.290762999999998</v>
      </c>
      <c r="Z66" s="190">
        <v>0.99273222999999999</v>
      </c>
      <c r="AA66" s="62">
        <v>0.99632409</v>
      </c>
      <c r="AB66" s="62">
        <v>8.5320480000000004E-3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3.2671800000000033</v>
      </c>
      <c r="AN66" s="122">
        <f t="shared" si="5"/>
        <v>2.4700419999999994</v>
      </c>
      <c r="AO66" s="122">
        <f t="shared" si="6"/>
        <v>4.5859999999997569E-4</v>
      </c>
      <c r="AP66" s="122">
        <f t="shared" si="7"/>
        <v>1.065940000000043E-3</v>
      </c>
      <c r="AQ66" s="88">
        <f t="shared" si="8"/>
        <v>-8.8793589999999999E-3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28.050208999999999</v>
      </c>
      <c r="Y68" s="97">
        <v>34.082267999999999</v>
      </c>
      <c r="Z68" s="97">
        <v>0.95801568000000004</v>
      </c>
      <c r="AA68" s="60">
        <v>0.95578521999999999</v>
      </c>
      <c r="AB68" s="60">
        <v>5.3889920000000001E-2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0.71850099999999983</v>
      </c>
      <c r="AN68" s="96">
        <f t="shared" si="5"/>
        <v>1.5751270000000019</v>
      </c>
      <c r="AO68" s="96">
        <f t="shared" si="6"/>
        <v>-2.709699999999815E-4</v>
      </c>
      <c r="AP68" s="96">
        <f t="shared" si="7"/>
        <v>1.4493899999999948E-3</v>
      </c>
      <c r="AQ68" s="121">
        <f t="shared" si="8"/>
        <v>-1.0387500000000001E-2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32.152557999999999</v>
      </c>
      <c r="Y69" s="190">
        <v>37.038474999999998</v>
      </c>
      <c r="Z69" s="190">
        <v>0.97561246000000001</v>
      </c>
      <c r="AA69" s="62">
        <v>0.97417916999999998</v>
      </c>
      <c r="AB69" s="62">
        <v>3.1123687000000001E-2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1.3030039999999978</v>
      </c>
      <c r="AN69" s="122">
        <f t="shared" si="5"/>
        <v>1.5919789999999949</v>
      </c>
      <c r="AO69" s="122">
        <f t="shared" si="6"/>
        <v>4.0245999999999338E-4</v>
      </c>
      <c r="AP69" s="122">
        <f t="shared" si="7"/>
        <v>3.2606400000000368E-3</v>
      </c>
      <c r="AQ69" s="88">
        <f t="shared" si="8"/>
        <v>-9.3655359999999972E-3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37.455981000000001</v>
      </c>
      <c r="Y70" s="190">
        <v>41.130828999999999</v>
      </c>
      <c r="Z70" s="190">
        <v>0.98822631000000005</v>
      </c>
      <c r="AA70" s="62">
        <v>0.99041414999999999</v>
      </c>
      <c r="AB70" s="62">
        <v>1.4754428999999999E-2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2.2234309999999979</v>
      </c>
      <c r="AN70" s="122">
        <f t="shared" si="5"/>
        <v>1.7809960000000018</v>
      </c>
      <c r="AO70" s="122">
        <f t="shared" si="6"/>
        <v>3.5735000000003403E-4</v>
      </c>
      <c r="AP70" s="122">
        <f t="shared" si="7"/>
        <v>7.3875000000001023E-4</v>
      </c>
      <c r="AQ70" s="88">
        <f t="shared" si="8"/>
        <v>-8.6544459999999997E-3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40.808850999999997</v>
      </c>
      <c r="Y71" s="190">
        <v>44.145842999999999</v>
      </c>
      <c r="Z71" s="190">
        <v>0.99256323999999996</v>
      </c>
      <c r="AA71" s="62">
        <v>0.99621841</v>
      </c>
      <c r="AB71" s="62">
        <v>8.7554020000000007E-3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3.1643959999999964</v>
      </c>
      <c r="AN71" s="122">
        <f t="shared" si="5"/>
        <v>2.4092289999999963</v>
      </c>
      <c r="AO71" s="122">
        <f t="shared" si="6"/>
        <v>4.4575999999996174E-4</v>
      </c>
      <c r="AP71" s="122">
        <f t="shared" si="7"/>
        <v>1.1755700000000147E-3</v>
      </c>
      <c r="AQ71" s="88">
        <f t="shared" si="8"/>
        <v>-8.6076779999999988E-3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28.071752</v>
      </c>
      <c r="Y73" s="97">
        <v>34.067557999999998</v>
      </c>
      <c r="Z73" s="97">
        <v>0.95793545000000002</v>
      </c>
      <c r="AA73" s="60">
        <v>0.95571302000000002</v>
      </c>
      <c r="AB73" s="60">
        <v>5.4112920000000002E-2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0.70721400000000045</v>
      </c>
      <c r="AN73" s="96">
        <f t="shared" si="5"/>
        <v>1.5549570000000017</v>
      </c>
      <c r="AO73" s="96">
        <f t="shared" si="6"/>
        <v>-4.4307999999992909E-4</v>
      </c>
      <c r="AP73" s="96">
        <f t="shared" si="7"/>
        <v>2.281570000000066E-3</v>
      </c>
      <c r="AQ73" s="121">
        <f t="shared" si="8"/>
        <v>-1.0330650000000004E-2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32.115924</v>
      </c>
      <c r="Y74" s="190">
        <v>36.986457999999999</v>
      </c>
      <c r="Z74" s="190">
        <v>0.97536802</v>
      </c>
      <c r="AA74" s="62">
        <v>0.97403397999999997</v>
      </c>
      <c r="AB74" s="62">
        <v>3.1519808000000003E-2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1.273771</v>
      </c>
      <c r="AN74" s="122">
        <f t="shared" si="5"/>
        <v>1.5758969999999977</v>
      </c>
      <c r="AO74" s="122">
        <f t="shared" si="6"/>
        <v>3.5267999999999411E-4</v>
      </c>
      <c r="AP74" s="122">
        <f t="shared" si="7"/>
        <v>3.1711500000000115E-3</v>
      </c>
      <c r="AQ74" s="88">
        <f t="shared" si="8"/>
        <v>-9.1206169999999975E-3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37.444203999999999</v>
      </c>
      <c r="Y75" s="190">
        <v>41.130667000000003</v>
      </c>
      <c r="Z75" s="190">
        <v>0.98811618000000001</v>
      </c>
      <c r="AA75" s="62">
        <v>0.99031599999999997</v>
      </c>
      <c r="AB75" s="62">
        <v>1.5265492E-2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2.1897209999999987</v>
      </c>
      <c r="AN75" s="122">
        <f t="shared" si="5"/>
        <v>1.7653450000000035</v>
      </c>
      <c r="AO75" s="122">
        <f t="shared" si="6"/>
        <v>3.6250000000004334E-4</v>
      </c>
      <c r="AP75" s="122">
        <f t="shared" si="7"/>
        <v>6.7152999999997576E-4</v>
      </c>
      <c r="AQ75" s="88">
        <f t="shared" si="8"/>
        <v>-8.4133060000000006E-3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40.756977999999997</v>
      </c>
      <c r="Y76" s="190">
        <v>44.099136000000001</v>
      </c>
      <c r="Z76" s="190">
        <v>0.99245101000000002</v>
      </c>
      <c r="AA76" s="62">
        <v>0.99617588000000001</v>
      </c>
      <c r="AB76" s="62">
        <v>9.2626949999999996E-3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3.1296899999999965</v>
      </c>
      <c r="AN76" s="122">
        <f t="shared" si="5"/>
        <v>2.3915550000000039</v>
      </c>
      <c r="AO76" s="122">
        <f t="shared" si="6"/>
        <v>4.4576000000007276E-4</v>
      </c>
      <c r="AP76" s="122">
        <f t="shared" si="7"/>
        <v>1.0947100000000543E-3</v>
      </c>
      <c r="AQ76" s="88">
        <f t="shared" si="8"/>
        <v>-8.3879330000000019E-3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28.069330999999998</v>
      </c>
      <c r="Y78" s="97">
        <v>33.847797</v>
      </c>
      <c r="Z78" s="97">
        <v>0.95587420999999995</v>
      </c>
      <c r="AA78" s="60">
        <v>0.95623917999999997</v>
      </c>
      <c r="AB78" s="60">
        <v>5.8895587999999999E-2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0.66362599999999716</v>
      </c>
      <c r="AN78" s="96">
        <f t="shared" si="5"/>
        <v>1.3899550000000005</v>
      </c>
      <c r="AO78" s="96">
        <f t="shared" si="6"/>
        <v>-5.0663000000006342E-4</v>
      </c>
      <c r="AP78" s="96">
        <f t="shared" si="7"/>
        <v>2.2490399999999244E-3</v>
      </c>
      <c r="AQ78" s="121">
        <f t="shared" si="8"/>
        <v>-9.4219219999999992E-3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31.964883</v>
      </c>
      <c r="Y79" s="190">
        <v>36.688848</v>
      </c>
      <c r="Z79" s="190">
        <v>0.97404029999999997</v>
      </c>
      <c r="AA79" s="62">
        <v>0.97471582000000001</v>
      </c>
      <c r="AB79" s="62">
        <v>3.5136133E-2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1.1916390000000021</v>
      </c>
      <c r="AN79" s="122">
        <f t="shared" si="5"/>
        <v>1.4109819999999971</v>
      </c>
      <c r="AO79" s="122">
        <f t="shared" si="6"/>
        <v>3.753199999999568E-4</v>
      </c>
      <c r="AP79" s="122">
        <f t="shared" si="7"/>
        <v>2.9514400000000274E-3</v>
      </c>
      <c r="AQ79" s="88">
        <f t="shared" si="8"/>
        <v>-8.9579570000000025E-3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37.101004000000003</v>
      </c>
      <c r="Y80" s="190">
        <v>40.771188000000002</v>
      </c>
      <c r="Z80" s="190">
        <v>0.98703892999999998</v>
      </c>
      <c r="AA80" s="62">
        <v>0.99016652000000005</v>
      </c>
      <c r="AB80" s="62">
        <v>1.7978544999999999E-2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2.0207930000000047</v>
      </c>
      <c r="AN80" s="122">
        <f t="shared" si="5"/>
        <v>1.6019000000000005</v>
      </c>
      <c r="AO80" s="122">
        <f t="shared" si="6"/>
        <v>3.4411000000000858E-4</v>
      </c>
      <c r="AP80" s="122">
        <f t="shared" si="7"/>
        <v>4.7353999999999452E-4</v>
      </c>
      <c r="AQ80" s="88">
        <f t="shared" si="8"/>
        <v>-8.2248190000000013E-3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40.197715000000002</v>
      </c>
      <c r="Y81" s="190">
        <v>43.587904000000002</v>
      </c>
      <c r="Z81" s="190">
        <v>0.99152925000000003</v>
      </c>
      <c r="AA81" s="62">
        <v>0.99584254000000005</v>
      </c>
      <c r="AB81" s="62">
        <v>1.1868717000000001E-2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2.8373210000000029</v>
      </c>
      <c r="AN81" s="122">
        <f t="shared" si="5"/>
        <v>2.186435000000003</v>
      </c>
      <c r="AO81" s="122">
        <f t="shared" si="6"/>
        <v>4.3638000000001398E-4</v>
      </c>
      <c r="AP81" s="122">
        <f t="shared" si="7"/>
        <v>9.6477000000005919E-4</v>
      </c>
      <c r="AQ81" s="88">
        <f t="shared" si="8"/>
        <v>-8.0812850000000006E-3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27.687168</v>
      </c>
      <c r="Y83" s="97">
        <v>33.756686999999999</v>
      </c>
      <c r="Z83" s="97">
        <v>0.95459769999999999</v>
      </c>
      <c r="AA83" s="60">
        <v>0.95689389999999996</v>
      </c>
      <c r="AB83" s="60">
        <v>6.1611890000000002E-2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0.72409299999999988</v>
      </c>
      <c r="AN83" s="96">
        <f t="shared" si="5"/>
        <v>1.636497999999996</v>
      </c>
      <c r="AO83" s="96">
        <f t="shared" si="6"/>
        <v>-2.4099999999971367E-5</v>
      </c>
      <c r="AP83" s="96">
        <f t="shared" si="7"/>
        <v>2.0606999999999154E-3</v>
      </c>
      <c r="AQ83" s="121">
        <f t="shared" si="8"/>
        <v>-1.3362650000000004E-2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31.914472</v>
      </c>
      <c r="Y84" s="190">
        <v>36.822481000000003</v>
      </c>
      <c r="Z84" s="190">
        <v>0.97565659999999998</v>
      </c>
      <c r="AA84" s="62">
        <v>0.97611453000000004</v>
      </c>
      <c r="AB84" s="62">
        <v>3.2934915000000002E-2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1.3228690000000007</v>
      </c>
      <c r="AN84" s="122">
        <f t="shared" si="5"/>
        <v>1.6152090000000001</v>
      </c>
      <c r="AO84" s="122">
        <f t="shared" si="6"/>
        <v>2.3731999999998532E-4</v>
      </c>
      <c r="AP84" s="122">
        <f t="shared" si="7"/>
        <v>2.2153100000000814E-3</v>
      </c>
      <c r="AQ84" s="88">
        <f t="shared" si="8"/>
        <v>-1.0737284999999999E-2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36.993456000000002</v>
      </c>
      <c r="Y85" s="190">
        <v>40.774192999999997</v>
      </c>
      <c r="Z85" s="190">
        <v>0.98835600999999995</v>
      </c>
      <c r="AA85" s="62">
        <v>0.99135481000000003</v>
      </c>
      <c r="AB85" s="62">
        <v>1.53590515E-2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2.1607979999999998</v>
      </c>
      <c r="AN85" s="122">
        <f t="shared" si="5"/>
        <v>1.7917449999999988</v>
      </c>
      <c r="AO85" s="122">
        <f t="shared" si="6"/>
        <v>3.0911999999994055E-4</v>
      </c>
      <c r="AP85" s="122">
        <f t="shared" si="7"/>
        <v>7.8193999999998098E-4</v>
      </c>
      <c r="AQ85" s="88">
        <f t="shared" si="8"/>
        <v>-9.0644825000000002E-3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40.595571999999997</v>
      </c>
      <c r="Y86" s="190">
        <v>43.991968</v>
      </c>
      <c r="Z86" s="190">
        <v>0.99293600999999998</v>
      </c>
      <c r="AA86" s="62">
        <v>0.99625657999999995</v>
      </c>
      <c r="AB86" s="62">
        <v>8.5560340000000006E-3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3.0268739999999994</v>
      </c>
      <c r="AN86" s="122">
        <f t="shared" si="5"/>
        <v>2.3313380000000024</v>
      </c>
      <c r="AO86" s="122">
        <f t="shared" si="6"/>
        <v>4.2991999999997255E-4</v>
      </c>
      <c r="AP86" s="122">
        <f t="shared" si="7"/>
        <v>8.1510999999989675E-4</v>
      </c>
      <c r="AQ86" s="88">
        <f t="shared" si="8"/>
        <v>-9.1245119999999978E-3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27.857420999999999</v>
      </c>
      <c r="Y88" s="97">
        <v>33.933456</v>
      </c>
      <c r="Z88" s="97">
        <v>0.95608521999999996</v>
      </c>
      <c r="AA88" s="60">
        <v>0.95650983000000001</v>
      </c>
      <c r="AB88" s="60">
        <v>5.7353236000000002E-2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0.74287099999999739</v>
      </c>
      <c r="AN88" s="96">
        <f t="shared" si="5"/>
        <v>1.6620360000000005</v>
      </c>
      <c r="AO88" s="96">
        <f t="shared" si="6"/>
        <v>-1.0461000000006049E-4</v>
      </c>
      <c r="AP88" s="96">
        <f t="shared" si="7"/>
        <v>2.4243600000000143E-3</v>
      </c>
      <c r="AQ88" s="121">
        <f t="shared" si="8"/>
        <v>-1.3247989000000002E-2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31.987565</v>
      </c>
      <c r="Y89" s="190">
        <v>36.906798999999999</v>
      </c>
      <c r="Z89" s="190">
        <v>0.97573765000000001</v>
      </c>
      <c r="AA89" s="62">
        <v>0.97502184000000003</v>
      </c>
      <c r="AB89" s="62">
        <v>3.1198317E-2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1.3164310000000015</v>
      </c>
      <c r="AN89" s="122">
        <f t="shared" si="5"/>
        <v>1.624724999999998</v>
      </c>
      <c r="AO89" s="122">
        <f t="shared" si="6"/>
        <v>3.4781999999999869E-4</v>
      </c>
      <c r="AP89" s="122">
        <f t="shared" si="7"/>
        <v>2.6717099999999938E-3</v>
      </c>
      <c r="AQ89" s="88">
        <f t="shared" si="8"/>
        <v>-1.0994205000000003E-2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37.240378</v>
      </c>
      <c r="Y90" s="190">
        <v>41.000388000000001</v>
      </c>
      <c r="Z90" s="190">
        <v>0.98844314</v>
      </c>
      <c r="AA90" s="62">
        <v>0.99125638999999999</v>
      </c>
      <c r="AB90" s="62">
        <v>1.4748288999999999E-2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2.2430650000000014</v>
      </c>
      <c r="AN90" s="122">
        <f t="shared" si="5"/>
        <v>1.8499780000000001</v>
      </c>
      <c r="AO90" s="122">
        <f t="shared" si="6"/>
        <v>3.4031999999994955E-4</v>
      </c>
      <c r="AP90" s="122">
        <f t="shared" si="7"/>
        <v>8.8009999999993926E-4</v>
      </c>
      <c r="AQ90" s="88">
        <f t="shared" si="8"/>
        <v>-9.3425880000000006E-3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40.803727000000002</v>
      </c>
      <c r="Y91" s="190">
        <v>44.170108999999997</v>
      </c>
      <c r="Z91" s="190">
        <v>0.9928785</v>
      </c>
      <c r="AA91" s="62">
        <v>0.99629460000000003</v>
      </c>
      <c r="AB91" s="62">
        <v>8.4172515000000003E-3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3.1427160000000001</v>
      </c>
      <c r="AN91" s="122">
        <f t="shared" si="5"/>
        <v>2.4065999999999974</v>
      </c>
      <c r="AO91" s="122">
        <f t="shared" si="6"/>
        <v>4.1464000000002166E-4</v>
      </c>
      <c r="AP91" s="122">
        <f t="shared" si="7"/>
        <v>9.6698000000006168E-4</v>
      </c>
      <c r="AQ91" s="88">
        <f t="shared" si="8"/>
        <v>-9.3677505000000008E-3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27.978404000000001</v>
      </c>
      <c r="Y93" s="97">
        <v>34.001595000000002</v>
      </c>
      <c r="Z93" s="97">
        <v>0.95744264999999995</v>
      </c>
      <c r="AA93" s="60">
        <v>0.95559178</v>
      </c>
      <c r="AB93" s="60">
        <v>5.4397510000000003E-2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0.77610600000000218</v>
      </c>
      <c r="AN93" s="96">
        <f t="shared" si="5"/>
        <v>1.6147360000000006</v>
      </c>
      <c r="AO93" s="96">
        <f t="shared" si="6"/>
        <v>8.8329999999969822E-5</v>
      </c>
      <c r="AP93" s="96">
        <f t="shared" si="7"/>
        <v>1.7428900000000525E-3</v>
      </c>
      <c r="AQ93" s="121">
        <f t="shared" si="8"/>
        <v>-1.2145330000000003E-2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32.084127000000002</v>
      </c>
      <c r="Y94" s="190">
        <v>36.943995999999999</v>
      </c>
      <c r="Z94" s="190">
        <v>0.97605167999999998</v>
      </c>
      <c r="AA94" s="62">
        <v>0.97381107</v>
      </c>
      <c r="AB94" s="62">
        <v>2.9692546E-2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1.2826840000000033</v>
      </c>
      <c r="AN94" s="122">
        <f t="shared" si="5"/>
        <v>1.5534749999999988</v>
      </c>
      <c r="AO94" s="122">
        <f t="shared" si="6"/>
        <v>3.8552000000002806E-4</v>
      </c>
      <c r="AP94" s="122">
        <f t="shared" si="7"/>
        <v>3.2569199999999965E-3</v>
      </c>
      <c r="AQ94" s="88">
        <f t="shared" si="8"/>
        <v>-9.8115459999999974E-3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37.409350000000003</v>
      </c>
      <c r="Y95" s="190">
        <v>41.112029999999997</v>
      </c>
      <c r="Z95" s="190">
        <v>0.98854799999999998</v>
      </c>
      <c r="AA95" s="62">
        <v>0.99072853000000005</v>
      </c>
      <c r="AB95" s="62">
        <v>1.4130765999999999E-2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2.2133050000000054</v>
      </c>
      <c r="AN95" s="122">
        <f t="shared" si="5"/>
        <v>1.7884519999999995</v>
      </c>
      <c r="AO95" s="122">
        <f t="shared" si="6"/>
        <v>3.4743000000003743E-4</v>
      </c>
      <c r="AP95" s="122">
        <f t="shared" si="7"/>
        <v>8.426900000000348E-4</v>
      </c>
      <c r="AQ95" s="88">
        <f t="shared" si="8"/>
        <v>-8.6311490000000012E-3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40.877347999999998</v>
      </c>
      <c r="Y96" s="190">
        <v>44.210416000000002</v>
      </c>
      <c r="Z96" s="190">
        <v>0.99285551999999999</v>
      </c>
      <c r="AA96" s="62">
        <v>0.99626305000000004</v>
      </c>
      <c r="AB96" s="62">
        <v>8.1455629999999998E-3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3.1222319999999968</v>
      </c>
      <c r="AN96" s="122">
        <f t="shared" si="5"/>
        <v>2.3750750000000025</v>
      </c>
      <c r="AO96" s="122">
        <f t="shared" si="6"/>
        <v>4.1738000000002273E-4</v>
      </c>
      <c r="AP96" s="122">
        <f t="shared" si="7"/>
        <v>1.1084199999999989E-3</v>
      </c>
      <c r="AQ96" s="88">
        <f t="shared" si="8"/>
        <v>-8.7569069999999995E-3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28.128305999999998</v>
      </c>
      <c r="Y98" s="97">
        <v>34.129258999999998</v>
      </c>
      <c r="Z98" s="97">
        <v>0.95781329999999998</v>
      </c>
      <c r="AA98" s="60">
        <v>0.95670876000000005</v>
      </c>
      <c r="AB98" s="60">
        <v>5.4639865000000003E-2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0.8001119999999986</v>
      </c>
      <c r="AN98" s="96">
        <f t="shared" si="15"/>
        <v>1.6469059999999942</v>
      </c>
      <c r="AO98" s="96">
        <f t="shared" si="16"/>
        <v>-5.171999999997734E-5</v>
      </c>
      <c r="AP98" s="96">
        <f t="shared" si="17"/>
        <v>2.4191400000000973E-3</v>
      </c>
      <c r="AQ98" s="121">
        <f t="shared" si="18"/>
        <v>-1.1433769000000003E-2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32.092779999999998</v>
      </c>
      <c r="Y99" s="190">
        <v>36.962617999999999</v>
      </c>
      <c r="Z99" s="190">
        <v>0.97605993000000002</v>
      </c>
      <c r="AA99" s="62">
        <v>0.97444717999999997</v>
      </c>
      <c r="AB99" s="62">
        <v>3.0583853000000001E-2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1.2808529999999969</v>
      </c>
      <c r="AN99" s="122">
        <f t="shared" si="15"/>
        <v>1.5668480000000002</v>
      </c>
      <c r="AO99" s="122">
        <f t="shared" si="16"/>
        <v>3.527300000000233E-4</v>
      </c>
      <c r="AP99" s="122">
        <f t="shared" si="17"/>
        <v>3.0313299999999987E-3</v>
      </c>
      <c r="AQ99" s="88">
        <f t="shared" si="18"/>
        <v>-9.571956999999999E-3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37.306507000000003</v>
      </c>
      <c r="Y100" s="190">
        <v>41.065219999999997</v>
      </c>
      <c r="Z100" s="190">
        <v>0.98845276000000004</v>
      </c>
      <c r="AA100" s="62">
        <v>0.99062649999999997</v>
      </c>
      <c r="AB100" s="62">
        <v>1.5101692999999999E-2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2.1693750000000023</v>
      </c>
      <c r="AN100" s="122">
        <f t="shared" si="15"/>
        <v>1.7895689999999931</v>
      </c>
      <c r="AO100" s="122">
        <f t="shared" si="16"/>
        <v>3.1183000000001293E-4</v>
      </c>
      <c r="AP100" s="122">
        <f t="shared" si="17"/>
        <v>8.4483000000001862E-4</v>
      </c>
      <c r="AQ100" s="88">
        <f t="shared" si="18"/>
        <v>-8.6341579999999994E-3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40.832194000000001</v>
      </c>
      <c r="Y101" s="190">
        <v>44.191633000000003</v>
      </c>
      <c r="Z101" s="190">
        <v>0.99286509999999994</v>
      </c>
      <c r="AA101" s="62">
        <v>0.99622228000000002</v>
      </c>
      <c r="AB101" s="62">
        <v>8.8936480000000005E-3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3.0780320000000003</v>
      </c>
      <c r="AN101" s="122">
        <f t="shared" si="15"/>
        <v>2.363775000000004</v>
      </c>
      <c r="AO101" s="122">
        <f t="shared" si="16"/>
        <v>4.2017999999999223E-4</v>
      </c>
      <c r="AP101" s="122">
        <f t="shared" si="17"/>
        <v>9.9382000000003412E-4</v>
      </c>
      <c r="AQ101" s="88">
        <f t="shared" si="18"/>
        <v>-8.7067709999999986E-3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28.020758000000001</v>
      </c>
      <c r="Y103" s="97">
        <v>33.629319000000002</v>
      </c>
      <c r="Z103" s="97">
        <v>0.95612275999999996</v>
      </c>
      <c r="AA103" s="60">
        <v>0.95697180000000004</v>
      </c>
      <c r="AB103" s="60">
        <v>5.6843970000000001E-2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0.7424330000000019</v>
      </c>
      <c r="AN103" s="96">
        <f t="shared" si="15"/>
        <v>1.3769410000000022</v>
      </c>
      <c r="AO103" s="96">
        <f t="shared" si="16"/>
        <v>2.5100000000000122E-5</v>
      </c>
      <c r="AP103" s="96">
        <f t="shared" si="17"/>
        <v>2.2340600000000377E-3</v>
      </c>
      <c r="AQ103" s="121">
        <f t="shared" si="18"/>
        <v>-1.1496114999999994E-2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31.805187</v>
      </c>
      <c r="Y104" s="190">
        <v>36.456456000000003</v>
      </c>
      <c r="Z104" s="190">
        <v>0.97513775999999996</v>
      </c>
      <c r="AA104" s="62">
        <v>0.97521981999999996</v>
      </c>
      <c r="AB104" s="62">
        <v>3.2062202999999997E-2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1.1916660000000014</v>
      </c>
      <c r="AN104" s="122">
        <f t="shared" si="15"/>
        <v>1.3614640000000051</v>
      </c>
      <c r="AO104" s="122">
        <f t="shared" si="16"/>
        <v>3.7396999999994573E-4</v>
      </c>
      <c r="AP104" s="122">
        <f t="shared" si="17"/>
        <v>2.7070299999999436E-3</v>
      </c>
      <c r="AQ104" s="88">
        <f t="shared" si="18"/>
        <v>-9.6092030000000037E-3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36.772613999999997</v>
      </c>
      <c r="Y105" s="190">
        <v>40.508488999999997</v>
      </c>
      <c r="Z105" s="190">
        <v>0.98762861000000002</v>
      </c>
      <c r="AA105" s="62">
        <v>0.99030297</v>
      </c>
      <c r="AB105" s="62">
        <v>1.6485107999999998E-2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1.9732389999999995</v>
      </c>
      <c r="AN105" s="122">
        <f t="shared" si="15"/>
        <v>1.5950269999999946</v>
      </c>
      <c r="AO105" s="122">
        <f t="shared" si="16"/>
        <v>2.9823000000006594E-4</v>
      </c>
      <c r="AP105" s="122">
        <f t="shared" si="17"/>
        <v>7.2928999999999355E-4</v>
      </c>
      <c r="AQ105" s="88">
        <f t="shared" si="18"/>
        <v>-8.3272180000000008E-3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40.283555</v>
      </c>
      <c r="Y106" s="190">
        <v>43.639471999999998</v>
      </c>
      <c r="Z106" s="190">
        <v>0.99231130000000001</v>
      </c>
      <c r="AA106" s="62">
        <v>0.99586264999999996</v>
      </c>
      <c r="AB106" s="62">
        <v>9.8776690000000004E-3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2.8033549999999963</v>
      </c>
      <c r="AN106" s="122">
        <f t="shared" si="15"/>
        <v>2.1260070000000013</v>
      </c>
      <c r="AO106" s="122">
        <f t="shared" si="16"/>
        <v>4.0896000000001376E-4</v>
      </c>
      <c r="AP106" s="122">
        <f t="shared" si="17"/>
        <v>9.000000000000119E-4</v>
      </c>
      <c r="AQ106" s="88">
        <f t="shared" si="18"/>
        <v>-8.5069939999999986E-3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27.448905</v>
      </c>
      <c r="Y641" s="136">
        <f t="shared" si="60"/>
        <v>33.329424000000003</v>
      </c>
      <c r="Z641" s="136">
        <f t="shared" si="60"/>
        <v>0.95459769999999999</v>
      </c>
      <c r="AA641" s="136">
        <f t="shared" si="60"/>
        <v>0.95290567000000004</v>
      </c>
      <c r="AB641" s="136">
        <f t="shared" si="60"/>
        <v>5.3889920000000001E-2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31.747858000000001</v>
      </c>
      <c r="Y642" s="18">
        <f t="shared" si="60"/>
        <v>36.268974</v>
      </c>
      <c r="Z642" s="18">
        <f t="shared" si="60"/>
        <v>0.97366114000000004</v>
      </c>
      <c r="AA642" s="18">
        <f t="shared" si="60"/>
        <v>0.97381107</v>
      </c>
      <c r="AB642" s="18">
        <f t="shared" si="60"/>
        <v>2.9692546E-2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36.772613999999997</v>
      </c>
      <c r="Y643" s="18">
        <f t="shared" si="60"/>
        <v>40.508488999999997</v>
      </c>
      <c r="Z643" s="18">
        <f t="shared" si="60"/>
        <v>0.98676116999999997</v>
      </c>
      <c r="AA643" s="18">
        <f t="shared" si="60"/>
        <v>0.99016652000000005</v>
      </c>
      <c r="AB643" s="18">
        <f t="shared" si="60"/>
        <v>1.4130765999999999E-2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40.044241</v>
      </c>
      <c r="Y644" s="18">
        <f t="shared" si="60"/>
        <v>43.401145999999997</v>
      </c>
      <c r="Z644" s="18">
        <f t="shared" si="60"/>
        <v>0.99139703000000001</v>
      </c>
      <c r="AA644" s="18">
        <f t="shared" si="60"/>
        <v>0.99576602999999997</v>
      </c>
      <c r="AB644" s="18">
        <f t="shared" si="60"/>
        <v>8.1455629999999998E-3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28.148945000000001</v>
      </c>
      <c r="Y646" s="136">
        <f t="shared" si="62"/>
        <v>34.129258999999998</v>
      </c>
      <c r="Z646" s="136">
        <f t="shared" si="62"/>
        <v>0.95801568000000004</v>
      </c>
      <c r="AA646" s="136">
        <f t="shared" si="62"/>
        <v>0.95743962000000005</v>
      </c>
      <c r="AB646" s="136">
        <f t="shared" si="62"/>
        <v>6.2098473000000001E-2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32.172727999999999</v>
      </c>
      <c r="Y647" s="18">
        <f t="shared" si="62"/>
        <v>37.038474999999998</v>
      </c>
      <c r="Z647" s="18">
        <f t="shared" si="62"/>
        <v>0.97605993000000002</v>
      </c>
      <c r="AA647" s="18">
        <f t="shared" si="62"/>
        <v>0.97670356000000003</v>
      </c>
      <c r="AB647" s="18">
        <f t="shared" si="62"/>
        <v>3.7369378000000002E-2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37.500849000000002</v>
      </c>
      <c r="Y648" s="18">
        <f t="shared" si="62"/>
        <v>41.152645999999997</v>
      </c>
      <c r="Z648" s="18">
        <f t="shared" si="62"/>
        <v>0.98854799999999998</v>
      </c>
      <c r="AA648" s="18">
        <f t="shared" si="62"/>
        <v>0.99141115000000002</v>
      </c>
      <c r="AB648" s="18">
        <f t="shared" si="62"/>
        <v>1.9738606999999998E-2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40.975096000000001</v>
      </c>
      <c r="Y649" s="18">
        <f t="shared" si="62"/>
        <v>44.290762999999998</v>
      </c>
      <c r="Z649" s="18">
        <f t="shared" si="62"/>
        <v>0.99293600999999998</v>
      </c>
      <c r="AA649" s="18">
        <f t="shared" si="62"/>
        <v>0.99635848999999999</v>
      </c>
      <c r="AB649" s="18">
        <f t="shared" si="62"/>
        <v>1.2743864000000001E-2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0.70004000000000133</v>
      </c>
      <c r="Y651" s="136">
        <f t="shared" si="64"/>
        <v>0.79983499999999452</v>
      </c>
      <c r="Z651" s="136">
        <f t="shared" si="64"/>
        <v>3.4179800000000427E-3</v>
      </c>
      <c r="AA651" s="136">
        <f t="shared" si="64"/>
        <v>4.5339500000000088E-3</v>
      </c>
      <c r="AB651" s="136">
        <f t="shared" si="64"/>
        <v>8.2085530000000004E-3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0.42486999999999853</v>
      </c>
      <c r="Y652" s="18">
        <f t="shared" si="64"/>
        <v>0.76950099999999821</v>
      </c>
      <c r="Z652" s="18">
        <f t="shared" si="64"/>
        <v>2.398789999999984E-3</v>
      </c>
      <c r="AA652" s="18">
        <f t="shared" si="64"/>
        <v>2.8924900000000253E-3</v>
      </c>
      <c r="AB652" s="18">
        <f t="shared" si="64"/>
        <v>7.6768320000000015E-3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0.72823500000000507</v>
      </c>
      <c r="Y653" s="18">
        <f t="shared" si="64"/>
        <v>0.64415699999999987</v>
      </c>
      <c r="Z653" s="18">
        <f t="shared" si="64"/>
        <v>1.786830000000017E-3</v>
      </c>
      <c r="AA653" s="18">
        <f t="shared" si="64"/>
        <v>1.2446299999999688E-3</v>
      </c>
      <c r="AB653" s="18">
        <f t="shared" si="64"/>
        <v>5.6078409999999988E-3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0.9308550000000011</v>
      </c>
      <c r="Y654" s="18">
        <f t="shared" si="64"/>
        <v>0.88961700000000121</v>
      </c>
      <c r="Z654" s="18">
        <f t="shared" si="64"/>
        <v>1.5389799999999676E-3</v>
      </c>
      <c r="AA654" s="18">
        <f t="shared" si="64"/>
        <v>5.9246000000001686E-4</v>
      </c>
      <c r="AB654" s="18">
        <f t="shared" si="64"/>
        <v>4.5983010000000008E-3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cinema_track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cinema_track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27668.527999999998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30.641332904761899</v>
      </c>
      <c r="Y5" s="30">
        <f t="shared" si="2"/>
        <v>34.513368809523804</v>
      </c>
      <c r="Z5" s="30">
        <f t="shared" si="2"/>
        <v>0.96689024809523805</v>
      </c>
      <c r="AA5" s="91">
        <f t="shared" si="2"/>
        <v>0.97380925238095217</v>
      </c>
      <c r="AB5" s="91">
        <f t="shared" si="2"/>
        <v>5.6582082571428577E-2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-0.12844714778397959</v>
      </c>
      <c r="AN5" s="245">
        <f>bdrate($E5:$E8,G5:G8,$W5:$W8,Y5:Y8)</f>
        <v>-9.6461962299694837E-2</v>
      </c>
      <c r="AO5" s="245">
        <f>bdrate($E5:$E8,H5:H8,$W5:$W8,Z5:Z8)</f>
        <v>-2.5046159085472253E-3</v>
      </c>
      <c r="AP5" s="245">
        <f>bdrate($E5:$E8,I5:I8,$W5:$W8,AA5:AA8)</f>
        <v>-1.6872598783842618E-2</v>
      </c>
      <c r="AQ5" s="246">
        <f>bdrateInverted($E5:$E8,J5:J8,$W5:$W8,AB5:AB8)</f>
        <v>-0.13473857056385052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40101.616000000002</v>
      </c>
      <c r="X6" s="91">
        <f t="shared" si="2"/>
        <v>33.949089047619047</v>
      </c>
      <c r="Y6" s="91">
        <f t="shared" si="2"/>
        <v>37.317018761904762</v>
      </c>
      <c r="Z6" s="91">
        <f t="shared" si="2"/>
        <v>0.98013896761904762</v>
      </c>
      <c r="AA6" s="91">
        <f t="shared" si="2"/>
        <v>0.98472835809523807</v>
      </c>
      <c r="AB6" s="91">
        <f t="shared" si="2"/>
        <v>3.7005951619047614E-2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59786.320000000007</v>
      </c>
      <c r="X7" s="91">
        <f t="shared" si="2"/>
        <v>38.109473809523806</v>
      </c>
      <c r="Y7" s="91">
        <f t="shared" si="2"/>
        <v>41.422641857142857</v>
      </c>
      <c r="Z7" s="91">
        <f t="shared" si="2"/>
        <v>0.9894025995238096</v>
      </c>
      <c r="AA7" s="91">
        <f t="shared" si="2"/>
        <v>0.99275222904761917</v>
      </c>
      <c r="AB7" s="91">
        <f t="shared" si="2"/>
        <v>2.0685357047619053E-2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87090.271999999997</v>
      </c>
      <c r="X8" s="91">
        <f t="shared" si="2"/>
        <v>42.514211238095243</v>
      </c>
      <c r="Y8" s="91">
        <f t="shared" si="2"/>
        <v>45.568502238095235</v>
      </c>
      <c r="Z8" s="91">
        <f t="shared" si="2"/>
        <v>0.99409615619047609</v>
      </c>
      <c r="AA8" s="91">
        <f t="shared" si="2"/>
        <v>0.99652747333333325</v>
      </c>
      <c r="AB8" s="91">
        <f t="shared" si="2"/>
        <v>8.7995432857142872E-3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4622.4719999999998</v>
      </c>
      <c r="X16" s="167">
        <v>5794.92</v>
      </c>
      <c r="Y16" s="167">
        <v>1150.944</v>
      </c>
      <c r="Z16" s="167">
        <v>431.98399999999998</v>
      </c>
      <c r="AA16" s="167">
        <v>217.304</v>
      </c>
      <c r="AB16" s="167">
        <v>8571.2639999999992</v>
      </c>
      <c r="AC16" s="60">
        <v>5023.9120000000003</v>
      </c>
      <c r="AD16" s="60">
        <v>1855.7280000000001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4622.4719999999998</v>
      </c>
      <c r="X17" s="168">
        <v>7649.04</v>
      </c>
      <c r="Y17" s="168">
        <v>3839.8</v>
      </c>
      <c r="Z17" s="168">
        <v>2033.904</v>
      </c>
      <c r="AA17" s="168">
        <v>1539.848</v>
      </c>
      <c r="AB17" s="168">
        <v>11093.776</v>
      </c>
      <c r="AC17" s="62">
        <v>6863.52</v>
      </c>
      <c r="AD17" s="62">
        <v>2459.2559999999999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4622.4719999999998</v>
      </c>
      <c r="X18" s="168">
        <v>9570.56</v>
      </c>
      <c r="Y18" s="168">
        <v>8185.0079999999998</v>
      </c>
      <c r="Z18" s="168">
        <v>6025.8879999999999</v>
      </c>
      <c r="AA18" s="168">
        <v>5823.7439999999997</v>
      </c>
      <c r="AB18" s="168">
        <v>13694.48</v>
      </c>
      <c r="AC18" s="62">
        <v>8782.6880000000001</v>
      </c>
      <c r="AD18" s="62">
        <v>3081.48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4622.4719999999998</v>
      </c>
      <c r="X19" s="168">
        <v>11412.736000000001</v>
      </c>
      <c r="Y19" s="168">
        <v>13301.584000000001</v>
      </c>
      <c r="Z19" s="168">
        <v>12660.616</v>
      </c>
      <c r="AA19" s="168">
        <v>14156.536</v>
      </c>
      <c r="AB19" s="168">
        <v>16403.808000000001</v>
      </c>
      <c r="AC19" s="62">
        <v>10804.624</v>
      </c>
      <c r="AD19" s="62">
        <v>3727.8960000000002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27668.527999999998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40101.616000000002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59786.320000000007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87090.271999999997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27.505257</v>
      </c>
      <c r="Y33" s="97">
        <v>31.125679999999999</v>
      </c>
      <c r="Z33" s="97">
        <v>0.95896749999999997</v>
      </c>
      <c r="AA33" s="60">
        <v>0.96556991999999997</v>
      </c>
      <c r="AB33" s="60">
        <v>6.6949770000000006E-2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0.59840099999999907</v>
      </c>
      <c r="AN33" s="96">
        <f t="shared" ref="AN33:AN96" si="5">IF(OR(Y33="",G33=""),"",Y33-G33)</f>
        <v>0.75779599999999903</v>
      </c>
      <c r="AO33" s="96">
        <f t="shared" ref="AO33:AO96" si="6">IF(OR(Z33="",H33=""),"",Z33-H33)</f>
        <v>2.5683999999992491E-4</v>
      </c>
      <c r="AP33" s="96">
        <f t="shared" ref="AP33:AP96" si="7">IF(OR(AA33="",I33=""),"",AA33-I33)</f>
        <v>1.013939999999991E-3</v>
      </c>
      <c r="AQ33" s="121">
        <f t="shared" ref="AQ33:AQ96" si="8">IF(OR(AB33="",J33=""),"",AB33-J33)</f>
        <v>-1.5776989999999991E-2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31.538986000000001</v>
      </c>
      <c r="Y34" s="190">
        <v>34.807831</v>
      </c>
      <c r="Z34" s="190">
        <v>0.97771189000000003</v>
      </c>
      <c r="AA34" s="62">
        <v>0.98121396999999999</v>
      </c>
      <c r="AB34" s="62">
        <v>4.3874839999999998E-2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0.74855499999999964</v>
      </c>
      <c r="AN34" s="122">
        <f t="shared" si="5"/>
        <v>0.60938000000000159</v>
      </c>
      <c r="AO34" s="122">
        <f t="shared" si="6"/>
        <v>-4.9560000000004045E-5</v>
      </c>
      <c r="AP34" s="122">
        <f t="shared" si="7"/>
        <v>2.9020999999995745E-4</v>
      </c>
      <c r="AQ34" s="88">
        <f t="shared" si="8"/>
        <v>-1.273382E-2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36.471034000000003</v>
      </c>
      <c r="Y35" s="190">
        <v>39.907017000000003</v>
      </c>
      <c r="Z35" s="190">
        <v>0.98908795000000005</v>
      </c>
      <c r="AA35" s="62">
        <v>0.99196954999999998</v>
      </c>
      <c r="AB35" s="62">
        <v>2.1980459000000001E-2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2.672579000000006</v>
      </c>
      <c r="AN35" s="122">
        <f t="shared" si="5"/>
        <v>2.056756</v>
      </c>
      <c r="AO35" s="122">
        <f t="shared" si="6"/>
        <v>8.7714000000005399E-4</v>
      </c>
      <c r="AP35" s="122">
        <f t="shared" si="7"/>
        <v>8.1138000000002819E-4</v>
      </c>
      <c r="AQ35" s="88">
        <f t="shared" si="8"/>
        <v>-1.1128379000000001E-2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41.558532</v>
      </c>
      <c r="Y36" s="190">
        <v>44.628273999999998</v>
      </c>
      <c r="Z36" s="190">
        <v>0.99417995000000003</v>
      </c>
      <c r="AA36" s="62">
        <v>0.99638744000000001</v>
      </c>
      <c r="AB36" s="62">
        <v>8.7823364999999997E-3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3.7992479999999986</v>
      </c>
      <c r="AN36" s="122">
        <f t="shared" si="5"/>
        <v>2.5666989999999998</v>
      </c>
      <c r="AO36" s="122">
        <f t="shared" si="6"/>
        <v>4.4311000000007983E-4</v>
      </c>
      <c r="AP36" s="122">
        <f t="shared" si="7"/>
        <v>5.6352000000003954E-4</v>
      </c>
      <c r="AQ36" s="88">
        <f t="shared" si="8"/>
        <v>-7.3846895000000013E-3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28.2395</v>
      </c>
      <c r="Y38" s="97">
        <v>32.233893999999999</v>
      </c>
      <c r="Z38" s="97">
        <v>0.96133656999999995</v>
      </c>
      <c r="AA38" s="60">
        <v>0.96663776000000001</v>
      </c>
      <c r="AB38" s="60">
        <v>6.2993556000000006E-2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1.0390779999999999</v>
      </c>
      <c r="AN38" s="96">
        <f t="shared" si="5"/>
        <v>1.1461509999999997</v>
      </c>
      <c r="AO38" s="96">
        <f t="shared" si="6"/>
        <v>4.7806999999999711E-4</v>
      </c>
      <c r="AP38" s="96">
        <f t="shared" si="7"/>
        <v>1.4545799999999831E-3</v>
      </c>
      <c r="AQ38" s="121">
        <f t="shared" si="8"/>
        <v>-1.1704073999999995E-2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32.368822000000002</v>
      </c>
      <c r="Y39" s="190">
        <v>35.574188999999997</v>
      </c>
      <c r="Z39" s="190">
        <v>0.97845603999999997</v>
      </c>
      <c r="AA39" s="62">
        <v>0.98167081</v>
      </c>
      <c r="AB39" s="62">
        <v>4.3366439999999999E-2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1.0066500000000005</v>
      </c>
      <c r="AN39" s="122">
        <f t="shared" si="5"/>
        <v>0.71837799999999419</v>
      </c>
      <c r="AO39" s="122">
        <f t="shared" si="6"/>
        <v>1.5054999999997154E-4</v>
      </c>
      <c r="AP39" s="122">
        <f t="shared" si="7"/>
        <v>5.9218999999999244E-4</v>
      </c>
      <c r="AQ39" s="88">
        <f t="shared" si="8"/>
        <v>-9.4672300000000001E-3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37.003391000000001</v>
      </c>
      <c r="Y40" s="190">
        <v>40.409514000000001</v>
      </c>
      <c r="Z40" s="190">
        <v>0.98902239999999997</v>
      </c>
      <c r="AA40" s="62">
        <v>0.99202665999999995</v>
      </c>
      <c r="AB40" s="62">
        <v>2.2984729999999998E-2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2.1816579999999988</v>
      </c>
      <c r="AN40" s="122">
        <f t="shared" si="5"/>
        <v>1.5554699999999997</v>
      </c>
      <c r="AO40" s="122">
        <f t="shared" si="6"/>
        <v>5.9374000000000926E-4</v>
      </c>
      <c r="AP40" s="122">
        <f t="shared" si="7"/>
        <v>6.0711999999996102E-4</v>
      </c>
      <c r="AQ40" s="88">
        <f t="shared" si="8"/>
        <v>-8.3788000000000022E-3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41.623838999999997</v>
      </c>
      <c r="Y41" s="190">
        <v>44.761051000000002</v>
      </c>
      <c r="Z41" s="190">
        <v>0.99409342000000001</v>
      </c>
      <c r="AA41" s="62">
        <v>0.99629765999999997</v>
      </c>
      <c r="AB41" s="62">
        <v>9.2774109999999993E-3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3.6802250000000001</v>
      </c>
      <c r="AN41" s="122">
        <f t="shared" si="5"/>
        <v>2.4659030000000044</v>
      </c>
      <c r="AO41" s="122">
        <f t="shared" si="6"/>
        <v>4.4374000000002578E-4</v>
      </c>
      <c r="AP41" s="122">
        <f t="shared" si="7"/>
        <v>5.6257999999997921E-4</v>
      </c>
      <c r="AQ41" s="88">
        <f t="shared" si="8"/>
        <v>-8.0965940000000021E-3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29.340964</v>
      </c>
      <c r="Y43" s="97">
        <v>33.115437999999997</v>
      </c>
      <c r="Z43" s="97">
        <v>0.96356116999999997</v>
      </c>
      <c r="AA43" s="60">
        <v>0.96902065000000004</v>
      </c>
      <c r="AB43" s="60">
        <v>6.2482454E-2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0.68180399999999963</v>
      </c>
      <c r="AN43" s="96">
        <f t="shared" si="5"/>
        <v>0.74340799999999518</v>
      </c>
      <c r="AO43" s="96">
        <f t="shared" si="6"/>
        <v>5.2303999999991913E-4</v>
      </c>
      <c r="AP43" s="96">
        <f t="shared" si="7"/>
        <v>9.5487999999999129E-4</v>
      </c>
      <c r="AQ43" s="121">
        <f t="shared" si="8"/>
        <v>-9.6386659999999971E-3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32.831257999999998</v>
      </c>
      <c r="Y44" s="190">
        <v>36.045171000000003</v>
      </c>
      <c r="Z44" s="190">
        <v>0.97890383999999997</v>
      </c>
      <c r="AA44" s="62">
        <v>0.98227746000000005</v>
      </c>
      <c r="AB44" s="62">
        <v>4.2546604000000002E-2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1.0346139999999977</v>
      </c>
      <c r="AN44" s="122">
        <f t="shared" si="5"/>
        <v>0.67289500000000402</v>
      </c>
      <c r="AO44" s="122">
        <f t="shared" si="6"/>
        <v>2.3209999999995734E-4</v>
      </c>
      <c r="AP44" s="122">
        <f t="shared" si="7"/>
        <v>7.0787999999999407E-4</v>
      </c>
      <c r="AQ44" s="88">
        <f t="shared" si="8"/>
        <v>-7.1332789999999993E-3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37.214289000000001</v>
      </c>
      <c r="Y45" s="190">
        <v>40.70776</v>
      </c>
      <c r="Z45" s="190">
        <v>0.98914387999999998</v>
      </c>
      <c r="AA45" s="62">
        <v>0.99203388999999997</v>
      </c>
      <c r="AB45" s="62">
        <v>2.3388567999999998E-2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1.9933690000000013</v>
      </c>
      <c r="AN45" s="122">
        <f t="shared" si="5"/>
        <v>1.3503749999999997</v>
      </c>
      <c r="AO45" s="122">
        <f t="shared" si="6"/>
        <v>5.2839999999998444E-4</v>
      </c>
      <c r="AP45" s="122">
        <f t="shared" si="7"/>
        <v>4.8413999999996626E-4</v>
      </c>
      <c r="AQ45" s="88">
        <f t="shared" si="8"/>
        <v>-8.2218800000000009E-3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41.768521999999997</v>
      </c>
      <c r="Y46" s="190">
        <v>44.961992000000002</v>
      </c>
      <c r="Z46" s="190">
        <v>0.99410533999999995</v>
      </c>
      <c r="AA46" s="62">
        <v>0.99625845999999996</v>
      </c>
      <c r="AB46" s="62">
        <v>9.3736310000000003E-3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3.3511759999999953</v>
      </c>
      <c r="AN46" s="122">
        <f t="shared" si="5"/>
        <v>2.1945440000000005</v>
      </c>
      <c r="AO46" s="122">
        <f t="shared" si="6"/>
        <v>4.3503000000000291E-4</v>
      </c>
      <c r="AP46" s="122">
        <f t="shared" si="7"/>
        <v>5.381799999999437E-4</v>
      </c>
      <c r="AQ46" s="88">
        <f t="shared" si="8"/>
        <v>-7.2078450000000009E-3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29.956823</v>
      </c>
      <c r="Y48" s="97">
        <v>33.699635000000001</v>
      </c>
      <c r="Z48" s="97">
        <v>0.96423051999999998</v>
      </c>
      <c r="AA48" s="60">
        <v>0.97034719999999997</v>
      </c>
      <c r="AB48" s="60">
        <v>5.7312000000000002E-2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0.21098399999999984</v>
      </c>
      <c r="AN48" s="96">
        <f t="shared" si="5"/>
        <v>0.4741950000000017</v>
      </c>
      <c r="AO48" s="96">
        <f t="shared" si="6"/>
        <v>3.6230999999997682E-4</v>
      </c>
      <c r="AP48" s="96">
        <f t="shared" si="7"/>
        <v>7.5203000000001463E-4</v>
      </c>
      <c r="AQ48" s="121">
        <f t="shared" si="8"/>
        <v>-6.2109949999999969E-3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33.638762</v>
      </c>
      <c r="Y49" s="190">
        <v>36.852179999999997</v>
      </c>
      <c r="Z49" s="190">
        <v>0.97857006000000002</v>
      </c>
      <c r="AA49" s="62">
        <v>0.98281748000000002</v>
      </c>
      <c r="AB49" s="62">
        <v>3.8396930000000003E-2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0.90367599999999726</v>
      </c>
      <c r="AN49" s="122">
        <f t="shared" si="5"/>
        <v>0.64683899999999994</v>
      </c>
      <c r="AO49" s="122">
        <f t="shared" si="6"/>
        <v>2.6323999999999792E-4</v>
      </c>
      <c r="AP49" s="122">
        <f t="shared" si="7"/>
        <v>4.4235000000003577E-4</v>
      </c>
      <c r="AQ49" s="88">
        <f t="shared" si="8"/>
        <v>-4.3066349999999962E-3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37.790557999999997</v>
      </c>
      <c r="Y50" s="190">
        <v>41.159905999999999</v>
      </c>
      <c r="Z50" s="190">
        <v>0.98871724000000005</v>
      </c>
      <c r="AA50" s="62">
        <v>0.99204698000000002</v>
      </c>
      <c r="AB50" s="62">
        <v>2.1912497999999999E-2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1.8230569999999986</v>
      </c>
      <c r="AN50" s="122">
        <f t="shared" si="5"/>
        <v>1.1123159999999999</v>
      </c>
      <c r="AO50" s="122">
        <f t="shared" si="6"/>
        <v>3.5917000000007526E-4</v>
      </c>
      <c r="AP50" s="122">
        <f t="shared" si="7"/>
        <v>4.8141000000001544E-4</v>
      </c>
      <c r="AQ50" s="88">
        <f t="shared" si="8"/>
        <v>-6.0660220000000008E-3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41.963819000000001</v>
      </c>
      <c r="Y51" s="190">
        <v>45.126384999999999</v>
      </c>
      <c r="Z51" s="190">
        <v>0.99386459999999999</v>
      </c>
      <c r="AA51" s="62">
        <v>0.99620472000000004</v>
      </c>
      <c r="AB51" s="62">
        <v>8.9420100000000002E-3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3.0765689999999992</v>
      </c>
      <c r="AN51" s="122">
        <f t="shared" si="5"/>
        <v>1.9487769999999998</v>
      </c>
      <c r="AO51" s="122">
        <f t="shared" si="6"/>
        <v>3.7292999999993803E-4</v>
      </c>
      <c r="AP51" s="122">
        <f t="shared" si="7"/>
        <v>5.5025000000008539E-4</v>
      </c>
      <c r="AQ51" s="88">
        <f t="shared" si="8"/>
        <v>-5.7804689999999999E-3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30.136011</v>
      </c>
      <c r="Y53" s="97">
        <v>33.843062000000003</v>
      </c>
      <c r="Z53" s="97">
        <v>0.96402330000000003</v>
      </c>
      <c r="AA53" s="60">
        <v>0.97096307000000004</v>
      </c>
      <c r="AB53" s="60">
        <v>5.6529738000000003E-2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0.44227000000000061</v>
      </c>
      <c r="AN53" s="96">
        <f t="shared" si="5"/>
        <v>0.57595100000000343</v>
      </c>
      <c r="AO53" s="96">
        <f t="shared" si="6"/>
        <v>1.3655000000001305E-4</v>
      </c>
      <c r="AP53" s="96">
        <f t="shared" si="7"/>
        <v>6.7908000000005408E-4</v>
      </c>
      <c r="AQ53" s="121">
        <f t="shared" si="8"/>
        <v>-7.4455959999999918E-3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33.557896999999997</v>
      </c>
      <c r="Y54" s="190">
        <v>36.808776000000002</v>
      </c>
      <c r="Z54" s="190">
        <v>0.97848097999999994</v>
      </c>
      <c r="AA54" s="62">
        <v>0.98297853999999996</v>
      </c>
      <c r="AB54" s="62">
        <v>3.7410789999999999E-2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0.95283099999999621</v>
      </c>
      <c r="AN54" s="122">
        <f t="shared" si="5"/>
        <v>0.66114500000000476</v>
      </c>
      <c r="AO54" s="122">
        <f t="shared" si="6"/>
        <v>2.3982999999994092E-4</v>
      </c>
      <c r="AP54" s="122">
        <f t="shared" si="7"/>
        <v>4.8871999999999804E-4</v>
      </c>
      <c r="AQ54" s="88">
        <f t="shared" si="8"/>
        <v>-4.9832860000000034E-3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37.572946000000002</v>
      </c>
      <c r="Y55" s="190">
        <v>41.009759000000003</v>
      </c>
      <c r="Z55" s="190">
        <v>0.98856321000000003</v>
      </c>
      <c r="AA55" s="62">
        <v>0.99196726999999996</v>
      </c>
      <c r="AB55" s="62">
        <v>2.2008106E-2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1.7232249999999993</v>
      </c>
      <c r="AN55" s="122">
        <f t="shared" si="5"/>
        <v>1.0720900000000029</v>
      </c>
      <c r="AO55" s="122">
        <f t="shared" si="6"/>
        <v>4.1283000000003067E-4</v>
      </c>
      <c r="AP55" s="122">
        <f t="shared" si="7"/>
        <v>5.0697999999993471E-4</v>
      </c>
      <c r="AQ55" s="88">
        <f t="shared" si="8"/>
        <v>-6.3096379999999994E-3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41.946575000000003</v>
      </c>
      <c r="Y56" s="190">
        <v>45.115637</v>
      </c>
      <c r="Z56" s="190">
        <v>0.99385336000000002</v>
      </c>
      <c r="AA56" s="62">
        <v>0.99619661999999998</v>
      </c>
      <c r="AB56" s="62">
        <v>8.4972610000000007E-3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2.9102850000000018</v>
      </c>
      <c r="AN56" s="122">
        <f t="shared" si="5"/>
        <v>1.9105840000000001</v>
      </c>
      <c r="AO56" s="122">
        <f t="shared" si="6"/>
        <v>4.2154999999999276E-4</v>
      </c>
      <c r="AP56" s="122">
        <f t="shared" si="7"/>
        <v>6.3448999999993205E-4</v>
      </c>
      <c r="AQ56" s="88">
        <f t="shared" si="8"/>
        <v>-5.0654389999999997E-3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30.271899999999999</v>
      </c>
      <c r="Y58" s="97">
        <v>33.957237999999997</v>
      </c>
      <c r="Z58" s="97">
        <v>0.96344582999999995</v>
      </c>
      <c r="AA58" s="60">
        <v>0.97134525999999999</v>
      </c>
      <c r="AB58" s="60">
        <v>5.8573819999999999E-2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0.38253800000000027</v>
      </c>
      <c r="AN58" s="96">
        <f t="shared" si="5"/>
        <v>0.51375799999999572</v>
      </c>
      <c r="AO58" s="96">
        <f t="shared" si="6"/>
        <v>-9.2640000000088207E-5</v>
      </c>
      <c r="AP58" s="96">
        <f t="shared" si="7"/>
        <v>4.1270999999998281E-4</v>
      </c>
      <c r="AQ58" s="121">
        <f t="shared" si="8"/>
        <v>-6.2598900000000041E-3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33.606932</v>
      </c>
      <c r="Y59" s="190">
        <v>36.852235999999998</v>
      </c>
      <c r="Z59" s="190">
        <v>0.9783714</v>
      </c>
      <c r="AA59" s="62">
        <v>0.98345662</v>
      </c>
      <c r="AB59" s="62">
        <v>3.8122475000000003E-2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0.84896799999999928</v>
      </c>
      <c r="AN59" s="122">
        <f t="shared" si="5"/>
        <v>0.58083699999999538</v>
      </c>
      <c r="AO59" s="122">
        <f t="shared" si="6"/>
        <v>2.4292000000003533E-4</v>
      </c>
      <c r="AP59" s="122">
        <f t="shared" si="7"/>
        <v>4.5015000000003802E-4</v>
      </c>
      <c r="AQ59" s="88">
        <f t="shared" si="8"/>
        <v>-4.6405609999999944E-3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37.292962000000003</v>
      </c>
      <c r="Y60" s="190">
        <v>40.779806999999998</v>
      </c>
      <c r="Z60" s="190">
        <v>0.98856310000000003</v>
      </c>
      <c r="AA60" s="62">
        <v>0.99194347000000005</v>
      </c>
      <c r="AB60" s="62">
        <v>2.3120247E-2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1.3898930000000007</v>
      </c>
      <c r="AN60" s="122">
        <f t="shared" si="5"/>
        <v>0.83708599999999933</v>
      </c>
      <c r="AO60" s="122">
        <f t="shared" si="6"/>
        <v>3.6685000000002965E-4</v>
      </c>
      <c r="AP60" s="122">
        <f t="shared" si="7"/>
        <v>5.249200000000398E-4</v>
      </c>
      <c r="AQ60" s="88">
        <f t="shared" si="8"/>
        <v>-5.5673629999999988E-3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41.850757999999999</v>
      </c>
      <c r="Y61" s="190">
        <v>45.017753999999996</v>
      </c>
      <c r="Z61" s="190">
        <v>0.99385961</v>
      </c>
      <c r="AA61" s="62">
        <v>0.99622518999999998</v>
      </c>
      <c r="AB61" s="62">
        <v>8.7879819999999997E-3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2.5191739999999996</v>
      </c>
      <c r="AN61" s="122">
        <f t="shared" si="5"/>
        <v>1.622448999999996</v>
      </c>
      <c r="AO61" s="122">
        <f t="shared" si="6"/>
        <v>3.8806000000002339E-4</v>
      </c>
      <c r="AP61" s="122">
        <f t="shared" si="7"/>
        <v>6.9136000000002973E-4</v>
      </c>
      <c r="AQ61" s="88">
        <f t="shared" si="8"/>
        <v>-4.2457410000000008E-3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30.326356000000001</v>
      </c>
      <c r="Y63" s="97">
        <v>34.164088</v>
      </c>
      <c r="Z63" s="97">
        <v>0.96234485999999997</v>
      </c>
      <c r="AA63" s="60">
        <v>0.97201082999999999</v>
      </c>
      <c r="AB63" s="60">
        <v>6.0478047E-2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0.13357799999999997</v>
      </c>
      <c r="AN63" s="96">
        <f t="shared" si="5"/>
        <v>0.31435599999999653</v>
      </c>
      <c r="AO63" s="96">
        <f t="shared" si="6"/>
        <v>-1.5587000000005791E-4</v>
      </c>
      <c r="AP63" s="96">
        <f t="shared" si="7"/>
        <v>3.9668000000003811E-4</v>
      </c>
      <c r="AQ63" s="121">
        <f t="shared" si="8"/>
        <v>-2.8394730000000021E-3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33.623392000000003</v>
      </c>
      <c r="Y64" s="190">
        <v>36.940117999999998</v>
      </c>
      <c r="Z64" s="190">
        <v>0.97817155</v>
      </c>
      <c r="AA64" s="62">
        <v>0.98354832000000003</v>
      </c>
      <c r="AB64" s="62">
        <v>3.810318E-2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0.34817200000000526</v>
      </c>
      <c r="AN64" s="122">
        <f t="shared" si="5"/>
        <v>0.25148099999999829</v>
      </c>
      <c r="AO64" s="122">
        <f t="shared" si="6"/>
        <v>2.6146999999998588E-4</v>
      </c>
      <c r="AP64" s="122">
        <f t="shared" si="7"/>
        <v>3.4869000000004036E-4</v>
      </c>
      <c r="AQ64" s="88">
        <f t="shared" si="8"/>
        <v>-2.3709369999999966E-3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37.567596000000002</v>
      </c>
      <c r="Y65" s="190">
        <v>41.002659000000001</v>
      </c>
      <c r="Z65" s="190">
        <v>0.98866520000000002</v>
      </c>
      <c r="AA65" s="62">
        <v>0.9921103</v>
      </c>
      <c r="AB65" s="62">
        <v>2.2856393999999999E-2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1.0300470000000033</v>
      </c>
      <c r="AN65" s="122">
        <f t="shared" si="5"/>
        <v>0.61335100000000153</v>
      </c>
      <c r="AO65" s="122">
        <f t="shared" si="6"/>
        <v>2.8658999999997548E-4</v>
      </c>
      <c r="AP65" s="122">
        <f t="shared" si="7"/>
        <v>3.1588000000004612E-4</v>
      </c>
      <c r="AQ65" s="88">
        <f t="shared" si="8"/>
        <v>-3.9846990000000013E-3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42.011800999999998</v>
      </c>
      <c r="Y66" s="190">
        <v>45.219824000000003</v>
      </c>
      <c r="Z66" s="190">
        <v>0.99394115999999999</v>
      </c>
      <c r="AA66" s="62">
        <v>0.99631049999999999</v>
      </c>
      <c r="AB66" s="62">
        <v>8.9384895000000006E-3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1.9859870000000015</v>
      </c>
      <c r="AN66" s="122">
        <f t="shared" si="5"/>
        <v>1.3431870000000004</v>
      </c>
      <c r="AO66" s="122">
        <f t="shared" si="6"/>
        <v>3.361400000000403E-4</v>
      </c>
      <c r="AP66" s="122">
        <f t="shared" si="7"/>
        <v>5.6299999999998018E-4</v>
      </c>
      <c r="AQ66" s="88">
        <f t="shared" si="8"/>
        <v>-3.3292764999999988E-3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29.386291</v>
      </c>
      <c r="Y68" s="97">
        <v>33.291846</v>
      </c>
      <c r="Z68" s="97">
        <v>0.96253036999999997</v>
      </c>
      <c r="AA68" s="60">
        <v>0.96959510999999998</v>
      </c>
      <c r="AB68" s="60">
        <v>5.6409158000000001E-2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0.6282609999999984</v>
      </c>
      <c r="AN68" s="96">
        <f t="shared" si="5"/>
        <v>1.1159749999999988</v>
      </c>
      <c r="AO68" s="96">
        <f t="shared" si="6"/>
        <v>6.516999999994777E-5</v>
      </c>
      <c r="AP68" s="96">
        <f t="shared" si="7"/>
        <v>1.0881000000000363E-3</v>
      </c>
      <c r="AQ68" s="121">
        <f t="shared" si="8"/>
        <v>-1.3866771999999999E-2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33.331873000000002</v>
      </c>
      <c r="Y69" s="190">
        <v>36.730311</v>
      </c>
      <c r="Z69" s="190">
        <v>0.97852963999999998</v>
      </c>
      <c r="AA69" s="62">
        <v>0.98309709000000001</v>
      </c>
      <c r="AB69" s="62">
        <v>3.4982733000000002E-2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1.3373430000000006</v>
      </c>
      <c r="AN69" s="122">
        <f t="shared" si="5"/>
        <v>1.1711179999999999</v>
      </c>
      <c r="AO69" s="122">
        <f t="shared" si="6"/>
        <v>1.8550999999999984E-4</v>
      </c>
      <c r="AP69" s="122">
        <f t="shared" si="7"/>
        <v>5.674599999999641E-4</v>
      </c>
      <c r="AQ69" s="88">
        <f t="shared" si="8"/>
        <v>-1.2125179999999999E-2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37.849372000000002</v>
      </c>
      <c r="Y70" s="190">
        <v>41.085256000000001</v>
      </c>
      <c r="Z70" s="190">
        <v>0.98928795000000003</v>
      </c>
      <c r="AA70" s="62">
        <v>0.99256211000000005</v>
      </c>
      <c r="AB70" s="62">
        <v>1.8307543999999999E-2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3.0086820000000003</v>
      </c>
      <c r="AN70" s="122">
        <f t="shared" si="5"/>
        <v>2.0291800000000038</v>
      </c>
      <c r="AO70" s="122">
        <f t="shared" si="6"/>
        <v>5.6014000000004227E-4</v>
      </c>
      <c r="AP70" s="122">
        <f t="shared" si="7"/>
        <v>7.5105000000008637E-4</v>
      </c>
      <c r="AQ70" s="88">
        <f t="shared" si="8"/>
        <v>-1.1157519000000001E-2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42.277603999999997</v>
      </c>
      <c r="Y71" s="190">
        <v>45.299768</v>
      </c>
      <c r="Z71" s="190">
        <v>0.99415869000000001</v>
      </c>
      <c r="AA71" s="62">
        <v>0.99644467000000003</v>
      </c>
      <c r="AB71" s="62">
        <v>7.889208E-3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4.1949509999999961</v>
      </c>
      <c r="AN71" s="122">
        <f t="shared" si="5"/>
        <v>2.8837339999999969</v>
      </c>
      <c r="AO71" s="122">
        <f t="shared" si="6"/>
        <v>4.5335000000001902E-4</v>
      </c>
      <c r="AP71" s="122">
        <f t="shared" si="7"/>
        <v>6.5053999999997725E-4</v>
      </c>
      <c r="AQ71" s="88">
        <f t="shared" si="8"/>
        <v>-7.0716790000000009E-3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30.142948000000001</v>
      </c>
      <c r="Y73" s="97">
        <v>34.259838000000002</v>
      </c>
      <c r="Z73" s="97">
        <v>0.96524120000000002</v>
      </c>
      <c r="AA73" s="60">
        <v>0.97052428999999996</v>
      </c>
      <c r="AB73" s="60">
        <v>5.2921098E-2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0.42112300000000147</v>
      </c>
      <c r="AN73" s="96">
        <f t="shared" si="5"/>
        <v>0.81868899999999911</v>
      </c>
      <c r="AO73" s="96">
        <f t="shared" si="6"/>
        <v>-4.4619999999939708E-5</v>
      </c>
      <c r="AP73" s="96">
        <f t="shared" si="7"/>
        <v>8.1195000000000572E-4</v>
      </c>
      <c r="AQ73" s="121">
        <f t="shared" si="8"/>
        <v>-8.7062860000000006E-3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33.801417000000001</v>
      </c>
      <c r="Y74" s="190">
        <v>37.224280999999998</v>
      </c>
      <c r="Z74" s="190">
        <v>0.97936058000000004</v>
      </c>
      <c r="AA74" s="62">
        <v>0.98328775000000002</v>
      </c>
      <c r="AB74" s="62">
        <v>3.4044699999999997E-2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1.2423039999999972</v>
      </c>
      <c r="AN74" s="122">
        <f t="shared" si="5"/>
        <v>0.94896299999999911</v>
      </c>
      <c r="AO74" s="122">
        <f t="shared" si="6"/>
        <v>2.2308000000004213E-4</v>
      </c>
      <c r="AP74" s="122">
        <f t="shared" si="7"/>
        <v>5.3270000000005258E-4</v>
      </c>
      <c r="AQ74" s="88">
        <f t="shared" si="8"/>
        <v>-7.0068600000000036E-3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38.312992999999999</v>
      </c>
      <c r="Y75" s="190">
        <v>41.556395999999999</v>
      </c>
      <c r="Z75" s="190">
        <v>0.98928908000000004</v>
      </c>
      <c r="AA75" s="62">
        <v>0.99253358000000003</v>
      </c>
      <c r="AB75" s="62">
        <v>1.7734119999999999E-2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2.0486989999999992</v>
      </c>
      <c r="AN75" s="122">
        <f t="shared" si="5"/>
        <v>1.2977339999999984</v>
      </c>
      <c r="AO75" s="122">
        <f t="shared" si="6"/>
        <v>4.1292000000003881E-4</v>
      </c>
      <c r="AP75" s="122">
        <f t="shared" si="7"/>
        <v>6.8803000000006165E-4</v>
      </c>
      <c r="AQ75" s="88">
        <f t="shared" si="8"/>
        <v>-6.1103059999999994E-3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42.474955999999999</v>
      </c>
      <c r="Y76" s="190">
        <v>45.519329999999997</v>
      </c>
      <c r="Z76" s="190">
        <v>0.99409983999999996</v>
      </c>
      <c r="AA76" s="62">
        <v>0.99644675999999999</v>
      </c>
      <c r="AB76" s="62">
        <v>7.9221440000000008E-3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4.2003869999999992</v>
      </c>
      <c r="AN76" s="122">
        <f t="shared" si="5"/>
        <v>2.822772999999998</v>
      </c>
      <c r="AO76" s="122">
        <f t="shared" si="6"/>
        <v>4.2261999999992916E-4</v>
      </c>
      <c r="AP76" s="122">
        <f t="shared" si="7"/>
        <v>6.8626999999998883E-4</v>
      </c>
      <c r="AQ76" s="88">
        <f t="shared" si="8"/>
        <v>-8.3213659999999984E-3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30.425070999999999</v>
      </c>
      <c r="Y78" s="97">
        <v>34.155447000000002</v>
      </c>
      <c r="Z78" s="97">
        <v>0.96684685999999997</v>
      </c>
      <c r="AA78" s="60">
        <v>0.97192418000000003</v>
      </c>
      <c r="AB78" s="60">
        <v>5.468779E-2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0.6090289999999996</v>
      </c>
      <c r="AN78" s="96">
        <f t="shared" si="5"/>
        <v>0.6488690000000048</v>
      </c>
      <c r="AO78" s="96">
        <f t="shared" si="6"/>
        <v>3.2990000000010511E-5</v>
      </c>
      <c r="AP78" s="96">
        <f t="shared" si="7"/>
        <v>5.4298000000008173E-4</v>
      </c>
      <c r="AQ78" s="121">
        <f t="shared" si="8"/>
        <v>-9.6356400000000009E-3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33.598123000000001</v>
      </c>
      <c r="Y79" s="190">
        <v>36.950701000000002</v>
      </c>
      <c r="Z79" s="190">
        <v>0.97982882999999998</v>
      </c>
      <c r="AA79" s="62">
        <v>0.98343712999999999</v>
      </c>
      <c r="AB79" s="62">
        <v>3.5433654000000002E-2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1.2092740000000006</v>
      </c>
      <c r="AN79" s="122">
        <f t="shared" si="5"/>
        <v>0.7510690000000011</v>
      </c>
      <c r="AO79" s="122">
        <f t="shared" si="6"/>
        <v>2.3667999999998912E-4</v>
      </c>
      <c r="AP79" s="122">
        <f t="shared" si="7"/>
        <v>5.303899999999917E-4</v>
      </c>
      <c r="AQ79" s="88">
        <f t="shared" si="8"/>
        <v>-7.3461359999999962E-3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38.006815000000003</v>
      </c>
      <c r="Y80" s="190">
        <v>41.382582999999997</v>
      </c>
      <c r="Z80" s="190">
        <v>0.98941246999999999</v>
      </c>
      <c r="AA80" s="62">
        <v>0.99252777999999997</v>
      </c>
      <c r="AB80" s="62">
        <v>1.9056938999999998E-2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2.0742250000000055</v>
      </c>
      <c r="AN80" s="122">
        <f t="shared" si="5"/>
        <v>1.2447459999999992</v>
      </c>
      <c r="AO80" s="122">
        <f t="shared" si="6"/>
        <v>3.911300000000173E-4</v>
      </c>
      <c r="AP80" s="122">
        <f t="shared" si="7"/>
        <v>6.3933999999998825E-4</v>
      </c>
      <c r="AQ80" s="88">
        <f t="shared" si="8"/>
        <v>-8.2532390000000025E-3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42.447481000000003</v>
      </c>
      <c r="Y81" s="190">
        <v>45.602305000000001</v>
      </c>
      <c r="Z81" s="190">
        <v>0.99414135000000003</v>
      </c>
      <c r="AA81" s="62">
        <v>0.99645410999999995</v>
      </c>
      <c r="AB81" s="62">
        <v>8.1085640000000004E-3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3.7617609999999999</v>
      </c>
      <c r="AN81" s="122">
        <f t="shared" si="5"/>
        <v>2.4936119999999988</v>
      </c>
      <c r="AO81" s="122">
        <f t="shared" si="6"/>
        <v>4.2195000000000427E-4</v>
      </c>
      <c r="AP81" s="122">
        <f t="shared" si="7"/>
        <v>6.4280999999999366E-4</v>
      </c>
      <c r="AQ81" s="88">
        <f t="shared" si="8"/>
        <v>-7.4880859999999997E-3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30.701886999999999</v>
      </c>
      <c r="Y83" s="97">
        <v>34.468394000000004</v>
      </c>
      <c r="Z83" s="97">
        <v>0.96788275000000001</v>
      </c>
      <c r="AA83" s="60">
        <v>0.97409776000000003</v>
      </c>
      <c r="AB83" s="60">
        <v>5.2525090000000003E-2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0.1972549999999984</v>
      </c>
      <c r="AN83" s="96">
        <f t="shared" si="5"/>
        <v>0.61335500000000565</v>
      </c>
      <c r="AO83" s="96">
        <f t="shared" si="6"/>
        <v>1.4252999999997407E-4</v>
      </c>
      <c r="AP83" s="96">
        <f t="shared" si="7"/>
        <v>7.2627000000002884E-4</v>
      </c>
      <c r="AQ83" s="121">
        <f t="shared" si="8"/>
        <v>-7.0491939999999947E-3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34.313132000000003</v>
      </c>
      <c r="Y84" s="190">
        <v>37.542340000000003</v>
      </c>
      <c r="Z84" s="190">
        <v>0.98026170999999995</v>
      </c>
      <c r="AA84" s="62">
        <v>0.98477709999999996</v>
      </c>
      <c r="AB84" s="62">
        <v>3.3981193E-2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1.0875290000000035</v>
      </c>
      <c r="AN84" s="122">
        <f t="shared" si="5"/>
        <v>0.8190270000000055</v>
      </c>
      <c r="AO84" s="122">
        <f t="shared" si="6"/>
        <v>1.1453999999999631E-4</v>
      </c>
      <c r="AP84" s="122">
        <f t="shared" si="7"/>
        <v>7.0156999999992919E-4</v>
      </c>
      <c r="AQ84" s="88">
        <f t="shared" si="8"/>
        <v>-5.395241000000002E-3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38.465175000000002</v>
      </c>
      <c r="Y85" s="190">
        <v>41.702306</v>
      </c>
      <c r="Z85" s="190">
        <v>0.98920870999999999</v>
      </c>
      <c r="AA85" s="62">
        <v>0.99263520999999999</v>
      </c>
      <c r="AB85" s="62">
        <v>1.8820254000000002E-2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2.1662110000000041</v>
      </c>
      <c r="AN85" s="122">
        <f t="shared" si="5"/>
        <v>1.2840010000000035</v>
      </c>
      <c r="AO85" s="122">
        <f t="shared" si="6"/>
        <v>3.3590999999999482E-4</v>
      </c>
      <c r="AP85" s="122">
        <f t="shared" si="7"/>
        <v>4.4042999999993615E-4</v>
      </c>
      <c r="AQ85" s="88">
        <f t="shared" si="8"/>
        <v>-6.9713309999999973E-3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42.507741000000003</v>
      </c>
      <c r="Y86" s="190">
        <v>45.578304000000003</v>
      </c>
      <c r="Z86" s="190">
        <v>0.99392183999999995</v>
      </c>
      <c r="AA86" s="62">
        <v>0.99644427000000002</v>
      </c>
      <c r="AB86" s="62">
        <v>8.2660700000000004E-3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3.3284070000000057</v>
      </c>
      <c r="AN86" s="122">
        <f t="shared" si="5"/>
        <v>2.1061510000000041</v>
      </c>
      <c r="AO86" s="122">
        <f t="shared" si="6"/>
        <v>3.5625999999999713E-4</v>
      </c>
      <c r="AP86" s="122">
        <f t="shared" si="7"/>
        <v>6.7358000000006246E-4</v>
      </c>
      <c r="AQ86" s="88">
        <f t="shared" si="8"/>
        <v>-5.6608559999999988E-3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30.944051000000002</v>
      </c>
      <c r="Y88" s="97">
        <v>34.744244000000002</v>
      </c>
      <c r="Z88" s="97">
        <v>0.96816080000000004</v>
      </c>
      <c r="AA88" s="60">
        <v>0.97428954999999995</v>
      </c>
      <c r="AB88" s="60">
        <v>5.1052055999999998E-2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0.43759800000000126</v>
      </c>
      <c r="AN88" s="96">
        <f t="shared" si="5"/>
        <v>0.67854499999999973</v>
      </c>
      <c r="AO88" s="96">
        <f t="shared" si="6"/>
        <v>2.8510000000037117E-5</v>
      </c>
      <c r="AP88" s="96">
        <f t="shared" si="7"/>
        <v>8.1214999999990045E-4</v>
      </c>
      <c r="AQ88" s="121">
        <f t="shared" si="8"/>
        <v>-6.8389810000000009E-3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34.392037999999999</v>
      </c>
      <c r="Y89" s="190">
        <v>37.640345000000003</v>
      </c>
      <c r="Z89" s="190">
        <v>0.98068679999999997</v>
      </c>
      <c r="AA89" s="62">
        <v>0.98532187000000004</v>
      </c>
      <c r="AB89" s="62">
        <v>3.3063519999999999E-2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0.91421299999999661</v>
      </c>
      <c r="AN89" s="122">
        <f t="shared" si="5"/>
        <v>0.69294100000000469</v>
      </c>
      <c r="AO89" s="122">
        <f t="shared" si="6"/>
        <v>6.5699999999946357E-5</v>
      </c>
      <c r="AP89" s="122">
        <f t="shared" si="7"/>
        <v>7.1149000000003682E-4</v>
      </c>
      <c r="AQ89" s="88">
        <f t="shared" si="8"/>
        <v>-4.6771840000000009E-3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38.605100999999998</v>
      </c>
      <c r="Y90" s="190">
        <v>41.866219999999998</v>
      </c>
      <c r="Z90" s="190">
        <v>0.98941212999999995</v>
      </c>
      <c r="AA90" s="62">
        <v>0.99279519999999999</v>
      </c>
      <c r="AB90" s="62">
        <v>1.8429553000000001E-2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1.8560469999999967</v>
      </c>
      <c r="AN90" s="122">
        <f t="shared" si="5"/>
        <v>1.1397189999999995</v>
      </c>
      <c r="AO90" s="122">
        <f t="shared" si="6"/>
        <v>3.3390999999993731E-4</v>
      </c>
      <c r="AP90" s="122">
        <f t="shared" si="7"/>
        <v>6.0545000000000737E-4</v>
      </c>
      <c r="AQ90" s="88">
        <f t="shared" si="8"/>
        <v>-5.3557829999999994E-3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42.715049</v>
      </c>
      <c r="Y91" s="190">
        <v>45.796174999999998</v>
      </c>
      <c r="Z91" s="190">
        <v>0.99410832999999998</v>
      </c>
      <c r="AA91" s="62">
        <v>0.99652476000000001</v>
      </c>
      <c r="AB91" s="62">
        <v>7.8944180000000003E-3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3.041719999999998</v>
      </c>
      <c r="AN91" s="122">
        <f t="shared" si="5"/>
        <v>1.9446299999999965</v>
      </c>
      <c r="AO91" s="122">
        <f t="shared" si="6"/>
        <v>3.3499000000003498E-4</v>
      </c>
      <c r="AP91" s="122">
        <f t="shared" si="7"/>
        <v>6.6728000000004783E-4</v>
      </c>
      <c r="AQ91" s="88">
        <f t="shared" si="8"/>
        <v>-4.7764390000000004E-3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31.238479000000002</v>
      </c>
      <c r="Y93" s="97">
        <v>34.980736</v>
      </c>
      <c r="Z93" s="97">
        <v>0.96833555999999998</v>
      </c>
      <c r="AA93" s="60">
        <v>0.97495580000000004</v>
      </c>
      <c r="AB93" s="60">
        <v>5.2891668000000003E-2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0.54622800000000282</v>
      </c>
      <c r="AN93" s="96">
        <f t="shared" si="5"/>
        <v>0.60404499999999928</v>
      </c>
      <c r="AO93" s="96">
        <f t="shared" si="6"/>
        <v>-8.9769999999989025E-5</v>
      </c>
      <c r="AP93" s="96">
        <f t="shared" si="7"/>
        <v>5.1056999999998798E-4</v>
      </c>
      <c r="AQ93" s="121">
        <f t="shared" si="8"/>
        <v>-6.1834189999999956E-3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34.495553000000001</v>
      </c>
      <c r="Y94" s="190">
        <v>37.802529999999997</v>
      </c>
      <c r="Z94" s="190">
        <v>0.98081384000000005</v>
      </c>
      <c r="AA94" s="62">
        <v>0.98548961999999996</v>
      </c>
      <c r="AB94" s="62">
        <v>3.3741123999999997E-2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0.97279000000000337</v>
      </c>
      <c r="AN94" s="122">
        <f t="shared" si="5"/>
        <v>0.63388999999999385</v>
      </c>
      <c r="AO94" s="122">
        <f t="shared" si="6"/>
        <v>1.0775000000007307E-4</v>
      </c>
      <c r="AP94" s="122">
        <f t="shared" si="7"/>
        <v>3.8430999999994331E-4</v>
      </c>
      <c r="AQ94" s="88">
        <f t="shared" si="8"/>
        <v>-4.5418440000000032E-3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38.092942000000001</v>
      </c>
      <c r="Y95" s="190">
        <v>41.533642</v>
      </c>
      <c r="Z95" s="190">
        <v>0.98951378000000001</v>
      </c>
      <c r="AA95" s="62">
        <v>0.99279653000000001</v>
      </c>
      <c r="AB95" s="62">
        <v>1.9603984000000001E-2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1.3495399999999975</v>
      </c>
      <c r="AN95" s="122">
        <f t="shared" si="5"/>
        <v>0.86318899999999843</v>
      </c>
      <c r="AO95" s="122">
        <f t="shared" si="6"/>
        <v>2.8591000000000033E-4</v>
      </c>
      <c r="AP95" s="122">
        <f t="shared" si="7"/>
        <v>4.3654000000004078E-4</v>
      </c>
      <c r="AQ95" s="88">
        <f t="shared" si="8"/>
        <v>-4.7822249999999976E-3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42.688515000000002</v>
      </c>
      <c r="Y96" s="190">
        <v>45.808669000000002</v>
      </c>
      <c r="Z96" s="190">
        <v>0.99418218000000003</v>
      </c>
      <c r="AA96" s="62">
        <v>0.99655004999999997</v>
      </c>
      <c r="AB96" s="62">
        <v>8.0539540000000003E-3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2.702807</v>
      </c>
      <c r="AN96" s="122">
        <f t="shared" si="5"/>
        <v>1.6924740000000043</v>
      </c>
      <c r="AO96" s="122">
        <f t="shared" si="6"/>
        <v>3.0448000000005138E-4</v>
      </c>
      <c r="AP96" s="122">
        <f t="shared" si="7"/>
        <v>6.1342999999991488E-4</v>
      </c>
      <c r="AQ96" s="88">
        <f t="shared" si="8"/>
        <v>-4.2334790000000001E-3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31.365480999999999</v>
      </c>
      <c r="Y98" s="97">
        <v>35.399386</v>
      </c>
      <c r="Z98" s="97">
        <v>0.96764247999999997</v>
      </c>
      <c r="AA98" s="60">
        <v>0.97528669999999995</v>
      </c>
      <c r="AB98" s="60">
        <v>5.4857820000000002E-2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0.16538399999999953</v>
      </c>
      <c r="AN98" s="96">
        <f t="shared" si="15"/>
        <v>0.36666100000000057</v>
      </c>
      <c r="AO98" s="96">
        <f t="shared" si="16"/>
        <v>-4.5520000000021099E-5</v>
      </c>
      <c r="AP98" s="96">
        <f t="shared" si="17"/>
        <v>3.287299999999993E-4</v>
      </c>
      <c r="AQ98" s="121">
        <f t="shared" si="18"/>
        <v>-1.5277900000000011E-3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34.677159000000003</v>
      </c>
      <c r="Y99" s="190">
        <v>38.115355000000001</v>
      </c>
      <c r="Z99" s="190">
        <v>0.98054896999999996</v>
      </c>
      <c r="AA99" s="62">
        <v>0.98572932000000002</v>
      </c>
      <c r="AB99" s="62">
        <v>3.4454749999999999E-2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0.45042899999999975</v>
      </c>
      <c r="AN99" s="122">
        <f t="shared" si="15"/>
        <v>0.29892900000000111</v>
      </c>
      <c r="AO99" s="122">
        <f t="shared" si="16"/>
        <v>7.5019999999925702E-5</v>
      </c>
      <c r="AP99" s="122">
        <f t="shared" si="17"/>
        <v>3.7421000000004145E-4</v>
      </c>
      <c r="AQ99" s="88">
        <f t="shared" si="18"/>
        <v>-1.1172350000000011E-3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38.444375999999998</v>
      </c>
      <c r="Y100" s="190">
        <v>41.723976</v>
      </c>
      <c r="Z100" s="190">
        <v>0.98951721000000004</v>
      </c>
      <c r="AA100" s="62">
        <v>0.99276317999999997</v>
      </c>
      <c r="AB100" s="62">
        <v>1.9906024000000001E-2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1.127122</v>
      </c>
      <c r="AN100" s="122">
        <f t="shared" si="15"/>
        <v>0.68149600000000277</v>
      </c>
      <c r="AO100" s="122">
        <f t="shared" si="16"/>
        <v>2.1691000000001459E-4</v>
      </c>
      <c r="AP100" s="122">
        <f t="shared" si="17"/>
        <v>2.8779000000000998E-4</v>
      </c>
      <c r="AQ100" s="88">
        <f t="shared" si="18"/>
        <v>-2.9132259999999979E-3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42.800772000000002</v>
      </c>
      <c r="Y101" s="190">
        <v>45.905890999999997</v>
      </c>
      <c r="Z101" s="190">
        <v>0.99425182000000001</v>
      </c>
      <c r="AA101" s="62">
        <v>0.99656500000000003</v>
      </c>
      <c r="AB101" s="62">
        <v>8.4364709999999992E-3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2.0371349999999993</v>
      </c>
      <c r="AN101" s="122">
        <f t="shared" si="15"/>
        <v>1.2760289999999941</v>
      </c>
      <c r="AO101" s="122">
        <f t="shared" si="16"/>
        <v>2.4330999999999658E-4</v>
      </c>
      <c r="AP101" s="122">
        <f t="shared" si="17"/>
        <v>5.0055000000004402E-4</v>
      </c>
      <c r="AQ101" s="88">
        <f t="shared" si="18"/>
        <v>-3.0640530000000006E-3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31.235287</v>
      </c>
      <c r="Y103" s="97">
        <v>35.414161</v>
      </c>
      <c r="Z103" s="97">
        <v>0.96857223000000003</v>
      </c>
      <c r="AA103" s="60">
        <v>0.97745369999999998</v>
      </c>
      <c r="AB103" s="60">
        <v>5.9503886999999998E-2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0.34361300000000128</v>
      </c>
      <c r="AN103" s="96">
        <f t="shared" si="15"/>
        <v>1.127315000000003</v>
      </c>
      <c r="AO103" s="96">
        <f t="shared" si="16"/>
        <v>-1.9331000000000209E-4</v>
      </c>
      <c r="AP103" s="96">
        <f t="shared" si="17"/>
        <v>2.7570999999992907E-4</v>
      </c>
      <c r="AQ103" s="121">
        <f t="shared" si="18"/>
        <v>-1.2097203000000008E-2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34.65278</v>
      </c>
      <c r="Y104" s="190">
        <v>38.287947000000003</v>
      </c>
      <c r="Z104" s="190">
        <v>0.98118753999999997</v>
      </c>
      <c r="AA104" s="62">
        <v>0.98682672000000005</v>
      </c>
      <c r="AB104" s="62">
        <v>3.7272220000000002E-2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1.1388919999999985</v>
      </c>
      <c r="AN104" s="122">
        <f t="shared" si="15"/>
        <v>1.3557680000000047</v>
      </c>
      <c r="AO104" s="122">
        <f t="shared" si="16"/>
        <v>1.5312999999994581E-4</v>
      </c>
      <c r="AP104" s="122">
        <f t="shared" si="17"/>
        <v>3.7148000000009063E-4</v>
      </c>
      <c r="AQ104" s="88">
        <f t="shared" si="18"/>
        <v>-1.1173414999999999E-2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38.910356999999998</v>
      </c>
      <c r="Y105" s="190">
        <v>42.072380000000003</v>
      </c>
      <c r="Z105" s="190">
        <v>0.99009449000000005</v>
      </c>
      <c r="AA105" s="62">
        <v>0.99376160999999996</v>
      </c>
      <c r="AB105" s="62">
        <v>2.0201515E-2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2.8813679999999948</v>
      </c>
      <c r="AN105" s="122">
        <f t="shared" si="15"/>
        <v>1.8833180000000027</v>
      </c>
      <c r="AO105" s="122">
        <f t="shared" si="16"/>
        <v>3.415800000000635E-4</v>
      </c>
      <c r="AP105" s="122">
        <f t="shared" si="17"/>
        <v>6.4186999999993333E-4</v>
      </c>
      <c r="AQ105" s="88">
        <f t="shared" si="18"/>
        <v>-1.0814961000000001E-2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43.046168999999999</v>
      </c>
      <c r="Y106" s="190">
        <v>45.928769000000003</v>
      </c>
      <c r="Z106" s="190">
        <v>0.99416517000000004</v>
      </c>
      <c r="AA106" s="62">
        <v>0.99679081000000003</v>
      </c>
      <c r="AB106" s="62">
        <v>9.3121599999999999E-3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3.9576509999999985</v>
      </c>
      <c r="AN106" s="122">
        <f t="shared" si="15"/>
        <v>2.4968989999999991</v>
      </c>
      <c r="AO106" s="122">
        <f t="shared" si="16"/>
        <v>3.1811000000003808E-4</v>
      </c>
      <c r="AP106" s="122">
        <f t="shared" si="17"/>
        <v>5.6330000000004432E-4</v>
      </c>
      <c r="AQ106" s="88">
        <f t="shared" si="18"/>
        <v>-7.4358960000000009E-3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>
        <v>31.094735</v>
      </c>
      <c r="Y108" s="97">
        <v>35.403353000000003</v>
      </c>
      <c r="Z108" s="97">
        <v>0.97046237999999996</v>
      </c>
      <c r="AA108" s="60">
        <v>0.97829577999999995</v>
      </c>
      <c r="AB108" s="60">
        <v>5.5836073999999999E-2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>
        <f t="shared" si="14"/>
        <v>-0.19545099999999849</v>
      </c>
      <c r="AN108" s="96">
        <f t="shared" si="15"/>
        <v>0.59423400000000015</v>
      </c>
      <c r="AO108" s="96">
        <f t="shared" si="16"/>
        <v>-2.3214000000004731E-4</v>
      </c>
      <c r="AP108" s="96">
        <f t="shared" si="17"/>
        <v>1.4879999999939386E-5</v>
      </c>
      <c r="AQ108" s="121">
        <f t="shared" si="18"/>
        <v>-7.1067060000000043E-3</v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>
        <v>34.299312999999998</v>
      </c>
      <c r="Y109" s="190">
        <v>38.056395000000002</v>
      </c>
      <c r="Z109" s="190">
        <v>0.98170714999999997</v>
      </c>
      <c r="AA109" s="62">
        <v>0.98694168000000004</v>
      </c>
      <c r="AB109" s="62">
        <v>3.6244199999999997E-2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>
        <f t="shared" si="14"/>
        <v>0.32657799999999781</v>
      </c>
      <c r="AN109" s="122">
        <f t="shared" si="15"/>
        <v>0.75587200000000365</v>
      </c>
      <c r="AO109" s="122">
        <f t="shared" si="16"/>
        <v>1.7049000000002312E-4</v>
      </c>
      <c r="AP109" s="122">
        <f t="shared" si="17"/>
        <v>2.7444000000009794E-4</v>
      </c>
      <c r="AQ109" s="88">
        <f t="shared" si="18"/>
        <v>-7.0648100000000047E-3</v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>
        <v>38.992750000000001</v>
      </c>
      <c r="Y110" s="190">
        <v>42.158915999999998</v>
      </c>
      <c r="Z110" s="190">
        <v>0.99002009999999996</v>
      </c>
      <c r="AA110" s="62">
        <v>0.99345362999999998</v>
      </c>
      <c r="AB110" s="62">
        <v>2.0390008000000001E-2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>
        <f t="shared" si="14"/>
        <v>1.6433239999999998</v>
      </c>
      <c r="AN110" s="122">
        <f t="shared" si="15"/>
        <v>1.0388049999999964</v>
      </c>
      <c r="AO110" s="122">
        <f t="shared" si="16"/>
        <v>3.3324000000001242E-4</v>
      </c>
      <c r="AP110" s="122">
        <f t="shared" si="17"/>
        <v>3.0443999999996141E-4</v>
      </c>
      <c r="AQ110" s="88">
        <f t="shared" si="18"/>
        <v>-6.0216119999999991E-3</v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>
        <v>43.065049000000002</v>
      </c>
      <c r="Y111" s="190">
        <v>45.920914000000003</v>
      </c>
      <c r="Z111" s="190">
        <v>0.99417182999999998</v>
      </c>
      <c r="AA111" s="62">
        <v>0.99676874000000004</v>
      </c>
      <c r="AB111" s="62">
        <v>9.7431470000000006E-3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>
        <f t="shared" si="14"/>
        <v>3.8610590000000045</v>
      </c>
      <c r="AN111" s="122">
        <f t="shared" si="15"/>
        <v>2.2810740000000038</v>
      </c>
      <c r="AO111" s="122">
        <f t="shared" si="16"/>
        <v>3.2878000000002849E-4</v>
      </c>
      <c r="AP111" s="122">
        <f t="shared" si="17"/>
        <v>6.5671000000000479E-4</v>
      </c>
      <c r="AQ111" s="88">
        <f t="shared" si="18"/>
        <v>-8.8779340000000005E-3</v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>
        <v>31.817684</v>
      </c>
      <c r="Y113" s="97">
        <v>35.466932</v>
      </c>
      <c r="Z113" s="97">
        <v>0.97151049</v>
      </c>
      <c r="AA113" s="60">
        <v>0.97901775000000002</v>
      </c>
      <c r="AB113" s="60">
        <v>5.5756893000000002E-2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>
        <f t="shared" si="14"/>
        <v>0.5103049999999989</v>
      </c>
      <c r="AN113" s="96">
        <f t="shared" si="15"/>
        <v>0.59054299999999671</v>
      </c>
      <c r="AO113" s="96">
        <f t="shared" si="16"/>
        <v>-1.070000000003013E-5</v>
      </c>
      <c r="AP113" s="96">
        <f t="shared" si="17"/>
        <v>1.110400000000622E-4</v>
      </c>
      <c r="AQ113" s="121">
        <f t="shared" si="18"/>
        <v>-9.9051770000000011E-3</v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>
        <v>34.566564999999997</v>
      </c>
      <c r="Y114" s="190">
        <v>37.923861000000002</v>
      </c>
      <c r="Z114" s="190">
        <v>0.98207929999999999</v>
      </c>
      <c r="AA114" s="62">
        <v>0.98704607</v>
      </c>
      <c r="AB114" s="62">
        <v>3.7321029999999998E-2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>
        <f t="shared" si="14"/>
        <v>1.0557759999999945</v>
      </c>
      <c r="AN114" s="122">
        <f t="shared" si="15"/>
        <v>0.69318900000000383</v>
      </c>
      <c r="AO114" s="122">
        <f t="shared" si="16"/>
        <v>1.9654000000002281E-4</v>
      </c>
      <c r="AP114" s="122">
        <f t="shared" si="17"/>
        <v>4.8886000000003538E-4</v>
      </c>
      <c r="AQ114" s="88">
        <f t="shared" si="18"/>
        <v>-9.3128500000000045E-3</v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>
        <v>38.596294999999998</v>
      </c>
      <c r="Y115" s="190">
        <v>41.854230999999999</v>
      </c>
      <c r="Z115" s="190">
        <v>0.98993514000000005</v>
      </c>
      <c r="AA115" s="62">
        <v>0.99352960000000001</v>
      </c>
      <c r="AB115" s="62">
        <v>2.1467876E-2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>
        <f t="shared" si="14"/>
        <v>2.0538779999999974</v>
      </c>
      <c r="AN115" s="122">
        <f t="shared" si="15"/>
        <v>1.1781579999999963</v>
      </c>
      <c r="AO115" s="122">
        <f t="shared" si="16"/>
        <v>2.9844000000001092E-4</v>
      </c>
      <c r="AP115" s="122">
        <f t="shared" si="17"/>
        <v>3.5578000000002774E-4</v>
      </c>
      <c r="AQ115" s="88">
        <f t="shared" si="18"/>
        <v>-9.3419139999999998E-3</v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>
        <v>43.090502000000001</v>
      </c>
      <c r="Y116" s="190">
        <v>46.106780999999998</v>
      </c>
      <c r="Z116" s="190">
        <v>0.99419765000000004</v>
      </c>
      <c r="AA116" s="62">
        <v>0.99685447999999999</v>
      </c>
      <c r="AB116" s="62">
        <v>9.2254209999999993E-3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>
        <f t="shared" si="14"/>
        <v>3.5361370000000036</v>
      </c>
      <c r="AN116" s="122">
        <f t="shared" si="15"/>
        <v>2.2572890000000001</v>
      </c>
      <c r="AO116" s="122">
        <f t="shared" si="16"/>
        <v>3.1976000000000226E-4</v>
      </c>
      <c r="AP116" s="122">
        <f t="shared" si="17"/>
        <v>5.8212000000001929E-4</v>
      </c>
      <c r="AQ116" s="88">
        <f t="shared" si="18"/>
        <v>-7.3435150000000001E-3</v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>
        <v>32.335932999999997</v>
      </c>
      <c r="Y118" s="97">
        <v>36.081617000000001</v>
      </c>
      <c r="Z118" s="97">
        <v>0.97233415999999995</v>
      </c>
      <c r="AA118" s="60">
        <v>0.98037817999999999</v>
      </c>
      <c r="AB118" s="60">
        <v>5.194878E-2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>
        <f t="shared" si="14"/>
        <v>0.35883999999999716</v>
      </c>
      <c r="AN118" s="96">
        <f t="shared" si="15"/>
        <v>0.70190999999999804</v>
      </c>
      <c r="AO118" s="96">
        <f t="shared" si="16"/>
        <v>2.4349999999895289E-5</v>
      </c>
      <c r="AP118" s="96">
        <f t="shared" si="17"/>
        <v>3.9014999999997801E-4</v>
      </c>
      <c r="AQ118" s="121">
        <f t="shared" si="18"/>
        <v>-6.6049830000000018E-3</v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>
        <v>35.067199000000002</v>
      </c>
      <c r="Y119" s="190">
        <v>38.446859000000003</v>
      </c>
      <c r="Z119" s="190">
        <v>0.98215048999999999</v>
      </c>
      <c r="AA119" s="62">
        <v>0.98761030999999999</v>
      </c>
      <c r="AB119" s="62">
        <v>3.4969027999999999E-2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>
        <f t="shared" si="14"/>
        <v>1.0640860000000032</v>
      </c>
      <c r="AN119" s="122">
        <f t="shared" si="15"/>
        <v>0.86280600000000618</v>
      </c>
      <c r="AO119" s="122">
        <f t="shared" si="16"/>
        <v>4.2580000000014273E-5</v>
      </c>
      <c r="AP119" s="122">
        <f t="shared" si="17"/>
        <v>6.1458999999997044E-4</v>
      </c>
      <c r="AQ119" s="88">
        <f t="shared" si="18"/>
        <v>-6.3837119999999997E-3</v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>
        <v>38.918018000000004</v>
      </c>
      <c r="Y120" s="190">
        <v>42.117528999999998</v>
      </c>
      <c r="Z120" s="190">
        <v>0.98974569999999995</v>
      </c>
      <c r="AA120" s="62">
        <v>0.99365813999999997</v>
      </c>
      <c r="AB120" s="62">
        <v>2.0295357E-2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>
        <f t="shared" si="14"/>
        <v>2.0244070000000036</v>
      </c>
      <c r="AN120" s="122">
        <f t="shared" si="15"/>
        <v>1.2493819999999971</v>
      </c>
      <c r="AO120" s="122">
        <f t="shared" si="16"/>
        <v>2.6419999999993671E-4</v>
      </c>
      <c r="AP120" s="122">
        <f t="shared" si="17"/>
        <v>3.0901999999999319E-4</v>
      </c>
      <c r="AQ120" s="88">
        <f t="shared" si="18"/>
        <v>-6.8914830000000003E-3</v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>
        <v>43.163595000000001</v>
      </c>
      <c r="Y121" s="190">
        <v>46.141965999999996</v>
      </c>
      <c r="Z121" s="190">
        <v>0.99404965999999995</v>
      </c>
      <c r="AA121" s="62">
        <v>0.99686297999999995</v>
      </c>
      <c r="AB121" s="62">
        <v>9.2834110000000001E-3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>
        <f t="shared" si="14"/>
        <v>2.9352260000000001</v>
      </c>
      <c r="AN121" s="122">
        <f t="shared" si="15"/>
        <v>1.8239129999999975</v>
      </c>
      <c r="AO121" s="122">
        <f t="shared" si="16"/>
        <v>2.8823000000000043E-4</v>
      </c>
      <c r="AP121" s="122">
        <f t="shared" si="17"/>
        <v>6.0991999999993052E-4</v>
      </c>
      <c r="AQ121" s="88">
        <f t="shared" si="18"/>
        <v>-4.7583799999999996E-3</v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>
        <v>32.437871999999999</v>
      </c>
      <c r="Y123" s="97">
        <v>36.287010000000002</v>
      </c>
      <c r="Z123" s="97">
        <v>0.97249008999999997</v>
      </c>
      <c r="AA123" s="60">
        <v>0.97972985000000001</v>
      </c>
      <c r="AB123" s="60">
        <v>5.2645218000000001E-2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>
        <f t="shared" si="14"/>
        <v>0.3763930000000002</v>
      </c>
      <c r="AN123" s="96">
        <f t="shared" si="15"/>
        <v>0.60031400000000446</v>
      </c>
      <c r="AO123" s="96">
        <f t="shared" si="16"/>
        <v>-4.4719999999998095E-5</v>
      </c>
      <c r="AP123" s="96">
        <f t="shared" si="17"/>
        <v>4.3750000000009059E-5</v>
      </c>
      <c r="AQ123" s="121">
        <f t="shared" si="18"/>
        <v>-4.4444159999999996E-3</v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>
        <v>34.987397999999999</v>
      </c>
      <c r="Y124" s="190">
        <v>38.411580999999998</v>
      </c>
      <c r="Z124" s="190">
        <v>0.98230505000000001</v>
      </c>
      <c r="AA124" s="62">
        <v>0.98740402000000005</v>
      </c>
      <c r="AB124" s="62">
        <v>3.5239386999999997E-2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>
        <f t="shared" si="14"/>
        <v>0.71541099999999602</v>
      </c>
      <c r="AN124" s="122">
        <f t="shared" si="15"/>
        <v>0.68854799999999727</v>
      </c>
      <c r="AO124" s="122">
        <f t="shared" si="16"/>
        <v>4.4049999999962175E-5</v>
      </c>
      <c r="AP124" s="122">
        <f t="shared" si="17"/>
        <v>2.7827000000002489E-4</v>
      </c>
      <c r="AQ124" s="88">
        <f t="shared" si="18"/>
        <v>-4.9040360000000005E-3</v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>
        <v>39.049905000000003</v>
      </c>
      <c r="Y125" s="190">
        <v>42.203397000000002</v>
      </c>
      <c r="Z125" s="190">
        <v>0.98988136999999998</v>
      </c>
      <c r="AA125" s="62">
        <v>0.99360868000000002</v>
      </c>
      <c r="AB125" s="62">
        <v>2.0280039999999999E-2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>
        <f t="shared" si="14"/>
        <v>1.4429580000000044</v>
      </c>
      <c r="AN125" s="122">
        <f t="shared" si="15"/>
        <v>0.89675700000000091</v>
      </c>
      <c r="AO125" s="122">
        <f t="shared" si="16"/>
        <v>2.1315999999993451E-4</v>
      </c>
      <c r="AP125" s="122">
        <f t="shared" si="17"/>
        <v>2.4250000000003435E-4</v>
      </c>
      <c r="AQ125" s="88">
        <f t="shared" si="18"/>
        <v>-4.3190760000000016E-3</v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>
        <v>43.298242000000002</v>
      </c>
      <c r="Y126" s="190">
        <v>46.221884000000003</v>
      </c>
      <c r="Z126" s="190">
        <v>0.99413439000000003</v>
      </c>
      <c r="AA126" s="62">
        <v>0.99685645000000001</v>
      </c>
      <c r="AB126" s="62">
        <v>9.2117589999999999E-3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>
        <f t="shared" si="14"/>
        <v>2.267745000000005</v>
      </c>
      <c r="AN126" s="122">
        <f t="shared" si="15"/>
        <v>1.3647589999999994</v>
      </c>
      <c r="AO126" s="122">
        <f t="shared" si="16"/>
        <v>2.3318000000005501E-4</v>
      </c>
      <c r="AP126" s="122">
        <f t="shared" si="17"/>
        <v>4.5370000000000132E-4</v>
      </c>
      <c r="AQ126" s="88">
        <f t="shared" si="18"/>
        <v>-3.6642210000000005E-3</v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>
        <v>32.362856000000001</v>
      </c>
      <c r="Y128" s="97">
        <v>36.237096000000001</v>
      </c>
      <c r="Z128" s="97">
        <v>0.97295584999999996</v>
      </c>
      <c r="AA128" s="60">
        <v>0.97956231999999999</v>
      </c>
      <c r="AB128" s="60">
        <v>5.4138217000000002E-2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>
        <f t="shared" si="14"/>
        <v>0.33129499999999723</v>
      </c>
      <c r="AN128" s="96">
        <f t="shared" si="15"/>
        <v>0.3845010000000002</v>
      </c>
      <c r="AO128" s="96">
        <f t="shared" si="16"/>
        <v>-8.9370000000088545E-5</v>
      </c>
      <c r="AP128" s="96">
        <f t="shared" si="17"/>
        <v>-2.2289999999980381E-5</v>
      </c>
      <c r="AQ128" s="121">
        <f t="shared" si="18"/>
        <v>-3.0918760000000003E-3</v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>
        <v>34.759010000000004</v>
      </c>
      <c r="Y129" s="190">
        <v>38.237831</v>
      </c>
      <c r="Z129" s="190">
        <v>0.98256016999999995</v>
      </c>
      <c r="AA129" s="62">
        <v>0.98719268000000004</v>
      </c>
      <c r="AB129" s="62">
        <v>3.6663203999999998E-2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>
        <f t="shared" si="14"/>
        <v>0.65930600000000084</v>
      </c>
      <c r="AN129" s="122">
        <f t="shared" si="15"/>
        <v>0.40327400000000324</v>
      </c>
      <c r="AO129" s="122">
        <f t="shared" si="16"/>
        <v>3.0499999999933358E-5</v>
      </c>
      <c r="AP129" s="122">
        <f t="shared" si="17"/>
        <v>2.6876000000009004E-4</v>
      </c>
      <c r="AQ129" s="88">
        <f t="shared" si="18"/>
        <v>-2.900154000000002E-3</v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>
        <v>38.524507</v>
      </c>
      <c r="Y130" s="190">
        <v>41.804071</v>
      </c>
      <c r="Z130" s="190">
        <v>0.99010567999999999</v>
      </c>
      <c r="AA130" s="62">
        <v>0.99357839000000003</v>
      </c>
      <c r="AB130" s="62">
        <v>2.0400593000000002E-2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>
        <f t="shared" si="14"/>
        <v>1.0614890000000017</v>
      </c>
      <c r="AN130" s="122">
        <f t="shared" si="15"/>
        <v>0.673727999999997</v>
      </c>
      <c r="AO130" s="122">
        <f t="shared" si="16"/>
        <v>1.8249000000003512E-4</v>
      </c>
      <c r="AP130" s="122">
        <f t="shared" si="17"/>
        <v>3.270499999999954E-4</v>
      </c>
      <c r="AQ130" s="88">
        <f t="shared" si="18"/>
        <v>-3.0621139999999977E-3</v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>
        <v>43.224235999999998</v>
      </c>
      <c r="Y131" s="190">
        <v>46.135964999999999</v>
      </c>
      <c r="Z131" s="190">
        <v>0.99425622999999996</v>
      </c>
      <c r="AA131" s="62">
        <v>0.99684521999999998</v>
      </c>
      <c r="AB131" s="62">
        <v>9.0957629999999998E-3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>
        <f t="shared" si="14"/>
        <v>1.9148679999999985</v>
      </c>
      <c r="AN131" s="122">
        <f t="shared" si="15"/>
        <v>1.1361379999999954</v>
      </c>
      <c r="AO131" s="122">
        <f t="shared" si="16"/>
        <v>2.0871000000000084E-4</v>
      </c>
      <c r="AP131" s="122">
        <f t="shared" si="17"/>
        <v>4.5846999999998861E-4</v>
      </c>
      <c r="AQ131" s="88">
        <f t="shared" si="18"/>
        <v>-2.8334940000000006E-3</v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>
        <v>32.202604999999998</v>
      </c>
      <c r="Y133" s="97">
        <v>36.451650000000001</v>
      </c>
      <c r="Z133" s="97">
        <v>0.97182024</v>
      </c>
      <c r="AA133" s="60">
        <v>0.97898863999999997</v>
      </c>
      <c r="AB133" s="60">
        <v>5.77306E-2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>
        <f t="shared" si="14"/>
        <v>7.7787999999998192E-2</v>
      </c>
      <c r="AN133" s="96">
        <f t="shared" si="15"/>
        <v>0.29557700000000153</v>
      </c>
      <c r="AO133" s="96">
        <f t="shared" si="16"/>
        <v>-7.6769999999948269E-5</v>
      </c>
      <c r="AP133" s="96">
        <f t="shared" si="17"/>
        <v>-4.9410000000027487E-5</v>
      </c>
      <c r="AQ133" s="121">
        <f t="shared" si="18"/>
        <v>-3.9996999999999949E-4</v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>
        <v>34.823261000000002</v>
      </c>
      <c r="Y134" s="190">
        <v>38.406556000000002</v>
      </c>
      <c r="Z134" s="190">
        <v>0.98223249000000001</v>
      </c>
      <c r="AA134" s="62">
        <v>0.98717096000000004</v>
      </c>
      <c r="AB134" s="62">
        <v>3.7892981999999999E-2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>
        <f t="shared" si="14"/>
        <v>0.38721900000000176</v>
      </c>
      <c r="AN134" s="122">
        <f t="shared" si="15"/>
        <v>0.16494399999999843</v>
      </c>
      <c r="AO134" s="122">
        <f t="shared" si="16"/>
        <v>-9.1790000000036009E-5</v>
      </c>
      <c r="AP134" s="122">
        <f t="shared" si="17"/>
        <v>3.8419000000000647E-4</v>
      </c>
      <c r="AQ134" s="88">
        <f t="shared" si="18"/>
        <v>-4.9613500000000171E-4</v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>
        <v>38.617567999999999</v>
      </c>
      <c r="Y135" s="190">
        <v>41.838154000000003</v>
      </c>
      <c r="Z135" s="190">
        <v>0.99026780000000003</v>
      </c>
      <c r="AA135" s="62">
        <v>0.99349505000000005</v>
      </c>
      <c r="AB135" s="62">
        <v>2.1247689E-2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>
        <f t="shared" si="14"/>
        <v>0.83352000000000004</v>
      </c>
      <c r="AN135" s="122">
        <f t="shared" si="15"/>
        <v>0.53811800000000432</v>
      </c>
      <c r="AO135" s="122">
        <f t="shared" si="16"/>
        <v>1.5846000000008242E-4</v>
      </c>
      <c r="AP135" s="122">
        <f t="shared" si="17"/>
        <v>1.3857000000006003E-4</v>
      </c>
      <c r="AQ135" s="88">
        <f t="shared" si="18"/>
        <v>-1.7613900000000016E-3</v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>
        <v>43.274678999999999</v>
      </c>
      <c r="Y136" s="190">
        <v>46.140909000000001</v>
      </c>
      <c r="Z136" s="190">
        <v>0.99428285999999999</v>
      </c>
      <c r="AA136" s="62">
        <v>0.99678805000000004</v>
      </c>
      <c r="AB136" s="62">
        <v>9.7487979999999995E-3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>
        <f t="shared" si="14"/>
        <v>1.5702769999999973</v>
      </c>
      <c r="AN136" s="122">
        <f t="shared" si="15"/>
        <v>0.94906399999999991</v>
      </c>
      <c r="AO136" s="122">
        <f t="shared" si="16"/>
        <v>1.5860999999994796E-4</v>
      </c>
      <c r="AP136" s="122">
        <f t="shared" si="17"/>
        <v>3.8044000000003741E-4</v>
      </c>
      <c r="AQ136" s="88">
        <f t="shared" si="18"/>
        <v>-2.1902600000000012E-3</v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27.505257</v>
      </c>
      <c r="Y641" s="136">
        <f t="shared" si="60"/>
        <v>31.125679999999999</v>
      </c>
      <c r="Z641" s="136">
        <f t="shared" si="60"/>
        <v>0.95896749999999997</v>
      </c>
      <c r="AA641" s="136">
        <f t="shared" si="60"/>
        <v>0.96556991999999997</v>
      </c>
      <c r="AB641" s="136">
        <f t="shared" si="60"/>
        <v>5.1052055999999998E-2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31.538986000000001</v>
      </c>
      <c r="Y642" s="18">
        <f t="shared" si="60"/>
        <v>34.807831</v>
      </c>
      <c r="Z642" s="18">
        <f t="shared" si="60"/>
        <v>0.97771189000000003</v>
      </c>
      <c r="AA642" s="18">
        <f t="shared" si="60"/>
        <v>0.98121396999999999</v>
      </c>
      <c r="AB642" s="18">
        <f t="shared" si="60"/>
        <v>3.3063519999999999E-2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36.471034000000003</v>
      </c>
      <c r="Y643" s="18">
        <f t="shared" si="60"/>
        <v>39.907017000000003</v>
      </c>
      <c r="Z643" s="18">
        <f t="shared" si="60"/>
        <v>0.98856310000000003</v>
      </c>
      <c r="AA643" s="18">
        <f t="shared" si="60"/>
        <v>0.99194347000000005</v>
      </c>
      <c r="AB643" s="18">
        <f t="shared" si="60"/>
        <v>1.7734119999999999E-2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41.558532</v>
      </c>
      <c r="Y644" s="18">
        <f t="shared" si="60"/>
        <v>44.628273999999998</v>
      </c>
      <c r="Z644" s="18">
        <f t="shared" si="60"/>
        <v>0.99385336000000002</v>
      </c>
      <c r="AA644" s="18">
        <f t="shared" si="60"/>
        <v>0.99619661999999998</v>
      </c>
      <c r="AB644" s="18">
        <f t="shared" si="60"/>
        <v>7.889208E-3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32.437871999999999</v>
      </c>
      <c r="Y646" s="136">
        <f t="shared" si="62"/>
        <v>36.451650000000001</v>
      </c>
      <c r="Z646" s="136">
        <f t="shared" si="62"/>
        <v>0.97295584999999996</v>
      </c>
      <c r="AA646" s="136">
        <f t="shared" si="62"/>
        <v>0.98037817999999999</v>
      </c>
      <c r="AB646" s="136">
        <f t="shared" si="62"/>
        <v>6.6949770000000006E-2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35.067199000000002</v>
      </c>
      <c r="Y647" s="18">
        <f t="shared" si="62"/>
        <v>38.446859000000003</v>
      </c>
      <c r="Z647" s="18">
        <f t="shared" si="62"/>
        <v>0.98256016999999995</v>
      </c>
      <c r="AA647" s="18">
        <f t="shared" si="62"/>
        <v>0.98761030999999999</v>
      </c>
      <c r="AB647" s="18">
        <f t="shared" si="62"/>
        <v>4.3874839999999998E-2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39.049905000000003</v>
      </c>
      <c r="Y648" s="18">
        <f t="shared" si="62"/>
        <v>42.203397000000002</v>
      </c>
      <c r="Z648" s="18">
        <f t="shared" si="62"/>
        <v>0.99026780000000003</v>
      </c>
      <c r="AA648" s="18">
        <f t="shared" si="62"/>
        <v>0.99376160999999996</v>
      </c>
      <c r="AB648" s="18">
        <f t="shared" si="62"/>
        <v>2.3388567999999998E-2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43.298242000000002</v>
      </c>
      <c r="Y649" s="18">
        <f t="shared" si="62"/>
        <v>46.221884000000003</v>
      </c>
      <c r="Z649" s="18">
        <f t="shared" si="62"/>
        <v>0.99428285999999999</v>
      </c>
      <c r="AA649" s="18">
        <f t="shared" si="62"/>
        <v>0.99686297999999995</v>
      </c>
      <c r="AB649" s="18">
        <f t="shared" si="62"/>
        <v>9.7487979999999995E-3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4.9326149999999984</v>
      </c>
      <c r="Y651" s="136">
        <f t="shared" si="64"/>
        <v>5.3259700000000016</v>
      </c>
      <c r="Z651" s="136">
        <f t="shared" si="64"/>
        <v>1.3988349999999983E-2</v>
      </c>
      <c r="AA651" s="136">
        <f t="shared" si="64"/>
        <v>1.4808260000000018E-2</v>
      </c>
      <c r="AB651" s="136">
        <f t="shared" si="64"/>
        <v>1.5897714000000007E-2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3.5282130000000009</v>
      </c>
      <c r="Y652" s="18">
        <f t="shared" si="64"/>
        <v>3.6390280000000033</v>
      </c>
      <c r="Z652" s="18">
        <f t="shared" si="64"/>
        <v>4.8482799999999271E-3</v>
      </c>
      <c r="AA652" s="18">
        <f t="shared" si="64"/>
        <v>6.3963400000000004E-3</v>
      </c>
      <c r="AB652" s="18">
        <f t="shared" si="64"/>
        <v>1.0811319999999999E-2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2.5788709999999995</v>
      </c>
      <c r="Y653" s="18">
        <f t="shared" si="64"/>
        <v>2.2963799999999992</v>
      </c>
      <c r="Z653" s="18">
        <f t="shared" si="64"/>
        <v>1.7047000000000034E-3</v>
      </c>
      <c r="AA653" s="18">
        <f t="shared" si="64"/>
        <v>1.8181399999999126E-3</v>
      </c>
      <c r="AB653" s="18">
        <f t="shared" si="64"/>
        <v>5.6544479999999994E-3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1.7397100000000023</v>
      </c>
      <c r="Y654" s="18">
        <f t="shared" si="64"/>
        <v>1.5936100000000053</v>
      </c>
      <c r="Z654" s="18">
        <f t="shared" si="64"/>
        <v>4.2949999999997157E-4</v>
      </c>
      <c r="AA654" s="18">
        <f t="shared" si="64"/>
        <v>6.6635999999997697E-4</v>
      </c>
      <c r="AB654" s="18">
        <f t="shared" si="64"/>
        <v>1.8595899999999995E-3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308" t="str">
        <f>CONCATENATE("Summary [ ",'Summary (auto)'!$C$3," ]")</f>
        <v>Summary [ MPEG-151 ]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3"/>
      <c r="S2" s="217"/>
      <c r="T2" s="142" t="str">
        <f>$B$2</f>
        <v>cinema_semitrack</v>
      </c>
      <c r="U2" s="297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8"/>
      <c r="AK2" s="202"/>
      <c r="AL2" s="162" t="str">
        <f>$B$2</f>
        <v>cinema_semitrack</v>
      </c>
      <c r="AM2" s="302" t="s">
        <v>43</v>
      </c>
      <c r="AN2" s="273"/>
      <c r="AO2" s="273"/>
      <c r="AP2" s="273"/>
      <c r="AQ2" s="298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10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10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299"/>
      <c r="AW3" s="290"/>
      <c r="AX3" s="290"/>
      <c r="AY3" s="290"/>
      <c r="AZ3" s="290"/>
      <c r="BA3" s="290"/>
      <c r="BB3" s="290"/>
      <c r="BD3" s="289"/>
      <c r="BE3" s="290"/>
      <c r="BF3" s="290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11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11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30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6"/>
      <c r="U5" s="25" t="s">
        <v>27</v>
      </c>
      <c r="V5" s="26"/>
      <c r="W5" s="127">
        <f>W23</f>
        <v>28538.847999999998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30.664802333333334</v>
      </c>
      <c r="Y5" s="30">
        <f t="shared" si="2"/>
        <v>34.544556952380958</v>
      </c>
      <c r="Z5" s="30">
        <f t="shared" si="2"/>
        <v>0.96605915142857157</v>
      </c>
      <c r="AA5" s="91">
        <f t="shared" si="2"/>
        <v>0.9735054185714288</v>
      </c>
      <c r="AB5" s="91">
        <f t="shared" si="2"/>
        <v>5.7035352238095242E-2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-0.14074727865771575</v>
      </c>
      <c r="AN5" s="245">
        <f>bdrate($E5:$E8,G5:G8,$W5:$W8,Y5:Y8)</f>
        <v>-0.10785516584721611</v>
      </c>
      <c r="AO5" s="245">
        <f>bdrate($E5:$E8,H5:H8,$W5:$W8,Z5:Z8)</f>
        <v>-4.0067227857477627E-3</v>
      </c>
      <c r="AP5" s="245">
        <f>bdrate($E5:$E8,I5:I8,$W5:$W8,AA5:AA8)</f>
        <v>-2.7905062297595151E-2</v>
      </c>
      <c r="AQ5" s="246">
        <f>bdrateInverted($E5:$E8,J5:J8,$W5:$W8,AB5:AB8)</f>
        <v>-0.15182960278667257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4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4"/>
      <c r="U6" s="27" t="s">
        <v>28</v>
      </c>
      <c r="V6" s="28"/>
      <c r="W6" s="128">
        <f>W24</f>
        <v>41508.255999999994</v>
      </c>
      <c r="X6" s="91">
        <f t="shared" si="2"/>
        <v>34.018893952380949</v>
      </c>
      <c r="Y6" s="91">
        <f t="shared" si="2"/>
        <v>37.356987952380962</v>
      </c>
      <c r="Z6" s="91">
        <f t="shared" si="2"/>
        <v>0.97919751238095232</v>
      </c>
      <c r="AA6" s="91">
        <f t="shared" si="2"/>
        <v>0.98459050904761913</v>
      </c>
      <c r="AB6" s="91">
        <f t="shared" si="2"/>
        <v>3.7234894333333331E-2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4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4"/>
      <c r="U7" s="27" t="s">
        <v>29</v>
      </c>
      <c r="V7" s="28"/>
      <c r="W7" s="128">
        <f>W25</f>
        <v>62103.111999999994</v>
      </c>
      <c r="X7" s="91">
        <f t="shared" si="2"/>
        <v>38.191245619047614</v>
      </c>
      <c r="Y7" s="91">
        <f t="shared" si="2"/>
        <v>41.510153857142853</v>
      </c>
      <c r="Z7" s="91">
        <f t="shared" si="2"/>
        <v>0.98903518095238108</v>
      </c>
      <c r="AA7" s="91">
        <f t="shared" si="2"/>
        <v>0.99264497571428578</v>
      </c>
      <c r="AB7" s="91">
        <f t="shared" si="2"/>
        <v>2.0739478904761906E-2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4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4"/>
      <c r="U8" s="27" t="s">
        <v>31</v>
      </c>
      <c r="V8" s="28"/>
      <c r="W8" s="128">
        <f>W26</f>
        <v>90507.135999999999</v>
      </c>
      <c r="X8" s="91">
        <f t="shared" si="2"/>
        <v>42.414998142857137</v>
      </c>
      <c r="Y8" s="91">
        <f t="shared" si="2"/>
        <v>45.481171238095236</v>
      </c>
      <c r="Z8" s="91">
        <f t="shared" si="2"/>
        <v>0.993850030952381</v>
      </c>
      <c r="AA8" s="91">
        <f t="shared" si="2"/>
        <v>0.99643639190476174</v>
      </c>
      <c r="AB8" s="91">
        <f t="shared" si="2"/>
        <v>9.0903787142857153E-3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5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4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7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8"/>
      <c r="T13" s="21"/>
      <c r="U13" s="297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8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00"/>
      <c r="AN14" s="290"/>
      <c r="AO14" s="290"/>
      <c r="AP14" s="290"/>
      <c r="AQ14" s="290"/>
      <c r="AR14" s="290"/>
      <c r="AS14" s="290"/>
      <c r="AT14" s="290"/>
      <c r="AV14" s="289"/>
      <c r="AW14" s="290"/>
      <c r="AX14" s="290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7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7"/>
      <c r="U16" s="25" t="s">
        <v>27</v>
      </c>
      <c r="V16" s="26"/>
      <c r="W16" s="129">
        <v>4688.8959999999997</v>
      </c>
      <c r="X16" s="167">
        <v>6013.616</v>
      </c>
      <c r="Y16" s="167">
        <v>1245.4480000000001</v>
      </c>
      <c r="Z16" s="167">
        <v>465.93599999999998</v>
      </c>
      <c r="AA16" s="167">
        <v>240.16800000000001</v>
      </c>
      <c r="AB16" s="167">
        <v>8771.7919999999995</v>
      </c>
      <c r="AC16" s="60">
        <v>5224.68</v>
      </c>
      <c r="AD16" s="60">
        <v>1888.3119999999999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4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4"/>
      <c r="U17" s="27" t="s">
        <v>28</v>
      </c>
      <c r="V17" s="28"/>
      <c r="W17" s="144">
        <v>4688.8959999999997</v>
      </c>
      <c r="X17" s="168">
        <v>7889.768</v>
      </c>
      <c r="Y17" s="168">
        <v>4127.0959999999995</v>
      </c>
      <c r="Z17" s="168">
        <v>2204.7759999999998</v>
      </c>
      <c r="AA17" s="168">
        <v>1688.8320000000001</v>
      </c>
      <c r="AB17" s="168">
        <v>11322.84</v>
      </c>
      <c r="AC17" s="62">
        <v>7088.2079999999996</v>
      </c>
      <c r="AD17" s="62">
        <v>2497.84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4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4"/>
      <c r="U18" s="27" t="s">
        <v>29</v>
      </c>
      <c r="V18" s="28"/>
      <c r="W18" s="144">
        <v>4688.8959999999997</v>
      </c>
      <c r="X18" s="168">
        <v>9841.5360000000001</v>
      </c>
      <c r="Y18" s="168">
        <v>8656.2479999999996</v>
      </c>
      <c r="Z18" s="168">
        <v>6498.24</v>
      </c>
      <c r="AA18" s="168">
        <v>6296.5039999999999</v>
      </c>
      <c r="AB18" s="168">
        <v>13961.495999999999</v>
      </c>
      <c r="AC18" s="62">
        <v>9035.0239999999994</v>
      </c>
      <c r="AD18" s="62">
        <v>3125.1680000000001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4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4"/>
      <c r="U19" s="27" t="s">
        <v>31</v>
      </c>
      <c r="V19" s="28"/>
      <c r="W19" s="144">
        <v>4688.8959999999997</v>
      </c>
      <c r="X19" s="168">
        <v>11710.224</v>
      </c>
      <c r="Y19" s="168">
        <v>13866.296</v>
      </c>
      <c r="Z19" s="168">
        <v>13494.296</v>
      </c>
      <c r="AA19" s="168">
        <v>15174.808000000001</v>
      </c>
      <c r="AB19" s="168">
        <v>16708.743999999999</v>
      </c>
      <c r="AC19" s="62">
        <v>11084.592000000001</v>
      </c>
      <c r="AD19" s="62">
        <v>3779.28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4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4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29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29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89"/>
      <c r="AW21" s="290"/>
      <c r="AX21" s="290"/>
    </row>
    <row r="22" spans="2:56" s="8" customFormat="1" ht="13.5" customHeight="1" thickBot="1" x14ac:dyDescent="0.3">
      <c r="B22" s="29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29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30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305"/>
      <c r="U23" s="25" t="s">
        <v>27</v>
      </c>
      <c r="V23" s="26"/>
      <c r="W23" s="128">
        <f>SUM(W16:AD16)</f>
        <v>28538.847999999998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4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4"/>
      <c r="U24" s="27" t="s">
        <v>28</v>
      </c>
      <c r="V24" s="28"/>
      <c r="W24" s="128">
        <f>SUM(W17:AD17)</f>
        <v>41508.255999999994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4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4"/>
      <c r="U25" s="27" t="s">
        <v>29</v>
      </c>
      <c r="V25" s="28"/>
      <c r="W25" s="128">
        <f>SUM(W18:AD18)</f>
        <v>62103.111999999994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4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4"/>
      <c r="U26" s="27" t="s">
        <v>31</v>
      </c>
      <c r="V26" s="28"/>
      <c r="W26" s="128">
        <f>SUM(W19:AD19)</f>
        <v>90507.135999999999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5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5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7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8"/>
      <c r="S31" s="217"/>
      <c r="T31" s="21"/>
      <c r="U31" s="297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8"/>
      <c r="AK31" s="202"/>
      <c r="AL31" s="202"/>
      <c r="AM31" s="309" t="s">
        <v>63</v>
      </c>
      <c r="AN31" s="282"/>
      <c r="AO31" s="282"/>
      <c r="AP31" s="282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6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6" t="s">
        <v>65</v>
      </c>
      <c r="U33" s="25" t="s">
        <v>27</v>
      </c>
      <c r="V33" s="39"/>
      <c r="W33" s="55"/>
      <c r="X33" s="97">
        <v>28.124780999999999</v>
      </c>
      <c r="Y33" s="97">
        <v>32.039876999999997</v>
      </c>
      <c r="Z33" s="97">
        <v>0.95981366999999995</v>
      </c>
      <c r="AA33" s="60">
        <v>0.96730450999999995</v>
      </c>
      <c r="AB33" s="60">
        <v>6.4631850000000005E-2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6" t="s">
        <v>65</v>
      </c>
      <c r="AM33" s="120">
        <f t="shared" ref="AM33:AM96" si="4">IF(OR(X33="",F33=""),"",X33-F33)</f>
        <v>0.54732499999999717</v>
      </c>
      <c r="AN33" s="96">
        <f t="shared" ref="AN33:AN96" si="5">IF(OR(Y33="",G33=""),"",Y33-G33)</f>
        <v>0.90568999999999633</v>
      </c>
      <c r="AO33" s="96">
        <f t="shared" ref="AO33:AO96" si="6">IF(OR(Z33="",H33=""),"",Z33-H33)</f>
        <v>3.7871999999994355E-4</v>
      </c>
      <c r="AP33" s="96">
        <f t="shared" ref="AP33:AP96" si="7">IF(OR(AA33="",I33=""),"",AA33-I33)</f>
        <v>1.2846999999999165E-3</v>
      </c>
      <c r="AQ33" s="121">
        <f t="shared" ref="AQ33:AQ96" si="8">IF(OR(AB33="",J33=""),"",AB33-J33)</f>
        <v>-1.889231999999999E-2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4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4"/>
      <c r="U34" s="27" t="s">
        <v>28</v>
      </c>
      <c r="V34" s="189"/>
      <c r="W34" s="56"/>
      <c r="X34" s="190">
        <v>31.833942</v>
      </c>
      <c r="Y34" s="190">
        <v>34.939369999999997</v>
      </c>
      <c r="Z34" s="190">
        <v>0.97714663999999996</v>
      </c>
      <c r="AA34" s="62">
        <v>0.98140746999999995</v>
      </c>
      <c r="AB34" s="62">
        <v>4.340894E-2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4"/>
      <c r="AM34" s="87">
        <f t="shared" si="4"/>
        <v>1.0748819999999988</v>
      </c>
      <c r="AN34" s="122">
        <f t="shared" si="5"/>
        <v>0.86302899999999738</v>
      </c>
      <c r="AO34" s="122">
        <f t="shared" si="6"/>
        <v>2.0702999999999694E-4</v>
      </c>
      <c r="AP34" s="122">
        <f t="shared" si="7"/>
        <v>1.2224399999999358E-3</v>
      </c>
      <c r="AQ34" s="88">
        <f t="shared" si="8"/>
        <v>-1.4681248000000001E-2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4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4"/>
      <c r="U35" s="27" t="s">
        <v>29</v>
      </c>
      <c r="V35" s="189"/>
      <c r="W35" s="56"/>
      <c r="X35" s="190">
        <v>37.194898999999999</v>
      </c>
      <c r="Y35" s="190">
        <v>40.607374999999998</v>
      </c>
      <c r="Z35" s="190">
        <v>0.98911084999999999</v>
      </c>
      <c r="AA35" s="62">
        <v>0.99230331000000005</v>
      </c>
      <c r="AB35" s="62">
        <v>2.2036088999999998E-2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4"/>
      <c r="AM35" s="87">
        <f t="shared" si="4"/>
        <v>2.4932769999999991</v>
      </c>
      <c r="AN35" s="122">
        <f t="shared" si="5"/>
        <v>1.5591889999999964</v>
      </c>
      <c r="AO35" s="122">
        <f t="shared" si="6"/>
        <v>3.9886999999994011E-4</v>
      </c>
      <c r="AP35" s="122">
        <f t="shared" si="7"/>
        <v>5.2115000000008127E-4</v>
      </c>
      <c r="AQ35" s="88">
        <f t="shared" si="8"/>
        <v>-1.1058734000000004E-2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4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4"/>
      <c r="U36" s="27" t="s">
        <v>31</v>
      </c>
      <c r="V36" s="189"/>
      <c r="W36" s="56"/>
      <c r="X36" s="190">
        <v>41.548136999999997</v>
      </c>
      <c r="Y36" s="190">
        <v>44.702899000000002</v>
      </c>
      <c r="Z36" s="190">
        <v>0.99401761</v>
      </c>
      <c r="AA36" s="62">
        <v>0.99631840000000005</v>
      </c>
      <c r="AB36" s="62">
        <v>8.8955560000000006E-3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4"/>
      <c r="AM36" s="87">
        <f t="shared" si="4"/>
        <v>4.2629969999999986</v>
      </c>
      <c r="AN36" s="122">
        <f t="shared" si="5"/>
        <v>3.0072499999999991</v>
      </c>
      <c r="AO36" s="122">
        <f t="shared" si="6"/>
        <v>5.2085999999995636E-4</v>
      </c>
      <c r="AP36" s="122">
        <f t="shared" si="7"/>
        <v>6.5572000000002628E-4</v>
      </c>
      <c r="AQ36" s="88">
        <f t="shared" si="8"/>
        <v>-1.0127789999999999E-2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4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4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4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6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6" t="s">
        <v>66</v>
      </c>
      <c r="U38" s="25" t="s">
        <v>27</v>
      </c>
      <c r="V38" s="39"/>
      <c r="W38" s="55"/>
      <c r="X38" s="97">
        <v>28.701058</v>
      </c>
      <c r="Y38" s="97">
        <v>32.576205000000002</v>
      </c>
      <c r="Z38" s="97">
        <v>0.96104869999999998</v>
      </c>
      <c r="AA38" s="60">
        <v>0.96705562</v>
      </c>
      <c r="AB38" s="60">
        <v>6.0891214999999999E-2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6" t="s">
        <v>66</v>
      </c>
      <c r="AM38" s="120">
        <f t="shared" si="4"/>
        <v>0.50770899999999841</v>
      </c>
      <c r="AN38" s="96">
        <f t="shared" si="5"/>
        <v>0.76778300000000144</v>
      </c>
      <c r="AO38" s="96">
        <f t="shared" si="6"/>
        <v>1.9305999999996715E-4</v>
      </c>
      <c r="AP38" s="96">
        <f t="shared" si="7"/>
        <v>9.7106000000002357E-4</v>
      </c>
      <c r="AQ38" s="121">
        <f t="shared" si="8"/>
        <v>-1.5174488999999999E-2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4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4"/>
      <c r="U39" s="27" t="s">
        <v>28</v>
      </c>
      <c r="V39" s="189"/>
      <c r="W39" s="56"/>
      <c r="X39" s="190">
        <v>32.516877999999998</v>
      </c>
      <c r="Y39" s="190">
        <v>35.717942999999998</v>
      </c>
      <c r="Z39" s="190">
        <v>0.97731939000000001</v>
      </c>
      <c r="AA39" s="62">
        <v>0.98156973999999997</v>
      </c>
      <c r="AB39" s="62">
        <v>4.2760329999999999E-2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4"/>
      <c r="AM39" s="87">
        <f t="shared" si="4"/>
        <v>1.2641889999999982</v>
      </c>
      <c r="AN39" s="122">
        <f t="shared" si="5"/>
        <v>0.98544199999999904</v>
      </c>
      <c r="AO39" s="122">
        <f t="shared" si="6"/>
        <v>1.2787999999996913E-4</v>
      </c>
      <c r="AP39" s="122">
        <f t="shared" si="7"/>
        <v>1.2170799999999815E-3</v>
      </c>
      <c r="AQ39" s="88">
        <f t="shared" si="8"/>
        <v>-1.1252730000000002E-2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4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4"/>
      <c r="U40" s="27" t="s">
        <v>29</v>
      </c>
      <c r="V40" s="189"/>
      <c r="W40" s="56"/>
      <c r="X40" s="190">
        <v>37.254522000000001</v>
      </c>
      <c r="Y40" s="190">
        <v>40.666956999999996</v>
      </c>
      <c r="Z40" s="190">
        <v>0.98884870999999996</v>
      </c>
      <c r="AA40" s="62">
        <v>0.99201326000000001</v>
      </c>
      <c r="AB40" s="62">
        <v>2.3156403999999998E-2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4"/>
      <c r="AM40" s="87">
        <f t="shared" si="4"/>
        <v>2.253185000000002</v>
      </c>
      <c r="AN40" s="122">
        <f t="shared" si="5"/>
        <v>1.4472779999999972</v>
      </c>
      <c r="AO40" s="122">
        <f t="shared" si="6"/>
        <v>4.3448999999995408E-4</v>
      </c>
      <c r="AP40" s="122">
        <f t="shared" si="7"/>
        <v>5.9416000000001024E-4</v>
      </c>
      <c r="AQ40" s="88">
        <f t="shared" si="8"/>
        <v>-8.6684120000000003E-3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4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4"/>
      <c r="U41" s="27" t="s">
        <v>31</v>
      </c>
      <c r="V41" s="189"/>
      <c r="W41" s="56"/>
      <c r="X41" s="190">
        <v>41.551254</v>
      </c>
      <c r="Y41" s="190">
        <v>44.701478999999999</v>
      </c>
      <c r="Z41" s="190">
        <v>0.99388326000000005</v>
      </c>
      <c r="AA41" s="62">
        <v>0.99619020000000003</v>
      </c>
      <c r="AB41" s="62">
        <v>9.0967909999999999E-3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4"/>
      <c r="AM41" s="87">
        <f t="shared" si="4"/>
        <v>4.1612719999999968</v>
      </c>
      <c r="AN41" s="122">
        <f t="shared" si="5"/>
        <v>2.938127999999999</v>
      </c>
      <c r="AO41" s="122">
        <f t="shared" si="6"/>
        <v>5.5305000000005489E-4</v>
      </c>
      <c r="AP41" s="122">
        <f t="shared" si="7"/>
        <v>6.8109999999999005E-4</v>
      </c>
      <c r="AQ41" s="88">
        <f t="shared" si="8"/>
        <v>-9.8249029999999994E-3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4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4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4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6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6" t="s">
        <v>67</v>
      </c>
      <c r="U43" s="25" t="s">
        <v>27</v>
      </c>
      <c r="V43" s="39"/>
      <c r="W43" s="55"/>
      <c r="X43" s="97">
        <v>29.283543000000002</v>
      </c>
      <c r="Y43" s="97">
        <v>33.033641000000003</v>
      </c>
      <c r="Z43" s="97">
        <v>0.96264232999999999</v>
      </c>
      <c r="AA43" s="60">
        <v>0.96879852</v>
      </c>
      <c r="AB43" s="60">
        <v>6.2219150000000001E-2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6" t="s">
        <v>67</v>
      </c>
      <c r="AM43" s="120">
        <f t="shared" si="4"/>
        <v>0.51533900000000088</v>
      </c>
      <c r="AN43" s="96">
        <f t="shared" si="5"/>
        <v>0.62399100000000374</v>
      </c>
      <c r="AO43" s="96">
        <f t="shared" si="6"/>
        <v>5.2794000000000452E-4</v>
      </c>
      <c r="AP43" s="96">
        <f t="shared" si="7"/>
        <v>1.0010200000000191E-3</v>
      </c>
      <c r="AQ43" s="121">
        <f t="shared" si="8"/>
        <v>-1.2391070000000004E-2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4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4"/>
      <c r="U44" s="27" t="s">
        <v>28</v>
      </c>
      <c r="V44" s="189"/>
      <c r="W44" s="56"/>
      <c r="X44" s="190">
        <v>32.885286000000001</v>
      </c>
      <c r="Y44" s="190">
        <v>36.108086</v>
      </c>
      <c r="Z44" s="190">
        <v>0.97769479999999997</v>
      </c>
      <c r="AA44" s="62">
        <v>0.98213790000000001</v>
      </c>
      <c r="AB44" s="62">
        <v>4.2145636E-2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4"/>
      <c r="AM44" s="87">
        <f t="shared" si="4"/>
        <v>1.1919290000000018</v>
      </c>
      <c r="AN44" s="122">
        <f t="shared" si="5"/>
        <v>0.85513300000000214</v>
      </c>
      <c r="AO44" s="122">
        <f t="shared" si="6"/>
        <v>1.8024999999999292E-4</v>
      </c>
      <c r="AP44" s="122">
        <f t="shared" si="7"/>
        <v>1.1537799999999931E-3</v>
      </c>
      <c r="AQ44" s="88">
        <f t="shared" si="8"/>
        <v>-7.9071039999999981E-3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4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4"/>
      <c r="U45" s="27" t="s">
        <v>29</v>
      </c>
      <c r="V45" s="189"/>
      <c r="W45" s="56"/>
      <c r="X45" s="190">
        <v>37.236114000000001</v>
      </c>
      <c r="Y45" s="190">
        <v>40.773921000000001</v>
      </c>
      <c r="Z45" s="190">
        <v>0.98878739999999998</v>
      </c>
      <c r="AA45" s="62">
        <v>0.99196914000000003</v>
      </c>
      <c r="AB45" s="62">
        <v>2.3671850000000001E-2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4"/>
      <c r="AM45" s="87">
        <f t="shared" si="4"/>
        <v>2.2168550000000025</v>
      </c>
      <c r="AN45" s="122">
        <f t="shared" si="5"/>
        <v>1.487760999999999</v>
      </c>
      <c r="AO45" s="122">
        <f t="shared" si="6"/>
        <v>3.866799999999726E-4</v>
      </c>
      <c r="AP45" s="122">
        <f t="shared" si="7"/>
        <v>4.7919000000007372E-4</v>
      </c>
      <c r="AQ45" s="88">
        <f t="shared" si="8"/>
        <v>-8.8378500000000013E-3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4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4"/>
      <c r="U46" s="27" t="s">
        <v>31</v>
      </c>
      <c r="V46" s="189"/>
      <c r="W46" s="56"/>
      <c r="X46" s="190">
        <v>41.616933000000003</v>
      </c>
      <c r="Y46" s="190">
        <v>44.840359999999997</v>
      </c>
      <c r="Z46" s="190">
        <v>0.99385102999999997</v>
      </c>
      <c r="AA46" s="62">
        <v>0.99617555000000002</v>
      </c>
      <c r="AB46" s="62">
        <v>9.4075270000000006E-3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4"/>
      <c r="AM46" s="87">
        <f t="shared" si="4"/>
        <v>3.8242570000000029</v>
      </c>
      <c r="AN46" s="122">
        <f t="shared" si="5"/>
        <v>2.6716519999999946</v>
      </c>
      <c r="AO46" s="122">
        <f t="shared" si="6"/>
        <v>5.2901999999999116E-4</v>
      </c>
      <c r="AP46" s="122">
        <f t="shared" si="7"/>
        <v>6.3610000000002831E-4</v>
      </c>
      <c r="AQ46" s="88">
        <f t="shared" si="8"/>
        <v>-8.7300380000000007E-3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4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4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4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6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6" t="s">
        <v>68</v>
      </c>
      <c r="U48" s="25" t="s">
        <v>27</v>
      </c>
      <c r="V48" s="39"/>
      <c r="W48" s="55"/>
      <c r="X48" s="97">
        <v>30.027957000000001</v>
      </c>
      <c r="Y48" s="97">
        <v>33.7209</v>
      </c>
      <c r="Z48" s="97">
        <v>0.96318725000000005</v>
      </c>
      <c r="AA48" s="60">
        <v>0.9699856</v>
      </c>
      <c r="AB48" s="60">
        <v>5.7970099999999997E-2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6" t="s">
        <v>68</v>
      </c>
      <c r="AM48" s="120">
        <f t="shared" si="4"/>
        <v>0.38191400000000186</v>
      </c>
      <c r="AN48" s="96">
        <f t="shared" si="5"/>
        <v>0.61428999999999689</v>
      </c>
      <c r="AO48" s="96">
        <f t="shared" si="6"/>
        <v>4.8717000000009225E-4</v>
      </c>
      <c r="AP48" s="96">
        <f t="shared" si="7"/>
        <v>1.153520000000019E-3</v>
      </c>
      <c r="AQ48" s="121">
        <f t="shared" si="8"/>
        <v>-8.9546600000000032E-3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4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4"/>
      <c r="U49" s="27" t="s">
        <v>28</v>
      </c>
      <c r="V49" s="189"/>
      <c r="W49" s="56"/>
      <c r="X49" s="190">
        <v>33.646666000000003</v>
      </c>
      <c r="Y49" s="190">
        <v>36.836277000000003</v>
      </c>
      <c r="Z49" s="190">
        <v>0.97726542999999999</v>
      </c>
      <c r="AA49" s="62">
        <v>0.98262936999999995</v>
      </c>
      <c r="AB49" s="62">
        <v>3.8429434999999998E-2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4"/>
      <c r="AM49" s="87">
        <f t="shared" si="4"/>
        <v>1.0115890000000007</v>
      </c>
      <c r="AN49" s="122">
        <f t="shared" si="5"/>
        <v>0.74539900000000614</v>
      </c>
      <c r="AO49" s="122">
        <f t="shared" si="6"/>
        <v>2.792099999999742E-4</v>
      </c>
      <c r="AP49" s="122">
        <f t="shared" si="7"/>
        <v>8.2948999999998829E-4</v>
      </c>
      <c r="AQ49" s="88">
        <f t="shared" si="8"/>
        <v>-5.729981000000002E-3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4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4"/>
      <c r="U50" s="27" t="s">
        <v>29</v>
      </c>
      <c r="V50" s="189"/>
      <c r="W50" s="56"/>
      <c r="X50" s="190">
        <v>37.669041</v>
      </c>
      <c r="Y50" s="190">
        <v>41.103856</v>
      </c>
      <c r="Z50" s="190">
        <v>0.98834986999999996</v>
      </c>
      <c r="AA50" s="62">
        <v>0.99188012000000003</v>
      </c>
      <c r="AB50" s="62">
        <v>2.2163718999999998E-2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4"/>
      <c r="AM50" s="87">
        <f t="shared" si="4"/>
        <v>2.0349379999999968</v>
      </c>
      <c r="AN50" s="122">
        <f t="shared" si="5"/>
        <v>1.2944930000000028</v>
      </c>
      <c r="AO50" s="122">
        <f t="shared" si="6"/>
        <v>4.4080000000001895E-4</v>
      </c>
      <c r="AP50" s="122">
        <f t="shared" si="7"/>
        <v>5.4169000000003908E-4</v>
      </c>
      <c r="AQ50" s="88">
        <f t="shared" si="8"/>
        <v>-7.1216840000000031E-3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4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4"/>
      <c r="U51" s="27" t="s">
        <v>31</v>
      </c>
      <c r="V51" s="189"/>
      <c r="W51" s="56"/>
      <c r="X51" s="190">
        <v>41.947746000000002</v>
      </c>
      <c r="Y51" s="190">
        <v>45.12227</v>
      </c>
      <c r="Z51" s="190">
        <v>0.99370466999999996</v>
      </c>
      <c r="AA51" s="62">
        <v>0.99615034999999996</v>
      </c>
      <c r="AB51" s="62">
        <v>9.1317489999999998E-3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4"/>
      <c r="AM51" s="87">
        <f t="shared" si="4"/>
        <v>3.5800020000000004</v>
      </c>
      <c r="AN51" s="122">
        <f t="shared" si="5"/>
        <v>2.3999120000000005</v>
      </c>
      <c r="AO51" s="122">
        <f t="shared" si="6"/>
        <v>4.9043999999998089E-4</v>
      </c>
      <c r="AP51" s="122">
        <f t="shared" si="7"/>
        <v>6.6405999999996634E-4</v>
      </c>
      <c r="AQ51" s="88">
        <f t="shared" si="8"/>
        <v>-6.998695000000001E-3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4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4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4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6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6" t="s">
        <v>69</v>
      </c>
      <c r="U53" s="25" t="s">
        <v>27</v>
      </c>
      <c r="V53" s="39"/>
      <c r="W53" s="55"/>
      <c r="X53" s="97">
        <v>30.096354000000002</v>
      </c>
      <c r="Y53" s="97">
        <v>33.799177999999998</v>
      </c>
      <c r="Z53" s="97">
        <v>0.96254130000000004</v>
      </c>
      <c r="AA53" s="60">
        <v>0.97020417999999997</v>
      </c>
      <c r="AB53" s="60">
        <v>5.7229414999999999E-2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6" t="s">
        <v>69</v>
      </c>
      <c r="AM53" s="120">
        <f t="shared" si="4"/>
        <v>0.57430500000000251</v>
      </c>
      <c r="AN53" s="96">
        <f t="shared" si="5"/>
        <v>0.70375199999999438</v>
      </c>
      <c r="AO53" s="96">
        <f t="shared" si="6"/>
        <v>1.6442999999999319E-4</v>
      </c>
      <c r="AP53" s="96">
        <f t="shared" si="7"/>
        <v>8.378399999999786E-4</v>
      </c>
      <c r="AQ53" s="121">
        <f t="shared" si="8"/>
        <v>-9.4019450000000018E-3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4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4"/>
      <c r="U54" s="27" t="s">
        <v>28</v>
      </c>
      <c r="V54" s="189"/>
      <c r="W54" s="56"/>
      <c r="X54" s="190">
        <v>33.532415</v>
      </c>
      <c r="Y54" s="190">
        <v>36.756101999999998</v>
      </c>
      <c r="Z54" s="190">
        <v>0.97712379000000005</v>
      </c>
      <c r="AA54" s="62">
        <v>0.98256220000000005</v>
      </c>
      <c r="AB54" s="62">
        <v>3.7695404000000002E-2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4"/>
      <c r="AM54" s="87">
        <f t="shared" si="4"/>
        <v>1.0737480000000019</v>
      </c>
      <c r="AN54" s="122">
        <f t="shared" si="5"/>
        <v>0.77118399999999809</v>
      </c>
      <c r="AO54" s="122">
        <f t="shared" si="6"/>
        <v>2.2585000000008293E-4</v>
      </c>
      <c r="AP54" s="122">
        <f t="shared" si="7"/>
        <v>8.0577000000003896E-4</v>
      </c>
      <c r="AQ54" s="88">
        <f t="shared" si="8"/>
        <v>-6.7376239999999976E-3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4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4"/>
      <c r="U55" s="27" t="s">
        <v>29</v>
      </c>
      <c r="V55" s="189"/>
      <c r="W55" s="56"/>
      <c r="X55" s="190">
        <v>37.442073000000001</v>
      </c>
      <c r="Y55" s="190">
        <v>40.912723999999997</v>
      </c>
      <c r="Z55" s="190">
        <v>0.98821068000000001</v>
      </c>
      <c r="AA55" s="62">
        <v>0.99172017999999995</v>
      </c>
      <c r="AB55" s="62">
        <v>2.2240642000000001E-2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4"/>
      <c r="AM55" s="87">
        <f t="shared" si="4"/>
        <v>1.7623069999999998</v>
      </c>
      <c r="AN55" s="122">
        <f t="shared" si="5"/>
        <v>1.1492549999999966</v>
      </c>
      <c r="AO55" s="122">
        <f t="shared" si="6"/>
        <v>4.3462000000005219E-4</v>
      </c>
      <c r="AP55" s="122">
        <f t="shared" si="7"/>
        <v>5.6338000000000221E-4</v>
      </c>
      <c r="AQ55" s="88">
        <f t="shared" si="8"/>
        <v>-6.2941860000000002E-3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4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4"/>
      <c r="U56" s="27" t="s">
        <v>31</v>
      </c>
      <c r="V56" s="189"/>
      <c r="W56" s="56"/>
      <c r="X56" s="190">
        <v>41.717595000000003</v>
      </c>
      <c r="Y56" s="190">
        <v>44.918134000000002</v>
      </c>
      <c r="Z56" s="190">
        <v>0.99362841000000002</v>
      </c>
      <c r="AA56" s="62">
        <v>0.99607813000000001</v>
      </c>
      <c r="AB56" s="62">
        <v>9.3439890000000005E-3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4"/>
      <c r="AM56" s="87">
        <f t="shared" si="4"/>
        <v>3.1200900000000047</v>
      </c>
      <c r="AN56" s="122">
        <f t="shared" si="5"/>
        <v>2.0929070000000038</v>
      </c>
      <c r="AO56" s="122">
        <f t="shared" si="6"/>
        <v>4.8375000000000501E-4</v>
      </c>
      <c r="AP56" s="122">
        <f t="shared" si="7"/>
        <v>7.1003999999996736E-4</v>
      </c>
      <c r="AQ56" s="88">
        <f t="shared" si="8"/>
        <v>-5.6548120000000004E-3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4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4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4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6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6" t="s">
        <v>70</v>
      </c>
      <c r="U58" s="25" t="s">
        <v>27</v>
      </c>
      <c r="V58" s="39"/>
      <c r="W58" s="55"/>
      <c r="X58" s="97">
        <v>30.116754</v>
      </c>
      <c r="Y58" s="97">
        <v>33.843491</v>
      </c>
      <c r="Z58" s="97">
        <v>0.96189895000000003</v>
      </c>
      <c r="AA58" s="60">
        <v>0.97013463</v>
      </c>
      <c r="AB58" s="60">
        <v>5.9077878E-2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6" t="s">
        <v>70</v>
      </c>
      <c r="AM58" s="120">
        <f t="shared" si="4"/>
        <v>0.43442399999999992</v>
      </c>
      <c r="AN58" s="96">
        <f t="shared" si="5"/>
        <v>0.58538200000000273</v>
      </c>
      <c r="AO58" s="96">
        <f t="shared" si="6"/>
        <v>6.8860000000059429E-5</v>
      </c>
      <c r="AP58" s="96">
        <f t="shared" si="7"/>
        <v>5.2731999999999779E-4</v>
      </c>
      <c r="AQ58" s="121">
        <f t="shared" si="8"/>
        <v>-8.2545220000000002E-3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4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4"/>
      <c r="U59" s="27" t="s">
        <v>28</v>
      </c>
      <c r="V59" s="189"/>
      <c r="W59" s="56"/>
      <c r="X59" s="190">
        <v>33.592157</v>
      </c>
      <c r="Y59" s="190">
        <v>36.826326999999999</v>
      </c>
      <c r="Z59" s="190">
        <v>0.97706486999999997</v>
      </c>
      <c r="AA59" s="62">
        <v>0.98273326999999999</v>
      </c>
      <c r="AB59" s="62">
        <v>3.8664278000000003E-2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4"/>
      <c r="AM59" s="87">
        <f t="shared" si="4"/>
        <v>1.0063650000000024</v>
      </c>
      <c r="AN59" s="122">
        <f t="shared" si="5"/>
        <v>0.72897100000000137</v>
      </c>
      <c r="AO59" s="122">
        <f t="shared" si="6"/>
        <v>4.1194999999993875E-4</v>
      </c>
      <c r="AP59" s="122">
        <f t="shared" si="7"/>
        <v>8.3875999999993844E-4</v>
      </c>
      <c r="AQ59" s="88">
        <f t="shared" si="8"/>
        <v>-6.3388079999999944E-3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4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4"/>
      <c r="U60" s="27" t="s">
        <v>29</v>
      </c>
      <c r="V60" s="189"/>
      <c r="W60" s="56"/>
      <c r="X60" s="190">
        <v>37.274538999999997</v>
      </c>
      <c r="Y60" s="190">
        <v>40.776183000000003</v>
      </c>
      <c r="Z60" s="190">
        <v>0.98822072999999999</v>
      </c>
      <c r="AA60" s="62">
        <v>0.99173484999999995</v>
      </c>
      <c r="AB60" s="62">
        <v>2.3222018000000001E-2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4"/>
      <c r="AM60" s="87">
        <f t="shared" si="4"/>
        <v>1.4348809999999972</v>
      </c>
      <c r="AN60" s="122">
        <f t="shared" si="5"/>
        <v>0.94457400000000291</v>
      </c>
      <c r="AO60" s="122">
        <f t="shared" si="6"/>
        <v>4.3214999999996451E-4</v>
      </c>
      <c r="AP60" s="122">
        <f t="shared" si="7"/>
        <v>5.8358999999996719E-4</v>
      </c>
      <c r="AQ60" s="88">
        <f t="shared" si="8"/>
        <v>-5.184616999999999E-3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4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4"/>
      <c r="U61" s="27" t="s">
        <v>31</v>
      </c>
      <c r="V61" s="189"/>
      <c r="W61" s="56"/>
      <c r="X61" s="190">
        <v>41.657919999999997</v>
      </c>
      <c r="Y61" s="190">
        <v>44.865839999999999</v>
      </c>
      <c r="Z61" s="190">
        <v>0.99359560000000002</v>
      </c>
      <c r="AA61" s="62">
        <v>0.99608459000000005</v>
      </c>
      <c r="AB61" s="62">
        <v>9.7035460000000004E-3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4"/>
      <c r="AM61" s="87">
        <f t="shared" si="4"/>
        <v>2.6501559999999955</v>
      </c>
      <c r="AN61" s="122">
        <f t="shared" si="5"/>
        <v>1.7406459999999981</v>
      </c>
      <c r="AO61" s="122">
        <f t="shared" si="6"/>
        <v>4.1674000000002653E-4</v>
      </c>
      <c r="AP61" s="122">
        <f t="shared" si="7"/>
        <v>7.6072000000004802E-4</v>
      </c>
      <c r="AQ61" s="88">
        <f t="shared" si="8"/>
        <v>-4.6173050000000004E-3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4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4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4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6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6" t="s">
        <v>71</v>
      </c>
      <c r="U63" s="25" t="s">
        <v>27</v>
      </c>
      <c r="V63" s="39"/>
      <c r="W63" s="55"/>
      <c r="X63" s="97">
        <v>30.186857</v>
      </c>
      <c r="Y63" s="97">
        <v>34.062002</v>
      </c>
      <c r="Z63" s="97">
        <v>0.96122010000000002</v>
      </c>
      <c r="AA63" s="60">
        <v>0.97119900999999997</v>
      </c>
      <c r="AB63" s="60">
        <v>6.0989267999999999E-2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6" t="s">
        <v>71</v>
      </c>
      <c r="AM63" s="120">
        <f t="shared" si="4"/>
        <v>0.18984400000000079</v>
      </c>
      <c r="AN63" s="96">
        <f t="shared" si="5"/>
        <v>0.40151999999999788</v>
      </c>
      <c r="AO63" s="96">
        <f t="shared" si="6"/>
        <v>7.3080000000058654E-5</v>
      </c>
      <c r="AP63" s="96">
        <f t="shared" si="7"/>
        <v>8.4932999999998149E-4</v>
      </c>
      <c r="AQ63" s="121">
        <f t="shared" si="8"/>
        <v>-4.8571079999999989E-3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4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4"/>
      <c r="U64" s="27" t="s">
        <v>28</v>
      </c>
      <c r="V64" s="189"/>
      <c r="W64" s="56"/>
      <c r="X64" s="190">
        <v>33.762092000000003</v>
      </c>
      <c r="Y64" s="190">
        <v>37.084003000000003</v>
      </c>
      <c r="Z64" s="190">
        <v>0.97702997000000003</v>
      </c>
      <c r="AA64" s="62">
        <v>0.98323729000000004</v>
      </c>
      <c r="AB64" s="62">
        <v>3.8312702999999997E-2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4"/>
      <c r="AM64" s="87">
        <f t="shared" si="4"/>
        <v>0.61443200000000076</v>
      </c>
      <c r="AN64" s="122">
        <f t="shared" si="5"/>
        <v>0.51875600000000333</v>
      </c>
      <c r="AO64" s="122">
        <f t="shared" si="6"/>
        <v>4.260900000000456E-4</v>
      </c>
      <c r="AP64" s="122">
        <f t="shared" si="7"/>
        <v>1.0130600000000101E-3</v>
      </c>
      <c r="AQ64" s="88">
        <f t="shared" si="8"/>
        <v>-3.6835190000000032E-3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4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4"/>
      <c r="U65" s="27" t="s">
        <v>29</v>
      </c>
      <c r="V65" s="189"/>
      <c r="W65" s="56"/>
      <c r="X65" s="190">
        <v>37.486803000000002</v>
      </c>
      <c r="Y65" s="190">
        <v>40.987202000000003</v>
      </c>
      <c r="Z65" s="190">
        <v>0.98832617</v>
      </c>
      <c r="AA65" s="62">
        <v>0.99197986999999999</v>
      </c>
      <c r="AB65" s="62">
        <v>2.3185440000000002E-2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4"/>
      <c r="AM65" s="87">
        <f t="shared" si="4"/>
        <v>1.0952950000000001</v>
      </c>
      <c r="AN65" s="122">
        <f t="shared" si="5"/>
        <v>0.73499300000000289</v>
      </c>
      <c r="AO65" s="122">
        <f t="shared" si="6"/>
        <v>3.4617999999997373E-4</v>
      </c>
      <c r="AP65" s="122">
        <f t="shared" si="7"/>
        <v>6.5024999999996336E-4</v>
      </c>
      <c r="AQ65" s="88">
        <f t="shared" si="8"/>
        <v>-3.7358879999999997E-3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4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4"/>
      <c r="U66" s="27" t="s">
        <v>31</v>
      </c>
      <c r="V66" s="189"/>
      <c r="W66" s="56"/>
      <c r="X66" s="190">
        <v>41.813417999999999</v>
      </c>
      <c r="Y66" s="190">
        <v>45.025055999999999</v>
      </c>
      <c r="Z66" s="190">
        <v>0.99368922000000004</v>
      </c>
      <c r="AA66" s="62">
        <v>0.99619352000000005</v>
      </c>
      <c r="AB66" s="62">
        <v>9.5252640000000003E-3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4"/>
      <c r="AM66" s="87">
        <f t="shared" si="4"/>
        <v>2.1257170000000016</v>
      </c>
      <c r="AN66" s="122">
        <f t="shared" si="5"/>
        <v>1.4360140000000001</v>
      </c>
      <c r="AO66" s="122">
        <f t="shared" si="6"/>
        <v>3.6888000000001586E-4</v>
      </c>
      <c r="AP66" s="122">
        <f t="shared" si="7"/>
        <v>6.4132000000005629E-4</v>
      </c>
      <c r="AQ66" s="88">
        <f t="shared" si="8"/>
        <v>-3.5951920000000005E-3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4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4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4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6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6" t="s">
        <v>72</v>
      </c>
      <c r="U68" s="25" t="s">
        <v>27</v>
      </c>
      <c r="V68" s="39"/>
      <c r="W68" s="55"/>
      <c r="X68" s="97">
        <v>29.628184999999998</v>
      </c>
      <c r="Y68" s="97">
        <v>33.616151000000002</v>
      </c>
      <c r="Z68" s="97">
        <v>0.96253049999999996</v>
      </c>
      <c r="AA68" s="60">
        <v>0.96978792000000003</v>
      </c>
      <c r="AB68" s="60">
        <v>5.6781552999999998E-2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6" t="s">
        <v>72</v>
      </c>
      <c r="AM68" s="120">
        <f t="shared" si="4"/>
        <v>0.64360499999999732</v>
      </c>
      <c r="AN68" s="96">
        <f t="shared" si="5"/>
        <v>1.1573670000000007</v>
      </c>
      <c r="AO68" s="96">
        <f t="shared" si="6"/>
        <v>2.4251999999991281E-4</v>
      </c>
      <c r="AP68" s="96">
        <f t="shared" si="7"/>
        <v>1.6137000000000512E-3</v>
      </c>
      <c r="AQ68" s="121">
        <f t="shared" si="8"/>
        <v>-1.4585487000000008E-2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4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4"/>
      <c r="U69" s="27" t="s">
        <v>28</v>
      </c>
      <c r="V69" s="189"/>
      <c r="W69" s="56"/>
      <c r="X69" s="190">
        <v>33.452168</v>
      </c>
      <c r="Y69" s="190">
        <v>36.839376999999999</v>
      </c>
      <c r="Z69" s="190">
        <v>0.97769485</v>
      </c>
      <c r="AA69" s="62">
        <v>0.98291432999999995</v>
      </c>
      <c r="AB69" s="62">
        <v>3.5331488000000001E-2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4"/>
      <c r="AM69" s="87">
        <f t="shared" si="4"/>
        <v>1.473434000000001</v>
      </c>
      <c r="AN69" s="122">
        <f t="shared" si="5"/>
        <v>1.2784229999999965</v>
      </c>
      <c r="AO69" s="122">
        <f t="shared" si="6"/>
        <v>1.8837000000004878E-4</v>
      </c>
      <c r="AP69" s="122">
        <f t="shared" si="7"/>
        <v>1.1443199999999765E-3</v>
      </c>
      <c r="AQ69" s="88">
        <f t="shared" si="8"/>
        <v>-1.1534902E-2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4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4"/>
      <c r="U70" s="27" t="s">
        <v>29</v>
      </c>
      <c r="V70" s="189"/>
      <c r="W70" s="56"/>
      <c r="X70" s="190">
        <v>38.213707999999997</v>
      </c>
      <c r="Y70" s="190">
        <v>41.421737</v>
      </c>
      <c r="Z70" s="190">
        <v>0.98898171999999995</v>
      </c>
      <c r="AA70" s="62">
        <v>0.99249562000000002</v>
      </c>
      <c r="AB70" s="62">
        <v>1.7953005000000001E-2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4"/>
      <c r="AM70" s="87">
        <f t="shared" si="4"/>
        <v>3.1314700000000002</v>
      </c>
      <c r="AN70" s="122">
        <f t="shared" si="5"/>
        <v>1.9855439999999973</v>
      </c>
      <c r="AO70" s="122">
        <f t="shared" si="6"/>
        <v>4.163899999999332E-4</v>
      </c>
      <c r="AP70" s="122">
        <f t="shared" si="7"/>
        <v>6.8131000000004605E-4</v>
      </c>
      <c r="AQ70" s="88">
        <f t="shared" si="8"/>
        <v>-1.2092914999999999E-2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4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4"/>
      <c r="U71" s="27" t="s">
        <v>31</v>
      </c>
      <c r="V71" s="189"/>
      <c r="W71" s="56"/>
      <c r="X71" s="190">
        <v>42.173302999999997</v>
      </c>
      <c r="Y71" s="190">
        <v>45.162728000000001</v>
      </c>
      <c r="Z71" s="190">
        <v>0.99386890000000006</v>
      </c>
      <c r="AA71" s="62">
        <v>0.99635107000000001</v>
      </c>
      <c r="AB71" s="62">
        <v>8.1664479999999998E-3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4"/>
      <c r="AM71" s="87">
        <f t="shared" si="4"/>
        <v>4.6302679999999938</v>
      </c>
      <c r="AN71" s="122">
        <f t="shared" si="5"/>
        <v>3.1794560000000018</v>
      </c>
      <c r="AO71" s="122">
        <f t="shared" si="6"/>
        <v>4.9425000000002939E-4</v>
      </c>
      <c r="AP71" s="122">
        <f t="shared" si="7"/>
        <v>7.0592000000002653E-4</v>
      </c>
      <c r="AQ71" s="88">
        <f t="shared" si="8"/>
        <v>-9.4155999999999997E-3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4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4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4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6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6" t="s">
        <v>73</v>
      </c>
      <c r="U73" s="25" t="s">
        <v>27</v>
      </c>
      <c r="V73" s="39"/>
      <c r="W73" s="55"/>
      <c r="X73" s="97">
        <v>30.117118000000001</v>
      </c>
      <c r="Y73" s="97">
        <v>34.190235000000001</v>
      </c>
      <c r="Z73" s="97">
        <v>0.96451127000000003</v>
      </c>
      <c r="AA73" s="60">
        <v>0.97022909999999996</v>
      </c>
      <c r="AB73" s="60">
        <v>5.3612622999999998E-2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6" t="s">
        <v>73</v>
      </c>
      <c r="AM73" s="120">
        <f t="shared" si="4"/>
        <v>0.5901449999999997</v>
      </c>
      <c r="AN73" s="96">
        <f t="shared" si="5"/>
        <v>0.92405300000000068</v>
      </c>
      <c r="AO73" s="96">
        <f t="shared" si="6"/>
        <v>3.4184999999997689E-4</v>
      </c>
      <c r="AP73" s="96">
        <f t="shared" si="7"/>
        <v>1.4415700000000031E-3</v>
      </c>
      <c r="AQ73" s="121">
        <f t="shared" si="8"/>
        <v>-1.0394467000000004E-2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4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4"/>
      <c r="U74" s="27" t="s">
        <v>28</v>
      </c>
      <c r="V74" s="189"/>
      <c r="W74" s="56"/>
      <c r="X74" s="190">
        <v>33.691935000000001</v>
      </c>
      <c r="Y74" s="190">
        <v>37.116733000000004</v>
      </c>
      <c r="Z74" s="190">
        <v>0.97827567000000004</v>
      </c>
      <c r="AA74" s="62">
        <v>0.98275011000000001</v>
      </c>
      <c r="AB74" s="62">
        <v>3.4674607000000003E-2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4"/>
      <c r="AM74" s="87">
        <f t="shared" si="4"/>
        <v>1.4089320000000001</v>
      </c>
      <c r="AN74" s="122">
        <f t="shared" si="5"/>
        <v>1.1057090000000045</v>
      </c>
      <c r="AO74" s="122">
        <f t="shared" si="6"/>
        <v>1.6190999999998734E-4</v>
      </c>
      <c r="AP74" s="122">
        <f t="shared" si="7"/>
        <v>1.1228100000000296E-3</v>
      </c>
      <c r="AQ74" s="88">
        <f t="shared" si="8"/>
        <v>-7.6048969999999994E-3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4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4"/>
      <c r="U75" s="27" t="s">
        <v>29</v>
      </c>
      <c r="V75" s="189"/>
      <c r="W75" s="56"/>
      <c r="X75" s="190">
        <v>38.280757999999999</v>
      </c>
      <c r="Y75" s="190">
        <v>41.520322999999998</v>
      </c>
      <c r="Z75" s="190">
        <v>0.98886353999999999</v>
      </c>
      <c r="AA75" s="62">
        <v>0.9922879</v>
      </c>
      <c r="AB75" s="62">
        <v>1.8027250000000002E-2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4"/>
      <c r="AM75" s="87">
        <f t="shared" si="4"/>
        <v>2.3024209999999954</v>
      </c>
      <c r="AN75" s="122">
        <f t="shared" si="5"/>
        <v>1.4560600000000008</v>
      </c>
      <c r="AO75" s="122">
        <f t="shared" si="6"/>
        <v>4.2839999999999545E-4</v>
      </c>
      <c r="AP75" s="122">
        <f t="shared" si="7"/>
        <v>7.2495999999999672E-4</v>
      </c>
      <c r="AQ75" s="88">
        <f t="shared" si="8"/>
        <v>-7.4869949999999998E-3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4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4"/>
      <c r="U76" s="27" t="s">
        <v>31</v>
      </c>
      <c r="V76" s="189"/>
      <c r="W76" s="56"/>
      <c r="X76" s="190">
        <v>42.311517000000002</v>
      </c>
      <c r="Y76" s="190">
        <v>45.3568</v>
      </c>
      <c r="Z76" s="190">
        <v>0.99384234999999999</v>
      </c>
      <c r="AA76" s="62">
        <v>0.99631466999999996</v>
      </c>
      <c r="AB76" s="62">
        <v>8.0860310000000005E-3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4"/>
      <c r="AM76" s="87">
        <f t="shared" si="4"/>
        <v>4.4085239999999999</v>
      </c>
      <c r="AN76" s="122">
        <f t="shared" si="5"/>
        <v>3.0682169999999971</v>
      </c>
      <c r="AO76" s="122">
        <f t="shared" si="6"/>
        <v>4.8521000000001369E-4</v>
      </c>
      <c r="AP76" s="122">
        <f t="shared" si="7"/>
        <v>6.8627999999992806E-4</v>
      </c>
      <c r="AQ76" s="88">
        <f t="shared" si="8"/>
        <v>-8.4767640000000012E-3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4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4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4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6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6" t="s">
        <v>74</v>
      </c>
      <c r="U78" s="25" t="s">
        <v>27</v>
      </c>
      <c r="V78" s="39"/>
      <c r="W78" s="55"/>
      <c r="X78" s="97">
        <v>30.447576000000002</v>
      </c>
      <c r="Y78" s="97">
        <v>34.148983999999999</v>
      </c>
      <c r="Z78" s="97">
        <v>0.96611625999999995</v>
      </c>
      <c r="AA78" s="60">
        <v>0.97130245000000004</v>
      </c>
      <c r="AB78" s="60">
        <v>5.450613E-2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6" t="s">
        <v>74</v>
      </c>
      <c r="AM78" s="120">
        <f t="shared" si="4"/>
        <v>0.81082500000000124</v>
      </c>
      <c r="AN78" s="96">
        <f t="shared" si="5"/>
        <v>0.81006699999999654</v>
      </c>
      <c r="AO78" s="96">
        <f t="shared" si="6"/>
        <v>3.6802999999996366E-4</v>
      </c>
      <c r="AP78" s="96">
        <f t="shared" si="7"/>
        <v>1.2280700000000255E-3</v>
      </c>
      <c r="AQ78" s="121">
        <f t="shared" si="8"/>
        <v>-1.1967004000000003E-2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4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4"/>
      <c r="U79" s="27" t="s">
        <v>28</v>
      </c>
      <c r="V79" s="189"/>
      <c r="W79" s="56"/>
      <c r="X79" s="190">
        <v>33.660243000000001</v>
      </c>
      <c r="Y79" s="190">
        <v>36.994833</v>
      </c>
      <c r="Z79" s="190">
        <v>0.97882570000000002</v>
      </c>
      <c r="AA79" s="62">
        <v>0.98318099000000003</v>
      </c>
      <c r="AB79" s="62">
        <v>3.5716270000000001E-2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4"/>
      <c r="AM79" s="87">
        <f t="shared" si="4"/>
        <v>1.4192540000000022</v>
      </c>
      <c r="AN79" s="122">
        <f t="shared" si="5"/>
        <v>0.94018899999999661</v>
      </c>
      <c r="AO79" s="122">
        <f t="shared" si="6"/>
        <v>1.3574999999999005E-4</v>
      </c>
      <c r="AP79" s="122">
        <f t="shared" si="7"/>
        <v>9.5747000000001581E-4</v>
      </c>
      <c r="AQ79" s="88">
        <f t="shared" si="8"/>
        <v>-8.504730000000002E-3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4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4"/>
      <c r="U80" s="27" t="s">
        <v>29</v>
      </c>
      <c r="V80" s="189"/>
      <c r="W80" s="56"/>
      <c r="X80" s="190">
        <v>38.050505000000001</v>
      </c>
      <c r="Y80" s="190">
        <v>41.463732999999998</v>
      </c>
      <c r="Z80" s="190">
        <v>0.98891558999999996</v>
      </c>
      <c r="AA80" s="62">
        <v>0.99238846999999997</v>
      </c>
      <c r="AB80" s="62">
        <v>1.9152194000000001E-2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4"/>
      <c r="AM80" s="87">
        <f t="shared" si="4"/>
        <v>2.489333000000002</v>
      </c>
      <c r="AN80" s="122">
        <f t="shared" si="5"/>
        <v>1.5946399999999983</v>
      </c>
      <c r="AO80" s="122">
        <f t="shared" si="6"/>
        <v>3.9616999999991798E-4</v>
      </c>
      <c r="AP80" s="122">
        <f t="shared" si="7"/>
        <v>6.5105999999992559E-4</v>
      </c>
      <c r="AQ80" s="88">
        <f t="shared" si="8"/>
        <v>-9.8827670000000006E-3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4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4"/>
      <c r="U81" s="27" t="s">
        <v>31</v>
      </c>
      <c r="V81" s="189"/>
      <c r="W81" s="56"/>
      <c r="X81" s="190">
        <v>42.337221</v>
      </c>
      <c r="Y81" s="190">
        <v>45.450654999999998</v>
      </c>
      <c r="Z81" s="190">
        <v>0.99386637</v>
      </c>
      <c r="AA81" s="62">
        <v>0.99632730999999997</v>
      </c>
      <c r="AB81" s="62">
        <v>8.2824189999999992E-3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4"/>
      <c r="AM81" s="87">
        <f t="shared" si="4"/>
        <v>4.0196990000000028</v>
      </c>
      <c r="AN81" s="122">
        <f t="shared" si="5"/>
        <v>2.7449349999999981</v>
      </c>
      <c r="AO81" s="122">
        <f t="shared" si="6"/>
        <v>4.6530000000000182E-4</v>
      </c>
      <c r="AP81" s="122">
        <f t="shared" si="7"/>
        <v>6.5862999999999339E-4</v>
      </c>
      <c r="AQ81" s="88">
        <f t="shared" si="8"/>
        <v>-7.837119E-3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4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4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4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93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93" t="s">
        <v>75</v>
      </c>
      <c r="U83" s="25" t="s">
        <v>27</v>
      </c>
      <c r="V83" s="39"/>
      <c r="W83" s="55"/>
      <c r="X83" s="97">
        <v>30.713158</v>
      </c>
      <c r="Y83" s="97">
        <v>34.491452000000002</v>
      </c>
      <c r="Z83" s="97">
        <v>0.96694170999999995</v>
      </c>
      <c r="AA83" s="60">
        <v>0.97325276999999999</v>
      </c>
      <c r="AB83" s="60">
        <v>5.284987E-2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93" t="s">
        <v>75</v>
      </c>
      <c r="AM83" s="120">
        <f t="shared" si="4"/>
        <v>0.3664909999999999</v>
      </c>
      <c r="AN83" s="96">
        <f t="shared" si="5"/>
        <v>0.79264200000000073</v>
      </c>
      <c r="AO83" s="96">
        <f t="shared" si="6"/>
        <v>3.4766999999991111E-4</v>
      </c>
      <c r="AP83" s="96">
        <f t="shared" si="7"/>
        <v>1.2506500000000198E-3</v>
      </c>
      <c r="AQ83" s="121">
        <f t="shared" si="8"/>
        <v>-8.8604129999999975E-3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4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4"/>
      <c r="U84" s="27" t="s">
        <v>28</v>
      </c>
      <c r="V84" s="189"/>
      <c r="W84" s="56"/>
      <c r="X84" s="190">
        <v>34.361660999999998</v>
      </c>
      <c r="Y84" s="190">
        <v>37.571451000000003</v>
      </c>
      <c r="Z84" s="190">
        <v>0.97921342</v>
      </c>
      <c r="AA84" s="62">
        <v>0.98464538000000001</v>
      </c>
      <c r="AB84" s="62">
        <v>3.3862382000000003E-2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4"/>
      <c r="AM84" s="87">
        <f t="shared" si="4"/>
        <v>1.1636999999999986</v>
      </c>
      <c r="AN84" s="122">
        <f t="shared" si="5"/>
        <v>0.9287040000000033</v>
      </c>
      <c r="AO84" s="122">
        <f t="shared" si="6"/>
        <v>4.2780000000020024E-5</v>
      </c>
      <c r="AP84" s="122">
        <f t="shared" si="7"/>
        <v>1.0207600000000649E-3</v>
      </c>
      <c r="AQ84" s="88">
        <f t="shared" si="8"/>
        <v>-6.7750779999999969E-3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4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4"/>
      <c r="U85" s="27" t="s">
        <v>29</v>
      </c>
      <c r="V85" s="189"/>
      <c r="W85" s="56"/>
      <c r="X85" s="190">
        <v>38.468989999999998</v>
      </c>
      <c r="Y85" s="190">
        <v>41.729835999999999</v>
      </c>
      <c r="Z85" s="190">
        <v>0.98874899999999999</v>
      </c>
      <c r="AA85" s="62">
        <v>0.99246919</v>
      </c>
      <c r="AB85" s="62">
        <v>1.8745498999999999E-2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4"/>
      <c r="AM85" s="87">
        <f t="shared" si="4"/>
        <v>2.1457649999999973</v>
      </c>
      <c r="AN85" s="122">
        <f t="shared" si="5"/>
        <v>1.2687889999999982</v>
      </c>
      <c r="AO85" s="122">
        <f t="shared" si="6"/>
        <v>3.8103000000000442E-4</v>
      </c>
      <c r="AP85" s="122">
        <f t="shared" si="7"/>
        <v>5.912700000000326E-4</v>
      </c>
      <c r="AQ85" s="88">
        <f t="shared" si="8"/>
        <v>-7.2384790000000025E-3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4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4"/>
      <c r="U86" s="27" t="s">
        <v>31</v>
      </c>
      <c r="V86" s="189"/>
      <c r="W86" s="56"/>
      <c r="X86" s="190">
        <v>42.332116999999997</v>
      </c>
      <c r="Y86" s="190">
        <v>45.396273999999998</v>
      </c>
      <c r="Z86" s="190">
        <v>0.99367629000000002</v>
      </c>
      <c r="AA86" s="62">
        <v>0.99630766000000004</v>
      </c>
      <c r="AB86" s="62">
        <v>8.4827989999999992E-3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4"/>
      <c r="AM86" s="87">
        <f t="shared" si="4"/>
        <v>3.7274589999999961</v>
      </c>
      <c r="AN86" s="122">
        <f t="shared" si="5"/>
        <v>2.409205</v>
      </c>
      <c r="AO86" s="122">
        <f t="shared" si="6"/>
        <v>4.187300000000338E-4</v>
      </c>
      <c r="AP86" s="122">
        <f t="shared" si="7"/>
        <v>7.154300000000724E-4</v>
      </c>
      <c r="AQ86" s="88">
        <f t="shared" si="8"/>
        <v>-6.7854500000000002E-3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5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5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5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93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93" t="s">
        <v>76</v>
      </c>
      <c r="U88" s="25" t="s">
        <v>27</v>
      </c>
      <c r="V88" s="39"/>
      <c r="W88" s="55"/>
      <c r="X88" s="97">
        <v>30.904481000000001</v>
      </c>
      <c r="Y88" s="97">
        <v>34.712770999999996</v>
      </c>
      <c r="Z88" s="97">
        <v>0.96728289000000001</v>
      </c>
      <c r="AA88" s="60">
        <v>0.97355928000000003</v>
      </c>
      <c r="AB88" s="60">
        <v>5.2348397999999997E-2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93" t="s">
        <v>76</v>
      </c>
      <c r="AM88" s="120">
        <f t="shared" si="4"/>
        <v>0.57370600000000138</v>
      </c>
      <c r="AN88" s="96">
        <f t="shared" si="5"/>
        <v>0.82385799999999421</v>
      </c>
      <c r="AO88" s="96">
        <f t="shared" si="6"/>
        <v>9.7050000000042935E-5</v>
      </c>
      <c r="AP88" s="96">
        <f t="shared" si="7"/>
        <v>1.2232400000000698E-3</v>
      </c>
      <c r="AQ88" s="121">
        <f t="shared" si="8"/>
        <v>-7.921498000000006E-3</v>
      </c>
      <c r="AR88" s="37"/>
      <c r="AS88" s="238"/>
      <c r="AT88" s="37"/>
    </row>
    <row r="89" spans="2:52" ht="13.5" customHeight="1" x14ac:dyDescent="0.15">
      <c r="B89" s="294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4"/>
      <c r="U89" s="27" t="s">
        <v>28</v>
      </c>
      <c r="V89" s="189"/>
      <c r="W89" s="56"/>
      <c r="X89" s="190">
        <v>34.403184000000003</v>
      </c>
      <c r="Y89" s="190">
        <v>37.631168000000002</v>
      </c>
      <c r="Z89" s="190">
        <v>0.97977471999999999</v>
      </c>
      <c r="AA89" s="62">
        <v>0.98517363000000002</v>
      </c>
      <c r="AB89" s="62">
        <v>3.3258320000000001E-2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4"/>
      <c r="AM89" s="87">
        <f t="shared" si="4"/>
        <v>0.94587600000000549</v>
      </c>
      <c r="AN89" s="122">
        <f t="shared" si="5"/>
        <v>0.75059500000000412</v>
      </c>
      <c r="AO89" s="122">
        <f t="shared" si="6"/>
        <v>8.9329999999998577E-5</v>
      </c>
      <c r="AP89" s="122">
        <f t="shared" si="7"/>
        <v>8.0805000000006011E-4</v>
      </c>
      <c r="AQ89" s="88">
        <f t="shared" si="8"/>
        <v>-6.182774000000002E-3</v>
      </c>
      <c r="AR89" s="37"/>
      <c r="AS89" s="238"/>
      <c r="AT89" s="37"/>
    </row>
    <row r="90" spans="2:52" ht="13.5" customHeight="1" x14ac:dyDescent="0.15">
      <c r="B90" s="294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4"/>
      <c r="U90" s="27" t="s">
        <v>29</v>
      </c>
      <c r="V90" s="189"/>
      <c r="W90" s="56"/>
      <c r="X90" s="190">
        <v>38.540717999999998</v>
      </c>
      <c r="Y90" s="190">
        <v>41.835248999999997</v>
      </c>
      <c r="Z90" s="190">
        <v>0.98895374000000003</v>
      </c>
      <c r="AA90" s="62">
        <v>0.99261728999999999</v>
      </c>
      <c r="AB90" s="62">
        <v>1.8709883E-2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4"/>
      <c r="AM90" s="87">
        <f t="shared" si="4"/>
        <v>1.787473999999996</v>
      </c>
      <c r="AN90" s="122">
        <f t="shared" si="5"/>
        <v>1.0863230000000001</v>
      </c>
      <c r="AO90" s="122">
        <f t="shared" si="6"/>
        <v>3.2637000000002026E-4</v>
      </c>
      <c r="AP90" s="122">
        <f t="shared" si="7"/>
        <v>6.8641999999996539E-4</v>
      </c>
      <c r="AQ90" s="88">
        <f t="shared" si="8"/>
        <v>-5.7433469999999993E-3</v>
      </c>
      <c r="AR90" s="37"/>
      <c r="AS90" s="238"/>
      <c r="AT90" s="37"/>
    </row>
    <row r="91" spans="2:52" ht="13.5" customHeight="1" x14ac:dyDescent="0.15">
      <c r="B91" s="294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4"/>
      <c r="U91" s="27" t="s">
        <v>31</v>
      </c>
      <c r="V91" s="189"/>
      <c r="W91" s="56"/>
      <c r="X91" s="190">
        <v>42.563541999999998</v>
      </c>
      <c r="Y91" s="190">
        <v>45.649296</v>
      </c>
      <c r="Z91" s="190">
        <v>0.99387652000000004</v>
      </c>
      <c r="AA91" s="62">
        <v>0.99643349000000003</v>
      </c>
      <c r="AB91" s="62">
        <v>8.2701360000000008E-3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4"/>
      <c r="AM91" s="87">
        <f t="shared" si="4"/>
        <v>3.3420139999999989</v>
      </c>
      <c r="AN91" s="122">
        <f t="shared" si="5"/>
        <v>2.158101000000002</v>
      </c>
      <c r="AO91" s="122">
        <f t="shared" si="6"/>
        <v>3.9221000000000394E-4</v>
      </c>
      <c r="AP91" s="122">
        <f t="shared" si="7"/>
        <v>7.0888000000002283E-4</v>
      </c>
      <c r="AQ91" s="88">
        <f t="shared" si="8"/>
        <v>-5.467118E-3</v>
      </c>
      <c r="AR91" s="37"/>
      <c r="AS91" s="238"/>
      <c r="AT91" s="37"/>
    </row>
    <row r="92" spans="2:52" ht="13.5" customHeight="1" thickBot="1" x14ac:dyDescent="0.2">
      <c r="B92" s="295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5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5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93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93" t="s">
        <v>77</v>
      </c>
      <c r="U93" s="25" t="s">
        <v>27</v>
      </c>
      <c r="V93" s="39"/>
      <c r="W93" s="55"/>
      <c r="X93" s="97">
        <v>31.000900000000001</v>
      </c>
      <c r="Y93" s="97">
        <v>34.786098000000003</v>
      </c>
      <c r="Z93" s="97">
        <v>0.96719281999999995</v>
      </c>
      <c r="AA93" s="60">
        <v>0.97363107999999998</v>
      </c>
      <c r="AB93" s="60">
        <v>5.4155750000000002E-2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93" t="s">
        <v>77</v>
      </c>
      <c r="AM93" s="120">
        <f t="shared" si="4"/>
        <v>0.59751200000000182</v>
      </c>
      <c r="AN93" s="96">
        <f t="shared" si="5"/>
        <v>0.67215600000000109</v>
      </c>
      <c r="AO93" s="96">
        <f t="shared" si="6"/>
        <v>-6.5040000000071707E-5</v>
      </c>
      <c r="AP93" s="96">
        <f t="shared" si="7"/>
        <v>7.6045999999996283E-4</v>
      </c>
      <c r="AQ93" s="121">
        <f t="shared" si="8"/>
        <v>-6.9860579999999964E-3</v>
      </c>
      <c r="AR93" s="37"/>
      <c r="AS93" s="238"/>
      <c r="AT93" s="37"/>
    </row>
    <row r="94" spans="2:52" ht="13.5" customHeight="1" x14ac:dyDescent="0.15">
      <c r="B94" s="294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4"/>
      <c r="U94" s="27" t="s">
        <v>28</v>
      </c>
      <c r="V94" s="189"/>
      <c r="W94" s="56"/>
      <c r="X94" s="190">
        <v>34.626806999999999</v>
      </c>
      <c r="Y94" s="190">
        <v>37.879398000000002</v>
      </c>
      <c r="Z94" s="190">
        <v>0.98010045999999995</v>
      </c>
      <c r="AA94" s="62">
        <v>0.98559067</v>
      </c>
      <c r="AB94" s="62">
        <v>3.4062013000000002E-2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4"/>
      <c r="AM94" s="87">
        <f t="shared" si="4"/>
        <v>1.1901659999999978</v>
      </c>
      <c r="AN94" s="122">
        <f t="shared" si="5"/>
        <v>0.80971200000000465</v>
      </c>
      <c r="AO94" s="122">
        <f t="shared" si="6"/>
        <v>2.5681999999993543E-4</v>
      </c>
      <c r="AP94" s="122">
        <f t="shared" si="7"/>
        <v>8.882399999999846E-4</v>
      </c>
      <c r="AQ94" s="88">
        <f t="shared" si="8"/>
        <v>-6.5521340000000011E-3</v>
      </c>
      <c r="AR94" s="37"/>
      <c r="AS94" s="238"/>
      <c r="AT94" s="37"/>
    </row>
    <row r="95" spans="2:52" ht="13.5" customHeight="1" x14ac:dyDescent="0.15">
      <c r="B95" s="294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4"/>
      <c r="U95" s="27" t="s">
        <v>29</v>
      </c>
      <c r="V95" s="189"/>
      <c r="W95" s="56"/>
      <c r="X95" s="190">
        <v>38.205947000000002</v>
      </c>
      <c r="Y95" s="190">
        <v>41.630223999999998</v>
      </c>
      <c r="Z95" s="190">
        <v>0.98913134000000003</v>
      </c>
      <c r="AA95" s="62">
        <v>0.99266750000000004</v>
      </c>
      <c r="AB95" s="62">
        <v>1.9781759999999999E-2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4"/>
      <c r="AM95" s="87">
        <f t="shared" si="4"/>
        <v>1.4157849999999996</v>
      </c>
      <c r="AN95" s="122">
        <f t="shared" si="5"/>
        <v>0.91656700000000058</v>
      </c>
      <c r="AO95" s="122">
        <f t="shared" si="6"/>
        <v>3.4886000000000639E-4</v>
      </c>
      <c r="AP95" s="122">
        <f t="shared" si="7"/>
        <v>4.958500000000754E-4</v>
      </c>
      <c r="AQ95" s="88">
        <f t="shared" si="8"/>
        <v>-4.9247620000000027E-3</v>
      </c>
      <c r="AR95" s="37"/>
      <c r="AS95" s="238"/>
      <c r="AT95" s="37"/>
    </row>
    <row r="96" spans="2:52" ht="13.5" customHeight="1" x14ac:dyDescent="0.15">
      <c r="B96" s="294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4"/>
      <c r="U96" s="27" t="s">
        <v>31</v>
      </c>
      <c r="V96" s="189"/>
      <c r="W96" s="56"/>
      <c r="X96" s="190">
        <v>42.551634</v>
      </c>
      <c r="Y96" s="190">
        <v>45.673912000000001</v>
      </c>
      <c r="Z96" s="190">
        <v>0.99392811999999997</v>
      </c>
      <c r="AA96" s="62">
        <v>0.99644851999999995</v>
      </c>
      <c r="AB96" s="62">
        <v>8.5216360000000008E-3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4"/>
      <c r="AM96" s="87">
        <f t="shared" si="4"/>
        <v>2.8419930000000022</v>
      </c>
      <c r="AN96" s="122">
        <f t="shared" si="5"/>
        <v>1.7809889999999982</v>
      </c>
      <c r="AO96" s="122">
        <f t="shared" si="6"/>
        <v>3.582500000000044E-4</v>
      </c>
      <c r="AP96" s="122">
        <f t="shared" si="7"/>
        <v>7.3826999999992982E-4</v>
      </c>
      <c r="AQ96" s="88">
        <f t="shared" si="8"/>
        <v>-4.7387729999999999E-3</v>
      </c>
      <c r="AR96" s="37"/>
      <c r="AS96" s="238"/>
      <c r="AT96" s="37"/>
    </row>
    <row r="97" spans="2:46" ht="13.5" customHeight="1" thickBot="1" x14ac:dyDescent="0.2">
      <c r="B97" s="295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5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5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93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93" t="s">
        <v>78</v>
      </c>
      <c r="U98" s="25" t="s">
        <v>27</v>
      </c>
      <c r="V98" s="39"/>
      <c r="W98" s="55"/>
      <c r="X98" s="97">
        <v>30.989830999999999</v>
      </c>
      <c r="Y98" s="97">
        <v>35.075619000000003</v>
      </c>
      <c r="Z98" s="97">
        <v>0.96609838000000003</v>
      </c>
      <c r="AA98" s="60">
        <v>0.97369521999999997</v>
      </c>
      <c r="AB98" s="60">
        <v>5.6839153000000003E-2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93" t="s">
        <v>78</v>
      </c>
      <c r="AM98" s="120">
        <f t="shared" si="14"/>
        <v>0.12731899999999996</v>
      </c>
      <c r="AN98" s="96">
        <f t="shared" si="15"/>
        <v>0.35470400000000524</v>
      </c>
      <c r="AO98" s="96">
        <f t="shared" si="16"/>
        <v>7.9000000000606363E-6</v>
      </c>
      <c r="AP98" s="96">
        <f t="shared" si="17"/>
        <v>5.2041000000002668E-4</v>
      </c>
      <c r="AQ98" s="121">
        <f t="shared" si="18"/>
        <v>-2.2257569999999949E-3</v>
      </c>
      <c r="AR98" s="37"/>
      <c r="AS98" s="238"/>
      <c r="AT98" s="37"/>
    </row>
    <row r="99" spans="2:46" ht="13.5" customHeight="1" x14ac:dyDescent="0.15">
      <c r="B99" s="294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4"/>
      <c r="U99" s="27" t="s">
        <v>28</v>
      </c>
      <c r="V99" s="189"/>
      <c r="W99" s="56"/>
      <c r="X99" s="190">
        <v>34.75253</v>
      </c>
      <c r="Y99" s="190">
        <v>38.193536000000002</v>
      </c>
      <c r="Z99" s="190">
        <v>0.97984450000000001</v>
      </c>
      <c r="AA99" s="62">
        <v>0.98553668000000005</v>
      </c>
      <c r="AB99" s="62">
        <v>3.5389245E-2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4"/>
      <c r="AM99" s="87">
        <f t="shared" si="14"/>
        <v>0.64346600000000365</v>
      </c>
      <c r="AN99" s="122">
        <f t="shared" si="15"/>
        <v>0.55333999999999861</v>
      </c>
      <c r="AO99" s="122">
        <f t="shared" si="16"/>
        <v>3.140099999999757E-4</v>
      </c>
      <c r="AP99" s="122">
        <f t="shared" si="17"/>
        <v>8.2040000000005442E-4</v>
      </c>
      <c r="AQ99" s="88">
        <f t="shared" si="18"/>
        <v>-2.4751719999999977E-3</v>
      </c>
      <c r="AR99" s="37"/>
      <c r="AS99" s="238"/>
      <c r="AT99" s="37"/>
    </row>
    <row r="100" spans="2:46" ht="13.5" customHeight="1" x14ac:dyDescent="0.15">
      <c r="B100" s="294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4"/>
      <c r="U100" s="27" t="s">
        <v>29</v>
      </c>
      <c r="V100" s="189"/>
      <c r="W100" s="56"/>
      <c r="X100" s="190">
        <v>38.425196</v>
      </c>
      <c r="Y100" s="190">
        <v>41.748821</v>
      </c>
      <c r="Z100" s="190">
        <v>0.98911146000000005</v>
      </c>
      <c r="AA100" s="62">
        <v>0.99268522000000003</v>
      </c>
      <c r="AB100" s="62">
        <v>2.0529049000000001E-2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4"/>
      <c r="AM100" s="87">
        <f t="shared" si="14"/>
        <v>1.1462560000000011</v>
      </c>
      <c r="AN100" s="122">
        <f t="shared" si="15"/>
        <v>0.75276099999999957</v>
      </c>
      <c r="AO100" s="122">
        <f t="shared" si="16"/>
        <v>2.7208000000000787E-4</v>
      </c>
      <c r="AP100" s="122">
        <f t="shared" si="17"/>
        <v>4.132399999999814E-4</v>
      </c>
      <c r="AQ100" s="88">
        <f t="shared" si="18"/>
        <v>-3.1861660000000007E-3</v>
      </c>
      <c r="AR100" s="37"/>
      <c r="AS100" s="238"/>
      <c r="AT100" s="37"/>
    </row>
    <row r="101" spans="2:46" ht="13.5" customHeight="1" x14ac:dyDescent="0.15">
      <c r="B101" s="294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4"/>
      <c r="U101" s="27" t="s">
        <v>31</v>
      </c>
      <c r="V101" s="189"/>
      <c r="W101" s="56"/>
      <c r="X101" s="190">
        <v>42.599687000000003</v>
      </c>
      <c r="Y101" s="190">
        <v>45.736733999999998</v>
      </c>
      <c r="Z101" s="190">
        <v>0.99396169999999995</v>
      </c>
      <c r="AA101" s="62">
        <v>0.99646140999999999</v>
      </c>
      <c r="AB101" s="62">
        <v>9.0498820000000004E-3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4"/>
      <c r="AM101" s="87">
        <f t="shared" si="14"/>
        <v>2.1653300000000044</v>
      </c>
      <c r="AN101" s="122">
        <f t="shared" si="15"/>
        <v>1.3888180000000006</v>
      </c>
      <c r="AO101" s="122">
        <f t="shared" si="16"/>
        <v>3.180099999999797E-4</v>
      </c>
      <c r="AP101" s="122">
        <f t="shared" si="17"/>
        <v>6.0362000000002691E-4</v>
      </c>
      <c r="AQ101" s="88">
        <f t="shared" si="18"/>
        <v>-3.4493589999999991E-3</v>
      </c>
      <c r="AR101" s="37"/>
      <c r="AS101" s="238"/>
      <c r="AT101" s="37"/>
    </row>
    <row r="102" spans="2:46" ht="13.5" customHeight="1" thickBot="1" x14ac:dyDescent="0.2">
      <c r="B102" s="295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5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5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93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93" t="s">
        <v>79</v>
      </c>
      <c r="U103" s="25" t="s">
        <v>27</v>
      </c>
      <c r="V103" s="39"/>
      <c r="W103" s="55"/>
      <c r="X103" s="97">
        <v>31.145498</v>
      </c>
      <c r="Y103" s="97">
        <v>35.380845000000001</v>
      </c>
      <c r="Z103" s="97">
        <v>0.96738848</v>
      </c>
      <c r="AA103" s="60">
        <v>0.97652547000000001</v>
      </c>
      <c r="AB103" s="60">
        <v>6.1732210000000003E-2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93" t="s">
        <v>79</v>
      </c>
      <c r="AM103" s="120">
        <f t="shared" si="14"/>
        <v>0.42511899999999869</v>
      </c>
      <c r="AN103" s="96">
        <f t="shared" si="15"/>
        <v>1.0847699999999989</v>
      </c>
      <c r="AO103" s="96">
        <f t="shared" si="16"/>
        <v>-1.2878000000005052E-4</v>
      </c>
      <c r="AP103" s="96">
        <f t="shared" si="17"/>
        <v>7.6677000000002771E-4</v>
      </c>
      <c r="AQ103" s="121">
        <f t="shared" si="18"/>
        <v>-1.1119940000000002E-2</v>
      </c>
      <c r="AR103" s="37"/>
      <c r="AS103" s="238"/>
      <c r="AT103" s="37"/>
    </row>
    <row r="104" spans="2:46" ht="13.5" customHeight="1" x14ac:dyDescent="0.15">
      <c r="B104" s="294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4"/>
      <c r="U104" s="27" t="s">
        <v>28</v>
      </c>
      <c r="V104" s="189"/>
      <c r="W104" s="56"/>
      <c r="X104" s="190">
        <v>34.621544999999998</v>
      </c>
      <c r="Y104" s="190">
        <v>38.234625999999999</v>
      </c>
      <c r="Z104" s="190">
        <v>0.98019511999999998</v>
      </c>
      <c r="AA104" s="62">
        <v>0.98667780000000005</v>
      </c>
      <c r="AB104" s="62">
        <v>3.7530933000000002E-2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4"/>
      <c r="AM104" s="87">
        <f t="shared" si="14"/>
        <v>1.1515379999999951</v>
      </c>
      <c r="AN104" s="122">
        <f t="shared" si="15"/>
        <v>1.3328739999999968</v>
      </c>
      <c r="AO104" s="122">
        <f t="shared" si="16"/>
        <v>1.3151999999994057E-4</v>
      </c>
      <c r="AP104" s="122">
        <f t="shared" si="17"/>
        <v>6.8023999999999862E-4</v>
      </c>
      <c r="AQ104" s="88">
        <f t="shared" si="18"/>
        <v>-1.0405146999999997E-2</v>
      </c>
      <c r="AR104" s="37"/>
      <c r="AS104" s="238"/>
      <c r="AT104" s="37"/>
    </row>
    <row r="105" spans="2:46" ht="13.5" customHeight="1" x14ac:dyDescent="0.15">
      <c r="B105" s="294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4"/>
      <c r="U105" s="27" t="s">
        <v>29</v>
      </c>
      <c r="V105" s="189"/>
      <c r="W105" s="56"/>
      <c r="X105" s="190">
        <v>38.972776000000003</v>
      </c>
      <c r="Y105" s="190">
        <v>42.086844999999997</v>
      </c>
      <c r="Z105" s="190">
        <v>0.98959847000000001</v>
      </c>
      <c r="AA105" s="62">
        <v>0.99351993000000005</v>
      </c>
      <c r="AB105" s="62">
        <v>1.9874504000000001E-2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4"/>
      <c r="AM105" s="87">
        <f t="shared" si="14"/>
        <v>2.9734650000000045</v>
      </c>
      <c r="AN105" s="122">
        <f t="shared" si="15"/>
        <v>1.8865889999999936</v>
      </c>
      <c r="AO105" s="122">
        <f t="shared" si="16"/>
        <v>2.7337999999998974E-4</v>
      </c>
      <c r="AP105" s="122">
        <f t="shared" si="17"/>
        <v>6.1437000000008624E-4</v>
      </c>
      <c r="AQ105" s="88">
        <f t="shared" si="18"/>
        <v>-1.1897555999999997E-2</v>
      </c>
      <c r="AR105" s="37"/>
      <c r="AS105" s="238"/>
      <c r="AT105" s="37"/>
    </row>
    <row r="106" spans="2:46" ht="13.5" customHeight="1" x14ac:dyDescent="0.15">
      <c r="B106" s="294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4"/>
      <c r="U106" s="27" t="s">
        <v>31</v>
      </c>
      <c r="V106" s="189"/>
      <c r="W106" s="56"/>
      <c r="X106" s="190">
        <v>42.942934000000001</v>
      </c>
      <c r="Y106" s="190">
        <v>45.838754999999999</v>
      </c>
      <c r="Z106" s="190">
        <v>0.99393071</v>
      </c>
      <c r="AA106" s="62">
        <v>0.99668877</v>
      </c>
      <c r="AB106" s="62">
        <v>9.5970799999999992E-3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4"/>
      <c r="AM106" s="87">
        <f t="shared" si="14"/>
        <v>4.4074330000000046</v>
      </c>
      <c r="AN106" s="122">
        <f t="shared" si="15"/>
        <v>2.9171550000000011</v>
      </c>
      <c r="AO106" s="122">
        <f t="shared" si="16"/>
        <v>4.0300000000004221E-4</v>
      </c>
      <c r="AP106" s="122">
        <f t="shared" si="17"/>
        <v>6.4417000000005498E-4</v>
      </c>
      <c r="AQ106" s="88">
        <f t="shared" si="18"/>
        <v>-9.4343759999999995E-3</v>
      </c>
      <c r="AR106" s="37"/>
      <c r="AS106" s="238"/>
      <c r="AT106" s="37"/>
    </row>
    <row r="107" spans="2:46" ht="13.5" customHeight="1" thickBot="1" x14ac:dyDescent="0.2">
      <c r="B107" s="295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5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5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93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93" t="s">
        <v>80</v>
      </c>
      <c r="U108" s="25" t="s">
        <v>27</v>
      </c>
      <c r="V108" s="39"/>
      <c r="W108" s="55"/>
      <c r="X108" s="97">
        <v>31.022690000000001</v>
      </c>
      <c r="Y108" s="97">
        <v>35.297189000000003</v>
      </c>
      <c r="Z108" s="97">
        <v>0.96948603</v>
      </c>
      <c r="AA108" s="60">
        <v>0.97804555999999998</v>
      </c>
      <c r="AB108" s="60">
        <v>5.7712670000000001E-2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93" t="s">
        <v>80</v>
      </c>
      <c r="AM108" s="120">
        <f t="shared" si="14"/>
        <v>-7.4577999999998923E-2</v>
      </c>
      <c r="AN108" s="96">
        <f t="shared" si="15"/>
        <v>0.56802000000000419</v>
      </c>
      <c r="AO108" s="96">
        <f t="shared" si="16"/>
        <v>4.2919999999946334E-5</v>
      </c>
      <c r="AP108" s="96">
        <f t="shared" si="17"/>
        <v>6.8186000000003411E-4</v>
      </c>
      <c r="AQ108" s="121">
        <f t="shared" si="18"/>
        <v>-6.8303600000000006E-3</v>
      </c>
      <c r="AR108" s="37"/>
      <c r="AS108" s="238"/>
      <c r="AT108" s="37"/>
    </row>
    <row r="109" spans="2:46" ht="13.5" customHeight="1" x14ac:dyDescent="0.15">
      <c r="B109" s="294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4"/>
      <c r="U109" s="27" t="s">
        <v>28</v>
      </c>
      <c r="V109" s="189"/>
      <c r="W109" s="56"/>
      <c r="X109" s="190">
        <v>34.404978999999997</v>
      </c>
      <c r="Y109" s="190">
        <v>38.095190000000002</v>
      </c>
      <c r="Z109" s="190">
        <v>0.98086797000000003</v>
      </c>
      <c r="AA109" s="62">
        <v>0.98692760999999996</v>
      </c>
      <c r="AB109" s="62">
        <v>3.6245007000000003E-2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4"/>
      <c r="AM109" s="87">
        <f t="shared" si="14"/>
        <v>0.47849300000000028</v>
      </c>
      <c r="AN109" s="122">
        <f t="shared" si="15"/>
        <v>0.77617700000000411</v>
      </c>
      <c r="AO109" s="122">
        <f t="shared" si="16"/>
        <v>1.2125000000007269E-4</v>
      </c>
      <c r="AP109" s="122">
        <f t="shared" si="17"/>
        <v>4.5573999999992676E-4</v>
      </c>
      <c r="AQ109" s="88">
        <f t="shared" si="18"/>
        <v>-6.9668409999999945E-3</v>
      </c>
      <c r="AR109" s="37"/>
      <c r="AS109" s="238"/>
      <c r="AT109" s="37"/>
    </row>
    <row r="110" spans="2:46" ht="13.5" customHeight="1" x14ac:dyDescent="0.15">
      <c r="B110" s="294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4"/>
      <c r="U110" s="27" t="s">
        <v>29</v>
      </c>
      <c r="V110" s="189"/>
      <c r="W110" s="56"/>
      <c r="X110" s="190">
        <v>38.865988000000002</v>
      </c>
      <c r="Y110" s="190">
        <v>42.046588999999997</v>
      </c>
      <c r="Z110" s="190">
        <v>0.98956577000000001</v>
      </c>
      <c r="AA110" s="62">
        <v>0.99328505</v>
      </c>
      <c r="AB110" s="62">
        <v>1.9907393999999998E-2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4"/>
      <c r="AM110" s="87">
        <f t="shared" si="14"/>
        <v>1.6359740000000045</v>
      </c>
      <c r="AN110" s="122">
        <f t="shared" si="15"/>
        <v>1.0178849999999997</v>
      </c>
      <c r="AO110" s="122">
        <f t="shared" si="16"/>
        <v>3.156600000000509E-4</v>
      </c>
      <c r="AP110" s="122">
        <f t="shared" si="17"/>
        <v>3.7655000000003103E-4</v>
      </c>
      <c r="AQ110" s="88">
        <f t="shared" si="18"/>
        <v>-6.594522000000002E-3</v>
      </c>
      <c r="AR110" s="37"/>
      <c r="AS110" s="238"/>
      <c r="AT110" s="37"/>
    </row>
    <row r="111" spans="2:46" ht="13.5" customHeight="1" x14ac:dyDescent="0.15">
      <c r="B111" s="294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4"/>
      <c r="U111" s="27" t="s">
        <v>31</v>
      </c>
      <c r="V111" s="189"/>
      <c r="W111" s="56"/>
      <c r="X111" s="190">
        <v>42.912757999999997</v>
      </c>
      <c r="Y111" s="190">
        <v>45.785048000000003</v>
      </c>
      <c r="Z111" s="190">
        <v>0.99390703000000002</v>
      </c>
      <c r="AA111" s="62">
        <v>0.99664123000000004</v>
      </c>
      <c r="AB111" s="62">
        <v>9.5867910000000008E-3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4"/>
      <c r="AM111" s="87">
        <f t="shared" si="14"/>
        <v>3.8845779999999976</v>
      </c>
      <c r="AN111" s="122">
        <f t="shared" si="15"/>
        <v>2.435881000000002</v>
      </c>
      <c r="AO111" s="122">
        <f t="shared" si="16"/>
        <v>3.6780000000002921E-4</v>
      </c>
      <c r="AP111" s="122">
        <f t="shared" si="17"/>
        <v>6.1841000000006918E-4</v>
      </c>
      <c r="AQ111" s="88">
        <f t="shared" si="18"/>
        <v>-8.7592209999999976E-3</v>
      </c>
      <c r="AR111" s="37"/>
      <c r="AS111" s="238"/>
      <c r="AT111" s="37"/>
    </row>
    <row r="112" spans="2:46" ht="13.5" customHeight="1" thickBot="1" x14ac:dyDescent="0.2">
      <c r="B112" s="295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5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5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93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93" t="s">
        <v>81</v>
      </c>
      <c r="U113" s="25" t="s">
        <v>27</v>
      </c>
      <c r="V113" s="39"/>
      <c r="W113" s="55"/>
      <c r="X113" s="97">
        <v>31.740856000000001</v>
      </c>
      <c r="Y113" s="97">
        <v>35.432453000000002</v>
      </c>
      <c r="Z113" s="97">
        <v>0.97031856999999999</v>
      </c>
      <c r="AA113" s="60">
        <v>0.97873387000000001</v>
      </c>
      <c r="AB113" s="60">
        <v>5.6276171999999999E-2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93" t="s">
        <v>81</v>
      </c>
      <c r="AM113" s="120">
        <f t="shared" si="14"/>
        <v>0.6624440000000007</v>
      </c>
      <c r="AN113" s="96">
        <f t="shared" si="15"/>
        <v>0.73064700000000471</v>
      </c>
      <c r="AO113" s="96">
        <f t="shared" si="16"/>
        <v>8.5569999999979274E-5</v>
      </c>
      <c r="AP113" s="96">
        <f t="shared" si="17"/>
        <v>7.6507999999997356E-4</v>
      </c>
      <c r="AQ113" s="121">
        <f t="shared" si="18"/>
        <v>-1.0512967999999998E-2</v>
      </c>
      <c r="AR113" s="37"/>
      <c r="AS113" s="238"/>
      <c r="AT113" s="37"/>
    </row>
    <row r="114" spans="2:46" ht="13.5" customHeight="1" x14ac:dyDescent="0.15">
      <c r="B114" s="294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4"/>
      <c r="U114" s="27" t="s">
        <v>28</v>
      </c>
      <c r="V114" s="189"/>
      <c r="W114" s="56"/>
      <c r="X114" s="190">
        <v>34.680537000000001</v>
      </c>
      <c r="Y114" s="190">
        <v>37.995846999999998</v>
      </c>
      <c r="Z114" s="190">
        <v>0.98117701000000002</v>
      </c>
      <c r="AA114" s="62">
        <v>0.98699592999999997</v>
      </c>
      <c r="AB114" s="62">
        <v>3.7735100000000001E-2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4"/>
      <c r="AM114" s="87">
        <f t="shared" si="14"/>
        <v>1.252600000000001</v>
      </c>
      <c r="AN114" s="122">
        <f t="shared" si="15"/>
        <v>0.83687599999999662</v>
      </c>
      <c r="AO114" s="122">
        <f t="shared" si="16"/>
        <v>7.4569999999996028E-5</v>
      </c>
      <c r="AP114" s="122">
        <f t="shared" si="17"/>
        <v>5.4924999999994562E-4</v>
      </c>
      <c r="AQ114" s="88">
        <f t="shared" si="18"/>
        <v>-9.9623169999999983E-3</v>
      </c>
      <c r="AR114" s="37"/>
      <c r="AS114" s="238"/>
      <c r="AT114" s="37"/>
    </row>
    <row r="115" spans="2:46" ht="13.5" customHeight="1" x14ac:dyDescent="0.15">
      <c r="B115" s="294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4"/>
      <c r="U115" s="27" t="s">
        <v>29</v>
      </c>
      <c r="V115" s="189"/>
      <c r="W115" s="56"/>
      <c r="X115" s="190">
        <v>38.735211</v>
      </c>
      <c r="Y115" s="190">
        <v>42.02075</v>
      </c>
      <c r="Z115" s="190">
        <v>0.98951697000000005</v>
      </c>
      <c r="AA115" s="62">
        <v>0.99350649000000002</v>
      </c>
      <c r="AB115" s="62">
        <v>2.0520221000000002E-2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4"/>
      <c r="AM115" s="87">
        <f t="shared" si="14"/>
        <v>2.3764460000000014</v>
      </c>
      <c r="AN115" s="122">
        <f t="shared" si="15"/>
        <v>1.5107679999999988</v>
      </c>
      <c r="AO115" s="122">
        <f t="shared" si="16"/>
        <v>3.2713000000006431E-4</v>
      </c>
      <c r="AP115" s="122">
        <f t="shared" si="17"/>
        <v>6.7877999999998995E-4</v>
      </c>
      <c r="AQ115" s="88">
        <f t="shared" si="18"/>
        <v>-1.0117459999999998E-2</v>
      </c>
      <c r="AR115" s="37"/>
      <c r="AS115" s="238"/>
      <c r="AT115" s="37"/>
    </row>
    <row r="116" spans="2:46" ht="13.5" customHeight="1" x14ac:dyDescent="0.15">
      <c r="B116" s="294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4"/>
      <c r="U116" s="27" t="s">
        <v>31</v>
      </c>
      <c r="V116" s="189"/>
      <c r="W116" s="56"/>
      <c r="X116" s="190">
        <v>42.955196000000001</v>
      </c>
      <c r="Y116" s="190">
        <v>45.956603000000001</v>
      </c>
      <c r="Z116" s="190">
        <v>0.99387532999999995</v>
      </c>
      <c r="AA116" s="62">
        <v>0.99672581000000005</v>
      </c>
      <c r="AB116" s="62">
        <v>9.4462109999999995E-3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4"/>
      <c r="AM116" s="87">
        <f t="shared" si="14"/>
        <v>3.6662650000000028</v>
      </c>
      <c r="AN116" s="122">
        <f t="shared" si="15"/>
        <v>2.4342779999999991</v>
      </c>
      <c r="AO116" s="122">
        <f t="shared" si="16"/>
        <v>3.5295999999995775E-4</v>
      </c>
      <c r="AP116" s="122">
        <f t="shared" si="17"/>
        <v>6.0359000000009821E-4</v>
      </c>
      <c r="AQ116" s="88">
        <f t="shared" si="18"/>
        <v>-7.2714819999999993E-3</v>
      </c>
      <c r="AR116" s="37"/>
      <c r="AS116" s="238"/>
      <c r="AT116" s="37"/>
    </row>
    <row r="117" spans="2:46" ht="13.5" customHeight="1" thickBot="1" x14ac:dyDescent="0.2">
      <c r="B117" s="295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5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5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93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93" t="s">
        <v>82</v>
      </c>
      <c r="U118" s="25" t="s">
        <v>27</v>
      </c>
      <c r="V118" s="39"/>
      <c r="W118" s="55"/>
      <c r="X118" s="97">
        <v>32.364426999999999</v>
      </c>
      <c r="Y118" s="97">
        <v>36.117218999999999</v>
      </c>
      <c r="Z118" s="97">
        <v>0.97165460999999997</v>
      </c>
      <c r="AA118" s="60">
        <v>0.98054282000000004</v>
      </c>
      <c r="AB118" s="60">
        <v>5.2558924999999999E-2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93" t="s">
        <v>82</v>
      </c>
      <c r="AM118" s="120">
        <f t="shared" si="14"/>
        <v>0.47607599999999906</v>
      </c>
      <c r="AN118" s="96">
        <f t="shared" si="15"/>
        <v>0.82130000000000081</v>
      </c>
      <c r="AO118" s="96">
        <f t="shared" si="16"/>
        <v>2.8034999999992927E-4</v>
      </c>
      <c r="AP118" s="96">
        <f t="shared" si="17"/>
        <v>8.9497000000005045E-4</v>
      </c>
      <c r="AQ118" s="121">
        <f t="shared" si="18"/>
        <v>-7.7658349999999987E-3</v>
      </c>
      <c r="AR118" s="37"/>
      <c r="AS118" s="238"/>
      <c r="AT118" s="37"/>
    </row>
    <row r="119" spans="2:46" ht="13.5" customHeight="1" x14ac:dyDescent="0.15">
      <c r="B119" s="294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4"/>
      <c r="U119" s="27" t="s">
        <v>28</v>
      </c>
      <c r="V119" s="189"/>
      <c r="W119" s="56"/>
      <c r="X119" s="190">
        <v>35.155107000000001</v>
      </c>
      <c r="Y119" s="190">
        <v>38.484203000000001</v>
      </c>
      <c r="Z119" s="190">
        <v>0.98129067999999997</v>
      </c>
      <c r="AA119" s="62">
        <v>0.98767267999999997</v>
      </c>
      <c r="AB119" s="62">
        <v>3.5434145E-2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4"/>
      <c r="AM119" s="87">
        <f t="shared" si="14"/>
        <v>1.1818150000000003</v>
      </c>
      <c r="AN119" s="122">
        <f t="shared" si="15"/>
        <v>0.95743200000000428</v>
      </c>
      <c r="AO119" s="122">
        <f t="shared" si="16"/>
        <v>2.1779999999971267E-5</v>
      </c>
      <c r="AP119" s="122">
        <f t="shared" si="17"/>
        <v>5.3625000000001588E-4</v>
      </c>
      <c r="AQ119" s="88">
        <f t="shared" si="18"/>
        <v>-7.339445E-3</v>
      </c>
      <c r="AR119" s="37"/>
      <c r="AS119" s="238"/>
      <c r="AT119" s="37"/>
    </row>
    <row r="120" spans="2:46" ht="13.5" customHeight="1" x14ac:dyDescent="0.15">
      <c r="B120" s="294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4"/>
      <c r="U120" s="27" t="s">
        <v>29</v>
      </c>
      <c r="V120" s="189"/>
      <c r="W120" s="56"/>
      <c r="X120" s="190">
        <v>39.017923000000003</v>
      </c>
      <c r="Y120" s="190">
        <v>42.191395999999997</v>
      </c>
      <c r="Z120" s="190">
        <v>0.98934683000000001</v>
      </c>
      <c r="AA120" s="62">
        <v>0.99348672000000005</v>
      </c>
      <c r="AB120" s="62">
        <v>1.9957579999999999E-2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4"/>
      <c r="AM120" s="87">
        <f t="shared" si="14"/>
        <v>2.1189239999999998</v>
      </c>
      <c r="AN120" s="122">
        <f t="shared" si="15"/>
        <v>1.3363340000000008</v>
      </c>
      <c r="AO120" s="122">
        <f t="shared" si="16"/>
        <v>2.9109000000004936E-4</v>
      </c>
      <c r="AP120" s="122">
        <f t="shared" si="17"/>
        <v>4.3437000000001724E-4</v>
      </c>
      <c r="AQ120" s="88">
        <f t="shared" si="18"/>
        <v>-7.053557000000002E-3</v>
      </c>
      <c r="AR120" s="37"/>
      <c r="AS120" s="238"/>
      <c r="AT120" s="37"/>
    </row>
    <row r="121" spans="2:46" ht="13.5" customHeight="1" x14ac:dyDescent="0.15">
      <c r="B121" s="294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4"/>
      <c r="U121" s="27" t="s">
        <v>31</v>
      </c>
      <c r="V121" s="189"/>
      <c r="W121" s="56"/>
      <c r="X121" s="190">
        <v>43.126368999999997</v>
      </c>
      <c r="Y121" s="190">
        <v>46.071362000000001</v>
      </c>
      <c r="Z121" s="190">
        <v>0.99379782000000005</v>
      </c>
      <c r="AA121" s="62">
        <v>0.99676469999999995</v>
      </c>
      <c r="AB121" s="62">
        <v>9.4097850000000004E-3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4"/>
      <c r="AM121" s="87">
        <f t="shared" si="14"/>
        <v>3.2876259999999959</v>
      </c>
      <c r="AN121" s="122">
        <f t="shared" si="15"/>
        <v>2.0936859999999982</v>
      </c>
      <c r="AO121" s="122">
        <f t="shared" si="16"/>
        <v>3.2749000000009687E-4</v>
      </c>
      <c r="AP121" s="122">
        <f t="shared" si="17"/>
        <v>6.3371999999994877E-4</v>
      </c>
      <c r="AQ121" s="88">
        <f t="shared" si="18"/>
        <v>-5.3334000000000003E-3</v>
      </c>
      <c r="AR121" s="37"/>
      <c r="AS121" s="238"/>
      <c r="AT121" s="37"/>
    </row>
    <row r="122" spans="2:46" ht="13.5" customHeight="1" thickBot="1" x14ac:dyDescent="0.2">
      <c r="B122" s="295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5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5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93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93" t="s">
        <v>83</v>
      </c>
      <c r="U123" s="25" t="s">
        <v>27</v>
      </c>
      <c r="V123" s="39"/>
      <c r="W123" s="55"/>
      <c r="X123" s="97">
        <v>32.532648000000002</v>
      </c>
      <c r="Y123" s="97">
        <v>36.326456</v>
      </c>
      <c r="Z123" s="97">
        <v>0.97179324</v>
      </c>
      <c r="AA123" s="60">
        <v>0.97982384</v>
      </c>
      <c r="AB123" s="60">
        <v>5.3108163E-2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93" t="s">
        <v>83</v>
      </c>
      <c r="AM123" s="120">
        <f t="shared" si="14"/>
        <v>0.5026590000000013</v>
      </c>
      <c r="AN123" s="96">
        <f t="shared" si="15"/>
        <v>0.71140199999999965</v>
      </c>
      <c r="AO123" s="96">
        <f t="shared" si="16"/>
        <v>1.8105999999995515E-4</v>
      </c>
      <c r="AP123" s="96">
        <f t="shared" si="17"/>
        <v>4.880699999999516E-4</v>
      </c>
      <c r="AQ123" s="121">
        <f t="shared" si="18"/>
        <v>-5.4745009999999997E-3</v>
      </c>
      <c r="AR123" s="37"/>
      <c r="AS123" s="238"/>
      <c r="AT123" s="37"/>
    </row>
    <row r="124" spans="2:46" ht="13.5" customHeight="1" x14ac:dyDescent="0.15">
      <c r="B124" s="294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4"/>
      <c r="U124" s="27" t="s">
        <v>28</v>
      </c>
      <c r="V124" s="189"/>
      <c r="W124" s="56"/>
      <c r="X124" s="190">
        <v>34.953690999999999</v>
      </c>
      <c r="Y124" s="190">
        <v>38.354761000000003</v>
      </c>
      <c r="Z124" s="190">
        <v>0.98156785999999996</v>
      </c>
      <c r="AA124" s="62">
        <v>0.98737012000000002</v>
      </c>
      <c r="AB124" s="62">
        <v>3.5602032999999998E-2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4"/>
      <c r="AM124" s="87">
        <f t="shared" si="14"/>
        <v>0.6441250000000025</v>
      </c>
      <c r="AN124" s="122">
        <f t="shared" si="15"/>
        <v>0.69288500000000397</v>
      </c>
      <c r="AO124" s="122">
        <f t="shared" si="16"/>
        <v>4.6349999999972802E-5</v>
      </c>
      <c r="AP124" s="122">
        <f t="shared" si="17"/>
        <v>1.7328000000005339E-4</v>
      </c>
      <c r="AQ124" s="88">
        <f t="shared" si="18"/>
        <v>-5.8371499999999993E-3</v>
      </c>
      <c r="AR124" s="37"/>
      <c r="AS124" s="238"/>
      <c r="AT124" s="37"/>
    </row>
    <row r="125" spans="2:46" ht="13.5" customHeight="1" x14ac:dyDescent="0.15">
      <c r="B125" s="294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4"/>
      <c r="U125" s="27" t="s">
        <v>29</v>
      </c>
      <c r="V125" s="189"/>
      <c r="W125" s="56"/>
      <c r="X125" s="190">
        <v>39.049674000000003</v>
      </c>
      <c r="Y125" s="190">
        <v>42.189518999999997</v>
      </c>
      <c r="Z125" s="190">
        <v>0.98950800999999999</v>
      </c>
      <c r="AA125" s="62">
        <v>0.99350137000000005</v>
      </c>
      <c r="AB125" s="62">
        <v>2.0185418E-2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4"/>
      <c r="AM125" s="87">
        <f t="shared" si="14"/>
        <v>1.6166550000000015</v>
      </c>
      <c r="AN125" s="122">
        <f t="shared" si="15"/>
        <v>0.99773799999999824</v>
      </c>
      <c r="AO125" s="122">
        <f t="shared" si="16"/>
        <v>2.7940000000004073E-4</v>
      </c>
      <c r="AP125" s="122">
        <f t="shared" si="17"/>
        <v>3.9854000000005829E-4</v>
      </c>
      <c r="AQ125" s="88">
        <f t="shared" si="18"/>
        <v>-5.5540879999999987E-3</v>
      </c>
      <c r="AR125" s="37"/>
      <c r="AS125" s="238"/>
      <c r="AT125" s="37"/>
    </row>
    <row r="126" spans="2:46" ht="13.5" customHeight="1" x14ac:dyDescent="0.15">
      <c r="B126" s="294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4"/>
      <c r="U126" s="27" t="s">
        <v>31</v>
      </c>
      <c r="V126" s="189"/>
      <c r="W126" s="56"/>
      <c r="X126" s="190">
        <v>43.273775000000001</v>
      </c>
      <c r="Y126" s="190">
        <v>46.196212000000003</v>
      </c>
      <c r="Z126" s="190">
        <v>0.99389483999999995</v>
      </c>
      <c r="AA126" s="62">
        <v>0.99679803</v>
      </c>
      <c r="AB126" s="62">
        <v>9.3849859999999997E-3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4"/>
      <c r="AM126" s="87">
        <f t="shared" si="14"/>
        <v>2.8328759999999988</v>
      </c>
      <c r="AN126" s="122">
        <f t="shared" si="15"/>
        <v>1.7668180000000007</v>
      </c>
      <c r="AO126" s="122">
        <f t="shared" si="16"/>
        <v>3.0730999999994957E-4</v>
      </c>
      <c r="AP126" s="122">
        <f t="shared" si="17"/>
        <v>6.515900000000352E-4</v>
      </c>
      <c r="AQ126" s="88">
        <f t="shared" si="18"/>
        <v>-4.4443234999999998E-3</v>
      </c>
      <c r="AR126" s="37"/>
      <c r="AS126" s="238"/>
      <c r="AT126" s="37"/>
    </row>
    <row r="127" spans="2:46" ht="13.5" customHeight="1" thickBot="1" x14ac:dyDescent="0.2">
      <c r="B127" s="295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5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5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93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93" t="s">
        <v>84</v>
      </c>
      <c r="U128" s="25" t="s">
        <v>27</v>
      </c>
      <c r="V128" s="39"/>
      <c r="W128" s="55"/>
      <c r="X128" s="97">
        <v>32.531827</v>
      </c>
      <c r="Y128" s="97">
        <v>36.323331000000003</v>
      </c>
      <c r="Z128" s="97">
        <v>0.97216009999999997</v>
      </c>
      <c r="AA128" s="60">
        <v>0.98016601000000003</v>
      </c>
      <c r="AB128" s="60">
        <v>5.4313496000000003E-2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93" t="s">
        <v>84</v>
      </c>
      <c r="AM128" s="120">
        <f t="shared" si="14"/>
        <v>0.50341099999999983</v>
      </c>
      <c r="AN128" s="96">
        <f t="shared" si="15"/>
        <v>0.53787600000000424</v>
      </c>
      <c r="AO128" s="96">
        <f t="shared" si="16"/>
        <v>1.414199999999477E-4</v>
      </c>
      <c r="AP128" s="96">
        <f t="shared" si="17"/>
        <v>8.0648000000005382E-4</v>
      </c>
      <c r="AQ128" s="121">
        <f t="shared" si="18"/>
        <v>-3.9770299999999995E-3</v>
      </c>
      <c r="AR128" s="37"/>
      <c r="AS128" s="238"/>
      <c r="AT128" s="37"/>
    </row>
    <row r="129" spans="2:46" ht="13.5" customHeight="1" x14ac:dyDescent="0.15">
      <c r="B129" s="294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4"/>
      <c r="U129" s="27" t="s">
        <v>28</v>
      </c>
      <c r="V129" s="189"/>
      <c r="W129" s="56"/>
      <c r="X129" s="190">
        <v>34.912374999999997</v>
      </c>
      <c r="Y129" s="190">
        <v>38.321055000000001</v>
      </c>
      <c r="Z129" s="190">
        <v>0.98189910999999996</v>
      </c>
      <c r="AA129" s="62">
        <v>0.98746405000000004</v>
      </c>
      <c r="AB129" s="62">
        <v>3.6884225999999999E-2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4"/>
      <c r="AM129" s="87">
        <f t="shared" si="14"/>
        <v>0.76323599999999914</v>
      </c>
      <c r="AN129" s="122">
        <f t="shared" si="15"/>
        <v>0.51958199999999977</v>
      </c>
      <c r="AO129" s="122">
        <f t="shared" si="16"/>
        <v>1.4490999999994258E-4</v>
      </c>
      <c r="AP129" s="122">
        <f t="shared" si="17"/>
        <v>5.4993000000003178E-4</v>
      </c>
      <c r="AQ129" s="88">
        <f t="shared" si="18"/>
        <v>-4.5498159999999982E-3</v>
      </c>
      <c r="AR129" s="37"/>
      <c r="AS129" s="238"/>
      <c r="AT129" s="37"/>
    </row>
    <row r="130" spans="2:46" ht="13.5" customHeight="1" x14ac:dyDescent="0.15">
      <c r="B130" s="294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4"/>
      <c r="U130" s="27" t="s">
        <v>29</v>
      </c>
      <c r="V130" s="189"/>
      <c r="W130" s="56"/>
      <c r="X130" s="190">
        <v>38.719124999999998</v>
      </c>
      <c r="Y130" s="190">
        <v>41.956381999999998</v>
      </c>
      <c r="Z130" s="190">
        <v>0.98975279999999999</v>
      </c>
      <c r="AA130" s="62">
        <v>0.99352538000000001</v>
      </c>
      <c r="AB130" s="62">
        <v>2.0752250999999999E-2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4"/>
      <c r="AM130" s="87">
        <f t="shared" si="14"/>
        <v>1.2939900000000009</v>
      </c>
      <c r="AN130" s="122">
        <f t="shared" si="15"/>
        <v>0.8125220000000013</v>
      </c>
      <c r="AO130" s="122">
        <f t="shared" si="16"/>
        <v>2.4334999999997553E-4</v>
      </c>
      <c r="AP130" s="122">
        <f t="shared" si="17"/>
        <v>3.9352000000003606E-4</v>
      </c>
      <c r="AQ130" s="88">
        <f t="shared" si="18"/>
        <v>-4.0044340000000012E-3</v>
      </c>
      <c r="AR130" s="37"/>
      <c r="AS130" s="238"/>
      <c r="AT130" s="37"/>
    </row>
    <row r="131" spans="2:46" ht="13.5" customHeight="1" x14ac:dyDescent="0.15">
      <c r="B131" s="294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4"/>
      <c r="U131" s="27" t="s">
        <v>31</v>
      </c>
      <c r="V131" s="189"/>
      <c r="W131" s="56"/>
      <c r="X131" s="190">
        <v>43.368935999999998</v>
      </c>
      <c r="Y131" s="190">
        <v>46.332732</v>
      </c>
      <c r="Z131" s="190">
        <v>0.99402575999999998</v>
      </c>
      <c r="AA131" s="62">
        <v>0.99687747999999998</v>
      </c>
      <c r="AB131" s="62">
        <v>9.4282010000000006E-3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4"/>
      <c r="AM131" s="87">
        <f t="shared" si="14"/>
        <v>2.3668130000000005</v>
      </c>
      <c r="AN131" s="122">
        <f t="shared" si="15"/>
        <v>1.4708660000000009</v>
      </c>
      <c r="AO131" s="122">
        <f t="shared" si="16"/>
        <v>2.648899999999621E-4</v>
      </c>
      <c r="AP131" s="122">
        <f t="shared" si="17"/>
        <v>5.5282000000000941E-4</v>
      </c>
      <c r="AQ131" s="88">
        <f t="shared" si="18"/>
        <v>-3.3846829999999994E-3</v>
      </c>
      <c r="AR131" s="37"/>
      <c r="AS131" s="238"/>
      <c r="AT131" s="37"/>
    </row>
    <row r="132" spans="2:46" ht="13.5" customHeight="1" thickBot="1" x14ac:dyDescent="0.2">
      <c r="B132" s="295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5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5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93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93" t="s">
        <v>85</v>
      </c>
      <c r="U133" s="25" t="s">
        <v>27</v>
      </c>
      <c r="V133" s="39"/>
      <c r="W133" s="55"/>
      <c r="X133" s="97">
        <v>32.284350000000003</v>
      </c>
      <c r="Y133" s="97">
        <v>36.461599</v>
      </c>
      <c r="Z133" s="97">
        <v>0.97141502000000002</v>
      </c>
      <c r="AA133" s="60">
        <v>0.97963633000000006</v>
      </c>
      <c r="AB133" s="60">
        <v>5.7938407999999997E-2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93" t="s">
        <v>85</v>
      </c>
      <c r="AM133" s="120">
        <f t="shared" si="14"/>
        <v>0.10929800000000256</v>
      </c>
      <c r="AN133" s="96">
        <f t="shared" si="15"/>
        <v>0.37126500000000107</v>
      </c>
      <c r="AO133" s="96">
        <f t="shared" si="16"/>
        <v>9.884800000000693E-4</v>
      </c>
      <c r="AP133" s="96">
        <f t="shared" si="17"/>
        <v>1.0582900000000173E-3</v>
      </c>
      <c r="AQ133" s="121">
        <f t="shared" si="18"/>
        <v>-1.151492000000004E-3</v>
      </c>
      <c r="AR133" s="37"/>
      <c r="AS133" s="238"/>
      <c r="AT133" s="37"/>
    </row>
    <row r="134" spans="2:46" ht="13.5" customHeight="1" x14ac:dyDescent="0.15">
      <c r="B134" s="294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4"/>
      <c r="U134" s="27" t="s">
        <v>28</v>
      </c>
      <c r="V134" s="189"/>
      <c r="W134" s="56"/>
      <c r="X134" s="190">
        <v>34.950575000000001</v>
      </c>
      <c r="Y134" s="190">
        <v>38.516461</v>
      </c>
      <c r="Z134" s="190">
        <v>0.98177579999999998</v>
      </c>
      <c r="AA134" s="62">
        <v>0.98722346999999999</v>
      </c>
      <c r="AB134" s="62">
        <v>3.8790286E-2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4"/>
      <c r="AM134" s="87">
        <f t="shared" si="14"/>
        <v>0.45185099999999778</v>
      </c>
      <c r="AN134" s="122">
        <f t="shared" si="15"/>
        <v>0.37787900000000008</v>
      </c>
      <c r="AO134" s="122">
        <f t="shared" si="16"/>
        <v>2.9501999999992368E-4</v>
      </c>
      <c r="AP134" s="122">
        <f t="shared" si="17"/>
        <v>5.5523999999995688E-4</v>
      </c>
      <c r="AQ134" s="88">
        <f t="shared" si="18"/>
        <v>-1.300825999999998E-3</v>
      </c>
      <c r="AR134" s="37"/>
      <c r="AS134" s="238"/>
      <c r="AT134" s="37"/>
    </row>
    <row r="135" spans="2:46" ht="13.5" customHeight="1" x14ac:dyDescent="0.15">
      <c r="B135" s="294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4"/>
      <c r="U135" s="27" t="s">
        <v>29</v>
      </c>
      <c r="V135" s="189"/>
      <c r="W135" s="56"/>
      <c r="X135" s="190">
        <v>38.911648</v>
      </c>
      <c r="Y135" s="190">
        <v>42.043608999999996</v>
      </c>
      <c r="Z135" s="190">
        <v>0.98988915</v>
      </c>
      <c r="AA135" s="62">
        <v>0.99350762999999997</v>
      </c>
      <c r="AB135" s="62">
        <v>2.1756886999999999E-2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4"/>
      <c r="AM135" s="87">
        <f t="shared" si="14"/>
        <v>1.0762590000000003</v>
      </c>
      <c r="AN135" s="122">
        <f t="shared" si="15"/>
        <v>0.66685299999999614</v>
      </c>
      <c r="AO135" s="122">
        <f t="shared" si="16"/>
        <v>1.3662999999997094E-4</v>
      </c>
      <c r="AP135" s="122">
        <f t="shared" si="17"/>
        <v>2.7485999999998789E-4</v>
      </c>
      <c r="AQ135" s="88">
        <f t="shared" si="18"/>
        <v>-2.6500880000000018E-3</v>
      </c>
      <c r="AR135" s="37"/>
      <c r="AS135" s="238"/>
      <c r="AT135" s="37"/>
    </row>
    <row r="136" spans="2:46" ht="13.5" customHeight="1" x14ac:dyDescent="0.15">
      <c r="B136" s="294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4"/>
      <c r="U136" s="27" t="s">
        <v>31</v>
      </c>
      <c r="V136" s="189"/>
      <c r="W136" s="56"/>
      <c r="X136" s="190">
        <v>43.412968999999997</v>
      </c>
      <c r="Y136" s="190">
        <v>46.321446999999999</v>
      </c>
      <c r="Z136" s="190">
        <v>0.99402911000000005</v>
      </c>
      <c r="AA136" s="62">
        <v>0.99683334000000001</v>
      </c>
      <c r="AB136" s="62">
        <v>1.0081125999999999E-2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4"/>
      <c r="AM136" s="87">
        <f t="shared" si="14"/>
        <v>1.8179199999999938</v>
      </c>
      <c r="AN136" s="122">
        <f t="shared" si="15"/>
        <v>1.1397460000000024</v>
      </c>
      <c r="AO136" s="122">
        <f t="shared" si="16"/>
        <v>2.0980000000003773E-4</v>
      </c>
      <c r="AP136" s="122">
        <f t="shared" si="17"/>
        <v>4.9496999999998348E-4</v>
      </c>
      <c r="AQ136" s="88">
        <f t="shared" si="18"/>
        <v>-2.5359200000000005E-3</v>
      </c>
      <c r="AR136" s="37"/>
      <c r="AS136" s="238"/>
      <c r="AT136" s="37"/>
    </row>
    <row r="137" spans="2:46" ht="13.5" customHeight="1" thickBot="1" x14ac:dyDescent="0.2">
      <c r="B137" s="295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5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5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93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93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93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4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4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4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4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4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4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4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4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4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5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5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5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93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93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93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4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4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4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4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4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4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4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4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4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5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5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5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93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93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93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4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4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4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4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4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4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4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4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4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5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5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5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93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93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93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4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4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4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4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4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4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4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4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4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5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5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5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93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93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93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4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4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4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4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4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4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4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4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4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5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5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5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93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93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93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4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4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4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4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4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4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4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4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4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5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5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5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93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93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93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4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4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4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4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4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4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4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4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4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5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5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5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93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93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93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4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4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4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4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4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4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4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4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4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5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5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5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93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93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93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4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4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4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4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4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4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4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4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4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5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5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5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93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93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93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4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4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4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4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4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4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4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4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4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5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5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5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93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93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93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4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4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4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4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4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4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4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4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4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5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5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5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93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93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93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4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4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4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4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4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4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4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4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4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5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5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5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93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93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93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4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4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4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4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4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4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4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4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4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5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5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5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93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93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93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4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4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4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4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4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4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4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4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4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5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5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5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93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93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93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4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4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4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4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4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4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4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4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4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5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5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5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93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93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93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4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4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4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4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4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4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4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4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4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5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5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5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93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93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93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4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4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4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4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4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4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4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4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4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5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5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5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93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93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93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4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4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4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4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4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4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4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4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4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5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5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5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93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93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93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4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4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4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4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4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4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4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4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4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5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5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5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93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93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93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4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4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4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4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4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4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4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4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4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5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5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5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93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93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93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4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4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4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4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4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4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4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4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4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5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5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5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93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93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93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4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4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4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4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4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4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4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4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4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5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5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5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93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93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93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4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4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4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4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4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4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4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4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4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5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5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5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93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93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93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4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4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4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4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4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4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4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4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4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5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5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5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93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93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93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4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4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4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4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4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4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4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4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4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5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5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5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93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93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93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4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4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4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4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4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4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4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4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4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5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5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5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93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93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93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4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4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4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4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4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4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4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4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4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5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5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5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93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93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93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4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4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4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4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4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4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4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4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4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5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5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5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93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93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93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4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4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4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4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4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4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4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4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4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5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5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5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93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93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93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4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4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4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4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4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4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4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4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4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5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5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5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93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93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93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4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4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4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4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4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4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4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4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4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5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5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5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93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93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93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4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4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4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4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4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4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4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4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4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5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5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5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93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93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93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4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4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4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4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4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4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4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4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4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5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5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5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93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93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93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4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4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4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4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4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4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4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4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4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5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5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5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93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93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93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4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4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4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4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4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4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4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4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4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5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5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5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93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93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93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4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4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4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4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4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4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4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4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4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5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5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5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93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93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93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4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4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4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4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4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4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4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4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4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5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5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5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93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93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93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4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4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4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4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4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4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4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4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4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5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5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5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93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93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93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4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4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4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4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4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4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4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4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4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5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5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5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93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93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93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4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4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4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4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4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4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4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4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4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5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5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5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93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93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93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4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4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4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4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4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4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4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4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4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5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5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5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93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93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93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4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4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4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4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4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4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4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4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4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5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5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5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93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93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93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4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4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4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4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4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4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4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4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4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5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5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5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93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93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93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4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4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4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4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4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4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4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4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4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5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5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5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93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93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93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4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4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4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4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4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4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4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4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4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5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5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5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93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93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93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4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4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4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4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4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4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4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4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4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5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5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5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93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93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93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4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4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4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4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4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4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4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4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4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5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5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5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93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93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93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4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4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4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4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4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4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4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4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4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5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5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5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93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93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93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4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4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4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4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4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4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4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4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4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5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5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5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93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93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93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4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4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4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4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4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4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4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4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4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5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5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5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93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93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93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4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4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4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4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4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4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4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4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4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5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5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5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93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93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93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4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4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4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4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4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4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4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4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4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5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5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5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93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93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93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4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4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4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4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4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4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4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4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4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5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5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5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93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93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93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4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4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4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4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4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4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4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4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4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5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5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5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93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93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93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4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4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4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4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4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4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4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4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4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5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5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5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93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93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93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4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4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4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4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4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4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4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4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4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5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5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5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93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93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93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4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4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4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4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4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4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4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4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4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5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5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5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93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93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93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4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4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4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4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4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4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4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4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4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5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5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5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93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93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93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4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4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4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4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4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4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4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4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4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5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5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5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93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93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93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4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4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4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4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4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4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4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4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4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5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5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5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93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93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93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4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4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4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4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4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4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4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4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4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5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5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5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93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93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93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4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4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4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4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4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4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4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4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4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5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5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5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93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93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93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4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4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4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4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4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4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4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4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4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5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5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5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93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93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93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4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4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4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4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4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4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4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4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4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5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5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5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93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93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93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4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4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4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4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4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4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4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4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4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5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5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5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93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93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93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4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4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4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4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4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4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4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4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4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5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5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5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93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93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93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4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4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4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4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4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4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4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4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4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5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5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5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93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93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93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4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4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4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4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4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4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4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4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4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5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5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5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93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93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93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4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4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4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4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4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4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4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4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4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5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5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5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93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93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93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4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4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4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4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4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4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4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4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4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5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5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5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93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93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93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4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4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4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4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4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4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4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4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4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5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5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5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93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93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93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4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4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4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4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4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4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4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4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4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5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5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5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93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93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93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4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4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4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4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4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4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4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4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4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5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5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5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93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93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93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4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4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4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4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4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4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4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4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4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5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5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5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93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93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93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4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4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4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4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4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4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4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4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4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5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5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5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93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93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93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4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4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4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4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4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4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4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4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4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5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5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5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93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93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93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4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4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4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4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4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4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4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4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4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5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5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5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93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93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93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4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4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4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4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4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4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4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4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4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5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5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5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93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93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93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4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4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4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4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4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4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4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4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4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5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5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5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93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93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93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4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4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4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4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4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4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4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4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4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5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5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5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93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93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93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4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4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4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4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4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4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4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4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4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5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5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5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93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93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93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4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4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4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4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4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4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4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4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4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5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5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5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93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93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93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4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4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4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4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4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4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4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4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4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5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5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5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93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93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93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4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4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4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4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4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4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4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4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4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5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5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5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93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93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93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4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4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4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4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4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4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4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4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4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5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5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5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93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93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93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4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4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4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4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4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4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4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4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4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5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5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5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93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93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93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4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4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4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4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4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4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4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4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4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5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5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5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93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93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93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4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4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4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4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4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4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4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4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4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5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5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5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93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93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93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4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4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4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4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4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4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4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4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4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5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5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5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93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93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93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4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4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4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4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4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4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4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4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4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5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5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5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93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93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93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4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4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4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4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4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4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4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4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4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5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5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5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93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93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93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4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4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4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4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4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4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4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4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4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5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5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5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93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93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93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4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4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4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4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4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4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4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4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4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5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5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5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93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93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93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4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4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4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4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4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4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4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4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4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5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5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5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93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93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93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4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4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4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4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4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4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4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4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4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5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5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5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93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93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93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4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4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4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4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4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4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4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4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4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5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5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5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93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93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93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4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4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4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4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4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4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4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4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4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5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5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5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93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93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93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4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4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4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4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4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4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4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4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4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5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5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5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93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93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93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4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4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4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4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4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4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4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4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4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5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5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5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93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93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93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4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4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4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4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4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4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4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4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4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5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5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5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93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93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28.124780999999999</v>
      </c>
      <c r="Y641" s="136">
        <f t="shared" si="60"/>
        <v>32.039876999999997</v>
      </c>
      <c r="Z641" s="136">
        <f t="shared" si="60"/>
        <v>0.95981366999999995</v>
      </c>
      <c r="AA641" s="136">
        <f t="shared" si="60"/>
        <v>0.96705562</v>
      </c>
      <c r="AB641" s="136">
        <f t="shared" si="60"/>
        <v>5.2348397999999997E-2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4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4"/>
      <c r="U642" s="27" t="s">
        <v>28</v>
      </c>
      <c r="V642" s="108"/>
      <c r="W642" s="268"/>
      <c r="X642" s="18">
        <f t="shared" si="60"/>
        <v>31.833942</v>
      </c>
      <c r="Y642" s="18">
        <f t="shared" si="60"/>
        <v>34.939369999999997</v>
      </c>
      <c r="Z642" s="18">
        <f t="shared" si="60"/>
        <v>0.97702997000000003</v>
      </c>
      <c r="AA642" s="18">
        <f t="shared" si="60"/>
        <v>0.98140746999999995</v>
      </c>
      <c r="AB642" s="18">
        <f t="shared" si="60"/>
        <v>3.3258320000000001E-2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4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4"/>
      <c r="U643" s="27" t="s">
        <v>29</v>
      </c>
      <c r="V643" s="108"/>
      <c r="W643" s="268"/>
      <c r="X643" s="18">
        <f t="shared" si="60"/>
        <v>37.194898999999999</v>
      </c>
      <c r="Y643" s="18">
        <f t="shared" si="60"/>
        <v>40.607374999999998</v>
      </c>
      <c r="Z643" s="18">
        <f t="shared" si="60"/>
        <v>0.98821068000000001</v>
      </c>
      <c r="AA643" s="18">
        <f t="shared" si="60"/>
        <v>0.99172017999999995</v>
      </c>
      <c r="AB643" s="18">
        <f t="shared" si="60"/>
        <v>1.7953005000000001E-2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4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4"/>
      <c r="U644" s="27" t="s">
        <v>31</v>
      </c>
      <c r="V644" s="108"/>
      <c r="W644" s="268"/>
      <c r="X644" s="18">
        <f t="shared" si="60"/>
        <v>41.548136999999997</v>
      </c>
      <c r="Y644" s="18">
        <f t="shared" si="60"/>
        <v>44.701478999999999</v>
      </c>
      <c r="Z644" s="18">
        <f t="shared" si="60"/>
        <v>0.99359560000000002</v>
      </c>
      <c r="AA644" s="18">
        <f t="shared" si="60"/>
        <v>0.99607813000000001</v>
      </c>
      <c r="AB644" s="18">
        <f t="shared" si="60"/>
        <v>8.0860310000000005E-3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5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5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30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30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32.532648000000002</v>
      </c>
      <c r="Y646" s="136">
        <f t="shared" si="62"/>
        <v>36.461599</v>
      </c>
      <c r="Z646" s="136">
        <f t="shared" si="62"/>
        <v>0.97216009999999997</v>
      </c>
      <c r="AA646" s="136">
        <f t="shared" si="62"/>
        <v>0.98054282000000004</v>
      </c>
      <c r="AB646" s="136">
        <f t="shared" si="62"/>
        <v>6.4631850000000005E-2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4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4"/>
      <c r="U647" s="27" t="s">
        <v>28</v>
      </c>
      <c r="V647" s="108"/>
      <c r="W647" s="268"/>
      <c r="X647" s="18">
        <f t="shared" si="62"/>
        <v>35.155107000000001</v>
      </c>
      <c r="Y647" s="18">
        <f t="shared" si="62"/>
        <v>38.516461</v>
      </c>
      <c r="Z647" s="18">
        <f t="shared" si="62"/>
        <v>0.98189910999999996</v>
      </c>
      <c r="AA647" s="18">
        <f t="shared" si="62"/>
        <v>0.98767267999999997</v>
      </c>
      <c r="AB647" s="18">
        <f t="shared" si="62"/>
        <v>4.340894E-2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4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4"/>
      <c r="U648" s="27" t="s">
        <v>29</v>
      </c>
      <c r="V648" s="108"/>
      <c r="W648" s="268"/>
      <c r="X648" s="18">
        <f t="shared" si="62"/>
        <v>39.049674000000003</v>
      </c>
      <c r="Y648" s="18">
        <f t="shared" si="62"/>
        <v>42.191395999999997</v>
      </c>
      <c r="Z648" s="18">
        <f t="shared" si="62"/>
        <v>0.98988915</v>
      </c>
      <c r="AA648" s="18">
        <f t="shared" si="62"/>
        <v>0.99352538000000001</v>
      </c>
      <c r="AB648" s="18">
        <f t="shared" si="62"/>
        <v>2.3671850000000001E-2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4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4"/>
      <c r="U649" s="27" t="s">
        <v>31</v>
      </c>
      <c r="V649" s="108"/>
      <c r="W649" s="268"/>
      <c r="X649" s="18">
        <f t="shared" si="62"/>
        <v>43.412968999999997</v>
      </c>
      <c r="Y649" s="18">
        <f t="shared" si="62"/>
        <v>46.332732</v>
      </c>
      <c r="Z649" s="18">
        <f t="shared" si="62"/>
        <v>0.99402911000000005</v>
      </c>
      <c r="AA649" s="18">
        <f t="shared" si="62"/>
        <v>0.99687747999999998</v>
      </c>
      <c r="AB649" s="18">
        <f t="shared" si="62"/>
        <v>1.0081125999999999E-2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5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5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3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3" t="s">
        <v>188</v>
      </c>
      <c r="U651" s="25" t="s">
        <v>27</v>
      </c>
      <c r="V651" s="107"/>
      <c r="W651" s="266"/>
      <c r="X651" s="136">
        <f t="shared" ref="X651:AB654" si="64">X646-X641</f>
        <v>4.4078670000000031</v>
      </c>
      <c r="Y651" s="136">
        <f t="shared" si="64"/>
        <v>4.4217220000000026</v>
      </c>
      <c r="Z651" s="136">
        <f t="shared" si="64"/>
        <v>1.2346430000000019E-2</v>
      </c>
      <c r="AA651" s="136">
        <f t="shared" si="64"/>
        <v>1.3487200000000032E-2</v>
      </c>
      <c r="AB651" s="136">
        <f t="shared" si="64"/>
        <v>1.2283452000000007E-2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4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4"/>
      <c r="U652" s="27" t="s">
        <v>28</v>
      </c>
      <c r="V652" s="108"/>
      <c r="W652" s="268"/>
      <c r="X652" s="18">
        <f t="shared" si="64"/>
        <v>3.3211650000000006</v>
      </c>
      <c r="Y652" s="18">
        <f t="shared" si="64"/>
        <v>3.5770910000000029</v>
      </c>
      <c r="Z652" s="18">
        <f t="shared" si="64"/>
        <v>4.8691399999999385E-3</v>
      </c>
      <c r="AA652" s="18">
        <f t="shared" si="64"/>
        <v>6.265210000000021E-3</v>
      </c>
      <c r="AB652" s="18">
        <f t="shared" si="64"/>
        <v>1.0150619999999999E-2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4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4"/>
      <c r="U653" s="27" t="s">
        <v>29</v>
      </c>
      <c r="V653" s="108"/>
      <c r="W653" s="268"/>
      <c r="X653" s="18">
        <f t="shared" si="64"/>
        <v>1.8547750000000036</v>
      </c>
      <c r="Y653" s="18">
        <f t="shared" si="64"/>
        <v>1.5840209999999999</v>
      </c>
      <c r="Z653" s="18">
        <f t="shared" si="64"/>
        <v>1.6784699999999875E-3</v>
      </c>
      <c r="AA653" s="18">
        <f t="shared" si="64"/>
        <v>1.8052000000000623E-3</v>
      </c>
      <c r="AB653" s="18">
        <f t="shared" si="64"/>
        <v>5.7188450000000002E-3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4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4"/>
      <c r="U654" s="27" t="s">
        <v>31</v>
      </c>
      <c r="V654" s="108"/>
      <c r="W654" s="268"/>
      <c r="X654" s="18">
        <f t="shared" si="64"/>
        <v>1.8648319999999998</v>
      </c>
      <c r="Y654" s="18">
        <f t="shared" si="64"/>
        <v>1.631253000000001</v>
      </c>
      <c r="Z654" s="18">
        <f t="shared" si="64"/>
        <v>4.3351000000002582E-4</v>
      </c>
      <c r="AA654" s="18">
        <f t="shared" si="64"/>
        <v>7.9934999999997647E-4</v>
      </c>
      <c r="AB654" s="18">
        <f t="shared" si="64"/>
        <v>1.9950949999999988E-3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5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5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301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0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0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0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0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301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0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0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0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0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301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0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0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0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0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B78:B8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2025-06-25T10:49:29Z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