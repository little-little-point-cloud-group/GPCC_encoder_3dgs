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C5BFFAF8-09E6-43B4-87FD-7DA6EFBA9724}" xr6:coauthVersionLast="47" xr6:coauthVersionMax="47" xr10:uidLastSave="{00000000-0000-0000-0000-000000000000}"/>
  <bookViews>
    <workbookView xWindow="-108" yWindow="-108" windowWidth="30936" windowHeight="16776" firstSheet="1" activeTab="9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0" l="1"/>
  <c r="G654" i="10"/>
  <c r="F654" i="10"/>
  <c r="AB653" i="10"/>
  <c r="I653" i="10"/>
  <c r="G653" i="10"/>
  <c r="F653" i="10"/>
  <c r="H652" i="10"/>
  <c r="Y651" i="10"/>
  <c r="I651" i="10"/>
  <c r="H651" i="10"/>
  <c r="G651" i="10"/>
  <c r="AB649" i="10"/>
  <c r="AB654" i="10" s="1"/>
  <c r="AA649" i="10"/>
  <c r="AA654" i="10" s="1"/>
  <c r="Z649" i="10"/>
  <c r="Z654" i="10" s="1"/>
  <c r="Y649" i="10"/>
  <c r="Y654" i="10" s="1"/>
  <c r="X649" i="10"/>
  <c r="X654" i="10" s="1"/>
  <c r="J649" i="10"/>
  <c r="I649" i="10"/>
  <c r="I654" i="10" s="1"/>
  <c r="H649" i="10"/>
  <c r="H654" i="10" s="1"/>
  <c r="G649" i="10"/>
  <c r="F649" i="10"/>
  <c r="AB648" i="10"/>
  <c r="AA648" i="10"/>
  <c r="AA653" i="10" s="1"/>
  <c r="Z648" i="10"/>
  <c r="Y648" i="10"/>
  <c r="X648" i="10"/>
  <c r="X653" i="10" s="1"/>
  <c r="J648" i="10"/>
  <c r="J653" i="10" s="1"/>
  <c r="I648" i="10"/>
  <c r="H648" i="10"/>
  <c r="H653" i="10" s="1"/>
  <c r="G648" i="10"/>
  <c r="F648" i="10"/>
  <c r="AB647" i="10"/>
  <c r="AA647" i="10"/>
  <c r="AA652" i="10" s="1"/>
  <c r="Z647" i="10"/>
  <c r="Y647" i="10"/>
  <c r="X647" i="10"/>
  <c r="X652" i="10" s="1"/>
  <c r="J647" i="10"/>
  <c r="J652" i="10" s="1"/>
  <c r="I647" i="10"/>
  <c r="I652" i="10" s="1"/>
  <c r="H647" i="10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X646" i="10"/>
  <c r="X651" i="10" s="1"/>
  <c r="J646" i="10"/>
  <c r="J651" i="10" s="1"/>
  <c r="I646" i="10"/>
  <c r="H646" i="10"/>
  <c r="G646" i="10"/>
  <c r="F646" i="10"/>
  <c r="F651" i="10" s="1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Z653" i="10" s="1"/>
  <c r="Y643" i="10"/>
  <c r="Y653" i="10" s="1"/>
  <c r="X643" i="10"/>
  <c r="J643" i="10"/>
  <c r="I643" i="10"/>
  <c r="H643" i="10"/>
  <c r="G643" i="10"/>
  <c r="F643" i="10"/>
  <c r="AB642" i="10"/>
  <c r="AB652" i="10" s="1"/>
  <c r="AA642" i="10"/>
  <c r="Z642" i="10"/>
  <c r="Z652" i="10" s="1"/>
  <c r="Y642" i="10"/>
  <c r="Y652" i="10" s="1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E7" i="10" s="1"/>
  <c r="W24" i="10"/>
  <c r="E24" i="10"/>
  <c r="W23" i="10"/>
  <c r="E23" i="10"/>
  <c r="U13" i="10"/>
  <c r="C13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P10" i="10" s="1"/>
  <c r="J7" i="10"/>
  <c r="I7" i="10"/>
  <c r="H7" i="10"/>
  <c r="G7" i="10"/>
  <c r="F7" i="10"/>
  <c r="AJ6" i="10"/>
  <c r="AI6" i="10"/>
  <c r="AH6" i="10"/>
  <c r="AH10" i="10" s="1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Q5" i="10"/>
  <c r="AP5" i="10"/>
  <c r="AO5" i="10"/>
  <c r="AN5" i="10"/>
  <c r="AM5" i="10"/>
  <c r="AJ5" i="10"/>
  <c r="AJ10" i="10" s="1"/>
  <c r="AI5" i="10"/>
  <c r="AH5" i="10"/>
  <c r="AB5" i="10"/>
  <c r="AA5" i="10"/>
  <c r="Z5" i="10"/>
  <c r="Y5" i="10"/>
  <c r="X5" i="10"/>
  <c r="W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AB654" i="9"/>
  <c r="X654" i="9"/>
  <c r="Z653" i="9"/>
  <c r="Y653" i="9"/>
  <c r="X653" i="9"/>
  <c r="J653" i="9"/>
  <c r="AA652" i="9"/>
  <c r="H652" i="9"/>
  <c r="G652" i="9"/>
  <c r="Z651" i="9"/>
  <c r="X651" i="9"/>
  <c r="AB649" i="9"/>
  <c r="AA649" i="9"/>
  <c r="AA654" i="9" s="1"/>
  <c r="Z649" i="9"/>
  <c r="Z654" i="9" s="1"/>
  <c r="Y649" i="9"/>
  <c r="Y654" i="9" s="1"/>
  <c r="X649" i="9"/>
  <c r="J649" i="9"/>
  <c r="I649" i="9"/>
  <c r="I654" i="9" s="1"/>
  <c r="H649" i="9"/>
  <c r="G649" i="9"/>
  <c r="G654" i="9" s="1"/>
  <c r="F649" i="9"/>
  <c r="F654" i="9" s="1"/>
  <c r="AB648" i="9"/>
  <c r="AA648" i="9"/>
  <c r="AA653" i="9" s="1"/>
  <c r="Z648" i="9"/>
  <c r="Y648" i="9"/>
  <c r="X648" i="9"/>
  <c r="J648" i="9"/>
  <c r="I648" i="9"/>
  <c r="I653" i="9" s="1"/>
  <c r="H648" i="9"/>
  <c r="G648" i="9"/>
  <c r="F648" i="9"/>
  <c r="F653" i="9" s="1"/>
  <c r="AB647" i="9"/>
  <c r="AB652" i="9" s="1"/>
  <c r="AA647" i="9"/>
  <c r="Z647" i="9"/>
  <c r="Z652" i="9" s="1"/>
  <c r="Y647" i="9"/>
  <c r="Y652" i="9" s="1"/>
  <c r="X647" i="9"/>
  <c r="J647" i="9"/>
  <c r="I647" i="9"/>
  <c r="I652" i="9" s="1"/>
  <c r="H647" i="9"/>
  <c r="G647" i="9"/>
  <c r="F647" i="9"/>
  <c r="F652" i="9" s="1"/>
  <c r="AB646" i="9"/>
  <c r="AB651" i="9" s="1"/>
  <c r="AA646" i="9"/>
  <c r="AA651" i="9" s="1"/>
  <c r="Z646" i="9"/>
  <c r="Y646" i="9"/>
  <c r="X646" i="9"/>
  <c r="J646" i="9"/>
  <c r="I646" i="9"/>
  <c r="I651" i="9" s="1"/>
  <c r="H646" i="9"/>
  <c r="H651" i="9" s="1"/>
  <c r="G646" i="9"/>
  <c r="F646" i="9"/>
  <c r="F651" i="9" s="1"/>
  <c r="AB644" i="9"/>
  <c r="AA644" i="9"/>
  <c r="Z644" i="9"/>
  <c r="Y644" i="9"/>
  <c r="X644" i="9"/>
  <c r="J644" i="9"/>
  <c r="J654" i="9" s="1"/>
  <c r="I644" i="9"/>
  <c r="H644" i="9"/>
  <c r="H654" i="9" s="1"/>
  <c r="G644" i="9"/>
  <c r="F644" i="9"/>
  <c r="AB643" i="9"/>
  <c r="AB653" i="9" s="1"/>
  <c r="AA643" i="9"/>
  <c r="Z643" i="9"/>
  <c r="Y643" i="9"/>
  <c r="X643" i="9"/>
  <c r="J643" i="9"/>
  <c r="I643" i="9"/>
  <c r="H643" i="9"/>
  <c r="G643" i="9"/>
  <c r="G653" i="9" s="1"/>
  <c r="F643" i="9"/>
  <c r="AB642" i="9"/>
  <c r="AA642" i="9"/>
  <c r="Z642" i="9"/>
  <c r="Y642" i="9"/>
  <c r="X642" i="9"/>
  <c r="X652" i="9" s="1"/>
  <c r="J642" i="9"/>
  <c r="J652" i="9" s="1"/>
  <c r="I642" i="9"/>
  <c r="H642" i="9"/>
  <c r="G642" i="9"/>
  <c r="F642" i="9"/>
  <c r="AB641" i="9"/>
  <c r="AA641" i="9"/>
  <c r="Z641" i="9"/>
  <c r="Y641" i="9"/>
  <c r="Y651" i="9" s="1"/>
  <c r="X641" i="9"/>
  <c r="J641" i="9"/>
  <c r="J651" i="9" s="1"/>
  <c r="I641" i="9"/>
  <c r="H641" i="9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E25" i="9"/>
  <c r="E7" i="9" s="1"/>
  <c r="W24" i="9"/>
  <c r="E24" i="9"/>
  <c r="W23" i="9"/>
  <c r="W5" i="9" s="1"/>
  <c r="E23" i="9"/>
  <c r="U13" i="9"/>
  <c r="C13" i="9"/>
  <c r="AJ10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I10" i="9" s="1"/>
  <c r="AH6" i="9"/>
  <c r="AB6" i="9"/>
  <c r="AA6" i="9"/>
  <c r="Z6" i="9"/>
  <c r="Y6" i="9"/>
  <c r="X6" i="9"/>
  <c r="W6" i="9"/>
  <c r="R6" i="9"/>
  <c r="Q6" i="9"/>
  <c r="Q10" i="9" s="1"/>
  <c r="P6" i="9"/>
  <c r="J6" i="9"/>
  <c r="I6" i="9"/>
  <c r="H6" i="9"/>
  <c r="G6" i="9"/>
  <c r="F6" i="9"/>
  <c r="E6" i="9"/>
  <c r="AQ5" i="9"/>
  <c r="AP5" i="9"/>
  <c r="AO5" i="9"/>
  <c r="AN5" i="9"/>
  <c r="AM5" i="9"/>
  <c r="AJ5" i="9"/>
  <c r="AI5" i="9"/>
  <c r="AH5" i="9"/>
  <c r="AH10" i="9" s="1"/>
  <c r="AB5" i="9"/>
  <c r="AA5" i="9"/>
  <c r="Z5" i="9"/>
  <c r="Y5" i="9"/>
  <c r="X5" i="9"/>
  <c r="R5" i="9"/>
  <c r="Q5" i="9"/>
  <c r="P5" i="9"/>
  <c r="P10" i="9" s="1"/>
  <c r="J5" i="9"/>
  <c r="I5" i="9"/>
  <c r="H5" i="9"/>
  <c r="G5" i="9"/>
  <c r="F5" i="9"/>
  <c r="E5" i="9"/>
  <c r="AL2" i="9"/>
  <c r="U2" i="9"/>
  <c r="T2" i="9"/>
  <c r="C2" i="9"/>
  <c r="H654" i="8"/>
  <c r="G654" i="8"/>
  <c r="Z653" i="8"/>
  <c r="G653" i="8"/>
  <c r="AA652" i="8"/>
  <c r="Z652" i="8"/>
  <c r="Y652" i="8"/>
  <c r="I652" i="8"/>
  <c r="H652" i="8"/>
  <c r="Z651" i="8"/>
  <c r="J651" i="8"/>
  <c r="I651" i="8"/>
  <c r="H651" i="8"/>
  <c r="AB649" i="8"/>
  <c r="AB654" i="8" s="1"/>
  <c r="AA649" i="8"/>
  <c r="Z649" i="8"/>
  <c r="Y649" i="8"/>
  <c r="X649" i="8"/>
  <c r="J649" i="8"/>
  <c r="J654" i="8" s="1"/>
  <c r="I649" i="8"/>
  <c r="I654" i="8" s="1"/>
  <c r="H649" i="8"/>
  <c r="G649" i="8"/>
  <c r="F649" i="8"/>
  <c r="F654" i="8" s="1"/>
  <c r="AB648" i="8"/>
  <c r="AB653" i="8" s="1"/>
  <c r="AA648" i="8"/>
  <c r="Z648" i="8"/>
  <c r="Y648" i="8"/>
  <c r="Y653" i="8" s="1"/>
  <c r="X648" i="8"/>
  <c r="X653" i="8" s="1"/>
  <c r="J648" i="8"/>
  <c r="J653" i="8" s="1"/>
  <c r="I648" i="8"/>
  <c r="H648" i="8"/>
  <c r="H653" i="8" s="1"/>
  <c r="G648" i="8"/>
  <c r="F648" i="8"/>
  <c r="AB647" i="8"/>
  <c r="AB652" i="8" s="1"/>
  <c r="AA647" i="8"/>
  <c r="Z647" i="8"/>
  <c r="Y647" i="8"/>
  <c r="X647" i="8"/>
  <c r="X652" i="8" s="1"/>
  <c r="J647" i="8"/>
  <c r="J652" i="8" s="1"/>
  <c r="I647" i="8"/>
  <c r="H647" i="8"/>
  <c r="G647" i="8"/>
  <c r="G652" i="8" s="1"/>
  <c r="F647" i="8"/>
  <c r="AB646" i="8"/>
  <c r="AA646" i="8"/>
  <c r="Z646" i="8"/>
  <c r="Y646" i="8"/>
  <c r="Y651" i="8" s="1"/>
  <c r="X646" i="8"/>
  <c r="X651" i="8" s="1"/>
  <c r="J646" i="8"/>
  <c r="I646" i="8"/>
  <c r="H646" i="8"/>
  <c r="G646" i="8"/>
  <c r="G651" i="8" s="1"/>
  <c r="F646" i="8"/>
  <c r="AB644" i="8"/>
  <c r="AA644" i="8"/>
  <c r="AA654" i="8" s="1"/>
  <c r="Z644" i="8"/>
  <c r="Y644" i="8"/>
  <c r="X644" i="8"/>
  <c r="X654" i="8" s="1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F653" i="8" s="1"/>
  <c r="AB642" i="8"/>
  <c r="AA642" i="8"/>
  <c r="Z642" i="8"/>
  <c r="Y642" i="8"/>
  <c r="X642" i="8"/>
  <c r="J642" i="8"/>
  <c r="I642" i="8"/>
  <c r="H642" i="8"/>
  <c r="G642" i="8"/>
  <c r="F642" i="8"/>
  <c r="F652" i="8" s="1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E7" i="8" s="1"/>
  <c r="W24" i="8"/>
  <c r="W6" i="8" s="1"/>
  <c r="E24" i="8"/>
  <c r="E6" i="8" s="1"/>
  <c r="W23" i="8"/>
  <c r="W5" i="8" s="1"/>
  <c r="E23" i="8"/>
  <c r="U13" i="8"/>
  <c r="C13" i="8"/>
  <c r="R10" i="8"/>
  <c r="P10" i="8"/>
  <c r="AJ8" i="8"/>
  <c r="AI8" i="8"/>
  <c r="AH8" i="8"/>
  <c r="AB8" i="8"/>
  <c r="AA8" i="8"/>
  <c r="Z8" i="8"/>
  <c r="Y8" i="8"/>
  <c r="X8" i="8"/>
  <c r="R8" i="8"/>
  <c r="Q8" i="8"/>
  <c r="Q10" i="8" s="1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I10" i="8" s="1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AQ5" i="8"/>
  <c r="AP5" i="8"/>
  <c r="AO5" i="8"/>
  <c r="AN5" i="8"/>
  <c r="AM5" i="8"/>
  <c r="AJ5" i="8"/>
  <c r="AJ10" i="8" s="1"/>
  <c r="AI5" i="8"/>
  <c r="AH5" i="8"/>
  <c r="AB5" i="8"/>
  <c r="AA5" i="8"/>
  <c r="Z5" i="8"/>
  <c r="Y5" i="8"/>
  <c r="X5" i="8"/>
  <c r="R5" i="8"/>
  <c r="Q5" i="8"/>
  <c r="P5" i="8"/>
  <c r="J5" i="8"/>
  <c r="I5" i="8"/>
  <c r="H5" i="8"/>
  <c r="G5" i="8"/>
  <c r="F5" i="8"/>
  <c r="E5" i="8"/>
  <c r="AL2" i="8"/>
  <c r="U2" i="8"/>
  <c r="T2" i="8"/>
  <c r="C2" i="8"/>
  <c r="AB654" i="7"/>
  <c r="Y654" i="7"/>
  <c r="F654" i="7"/>
  <c r="Z653" i="7"/>
  <c r="X653" i="7"/>
  <c r="J653" i="7"/>
  <c r="G653" i="7"/>
  <c r="F653" i="7"/>
  <c r="AA651" i="7"/>
  <c r="X651" i="7"/>
  <c r="AB649" i="7"/>
  <c r="AA649" i="7"/>
  <c r="AA654" i="7" s="1"/>
  <c r="Z649" i="7"/>
  <c r="Z654" i="7" s="1"/>
  <c r="Y649" i="7"/>
  <c r="X649" i="7"/>
  <c r="X654" i="7" s="1"/>
  <c r="J649" i="7"/>
  <c r="J654" i="7" s="1"/>
  <c r="I649" i="7"/>
  <c r="I654" i="7" s="1"/>
  <c r="H649" i="7"/>
  <c r="H654" i="7" s="1"/>
  <c r="G649" i="7"/>
  <c r="G654" i="7" s="1"/>
  <c r="F649" i="7"/>
  <c r="AB648" i="7"/>
  <c r="AB653" i="7" s="1"/>
  <c r="AA648" i="7"/>
  <c r="AA653" i="7" s="1"/>
  <c r="Z648" i="7"/>
  <c r="Y648" i="7"/>
  <c r="X648" i="7"/>
  <c r="J648" i="7"/>
  <c r="I648" i="7"/>
  <c r="H648" i="7"/>
  <c r="G648" i="7"/>
  <c r="F648" i="7"/>
  <c r="AB647" i="7"/>
  <c r="AA647" i="7"/>
  <c r="Z647" i="7"/>
  <c r="Z652" i="7" s="1"/>
  <c r="Y647" i="7"/>
  <c r="X647" i="7"/>
  <c r="J647" i="7"/>
  <c r="J652" i="7" s="1"/>
  <c r="I647" i="7"/>
  <c r="H647" i="7"/>
  <c r="G647" i="7"/>
  <c r="G652" i="7" s="1"/>
  <c r="F647" i="7"/>
  <c r="F652" i="7" s="1"/>
  <c r="AB646" i="7"/>
  <c r="AA646" i="7"/>
  <c r="Z646" i="7"/>
  <c r="Z651" i="7" s="1"/>
  <c r="Y646" i="7"/>
  <c r="Y651" i="7" s="1"/>
  <c r="X646" i="7"/>
  <c r="J646" i="7"/>
  <c r="J651" i="7" s="1"/>
  <c r="I646" i="7"/>
  <c r="I651" i="7" s="1"/>
  <c r="H646" i="7"/>
  <c r="G646" i="7"/>
  <c r="G651" i="7" s="1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Y653" i="7" s="1"/>
  <c r="X643" i="7"/>
  <c r="J643" i="7"/>
  <c r="I643" i="7"/>
  <c r="I653" i="7" s="1"/>
  <c r="H643" i="7"/>
  <c r="H653" i="7" s="1"/>
  <c r="G643" i="7"/>
  <c r="F643" i="7"/>
  <c r="AB642" i="7"/>
  <c r="AB652" i="7" s="1"/>
  <c r="AA642" i="7"/>
  <c r="Z642" i="7"/>
  <c r="Y642" i="7"/>
  <c r="Y652" i="7" s="1"/>
  <c r="X642" i="7"/>
  <c r="J642" i="7"/>
  <c r="I642" i="7"/>
  <c r="I652" i="7" s="1"/>
  <c r="H642" i="7"/>
  <c r="G642" i="7"/>
  <c r="F642" i="7"/>
  <c r="AB641" i="7"/>
  <c r="AB651" i="7" s="1"/>
  <c r="AA641" i="7"/>
  <c r="Z641" i="7"/>
  <c r="Y641" i="7"/>
  <c r="X641" i="7"/>
  <c r="J641" i="7"/>
  <c r="I641" i="7"/>
  <c r="H641" i="7"/>
  <c r="H651" i="7" s="1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W24" i="7"/>
  <c r="E24" i="7"/>
  <c r="E6" i="7" s="1"/>
  <c r="W23" i="7"/>
  <c r="E23" i="7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Q5" i="7"/>
  <c r="AP5" i="7"/>
  <c r="AO5" i="7"/>
  <c r="AN5" i="7"/>
  <c r="AM5" i="7"/>
  <c r="AJ5" i="7"/>
  <c r="AJ10" i="7" s="1"/>
  <c r="AI5" i="7"/>
  <c r="AH5" i="7"/>
  <c r="AB5" i="7"/>
  <c r="AA5" i="7"/>
  <c r="Z5" i="7"/>
  <c r="Y5" i="7"/>
  <c r="X5" i="7"/>
  <c r="W5" i="7"/>
  <c r="R5" i="7"/>
  <c r="R10" i="7" s="1"/>
  <c r="Q5" i="7"/>
  <c r="P5" i="7"/>
  <c r="J5" i="7"/>
  <c r="I5" i="7"/>
  <c r="H5" i="7"/>
  <c r="G5" i="7"/>
  <c r="F5" i="7"/>
  <c r="E5" i="7"/>
  <c r="AL2" i="7"/>
  <c r="U2" i="7"/>
  <c r="T2" i="7"/>
  <c r="C2" i="7"/>
  <c r="M112" i="6"/>
  <c r="L112" i="6"/>
  <c r="P109" i="6"/>
  <c r="B107" i="6"/>
  <c r="P106" i="6"/>
  <c r="B106" i="6"/>
  <c r="F103" i="6"/>
  <c r="M101" i="6"/>
  <c r="L101" i="6"/>
  <c r="P98" i="6"/>
  <c r="P95" i="6"/>
  <c r="B95" i="6"/>
  <c r="F92" i="6"/>
  <c r="M90" i="6"/>
  <c r="L90" i="6"/>
  <c r="P87" i="6"/>
  <c r="F87" i="6"/>
  <c r="B85" i="6"/>
  <c r="P84" i="6"/>
  <c r="B84" i="6"/>
  <c r="F81" i="6"/>
  <c r="F84" i="6" s="1"/>
  <c r="F85" i="6" s="1"/>
  <c r="F86" i="6" s="1"/>
  <c r="M79" i="6"/>
  <c r="L79" i="6"/>
  <c r="P76" i="6"/>
  <c r="P73" i="6"/>
  <c r="B73" i="6"/>
  <c r="F70" i="6"/>
  <c r="M68" i="6"/>
  <c r="L68" i="6"/>
  <c r="P65" i="6"/>
  <c r="B63" i="6"/>
  <c r="B64" i="6" s="1"/>
  <c r="P62" i="6"/>
  <c r="F62" i="6"/>
  <c r="F63" i="6" s="1"/>
  <c r="F64" i="6" s="1"/>
  <c r="F65" i="6" s="1"/>
  <c r="B62" i="6"/>
  <c r="F59" i="6"/>
  <c r="L59" i="6" s="1"/>
  <c r="L61" i="6" s="1"/>
  <c r="M57" i="6"/>
  <c r="L57" i="6"/>
  <c r="P54" i="6"/>
  <c r="B52" i="6"/>
  <c r="P51" i="6"/>
  <c r="B51" i="6"/>
  <c r="F48" i="6"/>
  <c r="M46" i="6"/>
  <c r="L46" i="6"/>
  <c r="P43" i="6"/>
  <c r="P40" i="6"/>
  <c r="B40" i="6"/>
  <c r="F37" i="6"/>
  <c r="M35" i="6"/>
  <c r="L35" i="6"/>
  <c r="P32" i="6"/>
  <c r="B30" i="6"/>
  <c r="P29" i="6"/>
  <c r="B29" i="6"/>
  <c r="F26" i="6"/>
  <c r="M24" i="6"/>
  <c r="L24" i="6"/>
  <c r="P21" i="6"/>
  <c r="P18" i="6"/>
  <c r="F18" i="6"/>
  <c r="F19" i="6" s="1"/>
  <c r="F20" i="6" s="1"/>
  <c r="F21" i="6" s="1"/>
  <c r="B18" i="6"/>
  <c r="L15" i="6"/>
  <c r="L17" i="6" s="1"/>
  <c r="F15" i="6"/>
  <c r="M13" i="6"/>
  <c r="L13" i="6"/>
  <c r="P10" i="6"/>
  <c r="B9" i="6"/>
  <c r="B8" i="6"/>
  <c r="P7" i="6"/>
  <c r="B7" i="6"/>
  <c r="F4" i="6"/>
  <c r="F2" i="6"/>
  <c r="B2" i="6"/>
  <c r="M112" i="5"/>
  <c r="L112" i="5"/>
  <c r="P109" i="5"/>
  <c r="P106" i="5"/>
  <c r="F106" i="5"/>
  <c r="F107" i="5" s="1"/>
  <c r="F108" i="5" s="1"/>
  <c r="F109" i="5" s="1"/>
  <c r="B106" i="5"/>
  <c r="F103" i="5"/>
  <c r="L103" i="5" s="1"/>
  <c r="M101" i="5"/>
  <c r="L101" i="5"/>
  <c r="P98" i="5"/>
  <c r="F96" i="5"/>
  <c r="F97" i="5" s="1"/>
  <c r="F98" i="5" s="1"/>
  <c r="P95" i="5"/>
  <c r="F95" i="5"/>
  <c r="B95" i="5"/>
  <c r="L92" i="5"/>
  <c r="F92" i="5"/>
  <c r="M90" i="5"/>
  <c r="L90" i="5"/>
  <c r="P87" i="5"/>
  <c r="F86" i="5"/>
  <c r="F87" i="5" s="1"/>
  <c r="P84" i="5"/>
  <c r="B84" i="5"/>
  <c r="B85" i="5" s="1"/>
  <c r="B86" i="5" s="1"/>
  <c r="F81" i="5"/>
  <c r="F84" i="5" s="1"/>
  <c r="F85" i="5" s="1"/>
  <c r="M79" i="5"/>
  <c r="L79" i="5"/>
  <c r="P76" i="5"/>
  <c r="F74" i="5"/>
  <c r="F75" i="5" s="1"/>
  <c r="F76" i="5" s="1"/>
  <c r="B74" i="5"/>
  <c r="P73" i="5"/>
  <c r="F73" i="5"/>
  <c r="B73" i="5"/>
  <c r="L70" i="5"/>
  <c r="F70" i="5"/>
  <c r="M68" i="5"/>
  <c r="L68" i="5"/>
  <c r="P65" i="5"/>
  <c r="B64" i="5"/>
  <c r="F63" i="5"/>
  <c r="F64" i="5" s="1"/>
  <c r="F65" i="5" s="1"/>
  <c r="B63" i="5"/>
  <c r="P62" i="5"/>
  <c r="B62" i="5"/>
  <c r="F59" i="5"/>
  <c r="F62" i="5" s="1"/>
  <c r="M57" i="5"/>
  <c r="L57" i="5"/>
  <c r="P54" i="5"/>
  <c r="F53" i="5"/>
  <c r="F54" i="5" s="1"/>
  <c r="B53" i="5"/>
  <c r="B54" i="5" s="1"/>
  <c r="B52" i="5"/>
  <c r="P51" i="5"/>
  <c r="F51" i="5"/>
  <c r="F52" i="5" s="1"/>
  <c r="B51" i="5"/>
  <c r="L48" i="5"/>
  <c r="F48" i="5"/>
  <c r="M46" i="5"/>
  <c r="L46" i="5"/>
  <c r="P43" i="5"/>
  <c r="B41" i="5"/>
  <c r="P40" i="5"/>
  <c r="B40" i="5"/>
  <c r="L37" i="5"/>
  <c r="F37" i="5"/>
  <c r="F40" i="5" s="1"/>
  <c r="F41" i="5" s="1"/>
  <c r="F42" i="5" s="1"/>
  <c r="F43" i="5" s="1"/>
  <c r="M35" i="5"/>
  <c r="L35" i="5"/>
  <c r="P32" i="5"/>
  <c r="B30" i="5"/>
  <c r="P29" i="5"/>
  <c r="F29" i="5"/>
  <c r="F30" i="5" s="1"/>
  <c r="F31" i="5" s="1"/>
  <c r="F32" i="5" s="1"/>
  <c r="B29" i="5"/>
  <c r="L26" i="5"/>
  <c r="F26" i="5"/>
  <c r="M24" i="5"/>
  <c r="L24" i="5"/>
  <c r="P21" i="5"/>
  <c r="B19" i="5"/>
  <c r="P18" i="5"/>
  <c r="F18" i="5"/>
  <c r="F19" i="5" s="1"/>
  <c r="F20" i="5" s="1"/>
  <c r="F21" i="5" s="1"/>
  <c r="B18" i="5"/>
  <c r="F15" i="5"/>
  <c r="L15" i="5" s="1"/>
  <c r="M13" i="5"/>
  <c r="L13" i="5"/>
  <c r="P10" i="5"/>
  <c r="F9" i="5"/>
  <c r="F10" i="5" s="1"/>
  <c r="B9" i="5"/>
  <c r="F8" i="5"/>
  <c r="B8" i="5"/>
  <c r="P7" i="5"/>
  <c r="F7" i="5"/>
  <c r="B7" i="5"/>
  <c r="L4" i="5"/>
  <c r="F4" i="5"/>
  <c r="F2" i="5"/>
  <c r="B2" i="5"/>
  <c r="L50" i="5" s="1"/>
  <c r="M112" i="4"/>
  <c r="L112" i="4"/>
  <c r="P109" i="4"/>
  <c r="P106" i="4"/>
  <c r="B106" i="4"/>
  <c r="B107" i="4" s="1"/>
  <c r="F103" i="4"/>
  <c r="L103" i="4" s="1"/>
  <c r="M105" i="4" s="1"/>
  <c r="M101" i="4"/>
  <c r="L101" i="4"/>
  <c r="P98" i="4"/>
  <c r="P95" i="4"/>
  <c r="B95" i="4"/>
  <c r="F92" i="4"/>
  <c r="L92" i="4" s="1"/>
  <c r="M94" i="4" s="1"/>
  <c r="M90" i="4"/>
  <c r="L90" i="4"/>
  <c r="P87" i="4"/>
  <c r="B87" i="4"/>
  <c r="B86" i="4"/>
  <c r="F85" i="4"/>
  <c r="F86" i="4" s="1"/>
  <c r="F87" i="4" s="1"/>
  <c r="P84" i="4"/>
  <c r="F84" i="4"/>
  <c r="B84" i="4"/>
  <c r="B85" i="4" s="1"/>
  <c r="F81" i="4"/>
  <c r="L81" i="4" s="1"/>
  <c r="M83" i="4" s="1"/>
  <c r="M79" i="4"/>
  <c r="L79" i="4"/>
  <c r="P76" i="4"/>
  <c r="P73" i="4"/>
  <c r="F73" i="4"/>
  <c r="F74" i="4" s="1"/>
  <c r="F75" i="4" s="1"/>
  <c r="F76" i="4" s="1"/>
  <c r="B73" i="4"/>
  <c r="F70" i="4"/>
  <c r="L70" i="4" s="1"/>
  <c r="M72" i="4" s="1"/>
  <c r="M68" i="4"/>
  <c r="L68" i="4"/>
  <c r="P65" i="4"/>
  <c r="P62" i="4"/>
  <c r="B62" i="4"/>
  <c r="B63" i="4" s="1"/>
  <c r="L59" i="4"/>
  <c r="M61" i="4" s="1"/>
  <c r="F59" i="4"/>
  <c r="F62" i="4" s="1"/>
  <c r="F63" i="4" s="1"/>
  <c r="F64" i="4" s="1"/>
  <c r="F65" i="4" s="1"/>
  <c r="M57" i="4"/>
  <c r="L57" i="4"/>
  <c r="P54" i="4"/>
  <c r="P51" i="4"/>
  <c r="B51" i="4"/>
  <c r="F48" i="4"/>
  <c r="F51" i="4" s="1"/>
  <c r="F52" i="4" s="1"/>
  <c r="F53" i="4" s="1"/>
  <c r="F54" i="4" s="1"/>
  <c r="M46" i="4"/>
  <c r="L46" i="4"/>
  <c r="P43" i="4"/>
  <c r="B43" i="4"/>
  <c r="B42" i="4"/>
  <c r="P40" i="4"/>
  <c r="F40" i="4"/>
  <c r="F41" i="4" s="1"/>
  <c r="F42" i="4" s="1"/>
  <c r="F43" i="4" s="1"/>
  <c r="B40" i="4"/>
  <c r="B41" i="4" s="1"/>
  <c r="F37" i="4"/>
  <c r="L37" i="4" s="1"/>
  <c r="M39" i="4" s="1"/>
  <c r="M35" i="4"/>
  <c r="L35" i="4"/>
  <c r="P32" i="4"/>
  <c r="P29" i="4"/>
  <c r="B29" i="4"/>
  <c r="F26" i="4"/>
  <c r="F29" i="4" s="1"/>
  <c r="F30" i="4" s="1"/>
  <c r="F31" i="4" s="1"/>
  <c r="F32" i="4" s="1"/>
  <c r="M24" i="4"/>
  <c r="L24" i="4"/>
  <c r="P21" i="4"/>
  <c r="P18" i="4"/>
  <c r="F18" i="4"/>
  <c r="F19" i="4" s="1"/>
  <c r="F20" i="4" s="1"/>
  <c r="F21" i="4" s="1"/>
  <c r="B18" i="4"/>
  <c r="B19" i="4" s="1"/>
  <c r="F15" i="4"/>
  <c r="L15" i="4" s="1"/>
  <c r="M17" i="4" s="1"/>
  <c r="M13" i="4"/>
  <c r="L13" i="4"/>
  <c r="P10" i="4"/>
  <c r="F10" i="4"/>
  <c r="P7" i="4"/>
  <c r="F7" i="4"/>
  <c r="F8" i="4" s="1"/>
  <c r="F9" i="4" s="1"/>
  <c r="B7" i="4"/>
  <c r="M6" i="4"/>
  <c r="L4" i="4"/>
  <c r="F4" i="4"/>
  <c r="F2" i="4"/>
  <c r="B2" i="4"/>
  <c r="M112" i="3"/>
  <c r="L112" i="3"/>
  <c r="P109" i="3"/>
  <c r="F109" i="3"/>
  <c r="F108" i="3"/>
  <c r="B107" i="3"/>
  <c r="P106" i="3"/>
  <c r="F106" i="3"/>
  <c r="F107" i="3" s="1"/>
  <c r="B106" i="3"/>
  <c r="L103" i="3"/>
  <c r="F103" i="3"/>
  <c r="M101" i="3"/>
  <c r="L101" i="3"/>
  <c r="P98" i="3"/>
  <c r="B97" i="3"/>
  <c r="B98" i="3" s="1"/>
  <c r="B96" i="3"/>
  <c r="P95" i="3"/>
  <c r="B95" i="3"/>
  <c r="F92" i="3"/>
  <c r="M90" i="3"/>
  <c r="L90" i="3"/>
  <c r="P87" i="3"/>
  <c r="F87" i="3"/>
  <c r="B85" i="3"/>
  <c r="P84" i="3"/>
  <c r="F84" i="3"/>
  <c r="F85" i="3" s="1"/>
  <c r="F86" i="3" s="1"/>
  <c r="B84" i="3"/>
  <c r="L81" i="3"/>
  <c r="F81" i="3"/>
  <c r="M79" i="3"/>
  <c r="L79" i="3"/>
  <c r="P76" i="3"/>
  <c r="F75" i="3"/>
  <c r="F76" i="3" s="1"/>
  <c r="B74" i="3"/>
  <c r="P73" i="3"/>
  <c r="F73" i="3"/>
  <c r="F74" i="3" s="1"/>
  <c r="B73" i="3"/>
  <c r="F70" i="3"/>
  <c r="L70" i="3" s="1"/>
  <c r="M68" i="3"/>
  <c r="L68" i="3"/>
  <c r="P65" i="3"/>
  <c r="F64" i="3"/>
  <c r="F65" i="3" s="1"/>
  <c r="B63" i="3"/>
  <c r="P62" i="3"/>
  <c r="F62" i="3"/>
  <c r="F63" i="3" s="1"/>
  <c r="B62" i="3"/>
  <c r="L59" i="3"/>
  <c r="F59" i="3"/>
  <c r="M57" i="3"/>
  <c r="L57" i="3"/>
  <c r="P54" i="3"/>
  <c r="B53" i="3"/>
  <c r="B54" i="3" s="1"/>
  <c r="B52" i="3"/>
  <c r="P51" i="3"/>
  <c r="F51" i="3"/>
  <c r="F52" i="3" s="1"/>
  <c r="F53" i="3" s="1"/>
  <c r="F54" i="3" s="1"/>
  <c r="B51" i="3"/>
  <c r="F48" i="3"/>
  <c r="L48" i="3" s="1"/>
  <c r="M46" i="3"/>
  <c r="L46" i="3"/>
  <c r="P43" i="3"/>
  <c r="P40" i="3"/>
  <c r="F40" i="3"/>
  <c r="F41" i="3" s="1"/>
  <c r="F42" i="3" s="1"/>
  <c r="F43" i="3" s="1"/>
  <c r="B40" i="3"/>
  <c r="M39" i="3"/>
  <c r="L37" i="3"/>
  <c r="F37" i="3"/>
  <c r="M35" i="3"/>
  <c r="L35" i="3"/>
  <c r="P32" i="3"/>
  <c r="B30" i="3"/>
  <c r="P29" i="3"/>
  <c r="F29" i="3"/>
  <c r="F30" i="3" s="1"/>
  <c r="F31" i="3" s="1"/>
  <c r="F32" i="3" s="1"/>
  <c r="B29" i="3"/>
  <c r="F26" i="3"/>
  <c r="L26" i="3" s="1"/>
  <c r="M24" i="3"/>
  <c r="L24" i="3"/>
  <c r="P21" i="3"/>
  <c r="F20" i="3"/>
  <c r="F21" i="3" s="1"/>
  <c r="B19" i="3"/>
  <c r="P18" i="3"/>
  <c r="F18" i="3"/>
  <c r="F19" i="3" s="1"/>
  <c r="B18" i="3"/>
  <c r="L15" i="3"/>
  <c r="F15" i="3"/>
  <c r="M13" i="3"/>
  <c r="L13" i="3"/>
  <c r="P10" i="3"/>
  <c r="B8" i="3"/>
  <c r="P7" i="3"/>
  <c r="F7" i="3"/>
  <c r="F8" i="3" s="1"/>
  <c r="F9" i="3" s="1"/>
  <c r="F10" i="3" s="1"/>
  <c r="B7" i="3"/>
  <c r="L6" i="3"/>
  <c r="F4" i="3"/>
  <c r="L4" i="3" s="1"/>
  <c r="F2" i="3"/>
  <c r="B2" i="3"/>
  <c r="L39" i="3" s="1"/>
  <c r="M112" i="2"/>
  <c r="L112" i="2"/>
  <c r="P109" i="2"/>
  <c r="P106" i="2"/>
  <c r="F106" i="2"/>
  <c r="F107" i="2" s="1"/>
  <c r="F108" i="2" s="1"/>
  <c r="F109" i="2" s="1"/>
  <c r="B106" i="2"/>
  <c r="B107" i="2" s="1"/>
  <c r="L103" i="2"/>
  <c r="F103" i="2"/>
  <c r="M101" i="2"/>
  <c r="L101" i="2"/>
  <c r="P98" i="2"/>
  <c r="F96" i="2"/>
  <c r="F97" i="2" s="1"/>
  <c r="F98" i="2" s="1"/>
  <c r="B96" i="2"/>
  <c r="P95" i="2"/>
  <c r="B95" i="2"/>
  <c r="L92" i="2"/>
  <c r="F92" i="2"/>
  <c r="F95" i="2" s="1"/>
  <c r="M90" i="2"/>
  <c r="L90" i="2"/>
  <c r="P87" i="2"/>
  <c r="F85" i="2"/>
  <c r="F86" i="2" s="1"/>
  <c r="F87" i="2" s="1"/>
  <c r="B85" i="2"/>
  <c r="B86" i="2" s="1"/>
  <c r="P84" i="2"/>
  <c r="F84" i="2"/>
  <c r="B84" i="2"/>
  <c r="L81" i="2"/>
  <c r="F81" i="2"/>
  <c r="M79" i="2"/>
  <c r="L79" i="2"/>
  <c r="P76" i="2"/>
  <c r="F75" i="2"/>
  <c r="F76" i="2" s="1"/>
  <c r="F74" i="2"/>
  <c r="P73" i="2"/>
  <c r="B73" i="2"/>
  <c r="L72" i="2"/>
  <c r="L70" i="2"/>
  <c r="F70" i="2"/>
  <c r="F73" i="2" s="1"/>
  <c r="M68" i="2"/>
  <c r="L68" i="2"/>
  <c r="P65" i="2"/>
  <c r="F63" i="2"/>
  <c r="F64" i="2" s="1"/>
  <c r="F65" i="2" s="1"/>
  <c r="B63" i="2"/>
  <c r="P62" i="2"/>
  <c r="F62" i="2"/>
  <c r="B62" i="2"/>
  <c r="L59" i="2"/>
  <c r="F59" i="2"/>
  <c r="M57" i="2"/>
  <c r="L57" i="2"/>
  <c r="P54" i="2"/>
  <c r="B53" i="2"/>
  <c r="F52" i="2"/>
  <c r="F53" i="2" s="1"/>
  <c r="F54" i="2" s="1"/>
  <c r="B52" i="2"/>
  <c r="P51" i="2"/>
  <c r="B51" i="2"/>
  <c r="F48" i="2"/>
  <c r="F51" i="2" s="1"/>
  <c r="M46" i="2"/>
  <c r="L46" i="2"/>
  <c r="P43" i="2"/>
  <c r="B43" i="2"/>
  <c r="F41" i="2"/>
  <c r="F42" i="2" s="1"/>
  <c r="F43" i="2" s="1"/>
  <c r="B41" i="2"/>
  <c r="B42" i="2" s="1"/>
  <c r="P40" i="2"/>
  <c r="F40" i="2"/>
  <c r="B40" i="2"/>
  <c r="L37" i="2"/>
  <c r="F37" i="2"/>
  <c r="M35" i="2"/>
  <c r="L35" i="2"/>
  <c r="P32" i="2"/>
  <c r="P29" i="2"/>
  <c r="F29" i="2"/>
  <c r="F30" i="2" s="1"/>
  <c r="F31" i="2" s="1"/>
  <c r="F32" i="2" s="1"/>
  <c r="B29" i="2"/>
  <c r="L26" i="2"/>
  <c r="F26" i="2"/>
  <c r="M24" i="2"/>
  <c r="L24" i="2"/>
  <c r="P21" i="2"/>
  <c r="F19" i="2"/>
  <c r="F20" i="2" s="1"/>
  <c r="F21" i="2" s="1"/>
  <c r="P18" i="2"/>
  <c r="F18" i="2"/>
  <c r="B18" i="2"/>
  <c r="M17" i="2"/>
  <c r="L15" i="2"/>
  <c r="F15" i="2"/>
  <c r="M13" i="2"/>
  <c r="L13" i="2"/>
  <c r="P10" i="2"/>
  <c r="F8" i="2"/>
  <c r="F9" i="2" s="1"/>
  <c r="F10" i="2" s="1"/>
  <c r="B8" i="2"/>
  <c r="P7" i="2"/>
  <c r="F7" i="2"/>
  <c r="B7" i="2"/>
  <c r="F4" i="2"/>
  <c r="L4" i="2" s="1"/>
  <c r="F2" i="2"/>
  <c r="B2" i="2"/>
  <c r="B16" i="1"/>
  <c r="E11" i="1"/>
  <c r="D18" i="1"/>
  <c r="F13" i="1"/>
  <c r="H17" i="1"/>
  <c r="D13" i="1"/>
  <c r="B17" i="1"/>
  <c r="E12" i="1"/>
  <c r="L62" i="6"/>
  <c r="M73" i="5"/>
  <c r="L95" i="2"/>
  <c r="F15" i="1"/>
  <c r="D10" i="1"/>
  <c r="D106" i="3"/>
  <c r="E15" i="1"/>
  <c r="B10" i="1"/>
  <c r="D52" i="3"/>
  <c r="D63" i="4"/>
  <c r="M95" i="3"/>
  <c r="H96" i="3"/>
  <c r="L7" i="2"/>
  <c r="F9" i="1"/>
  <c r="L106" i="6"/>
  <c r="D107" i="4"/>
  <c r="H29" i="4"/>
  <c r="D96" i="3"/>
  <c r="D40" i="2"/>
  <c r="D15" i="1"/>
  <c r="H9" i="1"/>
  <c r="L7" i="6"/>
  <c r="H14" i="1"/>
  <c r="H73" i="4"/>
  <c r="B15" i="1"/>
  <c r="G9" i="1"/>
  <c r="L51" i="6"/>
  <c r="D19" i="4"/>
  <c r="M7" i="5"/>
  <c r="M51" i="3"/>
  <c r="M51" i="5"/>
  <c r="D51" i="3"/>
  <c r="L29" i="2"/>
  <c r="H7" i="3"/>
  <c r="F18" i="1"/>
  <c r="E18" i="1"/>
  <c r="G12" i="1"/>
  <c r="L73" i="6"/>
  <c r="H29" i="6"/>
  <c r="M106" i="4"/>
  <c r="H95" i="4"/>
  <c r="D84" i="4"/>
  <c r="D43" i="4"/>
  <c r="D107" i="3"/>
  <c r="L51" i="2"/>
  <c r="B12" i="1"/>
  <c r="M18" i="5"/>
  <c r="F11" i="1"/>
  <c r="D73" i="5"/>
  <c r="L95" i="3"/>
  <c r="L62" i="2"/>
  <c r="D17" i="1"/>
  <c r="L73" i="5"/>
  <c r="L106" i="4"/>
  <c r="M96" i="3"/>
  <c r="H62" i="3"/>
  <c r="H11" i="1"/>
  <c r="D73" i="3"/>
  <c r="H18" i="1"/>
  <c r="G18" i="1"/>
  <c r="D42" i="4"/>
  <c r="D11" i="1"/>
  <c r="B11" i="1"/>
  <c r="H18" i="5"/>
  <c r="L107" i="2"/>
  <c r="F17" i="1"/>
  <c r="D18" i="5"/>
  <c r="H73" i="5"/>
  <c r="L96" i="3"/>
  <c r="G11" i="1"/>
  <c r="H73" i="3"/>
  <c r="D106" i="4"/>
  <c r="L41" i="4"/>
  <c r="H10" i="1"/>
  <c r="L18" i="4"/>
  <c r="E17" i="1"/>
  <c r="D41" i="4"/>
  <c r="B18" i="1"/>
  <c r="H106" i="3"/>
  <c r="G10" i="1"/>
  <c r="H95" i="3"/>
  <c r="F10" i="1"/>
  <c r="L29" i="5"/>
  <c r="L18" i="5"/>
  <c r="M106" i="3"/>
  <c r="L106" i="3"/>
  <c r="G17" i="1"/>
  <c r="M18" i="4"/>
  <c r="D95" i="3"/>
  <c r="H63" i="6"/>
  <c r="M52" i="6"/>
  <c r="M106" i="2"/>
  <c r="H95" i="2"/>
  <c r="F16" i="1"/>
  <c r="D9" i="1"/>
  <c r="L106" i="2"/>
  <c r="B9" i="1"/>
  <c r="D16" i="1"/>
  <c r="M7" i="3"/>
  <c r="H106" i="6"/>
  <c r="D63" i="6"/>
  <c r="D95" i="5"/>
  <c r="M40" i="4"/>
  <c r="D95" i="2"/>
  <c r="E16" i="1"/>
  <c r="L40" i="4"/>
  <c r="H106" i="2"/>
  <c r="H15" i="1"/>
  <c r="M53" i="2"/>
  <c r="H62" i="6"/>
  <c r="M52" i="5"/>
  <c r="L85" i="4"/>
  <c r="M62" i="4"/>
  <c r="D40" i="4"/>
  <c r="D7" i="3"/>
  <c r="H107" i="2"/>
  <c r="F14" i="1"/>
  <c r="H8" i="6"/>
  <c r="H106" i="5"/>
  <c r="M64" i="5"/>
  <c r="L52" i="5"/>
  <c r="L62" i="4"/>
  <c r="L98" i="3"/>
  <c r="M29" i="3"/>
  <c r="E14" i="1"/>
  <c r="M73" i="6"/>
  <c r="L64" i="5"/>
  <c r="H9" i="5"/>
  <c r="L29" i="3"/>
  <c r="M7" i="2"/>
  <c r="D14" i="1"/>
  <c r="D62" i="6"/>
  <c r="D98" i="3"/>
  <c r="H73" i="6"/>
  <c r="H51" i="5"/>
  <c r="D85" i="4"/>
  <c r="B14" i="1"/>
  <c r="D62" i="4"/>
  <c r="H7" i="2"/>
  <c r="H13" i="1"/>
  <c r="M74" i="5"/>
  <c r="D51" i="5"/>
  <c r="L97" i="3"/>
  <c r="D29" i="3"/>
  <c r="H29" i="2"/>
  <c r="D73" i="6"/>
  <c r="L8" i="6"/>
  <c r="H52" i="3"/>
  <c r="M29" i="2"/>
  <c r="M30" i="6"/>
  <c r="M63" i="5"/>
  <c r="M40" i="2"/>
  <c r="G13" i="1"/>
  <c r="M84" i="6"/>
  <c r="D63" i="5"/>
  <c r="L19" i="5"/>
  <c r="L95" i="4"/>
  <c r="H84" i="4"/>
  <c r="M73" i="3"/>
  <c r="M62" i="3"/>
  <c r="H51" i="2"/>
  <c r="H40" i="2"/>
  <c r="F12" i="1"/>
  <c r="L73" i="3"/>
  <c r="H51" i="3"/>
  <c r="M63" i="6"/>
  <c r="H84" i="6"/>
  <c r="H19" i="5"/>
  <c r="H8" i="5"/>
  <c r="H43" i="4"/>
  <c r="H107" i="3"/>
  <c r="L62" i="3"/>
  <c r="D51" i="2"/>
  <c r="D12" i="1"/>
  <c r="H52" i="6"/>
  <c r="D107" i="2"/>
  <c r="L63" i="6"/>
  <c r="M8" i="6"/>
  <c r="H53" i="2"/>
  <c r="L7" i="3"/>
  <c r="L40" i="5"/>
  <c r="D95" i="6"/>
  <c r="L63" i="5"/>
  <c r="D7" i="6"/>
  <c r="H63" i="5"/>
  <c r="D18" i="4"/>
  <c r="M95" i="2"/>
  <c r="M51" i="2"/>
  <c r="H53" i="3"/>
  <c r="M86" i="5"/>
  <c r="M8" i="5"/>
  <c r="H40" i="4"/>
  <c r="L8" i="5"/>
  <c r="H30" i="5"/>
  <c r="D8" i="5"/>
  <c r="H97" i="3"/>
  <c r="H16" i="1"/>
  <c r="H29" i="3"/>
  <c r="G16" i="1"/>
  <c r="D52" i="6"/>
  <c r="L74" i="5"/>
  <c r="H87" i="4"/>
  <c r="L63" i="2"/>
  <c r="E13" i="1"/>
  <c r="B13" i="1"/>
  <c r="L84" i="4"/>
  <c r="H29" i="5"/>
  <c r="L51" i="3"/>
  <c r="G15" i="1"/>
  <c r="M106" i="5"/>
  <c r="G14" i="1"/>
  <c r="H74" i="5"/>
  <c r="M19" i="5"/>
  <c r="H7" i="4"/>
  <c r="L41" i="2"/>
  <c r="L95" i="5"/>
  <c r="D86" i="4"/>
  <c r="D63" i="2"/>
  <c r="H41" i="2"/>
  <c r="H12" i="1"/>
  <c r="E10" i="1"/>
  <c r="H18" i="6"/>
  <c r="E9" i="1"/>
  <c r="M62" i="2"/>
  <c r="D106" i="2"/>
  <c r="D84" i="2"/>
  <c r="M84" i="4"/>
  <c r="M84" i="2"/>
  <c r="L40" i="2"/>
  <c r="L51" i="4"/>
  <c r="H85" i="3"/>
  <c r="M62" i="6"/>
  <c r="H9" i="6"/>
  <c r="M107" i="3"/>
  <c r="D40" i="3"/>
  <c r="H30" i="6"/>
  <c r="D29" i="2"/>
  <c r="N62" i="6" l="1"/>
  <c r="N84" i="4"/>
  <c r="J89" i="2"/>
  <c r="J90" i="2"/>
  <c r="J111" i="2"/>
  <c r="J112" i="2"/>
  <c r="N62" i="2"/>
  <c r="E19" i="1"/>
  <c r="N19" i="5"/>
  <c r="J29" i="3"/>
  <c r="J40" i="4"/>
  <c r="N8" i="5"/>
  <c r="N51" i="2"/>
  <c r="N95" i="2"/>
  <c r="J63" i="5"/>
  <c r="J101" i="6"/>
  <c r="J100" i="6"/>
  <c r="N8" i="6"/>
  <c r="J52" i="6"/>
  <c r="J56" i="2"/>
  <c r="J57" i="2"/>
  <c r="J107" i="3"/>
  <c r="J43" i="4"/>
  <c r="J8" i="5"/>
  <c r="N63" i="6"/>
  <c r="J51" i="3"/>
  <c r="J40" i="2"/>
  <c r="J51" i="2"/>
  <c r="N62" i="3"/>
  <c r="N73" i="3"/>
  <c r="J84" i="4"/>
  <c r="N40" i="2"/>
  <c r="N63" i="5"/>
  <c r="N29" i="2"/>
  <c r="J52" i="3"/>
  <c r="J78" i="6"/>
  <c r="J79" i="6"/>
  <c r="J29" i="2"/>
  <c r="J57" i="5"/>
  <c r="J56" i="5"/>
  <c r="N74" i="5"/>
  <c r="J67" i="4"/>
  <c r="J68" i="4"/>
  <c r="J51" i="5"/>
  <c r="J73" i="6"/>
  <c r="J67" i="6"/>
  <c r="J68" i="6"/>
  <c r="N7" i="2"/>
  <c r="N73" i="6"/>
  <c r="N29" i="3"/>
  <c r="N64" i="5"/>
  <c r="J107" i="2"/>
  <c r="N62" i="4"/>
  <c r="N52" i="5"/>
  <c r="J62" i="6"/>
  <c r="J106" i="2"/>
  <c r="J101" i="2"/>
  <c r="J100" i="2"/>
  <c r="N40" i="4"/>
  <c r="J101" i="5"/>
  <c r="J100" i="5"/>
  <c r="N7" i="3"/>
  <c r="J95" i="2"/>
  <c r="N106" i="2"/>
  <c r="J63" i="6"/>
  <c r="J101" i="3"/>
  <c r="J100" i="3"/>
  <c r="N18" i="4"/>
  <c r="N106" i="3"/>
  <c r="F19" i="1"/>
  <c r="J95" i="3"/>
  <c r="G19" i="1"/>
  <c r="J106" i="3"/>
  <c r="H19" i="1"/>
  <c r="J111" i="4"/>
  <c r="J112" i="4"/>
  <c r="J73" i="3"/>
  <c r="J73" i="5"/>
  <c r="J18" i="5"/>
  <c r="J79" i="3"/>
  <c r="J78" i="3"/>
  <c r="N96" i="3"/>
  <c r="J79" i="5"/>
  <c r="J78" i="5"/>
  <c r="N18" i="5"/>
  <c r="J89" i="4"/>
  <c r="J90" i="4"/>
  <c r="N106" i="4"/>
  <c r="J7" i="3"/>
  <c r="J57" i="3"/>
  <c r="J56" i="3"/>
  <c r="N51" i="3"/>
  <c r="J96" i="3"/>
  <c r="N95" i="3"/>
  <c r="J112" i="3"/>
  <c r="J111" i="3"/>
  <c r="D19" i="1"/>
  <c r="N73" i="5"/>
  <c r="L37" i="6"/>
  <c r="F40" i="6"/>
  <c r="F41" i="6" s="1"/>
  <c r="F42" i="6" s="1"/>
  <c r="F43" i="6" s="1"/>
  <c r="F106" i="6"/>
  <c r="F107" i="6" s="1"/>
  <c r="F108" i="6" s="1"/>
  <c r="F109" i="6" s="1"/>
  <c r="L103" i="6"/>
  <c r="B19" i="2"/>
  <c r="B20" i="3"/>
  <c r="B108" i="6"/>
  <c r="L92" i="3"/>
  <c r="L94" i="3" s="1"/>
  <c r="F95" i="3"/>
  <c r="F96" i="3" s="1"/>
  <c r="F97" i="3" s="1"/>
  <c r="F98" i="3" s="1"/>
  <c r="L72" i="5"/>
  <c r="L17" i="5"/>
  <c r="L105" i="5"/>
  <c r="L6" i="5"/>
  <c r="L28" i="5"/>
  <c r="L94" i="5"/>
  <c r="L39" i="5"/>
  <c r="F51" i="6"/>
  <c r="F52" i="6" s="1"/>
  <c r="F53" i="6" s="1"/>
  <c r="F54" i="6" s="1"/>
  <c r="L48" i="6"/>
  <c r="B87" i="2"/>
  <c r="L61" i="4"/>
  <c r="L26" i="4"/>
  <c r="M28" i="4" s="1"/>
  <c r="B86" i="6"/>
  <c r="B75" i="3"/>
  <c r="L83" i="5"/>
  <c r="B87" i="5"/>
  <c r="B9" i="2"/>
  <c r="F95" i="6"/>
  <c r="F96" i="6" s="1"/>
  <c r="F97" i="6" s="1"/>
  <c r="F98" i="6" s="1"/>
  <c r="L92" i="6"/>
  <c r="L94" i="6" s="1"/>
  <c r="B64" i="3"/>
  <c r="B31" i="3"/>
  <c r="P10" i="7"/>
  <c r="B41" i="3"/>
  <c r="B75" i="5"/>
  <c r="M94" i="5"/>
  <c r="M72" i="5"/>
  <c r="M50" i="5"/>
  <c r="M28" i="5"/>
  <c r="M6" i="5"/>
  <c r="M17" i="5"/>
  <c r="L105" i="2"/>
  <c r="L83" i="2"/>
  <c r="L61" i="2"/>
  <c r="L39" i="2"/>
  <c r="L17" i="2"/>
  <c r="L94" i="2"/>
  <c r="L6" i="2"/>
  <c r="L28" i="2"/>
  <c r="B64" i="2"/>
  <c r="B86" i="3"/>
  <c r="M61" i="6"/>
  <c r="M94" i="6"/>
  <c r="B31" i="6"/>
  <c r="L28" i="3"/>
  <c r="L105" i="3"/>
  <c r="L50" i="3"/>
  <c r="M28" i="3"/>
  <c r="M61" i="3"/>
  <c r="M105" i="3"/>
  <c r="M17" i="3"/>
  <c r="M6" i="3"/>
  <c r="L48" i="4"/>
  <c r="M50" i="4" s="1"/>
  <c r="B65" i="5"/>
  <c r="M105" i="5"/>
  <c r="L17" i="3"/>
  <c r="B107" i="5"/>
  <c r="B19" i="6"/>
  <c r="M39" i="5"/>
  <c r="B52" i="4"/>
  <c r="B54" i="2"/>
  <c r="B10" i="5"/>
  <c r="L94" i="4"/>
  <c r="L72" i="4"/>
  <c r="L50" i="4"/>
  <c r="L6" i="4"/>
  <c r="L83" i="4"/>
  <c r="L39" i="4"/>
  <c r="B42" i="5"/>
  <c r="B96" i="5"/>
  <c r="L17" i="4"/>
  <c r="AB651" i="8"/>
  <c r="Z654" i="8"/>
  <c r="B10" i="6"/>
  <c r="B9" i="3"/>
  <c r="L81" i="5"/>
  <c r="Q10" i="7"/>
  <c r="B41" i="6"/>
  <c r="B74" i="2"/>
  <c r="B53" i="6"/>
  <c r="B65" i="6"/>
  <c r="X652" i="7"/>
  <c r="M83" i="5"/>
  <c r="B108" i="2"/>
  <c r="F106" i="4"/>
  <c r="F107" i="4" s="1"/>
  <c r="F108" i="4" s="1"/>
  <c r="F109" i="4" s="1"/>
  <c r="L83" i="3"/>
  <c r="B96" i="6"/>
  <c r="L81" i="6"/>
  <c r="L83" i="6" s="1"/>
  <c r="L61" i="3"/>
  <c r="B96" i="4"/>
  <c r="B31" i="5"/>
  <c r="L59" i="5"/>
  <c r="M61" i="5" s="1"/>
  <c r="M83" i="3"/>
  <c r="L105" i="4"/>
  <c r="L48" i="2"/>
  <c r="L50" i="2"/>
  <c r="B97" i="2"/>
  <c r="B108" i="3"/>
  <c r="F95" i="4"/>
  <c r="F96" i="4" s="1"/>
  <c r="F97" i="4" s="1"/>
  <c r="F98" i="4" s="1"/>
  <c r="B20" i="5"/>
  <c r="M83" i="6"/>
  <c r="AH10" i="7"/>
  <c r="AA652" i="7"/>
  <c r="B8" i="4"/>
  <c r="L72" i="3"/>
  <c r="M72" i="3"/>
  <c r="M28" i="6"/>
  <c r="M50" i="3"/>
  <c r="M17" i="6"/>
  <c r="AI10" i="7"/>
  <c r="AA651" i="8"/>
  <c r="Y654" i="8"/>
  <c r="F73" i="6"/>
  <c r="F74" i="6" s="1"/>
  <c r="F75" i="6" s="1"/>
  <c r="F76" i="6" s="1"/>
  <c r="L70" i="6"/>
  <c r="F29" i="6"/>
  <c r="F30" i="6" s="1"/>
  <c r="F31" i="6" s="1"/>
  <c r="F32" i="6" s="1"/>
  <c r="L26" i="6"/>
  <c r="L28" i="6" s="1"/>
  <c r="AH10" i="8"/>
  <c r="B74" i="6"/>
  <c r="H652" i="7"/>
  <c r="I653" i="8"/>
  <c r="B30" i="4"/>
  <c r="B74" i="4"/>
  <c r="F7" i="6"/>
  <c r="F8" i="6" s="1"/>
  <c r="F9" i="6" s="1"/>
  <c r="F10" i="6" s="1"/>
  <c r="L4" i="6"/>
  <c r="L6" i="6" s="1"/>
  <c r="F651" i="8"/>
  <c r="AA653" i="8"/>
  <c r="AI10" i="10"/>
  <c r="B30" i="2"/>
  <c r="H653" i="9"/>
  <c r="Q10" i="10"/>
  <c r="M94" i="2"/>
  <c r="M72" i="2"/>
  <c r="M50" i="2"/>
  <c r="M28" i="2"/>
  <c r="M6" i="2"/>
  <c r="M105" i="2"/>
  <c r="M83" i="2"/>
  <c r="M61" i="2"/>
  <c r="M39" i="2"/>
  <c r="B20" i="4"/>
  <c r="B64" i="4"/>
  <c r="B108" i="4"/>
  <c r="D19" i="3"/>
  <c r="D43" i="2"/>
  <c r="L8" i="2"/>
  <c r="L54" i="3"/>
  <c r="D41" i="5"/>
  <c r="D87" i="4"/>
  <c r="L95" i="6"/>
  <c r="M107" i="4"/>
  <c r="D51" i="6"/>
  <c r="H41" i="4"/>
  <c r="M107" i="6"/>
  <c r="L43" i="2"/>
  <c r="M98" i="3"/>
  <c r="M9" i="5"/>
  <c r="L41" i="5"/>
  <c r="M62" i="5"/>
  <c r="H107" i="4"/>
  <c r="D106" i="6"/>
  <c r="H85" i="6"/>
  <c r="M51" i="4"/>
  <c r="D42" i="2"/>
  <c r="D84" i="6"/>
  <c r="M64" i="6"/>
  <c r="M51" i="6"/>
  <c r="H64" i="6"/>
  <c r="L29" i="6"/>
  <c r="D85" i="6"/>
  <c r="L53" i="3"/>
  <c r="H63" i="4"/>
  <c r="D62" i="2"/>
  <c r="M30" i="5"/>
  <c r="M84" i="5"/>
  <c r="H107" i="6"/>
  <c r="M43" i="2"/>
  <c r="H98" i="3"/>
  <c r="L9" i="5"/>
  <c r="M18" i="3"/>
  <c r="M41" i="5"/>
  <c r="M95" i="6"/>
  <c r="M85" i="2"/>
  <c r="L62" i="5"/>
  <c r="H18" i="4"/>
  <c r="L84" i="2"/>
  <c r="M85" i="4"/>
  <c r="H52" i="2"/>
  <c r="H41" i="5"/>
  <c r="D62" i="5"/>
  <c r="L19" i="4"/>
  <c r="H85" i="4"/>
  <c r="M85" i="6"/>
  <c r="M95" i="5"/>
  <c r="H62" i="5"/>
  <c r="L63" i="4"/>
  <c r="D63" i="3"/>
  <c r="D9" i="6"/>
  <c r="L43" i="4"/>
  <c r="H52" i="5"/>
  <c r="M40" i="6"/>
  <c r="M29" i="4"/>
  <c r="M53" i="5"/>
  <c r="D41" i="2"/>
  <c r="H62" i="2"/>
  <c r="L85" i="2"/>
  <c r="H63" i="2"/>
  <c r="M95" i="4"/>
  <c r="L51" i="5"/>
  <c r="L85" i="3"/>
  <c r="H40" i="5"/>
  <c r="M7" i="6"/>
  <c r="H95" i="6"/>
  <c r="H85" i="2"/>
  <c r="M54" i="3"/>
  <c r="M8" i="2"/>
  <c r="H86" i="4"/>
  <c r="H43" i="2"/>
  <c r="L18" i="3"/>
  <c r="H96" i="2"/>
  <c r="H62" i="4"/>
  <c r="L107" i="6"/>
  <c r="L63" i="3"/>
  <c r="D52" i="2"/>
  <c r="H18" i="3"/>
  <c r="D85" i="5"/>
  <c r="L84" i="3"/>
  <c r="H106" i="4"/>
  <c r="H42" i="2"/>
  <c r="D85" i="2"/>
  <c r="D30" i="3"/>
  <c r="D64" i="6"/>
  <c r="H7" i="6"/>
  <c r="L42" i="2"/>
  <c r="H53" i="5"/>
  <c r="L73" i="2"/>
  <c r="D53" i="3"/>
  <c r="H54" i="5"/>
  <c r="L40" i="3"/>
  <c r="M29" i="5"/>
  <c r="D29" i="5"/>
  <c r="M85" i="3"/>
  <c r="H74" i="3"/>
  <c r="D40" i="5"/>
  <c r="M19" i="4"/>
  <c r="M73" i="2"/>
  <c r="L30" i="6"/>
  <c r="M8" i="3"/>
  <c r="D96" i="2"/>
  <c r="D97" i="3"/>
  <c r="H54" i="3"/>
  <c r="M96" i="2"/>
  <c r="D107" i="6"/>
  <c r="M63" i="3"/>
  <c r="M52" i="2"/>
  <c r="D18" i="3"/>
  <c r="M85" i="5"/>
  <c r="H84" i="5"/>
  <c r="L85" i="5"/>
  <c r="L107" i="4"/>
  <c r="M42" i="2"/>
  <c r="L85" i="6"/>
  <c r="H63" i="3"/>
  <c r="L52" i="2"/>
  <c r="H95" i="5"/>
  <c r="L40" i="6"/>
  <c r="L52" i="6"/>
  <c r="L107" i="3"/>
  <c r="H7" i="5"/>
  <c r="L84" i="6"/>
  <c r="L53" i="5"/>
  <c r="D51" i="4"/>
  <c r="M43" i="4"/>
  <c r="M30" i="3"/>
  <c r="D40" i="6"/>
  <c r="D29" i="4"/>
  <c r="D19" i="5"/>
  <c r="L84" i="5"/>
  <c r="L74" i="3"/>
  <c r="M74" i="3"/>
  <c r="D64" i="5"/>
  <c r="M29" i="6"/>
  <c r="L73" i="4"/>
  <c r="D84" i="3"/>
  <c r="D8" i="2"/>
  <c r="M52" i="3"/>
  <c r="L86" i="4"/>
  <c r="H19" i="3"/>
  <c r="D54" i="3"/>
  <c r="H8" i="2"/>
  <c r="M19" i="3"/>
  <c r="D7" i="2"/>
  <c r="M54" i="5"/>
  <c r="D53" i="5"/>
  <c r="L30" i="3"/>
  <c r="L53" i="2"/>
  <c r="M73" i="4"/>
  <c r="D54" i="5"/>
  <c r="D74" i="3"/>
  <c r="M97" i="3"/>
  <c r="D29" i="6"/>
  <c r="D95" i="4"/>
  <c r="M40" i="5"/>
  <c r="M40" i="3"/>
  <c r="D85" i="3"/>
  <c r="M7" i="4"/>
  <c r="M63" i="4"/>
  <c r="H8" i="3"/>
  <c r="L19" i="3"/>
  <c r="L54" i="5"/>
  <c r="L86" i="2"/>
  <c r="H30" i="3"/>
  <c r="M63" i="2"/>
  <c r="D53" i="2"/>
  <c r="M87" i="4"/>
  <c r="D73" i="2"/>
  <c r="H85" i="5"/>
  <c r="D73" i="4"/>
  <c r="L87" i="4"/>
  <c r="D9" i="5"/>
  <c r="H64" i="5"/>
  <c r="H40" i="3"/>
  <c r="H51" i="4"/>
  <c r="L30" i="5"/>
  <c r="D86" i="2"/>
  <c r="D30" i="6"/>
  <c r="M86" i="4"/>
  <c r="L8" i="3"/>
  <c r="D74" i="5"/>
  <c r="M41" i="2"/>
  <c r="D30" i="5"/>
  <c r="H73" i="2"/>
  <c r="D7" i="4"/>
  <c r="H19" i="4"/>
  <c r="D52" i="5"/>
  <c r="H84" i="2"/>
  <c r="L18" i="2"/>
  <c r="D62" i="3"/>
  <c r="L106" i="5"/>
  <c r="D8" i="3"/>
  <c r="H40" i="6"/>
  <c r="H42" i="4"/>
  <c r="M86" i="2"/>
  <c r="D106" i="5"/>
  <c r="L64" i="6"/>
  <c r="L7" i="4"/>
  <c r="M41" i="4"/>
  <c r="M18" i="2"/>
  <c r="H86" i="5"/>
  <c r="L18" i="6"/>
  <c r="M53" i="3"/>
  <c r="L9" i="6"/>
  <c r="D84" i="5"/>
  <c r="M107" i="2"/>
  <c r="M42" i="4"/>
  <c r="M106" i="6"/>
  <c r="D86" i="5"/>
  <c r="M18" i="6"/>
  <c r="M9" i="6"/>
  <c r="M84" i="3"/>
  <c r="L42" i="4"/>
  <c r="L52" i="3"/>
  <c r="H18" i="2"/>
  <c r="D18" i="6"/>
  <c r="H84" i="3"/>
  <c r="L96" i="2"/>
  <c r="L29" i="4"/>
  <c r="L7" i="5"/>
  <c r="D18" i="2"/>
  <c r="L86" i="5"/>
  <c r="H86" i="2"/>
  <c r="D8" i="6"/>
  <c r="H51" i="6"/>
  <c r="D7" i="5"/>
  <c r="J51" i="6" l="1"/>
  <c r="J8" i="6"/>
  <c r="J86" i="2"/>
  <c r="N86" i="5"/>
  <c r="N7" i="5"/>
  <c r="J84" i="3"/>
  <c r="J18" i="6"/>
  <c r="J18" i="2"/>
  <c r="N84" i="3"/>
  <c r="N9" i="6"/>
  <c r="N18" i="6"/>
  <c r="N106" i="6"/>
  <c r="N42" i="4"/>
  <c r="N107" i="2"/>
  <c r="J90" i="5"/>
  <c r="J89" i="5"/>
  <c r="N53" i="3"/>
  <c r="J86" i="5"/>
  <c r="N18" i="2"/>
  <c r="N41" i="4"/>
  <c r="J112" i="5"/>
  <c r="J111" i="5"/>
  <c r="J106" i="5"/>
  <c r="N86" i="2"/>
  <c r="J42" i="4"/>
  <c r="J40" i="6"/>
  <c r="N106" i="5"/>
  <c r="J68" i="3"/>
  <c r="J67" i="3"/>
  <c r="J62" i="3"/>
  <c r="J84" i="2"/>
  <c r="J19" i="4"/>
  <c r="J7" i="4"/>
  <c r="J73" i="2"/>
  <c r="J30" i="5"/>
  <c r="N41" i="2"/>
  <c r="J74" i="5"/>
  <c r="N86" i="4"/>
  <c r="J30" i="6"/>
  <c r="J51" i="4"/>
  <c r="J40" i="3"/>
  <c r="J64" i="5"/>
  <c r="J9" i="5"/>
  <c r="J78" i="4"/>
  <c r="J79" i="4"/>
  <c r="J73" i="4"/>
  <c r="J85" i="5"/>
  <c r="J79" i="2"/>
  <c r="J78" i="2"/>
  <c r="N87" i="4"/>
  <c r="J53" i="2"/>
  <c r="N63" i="2"/>
  <c r="J30" i="3"/>
  <c r="J8" i="3"/>
  <c r="N63" i="4"/>
  <c r="N7" i="4"/>
  <c r="J85" i="3"/>
  <c r="N40" i="3"/>
  <c r="N40" i="5"/>
  <c r="J100" i="4"/>
  <c r="J101" i="4"/>
  <c r="J95" i="4"/>
  <c r="J29" i="6"/>
  <c r="N97" i="3"/>
  <c r="N73" i="4"/>
  <c r="N53" i="2"/>
  <c r="N54" i="5"/>
  <c r="J7" i="2"/>
  <c r="N19" i="3"/>
  <c r="J8" i="2"/>
  <c r="J19" i="3"/>
  <c r="N52" i="3"/>
  <c r="J90" i="3"/>
  <c r="J89" i="3"/>
  <c r="N29" i="6"/>
  <c r="N74" i="3"/>
  <c r="J19" i="5"/>
  <c r="J29" i="4"/>
  <c r="N30" i="3"/>
  <c r="N43" i="4"/>
  <c r="J56" i="4"/>
  <c r="J57" i="4"/>
  <c r="N84" i="6"/>
  <c r="J7" i="5"/>
  <c r="N107" i="3"/>
  <c r="N52" i="6"/>
  <c r="J95" i="5"/>
  <c r="J63" i="3"/>
  <c r="N42" i="2"/>
  <c r="J84" i="5"/>
  <c r="N85" i="5"/>
  <c r="N52" i="2"/>
  <c r="N63" i="3"/>
  <c r="N96" i="2"/>
  <c r="J54" i="3"/>
  <c r="J97" i="3"/>
  <c r="N8" i="3"/>
  <c r="N30" i="6"/>
  <c r="N73" i="2"/>
  <c r="N19" i="4"/>
  <c r="J74" i="3"/>
  <c r="N85" i="3"/>
  <c r="J29" i="5"/>
  <c r="N29" i="5"/>
  <c r="J54" i="5"/>
  <c r="J53" i="3"/>
  <c r="J53" i="5"/>
  <c r="J7" i="6"/>
  <c r="J42" i="2"/>
  <c r="J106" i="4"/>
  <c r="J18" i="3"/>
  <c r="J62" i="4"/>
  <c r="J96" i="2"/>
  <c r="J43" i="2"/>
  <c r="J86" i="4"/>
  <c r="N8" i="2"/>
  <c r="N54" i="3"/>
  <c r="J85" i="2"/>
  <c r="J95" i="6"/>
  <c r="N7" i="6"/>
  <c r="J40" i="5"/>
  <c r="N51" i="5"/>
  <c r="N95" i="4"/>
  <c r="J63" i="2"/>
  <c r="J62" i="2"/>
  <c r="J46" i="2"/>
  <c r="J45" i="2"/>
  <c r="J41" i="2"/>
  <c r="N53" i="5"/>
  <c r="N29" i="4"/>
  <c r="N40" i="6"/>
  <c r="J52" i="5"/>
  <c r="J9" i="6"/>
  <c r="J62" i="5"/>
  <c r="N95" i="5"/>
  <c r="N85" i="6"/>
  <c r="J85" i="4"/>
  <c r="J68" i="5"/>
  <c r="J67" i="5"/>
  <c r="J41" i="5"/>
  <c r="J52" i="2"/>
  <c r="N85" i="4"/>
  <c r="N84" i="2"/>
  <c r="J18" i="4"/>
  <c r="N85" i="2"/>
  <c r="N95" i="6"/>
  <c r="N41" i="5"/>
  <c r="N18" i="3"/>
  <c r="J98" i="3"/>
  <c r="N43" i="2"/>
  <c r="J107" i="6"/>
  <c r="N84" i="5"/>
  <c r="N30" i="5"/>
  <c r="J67" i="2"/>
  <c r="J68" i="2"/>
  <c r="J63" i="4"/>
  <c r="J64" i="6"/>
  <c r="N51" i="6"/>
  <c r="N64" i="6"/>
  <c r="J90" i="6"/>
  <c r="J89" i="6"/>
  <c r="J84" i="6"/>
  <c r="N51" i="4"/>
  <c r="J85" i="6"/>
  <c r="J112" i="6"/>
  <c r="J111" i="6"/>
  <c r="J106" i="6"/>
  <c r="J107" i="4"/>
  <c r="N62" i="5"/>
  <c r="N9" i="5"/>
  <c r="N98" i="3"/>
  <c r="N107" i="6"/>
  <c r="J41" i="4"/>
  <c r="J45" i="4"/>
  <c r="J46" i="4"/>
  <c r="J57" i="6"/>
  <c r="J56" i="6"/>
  <c r="N107" i="4"/>
  <c r="J87" i="4"/>
  <c r="B32" i="6"/>
  <c r="B108" i="5"/>
  <c r="L50" i="6"/>
  <c r="M50" i="6"/>
  <c r="B21" i="4"/>
  <c r="B31" i="2"/>
  <c r="M6" i="6"/>
  <c r="B20" i="2"/>
  <c r="B109" i="2"/>
  <c r="B32" i="5"/>
  <c r="L61" i="5"/>
  <c r="B97" i="4"/>
  <c r="B75" i="6"/>
  <c r="B21" i="5"/>
  <c r="B75" i="2"/>
  <c r="M94" i="3"/>
  <c r="B65" i="2"/>
  <c r="B20" i="6"/>
  <c r="B76" i="5"/>
  <c r="B9" i="4"/>
  <c r="B87" i="3"/>
  <c r="B53" i="4"/>
  <c r="B109" i="3"/>
  <c r="B97" i="5"/>
  <c r="B87" i="6"/>
  <c r="B42" i="3"/>
  <c r="L39" i="6"/>
  <c r="M39" i="6"/>
  <c r="B75" i="4"/>
  <c r="B109" i="4"/>
  <c r="B65" i="3"/>
  <c r="B109" i="6"/>
  <c r="B21" i="3"/>
  <c r="B10" i="3"/>
  <c r="B32" i="3"/>
  <c r="B98" i="2"/>
  <c r="B43" i="5"/>
  <c r="B10" i="2"/>
  <c r="L28" i="4"/>
  <c r="L105" i="6"/>
  <c r="M105" i="6"/>
  <c r="B54" i="6"/>
  <c r="B76" i="3"/>
  <c r="M72" i="6"/>
  <c r="L72" i="6"/>
  <c r="B31" i="4"/>
  <c r="B42" i="6"/>
  <c r="B65" i="4"/>
  <c r="B97" i="6"/>
  <c r="D108" i="2"/>
  <c r="D74" i="2"/>
  <c r="D86" i="3"/>
  <c r="L9" i="3"/>
  <c r="L9" i="2"/>
  <c r="H41" i="6"/>
  <c r="L64" i="3"/>
  <c r="D19" i="6"/>
  <c r="L31" i="3"/>
  <c r="M65" i="5"/>
  <c r="H31" i="3"/>
  <c r="H75" i="5"/>
  <c r="D31" i="3"/>
  <c r="H65" i="5"/>
  <c r="L97" i="2"/>
  <c r="M9" i="3"/>
  <c r="M20" i="4"/>
  <c r="H108" i="2"/>
  <c r="M86" i="3"/>
  <c r="D74" i="4"/>
  <c r="H9" i="3"/>
  <c r="M9" i="2"/>
  <c r="D41" i="6"/>
  <c r="L20" i="4"/>
  <c r="L31" i="5"/>
  <c r="M74" i="2"/>
  <c r="M74" i="4"/>
  <c r="D9" i="3"/>
  <c r="H9" i="2"/>
  <c r="H20" i="4"/>
  <c r="H31" i="5"/>
  <c r="L74" i="2"/>
  <c r="D52" i="4"/>
  <c r="L74" i="4"/>
  <c r="H10" i="5"/>
  <c r="M41" i="6"/>
  <c r="H52" i="4"/>
  <c r="H74" i="4"/>
  <c r="M10" i="5"/>
  <c r="M64" i="4"/>
  <c r="D20" i="4"/>
  <c r="M31" i="5"/>
  <c r="L64" i="2"/>
  <c r="M52" i="4"/>
  <c r="D10" i="5"/>
  <c r="L64" i="4"/>
  <c r="D87" i="2"/>
  <c r="D31" i="5"/>
  <c r="H64" i="2"/>
  <c r="L52" i="4"/>
  <c r="M108" i="4"/>
  <c r="L10" i="5"/>
  <c r="L65" i="6"/>
  <c r="H64" i="4"/>
  <c r="L108" i="4"/>
  <c r="L54" i="2"/>
  <c r="M65" i="6"/>
  <c r="L108" i="3"/>
  <c r="H108" i="4"/>
  <c r="D65" i="6"/>
  <c r="H87" i="2"/>
  <c r="M64" i="2"/>
  <c r="M108" i="3"/>
  <c r="H54" i="2"/>
  <c r="H65" i="6"/>
  <c r="H96" i="6"/>
  <c r="H30" i="2"/>
  <c r="M96" i="4"/>
  <c r="D108" i="3"/>
  <c r="D54" i="2"/>
  <c r="D53" i="6"/>
  <c r="M19" i="6"/>
  <c r="H108" i="3"/>
  <c r="H96" i="4"/>
  <c r="M31" i="3"/>
  <c r="D65" i="5"/>
  <c r="H64" i="3"/>
  <c r="H53" i="6"/>
  <c r="L96" i="6"/>
  <c r="M30" i="2"/>
  <c r="L96" i="5"/>
  <c r="M53" i="6"/>
  <c r="L65" i="5"/>
  <c r="H96" i="5"/>
  <c r="H31" i="6"/>
  <c r="M75" i="3"/>
  <c r="H107" i="5"/>
  <c r="H30" i="4"/>
  <c r="D64" i="4"/>
  <c r="L96" i="4"/>
  <c r="L30" i="2"/>
  <c r="L87" i="2"/>
  <c r="M87" i="2"/>
  <c r="D96" i="4"/>
  <c r="L10" i="6"/>
  <c r="L53" i="6"/>
  <c r="D108" i="4"/>
  <c r="D64" i="2"/>
  <c r="M54" i="2"/>
  <c r="L19" i="6"/>
  <c r="D96" i="6"/>
  <c r="D30" i="2"/>
  <c r="H19" i="6"/>
  <c r="M96" i="6"/>
  <c r="M96" i="5"/>
  <c r="L31" i="6"/>
  <c r="D64" i="3"/>
  <c r="M64" i="3"/>
  <c r="H10" i="6"/>
  <c r="D108" i="6"/>
  <c r="D20" i="3"/>
  <c r="M108" i="2"/>
  <c r="L20" i="5"/>
  <c r="L108" i="2"/>
  <c r="D9" i="2"/>
  <c r="D96" i="5"/>
  <c r="L86" i="3"/>
  <c r="M31" i="6"/>
  <c r="L30" i="4"/>
  <c r="H86" i="3"/>
  <c r="D31" i="6"/>
  <c r="M10" i="6"/>
  <c r="M75" i="5"/>
  <c r="D86" i="6"/>
  <c r="D97" i="2"/>
  <c r="H75" i="3"/>
  <c r="M19" i="2"/>
  <c r="M107" i="5"/>
  <c r="D20" i="5"/>
  <c r="M20" i="3"/>
  <c r="M30" i="4"/>
  <c r="M20" i="5"/>
  <c r="M41" i="3"/>
  <c r="H41" i="3"/>
  <c r="H74" i="2"/>
  <c r="H87" i="5"/>
  <c r="D10" i="6"/>
  <c r="D74" i="6"/>
  <c r="L75" i="5"/>
  <c r="L86" i="6"/>
  <c r="M108" i="6"/>
  <c r="H97" i="2"/>
  <c r="D75" i="3"/>
  <c r="D87" i="5"/>
  <c r="L74" i="6"/>
  <c r="D75" i="5"/>
  <c r="H86" i="6"/>
  <c r="L108" i="6"/>
  <c r="M97" i="2"/>
  <c r="L75" i="3"/>
  <c r="M87" i="5"/>
  <c r="M74" i="6"/>
  <c r="H108" i="6"/>
  <c r="L87" i="5"/>
  <c r="L19" i="2"/>
  <c r="H74" i="6"/>
  <c r="D8" i="4"/>
  <c r="M86" i="6"/>
  <c r="H42" i="5"/>
  <c r="D107" i="5"/>
  <c r="H20" i="5"/>
  <c r="H8" i="4"/>
  <c r="L20" i="3"/>
  <c r="D42" i="5"/>
  <c r="D30" i="4"/>
  <c r="D19" i="2"/>
  <c r="M8" i="4"/>
  <c r="L41" i="3"/>
  <c r="M42" i="5"/>
  <c r="L107" i="5"/>
  <c r="H19" i="2"/>
  <c r="L8" i="4"/>
  <c r="H20" i="3"/>
  <c r="L42" i="5"/>
  <c r="D41" i="3"/>
  <c r="L41" i="6"/>
  <c r="J20" i="3" l="1"/>
  <c r="J19" i="2"/>
  <c r="N42" i="5"/>
  <c r="N8" i="4"/>
  <c r="J8" i="4"/>
  <c r="J20" i="5"/>
  <c r="J42" i="5"/>
  <c r="N86" i="6"/>
  <c r="J74" i="6"/>
  <c r="J108" i="6"/>
  <c r="N74" i="6"/>
  <c r="N87" i="5"/>
  <c r="N97" i="2"/>
  <c r="J86" i="6"/>
  <c r="J97" i="2"/>
  <c r="N108" i="6"/>
  <c r="J12" i="6"/>
  <c r="J13" i="6"/>
  <c r="J87" i="5"/>
  <c r="J74" i="2"/>
  <c r="J41" i="3"/>
  <c r="N41" i="3"/>
  <c r="N20" i="5"/>
  <c r="N30" i="4"/>
  <c r="N20" i="3"/>
  <c r="N107" i="5"/>
  <c r="N19" i="2"/>
  <c r="J75" i="3"/>
  <c r="N75" i="5"/>
  <c r="N10" i="6"/>
  <c r="J86" i="3"/>
  <c r="N31" i="6"/>
  <c r="N108" i="2"/>
  <c r="J10" i="6"/>
  <c r="N64" i="3"/>
  <c r="N96" i="5"/>
  <c r="N96" i="6"/>
  <c r="J19" i="6"/>
  <c r="N54" i="2"/>
  <c r="N87" i="2"/>
  <c r="J30" i="4"/>
  <c r="J107" i="5"/>
  <c r="N75" i="3"/>
  <c r="J31" i="6"/>
  <c r="J96" i="5"/>
  <c r="N53" i="6"/>
  <c r="N30" i="2"/>
  <c r="J53" i="6"/>
  <c r="J64" i="3"/>
  <c r="N31" i="3"/>
  <c r="J96" i="4"/>
  <c r="J108" i="3"/>
  <c r="N19" i="6"/>
  <c r="N96" i="4"/>
  <c r="J30" i="2"/>
  <c r="J96" i="6"/>
  <c r="J65" i="6"/>
  <c r="J54" i="2"/>
  <c r="N108" i="3"/>
  <c r="N64" i="2"/>
  <c r="J87" i="2"/>
  <c r="J108" i="4"/>
  <c r="N65" i="6"/>
  <c r="J64" i="4"/>
  <c r="N108" i="4"/>
  <c r="J64" i="2"/>
  <c r="J13" i="5"/>
  <c r="J12" i="5"/>
  <c r="N52" i="4"/>
  <c r="N31" i="5"/>
  <c r="N64" i="4"/>
  <c r="N10" i="5"/>
  <c r="J74" i="4"/>
  <c r="J52" i="4"/>
  <c r="N41" i="6"/>
  <c r="J10" i="5"/>
  <c r="J31" i="5"/>
  <c r="J20" i="4"/>
  <c r="J9" i="2"/>
  <c r="N74" i="4"/>
  <c r="N74" i="2"/>
  <c r="N9" i="2"/>
  <c r="J9" i="3"/>
  <c r="N86" i="3"/>
  <c r="J108" i="2"/>
  <c r="N20" i="4"/>
  <c r="N9" i="3"/>
  <c r="J65" i="5"/>
  <c r="J75" i="5"/>
  <c r="J31" i="3"/>
  <c r="N65" i="5"/>
  <c r="J41" i="6"/>
  <c r="B10" i="4"/>
  <c r="B21" i="2"/>
  <c r="B109" i="5"/>
  <c r="B32" i="4"/>
  <c r="B43" i="3"/>
  <c r="B76" i="6"/>
  <c r="B32" i="2"/>
  <c r="B98" i="5"/>
  <c r="B98" i="6"/>
  <c r="B98" i="4"/>
  <c r="B76" i="4"/>
  <c r="B43" i="6"/>
  <c r="B54" i="4"/>
  <c r="B21" i="6"/>
  <c r="B76" i="2"/>
  <c r="D87" i="6"/>
  <c r="D21" i="4"/>
  <c r="H97" i="6"/>
  <c r="H75" i="4"/>
  <c r="H10" i="2"/>
  <c r="L10" i="2"/>
  <c r="D109" i="2"/>
  <c r="H87" i="6"/>
  <c r="L42" i="3"/>
  <c r="H21" i="4"/>
  <c r="M32" i="3"/>
  <c r="D75" i="4"/>
  <c r="L32" i="6"/>
  <c r="D53" i="4"/>
  <c r="L98" i="2"/>
  <c r="M87" i="6"/>
  <c r="M42" i="3"/>
  <c r="L21" i="4"/>
  <c r="H32" i="3"/>
  <c r="L75" i="4"/>
  <c r="D10" i="2"/>
  <c r="L87" i="6"/>
  <c r="H42" i="3"/>
  <c r="L43" i="5"/>
  <c r="D32" i="3"/>
  <c r="H32" i="5"/>
  <c r="L21" i="5"/>
  <c r="M9" i="4"/>
  <c r="H43" i="5"/>
  <c r="L32" i="3"/>
  <c r="D32" i="5"/>
  <c r="M21" i="5"/>
  <c r="M43" i="5"/>
  <c r="M65" i="3"/>
  <c r="M32" i="5"/>
  <c r="H21" i="5"/>
  <c r="H9" i="4"/>
  <c r="D109" i="6"/>
  <c r="D43" i="5"/>
  <c r="L65" i="3"/>
  <c r="L32" i="5"/>
  <c r="D21" i="5"/>
  <c r="L9" i="4"/>
  <c r="L109" i="6"/>
  <c r="L76" i="5"/>
  <c r="H65" i="3"/>
  <c r="D42" i="6"/>
  <c r="M109" i="6"/>
  <c r="M76" i="5"/>
  <c r="D65" i="3"/>
  <c r="H42" i="6"/>
  <c r="L20" i="2"/>
  <c r="D75" i="6"/>
  <c r="D76" i="5"/>
  <c r="L42" i="6"/>
  <c r="H76" i="5"/>
  <c r="M65" i="2"/>
  <c r="M42" i="6"/>
  <c r="L87" i="3"/>
  <c r="L76" i="3"/>
  <c r="M97" i="4"/>
  <c r="H87" i="3"/>
  <c r="M10" i="3"/>
  <c r="D76" i="3"/>
  <c r="L53" i="4"/>
  <c r="D87" i="3"/>
  <c r="D54" i="6"/>
  <c r="H97" i="4"/>
  <c r="H53" i="4"/>
  <c r="L10" i="3"/>
  <c r="H32" i="6"/>
  <c r="L97" i="4"/>
  <c r="D109" i="4"/>
  <c r="L108" i="5"/>
  <c r="M97" i="5"/>
  <c r="M20" i="6"/>
  <c r="M109" i="3"/>
  <c r="L31" i="2"/>
  <c r="D31" i="4"/>
  <c r="D109" i="3"/>
  <c r="L97" i="6"/>
  <c r="L31" i="4"/>
  <c r="D21" i="3"/>
  <c r="D98" i="2"/>
  <c r="D42" i="3"/>
  <c r="H75" i="6"/>
  <c r="M108" i="5"/>
  <c r="H31" i="2"/>
  <c r="H109" i="6"/>
  <c r="D9" i="4"/>
  <c r="D65" i="2"/>
  <c r="H20" i="2"/>
  <c r="L54" i="6"/>
  <c r="D97" i="5"/>
  <c r="H21" i="3"/>
  <c r="H109" i="3"/>
  <c r="M98" i="2"/>
  <c r="D20" i="2"/>
  <c r="L75" i="6"/>
  <c r="M76" i="3"/>
  <c r="L65" i="2"/>
  <c r="M87" i="3"/>
  <c r="M75" i="6"/>
  <c r="H76" i="3"/>
  <c r="H65" i="2"/>
  <c r="M53" i="4"/>
  <c r="M20" i="2"/>
  <c r="H10" i="3"/>
  <c r="M54" i="6"/>
  <c r="L65" i="4"/>
  <c r="M109" i="4"/>
  <c r="D75" i="2"/>
  <c r="M21" i="3"/>
  <c r="L109" i="3"/>
  <c r="H75" i="2"/>
  <c r="H31" i="4"/>
  <c r="M75" i="2"/>
  <c r="H98" i="2"/>
  <c r="M97" i="6"/>
  <c r="H109" i="2"/>
  <c r="D10" i="3"/>
  <c r="H54" i="6"/>
  <c r="D32" i="6"/>
  <c r="D97" i="4"/>
  <c r="D20" i="6"/>
  <c r="M109" i="2"/>
  <c r="H108" i="5"/>
  <c r="L109" i="4"/>
  <c r="M32" i="6"/>
  <c r="H65" i="4"/>
  <c r="H20" i="6"/>
  <c r="L109" i="2"/>
  <c r="D108" i="5"/>
  <c r="H109" i="4"/>
  <c r="H97" i="5"/>
  <c r="M65" i="4"/>
  <c r="L20" i="6"/>
  <c r="L21" i="3"/>
  <c r="D65" i="4"/>
  <c r="M31" i="2"/>
  <c r="M31" i="4"/>
  <c r="L97" i="5"/>
  <c r="D97" i="6"/>
  <c r="L75" i="2"/>
  <c r="D31" i="2"/>
  <c r="M75" i="4"/>
  <c r="M21" i="4"/>
  <c r="M10" i="2"/>
  <c r="N10" i="2" l="1"/>
  <c r="N21" i="4"/>
  <c r="N75" i="4"/>
  <c r="N31" i="4"/>
  <c r="N31" i="2"/>
  <c r="N65" i="4"/>
  <c r="J97" i="5"/>
  <c r="J109" i="4"/>
  <c r="J20" i="6"/>
  <c r="J65" i="4"/>
  <c r="N32" i="6"/>
  <c r="J108" i="5"/>
  <c r="N109" i="2"/>
  <c r="J35" i="6"/>
  <c r="J34" i="6"/>
  <c r="J54" i="6"/>
  <c r="J12" i="3"/>
  <c r="J13" i="3"/>
  <c r="J109" i="2"/>
  <c r="N97" i="6"/>
  <c r="J98" i="2"/>
  <c r="N75" i="2"/>
  <c r="J31" i="4"/>
  <c r="J75" i="2"/>
  <c r="N21" i="3"/>
  <c r="N109" i="4"/>
  <c r="N54" i="6"/>
  <c r="J10" i="3"/>
  <c r="N20" i="2"/>
  <c r="N53" i="4"/>
  <c r="J65" i="2"/>
  <c r="J76" i="3"/>
  <c r="N75" i="6"/>
  <c r="N87" i="3"/>
  <c r="N76" i="3"/>
  <c r="N98" i="2"/>
  <c r="J109" i="3"/>
  <c r="J21" i="3"/>
  <c r="J20" i="2"/>
  <c r="J109" i="6"/>
  <c r="J31" i="2"/>
  <c r="N108" i="5"/>
  <c r="J75" i="6"/>
  <c r="J24" i="3"/>
  <c r="J23" i="3"/>
  <c r="N109" i="3"/>
  <c r="N20" i="6"/>
  <c r="N97" i="5"/>
  <c r="J32" i="6"/>
  <c r="J53" i="4"/>
  <c r="J97" i="4"/>
  <c r="N10" i="3"/>
  <c r="J87" i="3"/>
  <c r="N97" i="4"/>
  <c r="N42" i="6"/>
  <c r="N65" i="2"/>
  <c r="J76" i="5"/>
  <c r="J42" i="6"/>
  <c r="N76" i="5"/>
  <c r="N109" i="6"/>
  <c r="J65" i="3"/>
  <c r="J23" i="5"/>
  <c r="J24" i="5"/>
  <c r="J46" i="5"/>
  <c r="J45" i="5"/>
  <c r="J9" i="4"/>
  <c r="J21" i="5"/>
  <c r="N32" i="5"/>
  <c r="N65" i="3"/>
  <c r="N43" i="5"/>
  <c r="N21" i="5"/>
  <c r="J35" i="5"/>
  <c r="J34" i="5"/>
  <c r="J43" i="5"/>
  <c r="N9" i="4"/>
  <c r="J32" i="5"/>
  <c r="J35" i="3"/>
  <c r="J34" i="3"/>
  <c r="J42" i="3"/>
  <c r="J13" i="2"/>
  <c r="J12" i="2"/>
  <c r="J32" i="3"/>
  <c r="N42" i="3"/>
  <c r="N87" i="6"/>
  <c r="N32" i="3"/>
  <c r="J21" i="4"/>
  <c r="J87" i="6"/>
  <c r="J10" i="2"/>
  <c r="J75" i="4"/>
  <c r="J97" i="6"/>
  <c r="J24" i="4"/>
  <c r="J23" i="4"/>
  <c r="H109" i="5"/>
  <c r="M32" i="4"/>
  <c r="M76" i="2"/>
  <c r="H76" i="2"/>
  <c r="L98" i="5"/>
  <c r="L98" i="4"/>
  <c r="M98" i="5"/>
  <c r="D54" i="4"/>
  <c r="M21" i="2"/>
  <c r="M76" i="6"/>
  <c r="M10" i="4"/>
  <c r="L98" i="6"/>
  <c r="M98" i="6"/>
  <c r="D32" i="4"/>
  <c r="D109" i="5"/>
  <c r="H32" i="4"/>
  <c r="D98" i="4"/>
  <c r="M98" i="4"/>
  <c r="L21" i="6"/>
  <c r="H76" i="6"/>
  <c r="L10" i="4"/>
  <c r="D43" i="6"/>
  <c r="L76" i="4"/>
  <c r="H98" i="6"/>
  <c r="H32" i="2"/>
  <c r="L76" i="2"/>
  <c r="D76" i="2"/>
  <c r="D98" i="5"/>
  <c r="M21" i="6"/>
  <c r="M54" i="4"/>
  <c r="L21" i="2"/>
  <c r="L43" i="6"/>
  <c r="D32" i="2"/>
  <c r="M32" i="2"/>
  <c r="H10" i="4"/>
  <c r="M109" i="5"/>
  <c r="L32" i="4"/>
  <c r="L32" i="2"/>
  <c r="H98" i="4"/>
  <c r="L54" i="4"/>
  <c r="H21" i="6"/>
  <c r="H54" i="4"/>
  <c r="H21" i="2"/>
  <c r="M43" i="6"/>
  <c r="H43" i="3"/>
  <c r="D43" i="3"/>
  <c r="H98" i="5"/>
  <c r="D21" i="6"/>
  <c r="H43" i="6"/>
  <c r="D76" i="4"/>
  <c r="H76" i="4"/>
  <c r="D98" i="6"/>
  <c r="D76" i="6"/>
  <c r="L76" i="6"/>
  <c r="D10" i="4"/>
  <c r="M76" i="4"/>
  <c r="L109" i="5"/>
  <c r="L43" i="3"/>
  <c r="D21" i="2"/>
  <c r="M43" i="3"/>
  <c r="N43" i="3" l="1"/>
  <c r="J24" i="2"/>
  <c r="J23" i="2"/>
  <c r="N76" i="4"/>
  <c r="J13" i="4"/>
  <c r="J12" i="4"/>
  <c r="J76" i="4"/>
  <c r="J43" i="6"/>
  <c r="J23" i="6"/>
  <c r="J24" i="6"/>
  <c r="J98" i="5"/>
  <c r="J46" i="3"/>
  <c r="J45" i="3"/>
  <c r="J43" i="3"/>
  <c r="N43" i="6"/>
  <c r="J21" i="2"/>
  <c r="J54" i="4"/>
  <c r="J21" i="6"/>
  <c r="J98" i="4"/>
  <c r="N109" i="5"/>
  <c r="J10" i="4"/>
  <c r="N32" i="2"/>
  <c r="J35" i="2"/>
  <c r="J34" i="2"/>
  <c r="N54" i="4"/>
  <c r="N21" i="6"/>
  <c r="J32" i="2"/>
  <c r="J98" i="6"/>
  <c r="J45" i="6"/>
  <c r="J46" i="6"/>
  <c r="J76" i="6"/>
  <c r="N98" i="4"/>
  <c r="J32" i="4"/>
  <c r="J34" i="4"/>
  <c r="J35" i="4"/>
  <c r="N98" i="6"/>
  <c r="N10" i="4"/>
  <c r="N76" i="6"/>
  <c r="N21" i="2"/>
  <c r="N98" i="5"/>
  <c r="J76" i="2"/>
  <c r="N76" i="2"/>
  <c r="N32" i="4"/>
  <c r="J109" i="5"/>
</calcChain>
</file>

<file path=xl/sharedStrings.xml><?xml version="1.0" encoding="utf-8"?>
<sst xmlns="http://schemas.openxmlformats.org/spreadsheetml/2006/main" count="7317" uniqueCount="190">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</sst>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D6-4150-A418-43689E4C6241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D6-4150-A418-43689E4C624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D6-4150-A418-43689E4C624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D6-4150-A418-43689E4C6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6A-4CF4-9D31-EDB0392CCECE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6A-4CF4-9D31-EDB0392CCE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6A-4CF4-9D31-EDB0392CCE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6A-4CF4-9D31-EDB0392CC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A7-4919-A621-6DFA2999F8C0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28.276144000000002</c:v>
                </c:pt>
                <c:pt idx="1">
                  <c:v>41.070544000000005</c:v>
                </c:pt>
                <c:pt idx="2">
                  <c:v>61.787431999999995</c:v>
                </c:pt>
                <c:pt idx="3">
                  <c:v>90.324391999999989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30.51927776190476</c:v>
                </c:pt>
                <c:pt idx="1">
                  <c:v>33.915609571428568</c:v>
                </c:pt>
                <c:pt idx="2">
                  <c:v>38.173969523809532</c:v>
                </c:pt>
                <c:pt idx="3">
                  <c:v>42.388943999999995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A7-4919-A621-6DFA2999F8C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A7-4919-A621-6DFA2999F8C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6A7-4919-A621-6DFA2999F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C6-46EE-9BF0-CB90F96D128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C6-46EE-9BF0-CB90F96D12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C6-46EE-9BF0-CB90F96D12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C6-46EE-9BF0-CB90F96D1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F3-4107-978A-3E82607E092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F3-4107-978A-3E82607E09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F3-4107-978A-3E82607E09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F3-4107-978A-3E82607E0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65-4B9A-8818-6653BAAC9318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65-4B9A-8818-6653BAAC93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65-4B9A-8818-6653BAAC93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65-4B9A-8818-6653BAAC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03-4B7B-A0B6-AAF1FAF62EE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03-4B7B-A0B6-AAF1FAF62EE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03-4B7B-A0B6-AAF1FAF62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D2-4512-BA0F-029DDC57E61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D2-4512-BA0F-029DDC57E61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D2-4512-BA0F-029DDC57E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7B-4D2E-B2DE-A701569CF3C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7B-4D2E-B2DE-A701569CF3C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7B-4D2E-B2DE-A701569CF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C2-4AB9-BDFE-A81A439D67F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C2-4AB9-BDFE-A81A439D67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C2-4AB9-BDFE-A81A439D67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C2-4AB9-BDFE-A81A439D6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79-44A2-98B3-7E4429358116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79-44A2-98B3-7E442935811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79-44A2-98B3-7E442935811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79-44A2-98B3-7E4429358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7-4499-B741-C287021AF2D8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7-4499-B741-C287021AF2D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7-4499-B741-C287021AF2D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7-4499-B741-C287021A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B0-421A-AA3C-0921098FB492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28.276144000000002</c:v>
                </c:pt>
                <c:pt idx="1">
                  <c:v>41.070544000000005</c:v>
                </c:pt>
                <c:pt idx="2">
                  <c:v>61.787431999999995</c:v>
                </c:pt>
                <c:pt idx="3">
                  <c:v>90.324391999999989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34.420138285714287</c:v>
                </c:pt>
                <c:pt idx="1">
                  <c:v>37.252876952380959</c:v>
                </c:pt>
                <c:pt idx="2">
                  <c:v>41.493205095238103</c:v>
                </c:pt>
                <c:pt idx="3">
                  <c:v>45.453762904761909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B0-421A-AA3C-0921098FB49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B0-421A-AA3C-0921098FB49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B0-421A-AA3C-0921098FB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EA-40AB-A5AE-BD7D85671B9F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EA-40AB-A5AE-BD7D85671B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EA-40AB-A5AE-BD7D85671B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EA-40AB-A5AE-BD7D85671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66-42C9-990A-1AB9C0579876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66-42C9-990A-1AB9C057987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66-42C9-990A-1AB9C057987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66-42C9-990A-1AB9C057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96-4665-A562-A5B584DBFD1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96-4665-A562-A5B584DBFD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96-4665-A562-A5B584DBFD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96-4665-A562-A5B584DBF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02-419F-9CB6-F1CE9A60A89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02-419F-9CB6-F1CE9A60A8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02-419F-9CB6-F1CE9A60A8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02-419F-9CB6-F1CE9A60A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C9-41D3-AC3D-BAAFF93C1C44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C9-41D3-AC3D-BAAFF93C1C4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C9-41D3-AC3D-BAAFF93C1C4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C9-41D3-AC3D-BAAFF93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ED-48E9-BC20-DE2E157D982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ED-48E9-BC20-DE2E157D982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ED-48E9-BC20-DE2E15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2-4A9D-A849-36CF188C16D9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2-4A9D-A849-36CF188C16D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2-4A9D-A849-36CF188C16D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2-4A9D-A849-36CF188C1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3-4BBF-A8B5-39CB59629400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3-4BBF-A8B5-39CB596294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3-4BBF-A8B5-39CB596294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23-4BBF-A8B5-39CB59629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54-4B54-A310-555F6FD742D1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54-4B54-A310-555F6FD742D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54-4B54-A310-555F6FD742D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54-4B54-A310-555F6FD74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6C-46E0-82A8-D56C13981F2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28.276144000000002</c:v>
                </c:pt>
                <c:pt idx="1">
                  <c:v>41.070544000000005</c:v>
                </c:pt>
                <c:pt idx="2">
                  <c:v>61.787431999999995</c:v>
                </c:pt>
                <c:pt idx="3">
                  <c:v>90.324391999999989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0.96598534523809521</c:v>
                </c:pt>
                <c:pt idx="1">
                  <c:v>0.97914374095238088</c:v>
                </c:pt>
                <c:pt idx="2">
                  <c:v>0.98898263523809526</c:v>
                </c:pt>
                <c:pt idx="3">
                  <c:v>0.99382361047619028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6C-46E0-82A8-D56C13981F2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6C-46E0-82A8-D56C13981F2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6C-46E0-82A8-D56C1398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74-4042-91EC-C4398B101AAF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74-4042-91EC-C4398B101AA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74-4042-91EC-C4398B101AA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74-4042-91EC-C4398B101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F8-409D-A0EE-293246821C87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F8-409D-A0EE-293246821C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F8-409D-A0EE-293246821C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F8-409D-A0EE-293246821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B-4540-843C-50684ADE5FE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B-4540-843C-50684ADE5F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0B-4540-843C-50684ADE5F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0B-4540-843C-50684ADE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10-4D3E-BB06-8EC45FF5589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10-4D3E-BB06-8EC45FF5589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10-4D3E-BB06-8EC45FF5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E-468B-8A36-D0777B1DACE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E-468B-8A36-D0777B1DACE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E-468B-8A36-D0777B1DA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E2-46B0-A1E9-999813FCD9B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E2-46B0-A1E9-999813FCD9B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E2-46B0-A1E9-999813FCD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BB-4F31-BBB3-39CB3A136988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BB-4F31-BBB3-39CB3A1369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BB-4F31-BBB3-39CB3A1369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BB-4F31-BBB3-39CB3A136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8-40E4-ACFD-B62195D7C969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58-40E4-ACFD-B62195D7C96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58-40E4-ACFD-B62195D7C96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58-40E4-ACFD-B62195D7C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7A-4D6F-9FB4-0DDEF1CB7D4A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7A-4D6F-9FB4-0DDEF1CB7D4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7A-4D6F-9FB4-0DDEF1CB7D4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7A-4D6F-9FB4-0DDEF1CB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D5-476D-86E1-5E0B7984A1AB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28.276144000000002</c:v>
                </c:pt>
                <c:pt idx="1">
                  <c:v>41.070544000000005</c:v>
                </c:pt>
                <c:pt idx="2">
                  <c:v>61.787431999999995</c:v>
                </c:pt>
                <c:pt idx="3">
                  <c:v>90.324391999999989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0.97313269476190478</c:v>
                </c:pt>
                <c:pt idx="1">
                  <c:v>0.9844055233333332</c:v>
                </c:pt>
                <c:pt idx="2">
                  <c:v>0.99259552476190493</c:v>
                </c:pt>
                <c:pt idx="3">
                  <c:v>0.99640912809523807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5-476D-86E1-5E0B7984A1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D5-476D-86E1-5E0B7984A1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D5-476D-86E1-5E0B7984A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14-490F-BF3F-21B93107F2EE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14-490F-BF3F-21B93107F2E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14-490F-BF3F-21B93107F2E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14-490F-BF3F-21B93107F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2-492E-9AC1-2CA67D8F3EE7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A2-492E-9AC1-2CA67D8F3EE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A2-492E-9AC1-2CA67D8F3EE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A2-492E-9AC1-2CA67D8F3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C-4EC6-8B93-5EFD148ACBDD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EC-4EC6-8B93-5EFD148ACB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EC-4EC6-8B93-5EFD148ACB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EC-4EC6-8B93-5EFD148AC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2-4080-BB8E-6CC6EC6B0637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E2-4080-BB8E-6CC6EC6B063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E2-4080-BB8E-6CC6EC6B063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E2-4080-BB8E-6CC6EC6B0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A5-4B92-BFB9-A15A5599EB9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A5-4B92-BFB9-A15A5599EB9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A5-4B92-BFB9-A15A5599E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95-49D8-8C8E-E9E3F098A1C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95-49D8-8C8E-E9E3F098A1C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95-49D8-8C8E-E9E3F098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EF-4FEB-B5D1-11855325E31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EF-4FEB-B5D1-11855325E31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EF-4FEB-B5D1-11855325E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C-4C24-B38A-17B5FA409D5C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BC-4C24-B38A-17B5FA409D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BC-4C24-B38A-17B5FA409D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BC-4C24-B38A-17B5FA4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57-48CA-9DB4-FE5AF36FF4C7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57-48CA-9DB4-FE5AF36FF4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57-48CA-9DB4-FE5AF36FF4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57-48CA-9DB4-FE5AF36FF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1B-429A-90AE-2419A0DE6A5C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1B-429A-90AE-2419A0DE6A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1B-429A-90AE-2419A0DE6A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1B-429A-90AE-2419A0D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78-479C-AF80-CEF4FB07448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28.276144000000002</c:v>
                </c:pt>
                <c:pt idx="1">
                  <c:v>41.070544000000005</c:v>
                </c:pt>
                <c:pt idx="2">
                  <c:v>61.787431999999995</c:v>
                </c:pt>
                <c:pt idx="3">
                  <c:v>90.324391999999989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5.739088352380952E-2</c:v>
                </c:pt>
                <c:pt idx="1">
                  <c:v>3.7364834809523809E-2</c:v>
                </c:pt>
                <c:pt idx="2">
                  <c:v>2.0834901142857146E-2</c:v>
                </c:pt>
                <c:pt idx="3">
                  <c:v>9.1692796190476194E-3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78-479C-AF80-CEF4FB0744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78-479C-AF80-CEF4FB0744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28.276144000000002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78-479C-AF80-CEF4FB074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3D-4938-B3FD-4BF805DA1925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3D-4938-B3FD-4BF805DA192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3D-4938-B3FD-4BF805DA192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3D-4938-B3FD-4BF805DA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E-4F42-B1D7-B1E5D8BA4615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DE-4F42-B1D7-B1E5D8BA46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DE-4F42-B1D7-B1E5D8BA46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DE-4F42-B1D7-B1E5D8BA4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3C-42D9-992C-AD29C47C22F5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3C-42D9-992C-AD29C47C22F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3C-42D9-992C-AD29C47C22F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3C-42D9-992C-AD29C47C2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6-4653-8CE9-9BB7AA3CBEB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06-4653-8CE9-9BB7AA3CBEB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06-4653-8CE9-9BB7AA3CB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1-455D-ABBE-8BA37E4EADC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D1-455D-ABBE-8BA37E4EADC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1-455D-ABBE-8BA37E4EA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7-42E2-819D-FDF1BB082A0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47-42E2-819D-FDF1BB082A0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7-42E2-819D-FDF1BB082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B1-4F34-8494-4AA8F6D64651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B1-4F34-8494-4AA8F6D6465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B1-4F34-8494-4AA8F6D6465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B1-4F34-8494-4AA8F6D64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C3" sqref="C3:H3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3" t="s">
        <v>0</v>
      </c>
      <c r="B1" s="168"/>
      <c r="C1" s="168"/>
      <c r="D1" s="173" t="s">
        <v>0</v>
      </c>
      <c r="E1" s="173" t="s">
        <v>0</v>
      </c>
      <c r="F1" s="173"/>
      <c r="G1" s="173"/>
      <c r="H1" s="173"/>
      <c r="I1" s="173" t="s">
        <v>0</v>
      </c>
    </row>
    <row r="2" spans="1:9" x14ac:dyDescent="0.25">
      <c r="A2" s="168"/>
      <c r="B2" s="5"/>
      <c r="C2" s="150"/>
      <c r="D2" s="168"/>
      <c r="E2" s="168"/>
      <c r="F2" s="168"/>
      <c r="G2" s="168"/>
      <c r="H2" s="168"/>
      <c r="I2" s="168"/>
    </row>
    <row r="3" spans="1:9" x14ac:dyDescent="0.25">
      <c r="A3" s="168"/>
      <c r="B3" s="5" t="s">
        <v>1</v>
      </c>
      <c r="C3" s="274" t="s">
        <v>2</v>
      </c>
      <c r="D3" s="275"/>
      <c r="E3" s="275"/>
      <c r="F3" s="275"/>
      <c r="G3" s="275"/>
      <c r="H3" s="275"/>
      <c r="I3" s="168"/>
    </row>
    <row r="4" spans="1:9" x14ac:dyDescent="0.25">
      <c r="A4" s="168"/>
      <c r="B4" s="5" t="s">
        <v>3</v>
      </c>
      <c r="C4" s="274" t="s">
        <v>4</v>
      </c>
      <c r="D4" s="275"/>
      <c r="E4" s="275"/>
      <c r="F4" s="275"/>
      <c r="G4" s="275"/>
      <c r="H4" s="275"/>
      <c r="I4" s="168"/>
    </row>
    <row r="5" spans="1:9" x14ac:dyDescent="0.25">
      <c r="A5" s="168"/>
      <c r="B5" s="5"/>
      <c r="C5" s="150"/>
      <c r="D5" s="168"/>
      <c r="E5" s="168"/>
      <c r="F5" s="168"/>
      <c r="G5" s="168"/>
      <c r="H5" s="168"/>
      <c r="I5" s="168"/>
    </row>
    <row r="6" spans="1:9" x14ac:dyDescent="0.25">
      <c r="A6" s="168"/>
      <c r="B6" s="2"/>
      <c r="C6" s="2"/>
      <c r="D6" s="168"/>
      <c r="E6" s="168"/>
      <c r="F6" s="168"/>
      <c r="G6" s="168"/>
      <c r="H6" s="168"/>
      <c r="I6" s="168"/>
    </row>
    <row r="7" spans="1:9" s="16" customFormat="1" ht="16.5" customHeight="1" thickBot="1" x14ac:dyDescent="0.3">
      <c r="A7" s="174"/>
      <c r="B7" s="276"/>
      <c r="C7" s="277"/>
      <c r="D7" s="277"/>
      <c r="E7" s="277"/>
      <c r="F7" s="277"/>
      <c r="G7" s="277"/>
      <c r="H7" s="277"/>
      <c r="I7" s="174"/>
    </row>
    <row r="8" spans="1:9" ht="30" customHeight="1" thickBot="1" x14ac:dyDescent="0.3">
      <c r="A8" s="168"/>
      <c r="B8" s="203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8" t="s">
        <v>10</v>
      </c>
      <c r="I8" s="14"/>
    </row>
    <row r="9" spans="1:9" ht="15.75" customHeight="1" x14ac:dyDescent="0.25">
      <c r="A9" s="168"/>
      <c r="B9" s="175" t="str">
        <f t="shared" ref="B9:B18" ca="1" si="0">INDIRECT(C9&amp;"!B2")</f>
        <v>breakfast_track</v>
      </c>
      <c r="C9" s="196" t="s">
        <v>11</v>
      </c>
      <c r="D9" s="218" t="e">
        <f t="shared" ref="D9:D18" ca="1" si="1">INDIRECT($C9&amp;"!AM$5")</f>
        <v>#NAME?</v>
      </c>
      <c r="E9" s="218" t="e">
        <f t="shared" ref="E9:E18" ca="1" si="2">INDIRECT($C9&amp;"!AN$5")</f>
        <v>#NAME?</v>
      </c>
      <c r="F9" s="218" t="e">
        <f t="shared" ref="F9:F18" ca="1" si="3">INDIRECT($C9&amp;"!AO$5")</f>
        <v>#NAME?</v>
      </c>
      <c r="G9" s="218" t="e">
        <f t="shared" ref="G9:G18" ca="1" si="4">INDIRECT($C9&amp;"!AP$5")</f>
        <v>#NAME?</v>
      </c>
      <c r="H9" s="219" t="e">
        <f t="shared" ref="H9:H18" ca="1" si="5">INDIRECT($C9&amp;"!AQ$5")</f>
        <v>#NAME?</v>
      </c>
      <c r="I9" s="220"/>
    </row>
    <row r="10" spans="1:9" ht="15.75" customHeight="1" x14ac:dyDescent="0.25">
      <c r="A10" s="168"/>
      <c r="B10" s="175" t="str">
        <f t="shared" ca="1" si="0"/>
        <v>breakfast_semitrack</v>
      </c>
      <c r="C10" s="196" t="s">
        <v>12</v>
      </c>
      <c r="D10" s="218" t="e">
        <f t="shared" ca="1" si="1"/>
        <v>#NAME?</v>
      </c>
      <c r="E10" s="218" t="e">
        <f t="shared" ca="1" si="2"/>
        <v>#NAME?</v>
      </c>
      <c r="F10" s="218" t="e">
        <f t="shared" ca="1" si="3"/>
        <v>#NAME?</v>
      </c>
      <c r="G10" s="218" t="e">
        <f t="shared" ca="1" si="4"/>
        <v>#NAME?</v>
      </c>
      <c r="H10" s="221" t="e">
        <f t="shared" ca="1" si="5"/>
        <v>#NAME?</v>
      </c>
      <c r="I10" s="220"/>
    </row>
    <row r="11" spans="1:9" ht="15.75" customHeight="1" x14ac:dyDescent="0.25">
      <c r="A11" s="168"/>
      <c r="B11" s="175" t="str">
        <f t="shared" ca="1" si="0"/>
        <v>cinema_track</v>
      </c>
      <c r="C11" s="196" t="s">
        <v>13</v>
      </c>
      <c r="D11" s="218" t="e">
        <f t="shared" ca="1" si="1"/>
        <v>#NAME?</v>
      </c>
      <c r="E11" s="218" t="e">
        <f t="shared" ca="1" si="2"/>
        <v>#NAME?</v>
      </c>
      <c r="F11" s="218" t="e">
        <f t="shared" ca="1" si="3"/>
        <v>#NAME?</v>
      </c>
      <c r="G11" s="218" t="e">
        <f t="shared" ca="1" si="4"/>
        <v>#NAME?</v>
      </c>
      <c r="H11" s="221" t="e">
        <f t="shared" ca="1" si="5"/>
        <v>#NAME?</v>
      </c>
      <c r="I11" s="220"/>
    </row>
    <row r="12" spans="1:9" ht="15.75" customHeight="1" x14ac:dyDescent="0.25">
      <c r="A12" s="168"/>
      <c r="B12" s="175" t="str">
        <f t="shared" ca="1" si="0"/>
        <v>cinema_semitrack</v>
      </c>
      <c r="C12" s="197" t="s">
        <v>14</v>
      </c>
      <c r="D12" s="218" t="e">
        <f t="shared" ca="1" si="1"/>
        <v>#NAME?</v>
      </c>
      <c r="E12" s="218" t="e">
        <f t="shared" ca="1" si="2"/>
        <v>#NAME?</v>
      </c>
      <c r="F12" s="218" t="e">
        <f t="shared" ca="1" si="3"/>
        <v>#NAME?</v>
      </c>
      <c r="G12" s="218" t="e">
        <f t="shared" ca="1" si="4"/>
        <v>#NAME?</v>
      </c>
      <c r="H12" s="221" t="e">
        <f t="shared" ca="1" si="5"/>
        <v>#NAME?</v>
      </c>
      <c r="I12" s="220"/>
    </row>
    <row r="13" spans="1:9" ht="15.75" customHeight="1" x14ac:dyDescent="0.25">
      <c r="A13" s="168"/>
      <c r="B13" s="175" t="e">
        <f t="shared" ca="1" si="0"/>
        <v>#REF!</v>
      </c>
      <c r="C13" s="197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8"/>
      <c r="B14" s="175" t="e">
        <f t="shared" ca="1" si="0"/>
        <v>#REF!</v>
      </c>
      <c r="C14" s="196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8"/>
      <c r="B15" s="175" t="e">
        <f t="shared" ca="1" si="0"/>
        <v>#REF!</v>
      </c>
      <c r="C15" s="196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8"/>
      <c r="B16" s="175" t="e">
        <f t="shared" ca="1" si="0"/>
        <v>#REF!</v>
      </c>
      <c r="C16" s="196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8"/>
      <c r="B17" s="175" t="e">
        <f t="shared" ca="1" si="0"/>
        <v>#REF!</v>
      </c>
      <c r="C17" s="196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8"/>
      <c r="B18" s="175" t="e">
        <f t="shared" ca="1" si="0"/>
        <v>#REF!</v>
      </c>
      <c r="C18" s="196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8"/>
      <c r="B19" s="272" t="s">
        <v>15</v>
      </c>
      <c r="C19" s="273"/>
      <c r="D19" s="222" t="e">
        <f ca="1">IF(COUNTIF(D10:D15,"=0")&gt;0,0,AVERAGE(D10:D15))</f>
        <v>#NAME?</v>
      </c>
      <c r="E19" s="222" t="e">
        <f ca="1">IF(COUNTIF(E10:E15,"=0")&gt;0,0,AVERAGE(E10:E15))</f>
        <v>#NAME?</v>
      </c>
      <c r="F19" s="222" t="e">
        <f ca="1">IF(COUNTIF(F10:F15,"=0")&gt;0,0,AVERAGE(F10:F15))</f>
        <v>#NAME?</v>
      </c>
      <c r="G19" s="222" t="e">
        <f ca="1">IF(COUNTIF(G10:G15,"=0")&gt;0,0,AVERAGE(G10:G15))</f>
        <v>#NAME?</v>
      </c>
      <c r="H19" s="223" t="e">
        <f ca="1">IF(COUNTIF(H10:H15,"=0")&gt;0,0,AVERAGE(H10:H15))</f>
        <v>#NAME?</v>
      </c>
      <c r="I19" s="220"/>
    </row>
    <row r="20" spans="1:9" ht="15.75" customHeight="1" x14ac:dyDescent="0.25">
      <c r="B20" s="176"/>
      <c r="C20" s="177"/>
      <c r="D20" s="220"/>
      <c r="E20" s="220"/>
      <c r="F20" s="220"/>
      <c r="G20" s="220"/>
      <c r="H20" s="220"/>
      <c r="I20" s="220"/>
    </row>
    <row r="21" spans="1:9" ht="15.75" customHeight="1" x14ac:dyDescent="0.25">
      <c r="B21" s="176"/>
      <c r="C21" s="177"/>
      <c r="D21" s="220"/>
      <c r="E21" s="220"/>
      <c r="F21" s="220"/>
      <c r="G21" s="220"/>
      <c r="H21" s="220"/>
      <c r="I21" s="220"/>
    </row>
    <row r="22" spans="1:9" ht="15.75" customHeight="1" x14ac:dyDescent="0.25">
      <c r="B22" s="88"/>
      <c r="D22" s="224"/>
      <c r="E22" s="224"/>
      <c r="F22" s="224"/>
      <c r="G22" s="224"/>
      <c r="H22" s="224"/>
      <c r="I22" s="174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6" bestFit="1" customWidth="1"/>
    <col min="2" max="2" width="19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18.5" style="206" bestFit="1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21.5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9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19</v>
      </c>
      <c r="M3" s="87" t="s">
        <v>20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24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#NAME?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#NAME?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7"/>
      <c r="C14" s="207"/>
      <c r="D14" s="235"/>
      <c r="E14" s="226"/>
      <c r="F14" s="207"/>
      <c r="G14" s="207"/>
      <c r="H14" s="235"/>
      <c r="I14" s="10"/>
      <c r="J14" s="200"/>
      <c r="L14" s="201"/>
      <c r="M14" s="201"/>
      <c r="N14" s="202"/>
      <c r="O14" s="226"/>
      <c r="P14" s="205"/>
      <c r="Q14" s="226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24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#NAME?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#NAME?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24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#NAME?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#NAME?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24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28.276144000000002</v>
      </c>
      <c r="I40" s="10"/>
      <c r="J40" s="228">
        <f ca="1">H40/D40-1</f>
        <v>-1.4374481227571456E-3</v>
      </c>
      <c r="L40" s="76">
        <f ca="1">INDIRECT($B40&amp;"!"&amp;L$3&amp;"5")</f>
        <v>30.214093190476195</v>
      </c>
      <c r="M40" s="77">
        <f ca="1">INDIRECT($B40&amp;"!"&amp;M$3&amp;"5")</f>
        <v>30.51927776190476</v>
      </c>
      <c r="N40" s="78">
        <f ca="1">M40-L40</f>
        <v>0.30518457142856548</v>
      </c>
      <c r="O40" s="226"/>
      <c r="P40" s="228" t="e">
        <f ca="1">bdrate(D40:D43,L40:L43,H40:H43,M40:M43)</f>
        <v>#NAME?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41.070544000000005</v>
      </c>
      <c r="I41" s="10"/>
      <c r="J41" s="228">
        <f ca="1">H41/D41-1</f>
        <v>-1.3600969497024051E-3</v>
      </c>
      <c r="L41" s="76">
        <f ca="1">INDIRECT($B41&amp;"!"&amp;L$3&amp;"6")</f>
        <v>32.999578714285725</v>
      </c>
      <c r="M41" s="77">
        <f ca="1">INDIRECT($B41&amp;"!"&amp;M$3&amp;"6")</f>
        <v>33.915609571428568</v>
      </c>
      <c r="N41" s="78">
        <f ca="1">M41-L41</f>
        <v>0.91603085714284305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61.787431999999995</v>
      </c>
      <c r="I42" s="10"/>
      <c r="J42" s="228">
        <f ca="1">H42/D42-1</f>
        <v>-1.2544726391513494E-3</v>
      </c>
      <c r="L42" s="76">
        <f ca="1">INDIRECT($B42&amp;"!"&amp;L$3&amp;"7")</f>
        <v>36.248342999999991</v>
      </c>
      <c r="M42" s="77">
        <f ca="1">INDIRECT($B42&amp;"!"&amp;M$3&amp;"7")</f>
        <v>38.173969523809532</v>
      </c>
      <c r="N42" s="78">
        <f ca="1">M42-L42</f>
        <v>1.9256265238095409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90.324391999999989</v>
      </c>
      <c r="I43" s="10"/>
      <c r="J43" s="228">
        <f ca="1">H43/D43-1</f>
        <v>-1.0215805122858468E-3</v>
      </c>
      <c r="L43" s="76">
        <f ca="1">INDIRECT($B43&amp;"!"&amp;L$3&amp;"8")</f>
        <v>39.028174857142858</v>
      </c>
      <c r="M43" s="77">
        <f ca="1">INDIRECT($B43&amp;"!"&amp;M$3&amp;"8")</f>
        <v>42.388943999999995</v>
      </c>
      <c r="N43" s="78">
        <f ca="1">M43-L43</f>
        <v>3.3607691428571371</v>
      </c>
      <c r="O43" s="226"/>
      <c r="P43" s="231" t="e">
        <f ca="1">bdrate(L40:L43,D40:D43,M40:M43,H40:H43)</f>
        <v>#NAME?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28.276144000000002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24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#NAME?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#NAME?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24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#NAME?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#NAME?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24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#NAME?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#NAME?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24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#NAME?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#NAME?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24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#NAME?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#NAME?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24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#NAME?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#NAME?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3"/>
      <c r="C182" s="183"/>
      <c r="D182" s="3"/>
      <c r="E182" s="3"/>
      <c r="F182" s="3"/>
      <c r="G182" s="3"/>
      <c r="H182" s="3"/>
      <c r="I182" s="3"/>
      <c r="J182" s="3"/>
      <c r="L182" s="183"/>
      <c r="M182" s="183"/>
      <c r="N182" s="3"/>
      <c r="O182" s="3"/>
      <c r="P182" s="3"/>
      <c r="Q182" s="3"/>
      <c r="R182" s="3"/>
      <c r="S182" s="3"/>
      <c r="T182" s="3"/>
      <c r="U182" s="3"/>
      <c r="V182" s="3"/>
      <c r="X182" s="183"/>
      <c r="Y182" s="183"/>
      <c r="Z182" s="183"/>
    </row>
    <row r="183" spans="2:28" x14ac:dyDescent="0.25">
      <c r="B183" s="40"/>
      <c r="C183" s="183"/>
      <c r="D183" s="226"/>
      <c r="E183" s="226"/>
      <c r="F183" s="226"/>
      <c r="G183" s="226"/>
      <c r="H183" s="10"/>
      <c r="I183" s="10"/>
      <c r="J183" s="10"/>
      <c r="L183" s="40"/>
      <c r="M183" s="183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6"/>
      <c r="AB183" s="230"/>
    </row>
    <row r="184" spans="2:28" x14ac:dyDescent="0.25">
      <c r="B184" s="40"/>
      <c r="C184" s="183"/>
      <c r="D184" s="226"/>
      <c r="E184" s="226"/>
      <c r="F184" s="226"/>
      <c r="G184" s="226"/>
      <c r="H184" s="10"/>
      <c r="I184" s="10"/>
      <c r="J184" s="10"/>
      <c r="L184" s="40"/>
      <c r="M184" s="183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6"/>
    </row>
    <row r="185" spans="2:28" x14ac:dyDescent="0.25">
      <c r="B185" s="40"/>
      <c r="C185" s="183"/>
      <c r="D185" s="226"/>
      <c r="E185" s="226"/>
      <c r="F185" s="226"/>
      <c r="G185" s="226"/>
      <c r="H185" s="10"/>
      <c r="I185" s="10"/>
      <c r="J185" s="10"/>
      <c r="L185" s="40"/>
      <c r="M185" s="183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6"/>
    </row>
    <row r="186" spans="2:28" ht="16.5" customHeight="1" x14ac:dyDescent="0.25">
      <c r="B186" s="40"/>
      <c r="C186" s="183"/>
      <c r="D186" s="226"/>
      <c r="E186" s="226"/>
      <c r="F186" s="226"/>
      <c r="G186" s="226"/>
      <c r="H186" s="10"/>
      <c r="I186" s="10"/>
      <c r="J186" s="10"/>
      <c r="L186" s="40"/>
      <c r="M186" s="183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6"/>
      <c r="AB186" s="230"/>
    </row>
    <row r="187" spans="2:28" x14ac:dyDescent="0.25">
      <c r="B187" s="40"/>
      <c r="C187" s="183"/>
      <c r="D187" s="226"/>
      <c r="E187" s="226"/>
      <c r="F187" s="226"/>
      <c r="G187" s="226"/>
      <c r="H187" s="10"/>
      <c r="I187" s="10"/>
      <c r="J187" s="10"/>
      <c r="L187" s="40"/>
      <c r="M187" s="183"/>
      <c r="N187" s="226"/>
      <c r="O187" s="226"/>
      <c r="P187" s="226"/>
      <c r="Q187" s="226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6"/>
      <c r="E188" s="226"/>
      <c r="F188" s="226"/>
      <c r="G188" s="226"/>
      <c r="H188" s="10"/>
      <c r="I188" s="10"/>
      <c r="J188" s="10"/>
      <c r="L188" s="40"/>
      <c r="M188" s="183"/>
      <c r="N188" s="226"/>
      <c r="O188" s="226"/>
      <c r="P188" s="226"/>
      <c r="Q188" s="226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33</v>
      </c>
      <c r="M3" s="87" t="s">
        <v>34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35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#NAME?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#NAME?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35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#NAME?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#NAME?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35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#NAME?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#NAME?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35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28.276144000000002</v>
      </c>
      <c r="I40" s="10"/>
      <c r="J40" s="228">
        <f ca="1">H40/D40-1</f>
        <v>-1.4374481227571456E-3</v>
      </c>
      <c r="L40" s="76">
        <f ca="1">INDIRECT($B40&amp;"!"&amp;L$3&amp;"5")</f>
        <v>33.832055285714283</v>
      </c>
      <c r="M40" s="77">
        <f ca="1">INDIRECT($B40&amp;"!"&amp;M$3&amp;"5")</f>
        <v>34.420138285714287</v>
      </c>
      <c r="N40" s="78">
        <f ca="1">M40-L40</f>
        <v>0.58808300000000457</v>
      </c>
      <c r="O40" s="226"/>
      <c r="P40" s="228" t="e">
        <f ca="1">bdrate(D40:D43,L40:L43,H40:H43,M40:M43)</f>
        <v>#NAME?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41.070544000000005</v>
      </c>
      <c r="I41" s="10"/>
      <c r="J41" s="228">
        <f ca="1">H41/D41-1</f>
        <v>-1.3600969497024051E-3</v>
      </c>
      <c r="L41" s="76">
        <f ca="1">INDIRECT($B41&amp;"!"&amp;L$3&amp;"6")</f>
        <v>36.531831238095236</v>
      </c>
      <c r="M41" s="77">
        <f ca="1">INDIRECT($B41&amp;"!"&amp;M$3&amp;"6")</f>
        <v>37.252876952380959</v>
      </c>
      <c r="N41" s="78">
        <f ca="1">M41-L41</f>
        <v>0.72104571428572228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61.787431999999995</v>
      </c>
      <c r="I42" s="10"/>
      <c r="J42" s="228">
        <f ca="1">H42/D42-1</f>
        <v>-1.2544726391513494E-3</v>
      </c>
      <c r="L42" s="76">
        <f ca="1">INDIRECT($B42&amp;"!"&amp;L$3&amp;"7")</f>
        <v>40.276491190476186</v>
      </c>
      <c r="M42" s="77">
        <f ca="1">INDIRECT($B42&amp;"!"&amp;M$3&amp;"7")</f>
        <v>41.493205095238103</v>
      </c>
      <c r="N42" s="78">
        <f ca="1">M42-L42</f>
        <v>1.2167139047619173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90.324391999999989</v>
      </c>
      <c r="I43" s="10"/>
      <c r="J43" s="228">
        <f ca="1">H43/D43-1</f>
        <v>-1.0215805122858468E-3</v>
      </c>
      <c r="L43" s="76">
        <f ca="1">INDIRECT($B43&amp;"!"&amp;L$3&amp;"8")</f>
        <v>43.229996952380951</v>
      </c>
      <c r="M43" s="77">
        <f ca="1">INDIRECT($B43&amp;"!"&amp;M$3&amp;"8")</f>
        <v>45.453762904761909</v>
      </c>
      <c r="N43" s="78">
        <f ca="1">M43-L43</f>
        <v>2.2237659523809583</v>
      </c>
      <c r="O43" s="226"/>
      <c r="P43" s="231" t="e">
        <f ca="1">bdrate(L40:L43,D40:D43,M40:M43,H40:H43)</f>
        <v>#NAME?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28.276144000000002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35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#NAME?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#NAME?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35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#NAME?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#NAME?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35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#NAME?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#NAME?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35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#NAME?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#NAME?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35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#NAME?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#NAME?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35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#NAME?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#NAME?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8" style="206" bestFit="1" customWidth="1"/>
    <col min="15" max="15" width="4.59765625" style="206" customWidth="1"/>
    <col min="16" max="16" width="9.6992187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36</v>
      </c>
      <c r="M3" s="87" t="s">
        <v>37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38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#NAME?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#NAME?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38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#NAME?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#NAME?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38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#NAME?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#NAME?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38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28.276144000000002</v>
      </c>
      <c r="I40" s="10"/>
      <c r="J40" s="228">
        <f ca="1">H40/D40-1</f>
        <v>-1.4374481227571456E-3</v>
      </c>
      <c r="L40" s="76">
        <f ca="1">INDIRECT($B40&amp;"!"&amp;L$3&amp;"5")</f>
        <v>0.96582942476190481</v>
      </c>
      <c r="M40" s="77">
        <f ca="1">INDIRECT($B40&amp;"!"&amp;M$3&amp;"5")</f>
        <v>0.96598534523809521</v>
      </c>
      <c r="N40" s="78">
        <f ca="1">M40-L40</f>
        <v>1.5592047619039651E-4</v>
      </c>
      <c r="O40" s="226"/>
      <c r="P40" s="228" t="e">
        <f ca="1">bdrate(D40:D43,L40:L43,H40:H43,M40:M43)</f>
        <v>#NAME?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41.070544000000005</v>
      </c>
      <c r="I41" s="10"/>
      <c r="J41" s="228">
        <f ca="1">H41/D41-1</f>
        <v>-1.3600969497024051E-3</v>
      </c>
      <c r="L41" s="76">
        <f ca="1">INDIRECT($B41&amp;"!"&amp;L$3&amp;"6")</f>
        <v>0.97901262523809529</v>
      </c>
      <c r="M41" s="77">
        <f ca="1">INDIRECT($B41&amp;"!"&amp;M$3&amp;"6")</f>
        <v>0.97914374095238088</v>
      </c>
      <c r="N41" s="78">
        <f ca="1">M41-L41</f>
        <v>1.311157142855901E-4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61.787431999999995</v>
      </c>
      <c r="I42" s="10"/>
      <c r="J42" s="228">
        <f ca="1">H42/D42-1</f>
        <v>-1.2544726391513494E-3</v>
      </c>
      <c r="L42" s="76">
        <f ca="1">INDIRECT($B42&amp;"!"&amp;L$3&amp;"7")</f>
        <v>0.98868709857142867</v>
      </c>
      <c r="M42" s="77">
        <f ca="1">INDIRECT($B42&amp;"!"&amp;M$3&amp;"7")</f>
        <v>0.98898263523809526</v>
      </c>
      <c r="N42" s="78">
        <f ca="1">M42-L42</f>
        <v>2.9553666666659595E-4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90.324391999999989</v>
      </c>
      <c r="I43" s="10"/>
      <c r="J43" s="228">
        <f ca="1">H43/D43-1</f>
        <v>-1.0215805122858468E-3</v>
      </c>
      <c r="L43" s="76">
        <f ca="1">INDIRECT($B43&amp;"!"&amp;L$3&amp;"8")</f>
        <v>0.99344393809523812</v>
      </c>
      <c r="M43" s="77">
        <f ca="1">INDIRECT($B43&amp;"!"&amp;M$3&amp;"8")</f>
        <v>0.99382361047619028</v>
      </c>
      <c r="N43" s="78">
        <f ca="1">M43-L43</f>
        <v>3.7967238095215627E-4</v>
      </c>
      <c r="O43" s="226"/>
      <c r="P43" s="231" t="e">
        <f ca="1">bdrate(L40:L43,D40:D43,M40:M43,H40:H43)</f>
        <v>#NAME?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28.276144000000002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38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#NAME?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#NAME?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38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#NAME?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#NAME?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38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#NAME?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#NAME?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38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#NAME?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#NAME?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38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#NAME?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#NAME?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38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#NAME?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#NAME?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39</v>
      </c>
      <c r="M3" s="87" t="s">
        <v>40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41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#NAME?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#NAME?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41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#NAME?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#NAME?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41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#NAME?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#NAME?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41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28.276144000000002</v>
      </c>
      <c r="I40" s="10"/>
      <c r="J40" s="228">
        <f ca="1">H40/D40-1</f>
        <v>-1.4374481227571456E-3</v>
      </c>
      <c r="L40" s="76">
        <f ca="1">INDIRECT($B40&amp;"!"&amp;L$3&amp;"5")</f>
        <v>0.9725471133333331</v>
      </c>
      <c r="M40" s="77">
        <f ca="1">INDIRECT($B40&amp;"!"&amp;M$3&amp;"5")</f>
        <v>0.97313269476190478</v>
      </c>
      <c r="N40" s="78">
        <f ca="1">M40-L40</f>
        <v>5.8558142857167983E-4</v>
      </c>
      <c r="O40" s="226"/>
      <c r="P40" s="228" t="e">
        <f ca="1">bdrate(D40:D43,L40:L43,H40:H43,M40:M43)</f>
        <v>#NAME?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41.070544000000005</v>
      </c>
      <c r="I41" s="10"/>
      <c r="J41" s="228">
        <f ca="1">H41/D41-1</f>
        <v>-1.3600969497024051E-3</v>
      </c>
      <c r="L41" s="76">
        <f ca="1">INDIRECT($B41&amp;"!"&amp;L$3&amp;"6")</f>
        <v>0.98376468238095238</v>
      </c>
      <c r="M41" s="77">
        <f ca="1">INDIRECT($B41&amp;"!"&amp;M$3&amp;"6")</f>
        <v>0.9844055233333332</v>
      </c>
      <c r="N41" s="78">
        <f ca="1">M41-L41</f>
        <v>6.4084095238081673E-4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61.787431999999995</v>
      </c>
      <c r="I42" s="10"/>
      <c r="J42" s="228">
        <f ca="1">H42/D42-1</f>
        <v>-1.2544726391513494E-3</v>
      </c>
      <c r="L42" s="76">
        <f ca="1">INDIRECT($B42&amp;"!"&amp;L$3&amp;"7")</f>
        <v>0.99210457047619049</v>
      </c>
      <c r="M42" s="77">
        <f ca="1">INDIRECT($B42&amp;"!"&amp;M$3&amp;"7")</f>
        <v>0.99259552476190493</v>
      </c>
      <c r="N42" s="78">
        <f ca="1">M42-L42</f>
        <v>4.9095428571444E-4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90.324391999999989</v>
      </c>
      <c r="I43" s="10"/>
      <c r="J43" s="228">
        <f ca="1">H43/D43-1</f>
        <v>-1.0215805122858468E-3</v>
      </c>
      <c r="L43" s="76">
        <f ca="1">INDIRECT($B43&amp;"!"&amp;L$3&amp;"8")</f>
        <v>0.99578089857142849</v>
      </c>
      <c r="M43" s="77">
        <f ca="1">INDIRECT($B43&amp;"!"&amp;M$3&amp;"8")</f>
        <v>0.99640912809523807</v>
      </c>
      <c r="N43" s="78">
        <f ca="1">M43-L43</f>
        <v>6.2822952380958696E-4</v>
      </c>
      <c r="O43" s="226"/>
      <c r="P43" s="231" t="e">
        <f ca="1">bdrate(L40:L43,D40:D43,M40:M43,H40:H43)</f>
        <v>#NAME?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28.276144000000002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41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#NAME?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#NAME?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41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#NAME?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#NAME?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41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#NAME?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#NAME?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41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#NAME?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#NAME?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41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#NAME?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#NAME?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41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#NAME?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#NAME?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9" width="9" style="206" customWidth="1"/>
    <col min="40" max="16384" width="9" style="206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42</v>
      </c>
      <c r="M3" s="87" t="s">
        <v>43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41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0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#NAME?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0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0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0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#NAME?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41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0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#NAME?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0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0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0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#NAME?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41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0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#NAME?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0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0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0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#NAME?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41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28.316848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28.276144000000002</v>
      </c>
      <c r="I40" s="10"/>
      <c r="J40" s="228">
        <f ca="1">H40/D40-1</f>
        <v>-1.4374481227571456E-3</v>
      </c>
      <c r="L40" s="76">
        <f ca="1">INDIRECT($B40&amp;"!"&amp;L$3&amp;"5")</f>
        <v>6.5973396238095255E-2</v>
      </c>
      <c r="M40" s="77">
        <f ca="1">INDIRECT($B40&amp;"!"&amp;M$3&amp;"5")</f>
        <v>5.739088352380952E-2</v>
      </c>
      <c r="N40" s="78">
        <f ca="1">M40-L40</f>
        <v>-8.5825127142857352E-3</v>
      </c>
      <c r="O40" s="226"/>
      <c r="P40" s="228" t="e">
        <f ca="1">bdrate(D40:D43,L40:L43,H40:H43,M40:M43)</f>
        <v>#NAME?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41.126480000000001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41.070544000000005</v>
      </c>
      <c r="I41" s="10"/>
      <c r="J41" s="228">
        <f ca="1">H41/D41-1</f>
        <v>-1.3600969497024051E-3</v>
      </c>
      <c r="L41" s="76">
        <f ca="1">INDIRECT($B41&amp;"!"&amp;L$3&amp;"6")</f>
        <v>4.448833447619048E-2</v>
      </c>
      <c r="M41" s="77">
        <f ca="1">INDIRECT($B41&amp;"!"&amp;M$3&amp;"6")</f>
        <v>3.7364834809523809E-2</v>
      </c>
      <c r="N41" s="78">
        <f ca="1">M41-L41</f>
        <v>-7.1234996666666717E-3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61.86504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61.787431999999995</v>
      </c>
      <c r="I42" s="10"/>
      <c r="J42" s="228">
        <f ca="1">H42/D42-1</f>
        <v>-1.2544726391513494E-3</v>
      </c>
      <c r="L42" s="76">
        <f ca="1">INDIRECT($B42&amp;"!"&amp;L$3&amp;"7")</f>
        <v>2.7850360190476191E-2</v>
      </c>
      <c r="M42" s="77">
        <f ca="1">INDIRECT($B42&amp;"!"&amp;M$3&amp;"7")</f>
        <v>2.0834901142857146E-2</v>
      </c>
      <c r="N42" s="78">
        <f ca="1">M42-L42</f>
        <v>-7.0154590476190458E-3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90.416760000000011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90.324391999999989</v>
      </c>
      <c r="I43" s="10"/>
      <c r="J43" s="228">
        <f ca="1">H43/D43-1</f>
        <v>-1.0215805122858468E-3</v>
      </c>
      <c r="L43" s="76">
        <f ca="1">INDIRECT($B43&amp;"!"&amp;L$3&amp;"8")</f>
        <v>1.5608584595238097E-2</v>
      </c>
      <c r="M43" s="77">
        <f ca="1">INDIRECT($B43&amp;"!"&amp;M$3&amp;"8")</f>
        <v>9.1692796190476194E-3</v>
      </c>
      <c r="N43" s="78">
        <f ca="1">M43-L43</f>
        <v>-6.4393049761904773E-3</v>
      </c>
      <c r="O43" s="226"/>
      <c r="P43" s="231" t="e">
        <f ca="1">bdrate(L40:L43,D40:D43,M40:M43,H40:H43)</f>
        <v>#NAME?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28.276144000000002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90.416760000000011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41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#NAME?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#NAME?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41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#NAME?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#NAME?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41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#NAME?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#NAME?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41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#NAME?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#NAME?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41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#NAME?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#NAME?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41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#NAME?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#NAME?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breakfast_track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3" t="e">
        <f t="shared" si="0"/>
        <v>#DIV/0!</v>
      </c>
      <c r="J5" s="93" t="e">
        <f t="shared" si="0"/>
        <v>#DIV/0!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 ca="1">bdrate($E5:$E8,F5:F8,$W5:$W8,X5:X8)</f>
        <v>#NAME?</v>
      </c>
      <c r="AN5" s="245" t="e">
        <f ca="1">bdrate($E5:$E8,G5:G8,$W5:$W8,Y5:Y8)</f>
        <v>#NAME?</v>
      </c>
      <c r="AO5" s="245" t="e">
        <f ca="1">bdrate($E5:$E8,H5:H8,$W5:$W8,Z5:Z8)</f>
        <v>#NAME?</v>
      </c>
      <c r="AP5" s="245" t="e">
        <f ca="1">bdrate($E5:$E8,I5:I8,$W5:$W8,AA5:AA8)</f>
        <v>#NAME?</v>
      </c>
      <c r="AQ5" s="246" t="e">
        <f ca="1">bdrateInverted($E5:$E8,J5:J8,$W5:$W8,AB5:AB8)</f>
        <v>#NAME?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0</v>
      </c>
      <c r="F6" s="93" t="e">
        <f t="shared" si="0"/>
        <v>#DIV/0!</v>
      </c>
      <c r="G6" s="93" t="e">
        <f t="shared" si="0"/>
        <v>#DIV/0!</v>
      </c>
      <c r="H6" s="93" t="e">
        <f t="shared" si="0"/>
        <v>#DIV/0!</v>
      </c>
      <c r="I6" s="93" t="e">
        <f t="shared" si="0"/>
        <v>#DIV/0!</v>
      </c>
      <c r="J6" s="93" t="e">
        <f t="shared" si="0"/>
        <v>#DIV/0!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0</v>
      </c>
      <c r="F7" s="93" t="e">
        <f t="shared" si="0"/>
        <v>#DIV/0!</v>
      </c>
      <c r="G7" s="93" t="e">
        <f t="shared" si="0"/>
        <v>#DIV/0!</v>
      </c>
      <c r="H7" s="93" t="e">
        <f t="shared" si="0"/>
        <v>#DIV/0!</v>
      </c>
      <c r="I7" s="93" t="e">
        <f t="shared" si="0"/>
        <v>#DIV/0!</v>
      </c>
      <c r="J7" s="93" t="e">
        <f t="shared" si="0"/>
        <v>#DIV/0!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0</v>
      </c>
      <c r="F8" s="93" t="e">
        <f t="shared" si="0"/>
        <v>#DIV/0!</v>
      </c>
      <c r="G8" s="93" t="e">
        <f t="shared" si="0"/>
        <v>#DIV/0!</v>
      </c>
      <c r="H8" s="93" t="e">
        <f t="shared" si="0"/>
        <v>#DIV/0!</v>
      </c>
      <c r="I8" s="93" t="e">
        <f t="shared" si="0"/>
        <v>#DIV/0!</v>
      </c>
      <c r="J8" s="93" t="e">
        <f t="shared" si="0"/>
        <v>#DIV/0!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/>
      <c r="F16" s="169"/>
      <c r="G16" s="169"/>
      <c r="H16" s="169"/>
      <c r="I16" s="169"/>
      <c r="J16" s="169"/>
      <c r="K16" s="62"/>
      <c r="L16" s="62"/>
      <c r="M16" s="62"/>
      <c r="N16" s="57"/>
      <c r="O16" s="257"/>
      <c r="P16" s="132"/>
      <c r="Q16" s="132"/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/>
      <c r="F17" s="170"/>
      <c r="G17" s="170"/>
      <c r="H17" s="170"/>
      <c r="I17" s="170"/>
      <c r="J17" s="170"/>
      <c r="K17" s="64"/>
      <c r="L17" s="64"/>
      <c r="M17" s="64"/>
      <c r="N17" s="58"/>
      <c r="O17" s="243"/>
      <c r="P17" s="147"/>
      <c r="Q17" s="147"/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/>
      <c r="F18" s="170"/>
      <c r="G18" s="170"/>
      <c r="H18" s="170"/>
      <c r="I18" s="170"/>
      <c r="J18" s="170"/>
      <c r="K18" s="64"/>
      <c r="L18" s="64"/>
      <c r="M18" s="64"/>
      <c r="N18" s="58"/>
      <c r="O18" s="243"/>
      <c r="P18" s="147"/>
      <c r="Q18" s="147"/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/>
      <c r="F19" s="170"/>
      <c r="G19" s="170"/>
      <c r="H19" s="170"/>
      <c r="I19" s="170"/>
      <c r="J19" s="170"/>
      <c r="K19" s="64"/>
      <c r="L19" s="64"/>
      <c r="M19" s="64"/>
      <c r="N19" s="58"/>
      <c r="O19" s="243"/>
      <c r="P19" s="147"/>
      <c r="Q19" s="147"/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/>
      <c r="G33" s="99"/>
      <c r="H33" s="99"/>
      <c r="I33" s="62"/>
      <c r="J33" s="62"/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/>
      <c r="G34" s="192"/>
      <c r="H34" s="192"/>
      <c r="I34" s="64"/>
      <c r="J34" s="64"/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/>
      <c r="G35" s="192"/>
      <c r="H35" s="192"/>
      <c r="I35" s="64"/>
      <c r="J35" s="64"/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/>
      <c r="G36" s="192"/>
      <c r="H36" s="192"/>
      <c r="I36" s="64"/>
      <c r="J36" s="64"/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/>
      <c r="G38" s="99"/>
      <c r="H38" s="99"/>
      <c r="I38" s="62"/>
      <c r="J38" s="62"/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/>
      <c r="G39" s="192"/>
      <c r="H39" s="192"/>
      <c r="I39" s="64"/>
      <c r="J39" s="64"/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/>
      <c r="G40" s="192"/>
      <c r="H40" s="192"/>
      <c r="I40" s="64"/>
      <c r="J40" s="64"/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/>
      <c r="G41" s="192"/>
      <c r="H41" s="192"/>
      <c r="I41" s="64"/>
      <c r="J41" s="64"/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/>
      <c r="G43" s="99"/>
      <c r="H43" s="99"/>
      <c r="I43" s="62"/>
      <c r="J43" s="62"/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/>
      <c r="G44" s="192"/>
      <c r="H44" s="192"/>
      <c r="I44" s="64"/>
      <c r="J44" s="64"/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/>
      <c r="G45" s="192"/>
      <c r="H45" s="192"/>
      <c r="I45" s="64"/>
      <c r="J45" s="64"/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/>
      <c r="G46" s="192"/>
      <c r="H46" s="192"/>
      <c r="I46" s="64"/>
      <c r="J46" s="64"/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/>
      <c r="G48" s="99"/>
      <c r="H48" s="99"/>
      <c r="I48" s="62"/>
      <c r="J48" s="62"/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/>
      <c r="G49" s="192"/>
      <c r="H49" s="192"/>
      <c r="I49" s="64"/>
      <c r="J49" s="64"/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/>
      <c r="G50" s="192"/>
      <c r="H50" s="192"/>
      <c r="I50" s="64"/>
      <c r="J50" s="64"/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/>
      <c r="G51" s="192"/>
      <c r="H51" s="192"/>
      <c r="I51" s="64"/>
      <c r="J51" s="64"/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/>
      <c r="G53" s="99"/>
      <c r="H53" s="99"/>
      <c r="I53" s="62"/>
      <c r="J53" s="62"/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/>
      <c r="G54" s="192"/>
      <c r="H54" s="192"/>
      <c r="I54" s="64"/>
      <c r="J54" s="64"/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/>
      <c r="G55" s="192"/>
      <c r="H55" s="192"/>
      <c r="I55" s="64"/>
      <c r="J55" s="64"/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/>
      <c r="G56" s="192"/>
      <c r="H56" s="192"/>
      <c r="I56" s="64"/>
      <c r="J56" s="64"/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/>
      <c r="G58" s="99"/>
      <c r="H58" s="99"/>
      <c r="I58" s="62"/>
      <c r="J58" s="62"/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/>
      <c r="G59" s="192"/>
      <c r="H59" s="192"/>
      <c r="I59" s="64"/>
      <c r="J59" s="64"/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/>
      <c r="G60" s="192"/>
      <c r="H60" s="192"/>
      <c r="I60" s="64"/>
      <c r="J60" s="64"/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/>
      <c r="G61" s="192"/>
      <c r="H61" s="192"/>
      <c r="I61" s="64"/>
      <c r="J61" s="64"/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/>
      <c r="G63" s="99"/>
      <c r="H63" s="99"/>
      <c r="I63" s="62"/>
      <c r="J63" s="62"/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/>
      <c r="G64" s="192"/>
      <c r="H64" s="192"/>
      <c r="I64" s="64"/>
      <c r="J64" s="64"/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/>
      <c r="G65" s="192"/>
      <c r="H65" s="192"/>
      <c r="I65" s="64"/>
      <c r="J65" s="64"/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/>
      <c r="G66" s="192"/>
      <c r="H66" s="192"/>
      <c r="I66" s="64"/>
      <c r="J66" s="64"/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/>
      <c r="G68" s="99"/>
      <c r="H68" s="99"/>
      <c r="I68" s="62"/>
      <c r="J68" s="62"/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/>
      <c r="G69" s="192"/>
      <c r="H69" s="192"/>
      <c r="I69" s="64"/>
      <c r="J69" s="64"/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/>
      <c r="G70" s="192"/>
      <c r="H70" s="192"/>
      <c r="I70" s="64"/>
      <c r="J70" s="64"/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/>
      <c r="G71" s="192"/>
      <c r="H71" s="192"/>
      <c r="I71" s="64"/>
      <c r="J71" s="64"/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/>
      <c r="G73" s="99"/>
      <c r="H73" s="99"/>
      <c r="I73" s="62"/>
      <c r="J73" s="62"/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/>
      <c r="G74" s="192"/>
      <c r="H74" s="192"/>
      <c r="I74" s="64"/>
      <c r="J74" s="64"/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/>
      <c r="G75" s="192"/>
      <c r="H75" s="192"/>
      <c r="I75" s="64"/>
      <c r="J75" s="64"/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/>
      <c r="G76" s="192"/>
      <c r="H76" s="192"/>
      <c r="I76" s="64"/>
      <c r="J76" s="64"/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/>
      <c r="G78" s="99"/>
      <c r="H78" s="99"/>
      <c r="I78" s="62"/>
      <c r="J78" s="62"/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/>
      <c r="G79" s="192"/>
      <c r="H79" s="192"/>
      <c r="I79" s="64"/>
      <c r="J79" s="64"/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/>
      <c r="G80" s="192"/>
      <c r="H80" s="192"/>
      <c r="I80" s="64"/>
      <c r="J80" s="64"/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/>
      <c r="G81" s="192"/>
      <c r="H81" s="192"/>
      <c r="I81" s="64"/>
      <c r="J81" s="64"/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/>
      <c r="G83" s="99"/>
      <c r="H83" s="99"/>
      <c r="I83" s="62"/>
      <c r="J83" s="62"/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/>
      <c r="G84" s="192"/>
      <c r="H84" s="192"/>
      <c r="I84" s="64"/>
      <c r="J84" s="64"/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/>
      <c r="G85" s="192"/>
      <c r="H85" s="192"/>
      <c r="I85" s="64"/>
      <c r="J85" s="64"/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/>
      <c r="G86" s="192"/>
      <c r="H86" s="192"/>
      <c r="I86" s="64"/>
      <c r="J86" s="64"/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/>
      <c r="G88" s="99"/>
      <c r="H88" s="99"/>
      <c r="I88" s="62"/>
      <c r="J88" s="62"/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/>
      <c r="G89" s="192"/>
      <c r="H89" s="192"/>
      <c r="I89" s="64"/>
      <c r="J89" s="64"/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/>
      <c r="G90" s="192"/>
      <c r="H90" s="192"/>
      <c r="I90" s="64"/>
      <c r="J90" s="64"/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/>
      <c r="G91" s="192"/>
      <c r="H91" s="192"/>
      <c r="I91" s="64"/>
      <c r="J91" s="64"/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/>
      <c r="G93" s="99"/>
      <c r="H93" s="99"/>
      <c r="I93" s="62"/>
      <c r="J93" s="62"/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/>
      <c r="G94" s="192"/>
      <c r="H94" s="192"/>
      <c r="I94" s="64"/>
      <c r="J94" s="64"/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/>
      <c r="G95" s="192"/>
      <c r="H95" s="192"/>
      <c r="I95" s="64"/>
      <c r="J95" s="64"/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/>
      <c r="G96" s="192"/>
      <c r="H96" s="192"/>
      <c r="I96" s="64"/>
      <c r="J96" s="64"/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/>
      <c r="G98" s="99"/>
      <c r="H98" s="99"/>
      <c r="I98" s="62"/>
      <c r="J98" s="62"/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/>
      <c r="G99" s="192"/>
      <c r="H99" s="192"/>
      <c r="I99" s="64"/>
      <c r="J99" s="64"/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/>
      <c r="G100" s="192"/>
      <c r="H100" s="192"/>
      <c r="I100" s="64"/>
      <c r="J100" s="64"/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/>
      <c r="G101" s="192"/>
      <c r="H101" s="192"/>
      <c r="I101" s="64"/>
      <c r="J101" s="64"/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/>
      <c r="G103" s="99"/>
      <c r="H103" s="99"/>
      <c r="I103" s="62"/>
      <c r="J103" s="62"/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/>
      <c r="G104" s="192"/>
      <c r="H104" s="192"/>
      <c r="I104" s="64"/>
      <c r="J104" s="64"/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/>
      <c r="G105" s="192"/>
      <c r="H105" s="192"/>
      <c r="I105" s="64"/>
      <c r="J105" s="64"/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/>
      <c r="G106" s="192"/>
      <c r="H106" s="192"/>
      <c r="I106" s="64"/>
      <c r="J106" s="64"/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8">
        <f t="shared" si="59"/>
        <v>0</v>
      </c>
      <c r="H641" s="138">
        <f t="shared" si="59"/>
        <v>0</v>
      </c>
      <c r="I641" s="138">
        <f t="shared" si="59"/>
        <v>0</v>
      </c>
      <c r="J641" s="138">
        <f t="shared" si="59"/>
        <v>0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8">
        <f t="shared" si="61"/>
        <v>0</v>
      </c>
      <c r="H646" s="138">
        <f t="shared" si="61"/>
        <v>0</v>
      </c>
      <c r="I646" s="138">
        <f t="shared" si="61"/>
        <v>0</v>
      </c>
      <c r="J646" s="138">
        <f t="shared" si="61"/>
        <v>0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0</v>
      </c>
      <c r="G651" s="138">
        <f t="shared" si="63"/>
        <v>0</v>
      </c>
      <c r="H651" s="138">
        <f t="shared" si="63"/>
        <v>0</v>
      </c>
      <c r="I651" s="138">
        <f t="shared" si="63"/>
        <v>0</v>
      </c>
      <c r="J651" s="138">
        <f t="shared" si="63"/>
        <v>0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breakfast_semitrack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3" t="e">
        <f t="shared" si="0"/>
        <v>#DIV/0!</v>
      </c>
      <c r="J5" s="93" t="e">
        <f t="shared" si="0"/>
        <v>#DIV/0!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 ca="1">bdrate($E5:$E8,F5:F8,$W5:$W8,X5:X8)</f>
        <v>#NAME?</v>
      </c>
      <c r="AN5" s="245" t="e">
        <f ca="1">bdrate($E5:$E8,G5:G8,$W5:$W8,Y5:Y8)</f>
        <v>#NAME?</v>
      </c>
      <c r="AO5" s="245" t="e">
        <f ca="1">bdrate($E5:$E8,H5:H8,$W5:$W8,Z5:Z8)</f>
        <v>#NAME?</v>
      </c>
      <c r="AP5" s="245" t="e">
        <f ca="1">bdrate($E5:$E8,I5:I8,$W5:$W8,AA5:AA8)</f>
        <v>#NAME?</v>
      </c>
      <c r="AQ5" s="246" t="e">
        <f ca="1">bdrateInverted($E5:$E8,J5:J8,$W5:$W8,AB5:AB8)</f>
        <v>#NAME?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0</v>
      </c>
      <c r="F6" s="93" t="e">
        <f t="shared" si="0"/>
        <v>#DIV/0!</v>
      </c>
      <c r="G6" s="93" t="e">
        <f t="shared" si="0"/>
        <v>#DIV/0!</v>
      </c>
      <c r="H6" s="93" t="e">
        <f t="shared" si="0"/>
        <v>#DIV/0!</v>
      </c>
      <c r="I6" s="93" t="e">
        <f t="shared" si="0"/>
        <v>#DIV/0!</v>
      </c>
      <c r="J6" s="93" t="e">
        <f t="shared" si="0"/>
        <v>#DIV/0!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0</v>
      </c>
      <c r="F7" s="93" t="e">
        <f t="shared" si="0"/>
        <v>#DIV/0!</v>
      </c>
      <c r="G7" s="93" t="e">
        <f t="shared" si="0"/>
        <v>#DIV/0!</v>
      </c>
      <c r="H7" s="93" t="e">
        <f t="shared" si="0"/>
        <v>#DIV/0!</v>
      </c>
      <c r="I7" s="93" t="e">
        <f t="shared" si="0"/>
        <v>#DIV/0!</v>
      </c>
      <c r="J7" s="93" t="e">
        <f t="shared" si="0"/>
        <v>#DIV/0!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0</v>
      </c>
      <c r="F8" s="93" t="e">
        <f t="shared" si="0"/>
        <v>#DIV/0!</v>
      </c>
      <c r="G8" s="93" t="e">
        <f t="shared" si="0"/>
        <v>#DIV/0!</v>
      </c>
      <c r="H8" s="93" t="e">
        <f t="shared" si="0"/>
        <v>#DIV/0!</v>
      </c>
      <c r="I8" s="93" t="e">
        <f t="shared" si="0"/>
        <v>#DIV/0!</v>
      </c>
      <c r="J8" s="93" t="e">
        <f t="shared" si="0"/>
        <v>#DIV/0!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/>
      <c r="F16" s="169"/>
      <c r="G16" s="169"/>
      <c r="H16" s="169"/>
      <c r="I16" s="169"/>
      <c r="J16" s="169"/>
      <c r="K16" s="62"/>
      <c r="L16" s="62"/>
      <c r="M16" s="62"/>
      <c r="N16" s="57"/>
      <c r="O16" s="257"/>
      <c r="P16" s="132"/>
      <c r="Q16" s="132"/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/>
      <c r="F17" s="170"/>
      <c r="G17" s="170"/>
      <c r="H17" s="170"/>
      <c r="I17" s="170"/>
      <c r="J17" s="170"/>
      <c r="K17" s="64"/>
      <c r="L17" s="64"/>
      <c r="M17" s="64"/>
      <c r="N17" s="58"/>
      <c r="O17" s="243"/>
      <c r="P17" s="147"/>
      <c r="Q17" s="147"/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/>
      <c r="F18" s="170"/>
      <c r="G18" s="170"/>
      <c r="H18" s="170"/>
      <c r="I18" s="170"/>
      <c r="J18" s="170"/>
      <c r="K18" s="64"/>
      <c r="L18" s="64"/>
      <c r="M18" s="64"/>
      <c r="N18" s="58"/>
      <c r="O18" s="243"/>
      <c r="P18" s="147"/>
      <c r="Q18" s="147"/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/>
      <c r="F19" s="170"/>
      <c r="G19" s="170"/>
      <c r="H19" s="170"/>
      <c r="I19" s="170"/>
      <c r="J19" s="170"/>
      <c r="K19" s="64"/>
      <c r="L19" s="64"/>
      <c r="M19" s="64"/>
      <c r="N19" s="58"/>
      <c r="O19" s="243"/>
      <c r="P19" s="147"/>
      <c r="Q19" s="147"/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/>
      <c r="G33" s="99"/>
      <c r="H33" s="99"/>
      <c r="I33" s="62"/>
      <c r="J33" s="62"/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/>
      <c r="G34" s="192"/>
      <c r="H34" s="192"/>
      <c r="I34" s="64"/>
      <c r="J34" s="64"/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/>
      <c r="G35" s="192"/>
      <c r="H35" s="192"/>
      <c r="I35" s="64"/>
      <c r="J35" s="64"/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/>
      <c r="G36" s="192"/>
      <c r="H36" s="192"/>
      <c r="I36" s="64"/>
      <c r="J36" s="64"/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/>
      <c r="G38" s="99"/>
      <c r="H38" s="99"/>
      <c r="I38" s="62"/>
      <c r="J38" s="62"/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/>
      <c r="G39" s="192"/>
      <c r="H39" s="192"/>
      <c r="I39" s="64"/>
      <c r="J39" s="64"/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/>
      <c r="G40" s="192"/>
      <c r="H40" s="192"/>
      <c r="I40" s="64"/>
      <c r="J40" s="64"/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/>
      <c r="G41" s="192"/>
      <c r="H41" s="192"/>
      <c r="I41" s="64"/>
      <c r="J41" s="64"/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/>
      <c r="G43" s="99"/>
      <c r="H43" s="99"/>
      <c r="I43" s="62"/>
      <c r="J43" s="62"/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/>
      <c r="G44" s="192"/>
      <c r="H44" s="192"/>
      <c r="I44" s="64"/>
      <c r="J44" s="64"/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/>
      <c r="G45" s="192"/>
      <c r="H45" s="192"/>
      <c r="I45" s="64"/>
      <c r="J45" s="64"/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/>
      <c r="G46" s="192"/>
      <c r="H46" s="192"/>
      <c r="I46" s="64"/>
      <c r="J46" s="64"/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/>
      <c r="G48" s="99"/>
      <c r="H48" s="99"/>
      <c r="I48" s="62"/>
      <c r="J48" s="62"/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/>
      <c r="G49" s="192"/>
      <c r="H49" s="192"/>
      <c r="I49" s="64"/>
      <c r="J49" s="64"/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/>
      <c r="G50" s="192"/>
      <c r="H50" s="192"/>
      <c r="I50" s="64"/>
      <c r="J50" s="64"/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/>
      <c r="G51" s="192"/>
      <c r="H51" s="192"/>
      <c r="I51" s="64"/>
      <c r="J51" s="64"/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/>
      <c r="G53" s="99"/>
      <c r="H53" s="99"/>
      <c r="I53" s="62"/>
      <c r="J53" s="62"/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/>
      <c r="G54" s="192"/>
      <c r="H54" s="192"/>
      <c r="I54" s="64"/>
      <c r="J54" s="64"/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/>
      <c r="G55" s="192"/>
      <c r="H55" s="192"/>
      <c r="I55" s="64"/>
      <c r="J55" s="64"/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/>
      <c r="G56" s="192"/>
      <c r="H56" s="192"/>
      <c r="I56" s="64"/>
      <c r="J56" s="64"/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/>
      <c r="G58" s="99"/>
      <c r="H58" s="99"/>
      <c r="I58" s="62"/>
      <c r="J58" s="62"/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/>
      <c r="G59" s="192"/>
      <c r="H59" s="192"/>
      <c r="I59" s="64"/>
      <c r="J59" s="64"/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/>
      <c r="G60" s="192"/>
      <c r="H60" s="192"/>
      <c r="I60" s="64"/>
      <c r="J60" s="64"/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/>
      <c r="G61" s="192"/>
      <c r="H61" s="192"/>
      <c r="I61" s="64"/>
      <c r="J61" s="64"/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/>
      <c r="G63" s="99"/>
      <c r="H63" s="99"/>
      <c r="I63" s="62"/>
      <c r="J63" s="62"/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/>
      <c r="G64" s="192"/>
      <c r="H64" s="192"/>
      <c r="I64" s="64"/>
      <c r="J64" s="64"/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/>
      <c r="G65" s="192"/>
      <c r="H65" s="192"/>
      <c r="I65" s="64"/>
      <c r="J65" s="64"/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/>
      <c r="G66" s="192"/>
      <c r="H66" s="192"/>
      <c r="I66" s="64"/>
      <c r="J66" s="64"/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/>
      <c r="G68" s="99"/>
      <c r="H68" s="99"/>
      <c r="I68" s="62"/>
      <c r="J68" s="62"/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/>
      <c r="G69" s="192"/>
      <c r="H69" s="192"/>
      <c r="I69" s="64"/>
      <c r="J69" s="64"/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/>
      <c r="G70" s="192"/>
      <c r="H70" s="192"/>
      <c r="I70" s="64"/>
      <c r="J70" s="64"/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/>
      <c r="G71" s="192"/>
      <c r="H71" s="192"/>
      <c r="I71" s="64"/>
      <c r="J71" s="64"/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/>
      <c r="G73" s="99"/>
      <c r="H73" s="99"/>
      <c r="I73" s="62"/>
      <c r="J73" s="62"/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/>
      <c r="G74" s="192"/>
      <c r="H74" s="192"/>
      <c r="I74" s="64"/>
      <c r="J74" s="64"/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/>
      <c r="G75" s="192"/>
      <c r="H75" s="192"/>
      <c r="I75" s="64"/>
      <c r="J75" s="64"/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/>
      <c r="G76" s="192"/>
      <c r="H76" s="192"/>
      <c r="I76" s="64"/>
      <c r="J76" s="64"/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/>
      <c r="G78" s="99"/>
      <c r="H78" s="99"/>
      <c r="I78" s="62"/>
      <c r="J78" s="62"/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/>
      <c r="G79" s="192"/>
      <c r="H79" s="192"/>
      <c r="I79" s="64"/>
      <c r="J79" s="64"/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/>
      <c r="G80" s="192"/>
      <c r="H80" s="192"/>
      <c r="I80" s="64"/>
      <c r="J80" s="64"/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/>
      <c r="G81" s="192"/>
      <c r="H81" s="192"/>
      <c r="I81" s="64"/>
      <c r="J81" s="64"/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/>
      <c r="G83" s="99"/>
      <c r="H83" s="99"/>
      <c r="I83" s="62"/>
      <c r="J83" s="62"/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/>
      <c r="G84" s="192"/>
      <c r="H84" s="192"/>
      <c r="I84" s="64"/>
      <c r="J84" s="64"/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/>
      <c r="G85" s="192"/>
      <c r="H85" s="192"/>
      <c r="I85" s="64"/>
      <c r="J85" s="64"/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/>
      <c r="G86" s="192"/>
      <c r="H86" s="192"/>
      <c r="I86" s="64"/>
      <c r="J86" s="64"/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/>
      <c r="G88" s="99"/>
      <c r="H88" s="99"/>
      <c r="I88" s="62"/>
      <c r="J88" s="62"/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/>
      <c r="G89" s="192"/>
      <c r="H89" s="192"/>
      <c r="I89" s="64"/>
      <c r="J89" s="64"/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/>
      <c r="G90" s="192"/>
      <c r="H90" s="192"/>
      <c r="I90" s="64"/>
      <c r="J90" s="64"/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/>
      <c r="G91" s="192"/>
      <c r="H91" s="192"/>
      <c r="I91" s="64"/>
      <c r="J91" s="64"/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/>
      <c r="G93" s="99"/>
      <c r="H93" s="99"/>
      <c r="I93" s="62"/>
      <c r="J93" s="62"/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/>
      <c r="G94" s="192"/>
      <c r="H94" s="192"/>
      <c r="I94" s="64"/>
      <c r="J94" s="64"/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/>
      <c r="G95" s="192"/>
      <c r="H95" s="192"/>
      <c r="I95" s="64"/>
      <c r="J95" s="64"/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/>
      <c r="G96" s="192"/>
      <c r="H96" s="192"/>
      <c r="I96" s="64"/>
      <c r="J96" s="64"/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/>
      <c r="G98" s="99"/>
      <c r="H98" s="99"/>
      <c r="I98" s="62"/>
      <c r="J98" s="62"/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/>
      <c r="G99" s="192"/>
      <c r="H99" s="192"/>
      <c r="I99" s="64"/>
      <c r="J99" s="64"/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/>
      <c r="G100" s="192"/>
      <c r="H100" s="192"/>
      <c r="I100" s="64"/>
      <c r="J100" s="64"/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/>
      <c r="G101" s="192"/>
      <c r="H101" s="192"/>
      <c r="I101" s="64"/>
      <c r="J101" s="64"/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/>
      <c r="G103" s="99"/>
      <c r="H103" s="99"/>
      <c r="I103" s="62"/>
      <c r="J103" s="62"/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/>
      <c r="G104" s="192"/>
      <c r="H104" s="192"/>
      <c r="I104" s="64"/>
      <c r="J104" s="64"/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/>
      <c r="G105" s="192"/>
      <c r="H105" s="192"/>
      <c r="I105" s="64"/>
      <c r="J105" s="64"/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/>
      <c r="G106" s="192"/>
      <c r="H106" s="192"/>
      <c r="I106" s="64"/>
      <c r="J106" s="64"/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8">
        <f t="shared" si="59"/>
        <v>0</v>
      </c>
      <c r="H641" s="138">
        <f t="shared" si="59"/>
        <v>0</v>
      </c>
      <c r="I641" s="138">
        <f t="shared" si="59"/>
        <v>0</v>
      </c>
      <c r="J641" s="138">
        <f t="shared" si="59"/>
        <v>0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8">
        <f t="shared" si="61"/>
        <v>0</v>
      </c>
      <c r="H646" s="138">
        <f t="shared" si="61"/>
        <v>0</v>
      </c>
      <c r="I646" s="138">
        <f t="shared" si="61"/>
        <v>0</v>
      </c>
      <c r="J646" s="138">
        <f t="shared" si="61"/>
        <v>0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0</v>
      </c>
      <c r="G651" s="138">
        <f t="shared" si="63"/>
        <v>0</v>
      </c>
      <c r="H651" s="138">
        <f t="shared" si="63"/>
        <v>0</v>
      </c>
      <c r="I651" s="138">
        <f t="shared" si="63"/>
        <v>0</v>
      </c>
      <c r="J651" s="138">
        <f t="shared" si="63"/>
        <v>0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cinema_track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3" t="e">
        <f t="shared" si="0"/>
        <v>#DIV/0!</v>
      </c>
      <c r="J5" s="93" t="e">
        <f t="shared" si="0"/>
        <v>#DIV/0!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 ca="1">bdrate($E5:$E8,F5:F8,$W5:$W8,X5:X8)</f>
        <v>#NAME?</v>
      </c>
      <c r="AN5" s="245" t="e">
        <f ca="1">bdrate($E5:$E8,G5:G8,$W5:$W8,Y5:Y8)</f>
        <v>#NAME?</v>
      </c>
      <c r="AO5" s="245" t="e">
        <f ca="1">bdrate($E5:$E8,H5:H8,$W5:$W8,Z5:Z8)</f>
        <v>#NAME?</v>
      </c>
      <c r="AP5" s="245" t="e">
        <f ca="1">bdrate($E5:$E8,I5:I8,$W5:$W8,AA5:AA8)</f>
        <v>#NAME?</v>
      </c>
      <c r="AQ5" s="246" t="e">
        <f ca="1">bdrateInverted($E5:$E8,J5:J8,$W5:$W8,AB5:AB8)</f>
        <v>#NAME?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0</v>
      </c>
      <c r="F6" s="93" t="e">
        <f t="shared" si="0"/>
        <v>#DIV/0!</v>
      </c>
      <c r="G6" s="93" t="e">
        <f t="shared" si="0"/>
        <v>#DIV/0!</v>
      </c>
      <c r="H6" s="93" t="e">
        <f t="shared" si="0"/>
        <v>#DIV/0!</v>
      </c>
      <c r="I6" s="93" t="e">
        <f t="shared" si="0"/>
        <v>#DIV/0!</v>
      </c>
      <c r="J6" s="93" t="e">
        <f t="shared" si="0"/>
        <v>#DIV/0!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0</v>
      </c>
      <c r="F7" s="93" t="e">
        <f t="shared" si="0"/>
        <v>#DIV/0!</v>
      </c>
      <c r="G7" s="93" t="e">
        <f t="shared" si="0"/>
        <v>#DIV/0!</v>
      </c>
      <c r="H7" s="93" t="e">
        <f t="shared" si="0"/>
        <v>#DIV/0!</v>
      </c>
      <c r="I7" s="93" t="e">
        <f t="shared" si="0"/>
        <v>#DIV/0!</v>
      </c>
      <c r="J7" s="93" t="e">
        <f t="shared" si="0"/>
        <v>#DIV/0!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0</v>
      </c>
      <c r="F8" s="93" t="e">
        <f t="shared" si="0"/>
        <v>#DIV/0!</v>
      </c>
      <c r="G8" s="93" t="e">
        <f t="shared" si="0"/>
        <v>#DIV/0!</v>
      </c>
      <c r="H8" s="93" t="e">
        <f t="shared" si="0"/>
        <v>#DIV/0!</v>
      </c>
      <c r="I8" s="93" t="e">
        <f t="shared" si="0"/>
        <v>#DIV/0!</v>
      </c>
      <c r="J8" s="93" t="e">
        <f t="shared" si="0"/>
        <v>#DIV/0!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/>
      <c r="F16" s="169"/>
      <c r="G16" s="169"/>
      <c r="H16" s="169"/>
      <c r="I16" s="169"/>
      <c r="J16" s="169"/>
      <c r="K16" s="62"/>
      <c r="L16" s="62"/>
      <c r="M16" s="62"/>
      <c r="N16" s="57"/>
      <c r="O16" s="257"/>
      <c r="P16" s="132"/>
      <c r="Q16" s="132"/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/>
      <c r="F17" s="170"/>
      <c r="G17" s="170"/>
      <c r="H17" s="170"/>
      <c r="I17" s="170"/>
      <c r="J17" s="170"/>
      <c r="K17" s="64"/>
      <c r="L17" s="64"/>
      <c r="M17" s="64"/>
      <c r="N17" s="58"/>
      <c r="O17" s="243"/>
      <c r="P17" s="147"/>
      <c r="Q17" s="147"/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/>
      <c r="F18" s="170"/>
      <c r="G18" s="170"/>
      <c r="H18" s="170"/>
      <c r="I18" s="170"/>
      <c r="J18" s="170"/>
      <c r="K18" s="64"/>
      <c r="L18" s="64"/>
      <c r="M18" s="64"/>
      <c r="N18" s="58"/>
      <c r="O18" s="243"/>
      <c r="P18" s="147"/>
      <c r="Q18" s="147"/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/>
      <c r="F19" s="170"/>
      <c r="G19" s="170"/>
      <c r="H19" s="170"/>
      <c r="I19" s="170"/>
      <c r="J19" s="170"/>
      <c r="K19" s="64"/>
      <c r="L19" s="64"/>
      <c r="M19" s="64"/>
      <c r="N19" s="58"/>
      <c r="O19" s="243"/>
      <c r="P19" s="147"/>
      <c r="Q19" s="147"/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/>
      <c r="G33" s="99"/>
      <c r="H33" s="99"/>
      <c r="I33" s="62"/>
      <c r="J33" s="62"/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/>
      <c r="G34" s="192"/>
      <c r="H34" s="192"/>
      <c r="I34" s="64"/>
      <c r="J34" s="64"/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/>
      <c r="G35" s="192"/>
      <c r="H35" s="192"/>
      <c r="I35" s="64"/>
      <c r="J35" s="64"/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/>
      <c r="G36" s="192"/>
      <c r="H36" s="192"/>
      <c r="I36" s="64"/>
      <c r="J36" s="64"/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/>
      <c r="G38" s="99"/>
      <c r="H38" s="99"/>
      <c r="I38" s="62"/>
      <c r="J38" s="62"/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/>
      <c r="G39" s="192"/>
      <c r="H39" s="192"/>
      <c r="I39" s="64"/>
      <c r="J39" s="64"/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/>
      <c r="G40" s="192"/>
      <c r="H40" s="192"/>
      <c r="I40" s="64"/>
      <c r="J40" s="64"/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/>
      <c r="G41" s="192"/>
      <c r="H41" s="192"/>
      <c r="I41" s="64"/>
      <c r="J41" s="64"/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/>
      <c r="G43" s="99"/>
      <c r="H43" s="99"/>
      <c r="I43" s="62"/>
      <c r="J43" s="62"/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/>
      <c r="G44" s="192"/>
      <c r="H44" s="192"/>
      <c r="I44" s="64"/>
      <c r="J44" s="64"/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/>
      <c r="G45" s="192"/>
      <c r="H45" s="192"/>
      <c r="I45" s="64"/>
      <c r="J45" s="64"/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/>
      <c r="G46" s="192"/>
      <c r="H46" s="192"/>
      <c r="I46" s="64"/>
      <c r="J46" s="64"/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/>
      <c r="G48" s="99"/>
      <c r="H48" s="99"/>
      <c r="I48" s="62"/>
      <c r="J48" s="62"/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/>
      <c r="G49" s="192"/>
      <c r="H49" s="192"/>
      <c r="I49" s="64"/>
      <c r="J49" s="64"/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/>
      <c r="G50" s="192"/>
      <c r="H50" s="192"/>
      <c r="I50" s="64"/>
      <c r="J50" s="64"/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/>
      <c r="G51" s="192"/>
      <c r="H51" s="192"/>
      <c r="I51" s="64"/>
      <c r="J51" s="64"/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/>
      <c r="G53" s="99"/>
      <c r="H53" s="99"/>
      <c r="I53" s="62"/>
      <c r="J53" s="62"/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/>
      <c r="G54" s="192"/>
      <c r="H54" s="192"/>
      <c r="I54" s="64"/>
      <c r="J54" s="64"/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/>
      <c r="G55" s="192"/>
      <c r="H55" s="192"/>
      <c r="I55" s="64"/>
      <c r="J55" s="64"/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/>
      <c r="G56" s="192"/>
      <c r="H56" s="192"/>
      <c r="I56" s="64"/>
      <c r="J56" s="64"/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/>
      <c r="G58" s="99"/>
      <c r="H58" s="99"/>
      <c r="I58" s="62"/>
      <c r="J58" s="62"/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/>
      <c r="G59" s="192"/>
      <c r="H59" s="192"/>
      <c r="I59" s="64"/>
      <c r="J59" s="64"/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/>
      <c r="G60" s="192"/>
      <c r="H60" s="192"/>
      <c r="I60" s="64"/>
      <c r="J60" s="64"/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/>
      <c r="G61" s="192"/>
      <c r="H61" s="192"/>
      <c r="I61" s="64"/>
      <c r="J61" s="64"/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/>
      <c r="G63" s="99"/>
      <c r="H63" s="99"/>
      <c r="I63" s="62"/>
      <c r="J63" s="62"/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/>
      <c r="G64" s="192"/>
      <c r="H64" s="192"/>
      <c r="I64" s="64"/>
      <c r="J64" s="64"/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/>
      <c r="G65" s="192"/>
      <c r="H65" s="192"/>
      <c r="I65" s="64"/>
      <c r="J65" s="64"/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/>
      <c r="G66" s="192"/>
      <c r="H66" s="192"/>
      <c r="I66" s="64"/>
      <c r="J66" s="64"/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/>
      <c r="G68" s="99"/>
      <c r="H68" s="99"/>
      <c r="I68" s="62"/>
      <c r="J68" s="62"/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/>
      <c r="G69" s="192"/>
      <c r="H69" s="192"/>
      <c r="I69" s="64"/>
      <c r="J69" s="64"/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/>
      <c r="G70" s="192"/>
      <c r="H70" s="192"/>
      <c r="I70" s="64"/>
      <c r="J70" s="64"/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/>
      <c r="G71" s="192"/>
      <c r="H71" s="192"/>
      <c r="I71" s="64"/>
      <c r="J71" s="64"/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/>
      <c r="G73" s="99"/>
      <c r="H73" s="99"/>
      <c r="I73" s="62"/>
      <c r="J73" s="62"/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/>
      <c r="G74" s="192"/>
      <c r="H74" s="192"/>
      <c r="I74" s="64"/>
      <c r="J74" s="64"/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/>
      <c r="G75" s="192"/>
      <c r="H75" s="192"/>
      <c r="I75" s="64"/>
      <c r="J75" s="64"/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/>
      <c r="G76" s="192"/>
      <c r="H76" s="192"/>
      <c r="I76" s="64"/>
      <c r="J76" s="64"/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/>
      <c r="G78" s="99"/>
      <c r="H78" s="99"/>
      <c r="I78" s="62"/>
      <c r="J78" s="62"/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/>
      <c r="G79" s="192"/>
      <c r="H79" s="192"/>
      <c r="I79" s="64"/>
      <c r="J79" s="64"/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/>
      <c r="G80" s="192"/>
      <c r="H80" s="192"/>
      <c r="I80" s="64"/>
      <c r="J80" s="64"/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/>
      <c r="G81" s="192"/>
      <c r="H81" s="192"/>
      <c r="I81" s="64"/>
      <c r="J81" s="64"/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/>
      <c r="G83" s="99"/>
      <c r="H83" s="99"/>
      <c r="I83" s="62"/>
      <c r="J83" s="62"/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/>
      <c r="G84" s="192"/>
      <c r="H84" s="192"/>
      <c r="I84" s="64"/>
      <c r="J84" s="64"/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/>
      <c r="G85" s="192"/>
      <c r="H85" s="192"/>
      <c r="I85" s="64"/>
      <c r="J85" s="64"/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/>
      <c r="G86" s="192"/>
      <c r="H86" s="192"/>
      <c r="I86" s="64"/>
      <c r="J86" s="64"/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/>
      <c r="G88" s="99"/>
      <c r="H88" s="99"/>
      <c r="I88" s="62"/>
      <c r="J88" s="62"/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/>
      <c r="G89" s="192"/>
      <c r="H89" s="192"/>
      <c r="I89" s="64"/>
      <c r="J89" s="64"/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/>
      <c r="G90" s="192"/>
      <c r="H90" s="192"/>
      <c r="I90" s="64"/>
      <c r="J90" s="64"/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/>
      <c r="G91" s="192"/>
      <c r="H91" s="192"/>
      <c r="I91" s="64"/>
      <c r="J91" s="64"/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/>
      <c r="G93" s="99"/>
      <c r="H93" s="99"/>
      <c r="I93" s="62"/>
      <c r="J93" s="62"/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/>
      <c r="G94" s="192"/>
      <c r="H94" s="192"/>
      <c r="I94" s="64"/>
      <c r="J94" s="64"/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/>
      <c r="G95" s="192"/>
      <c r="H95" s="192"/>
      <c r="I95" s="64"/>
      <c r="J95" s="64"/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/>
      <c r="G96" s="192"/>
      <c r="H96" s="192"/>
      <c r="I96" s="64"/>
      <c r="J96" s="64"/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/>
      <c r="G98" s="99"/>
      <c r="H98" s="99"/>
      <c r="I98" s="62"/>
      <c r="J98" s="62"/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/>
      <c r="G99" s="192"/>
      <c r="H99" s="192"/>
      <c r="I99" s="64"/>
      <c r="J99" s="64"/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/>
      <c r="G100" s="192"/>
      <c r="H100" s="192"/>
      <c r="I100" s="64"/>
      <c r="J100" s="64"/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/>
      <c r="G101" s="192"/>
      <c r="H101" s="192"/>
      <c r="I101" s="64"/>
      <c r="J101" s="64"/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/>
      <c r="G103" s="99"/>
      <c r="H103" s="99"/>
      <c r="I103" s="62"/>
      <c r="J103" s="62"/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/>
      <c r="G104" s="192"/>
      <c r="H104" s="192"/>
      <c r="I104" s="64"/>
      <c r="J104" s="64"/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/>
      <c r="G105" s="192"/>
      <c r="H105" s="192"/>
      <c r="I105" s="64"/>
      <c r="J105" s="64"/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/>
      <c r="G106" s="192"/>
      <c r="H106" s="192"/>
      <c r="I106" s="64"/>
      <c r="J106" s="64"/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8">
        <f t="shared" si="59"/>
        <v>0</v>
      </c>
      <c r="H641" s="138">
        <f t="shared" si="59"/>
        <v>0</v>
      </c>
      <c r="I641" s="138">
        <f t="shared" si="59"/>
        <v>0</v>
      </c>
      <c r="J641" s="138">
        <f t="shared" si="59"/>
        <v>0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8">
        <f t="shared" si="61"/>
        <v>0</v>
      </c>
      <c r="H646" s="138">
        <f t="shared" si="61"/>
        <v>0</v>
      </c>
      <c r="I646" s="138">
        <f t="shared" si="61"/>
        <v>0</v>
      </c>
      <c r="J646" s="138">
        <f t="shared" si="61"/>
        <v>0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0</v>
      </c>
      <c r="G651" s="138">
        <f t="shared" si="63"/>
        <v>0</v>
      </c>
      <c r="H651" s="138">
        <f t="shared" si="63"/>
        <v>0</v>
      </c>
      <c r="I651" s="138">
        <f t="shared" si="63"/>
        <v>0</v>
      </c>
      <c r="J651" s="138">
        <f t="shared" si="63"/>
        <v>0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tabSelected="1" topLeftCell="A7" workbookViewId="0">
      <selection activeCell="P26" sqref="P26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14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cinema_semitrack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28316.847999999998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2">
        <f t="shared" si="0"/>
        <v>33.832055285714283</v>
      </c>
      <c r="H5" s="32">
        <f t="shared" si="0"/>
        <v>0.96582942476190481</v>
      </c>
      <c r="I5" s="93">
        <f t="shared" si="0"/>
        <v>0.9725471133333331</v>
      </c>
      <c r="J5" s="93">
        <f t="shared" si="0"/>
        <v>6.5973396238095255E-2</v>
      </c>
      <c r="K5" s="57"/>
      <c r="L5" s="57"/>
      <c r="M5" s="57"/>
      <c r="N5" s="28"/>
      <c r="O5" s="58"/>
      <c r="P5" s="133">
        <f t="shared" ref="P5:Q8" si="1">P16</f>
        <v>21.984000000000002</v>
      </c>
      <c r="Q5" s="154">
        <f t="shared" si="1"/>
        <v>7.2809999999999997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28276.144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30.51927776190476</v>
      </c>
      <c r="Y5" s="32">
        <f t="shared" si="2"/>
        <v>34.420138285714287</v>
      </c>
      <c r="Z5" s="32">
        <f t="shared" si="2"/>
        <v>0.96598534523809521</v>
      </c>
      <c r="AA5" s="93">
        <f t="shared" si="2"/>
        <v>0.97313269476190478</v>
      </c>
      <c r="AB5" s="93">
        <f t="shared" si="2"/>
        <v>5.739088352380952E-2</v>
      </c>
      <c r="AC5" s="57"/>
      <c r="AD5" s="57"/>
      <c r="AE5" s="57"/>
      <c r="AF5" s="28"/>
      <c r="AG5" s="243"/>
      <c r="AH5" s="133">
        <f t="shared" ref="AH5:AI8" si="3">AH16</f>
        <v>21.015000000000001</v>
      </c>
      <c r="AI5" s="154">
        <f t="shared" si="3"/>
        <v>7.5149999999999997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 ca="1">bdrate($E5:$E8,F5:F8,$W5:$W8,X5:X8)</f>
        <v>#NAME?</v>
      </c>
      <c r="AN5" s="245" t="e">
        <f ca="1">bdrate($E5:$E8,G5:G8,$W5:$W8,Y5:Y8)</f>
        <v>#NAME?</v>
      </c>
      <c r="AO5" s="245" t="e">
        <f ca="1">bdrate($E5:$E8,H5:H8,$W5:$W8,Z5:Z8)</f>
        <v>#NAME?</v>
      </c>
      <c r="AP5" s="245" t="e">
        <f ca="1">bdrate($E5:$E8,I5:I8,$W5:$W8,AA5:AA8)</f>
        <v>#NAME?</v>
      </c>
      <c r="AQ5" s="246" t="e">
        <f ca="1">bdrateInverted($E5:$E8,J5:J8,$W5:$W8,AB5:AB8)</f>
        <v>#NAME?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41126.480000000003</v>
      </c>
      <c r="F6" s="93">
        <f t="shared" si="0"/>
        <v>32.999578714285725</v>
      </c>
      <c r="G6" s="93">
        <f t="shared" si="0"/>
        <v>36.531831238095236</v>
      </c>
      <c r="H6" s="93">
        <f t="shared" si="0"/>
        <v>0.97901262523809529</v>
      </c>
      <c r="I6" s="93">
        <f t="shared" si="0"/>
        <v>0.98376468238095238</v>
      </c>
      <c r="J6" s="93">
        <f t="shared" si="0"/>
        <v>4.448833447619048E-2</v>
      </c>
      <c r="K6" s="58"/>
      <c r="L6" s="58"/>
      <c r="M6" s="58"/>
      <c r="N6" s="30"/>
      <c r="O6" s="58"/>
      <c r="P6" s="133">
        <f t="shared" si="1"/>
        <v>22.125</v>
      </c>
      <c r="Q6" s="133">
        <f t="shared" si="1"/>
        <v>7.5620000000000003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41070.544000000002</v>
      </c>
      <c r="X6" s="93">
        <f t="shared" si="2"/>
        <v>33.915609571428568</v>
      </c>
      <c r="Y6" s="93">
        <f t="shared" si="2"/>
        <v>37.252876952380959</v>
      </c>
      <c r="Z6" s="93">
        <f t="shared" si="2"/>
        <v>0.97914374095238088</v>
      </c>
      <c r="AA6" s="93">
        <f t="shared" si="2"/>
        <v>0.9844055233333332</v>
      </c>
      <c r="AB6" s="93">
        <f t="shared" si="2"/>
        <v>3.7364834809523809E-2</v>
      </c>
      <c r="AC6" s="58"/>
      <c r="AD6" s="58"/>
      <c r="AE6" s="58"/>
      <c r="AF6" s="30"/>
      <c r="AG6" s="243"/>
      <c r="AH6" s="133">
        <f t="shared" si="3"/>
        <v>21.327999999999999</v>
      </c>
      <c r="AI6" s="133">
        <f t="shared" si="3"/>
        <v>7.625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61865.04</v>
      </c>
      <c r="F7" s="93">
        <f t="shared" si="0"/>
        <v>36.248342999999991</v>
      </c>
      <c r="G7" s="93">
        <f t="shared" si="0"/>
        <v>40.276491190476186</v>
      </c>
      <c r="H7" s="93">
        <f t="shared" si="0"/>
        <v>0.98868709857142867</v>
      </c>
      <c r="I7" s="93">
        <f t="shared" si="0"/>
        <v>0.99210457047619049</v>
      </c>
      <c r="J7" s="93">
        <f t="shared" si="0"/>
        <v>2.7850360190476191E-2</v>
      </c>
      <c r="K7" s="58"/>
      <c r="L7" s="58"/>
      <c r="M7" s="58"/>
      <c r="N7" s="30"/>
      <c r="O7" s="58"/>
      <c r="P7" s="133">
        <f t="shared" si="1"/>
        <v>22.545999999999999</v>
      </c>
      <c r="Q7" s="133">
        <f t="shared" si="1"/>
        <v>7.625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61787.431999999993</v>
      </c>
      <c r="X7" s="93">
        <f t="shared" si="2"/>
        <v>38.173969523809532</v>
      </c>
      <c r="Y7" s="93">
        <f t="shared" si="2"/>
        <v>41.493205095238103</v>
      </c>
      <c r="Z7" s="93">
        <f t="shared" si="2"/>
        <v>0.98898263523809526</v>
      </c>
      <c r="AA7" s="93">
        <f t="shared" si="2"/>
        <v>0.99259552476190493</v>
      </c>
      <c r="AB7" s="93">
        <f t="shared" si="2"/>
        <v>2.0834901142857146E-2</v>
      </c>
      <c r="AC7" s="58"/>
      <c r="AD7" s="58"/>
      <c r="AE7" s="58"/>
      <c r="AF7" s="30"/>
      <c r="AG7" s="243"/>
      <c r="AH7" s="133">
        <f t="shared" si="3"/>
        <v>21.359000000000002</v>
      </c>
      <c r="AI7" s="133">
        <f t="shared" si="3"/>
        <v>7.9530000000000003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90416.760000000009</v>
      </c>
      <c r="F8" s="93">
        <f t="shared" si="0"/>
        <v>39.028174857142858</v>
      </c>
      <c r="G8" s="93">
        <f t="shared" si="0"/>
        <v>43.229996952380951</v>
      </c>
      <c r="H8" s="93">
        <f t="shared" si="0"/>
        <v>0.99344393809523812</v>
      </c>
      <c r="I8" s="93">
        <f t="shared" si="0"/>
        <v>0.99578089857142849</v>
      </c>
      <c r="J8" s="93">
        <f t="shared" si="0"/>
        <v>1.5608584595238097E-2</v>
      </c>
      <c r="K8" s="58"/>
      <c r="L8" s="58"/>
      <c r="M8" s="58"/>
      <c r="N8" s="30"/>
      <c r="O8" s="58"/>
      <c r="P8" s="133">
        <f t="shared" si="1"/>
        <v>22.655999999999999</v>
      </c>
      <c r="Q8" s="133">
        <f t="shared" si="1"/>
        <v>7.6559999999999997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90324.391999999993</v>
      </c>
      <c r="X8" s="93">
        <f t="shared" si="2"/>
        <v>42.388943999999995</v>
      </c>
      <c r="Y8" s="93">
        <f t="shared" si="2"/>
        <v>45.453762904761909</v>
      </c>
      <c r="Z8" s="93">
        <f t="shared" si="2"/>
        <v>0.99382361047619028</v>
      </c>
      <c r="AA8" s="93">
        <f t="shared" si="2"/>
        <v>0.99640912809523807</v>
      </c>
      <c r="AB8" s="93">
        <f t="shared" si="2"/>
        <v>9.1692796190476194E-3</v>
      </c>
      <c r="AC8" s="58"/>
      <c r="AD8" s="58"/>
      <c r="AE8" s="58"/>
      <c r="AF8" s="30"/>
      <c r="AG8" s="243"/>
      <c r="AH8" s="133">
        <f t="shared" si="3"/>
        <v>21.609000000000002</v>
      </c>
      <c r="AI8" s="133">
        <f t="shared" si="3"/>
        <v>8.0310000000000006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>
        <f>GEOMEAN(P5:P8)</f>
        <v>22.325987813899971</v>
      </c>
      <c r="Q10" s="157">
        <f>GEOMEAN(Q5:Q8)</f>
        <v>7.5295213524621358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>
        <f>GEOMEAN(AH5:AH8)</f>
        <v>21.326705798856015</v>
      </c>
      <c r="AI10" s="157">
        <f>GEOMEAN(AI5:AI8)</f>
        <v>7.7779896396049519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>
        <v>4688.8959999999997</v>
      </c>
      <c r="F16" s="169">
        <v>6056.2079999999996</v>
      </c>
      <c r="G16" s="169">
        <v>1130.7760000000001</v>
      </c>
      <c r="H16" s="169">
        <v>388.36</v>
      </c>
      <c r="I16" s="169">
        <v>167.80799999999999</v>
      </c>
      <c r="J16" s="169">
        <v>8771.848</v>
      </c>
      <c r="K16" s="62">
        <v>5224.8</v>
      </c>
      <c r="L16" s="62">
        <v>1888.152</v>
      </c>
      <c r="M16" s="62">
        <v>7.8879999999999999</v>
      </c>
      <c r="N16" s="57"/>
      <c r="O16" s="257"/>
      <c r="P16" s="132">
        <v>21.984000000000002</v>
      </c>
      <c r="Q16" s="132">
        <v>7.2809999999999997</v>
      </c>
      <c r="R16" s="145"/>
      <c r="S16" s="217"/>
      <c r="T16" s="305"/>
      <c r="U16" s="27" t="s">
        <v>28</v>
      </c>
      <c r="V16" s="28"/>
      <c r="W16" s="131">
        <v>4688.8959999999997</v>
      </c>
      <c r="X16" s="169">
        <v>6016.7280000000001</v>
      </c>
      <c r="Y16" s="169">
        <v>1129.9680000000001</v>
      </c>
      <c r="Z16" s="169">
        <v>388.16</v>
      </c>
      <c r="AA16" s="169">
        <v>167.96</v>
      </c>
      <c r="AB16" s="169">
        <v>8771.7919999999995</v>
      </c>
      <c r="AC16" s="62">
        <v>5224.4960000000001</v>
      </c>
      <c r="AD16" s="62">
        <v>1888.144</v>
      </c>
      <c r="AE16" s="62">
        <v>7.8879999999999999</v>
      </c>
      <c r="AF16" s="57"/>
      <c r="AG16" s="257"/>
      <c r="AH16" s="132">
        <v>21.015000000000001</v>
      </c>
      <c r="AI16" s="132">
        <v>7.5149999999999997</v>
      </c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>
        <v>4688.8959999999997</v>
      </c>
      <c r="F17" s="170">
        <v>7941.5919999999996</v>
      </c>
      <c r="G17" s="170">
        <v>4043.28</v>
      </c>
      <c r="H17" s="170">
        <v>2044.9680000000001</v>
      </c>
      <c r="I17" s="170">
        <v>1498.336</v>
      </c>
      <c r="J17" s="170">
        <v>11323.12</v>
      </c>
      <c r="K17" s="64">
        <v>7088.4719999999998</v>
      </c>
      <c r="L17" s="64">
        <v>2497.8159999999998</v>
      </c>
      <c r="M17" s="64">
        <v>7.88</v>
      </c>
      <c r="N17" s="58"/>
      <c r="O17" s="243"/>
      <c r="P17" s="147">
        <v>22.125</v>
      </c>
      <c r="Q17" s="147">
        <v>7.5620000000000003</v>
      </c>
      <c r="R17" s="148"/>
      <c r="S17" s="217"/>
      <c r="T17" s="290"/>
      <c r="U17" s="29" t="s">
        <v>29</v>
      </c>
      <c r="V17" s="30"/>
      <c r="W17" s="146">
        <v>4688.8959999999997</v>
      </c>
      <c r="X17" s="170">
        <v>7891.6559999999999</v>
      </c>
      <c r="Y17" s="170">
        <v>4041.136</v>
      </c>
      <c r="Z17" s="170">
        <v>2043.104</v>
      </c>
      <c r="AA17" s="170">
        <v>1497.04</v>
      </c>
      <c r="AB17" s="170">
        <v>11322.752</v>
      </c>
      <c r="AC17" s="64">
        <v>7088.1279999999997</v>
      </c>
      <c r="AD17" s="64">
        <v>2497.8319999999999</v>
      </c>
      <c r="AE17" s="64">
        <v>7.88</v>
      </c>
      <c r="AF17" s="58"/>
      <c r="AG17" s="243"/>
      <c r="AH17" s="147">
        <v>21.327999999999999</v>
      </c>
      <c r="AI17" s="147">
        <v>7.625</v>
      </c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>
        <v>4688.8959999999997</v>
      </c>
      <c r="F18" s="170">
        <v>9902.32</v>
      </c>
      <c r="G18" s="170">
        <v>8648.4</v>
      </c>
      <c r="H18" s="170">
        <v>6395.5360000000001</v>
      </c>
      <c r="I18" s="170">
        <v>6107.9359999999997</v>
      </c>
      <c r="J18" s="170">
        <v>13961.536</v>
      </c>
      <c r="K18" s="64">
        <v>9035.2880000000005</v>
      </c>
      <c r="L18" s="64">
        <v>3125.1280000000002</v>
      </c>
      <c r="M18" s="64">
        <v>7.8639999999999999</v>
      </c>
      <c r="N18" s="58"/>
      <c r="O18" s="243"/>
      <c r="P18" s="147">
        <v>22.545999999999999</v>
      </c>
      <c r="Q18" s="147">
        <v>7.625</v>
      </c>
      <c r="R18" s="148"/>
      <c r="S18" s="217"/>
      <c r="T18" s="290"/>
      <c r="U18" s="29" t="s">
        <v>30</v>
      </c>
      <c r="V18" s="30"/>
      <c r="W18" s="146">
        <v>4688.8959999999997</v>
      </c>
      <c r="X18" s="170">
        <v>9839.5439999999999</v>
      </c>
      <c r="Y18" s="170">
        <v>8644.4079999999994</v>
      </c>
      <c r="Z18" s="170">
        <v>6389.8159999999998</v>
      </c>
      <c r="AA18" s="170">
        <v>6103.232</v>
      </c>
      <c r="AB18" s="170">
        <v>13961.407999999999</v>
      </c>
      <c r="AC18" s="64">
        <v>9035.0159999999996</v>
      </c>
      <c r="AD18" s="64">
        <v>3125.1120000000001</v>
      </c>
      <c r="AE18" s="64">
        <v>7.8639999999999999</v>
      </c>
      <c r="AF18" s="58"/>
      <c r="AG18" s="243"/>
      <c r="AH18" s="147">
        <v>21.359000000000002</v>
      </c>
      <c r="AI18" s="147">
        <v>7.9530000000000003</v>
      </c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>
        <v>4688.8959999999997</v>
      </c>
      <c r="F19" s="170">
        <v>11776.415999999999</v>
      </c>
      <c r="G19" s="170">
        <v>13866.175999999999</v>
      </c>
      <c r="H19" s="170">
        <v>13459.6</v>
      </c>
      <c r="I19" s="170">
        <v>15053.32</v>
      </c>
      <c r="J19" s="170">
        <v>16708.376</v>
      </c>
      <c r="K19" s="64">
        <v>11084.592000000001</v>
      </c>
      <c r="L19" s="64">
        <v>3779.384</v>
      </c>
      <c r="M19" s="64">
        <v>7.7359999999999998</v>
      </c>
      <c r="N19" s="58"/>
      <c r="O19" s="243"/>
      <c r="P19" s="147">
        <v>22.655999999999999</v>
      </c>
      <c r="Q19" s="147">
        <v>7.6559999999999997</v>
      </c>
      <c r="R19" s="148"/>
      <c r="S19" s="217"/>
      <c r="T19" s="290"/>
      <c r="U19" s="29" t="s">
        <v>32</v>
      </c>
      <c r="V19" s="30"/>
      <c r="W19" s="146">
        <v>4688.8959999999997</v>
      </c>
      <c r="X19" s="170">
        <v>11702.592000000001</v>
      </c>
      <c r="Y19" s="170">
        <v>13863.968000000001</v>
      </c>
      <c r="Z19" s="170">
        <v>13451.128000000001</v>
      </c>
      <c r="AA19" s="170">
        <v>15045.224</v>
      </c>
      <c r="AB19" s="170">
        <v>16708.599999999999</v>
      </c>
      <c r="AC19" s="64">
        <v>11084.68</v>
      </c>
      <c r="AD19" s="64">
        <v>3779.3040000000001</v>
      </c>
      <c r="AE19" s="64">
        <v>7.7359999999999998</v>
      </c>
      <c r="AF19" s="58"/>
      <c r="AG19" s="243"/>
      <c r="AH19" s="147">
        <v>21.609000000000002</v>
      </c>
      <c r="AI19" s="147">
        <v>8.0310000000000006</v>
      </c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28316.847999999998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28276.144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41126.480000000003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41070.544000000002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61865.04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61787.431999999993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90416.760000000009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90324.391999999993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>
        <v>27.577456000000002</v>
      </c>
      <c r="G33" s="99">
        <v>31.134187000000001</v>
      </c>
      <c r="H33" s="99">
        <v>0.95943495000000001</v>
      </c>
      <c r="I33" s="62">
        <v>0.96601981000000003</v>
      </c>
      <c r="J33" s="62">
        <v>8.3524169999999995E-2</v>
      </c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>
        <v>28.021709999999999</v>
      </c>
      <c r="Y33" s="99">
        <v>32.011333</v>
      </c>
      <c r="Z33" s="99">
        <v>0.95973615999999995</v>
      </c>
      <c r="AA33" s="62">
        <v>0.96710646</v>
      </c>
      <c r="AB33" s="62">
        <v>6.5225080000000005E-2</v>
      </c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>
        <f t="shared" ref="AM33:AM96" si="4">IF(OR(X33="",F33=""),"",X33-F33)</f>
        <v>0.44425399999999726</v>
      </c>
      <c r="AN33" s="98">
        <f t="shared" ref="AN33:AN96" si="5">IF(OR(Y33="",G33=""),"",Y33-G33)</f>
        <v>0.87714599999999976</v>
      </c>
      <c r="AO33" s="98">
        <f t="shared" ref="AO33:AO96" si="6">IF(OR(Z33="",H33=""),"",Z33-H33)</f>
        <v>3.0120999999994069E-4</v>
      </c>
      <c r="AP33" s="98">
        <f t="shared" ref="AP33:AP96" si="7">IF(OR(AA33="",I33=""),"",AA33-I33)</f>
        <v>1.0866499999999668E-3</v>
      </c>
      <c r="AQ33" s="123">
        <f t="shared" ref="AQ33:AQ96" si="8">IF(OR(AB33="",J33=""),"",AB33-J33)</f>
        <v>-1.829908999999999E-2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>
        <v>30.759060000000002</v>
      </c>
      <c r="G34" s="192">
        <v>34.076340999999999</v>
      </c>
      <c r="H34" s="192">
        <v>0.97693960999999996</v>
      </c>
      <c r="I34" s="64">
        <v>0.98018503000000001</v>
      </c>
      <c r="J34" s="64">
        <v>5.8090188000000001E-2</v>
      </c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>
        <v>31.759834999999999</v>
      </c>
      <c r="Y34" s="192">
        <v>34.860702000000003</v>
      </c>
      <c r="Z34" s="192">
        <v>0.97710390000000003</v>
      </c>
      <c r="AA34" s="64">
        <v>0.98110759999999997</v>
      </c>
      <c r="AB34" s="64">
        <v>4.2091280000000002E-2</v>
      </c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>
        <f t="shared" si="4"/>
        <v>1.0007749999999973</v>
      </c>
      <c r="AN34" s="124">
        <f t="shared" si="5"/>
        <v>0.78436100000000408</v>
      </c>
      <c r="AO34" s="124">
        <f t="shared" si="6"/>
        <v>1.6429000000006688E-4</v>
      </c>
      <c r="AP34" s="124">
        <f t="shared" si="7"/>
        <v>9.2256999999995593E-4</v>
      </c>
      <c r="AQ34" s="90">
        <f t="shared" si="8"/>
        <v>-1.5998907999999999E-2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>
        <v>34.701622</v>
      </c>
      <c r="G35" s="192">
        <v>39.048186000000001</v>
      </c>
      <c r="H35" s="192">
        <v>0.98871198000000005</v>
      </c>
      <c r="I35" s="64">
        <v>0.99178215999999997</v>
      </c>
      <c r="J35" s="64">
        <v>3.3094823000000002E-2</v>
      </c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>
        <v>37.334394000000003</v>
      </c>
      <c r="Y35" s="192">
        <v>40.721279000000003</v>
      </c>
      <c r="Z35" s="192">
        <v>0.98912204000000004</v>
      </c>
      <c r="AA35" s="64">
        <v>0.99229701000000003</v>
      </c>
      <c r="AB35" s="64">
        <v>2.1606486000000001E-2</v>
      </c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>
        <f t="shared" si="4"/>
        <v>2.6327720000000028</v>
      </c>
      <c r="AN35" s="124">
        <f t="shared" si="5"/>
        <v>1.6730930000000015</v>
      </c>
      <c r="AO35" s="124">
        <f t="shared" si="6"/>
        <v>4.1005999999998988E-4</v>
      </c>
      <c r="AP35" s="124">
        <f t="shared" si="7"/>
        <v>5.1485000000006664E-4</v>
      </c>
      <c r="AQ35" s="90">
        <f t="shared" si="8"/>
        <v>-1.1488337000000001E-2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>
        <v>37.285139999999998</v>
      </c>
      <c r="G36" s="192">
        <v>41.695649000000003</v>
      </c>
      <c r="H36" s="192">
        <v>0.99349675000000004</v>
      </c>
      <c r="I36" s="64">
        <v>0.99566268000000002</v>
      </c>
      <c r="J36" s="64">
        <v>1.9023346E-2</v>
      </c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>
        <v>41.420926999999999</v>
      </c>
      <c r="Y36" s="192">
        <v>44.584218999999997</v>
      </c>
      <c r="Z36" s="192">
        <v>0.99396605000000005</v>
      </c>
      <c r="AA36" s="64">
        <v>0.99626300999999995</v>
      </c>
      <c r="AB36" s="64">
        <v>9.0549610000000003E-3</v>
      </c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>
        <f t="shared" si="4"/>
        <v>4.1357870000000005</v>
      </c>
      <c r="AN36" s="124">
        <f t="shared" si="5"/>
        <v>2.8885699999999943</v>
      </c>
      <c r="AO36" s="124">
        <f t="shared" si="6"/>
        <v>4.6930000000000582E-4</v>
      </c>
      <c r="AP36" s="124">
        <f t="shared" si="7"/>
        <v>6.0032999999992676E-4</v>
      </c>
      <c r="AQ36" s="90">
        <f t="shared" si="8"/>
        <v>-9.9683849999999997E-3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>
        <v>28.193349000000001</v>
      </c>
      <c r="G38" s="99">
        <v>31.808422</v>
      </c>
      <c r="H38" s="99">
        <v>0.96085564000000001</v>
      </c>
      <c r="I38" s="62">
        <v>0.96608455999999998</v>
      </c>
      <c r="J38" s="62">
        <v>7.6065703999999998E-2</v>
      </c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>
        <v>28.585894</v>
      </c>
      <c r="Y38" s="99">
        <v>32.518506000000002</v>
      </c>
      <c r="Z38" s="99">
        <v>0.96099235999999999</v>
      </c>
      <c r="AA38" s="62">
        <v>0.96682431999999996</v>
      </c>
      <c r="AB38" s="62">
        <v>6.171277E-2</v>
      </c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>
        <f t="shared" si="4"/>
        <v>0.39254499999999837</v>
      </c>
      <c r="AN38" s="98">
        <f t="shared" si="5"/>
        <v>0.71008400000000194</v>
      </c>
      <c r="AO38" s="98">
        <f t="shared" si="6"/>
        <v>1.3671999999997908E-4</v>
      </c>
      <c r="AP38" s="98">
        <f t="shared" si="7"/>
        <v>7.3975999999997821E-4</v>
      </c>
      <c r="AQ38" s="123">
        <f t="shared" si="8"/>
        <v>-1.4352933999999998E-2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>
        <v>31.252689</v>
      </c>
      <c r="G39" s="192">
        <v>34.732500999999999</v>
      </c>
      <c r="H39" s="192">
        <v>0.97719151000000004</v>
      </c>
      <c r="I39" s="64">
        <v>0.98035265999999999</v>
      </c>
      <c r="J39" s="64">
        <v>5.4013060000000002E-2</v>
      </c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>
        <v>32.428837000000001</v>
      </c>
      <c r="Y39" s="192">
        <v>35.620227999999997</v>
      </c>
      <c r="Z39" s="192">
        <v>0.97726524999999997</v>
      </c>
      <c r="AA39" s="64">
        <v>0.98136917000000001</v>
      </c>
      <c r="AB39" s="64">
        <v>4.1666802000000003E-2</v>
      </c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>
        <f t="shared" si="4"/>
        <v>1.1761480000000013</v>
      </c>
      <c r="AN39" s="124">
        <f t="shared" si="5"/>
        <v>0.88772699999999816</v>
      </c>
      <c r="AO39" s="124">
        <f t="shared" si="6"/>
        <v>7.3739999999933303E-5</v>
      </c>
      <c r="AP39" s="124">
        <f t="shared" si="7"/>
        <v>1.016510000000026E-3</v>
      </c>
      <c r="AQ39" s="90">
        <f t="shared" si="8"/>
        <v>-1.2346257999999999E-2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>
        <v>35.001336999999999</v>
      </c>
      <c r="G40" s="192">
        <v>39.219678999999999</v>
      </c>
      <c r="H40" s="192">
        <v>0.98841422000000001</v>
      </c>
      <c r="I40" s="64">
        <v>0.9914191</v>
      </c>
      <c r="J40" s="64">
        <v>3.1824815999999999E-2</v>
      </c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>
        <v>37.319600999999999</v>
      </c>
      <c r="Y40" s="192">
        <v>40.717708999999999</v>
      </c>
      <c r="Z40" s="192">
        <v>0.98883399000000005</v>
      </c>
      <c r="AA40" s="64">
        <v>0.99197824000000001</v>
      </c>
      <c r="AB40" s="64">
        <v>2.2467382000000001E-2</v>
      </c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>
        <f t="shared" si="4"/>
        <v>2.3182639999999992</v>
      </c>
      <c r="AN40" s="124">
        <f t="shared" si="5"/>
        <v>1.49803</v>
      </c>
      <c r="AO40" s="124">
        <f t="shared" si="6"/>
        <v>4.197700000000415E-4</v>
      </c>
      <c r="AP40" s="124">
        <f t="shared" si="7"/>
        <v>5.5914000000001352E-4</v>
      </c>
      <c r="AQ40" s="90">
        <f t="shared" si="8"/>
        <v>-9.3574339999999978E-3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>
        <v>37.389982000000003</v>
      </c>
      <c r="G41" s="192">
        <v>41.763351</v>
      </c>
      <c r="H41" s="192">
        <v>0.99333020999999999</v>
      </c>
      <c r="I41" s="64">
        <v>0.99550910000000004</v>
      </c>
      <c r="J41" s="64">
        <v>1.8921693999999999E-2</v>
      </c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>
        <v>41.504340999999997</v>
      </c>
      <c r="Y41" s="192">
        <v>44.651564999999998</v>
      </c>
      <c r="Z41" s="192">
        <v>0.99384868000000004</v>
      </c>
      <c r="AA41" s="64">
        <v>0.99616422999999998</v>
      </c>
      <c r="AB41" s="64">
        <v>9.1934879999999997E-3</v>
      </c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>
        <f t="shared" si="4"/>
        <v>4.1143589999999932</v>
      </c>
      <c r="AN41" s="124">
        <f t="shared" si="5"/>
        <v>2.8882139999999978</v>
      </c>
      <c r="AO41" s="124">
        <f t="shared" si="6"/>
        <v>5.1847000000004861E-4</v>
      </c>
      <c r="AP41" s="124">
        <f t="shared" si="7"/>
        <v>6.5512999999994825E-4</v>
      </c>
      <c r="AQ41" s="90">
        <f t="shared" si="8"/>
        <v>-9.7282059999999997E-3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>
        <v>28.768204000000001</v>
      </c>
      <c r="G43" s="99">
        <v>32.409649999999999</v>
      </c>
      <c r="H43" s="99">
        <v>0.96211438999999999</v>
      </c>
      <c r="I43" s="62">
        <v>0.96779749999999998</v>
      </c>
      <c r="J43" s="62">
        <v>7.4610220000000005E-2</v>
      </c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>
        <v>29.134933</v>
      </c>
      <c r="Y43" s="99">
        <v>32.924588</v>
      </c>
      <c r="Z43" s="99">
        <v>0.96246723999999995</v>
      </c>
      <c r="AA43" s="62">
        <v>0.96858195999999996</v>
      </c>
      <c r="AB43" s="62">
        <v>6.3431199999999993E-2</v>
      </c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>
        <f t="shared" si="4"/>
        <v>0.36672899999999942</v>
      </c>
      <c r="AN43" s="98">
        <f t="shared" si="5"/>
        <v>0.51493800000000078</v>
      </c>
      <c r="AO43" s="98">
        <f t="shared" si="6"/>
        <v>3.5284999999996014E-4</v>
      </c>
      <c r="AP43" s="98">
        <f t="shared" si="7"/>
        <v>7.8445999999998683E-4</v>
      </c>
      <c r="AQ43" s="123">
        <f t="shared" si="8"/>
        <v>-1.1179020000000012E-2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>
        <v>31.693356999999999</v>
      </c>
      <c r="G44" s="192">
        <v>35.252952999999998</v>
      </c>
      <c r="H44" s="192">
        <v>0.97751454999999998</v>
      </c>
      <c r="I44" s="64">
        <v>0.98098412000000001</v>
      </c>
      <c r="J44" s="64">
        <v>5.0052739999999998E-2</v>
      </c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>
        <v>32.763905999999999</v>
      </c>
      <c r="Y44" s="192">
        <v>35.959392999999999</v>
      </c>
      <c r="Z44" s="192">
        <v>0.97761452000000004</v>
      </c>
      <c r="AA44" s="64">
        <v>0.98186037000000004</v>
      </c>
      <c r="AB44" s="64">
        <v>4.2125049999999997E-2</v>
      </c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>
        <f t="shared" si="4"/>
        <v>1.0705489999999998</v>
      </c>
      <c r="AN44" s="124">
        <f t="shared" si="5"/>
        <v>0.70644000000000062</v>
      </c>
      <c r="AO44" s="124">
        <f t="shared" si="6"/>
        <v>9.9970000000060288E-5</v>
      </c>
      <c r="AP44" s="124">
        <f t="shared" si="7"/>
        <v>8.7625000000002284E-4</v>
      </c>
      <c r="AQ44" s="90">
        <f t="shared" si="8"/>
        <v>-7.9276900000000011E-3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>
        <v>35.019258999999998</v>
      </c>
      <c r="G45" s="192">
        <v>39.286160000000002</v>
      </c>
      <c r="H45" s="192">
        <v>0.98840072000000001</v>
      </c>
      <c r="I45" s="64">
        <v>0.99148994999999995</v>
      </c>
      <c r="J45" s="64">
        <v>3.2509700000000002E-2</v>
      </c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>
        <v>37.303614000000003</v>
      </c>
      <c r="Y45" s="192">
        <v>40.811267000000001</v>
      </c>
      <c r="Z45" s="192">
        <v>0.98872232000000004</v>
      </c>
      <c r="AA45" s="64">
        <v>0.99192932</v>
      </c>
      <c r="AB45" s="64">
        <v>2.3159308E-2</v>
      </c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>
        <f t="shared" si="4"/>
        <v>2.284355000000005</v>
      </c>
      <c r="AN45" s="124">
        <f t="shared" si="5"/>
        <v>1.5251069999999984</v>
      </c>
      <c r="AO45" s="124">
        <f t="shared" si="6"/>
        <v>3.2160000000003297E-4</v>
      </c>
      <c r="AP45" s="124">
        <f t="shared" si="7"/>
        <v>4.3937000000005E-4</v>
      </c>
      <c r="AQ45" s="90">
        <f t="shared" si="8"/>
        <v>-9.3503920000000025E-3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>
        <v>37.792676</v>
      </c>
      <c r="G46" s="192">
        <v>42.168708000000002</v>
      </c>
      <c r="H46" s="192">
        <v>0.99332200999999998</v>
      </c>
      <c r="I46" s="64">
        <v>0.99553944999999999</v>
      </c>
      <c r="J46" s="64">
        <v>1.8137565000000001E-2</v>
      </c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>
        <v>41.589728999999998</v>
      </c>
      <c r="Y46" s="192">
        <v>44.812463999999999</v>
      </c>
      <c r="Z46" s="192">
        <v>0.99382340000000002</v>
      </c>
      <c r="AA46" s="64">
        <v>0.99615133</v>
      </c>
      <c r="AB46" s="64">
        <v>9.4584630000000003E-3</v>
      </c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>
        <f t="shared" si="4"/>
        <v>3.7970529999999982</v>
      </c>
      <c r="AN46" s="124">
        <f t="shared" si="5"/>
        <v>2.6437559999999962</v>
      </c>
      <c r="AO46" s="124">
        <f t="shared" si="6"/>
        <v>5.0139000000004597E-4</v>
      </c>
      <c r="AP46" s="124">
        <f t="shared" si="7"/>
        <v>6.1188000000000908E-4</v>
      </c>
      <c r="AQ46" s="90">
        <f t="shared" si="8"/>
        <v>-8.679102000000001E-3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>
        <v>29.646042999999999</v>
      </c>
      <c r="G48" s="99">
        <v>33.106610000000003</v>
      </c>
      <c r="H48" s="99">
        <v>0.96270007999999996</v>
      </c>
      <c r="I48" s="62">
        <v>0.96883207999999998</v>
      </c>
      <c r="J48" s="62">
        <v>6.692476E-2</v>
      </c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>
        <v>29.85023</v>
      </c>
      <c r="Y48" s="99">
        <v>33.603983999999997</v>
      </c>
      <c r="Z48" s="99">
        <v>0.96297540000000004</v>
      </c>
      <c r="AA48" s="62">
        <v>0.96951622999999998</v>
      </c>
      <c r="AB48" s="62">
        <v>5.8631334E-2</v>
      </c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>
        <f t="shared" si="4"/>
        <v>0.20418700000000101</v>
      </c>
      <c r="AN48" s="98">
        <f t="shared" si="5"/>
        <v>0.49737399999999354</v>
      </c>
      <c r="AO48" s="98">
        <f t="shared" si="6"/>
        <v>2.7532000000007884E-4</v>
      </c>
      <c r="AP48" s="98">
        <f t="shared" si="7"/>
        <v>6.8414999999999448E-4</v>
      </c>
      <c r="AQ48" s="123">
        <f t="shared" si="8"/>
        <v>-8.2934259999999996E-3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>
        <v>32.635077000000003</v>
      </c>
      <c r="G49" s="192">
        <v>36.090877999999996</v>
      </c>
      <c r="H49" s="192">
        <v>0.97698622000000002</v>
      </c>
      <c r="I49" s="64">
        <v>0.98179987999999996</v>
      </c>
      <c r="J49" s="64">
        <v>4.4159416E-2</v>
      </c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>
        <v>33.521076000000001</v>
      </c>
      <c r="Y49" s="192">
        <v>36.691974000000002</v>
      </c>
      <c r="Z49" s="192">
        <v>0.97717505000000005</v>
      </c>
      <c r="AA49" s="64">
        <v>0.98242794</v>
      </c>
      <c r="AB49" s="64">
        <v>3.9124390000000002E-2</v>
      </c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>
        <f t="shared" si="4"/>
        <v>0.8859989999999982</v>
      </c>
      <c r="AN49" s="124">
        <f t="shared" si="5"/>
        <v>0.6010960000000054</v>
      </c>
      <c r="AO49" s="124">
        <f t="shared" si="6"/>
        <v>1.888300000000287E-4</v>
      </c>
      <c r="AP49" s="124">
        <f t="shared" si="7"/>
        <v>6.2806000000004136E-4</v>
      </c>
      <c r="AQ49" s="90">
        <f t="shared" si="8"/>
        <v>-5.035025999999998E-3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>
        <v>35.634103000000003</v>
      </c>
      <c r="G50" s="192">
        <v>39.809362999999998</v>
      </c>
      <c r="H50" s="192">
        <v>0.98790906999999994</v>
      </c>
      <c r="I50" s="64">
        <v>0.99133842999999999</v>
      </c>
      <c r="J50" s="64">
        <v>2.9285403000000002E-2</v>
      </c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>
        <v>37.649748000000002</v>
      </c>
      <c r="Y50" s="192">
        <v>41.079158999999997</v>
      </c>
      <c r="Z50" s="192">
        <v>0.98825507000000001</v>
      </c>
      <c r="AA50" s="64">
        <v>0.99180489000000005</v>
      </c>
      <c r="AB50" s="64">
        <v>2.2155103999999998E-2</v>
      </c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>
        <f t="shared" si="4"/>
        <v>2.0156449999999992</v>
      </c>
      <c r="AN50" s="124">
        <f t="shared" si="5"/>
        <v>1.2697959999999995</v>
      </c>
      <c r="AO50" s="124">
        <f t="shared" si="6"/>
        <v>3.4600000000006848E-4</v>
      </c>
      <c r="AP50" s="124">
        <f t="shared" si="7"/>
        <v>4.6646000000005738E-4</v>
      </c>
      <c r="AQ50" s="90">
        <f t="shared" si="8"/>
        <v>-7.1302990000000031E-3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>
        <v>38.367744000000002</v>
      </c>
      <c r="G51" s="192">
        <v>42.722358</v>
      </c>
      <c r="H51" s="192">
        <v>0.99321422999999998</v>
      </c>
      <c r="I51" s="64">
        <v>0.99548629</v>
      </c>
      <c r="J51" s="64">
        <v>1.6130444000000001E-2</v>
      </c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>
        <v>41.943747000000002</v>
      </c>
      <c r="Y51" s="192">
        <v>45.106833999999999</v>
      </c>
      <c r="Z51" s="192">
        <v>0.99366429000000001</v>
      </c>
      <c r="AA51" s="64">
        <v>0.99612634</v>
      </c>
      <c r="AB51" s="64">
        <v>9.1694299999999992E-3</v>
      </c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>
        <f t="shared" si="4"/>
        <v>3.576003</v>
      </c>
      <c r="AN51" s="124">
        <f t="shared" si="5"/>
        <v>2.3844759999999994</v>
      </c>
      <c r="AO51" s="124">
        <f t="shared" si="6"/>
        <v>4.5006000000002988E-4</v>
      </c>
      <c r="AP51" s="124">
        <f t="shared" si="7"/>
        <v>6.4005000000000312E-4</v>
      </c>
      <c r="AQ51" s="90">
        <f t="shared" si="8"/>
        <v>-6.9610140000000015E-3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>
        <v>29.522048999999999</v>
      </c>
      <c r="G53" s="99">
        <v>33.095426000000003</v>
      </c>
      <c r="H53" s="99">
        <v>0.96237687000000005</v>
      </c>
      <c r="I53" s="62">
        <v>0.96936633999999999</v>
      </c>
      <c r="J53" s="62">
        <v>6.6631360000000001E-2</v>
      </c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>
        <v>29.941220999999999</v>
      </c>
      <c r="Y53" s="99">
        <v>33.664008000000003</v>
      </c>
      <c r="Z53" s="99">
        <v>0.96251456999999996</v>
      </c>
      <c r="AA53" s="62">
        <v>0.96990924000000001</v>
      </c>
      <c r="AB53" s="62">
        <v>5.7733624999999997E-2</v>
      </c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>
        <f t="shared" si="4"/>
        <v>0.41917199999999966</v>
      </c>
      <c r="AN53" s="98">
        <f t="shared" si="5"/>
        <v>0.56858199999999925</v>
      </c>
      <c r="AO53" s="98">
        <f t="shared" si="6"/>
        <v>1.3769999999990734E-4</v>
      </c>
      <c r="AP53" s="98">
        <f t="shared" si="7"/>
        <v>5.4290000000001282E-4</v>
      </c>
      <c r="AQ53" s="123">
        <f t="shared" si="8"/>
        <v>-8.8977350000000038E-3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>
        <v>32.458666999999998</v>
      </c>
      <c r="G54" s="192">
        <v>35.984918</v>
      </c>
      <c r="H54" s="192">
        <v>0.97689793999999996</v>
      </c>
      <c r="I54" s="64">
        <v>0.98175643000000001</v>
      </c>
      <c r="J54" s="64">
        <v>4.4433027999999999E-2</v>
      </c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>
        <v>33.451532</v>
      </c>
      <c r="Y54" s="192">
        <v>36.659768</v>
      </c>
      <c r="Z54" s="192">
        <v>0.97711150999999996</v>
      </c>
      <c r="AA54" s="64">
        <v>0.98245901999999996</v>
      </c>
      <c r="AB54" s="64">
        <v>3.8013190000000002E-2</v>
      </c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>
        <f t="shared" si="4"/>
        <v>0.99286500000000188</v>
      </c>
      <c r="AN54" s="124">
        <f t="shared" si="5"/>
        <v>0.67484999999999928</v>
      </c>
      <c r="AO54" s="124">
        <f t="shared" si="6"/>
        <v>2.1356999999999626E-4</v>
      </c>
      <c r="AP54" s="124">
        <f t="shared" si="7"/>
        <v>7.0258999999994742E-4</v>
      </c>
      <c r="AQ54" s="90">
        <f t="shared" si="8"/>
        <v>-6.4198379999999972E-3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>
        <v>35.679766000000001</v>
      </c>
      <c r="G55" s="192">
        <v>39.763469000000001</v>
      </c>
      <c r="H55" s="192">
        <v>0.98777605999999996</v>
      </c>
      <c r="I55" s="64">
        <v>0.99115679999999995</v>
      </c>
      <c r="J55" s="64">
        <v>2.8534828000000002E-2</v>
      </c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>
        <v>37.415255000000002</v>
      </c>
      <c r="Y55" s="192">
        <v>40.894196999999998</v>
      </c>
      <c r="Z55" s="192">
        <v>0.98815156000000004</v>
      </c>
      <c r="AA55" s="64">
        <v>0.99165614999999996</v>
      </c>
      <c r="AB55" s="64">
        <v>2.2323504000000001E-2</v>
      </c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>
        <f t="shared" si="4"/>
        <v>1.7354890000000012</v>
      </c>
      <c r="AN55" s="124">
        <f t="shared" si="5"/>
        <v>1.1307279999999977</v>
      </c>
      <c r="AO55" s="124">
        <f t="shared" si="6"/>
        <v>3.755000000000841E-4</v>
      </c>
      <c r="AP55" s="124">
        <f t="shared" si="7"/>
        <v>4.9935000000000951E-4</v>
      </c>
      <c r="AQ55" s="90">
        <f t="shared" si="8"/>
        <v>-6.2113240000000007E-3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>
        <v>38.597504999999998</v>
      </c>
      <c r="G56" s="192">
        <v>42.825226999999998</v>
      </c>
      <c r="H56" s="192">
        <v>0.99314466000000001</v>
      </c>
      <c r="I56" s="64">
        <v>0.99536809000000004</v>
      </c>
      <c r="J56" s="64">
        <v>1.4998801000000001E-2</v>
      </c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>
        <v>41.706161999999999</v>
      </c>
      <c r="Y56" s="192">
        <v>44.901676000000002</v>
      </c>
      <c r="Z56" s="192">
        <v>0.99360044000000003</v>
      </c>
      <c r="AA56" s="64">
        <v>0.99605535000000001</v>
      </c>
      <c r="AB56" s="64">
        <v>9.3629730000000001E-3</v>
      </c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>
        <f t="shared" si="4"/>
        <v>3.1086570000000009</v>
      </c>
      <c r="AN56" s="124">
        <f t="shared" si="5"/>
        <v>2.0764490000000038</v>
      </c>
      <c r="AO56" s="124">
        <f t="shared" si="6"/>
        <v>4.5578000000001673E-4</v>
      </c>
      <c r="AP56" s="124">
        <f t="shared" si="7"/>
        <v>6.8725999999996734E-4</v>
      </c>
      <c r="AQ56" s="90">
        <f t="shared" si="8"/>
        <v>-5.6358280000000007E-3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>
        <v>29.68233</v>
      </c>
      <c r="G58" s="99">
        <v>33.258108999999997</v>
      </c>
      <c r="H58" s="99">
        <v>0.96183008999999997</v>
      </c>
      <c r="I58" s="62">
        <v>0.96960731</v>
      </c>
      <c r="J58" s="62">
        <v>6.7332400000000001E-2</v>
      </c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>
        <v>30.005309</v>
      </c>
      <c r="Y58" s="99">
        <v>33.729450999999997</v>
      </c>
      <c r="Z58" s="99">
        <v>0.96185036999999995</v>
      </c>
      <c r="AA58" s="62">
        <v>0.96976218000000003</v>
      </c>
      <c r="AB58" s="62">
        <v>5.9729230000000001E-2</v>
      </c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>
        <f t="shared" si="4"/>
        <v>0.32297900000000013</v>
      </c>
      <c r="AN58" s="98">
        <f t="shared" si="5"/>
        <v>0.47134199999999993</v>
      </c>
      <c r="AO58" s="98">
        <f t="shared" si="6"/>
        <v>2.0279999999983644E-5</v>
      </c>
      <c r="AP58" s="98">
        <f t="shared" si="7"/>
        <v>1.5487000000002915E-4</v>
      </c>
      <c r="AQ58" s="123">
        <f t="shared" si="8"/>
        <v>-7.6031699999999994E-3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>
        <v>32.585791999999998</v>
      </c>
      <c r="G59" s="192">
        <v>36.097355999999998</v>
      </c>
      <c r="H59" s="192">
        <v>0.97665292000000004</v>
      </c>
      <c r="I59" s="64">
        <v>0.98189451000000005</v>
      </c>
      <c r="J59" s="64">
        <v>4.5003085999999998E-2</v>
      </c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>
        <v>33.526066</v>
      </c>
      <c r="Y59" s="192">
        <v>36.739705999999998</v>
      </c>
      <c r="Z59" s="192">
        <v>0.97695953999999996</v>
      </c>
      <c r="AA59" s="64">
        <v>0.98261966999999995</v>
      </c>
      <c r="AB59" s="64">
        <v>3.8847840000000002E-2</v>
      </c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>
        <f t="shared" si="4"/>
        <v>0.94027400000000227</v>
      </c>
      <c r="AN59" s="124">
        <f t="shared" si="5"/>
        <v>0.64235000000000042</v>
      </c>
      <c r="AO59" s="124">
        <f t="shared" si="6"/>
        <v>3.0661999999992418E-4</v>
      </c>
      <c r="AP59" s="124">
        <f t="shared" si="7"/>
        <v>7.2515999999989145E-4</v>
      </c>
      <c r="AQ59" s="90">
        <f t="shared" si="8"/>
        <v>-6.1552459999999962E-3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>
        <v>35.839658</v>
      </c>
      <c r="G60" s="192">
        <v>39.831609</v>
      </c>
      <c r="H60" s="192">
        <v>0.98778858000000003</v>
      </c>
      <c r="I60" s="64">
        <v>0.99115125999999998</v>
      </c>
      <c r="J60" s="64">
        <v>2.8406635E-2</v>
      </c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>
        <v>37.254835999999997</v>
      </c>
      <c r="Y60" s="192">
        <v>40.760669</v>
      </c>
      <c r="Z60" s="192">
        <v>0.98818136999999995</v>
      </c>
      <c r="AA60" s="64">
        <v>0.99168000000000001</v>
      </c>
      <c r="AB60" s="64">
        <v>2.3415944000000001E-2</v>
      </c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>
        <f t="shared" si="4"/>
        <v>1.4151779999999974</v>
      </c>
      <c r="AN60" s="124">
        <f t="shared" si="5"/>
        <v>0.92905999999999977</v>
      </c>
      <c r="AO60" s="124">
        <f t="shared" si="6"/>
        <v>3.927899999999207E-4</v>
      </c>
      <c r="AP60" s="124">
        <f t="shared" si="7"/>
        <v>5.2874000000002752E-4</v>
      </c>
      <c r="AQ60" s="90">
        <f t="shared" si="8"/>
        <v>-4.9906909999999985E-3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>
        <v>39.007764000000002</v>
      </c>
      <c r="G61" s="192">
        <v>43.125194</v>
      </c>
      <c r="H61" s="192">
        <v>0.99317886</v>
      </c>
      <c r="I61" s="64">
        <v>0.99532387</v>
      </c>
      <c r="J61" s="64">
        <v>1.4320851000000001E-2</v>
      </c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>
        <v>41.635848000000003</v>
      </c>
      <c r="Y61" s="192">
        <v>44.837243000000001</v>
      </c>
      <c r="Z61" s="192">
        <v>0.99356116999999999</v>
      </c>
      <c r="AA61" s="64">
        <v>0.99604462999999999</v>
      </c>
      <c r="AB61" s="64">
        <v>9.7715519999999993E-3</v>
      </c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>
        <f t="shared" si="4"/>
        <v>2.6280840000000012</v>
      </c>
      <c r="AN61" s="124">
        <f t="shared" si="5"/>
        <v>1.7120490000000004</v>
      </c>
      <c r="AO61" s="124">
        <f t="shared" si="6"/>
        <v>3.8230999999999682E-4</v>
      </c>
      <c r="AP61" s="124">
        <f t="shared" si="7"/>
        <v>7.2075999999998697E-4</v>
      </c>
      <c r="AQ61" s="90">
        <f t="shared" si="8"/>
        <v>-4.5492990000000014E-3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>
        <v>29.997012999999999</v>
      </c>
      <c r="G63" s="99">
        <v>33.660482000000002</v>
      </c>
      <c r="H63" s="99">
        <v>0.96114701999999996</v>
      </c>
      <c r="I63" s="62">
        <v>0.97034967999999999</v>
      </c>
      <c r="J63" s="62">
        <v>6.5846375999999998E-2</v>
      </c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>
        <v>30.074263999999999</v>
      </c>
      <c r="Y63" s="99">
        <v>33.948540999999999</v>
      </c>
      <c r="Z63" s="99">
        <v>0.96115455000000005</v>
      </c>
      <c r="AA63" s="62">
        <v>0.97075336999999995</v>
      </c>
      <c r="AB63" s="62">
        <v>6.1471533000000002E-2</v>
      </c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>
        <f t="shared" si="4"/>
        <v>7.7251000000000403E-2</v>
      </c>
      <c r="AN63" s="98">
        <f t="shared" si="5"/>
        <v>0.28805899999999696</v>
      </c>
      <c r="AO63" s="98">
        <f t="shared" si="6"/>
        <v>7.5300000000888545E-6</v>
      </c>
      <c r="AP63" s="98">
        <f t="shared" si="7"/>
        <v>4.0368999999995658E-4</v>
      </c>
      <c r="AQ63" s="123">
        <f t="shared" si="8"/>
        <v>-4.3748429999999963E-3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>
        <v>33.147660000000002</v>
      </c>
      <c r="G64" s="192">
        <v>36.565246999999999</v>
      </c>
      <c r="H64" s="192">
        <v>0.97660387999999998</v>
      </c>
      <c r="I64" s="64">
        <v>0.98222423000000003</v>
      </c>
      <c r="J64" s="64">
        <v>4.1996222E-2</v>
      </c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>
        <v>33.617891999999998</v>
      </c>
      <c r="Y64" s="192">
        <v>36.928032000000002</v>
      </c>
      <c r="Z64" s="192">
        <v>0.97681675000000001</v>
      </c>
      <c r="AA64" s="64">
        <v>0.9830333</v>
      </c>
      <c r="AB64" s="64">
        <v>3.875406E-2</v>
      </c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>
        <f t="shared" si="4"/>
        <v>0.47023199999999576</v>
      </c>
      <c r="AN64" s="124">
        <f t="shared" si="5"/>
        <v>0.36278500000000236</v>
      </c>
      <c r="AO64" s="124">
        <f t="shared" si="6"/>
        <v>2.1287000000003165E-4</v>
      </c>
      <c r="AP64" s="124">
        <f t="shared" si="7"/>
        <v>8.0906999999996732E-4</v>
      </c>
      <c r="AQ64" s="90">
        <f t="shared" si="8"/>
        <v>-3.2421619999999998E-3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>
        <v>36.391508000000002</v>
      </c>
      <c r="G65" s="192">
        <v>40.252209000000001</v>
      </c>
      <c r="H65" s="192">
        <v>0.98797999000000003</v>
      </c>
      <c r="I65" s="64">
        <v>0.99132962000000002</v>
      </c>
      <c r="J65" s="64">
        <v>2.6921328000000001E-2</v>
      </c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>
        <v>37.443173999999999</v>
      </c>
      <c r="Y65" s="192">
        <v>40.956378000000001</v>
      </c>
      <c r="Z65" s="192">
        <v>0.98826230000000004</v>
      </c>
      <c r="AA65" s="64">
        <v>0.99191501999999998</v>
      </c>
      <c r="AB65" s="64">
        <v>2.3390014000000001E-2</v>
      </c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>
        <f t="shared" si="4"/>
        <v>1.0516659999999973</v>
      </c>
      <c r="AN65" s="124">
        <f t="shared" si="5"/>
        <v>0.70416900000000027</v>
      </c>
      <c r="AO65" s="124">
        <f t="shared" si="6"/>
        <v>2.8231000000000783E-4</v>
      </c>
      <c r="AP65" s="124">
        <f t="shared" si="7"/>
        <v>5.8539999999995818E-4</v>
      </c>
      <c r="AQ65" s="90">
        <f t="shared" si="8"/>
        <v>-3.5313140000000007E-3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>
        <v>39.687700999999997</v>
      </c>
      <c r="G66" s="192">
        <v>43.589041999999999</v>
      </c>
      <c r="H66" s="192">
        <v>0.99332034000000002</v>
      </c>
      <c r="I66" s="64">
        <v>0.9955522</v>
      </c>
      <c r="J66" s="64">
        <v>1.3120456000000001E-2</v>
      </c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>
        <v>41.750481000000001</v>
      </c>
      <c r="Y66" s="192">
        <v>44.975262999999998</v>
      </c>
      <c r="Z66" s="192">
        <v>0.99365402000000003</v>
      </c>
      <c r="AA66" s="64">
        <v>0.99614670999999999</v>
      </c>
      <c r="AB66" s="64">
        <v>9.6583794999999997E-3</v>
      </c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>
        <f t="shared" si="4"/>
        <v>2.0627800000000036</v>
      </c>
      <c r="AN66" s="124">
        <f t="shared" si="5"/>
        <v>1.386220999999999</v>
      </c>
      <c r="AO66" s="124">
        <f t="shared" si="6"/>
        <v>3.3368000000000286E-4</v>
      </c>
      <c r="AP66" s="124">
        <f t="shared" si="7"/>
        <v>5.9450999999999254E-4</v>
      </c>
      <c r="AQ66" s="90">
        <f t="shared" si="8"/>
        <v>-3.4620765000000012E-3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>
        <v>28.984580000000001</v>
      </c>
      <c r="G68" s="99">
        <v>32.458784000000001</v>
      </c>
      <c r="H68" s="99">
        <v>0.96228798000000004</v>
      </c>
      <c r="I68" s="62">
        <v>0.96817421999999997</v>
      </c>
      <c r="J68" s="62">
        <v>7.1367040000000007E-2</v>
      </c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>
        <v>29.479255999999999</v>
      </c>
      <c r="Y68" s="99">
        <v>33.574162999999999</v>
      </c>
      <c r="Z68" s="99">
        <v>0.96245132</v>
      </c>
      <c r="AA68" s="62">
        <v>0.96936012999999999</v>
      </c>
      <c r="AB68" s="62">
        <v>5.6559841999999999E-2</v>
      </c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>
        <f t="shared" si="4"/>
        <v>0.49467599999999834</v>
      </c>
      <c r="AN68" s="98">
        <f t="shared" si="5"/>
        <v>1.1153789999999972</v>
      </c>
      <c r="AO68" s="98">
        <f t="shared" si="6"/>
        <v>1.633399999999563E-4</v>
      </c>
      <c r="AP68" s="98">
        <f t="shared" si="7"/>
        <v>1.1859100000000122E-3</v>
      </c>
      <c r="AQ68" s="123">
        <f t="shared" si="8"/>
        <v>-1.4807198000000008E-2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>
        <v>31.978733999999999</v>
      </c>
      <c r="G69" s="192">
        <v>35.560954000000002</v>
      </c>
      <c r="H69" s="192">
        <v>0.97750647999999996</v>
      </c>
      <c r="I69" s="64">
        <v>0.98177000999999997</v>
      </c>
      <c r="J69" s="64">
        <v>4.6866390000000001E-2</v>
      </c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>
        <v>33.371234999999999</v>
      </c>
      <c r="Y69" s="192">
        <v>36.749622000000002</v>
      </c>
      <c r="Z69" s="192">
        <v>0.97768820000000001</v>
      </c>
      <c r="AA69" s="64">
        <v>0.98273281999999995</v>
      </c>
      <c r="AB69" s="64">
        <v>3.4905869999999999E-2</v>
      </c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>
        <f t="shared" si="4"/>
        <v>1.3925009999999993</v>
      </c>
      <c r="AN69" s="124">
        <f t="shared" si="5"/>
        <v>1.1886679999999998</v>
      </c>
      <c r="AO69" s="124">
        <f t="shared" si="6"/>
        <v>1.8172000000005184E-4</v>
      </c>
      <c r="AP69" s="124">
        <f t="shared" si="7"/>
        <v>9.6280999999998063E-4</v>
      </c>
      <c r="AQ69" s="90">
        <f t="shared" si="8"/>
        <v>-1.1960520000000002E-2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>
        <v>35.082237999999997</v>
      </c>
      <c r="G70" s="192">
        <v>39.436193000000003</v>
      </c>
      <c r="H70" s="192">
        <v>0.98856533000000002</v>
      </c>
      <c r="I70" s="64">
        <v>0.99181430999999998</v>
      </c>
      <c r="J70" s="64">
        <v>3.004592E-2</v>
      </c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>
        <v>38.232264000000001</v>
      </c>
      <c r="Y70" s="192">
        <v>41.414532999999999</v>
      </c>
      <c r="Z70" s="192">
        <v>0.98894168999999998</v>
      </c>
      <c r="AA70" s="64">
        <v>0.99244842</v>
      </c>
      <c r="AB70" s="64">
        <v>1.8186212E-2</v>
      </c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>
        <f t="shared" si="4"/>
        <v>3.150026000000004</v>
      </c>
      <c r="AN70" s="124">
        <f t="shared" si="5"/>
        <v>1.9783399999999958</v>
      </c>
      <c r="AO70" s="124">
        <f t="shared" si="6"/>
        <v>3.763599999999645E-4</v>
      </c>
      <c r="AP70" s="124">
        <f t="shared" si="7"/>
        <v>6.3411000000002105E-4</v>
      </c>
      <c r="AQ70" s="90">
        <f t="shared" si="8"/>
        <v>-1.1859708E-2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>
        <v>37.543035000000003</v>
      </c>
      <c r="G71" s="192">
        <v>41.983271999999999</v>
      </c>
      <c r="H71" s="192">
        <v>0.99337465000000003</v>
      </c>
      <c r="I71" s="64">
        <v>0.99564514999999998</v>
      </c>
      <c r="J71" s="64">
        <v>1.7582047999999999E-2</v>
      </c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>
        <v>42.137448999999997</v>
      </c>
      <c r="Y71" s="192">
        <v>45.129997000000003</v>
      </c>
      <c r="Z71" s="192">
        <v>0.99385109000000005</v>
      </c>
      <c r="AA71" s="64">
        <v>0.99633134999999995</v>
      </c>
      <c r="AB71" s="64">
        <v>8.3227319999999994E-3</v>
      </c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>
        <f t="shared" si="4"/>
        <v>4.5944139999999933</v>
      </c>
      <c r="AN71" s="124">
        <f t="shared" si="5"/>
        <v>3.1467250000000035</v>
      </c>
      <c r="AO71" s="124">
        <f t="shared" si="6"/>
        <v>4.764400000000224E-4</v>
      </c>
      <c r="AP71" s="124">
        <f t="shared" si="7"/>
        <v>6.8619999999997017E-4</v>
      </c>
      <c r="AQ71" s="90">
        <f t="shared" si="8"/>
        <v>-9.2593160000000001E-3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>
        <v>29.526973000000002</v>
      </c>
      <c r="G73" s="99">
        <v>33.266182000000001</v>
      </c>
      <c r="H73" s="99">
        <v>0.96416942000000005</v>
      </c>
      <c r="I73" s="62">
        <v>0.96878752999999995</v>
      </c>
      <c r="J73" s="62">
        <v>6.4007090000000003E-2</v>
      </c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>
        <v>29.948329000000001</v>
      </c>
      <c r="Y73" s="99">
        <v>34.082234</v>
      </c>
      <c r="Z73" s="99">
        <v>0.96446798</v>
      </c>
      <c r="AA73" s="62">
        <v>0.96984353999999995</v>
      </c>
      <c r="AB73" s="62">
        <v>5.3991816999999998E-2</v>
      </c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>
        <f t="shared" si="4"/>
        <v>0.4213559999999994</v>
      </c>
      <c r="AN73" s="98">
        <f t="shared" si="5"/>
        <v>0.81605199999999911</v>
      </c>
      <c r="AO73" s="98">
        <f t="shared" si="6"/>
        <v>2.9855999999994776E-4</v>
      </c>
      <c r="AP73" s="98">
        <f t="shared" si="7"/>
        <v>1.0560099999999961E-3</v>
      </c>
      <c r="AQ73" s="123">
        <f t="shared" si="8"/>
        <v>-1.0015273000000005E-2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>
        <v>32.283003000000001</v>
      </c>
      <c r="G74" s="192">
        <v>36.011023999999999</v>
      </c>
      <c r="H74" s="192">
        <v>0.97811376000000005</v>
      </c>
      <c r="I74" s="64">
        <v>0.98162729999999998</v>
      </c>
      <c r="J74" s="64">
        <v>4.2279504000000002E-2</v>
      </c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>
        <v>33.587569000000002</v>
      </c>
      <c r="Y74" s="192">
        <v>36.967537999999998</v>
      </c>
      <c r="Z74" s="192">
        <v>0.97828676999999997</v>
      </c>
      <c r="AA74" s="64">
        <v>0.98259543999999999</v>
      </c>
      <c r="AB74" s="64">
        <v>3.4718635999999997E-2</v>
      </c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>
        <f t="shared" si="4"/>
        <v>1.3045660000000012</v>
      </c>
      <c r="AN74" s="124">
        <f t="shared" si="5"/>
        <v>0.95651399999999853</v>
      </c>
      <c r="AO74" s="124">
        <f t="shared" si="6"/>
        <v>1.7300999999991795E-4</v>
      </c>
      <c r="AP74" s="124">
        <f t="shared" si="7"/>
        <v>9.6814000000000622E-4</v>
      </c>
      <c r="AQ74" s="90">
        <f t="shared" si="8"/>
        <v>-7.5608680000000053E-3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>
        <v>35.978337000000003</v>
      </c>
      <c r="G75" s="192">
        <v>40.064262999999997</v>
      </c>
      <c r="H75" s="192">
        <v>0.98843513999999999</v>
      </c>
      <c r="I75" s="64">
        <v>0.99156294</v>
      </c>
      <c r="J75" s="64">
        <v>2.5514245000000001E-2</v>
      </c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>
        <v>38.157195999999999</v>
      </c>
      <c r="Y75" s="192">
        <v>41.439475999999999</v>
      </c>
      <c r="Z75" s="192">
        <v>0.98880456000000005</v>
      </c>
      <c r="AA75" s="64">
        <v>0.99222235999999997</v>
      </c>
      <c r="AB75" s="64">
        <v>1.8539435999999999E-2</v>
      </c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>
        <f t="shared" si="4"/>
        <v>2.1788589999999957</v>
      </c>
      <c r="AN75" s="124">
        <f t="shared" si="5"/>
        <v>1.3752130000000022</v>
      </c>
      <c r="AO75" s="124">
        <f t="shared" si="6"/>
        <v>3.694200000000647E-4</v>
      </c>
      <c r="AP75" s="124">
        <f t="shared" si="7"/>
        <v>6.5941999999996614E-4</v>
      </c>
      <c r="AQ75" s="90">
        <f t="shared" si="8"/>
        <v>-6.974809000000002E-3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>
        <v>37.902993000000002</v>
      </c>
      <c r="G76" s="192">
        <v>42.288583000000003</v>
      </c>
      <c r="H76" s="192">
        <v>0.99335713999999997</v>
      </c>
      <c r="I76" s="64">
        <v>0.99562839000000003</v>
      </c>
      <c r="J76" s="64">
        <v>1.6562795000000002E-2</v>
      </c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>
        <v>42.335745000000003</v>
      </c>
      <c r="Y76" s="192">
        <v>45.372537000000001</v>
      </c>
      <c r="Z76" s="192">
        <v>0.99382603999999997</v>
      </c>
      <c r="AA76" s="64">
        <v>0.99630419000000003</v>
      </c>
      <c r="AB76" s="64">
        <v>8.1374570000000007E-3</v>
      </c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>
        <f t="shared" si="4"/>
        <v>4.4327520000000007</v>
      </c>
      <c r="AN76" s="124">
        <f t="shared" si="5"/>
        <v>3.0839539999999985</v>
      </c>
      <c r="AO76" s="124">
        <f t="shared" si="6"/>
        <v>4.6889999999999432E-4</v>
      </c>
      <c r="AP76" s="124">
        <f t="shared" si="7"/>
        <v>6.7580000000000418E-4</v>
      </c>
      <c r="AQ76" s="90">
        <f t="shared" si="8"/>
        <v>-8.425338000000001E-3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>
        <v>29.636751</v>
      </c>
      <c r="G78" s="99">
        <v>33.338917000000002</v>
      </c>
      <c r="H78" s="99">
        <v>0.96574822999999999</v>
      </c>
      <c r="I78" s="62">
        <v>0.97007438000000001</v>
      </c>
      <c r="J78" s="62">
        <v>6.6473134000000003E-2</v>
      </c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>
        <v>30.316296999999999</v>
      </c>
      <c r="Y78" s="99">
        <v>34.038629999999998</v>
      </c>
      <c r="Z78" s="99">
        <v>0.96611287999999995</v>
      </c>
      <c r="AA78" s="62">
        <v>0.97110300999999999</v>
      </c>
      <c r="AB78" s="62">
        <v>5.4539631999999998E-2</v>
      </c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>
        <f t="shared" si="4"/>
        <v>0.67954599999999843</v>
      </c>
      <c r="AN78" s="98">
        <f t="shared" si="5"/>
        <v>0.69971299999999559</v>
      </c>
      <c r="AO78" s="98">
        <f t="shared" si="6"/>
        <v>3.6464999999996639E-4</v>
      </c>
      <c r="AP78" s="98">
        <f t="shared" si="7"/>
        <v>1.0286299999999748E-3</v>
      </c>
      <c r="AQ78" s="123">
        <f t="shared" si="8"/>
        <v>-1.1933502000000006E-2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>
        <v>32.240988999999999</v>
      </c>
      <c r="G79" s="192">
        <v>36.054644000000003</v>
      </c>
      <c r="H79" s="192">
        <v>0.97868995000000003</v>
      </c>
      <c r="I79" s="64">
        <v>0.98222352000000002</v>
      </c>
      <c r="J79" s="64">
        <v>4.4221000000000003E-2</v>
      </c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>
        <v>33.576748000000002</v>
      </c>
      <c r="Y79" s="192">
        <v>36.851889</v>
      </c>
      <c r="Z79" s="192">
        <v>0.97881836</v>
      </c>
      <c r="AA79" s="64">
        <v>0.98298686000000002</v>
      </c>
      <c r="AB79" s="64">
        <v>3.6009520000000003E-2</v>
      </c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>
        <f t="shared" si="4"/>
        <v>1.335759000000003</v>
      </c>
      <c r="AN79" s="124">
        <f t="shared" si="5"/>
        <v>0.79724499999999665</v>
      </c>
      <c r="AO79" s="124">
        <f t="shared" si="6"/>
        <v>1.2840999999996772E-4</v>
      </c>
      <c r="AP79" s="124">
        <f t="shared" si="7"/>
        <v>7.6334000000000124E-4</v>
      </c>
      <c r="AQ79" s="90">
        <f t="shared" si="8"/>
        <v>-8.2114800000000002E-3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>
        <v>35.561171999999999</v>
      </c>
      <c r="G80" s="192">
        <v>39.869092999999999</v>
      </c>
      <c r="H80" s="192">
        <v>0.98851942000000004</v>
      </c>
      <c r="I80" s="64">
        <v>0.99173741000000004</v>
      </c>
      <c r="J80" s="64">
        <v>2.9034961000000001E-2</v>
      </c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>
        <v>38.073647999999999</v>
      </c>
      <c r="Y80" s="192">
        <v>41.457659999999997</v>
      </c>
      <c r="Z80" s="192">
        <v>0.98882444999999997</v>
      </c>
      <c r="AA80" s="64">
        <v>0.99233013999999997</v>
      </c>
      <c r="AB80" s="64">
        <v>1.9378948999999999E-2</v>
      </c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>
        <f t="shared" si="4"/>
        <v>2.5124759999999995</v>
      </c>
      <c r="AN80" s="124">
        <f t="shared" si="5"/>
        <v>1.5885669999999976</v>
      </c>
      <c r="AO80" s="124">
        <f t="shared" si="6"/>
        <v>3.0502999999992841E-4</v>
      </c>
      <c r="AP80" s="124">
        <f t="shared" si="7"/>
        <v>5.9272999999993026E-4</v>
      </c>
      <c r="AQ80" s="90">
        <f t="shared" si="8"/>
        <v>-9.656012000000002E-3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>
        <v>38.317521999999997</v>
      </c>
      <c r="G81" s="192">
        <v>42.705719999999999</v>
      </c>
      <c r="H81" s="192">
        <v>0.99340107</v>
      </c>
      <c r="I81" s="64">
        <v>0.99566867999999997</v>
      </c>
      <c r="J81" s="64">
        <v>1.6119537999999999E-2</v>
      </c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>
        <v>42.361595000000001</v>
      </c>
      <c r="Y81" s="192">
        <v>45.456885999999997</v>
      </c>
      <c r="Z81" s="192">
        <v>0.99385325000000002</v>
      </c>
      <c r="AA81" s="64">
        <v>0.99630945000000004</v>
      </c>
      <c r="AB81" s="64">
        <v>8.3182810000000003E-3</v>
      </c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>
        <f t="shared" si="4"/>
        <v>4.0440730000000045</v>
      </c>
      <c r="AN81" s="124">
        <f t="shared" si="5"/>
        <v>2.7511659999999978</v>
      </c>
      <c r="AO81" s="124">
        <f t="shared" si="6"/>
        <v>4.5218000000002423E-4</v>
      </c>
      <c r="AP81" s="124">
        <f t="shared" si="7"/>
        <v>6.4077000000006823E-4</v>
      </c>
      <c r="AQ81" s="90">
        <f t="shared" si="8"/>
        <v>-7.8012569999999989E-3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>
        <v>30.346667</v>
      </c>
      <c r="G83" s="99">
        <v>33.698810000000002</v>
      </c>
      <c r="H83" s="99">
        <v>0.96659404000000004</v>
      </c>
      <c r="I83" s="62">
        <v>0.97200211999999997</v>
      </c>
      <c r="J83" s="62">
        <v>6.1710282999999998E-2</v>
      </c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>
        <v>30.547079</v>
      </c>
      <c r="Y83" s="99">
        <v>34.367798999999998</v>
      </c>
      <c r="Z83" s="99">
        <v>0.96691921999999997</v>
      </c>
      <c r="AA83" s="62">
        <v>0.97301223999999997</v>
      </c>
      <c r="AB83" s="62">
        <v>5.2616738000000003E-2</v>
      </c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>
        <f t="shared" si="4"/>
        <v>0.20041200000000003</v>
      </c>
      <c r="AN83" s="98">
        <f t="shared" si="5"/>
        <v>0.66898899999999628</v>
      </c>
      <c r="AO83" s="98">
        <f t="shared" si="6"/>
        <v>3.2517999999992497E-4</v>
      </c>
      <c r="AP83" s="98">
        <f t="shared" si="7"/>
        <v>1.0101200000000032E-3</v>
      </c>
      <c r="AQ83" s="123">
        <f t="shared" si="8"/>
        <v>-9.0935449999999945E-3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>
        <v>33.197960999999999</v>
      </c>
      <c r="G84" s="192">
        <v>36.642747</v>
      </c>
      <c r="H84" s="192">
        <v>0.97917063999999998</v>
      </c>
      <c r="I84" s="64">
        <v>0.98362461999999995</v>
      </c>
      <c r="J84" s="64">
        <v>4.063746E-2</v>
      </c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>
        <v>34.245984999999997</v>
      </c>
      <c r="Y84" s="192">
        <v>37.430976999999999</v>
      </c>
      <c r="Z84" s="192">
        <v>0.97923576000000001</v>
      </c>
      <c r="AA84" s="64">
        <v>0.98446734999999996</v>
      </c>
      <c r="AB84" s="64">
        <v>3.4220155000000002E-2</v>
      </c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>
        <f t="shared" si="4"/>
        <v>1.0480239999999981</v>
      </c>
      <c r="AN84" s="124">
        <f t="shared" si="5"/>
        <v>0.78822999999999865</v>
      </c>
      <c r="AO84" s="124">
        <f t="shared" si="6"/>
        <v>6.5120000000029599E-5</v>
      </c>
      <c r="AP84" s="124">
        <f t="shared" si="7"/>
        <v>8.4273000000001375E-4</v>
      </c>
      <c r="AQ84" s="90">
        <f t="shared" si="8"/>
        <v>-6.4173049999999981E-3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>
        <v>36.323225000000001</v>
      </c>
      <c r="G85" s="192">
        <v>40.461047000000001</v>
      </c>
      <c r="H85" s="192">
        <v>0.98836796999999998</v>
      </c>
      <c r="I85" s="64">
        <v>0.99187791999999997</v>
      </c>
      <c r="J85" s="64">
        <v>2.5983978000000001E-2</v>
      </c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>
        <v>38.424554999999998</v>
      </c>
      <c r="Y85" s="192">
        <v>41.689332</v>
      </c>
      <c r="Z85" s="192">
        <v>0.98865603000000002</v>
      </c>
      <c r="AA85" s="64">
        <v>0.99239714999999995</v>
      </c>
      <c r="AB85" s="64">
        <v>1.9123223000000002E-2</v>
      </c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>
        <f t="shared" si="4"/>
        <v>2.1013299999999973</v>
      </c>
      <c r="AN85" s="124">
        <f t="shared" si="5"/>
        <v>1.2282849999999996</v>
      </c>
      <c r="AO85" s="124">
        <f t="shared" si="6"/>
        <v>2.880600000000344E-4</v>
      </c>
      <c r="AP85" s="124">
        <f t="shared" si="7"/>
        <v>5.1922999999998165E-4</v>
      </c>
      <c r="AQ85" s="90">
        <f t="shared" si="8"/>
        <v>-6.8607549999999996E-3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>
        <v>38.604658000000001</v>
      </c>
      <c r="G86" s="192">
        <v>42.987068999999998</v>
      </c>
      <c r="H86" s="192">
        <v>0.99325755999999998</v>
      </c>
      <c r="I86" s="64">
        <v>0.99559222999999997</v>
      </c>
      <c r="J86" s="64">
        <v>1.5268248999999999E-2</v>
      </c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>
        <v>42.361545</v>
      </c>
      <c r="Y86" s="192">
        <v>45.399607000000003</v>
      </c>
      <c r="Z86" s="192">
        <v>0.99364481000000004</v>
      </c>
      <c r="AA86" s="64">
        <v>0.99629182000000005</v>
      </c>
      <c r="AB86" s="64">
        <v>8.4691760000000001E-3</v>
      </c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>
        <f t="shared" si="4"/>
        <v>3.756886999999999</v>
      </c>
      <c r="AN86" s="124">
        <f t="shared" si="5"/>
        <v>2.412538000000005</v>
      </c>
      <c r="AO86" s="124">
        <f t="shared" si="6"/>
        <v>3.8725000000006116E-4</v>
      </c>
      <c r="AP86" s="124">
        <f t="shared" si="7"/>
        <v>6.995900000000832E-4</v>
      </c>
      <c r="AQ86" s="90">
        <f t="shared" si="8"/>
        <v>-6.7990729999999992E-3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>
        <v>30.330774999999999</v>
      </c>
      <c r="G88" s="99">
        <v>33.888913000000002</v>
      </c>
      <c r="H88" s="99">
        <v>0.96718583999999996</v>
      </c>
      <c r="I88" s="62">
        <v>0.97233603999999996</v>
      </c>
      <c r="J88" s="62">
        <v>6.0269896000000003E-2</v>
      </c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>
        <v>30.737383999999999</v>
      </c>
      <c r="Y88" s="99">
        <v>34.540899000000003</v>
      </c>
      <c r="Z88" s="99">
        <v>0.96735821</v>
      </c>
      <c r="AA88" s="62">
        <v>0.97326780000000002</v>
      </c>
      <c r="AB88" s="62">
        <v>5.2003189999999998E-2</v>
      </c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>
        <f t="shared" si="4"/>
        <v>0.40660899999999955</v>
      </c>
      <c r="AN88" s="98">
        <f t="shared" si="5"/>
        <v>0.65198600000000084</v>
      </c>
      <c r="AO88" s="98">
        <f t="shared" si="6"/>
        <v>1.7237000000003277E-4</v>
      </c>
      <c r="AP88" s="98">
        <f t="shared" si="7"/>
        <v>9.3176000000005921E-4</v>
      </c>
      <c r="AQ88" s="123">
        <f t="shared" si="8"/>
        <v>-8.2667060000000056E-3</v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>
        <v>33.457307999999998</v>
      </c>
      <c r="G89" s="192">
        <v>36.880572999999998</v>
      </c>
      <c r="H89" s="192">
        <v>0.97968538999999999</v>
      </c>
      <c r="I89" s="64">
        <v>0.98436557999999996</v>
      </c>
      <c r="J89" s="64">
        <v>3.9441094000000003E-2</v>
      </c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>
        <v>34.316265999999999</v>
      </c>
      <c r="Y89" s="192">
        <v>37.540725000000002</v>
      </c>
      <c r="Z89" s="192">
        <v>0.97979422999999999</v>
      </c>
      <c r="AA89" s="64">
        <v>0.98501865</v>
      </c>
      <c r="AB89" s="64">
        <v>3.3602226999999998E-2</v>
      </c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>
        <f t="shared" si="4"/>
        <v>0.85895800000000122</v>
      </c>
      <c r="AN89" s="124">
        <f t="shared" si="5"/>
        <v>0.66015200000000362</v>
      </c>
      <c r="AO89" s="124">
        <f t="shared" si="6"/>
        <v>1.0883999999999894E-4</v>
      </c>
      <c r="AP89" s="124">
        <f t="shared" si="7"/>
        <v>6.5307000000003335E-4</v>
      </c>
      <c r="AQ89" s="90">
        <f t="shared" si="8"/>
        <v>-5.8388670000000045E-3</v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>
        <v>36.753244000000002</v>
      </c>
      <c r="G90" s="192">
        <v>40.748925999999997</v>
      </c>
      <c r="H90" s="192">
        <v>0.98862737000000001</v>
      </c>
      <c r="I90" s="64">
        <v>0.99193087000000002</v>
      </c>
      <c r="J90" s="64">
        <v>2.4453229999999999E-2</v>
      </c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>
        <v>38.496974999999999</v>
      </c>
      <c r="Y90" s="192">
        <v>41.810580000000002</v>
      </c>
      <c r="Z90" s="192">
        <v>0.98889709999999997</v>
      </c>
      <c r="AA90" s="64">
        <v>0.99256953999999997</v>
      </c>
      <c r="AB90" s="64">
        <v>1.8957693000000001E-2</v>
      </c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>
        <f t="shared" si="4"/>
        <v>1.7437309999999968</v>
      </c>
      <c r="AN90" s="124">
        <f t="shared" si="5"/>
        <v>1.0616540000000043</v>
      </c>
      <c r="AO90" s="124">
        <f t="shared" si="6"/>
        <v>2.6972999999996805E-4</v>
      </c>
      <c r="AP90" s="124">
        <f t="shared" si="7"/>
        <v>6.3866999999995233E-4</v>
      </c>
      <c r="AQ90" s="90">
        <f t="shared" si="8"/>
        <v>-5.4955369999999983E-3</v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>
        <v>39.221527999999999</v>
      </c>
      <c r="G91" s="192">
        <v>43.491194999999998</v>
      </c>
      <c r="H91" s="192">
        <v>0.99348431000000004</v>
      </c>
      <c r="I91" s="64">
        <v>0.99572461000000001</v>
      </c>
      <c r="J91" s="64">
        <v>1.3737254000000001E-2</v>
      </c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>
        <v>42.581816000000003</v>
      </c>
      <c r="Y91" s="192">
        <v>45.640532</v>
      </c>
      <c r="Z91" s="192">
        <v>0.99384987999999996</v>
      </c>
      <c r="AA91" s="64">
        <v>0.99641351</v>
      </c>
      <c r="AB91" s="64">
        <v>8.2549300000000006E-3</v>
      </c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>
        <f t="shared" si="4"/>
        <v>3.3602880000000042</v>
      </c>
      <c r="AN91" s="124">
        <f t="shared" si="5"/>
        <v>2.1493370000000027</v>
      </c>
      <c r="AO91" s="124">
        <f t="shared" si="6"/>
        <v>3.6556999999992623E-4</v>
      </c>
      <c r="AP91" s="124">
        <f t="shared" si="7"/>
        <v>6.888999999999923E-4</v>
      </c>
      <c r="AQ91" s="90">
        <f t="shared" si="8"/>
        <v>-5.4823240000000002E-3</v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>
        <v>30.403388</v>
      </c>
      <c r="G93" s="99">
        <v>34.113942000000002</v>
      </c>
      <c r="H93" s="99">
        <v>0.96725786000000002</v>
      </c>
      <c r="I93" s="62">
        <v>0.97287062000000002</v>
      </c>
      <c r="J93" s="62">
        <v>6.1141807999999999E-2</v>
      </c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>
        <v>30.879501999999999</v>
      </c>
      <c r="Y93" s="99">
        <v>34.641288000000003</v>
      </c>
      <c r="Z93" s="99">
        <v>0.96728899000000002</v>
      </c>
      <c r="AA93" s="62">
        <v>0.97326955999999998</v>
      </c>
      <c r="AB93" s="62">
        <v>5.3952430000000003E-2</v>
      </c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>
        <f t="shared" si="4"/>
        <v>0.47611399999999904</v>
      </c>
      <c r="AN93" s="98">
        <f t="shared" si="5"/>
        <v>0.52734600000000142</v>
      </c>
      <c r="AO93" s="98">
        <f t="shared" si="6"/>
        <v>3.1129999999990332E-5</v>
      </c>
      <c r="AP93" s="98">
        <f t="shared" si="7"/>
        <v>3.9893999999995877E-4</v>
      </c>
      <c r="AQ93" s="123">
        <f t="shared" si="8"/>
        <v>-7.1893779999999963E-3</v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>
        <v>33.436641000000002</v>
      </c>
      <c r="G94" s="192">
        <v>37.069685999999997</v>
      </c>
      <c r="H94" s="192">
        <v>0.97984364000000002</v>
      </c>
      <c r="I94" s="64">
        <v>0.98470243000000002</v>
      </c>
      <c r="J94" s="64">
        <v>4.0614147000000003E-2</v>
      </c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>
        <v>34.542551000000003</v>
      </c>
      <c r="Y94" s="192">
        <v>37.786064000000003</v>
      </c>
      <c r="Z94" s="192">
        <v>0.98002078999999997</v>
      </c>
      <c r="AA94" s="64">
        <v>0.98541968000000002</v>
      </c>
      <c r="AB94" s="64">
        <v>3.451858E-2</v>
      </c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>
        <f t="shared" si="4"/>
        <v>1.1059100000000015</v>
      </c>
      <c r="AN94" s="124">
        <f t="shared" si="5"/>
        <v>0.71637800000000595</v>
      </c>
      <c r="AO94" s="124">
        <f t="shared" si="6"/>
        <v>1.7714999999995928E-4</v>
      </c>
      <c r="AP94" s="124">
        <f t="shared" si="7"/>
        <v>7.1725000000000261E-4</v>
      </c>
      <c r="AQ94" s="90">
        <f t="shared" si="8"/>
        <v>-6.0955670000000031E-3</v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>
        <v>36.790162000000002</v>
      </c>
      <c r="G95" s="192">
        <v>40.713656999999998</v>
      </c>
      <c r="H95" s="192">
        <v>0.98878248000000002</v>
      </c>
      <c r="I95" s="64">
        <v>0.99217164999999996</v>
      </c>
      <c r="J95" s="64">
        <v>2.4706522000000002E-2</v>
      </c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>
        <v>38.179616000000003</v>
      </c>
      <c r="Y95" s="192">
        <v>41.616366999999997</v>
      </c>
      <c r="Z95" s="192">
        <v>0.98906598999999995</v>
      </c>
      <c r="AA95" s="64">
        <v>0.99261825999999997</v>
      </c>
      <c r="AB95" s="64">
        <v>1.9992234000000001E-2</v>
      </c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>
        <f t="shared" si="4"/>
        <v>1.3894540000000006</v>
      </c>
      <c r="AN95" s="124">
        <f t="shared" si="5"/>
        <v>0.90270999999999901</v>
      </c>
      <c r="AO95" s="124">
        <f t="shared" si="6"/>
        <v>2.8350999999993132E-4</v>
      </c>
      <c r="AP95" s="124">
        <f t="shared" si="7"/>
        <v>4.4661000000001394E-4</v>
      </c>
      <c r="AQ95" s="90">
        <f t="shared" si="8"/>
        <v>-4.7142880000000005E-3</v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>
        <v>39.709640999999998</v>
      </c>
      <c r="G96" s="192">
        <v>43.892923000000003</v>
      </c>
      <c r="H96" s="192">
        <v>0.99356986999999997</v>
      </c>
      <c r="I96" s="64">
        <v>0.99571025000000002</v>
      </c>
      <c r="J96" s="64">
        <v>1.3260409000000001E-2</v>
      </c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>
        <v>42.538497999999997</v>
      </c>
      <c r="Y96" s="192">
        <v>45.649141999999998</v>
      </c>
      <c r="Z96" s="192">
        <v>0.99389556999999995</v>
      </c>
      <c r="AA96" s="64">
        <v>0.99641232000000002</v>
      </c>
      <c r="AB96" s="64">
        <v>8.5524120000000006E-3</v>
      </c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>
        <f t="shared" si="4"/>
        <v>2.8288569999999993</v>
      </c>
      <c r="AN96" s="124">
        <f t="shared" si="5"/>
        <v>1.7562189999999944</v>
      </c>
      <c r="AO96" s="124">
        <f t="shared" si="6"/>
        <v>3.2569999999998434E-4</v>
      </c>
      <c r="AP96" s="124">
        <f t="shared" si="7"/>
        <v>7.0206999999999908E-4</v>
      </c>
      <c r="AQ96" s="90">
        <f t="shared" si="8"/>
        <v>-4.7079970000000002E-3</v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>
        <v>30.862511999999999</v>
      </c>
      <c r="G98" s="99">
        <v>34.720914999999998</v>
      </c>
      <c r="H98" s="99">
        <v>0.96609047999999997</v>
      </c>
      <c r="I98" s="62">
        <v>0.97317480999999995</v>
      </c>
      <c r="J98" s="62">
        <v>5.9064909999999998E-2</v>
      </c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>
        <v>30.883815999999999</v>
      </c>
      <c r="Y98" s="99">
        <v>34.983682999999999</v>
      </c>
      <c r="Z98" s="99">
        <v>0.96616378000000003</v>
      </c>
      <c r="AA98" s="62">
        <v>0.97331033</v>
      </c>
      <c r="AB98" s="62">
        <v>5.6645239999999999E-2</v>
      </c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>
        <f t="shared" si="14"/>
        <v>2.1304000000000656E-2</v>
      </c>
      <c r="AN98" s="98">
        <f t="shared" si="15"/>
        <v>0.26276800000000122</v>
      </c>
      <c r="AO98" s="98">
        <f t="shared" si="16"/>
        <v>7.3300000000053878E-5</v>
      </c>
      <c r="AP98" s="98">
        <f t="shared" si="17"/>
        <v>1.355200000000556E-4</v>
      </c>
      <c r="AQ98" s="123">
        <f t="shared" si="18"/>
        <v>-2.4196699999999988E-3</v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>
        <v>34.109063999999996</v>
      </c>
      <c r="G99" s="192">
        <v>37.640196000000003</v>
      </c>
      <c r="H99" s="192">
        <v>0.97953049000000003</v>
      </c>
      <c r="I99" s="64">
        <v>0.98471628</v>
      </c>
      <c r="J99" s="64">
        <v>3.7864416999999997E-2</v>
      </c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>
        <v>34.614421999999998</v>
      </c>
      <c r="Y99" s="192">
        <v>38.060276999999999</v>
      </c>
      <c r="Z99" s="192">
        <v>0.97963447000000003</v>
      </c>
      <c r="AA99" s="64">
        <v>0.98536575000000004</v>
      </c>
      <c r="AB99" s="64">
        <v>3.5998586999999999E-2</v>
      </c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>
        <f t="shared" si="14"/>
        <v>0.50535800000000108</v>
      </c>
      <c r="AN99" s="124">
        <f t="shared" si="15"/>
        <v>0.42008099999999615</v>
      </c>
      <c r="AO99" s="124">
        <f t="shared" si="16"/>
        <v>1.0398000000000351E-4</v>
      </c>
      <c r="AP99" s="124">
        <f t="shared" si="17"/>
        <v>6.4947000000004085E-4</v>
      </c>
      <c r="AQ99" s="90">
        <f t="shared" si="18"/>
        <v>-1.8658299999999989E-3</v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>
        <v>37.278939999999999</v>
      </c>
      <c r="G100" s="192">
        <v>40.99606</v>
      </c>
      <c r="H100" s="192">
        <v>0.98883938000000005</v>
      </c>
      <c r="I100" s="64">
        <v>0.99227198000000005</v>
      </c>
      <c r="J100" s="64">
        <v>2.3715215000000001E-2</v>
      </c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>
        <v>38.372616000000001</v>
      </c>
      <c r="Y100" s="192">
        <v>41.725169000000001</v>
      </c>
      <c r="Z100" s="192">
        <v>0.98904015000000001</v>
      </c>
      <c r="AA100" s="64">
        <v>0.99263133000000003</v>
      </c>
      <c r="AB100" s="64">
        <v>2.0767437E-2</v>
      </c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>
        <f t="shared" si="14"/>
        <v>1.0936760000000021</v>
      </c>
      <c r="AN100" s="124">
        <f t="shared" si="15"/>
        <v>0.72910900000000112</v>
      </c>
      <c r="AO100" s="124">
        <f t="shared" si="16"/>
        <v>2.0076999999996126E-4</v>
      </c>
      <c r="AP100" s="124">
        <f t="shared" si="17"/>
        <v>3.5934999999998052E-4</v>
      </c>
      <c r="AQ100" s="90">
        <f t="shared" si="18"/>
        <v>-2.9477780000000016E-3</v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>
        <v>40.434356999999999</v>
      </c>
      <c r="G101" s="192">
        <v>44.347915999999998</v>
      </c>
      <c r="H101" s="192">
        <v>0.99364368999999997</v>
      </c>
      <c r="I101" s="64">
        <v>0.99585778999999996</v>
      </c>
      <c r="J101" s="64">
        <v>1.2499240999999999E-2</v>
      </c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>
        <v>42.528702000000003</v>
      </c>
      <c r="Y101" s="192">
        <v>45.684159000000001</v>
      </c>
      <c r="Z101" s="192">
        <v>0.99392941999999995</v>
      </c>
      <c r="AA101" s="64">
        <v>0.99641798999999998</v>
      </c>
      <c r="AB101" s="64">
        <v>9.1978960000000005E-3</v>
      </c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>
        <f t="shared" si="14"/>
        <v>2.0943450000000041</v>
      </c>
      <c r="AN101" s="124">
        <f t="shared" si="15"/>
        <v>1.3362430000000032</v>
      </c>
      <c r="AO101" s="124">
        <f t="shared" si="16"/>
        <v>2.8572999999998405E-4</v>
      </c>
      <c r="AP101" s="124">
        <f t="shared" si="17"/>
        <v>5.6020000000001069E-4</v>
      </c>
      <c r="AQ101" s="90">
        <f t="shared" si="18"/>
        <v>-3.3013449999999989E-3</v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>
        <v>30.720379000000001</v>
      </c>
      <c r="G103" s="99">
        <v>34.296075000000002</v>
      </c>
      <c r="H103" s="99">
        <v>0.96751726000000005</v>
      </c>
      <c r="I103" s="62">
        <v>0.97575869999999998</v>
      </c>
      <c r="J103" s="62">
        <v>7.2852150000000004E-2</v>
      </c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>
        <v>30.981372</v>
      </c>
      <c r="Y103" s="99">
        <v>35.283414999999998</v>
      </c>
      <c r="Z103" s="99">
        <v>0.96743816000000005</v>
      </c>
      <c r="AA103" s="62">
        <v>0.97584501000000001</v>
      </c>
      <c r="AB103" s="62">
        <v>6.1834264999999999E-2</v>
      </c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>
        <f t="shared" si="14"/>
        <v>0.26099299999999914</v>
      </c>
      <c r="AN103" s="98">
        <f t="shared" si="15"/>
        <v>0.98733999999999611</v>
      </c>
      <c r="AO103" s="98">
        <f t="shared" si="16"/>
        <v>-7.9099999999998616E-5</v>
      </c>
      <c r="AP103" s="98">
        <f t="shared" si="17"/>
        <v>8.631000000003386E-5</v>
      </c>
      <c r="AQ103" s="123">
        <f t="shared" si="18"/>
        <v>-1.1017885000000005E-2</v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>
        <v>33.470007000000003</v>
      </c>
      <c r="G104" s="192">
        <v>36.901752000000002</v>
      </c>
      <c r="H104" s="192">
        <v>0.98006360000000003</v>
      </c>
      <c r="I104" s="64">
        <v>0.98599756000000005</v>
      </c>
      <c r="J104" s="64">
        <v>4.7936079999999999E-2</v>
      </c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>
        <v>34.468736</v>
      </c>
      <c r="Y104" s="192">
        <v>38.185656999999999</v>
      </c>
      <c r="Z104" s="192">
        <v>0.98016745000000005</v>
      </c>
      <c r="AA104" s="64">
        <v>0.98642865999999996</v>
      </c>
      <c r="AB104" s="64">
        <v>3.7555505000000003E-2</v>
      </c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>
        <f t="shared" si="14"/>
        <v>0.99872899999999731</v>
      </c>
      <c r="AN104" s="124">
        <f t="shared" si="15"/>
        <v>1.2839049999999972</v>
      </c>
      <c r="AO104" s="124">
        <f t="shared" si="16"/>
        <v>1.0385000000001643E-4</v>
      </c>
      <c r="AP104" s="124">
        <f t="shared" si="17"/>
        <v>4.3109999999990656E-4</v>
      </c>
      <c r="AQ104" s="90">
        <f t="shared" si="18"/>
        <v>-1.0380574999999996E-2</v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>
        <v>35.999310999999999</v>
      </c>
      <c r="G105" s="192">
        <v>40.200256000000003</v>
      </c>
      <c r="H105" s="192">
        <v>0.98932509000000002</v>
      </c>
      <c r="I105" s="64">
        <v>0.99290555999999996</v>
      </c>
      <c r="J105" s="64">
        <v>3.1772059999999998E-2</v>
      </c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>
        <v>38.968783999999999</v>
      </c>
      <c r="Y105" s="192">
        <v>42.089922000000001</v>
      </c>
      <c r="Z105" s="192">
        <v>0.98960437999999995</v>
      </c>
      <c r="AA105" s="64">
        <v>0.99349843000000004</v>
      </c>
      <c r="AB105" s="64">
        <v>1.9914840999999999E-2</v>
      </c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>
        <f t="shared" si="14"/>
        <v>2.9694730000000007</v>
      </c>
      <c r="AN105" s="124">
        <f t="shared" si="15"/>
        <v>1.8896659999999983</v>
      </c>
      <c r="AO105" s="124">
        <f t="shared" si="16"/>
        <v>2.7928999999993209E-4</v>
      </c>
      <c r="AP105" s="124">
        <f t="shared" si="17"/>
        <v>5.9287000000007861E-4</v>
      </c>
      <c r="AQ105" s="90">
        <f t="shared" si="18"/>
        <v>-1.1857218999999999E-2</v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>
        <v>38.535500999999996</v>
      </c>
      <c r="G106" s="192">
        <v>42.921599999999998</v>
      </c>
      <c r="H106" s="192">
        <v>0.99352770999999995</v>
      </c>
      <c r="I106" s="64">
        <v>0.99604459999999995</v>
      </c>
      <c r="J106" s="64">
        <v>1.9031455999999999E-2</v>
      </c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>
        <v>42.909919000000002</v>
      </c>
      <c r="Y106" s="192">
        <v>45.813591000000002</v>
      </c>
      <c r="Z106" s="192">
        <v>0.99390964000000004</v>
      </c>
      <c r="AA106" s="64">
        <v>0.99666193000000003</v>
      </c>
      <c r="AB106" s="64">
        <v>9.5979120000000001E-3</v>
      </c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>
        <f t="shared" si="14"/>
        <v>4.3744180000000057</v>
      </c>
      <c r="AN106" s="124">
        <f t="shared" si="15"/>
        <v>2.8919910000000044</v>
      </c>
      <c r="AO106" s="124">
        <f t="shared" si="16"/>
        <v>3.8193000000008581E-4</v>
      </c>
      <c r="AP106" s="124">
        <f t="shared" si="17"/>
        <v>6.1733000000008253E-4</v>
      </c>
      <c r="AQ106" s="90">
        <f t="shared" si="18"/>
        <v>-9.4335439999999986E-3</v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>
        <v>31.097268</v>
      </c>
      <c r="G108" s="99">
        <v>34.729168999999999</v>
      </c>
      <c r="H108" s="99">
        <v>0.96944311000000005</v>
      </c>
      <c r="I108" s="62">
        <v>0.97736369999999995</v>
      </c>
      <c r="J108" s="62">
        <v>6.4543030000000001E-2</v>
      </c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>
        <v>30.835083000000001</v>
      </c>
      <c r="Y108" s="99">
        <v>35.151997999999999</v>
      </c>
      <c r="Z108" s="99">
        <v>0.96953933000000003</v>
      </c>
      <c r="AA108" s="62">
        <v>0.97759006999999998</v>
      </c>
      <c r="AB108" s="62">
        <v>5.8254287000000002E-2</v>
      </c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>
        <f t="shared" si="14"/>
        <v>-0.26218499999999878</v>
      </c>
      <c r="AN108" s="98">
        <f t="shared" si="15"/>
        <v>0.42282900000000012</v>
      </c>
      <c r="AO108" s="98">
        <f t="shared" si="16"/>
        <v>9.621999999998021E-5</v>
      </c>
      <c r="AP108" s="98">
        <f t="shared" si="17"/>
        <v>2.2637000000003127E-4</v>
      </c>
      <c r="AQ108" s="123">
        <f t="shared" si="18"/>
        <v>-6.2887429999999994E-3</v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>
        <v>33.926485999999997</v>
      </c>
      <c r="G109" s="192">
        <v>37.319012999999998</v>
      </c>
      <c r="H109" s="192">
        <v>0.98074671999999996</v>
      </c>
      <c r="I109" s="64">
        <v>0.98647187000000003</v>
      </c>
      <c r="J109" s="64">
        <v>4.3211847999999997E-2</v>
      </c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>
        <v>34.212567</v>
      </c>
      <c r="Y109" s="192">
        <v>37.968335000000003</v>
      </c>
      <c r="Z109" s="192">
        <v>0.98085049000000002</v>
      </c>
      <c r="AA109" s="64">
        <v>0.98680659999999998</v>
      </c>
      <c r="AB109" s="64">
        <v>3.6819980000000002E-2</v>
      </c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>
        <f t="shared" si="14"/>
        <v>0.28608100000000292</v>
      </c>
      <c r="AN109" s="124">
        <f t="shared" si="15"/>
        <v>0.64932200000000506</v>
      </c>
      <c r="AO109" s="124">
        <f t="shared" si="16"/>
        <v>1.0377000000005854E-4</v>
      </c>
      <c r="AP109" s="124">
        <f t="shared" si="17"/>
        <v>3.3472999999994979E-4</v>
      </c>
      <c r="AQ109" s="90">
        <f t="shared" si="18"/>
        <v>-6.391867999999995E-3</v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>
        <v>37.230013999999997</v>
      </c>
      <c r="G110" s="192">
        <v>41.028703999999998</v>
      </c>
      <c r="H110" s="192">
        <v>0.98925010999999996</v>
      </c>
      <c r="I110" s="64">
        <v>0.99290849999999997</v>
      </c>
      <c r="J110" s="64">
        <v>2.6501916E-2</v>
      </c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>
        <v>38.655738999999997</v>
      </c>
      <c r="Y110" s="192">
        <v>41.910217000000003</v>
      </c>
      <c r="Z110" s="192">
        <v>0.98952063999999995</v>
      </c>
      <c r="AA110" s="64">
        <v>0.99322666999999998</v>
      </c>
      <c r="AB110" s="64">
        <v>2.0626293E-2</v>
      </c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>
        <f t="shared" si="14"/>
        <v>1.4257249999999999</v>
      </c>
      <c r="AN110" s="124">
        <f t="shared" si="15"/>
        <v>0.88151300000000532</v>
      </c>
      <c r="AO110" s="124">
        <f t="shared" si="16"/>
        <v>2.7052999999999106E-4</v>
      </c>
      <c r="AP110" s="124">
        <f t="shared" si="17"/>
        <v>3.181700000000065E-4</v>
      </c>
      <c r="AQ110" s="90">
        <f t="shared" si="18"/>
        <v>-5.875623E-3</v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>
        <v>39.028179999999999</v>
      </c>
      <c r="G111" s="192">
        <v>43.349167000000001</v>
      </c>
      <c r="H111" s="192">
        <v>0.99353923</v>
      </c>
      <c r="I111" s="64">
        <v>0.99602281999999998</v>
      </c>
      <c r="J111" s="64">
        <v>1.8346011999999998E-2</v>
      </c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>
        <v>42.869833</v>
      </c>
      <c r="Y111" s="192">
        <v>45.754761999999999</v>
      </c>
      <c r="Z111" s="192">
        <v>0.99389864000000006</v>
      </c>
      <c r="AA111" s="64">
        <v>0.99662112000000003</v>
      </c>
      <c r="AB111" s="64">
        <v>9.6188355000000007E-3</v>
      </c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>
        <f t="shared" si="14"/>
        <v>3.8416530000000009</v>
      </c>
      <c r="AN111" s="124">
        <f t="shared" si="15"/>
        <v>2.4055949999999982</v>
      </c>
      <c r="AO111" s="124">
        <f t="shared" si="16"/>
        <v>3.5941000000005996E-4</v>
      </c>
      <c r="AP111" s="124">
        <f t="shared" si="17"/>
        <v>5.9830000000005157E-4</v>
      </c>
      <c r="AQ111" s="90">
        <f t="shared" si="18"/>
        <v>-8.7271764999999977E-3</v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>
        <v>31.078412</v>
      </c>
      <c r="G113" s="99">
        <v>34.701805999999998</v>
      </c>
      <c r="H113" s="99">
        <v>0.97023300000000001</v>
      </c>
      <c r="I113" s="62">
        <v>0.97796879000000003</v>
      </c>
      <c r="J113" s="62">
        <v>6.6789139999999997E-2</v>
      </c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>
        <v>31.599748999999999</v>
      </c>
      <c r="Y113" s="99">
        <v>35.299703000000001</v>
      </c>
      <c r="Z113" s="99">
        <v>0.97039284999999997</v>
      </c>
      <c r="AA113" s="62">
        <v>0.97836849999999997</v>
      </c>
      <c r="AB113" s="62">
        <v>5.6726694000000001E-2</v>
      </c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>
        <f t="shared" si="14"/>
        <v>0.52133699999999905</v>
      </c>
      <c r="AN113" s="98">
        <f t="shared" si="15"/>
        <v>0.59789700000000323</v>
      </c>
      <c r="AO113" s="98">
        <f t="shared" si="16"/>
        <v>1.5984999999996141E-4</v>
      </c>
      <c r="AP113" s="98">
        <f t="shared" si="17"/>
        <v>3.9970999999994206E-4</v>
      </c>
      <c r="AQ113" s="123">
        <f t="shared" si="18"/>
        <v>-1.0062445999999996E-2</v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>
        <v>33.427937</v>
      </c>
      <c r="G114" s="192">
        <v>37.158971000000001</v>
      </c>
      <c r="H114" s="192">
        <v>0.98110244000000002</v>
      </c>
      <c r="I114" s="64">
        <v>0.98644668000000002</v>
      </c>
      <c r="J114" s="64">
        <v>4.7697416999999999E-2</v>
      </c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>
        <v>34.605003000000004</v>
      </c>
      <c r="Y114" s="192">
        <v>37.915447</v>
      </c>
      <c r="Z114" s="192">
        <v>0.98113044000000005</v>
      </c>
      <c r="AA114" s="64">
        <v>0.98686348000000002</v>
      </c>
      <c r="AB114" s="64">
        <v>3.7844714000000002E-2</v>
      </c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>
        <f t="shared" si="14"/>
        <v>1.1770660000000035</v>
      </c>
      <c r="AN114" s="124">
        <f t="shared" si="15"/>
        <v>0.75647599999999926</v>
      </c>
      <c r="AO114" s="124">
        <f t="shared" si="16"/>
        <v>2.8000000000028002E-5</v>
      </c>
      <c r="AP114" s="124">
        <f t="shared" si="17"/>
        <v>4.1679999999999495E-4</v>
      </c>
      <c r="AQ114" s="90">
        <f t="shared" si="18"/>
        <v>-9.8527029999999974E-3</v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>
        <v>36.358764999999998</v>
      </c>
      <c r="G115" s="192">
        <v>40.509982000000001</v>
      </c>
      <c r="H115" s="192">
        <v>0.98918983999999999</v>
      </c>
      <c r="I115" s="64">
        <v>0.99282771000000003</v>
      </c>
      <c r="J115" s="64">
        <v>3.0637681E-2</v>
      </c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>
        <v>38.757635000000001</v>
      </c>
      <c r="Y115" s="192">
        <v>42.008251999999999</v>
      </c>
      <c r="Z115" s="192">
        <v>0.98945525000000001</v>
      </c>
      <c r="AA115" s="64">
        <v>0.99344639999999995</v>
      </c>
      <c r="AB115" s="64">
        <v>2.0726656999999999E-2</v>
      </c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>
        <f t="shared" si="14"/>
        <v>2.3988700000000023</v>
      </c>
      <c r="AN115" s="124">
        <f t="shared" si="15"/>
        <v>1.498269999999998</v>
      </c>
      <c r="AO115" s="124">
        <f t="shared" si="16"/>
        <v>2.6541000000002146E-4</v>
      </c>
      <c r="AP115" s="124">
        <f t="shared" si="17"/>
        <v>6.186899999999218E-4</v>
      </c>
      <c r="AQ115" s="90">
        <f t="shared" si="18"/>
        <v>-9.9110240000000009E-3</v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>
        <v>39.288930999999998</v>
      </c>
      <c r="G116" s="192">
        <v>43.522325000000002</v>
      </c>
      <c r="H116" s="192">
        <v>0.99352236999999999</v>
      </c>
      <c r="I116" s="64">
        <v>0.99612221999999995</v>
      </c>
      <c r="J116" s="64">
        <v>1.6717692999999999E-2</v>
      </c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>
        <v>42.936799000000001</v>
      </c>
      <c r="Y116" s="192">
        <v>45.938949999999998</v>
      </c>
      <c r="Z116" s="192">
        <v>0.99386368999999997</v>
      </c>
      <c r="AA116" s="64">
        <v>0.99671061999999999</v>
      </c>
      <c r="AB116" s="64">
        <v>9.5650809999999996E-3</v>
      </c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>
        <f t="shared" si="14"/>
        <v>3.6478680000000026</v>
      </c>
      <c r="AN116" s="124">
        <f t="shared" si="15"/>
        <v>2.4166249999999962</v>
      </c>
      <c r="AO116" s="124">
        <f t="shared" si="16"/>
        <v>3.4131999999997831E-4</v>
      </c>
      <c r="AP116" s="124">
        <f t="shared" si="17"/>
        <v>5.8840000000004444E-4</v>
      </c>
      <c r="AQ116" s="90">
        <f t="shared" si="18"/>
        <v>-7.1526119999999992E-3</v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>
        <v>31.888351</v>
      </c>
      <c r="G118" s="99">
        <v>35.295918999999998</v>
      </c>
      <c r="H118" s="99">
        <v>0.97137426000000004</v>
      </c>
      <c r="I118" s="62">
        <v>0.97964784999999999</v>
      </c>
      <c r="J118" s="62">
        <v>6.0324759999999998E-2</v>
      </c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>
        <v>32.204259999999998</v>
      </c>
      <c r="Y118" s="99">
        <v>35.939576000000002</v>
      </c>
      <c r="Z118" s="99">
        <v>0.97153593000000005</v>
      </c>
      <c r="AA118" s="62">
        <v>0.98007979000000001</v>
      </c>
      <c r="AB118" s="62">
        <v>5.3209852000000002E-2</v>
      </c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>
        <f t="shared" si="14"/>
        <v>0.31590899999999777</v>
      </c>
      <c r="AN118" s="98">
        <f t="shared" si="15"/>
        <v>0.64365700000000459</v>
      </c>
      <c r="AO118" s="98">
        <f t="shared" si="16"/>
        <v>1.6167000000000264E-4</v>
      </c>
      <c r="AP118" s="98">
        <f t="shared" si="17"/>
        <v>4.3194000000001953E-4</v>
      </c>
      <c r="AQ118" s="123">
        <f t="shared" si="18"/>
        <v>-7.1149079999999962E-3</v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>
        <v>33.973292000000001</v>
      </c>
      <c r="G119" s="192">
        <v>37.526770999999997</v>
      </c>
      <c r="H119" s="192">
        <v>0.9812689</v>
      </c>
      <c r="I119" s="64">
        <v>0.98713642999999995</v>
      </c>
      <c r="J119" s="64">
        <v>4.277359E-2</v>
      </c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>
        <v>35.070692000000001</v>
      </c>
      <c r="Y119" s="192">
        <v>38.417039000000003</v>
      </c>
      <c r="Z119" s="192">
        <v>0.98131590999999996</v>
      </c>
      <c r="AA119" s="64">
        <v>0.98757110999999997</v>
      </c>
      <c r="AB119" s="64">
        <v>3.5700376999999998E-2</v>
      </c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>
        <f t="shared" si="14"/>
        <v>1.0974000000000004</v>
      </c>
      <c r="AN119" s="124">
        <f t="shared" si="15"/>
        <v>0.89026800000000605</v>
      </c>
      <c r="AO119" s="124">
        <f t="shared" si="16"/>
        <v>4.7009999999958474E-5</v>
      </c>
      <c r="AP119" s="124">
        <f t="shared" si="17"/>
        <v>4.3468000000002061E-4</v>
      </c>
      <c r="AQ119" s="90">
        <f t="shared" si="18"/>
        <v>-7.0732130000000018E-3</v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>
        <v>36.898999000000003</v>
      </c>
      <c r="G120" s="192">
        <v>40.855061999999997</v>
      </c>
      <c r="H120" s="192">
        <v>0.98905573999999996</v>
      </c>
      <c r="I120" s="64">
        <v>0.99305235000000003</v>
      </c>
      <c r="J120" s="64">
        <v>2.7011137000000001E-2</v>
      </c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>
        <v>39.018231</v>
      </c>
      <c r="Y120" s="192">
        <v>42.175333000000002</v>
      </c>
      <c r="Z120" s="192">
        <v>0.98926283000000004</v>
      </c>
      <c r="AA120" s="64">
        <v>0.99342885999999997</v>
      </c>
      <c r="AB120" s="64">
        <v>1.9951474E-2</v>
      </c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>
        <f t="shared" si="14"/>
        <v>2.1192319999999967</v>
      </c>
      <c r="AN120" s="124">
        <f t="shared" si="15"/>
        <v>1.3202710000000053</v>
      </c>
      <c r="AO120" s="124">
        <f t="shared" si="16"/>
        <v>2.0709000000007638E-4</v>
      </c>
      <c r="AP120" s="124">
        <f t="shared" si="17"/>
        <v>3.7650999999994106E-4</v>
      </c>
      <c r="AQ120" s="90">
        <f t="shared" si="18"/>
        <v>-7.0596630000000007E-3</v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>
        <v>39.838743000000001</v>
      </c>
      <c r="G121" s="192">
        <v>43.977676000000002</v>
      </c>
      <c r="H121" s="192">
        <v>0.99347032999999996</v>
      </c>
      <c r="I121" s="64">
        <v>0.99613098</v>
      </c>
      <c r="J121" s="64">
        <v>1.4743185000000001E-2</v>
      </c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>
        <v>43.111952000000002</v>
      </c>
      <c r="Y121" s="192">
        <v>46.066361000000001</v>
      </c>
      <c r="Z121" s="192">
        <v>0.99377548000000004</v>
      </c>
      <c r="AA121" s="64">
        <v>0.99674607000000004</v>
      </c>
      <c r="AB121" s="64">
        <v>9.5425070000000004E-3</v>
      </c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>
        <f t="shared" si="14"/>
        <v>3.2732090000000014</v>
      </c>
      <c r="AN121" s="124">
        <f t="shared" si="15"/>
        <v>2.0886849999999981</v>
      </c>
      <c r="AO121" s="124">
        <f t="shared" si="16"/>
        <v>3.051500000000873E-4</v>
      </c>
      <c r="AP121" s="124">
        <f t="shared" si="17"/>
        <v>6.1509000000004033E-4</v>
      </c>
      <c r="AQ121" s="90">
        <f t="shared" si="18"/>
        <v>-5.2006780000000002E-3</v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>
        <v>32.029989</v>
      </c>
      <c r="G123" s="99">
        <v>35.615054000000001</v>
      </c>
      <c r="H123" s="99">
        <v>0.97161218000000005</v>
      </c>
      <c r="I123" s="62">
        <v>0.97933577000000005</v>
      </c>
      <c r="J123" s="62">
        <v>5.8582664E-2</v>
      </c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>
        <v>32.368884000000001</v>
      </c>
      <c r="Y123" s="99">
        <v>36.122641999999999</v>
      </c>
      <c r="Z123" s="99">
        <v>0.97167647000000001</v>
      </c>
      <c r="AA123" s="62">
        <v>0.97971459000000005</v>
      </c>
      <c r="AB123" s="62">
        <v>5.3776994000000002E-2</v>
      </c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>
        <f t="shared" si="14"/>
        <v>0.33889500000000083</v>
      </c>
      <c r="AN123" s="98">
        <f t="shared" si="15"/>
        <v>0.50758799999999837</v>
      </c>
      <c r="AO123" s="98">
        <f t="shared" si="16"/>
        <v>6.4289999999966874E-5</v>
      </c>
      <c r="AP123" s="98">
        <f t="shared" si="17"/>
        <v>3.7882000000000193E-4</v>
      </c>
      <c r="AQ123" s="123">
        <f t="shared" si="18"/>
        <v>-4.805669999999998E-3</v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>
        <v>34.309565999999997</v>
      </c>
      <c r="G124" s="192">
        <v>37.661875999999999</v>
      </c>
      <c r="H124" s="192">
        <v>0.98152150999999999</v>
      </c>
      <c r="I124" s="64">
        <v>0.98719683999999996</v>
      </c>
      <c r="J124" s="64">
        <v>4.1439182999999997E-2</v>
      </c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>
        <v>34.858832</v>
      </c>
      <c r="Y124" s="192">
        <v>38.284976999999998</v>
      </c>
      <c r="Z124" s="192">
        <v>0.98155486999999997</v>
      </c>
      <c r="AA124" s="64">
        <v>0.98715737000000003</v>
      </c>
      <c r="AB124" s="64">
        <v>3.6060885000000001E-2</v>
      </c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>
        <f t="shared" si="14"/>
        <v>0.54926600000000292</v>
      </c>
      <c r="AN124" s="124">
        <f t="shared" si="15"/>
        <v>0.62310099999999835</v>
      </c>
      <c r="AO124" s="124">
        <f t="shared" si="16"/>
        <v>3.3359999999982293E-5</v>
      </c>
      <c r="AP124" s="124">
        <f t="shared" si="17"/>
        <v>-3.9469999999930394E-5</v>
      </c>
      <c r="AQ124" s="90">
        <f t="shared" si="18"/>
        <v>-5.3782979999999966E-3</v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>
        <v>37.433019000000002</v>
      </c>
      <c r="G125" s="192">
        <v>41.191780999999999</v>
      </c>
      <c r="H125" s="192">
        <v>0.98922860999999995</v>
      </c>
      <c r="I125" s="64">
        <v>0.99310282999999999</v>
      </c>
      <c r="J125" s="64">
        <v>2.5739505999999999E-2</v>
      </c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>
        <v>39.040349999999997</v>
      </c>
      <c r="Y125" s="192">
        <v>42.161585000000002</v>
      </c>
      <c r="Z125" s="192">
        <v>0.98944171000000003</v>
      </c>
      <c r="AA125" s="64">
        <v>0.99344253999999999</v>
      </c>
      <c r="AB125" s="64">
        <v>2.0250830000000001E-2</v>
      </c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>
        <f t="shared" si="14"/>
        <v>1.607330999999995</v>
      </c>
      <c r="AN125" s="124">
        <f t="shared" si="15"/>
        <v>0.96980400000000344</v>
      </c>
      <c r="AO125" s="124">
        <f t="shared" si="16"/>
        <v>2.1310000000007712E-4</v>
      </c>
      <c r="AP125" s="124">
        <f t="shared" si="17"/>
        <v>3.3970999999999307E-4</v>
      </c>
      <c r="AQ125" s="90">
        <f t="shared" si="18"/>
        <v>-5.4886759999999979E-3</v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>
        <v>40.440899000000002</v>
      </c>
      <c r="G126" s="192">
        <v>44.429394000000002</v>
      </c>
      <c r="H126" s="192">
        <v>0.99358753</v>
      </c>
      <c r="I126" s="64">
        <v>0.99614643999999997</v>
      </c>
      <c r="J126" s="64">
        <v>1.3829309499999999E-2</v>
      </c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>
        <v>43.267392999999998</v>
      </c>
      <c r="Y126" s="192">
        <v>46.181142999999999</v>
      </c>
      <c r="Z126" s="192">
        <v>0.99386154999999998</v>
      </c>
      <c r="AA126" s="64">
        <v>0.99677294999999999</v>
      </c>
      <c r="AB126" s="64">
        <v>9.4405240000000005E-3</v>
      </c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>
        <f t="shared" si="14"/>
        <v>2.8264939999999967</v>
      </c>
      <c r="AN126" s="124">
        <f t="shared" si="15"/>
        <v>1.7517489999999967</v>
      </c>
      <c r="AO126" s="124">
        <f t="shared" si="16"/>
        <v>2.7401999999998594E-4</v>
      </c>
      <c r="AP126" s="124">
        <f t="shared" si="17"/>
        <v>6.2651000000002455E-4</v>
      </c>
      <c r="AQ126" s="90">
        <f t="shared" si="18"/>
        <v>-4.388785499999999E-3</v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>
        <v>32.028416</v>
      </c>
      <c r="G128" s="99">
        <v>35.785454999999999</v>
      </c>
      <c r="H128" s="99">
        <v>0.97201868000000002</v>
      </c>
      <c r="I128" s="62">
        <v>0.97935952999999998</v>
      </c>
      <c r="J128" s="62">
        <v>5.8290526000000002E-2</v>
      </c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>
        <v>32.380693999999998</v>
      </c>
      <c r="Y128" s="99">
        <v>36.128129000000001</v>
      </c>
      <c r="Z128" s="99">
        <v>0.97203404999999998</v>
      </c>
      <c r="AA128" s="62">
        <v>0.97962167</v>
      </c>
      <c r="AB128" s="62">
        <v>5.4981324999999998E-2</v>
      </c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>
        <f t="shared" si="14"/>
        <v>0.35227799999999831</v>
      </c>
      <c r="AN128" s="98">
        <f t="shared" si="15"/>
        <v>0.34267400000000237</v>
      </c>
      <c r="AO128" s="98">
        <f t="shared" si="16"/>
        <v>1.5369999999959028E-5</v>
      </c>
      <c r="AP128" s="98">
        <f t="shared" si="17"/>
        <v>2.621400000000218E-4</v>
      </c>
      <c r="AQ128" s="123">
        <f t="shared" si="18"/>
        <v>-3.3092010000000047E-3</v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>
        <v>34.149138999999998</v>
      </c>
      <c r="G129" s="192">
        <v>37.801473000000001</v>
      </c>
      <c r="H129" s="192">
        <v>0.98175420000000002</v>
      </c>
      <c r="I129" s="64">
        <v>0.98691412000000001</v>
      </c>
      <c r="J129" s="64">
        <v>4.1434041999999997E-2</v>
      </c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>
        <v>34.814765999999999</v>
      </c>
      <c r="Y129" s="192">
        <v>38.236842000000003</v>
      </c>
      <c r="Z129" s="192">
        <v>0.98183001000000003</v>
      </c>
      <c r="AA129" s="64">
        <v>0.98725675000000002</v>
      </c>
      <c r="AB129" s="64">
        <v>3.7149059999999998E-2</v>
      </c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>
        <f t="shared" si="14"/>
        <v>0.66562700000000063</v>
      </c>
      <c r="AN129" s="124">
        <f t="shared" si="15"/>
        <v>0.43536900000000145</v>
      </c>
      <c r="AO129" s="124">
        <f t="shared" si="16"/>
        <v>7.5810000000009481E-5</v>
      </c>
      <c r="AP129" s="124">
        <f t="shared" si="17"/>
        <v>3.4263000000001043E-4</v>
      </c>
      <c r="AQ129" s="90">
        <f t="shared" si="18"/>
        <v>-4.2849819999999997E-3</v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>
        <v>37.425134999999997</v>
      </c>
      <c r="G130" s="192">
        <v>41.143859999999997</v>
      </c>
      <c r="H130" s="192">
        <v>0.98950945000000001</v>
      </c>
      <c r="I130" s="64">
        <v>0.99313185999999998</v>
      </c>
      <c r="J130" s="64">
        <v>2.4756685E-2</v>
      </c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>
        <v>38.696570000000001</v>
      </c>
      <c r="Y130" s="192">
        <v>41.927933000000003</v>
      </c>
      <c r="Z130" s="192">
        <v>0.98969426999999999</v>
      </c>
      <c r="AA130" s="64">
        <v>0.99348965</v>
      </c>
      <c r="AB130" s="64">
        <v>2.0751169999999999E-2</v>
      </c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>
        <f t="shared" si="14"/>
        <v>1.2714350000000039</v>
      </c>
      <c r="AN130" s="124">
        <f t="shared" si="15"/>
        <v>0.78407300000000646</v>
      </c>
      <c r="AO130" s="124">
        <f t="shared" si="16"/>
        <v>1.8481999999997445E-4</v>
      </c>
      <c r="AP130" s="124">
        <f t="shared" si="17"/>
        <v>3.5779000000002448E-4</v>
      </c>
      <c r="AQ130" s="90">
        <f t="shared" si="18"/>
        <v>-4.0055150000000012E-3</v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>
        <v>41.002122999999997</v>
      </c>
      <c r="G131" s="192">
        <v>44.861865999999999</v>
      </c>
      <c r="H131" s="192">
        <v>0.99376087000000002</v>
      </c>
      <c r="I131" s="64">
        <v>0.99632465999999997</v>
      </c>
      <c r="J131" s="64">
        <v>1.2812884E-2</v>
      </c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>
        <v>43.331389999999999</v>
      </c>
      <c r="Y131" s="192">
        <v>46.310710999999998</v>
      </c>
      <c r="Z131" s="192">
        <v>0.99399934999999995</v>
      </c>
      <c r="AA131" s="64">
        <v>0.99685301999999998</v>
      </c>
      <c r="AB131" s="64">
        <v>9.5363240000000005E-3</v>
      </c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>
        <f t="shared" si="14"/>
        <v>2.3292670000000015</v>
      </c>
      <c r="AN131" s="124">
        <f t="shared" si="15"/>
        <v>1.4488449999999986</v>
      </c>
      <c r="AO131" s="124">
        <f t="shared" si="16"/>
        <v>2.3847999999992986E-4</v>
      </c>
      <c r="AP131" s="124">
        <f t="shared" si="17"/>
        <v>5.2836000000000549E-4</v>
      </c>
      <c r="AQ131" s="90">
        <f t="shared" si="18"/>
        <v>-3.2765599999999995E-3</v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>
        <v>32.175052000000001</v>
      </c>
      <c r="G133" s="99">
        <v>36.090333999999999</v>
      </c>
      <c r="H133" s="99">
        <v>0.97042653999999995</v>
      </c>
      <c r="I133" s="62">
        <v>0.97857804000000004</v>
      </c>
      <c r="J133" s="62">
        <v>5.9089900000000001E-2</v>
      </c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>
        <v>32.129567000000002</v>
      </c>
      <c r="Y133" s="99">
        <v>36.268334000000003</v>
      </c>
      <c r="Z133" s="99">
        <v>0.97062243000000004</v>
      </c>
      <c r="AA133" s="62">
        <v>0.97894658999999995</v>
      </c>
      <c r="AB133" s="62">
        <v>5.8181476000000003E-2</v>
      </c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>
        <f t="shared" si="14"/>
        <v>-4.5484999999999332E-2</v>
      </c>
      <c r="AN133" s="98">
        <f t="shared" si="15"/>
        <v>0.17800000000000438</v>
      </c>
      <c r="AO133" s="98">
        <f t="shared" si="16"/>
        <v>1.9589000000008738E-4</v>
      </c>
      <c r="AP133" s="98">
        <f t="shared" si="17"/>
        <v>3.68549999999912E-4</v>
      </c>
      <c r="AQ133" s="123">
        <f t="shared" si="18"/>
        <v>-9.0842399999999796E-4</v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>
        <v>34.498724000000003</v>
      </c>
      <c r="G134" s="192">
        <v>38.138582</v>
      </c>
      <c r="H134" s="192">
        <v>0.98148078000000005</v>
      </c>
      <c r="I134" s="64">
        <v>0.98666823000000003</v>
      </c>
      <c r="J134" s="64">
        <v>4.0091111999999998E-2</v>
      </c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>
        <v>34.873285000000003</v>
      </c>
      <c r="Y134" s="192">
        <v>38.455224000000001</v>
      </c>
      <c r="Z134" s="192">
        <v>0.98164428999999997</v>
      </c>
      <c r="AA134" s="64">
        <v>0.98696839999999997</v>
      </c>
      <c r="AB134" s="64">
        <v>3.8934823E-2</v>
      </c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>
        <f t="shared" si="14"/>
        <v>0.37456099999999992</v>
      </c>
      <c r="AN134" s="124">
        <f t="shared" si="15"/>
        <v>0.31664200000000164</v>
      </c>
      <c r="AO134" s="124">
        <f t="shared" si="16"/>
        <v>1.6350999999992233E-4</v>
      </c>
      <c r="AP134" s="124">
        <f t="shared" si="17"/>
        <v>3.0016999999993299E-4</v>
      </c>
      <c r="AQ134" s="90">
        <f t="shared" si="18"/>
        <v>-1.1562889999999978E-3</v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>
        <v>37.835388999999999</v>
      </c>
      <c r="G135" s="192">
        <v>41.376756</v>
      </c>
      <c r="H135" s="192">
        <v>0.98975252000000002</v>
      </c>
      <c r="I135" s="64">
        <v>0.99323276999999999</v>
      </c>
      <c r="J135" s="64">
        <v>2.4406975000000001E-2</v>
      </c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>
        <v>38.858559</v>
      </c>
      <c r="Y135" s="192">
        <v>41.990290000000002</v>
      </c>
      <c r="Z135" s="192">
        <v>0.98989764000000002</v>
      </c>
      <c r="AA135" s="64">
        <v>0.99349564000000001</v>
      </c>
      <c r="AB135" s="64">
        <v>2.1848732999999999E-2</v>
      </c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>
        <f t="shared" si="14"/>
        <v>1.0231700000000004</v>
      </c>
      <c r="AN135" s="124">
        <f t="shared" si="15"/>
        <v>0.61353400000000136</v>
      </c>
      <c r="AO135" s="124">
        <f t="shared" si="16"/>
        <v>1.4511999999999858E-4</v>
      </c>
      <c r="AP135" s="124">
        <f t="shared" si="17"/>
        <v>2.6287000000002614E-4</v>
      </c>
      <c r="AQ135" s="90">
        <f t="shared" si="18"/>
        <v>-2.5582420000000022E-3</v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>
        <v>41.595049000000003</v>
      </c>
      <c r="G136" s="192">
        <v>45.181700999999997</v>
      </c>
      <c r="H136" s="192">
        <v>0.99381931000000001</v>
      </c>
      <c r="I136" s="64">
        <v>0.99633837000000003</v>
      </c>
      <c r="J136" s="64">
        <v>1.2617046E-2</v>
      </c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>
        <v>43.343952999999999</v>
      </c>
      <c r="Y136" s="192">
        <v>46.261378999999998</v>
      </c>
      <c r="Z136" s="192">
        <v>0.99401936000000002</v>
      </c>
      <c r="AA136" s="64">
        <v>0.99679375000000003</v>
      </c>
      <c r="AB136" s="64">
        <v>1.0331557999999999E-2</v>
      </c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>
        <f t="shared" si="14"/>
        <v>1.748903999999996</v>
      </c>
      <c r="AN136" s="124">
        <f t="shared" si="15"/>
        <v>1.0796780000000012</v>
      </c>
      <c r="AO136" s="124">
        <f t="shared" si="16"/>
        <v>2.0005000000000717E-4</v>
      </c>
      <c r="AP136" s="124">
        <f t="shared" si="17"/>
        <v>4.5538000000000523E-4</v>
      </c>
      <c r="AQ136" s="90">
        <f t="shared" si="18"/>
        <v>-2.2854880000000004E-3</v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8">
        <f t="shared" si="59"/>
        <v>31.134187000000001</v>
      </c>
      <c r="H641" s="138">
        <f t="shared" si="59"/>
        <v>0.95943495000000001</v>
      </c>
      <c r="I641" s="138">
        <f t="shared" si="59"/>
        <v>0.96601981000000003</v>
      </c>
      <c r="J641" s="138">
        <f t="shared" si="59"/>
        <v>5.8290526000000002E-2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28.021709999999999</v>
      </c>
      <c r="Y641" s="138">
        <f t="shared" si="60"/>
        <v>32.011333</v>
      </c>
      <c r="Z641" s="138">
        <f t="shared" si="60"/>
        <v>0.95973615999999995</v>
      </c>
      <c r="AA641" s="138">
        <f t="shared" si="60"/>
        <v>0.96682431999999996</v>
      </c>
      <c r="AB641" s="138">
        <f t="shared" si="60"/>
        <v>5.2003189999999998E-2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30.759060000000002</v>
      </c>
      <c r="G642" s="20">
        <f t="shared" si="59"/>
        <v>34.076340999999999</v>
      </c>
      <c r="H642" s="20">
        <f t="shared" si="59"/>
        <v>0.97660387999999998</v>
      </c>
      <c r="I642" s="20">
        <f t="shared" si="59"/>
        <v>0.98018503000000001</v>
      </c>
      <c r="J642" s="20">
        <f t="shared" si="59"/>
        <v>3.7864416999999997E-2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31.759834999999999</v>
      </c>
      <c r="Y642" s="20">
        <f t="shared" si="60"/>
        <v>34.860702000000003</v>
      </c>
      <c r="Z642" s="20">
        <f t="shared" si="60"/>
        <v>0.97681675000000001</v>
      </c>
      <c r="AA642" s="20">
        <f t="shared" si="60"/>
        <v>0.98110759999999997</v>
      </c>
      <c r="AB642" s="20">
        <f t="shared" si="60"/>
        <v>3.3602226999999998E-2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34.701622</v>
      </c>
      <c r="G643" s="20">
        <f t="shared" si="59"/>
        <v>39.048186000000001</v>
      </c>
      <c r="H643" s="20">
        <f t="shared" si="59"/>
        <v>0.98777605999999996</v>
      </c>
      <c r="I643" s="20">
        <f t="shared" si="59"/>
        <v>0.99115125999999998</v>
      </c>
      <c r="J643" s="20">
        <f t="shared" si="59"/>
        <v>2.3715215000000001E-2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37.254835999999997</v>
      </c>
      <c r="Y643" s="20">
        <f t="shared" si="60"/>
        <v>40.717708999999999</v>
      </c>
      <c r="Z643" s="20">
        <f t="shared" si="60"/>
        <v>0.98815156000000004</v>
      </c>
      <c r="AA643" s="20">
        <f t="shared" si="60"/>
        <v>0.99165614999999996</v>
      </c>
      <c r="AB643" s="20">
        <f t="shared" si="60"/>
        <v>1.8186212E-2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37.285139999999998</v>
      </c>
      <c r="G644" s="20">
        <f t="shared" si="59"/>
        <v>41.695649000000003</v>
      </c>
      <c r="H644" s="20">
        <f t="shared" si="59"/>
        <v>0.99314466000000001</v>
      </c>
      <c r="I644" s="20">
        <f t="shared" si="59"/>
        <v>0.99532387</v>
      </c>
      <c r="J644" s="20">
        <f t="shared" si="59"/>
        <v>1.2499240999999999E-2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41.420926999999999</v>
      </c>
      <c r="Y644" s="20">
        <f t="shared" si="60"/>
        <v>44.584218999999997</v>
      </c>
      <c r="Z644" s="20">
        <f t="shared" si="60"/>
        <v>0.99356116999999999</v>
      </c>
      <c r="AA644" s="20">
        <f t="shared" si="60"/>
        <v>0.99604462999999999</v>
      </c>
      <c r="AB644" s="20">
        <f t="shared" si="60"/>
        <v>8.1374570000000007E-3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8">
        <f t="shared" si="61"/>
        <v>36.090333999999999</v>
      </c>
      <c r="H646" s="138">
        <f t="shared" si="61"/>
        <v>0.97201868000000002</v>
      </c>
      <c r="I646" s="138">
        <f t="shared" si="61"/>
        <v>0.97964784999999999</v>
      </c>
      <c r="J646" s="138">
        <f t="shared" si="61"/>
        <v>8.3524169999999995E-2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32.380693999999998</v>
      </c>
      <c r="Y646" s="138">
        <f t="shared" si="62"/>
        <v>36.268334000000003</v>
      </c>
      <c r="Z646" s="138">
        <f t="shared" si="62"/>
        <v>0.97203404999999998</v>
      </c>
      <c r="AA646" s="138">
        <f t="shared" si="62"/>
        <v>0.98007979000000001</v>
      </c>
      <c r="AB646" s="138">
        <f t="shared" si="62"/>
        <v>6.5225080000000005E-2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34.498724000000003</v>
      </c>
      <c r="G647" s="20">
        <f t="shared" si="61"/>
        <v>38.138582</v>
      </c>
      <c r="H647" s="20">
        <f t="shared" si="61"/>
        <v>0.98175420000000002</v>
      </c>
      <c r="I647" s="20">
        <f t="shared" si="61"/>
        <v>0.98719683999999996</v>
      </c>
      <c r="J647" s="20">
        <f t="shared" si="61"/>
        <v>5.8090188000000001E-2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35.070692000000001</v>
      </c>
      <c r="Y647" s="20">
        <f t="shared" si="62"/>
        <v>38.455224000000001</v>
      </c>
      <c r="Z647" s="20">
        <f t="shared" si="62"/>
        <v>0.98183001000000003</v>
      </c>
      <c r="AA647" s="20">
        <f t="shared" si="62"/>
        <v>0.98757110999999997</v>
      </c>
      <c r="AB647" s="20">
        <f t="shared" si="62"/>
        <v>4.2125049999999997E-2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37.835388999999999</v>
      </c>
      <c r="G648" s="20">
        <f t="shared" si="61"/>
        <v>41.376756</v>
      </c>
      <c r="H648" s="20">
        <f t="shared" si="61"/>
        <v>0.98975252000000002</v>
      </c>
      <c r="I648" s="20">
        <f t="shared" si="61"/>
        <v>0.99323276999999999</v>
      </c>
      <c r="J648" s="20">
        <f t="shared" si="61"/>
        <v>3.3094823000000002E-2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39.040349999999997</v>
      </c>
      <c r="Y648" s="20">
        <f t="shared" si="62"/>
        <v>42.175333000000002</v>
      </c>
      <c r="Z648" s="20">
        <f t="shared" si="62"/>
        <v>0.98989764000000002</v>
      </c>
      <c r="AA648" s="20">
        <f t="shared" si="62"/>
        <v>0.99349843000000004</v>
      </c>
      <c r="AB648" s="20">
        <f t="shared" si="62"/>
        <v>2.3415944000000001E-2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41.595049000000003</v>
      </c>
      <c r="G649" s="20">
        <f t="shared" si="61"/>
        <v>45.181700999999997</v>
      </c>
      <c r="H649" s="20">
        <f t="shared" si="61"/>
        <v>0.99381931000000001</v>
      </c>
      <c r="I649" s="20">
        <f t="shared" si="61"/>
        <v>0.99633837000000003</v>
      </c>
      <c r="J649" s="20">
        <f t="shared" si="61"/>
        <v>1.9031455999999999E-2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43.343952999999999</v>
      </c>
      <c r="Y649" s="20">
        <f t="shared" si="62"/>
        <v>46.310710999999998</v>
      </c>
      <c r="Z649" s="20">
        <f t="shared" si="62"/>
        <v>0.99401936000000002</v>
      </c>
      <c r="AA649" s="20">
        <f t="shared" si="62"/>
        <v>0.99685301999999998</v>
      </c>
      <c r="AB649" s="20">
        <f t="shared" si="62"/>
        <v>1.0331557999999999E-2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4.5975959999999993</v>
      </c>
      <c r="G651" s="138">
        <f t="shared" si="63"/>
        <v>4.9561469999999979</v>
      </c>
      <c r="H651" s="138">
        <f t="shared" si="63"/>
        <v>1.2583730000000015E-2</v>
      </c>
      <c r="I651" s="138">
        <f t="shared" si="63"/>
        <v>1.3628039999999952E-2</v>
      </c>
      <c r="J651" s="138">
        <f t="shared" si="63"/>
        <v>2.5233643999999993E-2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4.3589839999999995</v>
      </c>
      <c r="Y651" s="138">
        <f t="shared" si="64"/>
        <v>4.2570010000000025</v>
      </c>
      <c r="Z651" s="138">
        <f t="shared" si="64"/>
        <v>1.2297890000000034E-2</v>
      </c>
      <c r="AA651" s="138">
        <f t="shared" si="64"/>
        <v>1.3255470000000047E-2</v>
      </c>
      <c r="AB651" s="138">
        <f t="shared" si="64"/>
        <v>1.3221890000000007E-2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3.7396640000000012</v>
      </c>
      <c r="G652" s="20">
        <f t="shared" si="63"/>
        <v>4.0622410000000002</v>
      </c>
      <c r="H652" s="20">
        <f t="shared" si="63"/>
        <v>5.1503200000000415E-3</v>
      </c>
      <c r="I652" s="20">
        <f t="shared" si="63"/>
        <v>7.0118099999999517E-3</v>
      </c>
      <c r="J652" s="20">
        <f t="shared" si="63"/>
        <v>2.0225771000000003E-2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3.3108570000000022</v>
      </c>
      <c r="Y652" s="20">
        <f t="shared" si="64"/>
        <v>3.5945219999999978</v>
      </c>
      <c r="Z652" s="20">
        <f t="shared" si="64"/>
        <v>5.0132600000000194E-3</v>
      </c>
      <c r="AA652" s="20">
        <f t="shared" si="64"/>
        <v>6.4635100000000056E-3</v>
      </c>
      <c r="AB652" s="20">
        <f t="shared" si="64"/>
        <v>8.5228229999999988E-3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3.1337669999999989</v>
      </c>
      <c r="G653" s="20">
        <f t="shared" si="63"/>
        <v>2.3285699999999991</v>
      </c>
      <c r="H653" s="20">
        <f t="shared" si="63"/>
        <v>1.9764600000000687E-3</v>
      </c>
      <c r="I653" s="20">
        <f t="shared" si="63"/>
        <v>2.0815100000000086E-3</v>
      </c>
      <c r="J653" s="20">
        <f t="shared" si="63"/>
        <v>9.3796080000000011E-3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1.7855139999999992</v>
      </c>
      <c r="Y653" s="20">
        <f t="shared" si="64"/>
        <v>1.4576240000000027</v>
      </c>
      <c r="Z653" s="20">
        <f t="shared" si="64"/>
        <v>1.7460799999999832E-3</v>
      </c>
      <c r="AA653" s="20">
        <f t="shared" si="64"/>
        <v>1.842280000000085E-3</v>
      </c>
      <c r="AB653" s="20">
        <f t="shared" si="64"/>
        <v>5.2297320000000008E-3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4.3099090000000047</v>
      </c>
      <c r="G654" s="20">
        <f t="shared" si="63"/>
        <v>3.4860519999999937</v>
      </c>
      <c r="H654" s="20">
        <f t="shared" si="63"/>
        <v>6.7464999999999886E-4</v>
      </c>
      <c r="I654" s="20">
        <f t="shared" si="63"/>
        <v>1.0145000000000293E-3</v>
      </c>
      <c r="J654" s="20">
        <f t="shared" si="63"/>
        <v>6.5322149999999992E-3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1.9230260000000001</v>
      </c>
      <c r="Y654" s="20">
        <f t="shared" si="64"/>
        <v>1.7264920000000004</v>
      </c>
      <c r="Z654" s="20">
        <f t="shared" si="64"/>
        <v>4.5819000000002497E-4</v>
      </c>
      <c r="AA654" s="20">
        <f t="shared" si="64"/>
        <v>8.0838999999999217E-4</v>
      </c>
      <c r="AB654" s="20">
        <f t="shared" si="64"/>
        <v>2.1941009999999986E-3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2025-06-11T11:30:04Z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