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worksheets/sheet6.xml" ContentType="application/vnd.openxmlformats-officedocument.spreadsheetml.worksheet+xml"/>
  <Override PartName="/xl/drawings/drawing5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08" yWindow="-108" windowWidth="30936" windowHeight="16776" tabRatio="600" firstSheet="1" activeTab="8" autoFilterDateGrouping="1"/>
  </bookViews>
  <sheets>
    <sheet name="Summary (auto)" sheetId="1" state="visible" r:id="rId1"/>
    <sheet name="RGB-PSNR" sheetId="2" state="visible" r:id="rId2"/>
    <sheet name="YUV-PSNR" sheetId="3" state="visible" r:id="rId3"/>
    <sheet name="YUV-SSIM" sheetId="4" state="visible" r:id="rId4"/>
    <sheet name="YUV-IVSSIM" sheetId="5" state="visible" r:id="rId5"/>
    <sheet name="LPIPS" sheetId="6" state="visible" r:id="rId6"/>
    <sheet name="breakfast_track" sheetId="7" state="visible" r:id="rId7"/>
    <sheet name="breakfast_semitrack" sheetId="8" state="visible" r:id="rId8"/>
    <sheet name="cinema_track" sheetId="9" state="visible" r:id="rId9"/>
    <sheet name="cinema_semitrack" sheetId="10" state="visible" r:id="rId10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%;\-0.0%;&quot;---&quot;"/>
    <numFmt numFmtId="165" formatCode="0.0%"/>
    <numFmt numFmtId="166" formatCode="0.000"/>
    <numFmt numFmtId="167" formatCode="0.0"/>
    <numFmt numFmtId="168" formatCode="0.0000"/>
    <numFmt numFmtId="169" formatCode="#,##0.0"/>
    <numFmt numFmtId="170" formatCode="0.0E+00"/>
    <numFmt numFmtId="171" formatCode="_-* #,##0.00_-;\-* #,##0.00_-;_-* &quot;-&quot;??_-;_-@_-"/>
  </numFmts>
  <fonts count="28">
    <font>
      <name val="宋体"/>
      <charset val="134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0"/>
      <scheme val="minor"/>
    </font>
    <font>
      <name val="Arial"/>
      <family val="2"/>
      <color indexed="8"/>
      <sz val="10"/>
    </font>
    <font>
      <name val="宋体"/>
      <family val="2"/>
      <color indexed="8"/>
      <sz val="10"/>
      <scheme val="minor"/>
    </font>
    <font>
      <name val="宋体"/>
      <family val="2"/>
      <b val="1"/>
      <color theme="1"/>
      <sz val="10"/>
      <scheme val="minor"/>
    </font>
    <font>
      <name val="宋体"/>
      <family val="2"/>
      <b val="1"/>
      <color theme="0"/>
      <sz val="10"/>
      <scheme val="minor"/>
    </font>
    <font>
      <name val="Calibri"/>
      <family val="2"/>
      <b val="1"/>
      <color theme="1"/>
      <sz val="10"/>
    </font>
    <font>
      <name val="宋体"/>
      <family val="2"/>
      <b val="1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b val="1"/>
      <color theme="1"/>
      <sz val="12"/>
      <scheme val="minor"/>
    </font>
    <font>
      <name val="宋体"/>
      <family val="2"/>
      <color indexed="8"/>
      <sz val="11"/>
      <scheme val="minor"/>
    </font>
    <font>
      <name val="Calibri"/>
      <family val="2"/>
      <color indexed="8"/>
      <sz val="12"/>
    </font>
    <font>
      <name val="宋体"/>
      <charset val="129"/>
      <family val="3"/>
      <color theme="1"/>
      <sz val="12"/>
      <scheme val="minor"/>
    </font>
    <font>
      <name val="宋体"/>
      <family val="2"/>
      <b val="1"/>
      <color theme="1"/>
      <sz val="9"/>
      <scheme val="minor"/>
    </font>
    <font>
      <name val="宋体"/>
      <family val="2"/>
      <i val="1"/>
      <color theme="1"/>
      <sz val="12"/>
      <scheme val="minor"/>
    </font>
    <font>
      <name val="宋体"/>
      <family val="2"/>
      <color indexed="8"/>
      <sz val="12"/>
      <scheme val="minor"/>
    </font>
    <font>
      <name val="宋体"/>
      <family val="2"/>
      <b val="1"/>
      <color indexed="8"/>
      <sz val="12"/>
      <scheme val="minor"/>
    </font>
    <font>
      <name val="宋体"/>
      <family val="2"/>
      <color theme="1"/>
      <sz val="12"/>
      <scheme val="minor"/>
    </font>
    <font>
      <name val="宋体"/>
      <family val="2"/>
      <color theme="0"/>
      <sz val="12"/>
      <scheme val="minor"/>
    </font>
    <font>
      <name val="宋体"/>
      <family val="2"/>
      <color theme="0" tint="-0.3499862666707358"/>
      <sz val="10"/>
      <scheme val="minor"/>
    </font>
    <font>
      <name val="宋体"/>
      <charset val="129"/>
      <family val="3"/>
      <color theme="1"/>
      <sz val="10"/>
      <scheme val="minor"/>
    </font>
    <font>
      <name val="宋体"/>
      <family val="2"/>
      <sz val="10"/>
      <scheme val="minor"/>
    </font>
    <font>
      <name val="宋体"/>
      <family val="2"/>
      <color theme="1"/>
      <sz val="8"/>
      <scheme val="minor"/>
    </font>
    <font>
      <name val="宋体"/>
      <charset val="134"/>
      <sz val="9"/>
      <scheme val="minor"/>
    </font>
  </fonts>
  <fills count="6">
    <fill>
      <patternFill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1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1" fillId="0" borderId="0"/>
    <xf numFmtId="9" fontId="21" fillId="0" borderId="0"/>
    <xf numFmtId="171" fontId="21" fillId="0" borderId="0"/>
  </cellStyleXfs>
  <cellXfs count="366">
    <xf numFmtId="0" fontId="0" fillId="0" borderId="0" pivotButton="0" quotePrefix="0" xfId="0"/>
    <xf numFmtId="0" fontId="5" fillId="3" borderId="0" pivotButton="0" quotePrefix="1" xfId="0"/>
    <xf numFmtId="0" fontId="11" fillId="3" borderId="0" pivotButton="0" quotePrefix="0" xfId="0"/>
    <xf numFmtId="0" fontId="18" fillId="0" borderId="0" pivotButton="0" quotePrefix="0" xfId="0"/>
    <xf numFmtId="0" fontId="0" fillId="0" borderId="5" applyAlignment="1" pivotButton="0" quotePrefix="0" xfId="0">
      <alignment horizontal="center"/>
    </xf>
    <xf numFmtId="0" fontId="11" fillId="3" borderId="0" applyAlignment="1" pivotButton="0" quotePrefix="0" xfId="0">
      <alignment horizontal="right"/>
    </xf>
    <xf numFmtId="0" fontId="0" fillId="0" borderId="6" applyAlignment="1" pivotButton="0" quotePrefix="0" xfId="0">
      <alignment horizontal="center"/>
    </xf>
    <xf numFmtId="2" fontId="0" fillId="0" borderId="0" pivotButton="0" quotePrefix="0" xfId="0"/>
    <xf numFmtId="0" fontId="5" fillId="3" borderId="0" applyAlignment="1" pivotButton="0" quotePrefix="0" xfId="0">
      <alignment horizontal="center"/>
    </xf>
    <xf numFmtId="10" fontId="7" fillId="3" borderId="0" applyAlignment="1" pivotButton="0" quotePrefix="0" xfId="0">
      <alignment horizontal="center"/>
    </xf>
    <xf numFmtId="9" fontId="0" fillId="0" borderId="0" pivotButton="0" quotePrefix="0" xfId="8"/>
    <xf numFmtId="0" fontId="0" fillId="0" borderId="0" pivotButton="0" quotePrefix="1" xfId="0"/>
    <xf numFmtId="2" fontId="5" fillId="3" borderId="0" pivotButton="0" quotePrefix="0" xfId="0"/>
    <xf numFmtId="1" fontId="5" fillId="3" borderId="0" pivotButton="0" quotePrefix="0" xfId="0"/>
    <xf numFmtId="0" fontId="17" fillId="3" borderId="0" applyAlignment="1" pivotButton="0" quotePrefix="0" xfId="0">
      <alignment horizontal="center" vertical="center" wrapText="1"/>
    </xf>
    <xf numFmtId="0" fontId="4" fillId="3" borderId="0" pivotButton="0" quotePrefix="0" xfId="0"/>
    <xf numFmtId="0" fontId="12" fillId="3" borderId="0" pivotButton="0" quotePrefix="0" xfId="0"/>
    <xf numFmtId="0" fontId="5" fillId="3" borderId="0" pivotButton="0" quotePrefix="0" xfId="0"/>
    <xf numFmtId="0" fontId="11" fillId="3" borderId="8" applyAlignment="1" pivotButton="0" quotePrefix="0" xfId="0">
      <alignment vertical="center" wrapText="1"/>
    </xf>
    <xf numFmtId="0" fontId="17" fillId="3" borderId="8" applyAlignment="1" pivotButton="0" quotePrefix="0" xfId="0">
      <alignment horizontal="center" vertical="center" wrapText="1"/>
    </xf>
    <xf numFmtId="2" fontId="5" fillId="3" borderId="0" applyAlignment="1" pivotButton="0" quotePrefix="0" xfId="0">
      <alignment horizontal="center"/>
    </xf>
    <xf numFmtId="0" fontId="24" fillId="3" borderId="0" pivotButton="0" quotePrefix="1" xfId="0"/>
    <xf numFmtId="0" fontId="24" fillId="3" borderId="0" pivotButton="0" quotePrefix="0" xfId="0"/>
    <xf numFmtId="0" fontId="9" fillId="3" borderId="4" applyAlignment="1" pivotButton="0" quotePrefix="0" xfId="0">
      <alignment horizontal="center" vertical="center"/>
    </xf>
    <xf numFmtId="2" fontId="5" fillId="3" borderId="8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/>
    </xf>
    <xf numFmtId="0" fontId="6" fillId="3" borderId="4" applyAlignment="1" pivotButton="0" quotePrefix="0" xfId="0">
      <alignment horizontal="center" vertical="center"/>
    </xf>
    <xf numFmtId="0" fontId="5" fillId="5" borderId="7" applyAlignment="1" pivotButton="0" quotePrefix="0" xfId="0">
      <alignment horizontal="center" vertical="center"/>
    </xf>
    <xf numFmtId="1" fontId="5" fillId="5" borderId="1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1" fontId="5" fillId="5" borderId="0" applyAlignment="1" pivotButton="0" quotePrefix="0" xfId="0">
      <alignment horizontal="center" vertical="center"/>
    </xf>
    <xf numFmtId="0" fontId="5" fillId="5" borderId="12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 vertical="center"/>
    </xf>
    <xf numFmtId="1" fontId="5" fillId="3" borderId="2" applyAlignment="1" pivotButton="0" quotePrefix="0" xfId="0">
      <alignment horizontal="center" vertical="center"/>
    </xf>
    <xf numFmtId="0" fontId="5" fillId="3" borderId="13" applyAlignment="1" pivotButton="0" quotePrefix="0" xfId="0">
      <alignment horizontal="center" vertical="center"/>
    </xf>
    <xf numFmtId="2" fontId="5" fillId="3" borderId="13" applyAlignment="1" pivotButton="0" quotePrefix="0" xfId="0">
      <alignment horizontal="center" vertical="center"/>
    </xf>
    <xf numFmtId="1" fontId="5" fillId="3" borderId="14" applyAlignment="1" pivotButton="0" quotePrefix="0" xfId="0">
      <alignment horizontal="center" vertical="center"/>
    </xf>
    <xf numFmtId="1" fontId="5" fillId="5" borderId="13" applyAlignment="1" pivotButton="0" quotePrefix="0" xfId="0">
      <alignment horizontal="center" vertical="center"/>
    </xf>
    <xf numFmtId="10" fontId="7" fillId="3" borderId="0" applyAlignment="1" pivotButton="0" quotePrefix="0" xfId="0">
      <alignment horizontal="center" vertical="center"/>
    </xf>
    <xf numFmtId="2" fontId="5" fillId="3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5" fillId="5" borderId="1" applyAlignment="1" pivotButton="0" quotePrefix="0" xfId="0">
      <alignment horizontal="center" vertical="center"/>
    </xf>
    <xf numFmtId="2" fontId="7" fillId="3" borderId="0" applyAlignment="1" pivotButton="0" quotePrefix="0" xfId="0">
      <alignment horizontal="right" vertical="center"/>
    </xf>
    <xf numFmtId="0" fontId="5" fillId="5" borderId="13" applyAlignment="1" pivotButton="0" quotePrefix="0" xfId="0">
      <alignment horizontal="center" vertical="center"/>
    </xf>
    <xf numFmtId="0" fontId="10" fillId="3" borderId="0" applyAlignment="1" pivotButton="0" quotePrefix="0" xfId="0">
      <alignment vertical="center"/>
    </xf>
    <xf numFmtId="10" fontId="7" fillId="5" borderId="10" applyAlignment="1" pivotButton="0" quotePrefix="0" xfId="0">
      <alignment horizontal="center" vertical="center"/>
    </xf>
    <xf numFmtId="10" fontId="7" fillId="5" borderId="11" applyAlignment="1" pivotButton="0" quotePrefix="0" xfId="0">
      <alignment horizontal="center" vertical="center"/>
    </xf>
    <xf numFmtId="0" fontId="5" fillId="5" borderId="11" applyAlignment="1" pivotButton="0" quotePrefix="0" xfId="0">
      <alignment vertical="center"/>
    </xf>
    <xf numFmtId="0" fontId="5" fillId="5" borderId="10" applyAlignment="1" pivotButton="0" quotePrefix="0" xfId="0">
      <alignment vertical="center"/>
    </xf>
    <xf numFmtId="0" fontId="5" fillId="5" borderId="12" applyAlignment="1" pivotButton="0" quotePrefix="0" xfId="0">
      <alignment vertical="center"/>
    </xf>
    <xf numFmtId="0" fontId="5" fillId="5" borderId="13" applyAlignment="1" pivotButton="0" quotePrefix="0" xfId="0">
      <alignment vertical="center"/>
    </xf>
    <xf numFmtId="0" fontId="5" fillId="5" borderId="14" applyAlignment="1" pivotButton="0" quotePrefix="0" xfId="0">
      <alignment vertical="center"/>
    </xf>
    <xf numFmtId="0" fontId="24" fillId="3" borderId="19" pivotButton="0" quotePrefix="0" xfId="0"/>
    <xf numFmtId="0" fontId="24" fillId="2" borderId="19" pivotButton="0" quotePrefix="0" xfId="0"/>
    <xf numFmtId="0" fontId="24" fillId="5" borderId="19" pivotButton="0" quotePrefix="0" xfId="0"/>
    <xf numFmtId="0" fontId="0" fillId="3" borderId="0" pivotButton="0" quotePrefix="1" xfId="0"/>
    <xf numFmtId="0" fontId="3" fillId="3" borderId="0" pivotButton="0" quotePrefix="1" xfId="0"/>
    <xf numFmtId="2" fontId="5" fillId="5" borderId="1" applyAlignment="1" pivotButton="0" quotePrefix="0" xfId="0">
      <alignment horizontal="center" vertical="center"/>
    </xf>
    <xf numFmtId="2" fontId="5" fillId="5" borderId="0" applyAlignment="1" pivotButton="0" quotePrefix="0" xfId="0">
      <alignment horizontal="center" vertical="center"/>
    </xf>
    <xf numFmtId="1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 vertical="center"/>
    </xf>
    <xf numFmtId="1" fontId="5" fillId="5" borderId="14" applyAlignment="1" pivotButton="0" quotePrefix="0" xfId="0">
      <alignment horizontal="center" vertical="center"/>
    </xf>
    <xf numFmtId="2" fontId="5" fillId="2" borderId="1" applyAlignment="1" pivotButton="0" quotePrefix="0" xfId="0">
      <alignment horizontal="center" vertical="center"/>
    </xf>
    <xf numFmtId="2" fontId="23" fillId="5" borderId="1" applyAlignment="1" pivotButton="0" quotePrefix="0" xfId="0">
      <alignment horizontal="center" vertical="center"/>
    </xf>
    <xf numFmtId="2" fontId="5" fillId="2" borderId="0" applyAlignment="1" pivotButton="0" quotePrefix="0" xfId="0">
      <alignment horizontal="center" vertical="center"/>
    </xf>
    <xf numFmtId="2" fontId="23" fillId="5" borderId="13" applyAlignment="1" pivotButton="0" quotePrefix="0" xfId="0">
      <alignment horizontal="center" vertical="center"/>
    </xf>
    <xf numFmtId="2" fontId="19" fillId="0" borderId="0" pivotButton="0" quotePrefix="0" xfId="0"/>
    <xf numFmtId="2" fontId="22" fillId="0" borderId="0" applyAlignment="1" pivotButton="0" quotePrefix="0" xfId="0">
      <alignment vertical="center"/>
    </xf>
    <xf numFmtId="2" fontId="22" fillId="0" borderId="0" pivotButton="0" quotePrefix="0" xfId="0"/>
    <xf numFmtId="0" fontId="13" fillId="0" borderId="0" pivotButton="0" quotePrefix="0" xfId="0"/>
    <xf numFmtId="0" fontId="16" fillId="0" borderId="10" applyAlignment="1" pivotButton="0" quotePrefix="0" xfId="0">
      <alignment horizontal="center" vertical="center"/>
    </xf>
    <xf numFmtId="0" fontId="13" fillId="0" borderId="10" applyAlignment="1" pivotButton="0" quotePrefix="0" xfId="0">
      <alignment horizontal="center" vertical="center"/>
    </xf>
    <xf numFmtId="0" fontId="0" fillId="0" borderId="12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 vertical="center"/>
    </xf>
    <xf numFmtId="0" fontId="18" fillId="0" borderId="5" applyAlignment="1" pivotButton="0" quotePrefix="0" xfId="0">
      <alignment horizontal="center"/>
    </xf>
    <xf numFmtId="2" fontId="0" fillId="0" borderId="11" applyAlignment="1" pivotButton="0" quotePrefix="0" xfId="0">
      <alignment horizontal="center"/>
    </xf>
    <xf numFmtId="2" fontId="0" fillId="0" borderId="0" applyAlignment="1" pivotButton="0" quotePrefix="0" xfId="0">
      <alignment horizontal="center"/>
    </xf>
    <xf numFmtId="2" fontId="19" fillId="0" borderId="10" applyAlignment="1" pivotButton="0" quotePrefix="0" xfId="0">
      <alignment horizontal="center"/>
    </xf>
    <xf numFmtId="2" fontId="19" fillId="0" borderId="14" applyAlignment="1" pivotButton="0" quotePrefix="0" xfId="0">
      <alignment horizontal="center"/>
    </xf>
    <xf numFmtId="2" fontId="22" fillId="0" borderId="3" applyAlignment="1" pivotButton="0" quotePrefix="0" xfId="0">
      <alignment horizontal="center" vertical="center"/>
    </xf>
    <xf numFmtId="2" fontId="0" fillId="0" borderId="7" applyAlignment="1" pivotButton="0" quotePrefix="0" xfId="0">
      <alignment horizontal="center"/>
    </xf>
    <xf numFmtId="2" fontId="0" fillId="0" borderId="1" applyAlignment="1" pivotButton="0" quotePrefix="0" xfId="0">
      <alignment horizontal="center"/>
    </xf>
    <xf numFmtId="2" fontId="19" fillId="0" borderId="2" applyAlignment="1" pivotButton="0" quotePrefix="0" xfId="0">
      <alignment horizontal="center"/>
    </xf>
    <xf numFmtId="2" fontId="22" fillId="0" borderId="6" applyAlignment="1" pivotButton="0" quotePrefix="0" xfId="0">
      <alignment horizontal="center" vertical="center"/>
    </xf>
    <xf numFmtId="2" fontId="22" fillId="0" borderId="12" applyAlignment="1" pivotButton="0" quotePrefix="0" xfId="0">
      <alignment horizontal="center"/>
    </xf>
    <xf numFmtId="2" fontId="22" fillId="0" borderId="13" applyAlignment="1" pivotButton="0" quotePrefix="0" xfId="0">
      <alignment horizontal="center"/>
    </xf>
    <xf numFmtId="2" fontId="3" fillId="2" borderId="0" applyAlignment="1" pivotButton="0" quotePrefix="0" xfId="0">
      <alignment horizontal="center"/>
    </xf>
    <xf numFmtId="0" fontId="11" fillId="3" borderId="0" applyAlignment="1" pivotButton="0" quotePrefix="0" xfId="0">
      <alignment vertical="center"/>
    </xf>
    <xf numFmtId="2" fontId="7" fillId="3" borderId="11" applyAlignment="1" pivotButton="0" quotePrefix="0" xfId="0">
      <alignment horizontal="center" vertical="center"/>
    </xf>
    <xf numFmtId="2" fontId="7" fillId="3" borderId="10" applyAlignment="1" pivotButton="0" quotePrefix="0" xfId="0">
      <alignment horizontal="center" vertical="center"/>
    </xf>
    <xf numFmtId="0" fontId="16" fillId="0" borderId="7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/>
    </xf>
    <xf numFmtId="2" fontId="5" fillId="3" borderId="0" applyAlignment="1" pivotButton="0" quotePrefix="0" xfId="0">
      <alignment horizontal="center" vertical="center"/>
    </xf>
    <xf numFmtId="1" fontId="5" fillId="3" borderId="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 vertical="center"/>
    </xf>
    <xf numFmtId="0" fontId="5" fillId="3" borderId="8" applyAlignment="1" pivotButton="0" quotePrefix="0" xfId="0">
      <alignment horizontal="center" vertical="center"/>
    </xf>
    <xf numFmtId="2" fontId="7" fillId="3" borderId="1" applyAlignment="1" pivotButton="0" quotePrefix="0" xfId="0">
      <alignment horizontal="center" vertical="center"/>
    </xf>
    <xf numFmtId="2" fontId="5" fillId="2" borderId="1" applyAlignment="1" pivotButton="0" quotePrefix="0" xfId="5">
      <alignment horizontal="center" vertical="center"/>
    </xf>
    <xf numFmtId="2" fontId="5" fillId="3" borderId="2" applyAlignment="1" pivotButton="0" quotePrefix="0" xfId="0">
      <alignment horizontal="center" vertical="center"/>
    </xf>
    <xf numFmtId="2" fontId="5" fillId="3" borderId="7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3" fillId="0" borderId="13" applyAlignment="1" pivotButton="0" quotePrefix="0" xfId="0">
      <alignment horizontal="center" vertical="center"/>
    </xf>
    <xf numFmtId="0" fontId="5" fillId="3" borderId="1" applyAlignment="1" pivotButton="0" quotePrefix="0" xfId="0">
      <alignment horizontal="center"/>
    </xf>
    <xf numFmtId="2" fontId="5" fillId="3" borderId="1" pivotButton="0" quotePrefix="0" xfId="0"/>
    <xf numFmtId="1" fontId="5" fillId="3" borderId="1" pivotButton="0" quotePrefix="0" xfId="0"/>
    <xf numFmtId="1" fontId="5" fillId="3" borderId="2" pivotButton="0" quotePrefix="0" xfId="0"/>
    <xf numFmtId="1" fontId="5" fillId="3" borderId="10" pivotButton="0" quotePrefix="0" xfId="0"/>
    <xf numFmtId="0" fontId="5" fillId="5" borderId="1" applyAlignment="1" pivotButton="0" quotePrefix="0" xfId="0">
      <alignment horizontal="center"/>
    </xf>
    <xf numFmtId="0" fontId="5" fillId="5" borderId="0" applyAlignment="1" pivotButton="0" quotePrefix="0" xfId="0">
      <alignment horizontal="center"/>
    </xf>
    <xf numFmtId="0" fontId="5" fillId="5" borderId="13" applyAlignment="1" pivotButton="0" quotePrefix="0" xfId="0">
      <alignment horizontal="center"/>
    </xf>
    <xf numFmtId="2" fontId="5" fillId="5" borderId="1" pivotButton="0" quotePrefix="0" xfId="0"/>
    <xf numFmtId="1" fontId="5" fillId="5" borderId="1" pivotButton="0" quotePrefix="0" xfId="0"/>
    <xf numFmtId="1" fontId="5" fillId="5" borderId="2" pivotButton="0" quotePrefix="0" xfId="0"/>
    <xf numFmtId="2" fontId="5" fillId="5" borderId="0" pivotButton="0" quotePrefix="0" xfId="0"/>
    <xf numFmtId="1" fontId="5" fillId="5" borderId="0" pivotButton="0" quotePrefix="0" xfId="0"/>
    <xf numFmtId="1" fontId="5" fillId="5" borderId="10" pivotButton="0" quotePrefix="0" xfId="0"/>
    <xf numFmtId="2" fontId="5" fillId="5" borderId="13" pivotButton="0" quotePrefix="0" xfId="0"/>
    <xf numFmtId="1" fontId="5" fillId="5" borderId="13" pivotButton="0" quotePrefix="0" xfId="0"/>
    <xf numFmtId="1" fontId="5" fillId="5" borderId="14" pivotButton="0" quotePrefix="0" xfId="0"/>
    <xf numFmtId="0" fontId="26" fillId="3" borderId="0" applyAlignment="1" pivotButton="0" quotePrefix="0" xfId="0">
      <alignment horizontal="center" vertical="center"/>
    </xf>
    <xf numFmtId="2" fontId="7" fillId="3" borderId="7" applyAlignment="1" pivotButton="0" quotePrefix="0" xfId="0">
      <alignment horizontal="center" vertical="center"/>
    </xf>
    <xf numFmtId="2" fontId="7" fillId="3" borderId="2" applyAlignment="1" pivotButton="0" quotePrefix="0" xfId="0">
      <alignment horizontal="center" vertical="center"/>
    </xf>
    <xf numFmtId="2" fontId="7" fillId="3" borderId="0" applyAlignment="1" pivotButton="0" quotePrefix="0" xfId="0">
      <alignment horizontal="center" vertical="center"/>
    </xf>
    <xf numFmtId="2" fontId="7" fillId="3" borderId="12" applyAlignment="1" pivotButton="0" quotePrefix="0" xfId="0">
      <alignment horizontal="center" vertical="center"/>
    </xf>
    <xf numFmtId="2" fontId="7" fillId="3" borderId="13" applyAlignment="1" pivotButton="0" quotePrefix="0" xfId="0">
      <alignment horizontal="center" vertical="center"/>
    </xf>
    <xf numFmtId="2" fontId="7" fillId="3" borderId="14" applyAlignment="1" pivotButton="0" quotePrefix="0" xfId="0">
      <alignment horizontal="center" vertical="center"/>
    </xf>
    <xf numFmtId="3" fontId="5" fillId="3" borderId="1" applyAlignment="1" pivotButton="0" quotePrefix="0" xfId="0">
      <alignment horizontal="right" vertical="center" wrapText="1"/>
    </xf>
    <xf numFmtId="3" fontId="5" fillId="3" borderId="1" applyAlignment="1" pivotButton="0" quotePrefix="0" xfId="0">
      <alignment horizontal="right" vertical="center"/>
    </xf>
    <xf numFmtId="3" fontId="5" fillId="3" borderId="0" applyAlignment="1" pivotButton="0" quotePrefix="0" xfId="0">
      <alignment horizontal="right" vertical="center"/>
    </xf>
    <xf numFmtId="3" fontId="5" fillId="2" borderId="1" applyAlignment="1" pivotButton="0" quotePrefix="0" xfId="5">
      <alignment horizontal="right" vertical="center"/>
    </xf>
    <xf numFmtId="3" fontId="5" fillId="2" borderId="1" applyAlignment="1" pivotButton="0" quotePrefix="0" xfId="0">
      <alignment horizontal="center" vertical="center"/>
    </xf>
    <xf numFmtId="3" fontId="5" fillId="3" borderId="0" applyAlignment="1" pivotButton="0" quotePrefix="0" xfId="0">
      <alignment horizontal="center" vertical="center"/>
    </xf>
    <xf numFmtId="3" fontId="5" fillId="2" borderId="2" applyAlignment="1" pivotButton="0" quotePrefix="0" xfId="0">
      <alignment horizontal="center" vertical="center"/>
    </xf>
    <xf numFmtId="3" fontId="5" fillId="2" borderId="10" applyAlignment="1" pivotButton="0" quotePrefix="0" xfId="0">
      <alignment horizontal="center" vertical="center"/>
    </xf>
    <xf numFmtId="3" fontId="5" fillId="3" borderId="10" applyAlignment="1" pivotButton="0" quotePrefix="0" xfId="0">
      <alignment horizontal="center" vertical="center"/>
    </xf>
    <xf numFmtId="3" fontId="5" fillId="3" borderId="9" applyAlignment="1" pivotButton="0" quotePrefix="0" xfId="0">
      <alignment horizontal="center" vertical="center"/>
    </xf>
    <xf numFmtId="2" fontId="5" fillId="3" borderId="1" applyAlignment="1" pivotButton="0" quotePrefix="0" xfId="0">
      <alignment horizontal="center"/>
    </xf>
    <xf numFmtId="0" fontId="5" fillId="5" borderId="8" applyAlignment="1" pivotButton="0" quotePrefix="0" xfId="0">
      <alignment horizontal="center" vertical="center"/>
    </xf>
    <xf numFmtId="2" fontId="5" fillId="5" borderId="8" applyAlignment="1" pivotButton="0" quotePrefix="0" xfId="0">
      <alignment horizontal="center" vertical="center"/>
    </xf>
    <xf numFmtId="1" fontId="5" fillId="5" borderId="8" applyAlignment="1" pivotButton="0" quotePrefix="0" xfId="0">
      <alignment horizontal="center" vertical="center"/>
    </xf>
    <xf numFmtId="0" fontId="5" fillId="3" borderId="7" applyAlignment="1" pivotButton="0" quotePrefix="0" xfId="0">
      <alignment vertical="center"/>
    </xf>
    <xf numFmtId="0" fontId="0" fillId="0" borderId="11" applyAlignment="1" pivotButton="0" quotePrefix="0" xfId="0">
      <alignment vertical="center"/>
    </xf>
    <xf numFmtId="0" fontId="9" fillId="4" borderId="7" applyAlignment="1" pivotButton="0" quotePrefix="0" xfId="0">
      <alignment vertical="center"/>
    </xf>
    <xf numFmtId="2" fontId="5" fillId="5" borderId="2" applyAlignment="1" pivotButton="0" quotePrefix="0" xfId="0">
      <alignment horizontal="center" vertical="center"/>
    </xf>
    <xf numFmtId="3" fontId="5" fillId="2" borderId="0" applyAlignment="1" pivotButton="0" quotePrefix="0" xfId="5">
      <alignment horizontal="right" vertical="center"/>
    </xf>
    <xf numFmtId="3" fontId="5" fillId="2" borderId="0" applyAlignment="1" pivotButton="0" quotePrefix="0" xfId="0">
      <alignment horizontal="center" vertical="center"/>
    </xf>
    <xf numFmtId="2" fontId="5" fillId="5" borderId="10" applyAlignment="1" pivotButton="0" quotePrefix="0" xfId="0">
      <alignment horizontal="center" vertical="center"/>
    </xf>
    <xf numFmtId="2" fontId="5" fillId="5" borderId="14" applyAlignment="1" pivotButton="0" quotePrefix="0" xfId="0">
      <alignment horizontal="center" vertical="center"/>
    </xf>
    <xf numFmtId="14" fontId="2" fillId="3" borderId="0" applyAlignment="1" pivotButton="0" quotePrefix="1" xfId="0">
      <alignment horizontal="left"/>
    </xf>
    <xf numFmtId="0" fontId="6" fillId="3" borderId="12" applyAlignment="1" pivotButton="0" quotePrefix="0" xfId="0">
      <alignment horizontal="center" vertical="center"/>
    </xf>
    <xf numFmtId="0" fontId="25" fillId="3" borderId="4" applyAlignment="1" pivotButton="0" quotePrefix="0" xfId="0">
      <alignment horizontal="center" vertical="center"/>
    </xf>
    <xf numFmtId="0" fontId="5" fillId="5" borderId="0" applyAlignment="1" pivotButton="0" quotePrefix="0" xfId="0">
      <alignment vertical="center"/>
    </xf>
    <xf numFmtId="3" fontId="5" fillId="3" borderId="1" applyAlignment="1" pivotButton="0" quotePrefix="0" xfId="0">
      <alignment horizontal="center" vertical="center"/>
    </xf>
    <xf numFmtId="0" fontId="10" fillId="3" borderId="2" applyAlignment="1" pivotButton="0" quotePrefix="0" xfId="0">
      <alignment horizontal="center" vertical="center"/>
    </xf>
    <xf numFmtId="0" fontId="5" fillId="3" borderId="4" applyAlignment="1" pivotButton="0" quotePrefix="0" xfId="0">
      <alignment horizontal="center" vertical="center"/>
    </xf>
    <xf numFmtId="3" fontId="5" fillId="3" borderId="8" applyAlignment="1" pivotButton="0" quotePrefix="0" xfId="0">
      <alignment horizontal="center" vertical="center"/>
    </xf>
    <xf numFmtId="0" fontId="5" fillId="3" borderId="7" pivotButton="0" quotePrefix="0" xfId="0"/>
    <xf numFmtId="3" fontId="5" fillId="3" borderId="0" applyAlignment="1" pivotButton="0" quotePrefix="0" xfId="0">
      <alignment horizontal="right" vertical="center" wrapText="1"/>
    </xf>
    <xf numFmtId="2" fontId="5" fillId="3" borderId="0" applyAlignment="1" pivotButton="0" quotePrefix="0" xfId="5">
      <alignment horizontal="center" vertical="center"/>
    </xf>
    <xf numFmtId="0" fontId="5" fillId="3" borderId="11" applyAlignment="1" pivotButton="0" quotePrefix="0" xfId="0">
      <alignment vertical="center"/>
    </xf>
    <xf numFmtId="10" fontId="7" fillId="5" borderId="0" applyAlignment="1" pivotButton="0" quotePrefix="0" xfId="0">
      <alignment horizontal="center" vertical="center"/>
    </xf>
    <xf numFmtId="0" fontId="5" fillId="3" borderId="12" applyAlignment="1" pivotButton="0" quotePrefix="0" xfId="0">
      <alignment vertical="center"/>
    </xf>
    <xf numFmtId="0" fontId="9" fillId="4" borderId="4" applyAlignment="1" pivotButton="0" quotePrefix="0" xfId="0">
      <alignment vertical="center"/>
    </xf>
    <xf numFmtId="0" fontId="5" fillId="3" borderId="1" pivotButton="0" quotePrefix="0" xfId="0"/>
    <xf numFmtId="0" fontId="5" fillId="3" borderId="2" pivotButton="0" quotePrefix="0" xfId="0"/>
    <xf numFmtId="2" fontId="5" fillId="3" borderId="10" applyAlignment="1" pivotButton="0" quotePrefix="0" xfId="0">
      <alignment horizontal="center" vertical="center"/>
    </xf>
    <xf numFmtId="0" fontId="2" fillId="3" borderId="0" pivotButton="0" quotePrefix="0" xfId="0"/>
    <xf numFmtId="3" fontId="5" fillId="2" borderId="1" applyAlignment="1" pivotButton="0" quotePrefix="0" xfId="0">
      <alignment horizontal="right" vertical="center"/>
    </xf>
    <xf numFmtId="3" fontId="5" fillId="2" borderId="0" applyAlignment="1" pivotButton="0" quotePrefix="0" xfId="0">
      <alignment horizontal="right" vertical="center"/>
    </xf>
    <xf numFmtId="3" fontId="5" fillId="5" borderId="0" applyAlignment="1" pivotButton="0" quotePrefix="0" xfId="0">
      <alignment horizontal="center" vertical="center"/>
    </xf>
    <xf numFmtId="3" fontId="5" fillId="5" borderId="13" applyAlignment="1" pivotButton="0" quotePrefix="0" xfId="0">
      <alignment horizontal="center" vertical="center"/>
    </xf>
    <xf numFmtId="0" fontId="2" fillId="3" borderId="0" pivotButton="0" quotePrefix="1" xfId="0"/>
    <xf numFmtId="0" fontId="3" fillId="3" borderId="0" pivotButton="0" quotePrefix="0" xfId="0"/>
    <xf numFmtId="0" fontId="2" fillId="3" borderId="16" applyAlignment="1" pivotButton="0" quotePrefix="0" xfId="0">
      <alignment horizontal="left" vertical="center"/>
    </xf>
    <xf numFmtId="0" fontId="2" fillId="3" borderId="0" applyAlignment="1" pivotButton="0" quotePrefix="0" xfId="0">
      <alignment horizontal="left" vertical="center"/>
    </xf>
    <xf numFmtId="0" fontId="2" fillId="3" borderId="0" applyAlignment="1" pivotButton="0" quotePrefix="0" xfId="0">
      <alignment horizontal="center" vertical="center"/>
    </xf>
    <xf numFmtId="0" fontId="3" fillId="0" borderId="0" pivotButton="0" quotePrefix="1" xfId="0"/>
    <xf numFmtId="0" fontId="3" fillId="0" borderId="0" applyAlignment="1" pivotButton="0" quotePrefix="1" xfId="0">
      <alignment horizontal="center"/>
    </xf>
    <xf numFmtId="0" fontId="3" fillId="0" borderId="11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/>
    </xf>
    <xf numFmtId="0" fontId="3" fillId="0" borderId="10" applyAlignment="1" pivotButton="0" quotePrefix="0" xfId="0">
      <alignment horizontal="center"/>
    </xf>
    <xf numFmtId="0" fontId="3" fillId="0" borderId="0" pivotButton="0" quotePrefix="0" xfId="0"/>
    <xf numFmtId="3" fontId="5" fillId="5" borderId="13" applyAlignment="1" pivotButton="0" quotePrefix="0" xfId="0">
      <alignment horizontal="right" vertical="center" wrapText="1"/>
    </xf>
    <xf numFmtId="3" fontId="5" fillId="5" borderId="14" applyAlignment="1" pivotButton="0" quotePrefix="0" xfId="0">
      <alignment horizontal="center" vertical="center"/>
    </xf>
    <xf numFmtId="3" fontId="5" fillId="5" borderId="0" applyAlignment="1" pivotButton="0" quotePrefix="0" xfId="0">
      <alignment horizontal="right" vertical="center"/>
    </xf>
    <xf numFmtId="3" fontId="5" fillId="5" borderId="13" applyAlignment="1" pivotButton="0" quotePrefix="0" xfId="0">
      <alignment horizontal="right" vertical="center"/>
    </xf>
    <xf numFmtId="3" fontId="5" fillId="5" borderId="13" applyAlignment="1" pivotButton="0" quotePrefix="0" xfId="5">
      <alignment horizontal="right" vertical="center"/>
    </xf>
    <xf numFmtId="3" fontId="5" fillId="5" borderId="10" applyAlignment="1" pivotButton="0" quotePrefix="0" xfId="0">
      <alignment horizontal="center" vertical="center"/>
    </xf>
    <xf numFmtId="2" fontId="5" fillId="5" borderId="13" applyAlignment="1" pivotButton="0" quotePrefix="0" xfId="0">
      <alignment horizontal="center"/>
    </xf>
    <xf numFmtId="0" fontId="5" fillId="5" borderId="0" applyAlignment="1" pivotButton="0" quotePrefix="0" xfId="0">
      <alignment horizontal="center" vertical="center"/>
    </xf>
    <xf numFmtId="2" fontId="5" fillId="2" borderId="0" applyAlignment="1" pivotButton="0" quotePrefix="0" xfId="5">
      <alignment horizontal="center" vertical="center"/>
    </xf>
    <xf numFmtId="2" fontId="23" fillId="5" borderId="0" applyAlignment="1" pivotButton="0" quotePrefix="0" xfId="0">
      <alignment horizontal="center" vertical="center"/>
    </xf>
    <xf numFmtId="2" fontId="5" fillId="5" borderId="0" applyAlignment="1" pivotButton="0" quotePrefix="0" xfId="5">
      <alignment horizontal="center" vertical="center"/>
    </xf>
    <xf numFmtId="2" fontId="5" fillId="5" borderId="13" applyAlignment="1" pivotButton="0" quotePrefix="0" xfId="5">
      <alignment horizontal="center" vertical="center"/>
    </xf>
    <xf numFmtId="0" fontId="1" fillId="3" borderId="17" applyAlignment="1" pivotButton="0" quotePrefix="0" xfId="0">
      <alignment horizontal="center" vertical="center"/>
    </xf>
    <xf numFmtId="0" fontId="1" fillId="3" borderId="18" applyAlignment="1" pivotButton="0" quotePrefix="0" xfId="0">
      <alignment horizontal="center" vertical="center"/>
    </xf>
    <xf numFmtId="0" fontId="17" fillId="3" borderId="21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center"/>
    </xf>
    <xf numFmtId="2" fontId="22" fillId="0" borderId="0" applyAlignment="1" pivotButton="0" quotePrefix="0" xfId="0">
      <alignment horizontal="center" vertical="center"/>
    </xf>
    <xf numFmtId="2" fontId="22" fillId="0" borderId="0" applyAlignment="1" pivotButton="0" quotePrefix="0" xfId="0">
      <alignment horizontal="center"/>
    </xf>
    <xf numFmtId="2" fontId="19" fillId="0" borderId="0" applyAlignment="1" pivotButton="0" quotePrefix="0" xfId="0">
      <alignment horizontal="center"/>
    </xf>
    <xf numFmtId="0" fontId="11" fillId="3" borderId="4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pivotButton="0" quotePrefix="0" xfId="0"/>
    <xf numFmtId="0" fontId="0" fillId="0" borderId="0" applyAlignment="1" pivotButton="0" quotePrefix="0" xfId="0">
      <alignment horizontal="center" vertical="center"/>
    </xf>
    <xf numFmtId="0" fontId="13" fillId="0" borderId="5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3" fillId="0" borderId="0" applyAlignment="1" pivotButton="0" quotePrefix="0" xfId="0">
      <alignment horizontal="center"/>
    </xf>
    <xf numFmtId="0" fontId="5" fillId="3" borderId="0" applyAlignment="1" pivotButton="0" quotePrefix="0" xfId="0">
      <alignment horizontal="center" vertic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vertical="center"/>
    </xf>
    <xf numFmtId="0" fontId="0" fillId="3" borderId="0" pivotButton="0" quotePrefix="0" xfId="0"/>
    <xf numFmtId="0" fontId="5" fillId="3" borderId="11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1" fontId="5" fillId="3" borderId="1" applyAlignment="1" pivotButton="0" quotePrefix="0" xfId="0">
      <alignment horizontal="center" vertical="center"/>
    </xf>
    <xf numFmtId="1" fontId="5" fillId="3" borderId="13" applyAlignment="1" pivotButton="0" quotePrefix="0" xfId="0">
      <alignment horizontal="center" vertical="center"/>
    </xf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  <xf numFmtId="0" fontId="11" fillId="3" borderId="4" applyAlignment="1" pivotButton="0" quotePrefix="0" xfId="0">
      <alignment horizontal="center" vertical="center"/>
    </xf>
    <xf numFmtId="0" fontId="0" fillId="0" borderId="8" pivotButton="0" quotePrefix="0" xfId="0"/>
    <xf numFmtId="14" fontId="11" fillId="2" borderId="0" applyAlignment="1" pivotButton="0" quotePrefix="1" xfId="0">
      <alignment horizontal="left"/>
    </xf>
    <xf numFmtId="0" fontId="4" fillId="3" borderId="0" pivotButton="0" quotePrefix="0" xfId="0"/>
    <xf numFmtId="0" fontId="13" fillId="3" borderId="13" applyAlignment="1" pivotButton="0" quotePrefix="0" xfId="0">
      <alignment horizontal="center"/>
    </xf>
    <xf numFmtId="0" fontId="0" fillId="0" borderId="13" pivotButton="0" quotePrefix="0" xfId="0"/>
    <xf numFmtId="0" fontId="13" fillId="0" borderId="11" applyAlignment="1" pivotButton="0" quotePrefix="0" xfId="0">
      <alignment horizontal="center" vertical="center"/>
    </xf>
    <xf numFmtId="0" fontId="0" fillId="0" borderId="0" pivotButton="0" quotePrefix="0" xfId="0"/>
    <xf numFmtId="14" fontId="13" fillId="2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3" fillId="2" borderId="3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2" pivotButton="0" quotePrefix="0" xfId="0"/>
    <xf numFmtId="0" fontId="13" fillId="0" borderId="0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3" fillId="0" borderId="5" applyAlignment="1" pivotButton="0" quotePrefix="0" xfId="0">
      <alignment horizontal="center"/>
    </xf>
    <xf numFmtId="0" fontId="0" fillId="0" borderId="10" pivotButton="0" quotePrefix="0" xfId="0"/>
    <xf numFmtId="0" fontId="8" fillId="3" borderId="0" applyAlignment="1" pivotButton="0" quotePrefix="0" xfId="0">
      <alignment horizontal="center"/>
    </xf>
    <xf numFmtId="0" fontId="5" fillId="3" borderId="0" pivotButton="0" quotePrefix="0" xfId="0"/>
    <xf numFmtId="0" fontId="5" fillId="3" borderId="7" applyAlignment="1" pivotButton="0" quotePrefix="0" xfId="0">
      <alignment horizontal="center" vertical="center"/>
    </xf>
    <xf numFmtId="0" fontId="0" fillId="0" borderId="11" pivotButton="0" quotePrefix="0" xfId="0"/>
    <xf numFmtId="0" fontId="5" fillId="3" borderId="23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pivotButton="0" quotePrefix="0" xfId="0"/>
    <xf numFmtId="0" fontId="5" fillId="3" borderId="3" applyAlignment="1" pivotButton="0" quotePrefix="0" xfId="0">
      <alignment horizontal="center" vertical="center"/>
    </xf>
    <xf numFmtId="0" fontId="8" fillId="3" borderId="9" applyAlignment="1" pivotButton="0" quotePrefix="0" xfId="0">
      <alignment horizontal="center" vertical="center"/>
    </xf>
    <xf numFmtId="0" fontId="0" fillId="0" borderId="9" pivotButton="0" quotePrefix="0" xfId="0"/>
    <xf numFmtId="0" fontId="10" fillId="3" borderId="0" applyAlignment="1" pivotButton="0" quotePrefix="0" xfId="0">
      <alignment horizontal="center"/>
    </xf>
    <xf numFmtId="0" fontId="8" fillId="3" borderId="0" applyAlignment="1" pivotButton="0" quotePrefix="0" xfId="0">
      <alignment horizontal="center" vertical="center"/>
    </xf>
    <xf numFmtId="0" fontId="5" fillId="3" borderId="0" applyAlignment="1" pivotButton="0" quotePrefix="0" xfId="0">
      <alignment horizontal="center" vertical="center"/>
    </xf>
    <xf numFmtId="0" fontId="10" fillId="3" borderId="23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 wrapText="1"/>
    </xf>
    <xf numFmtId="1" fontId="5" fillId="3" borderId="8" applyAlignment="1" pivotButton="0" quotePrefix="0" xfId="0">
      <alignment horizontal="center" vertical="center"/>
    </xf>
    <xf numFmtId="0" fontId="5" fillId="3" borderId="6" applyAlignment="1" pivotButton="0" quotePrefix="0" xfId="0">
      <alignment horizontal="center" vertical="center"/>
    </xf>
    <xf numFmtId="0" fontId="5" fillId="3" borderId="5" applyAlignment="1" pivotButton="0" quotePrefix="0" xfId="0">
      <alignment horizontal="center" vertical="center"/>
    </xf>
    <xf numFmtId="0" fontId="5" fillId="3" borderId="3" applyAlignment="1" pivotButton="0" quotePrefix="1" xfId="0">
      <alignment horizontal="center" vertical="center"/>
    </xf>
    <xf numFmtId="0" fontId="8" fillId="3" borderId="2" applyAlignment="1" pivotButton="0" quotePrefix="0" xfId="0">
      <alignment horizontal="center" vertical="center"/>
    </xf>
    <xf numFmtId="0" fontId="10" fillId="3" borderId="7" applyAlignment="1" pivotButton="0" quotePrefix="0" xfId="0">
      <alignment horizontal="center" vertical="center"/>
    </xf>
    <xf numFmtId="1" fontId="5" fillId="3" borderId="9" applyAlignment="1" pivotButton="0" quotePrefix="0" xfId="0">
      <alignment horizontal="center" vertical="center" wrapText="1"/>
    </xf>
    <xf numFmtId="0" fontId="0" fillId="0" borderId="14" pivotButton="0" quotePrefix="0" xfId="0"/>
    <xf numFmtId="164" fontId="14" fillId="3" borderId="15" applyAlignment="1" pivotButton="0" quotePrefix="0" xfId="0">
      <alignment horizontal="center" vertical="center"/>
    </xf>
    <xf numFmtId="164" fontId="14" fillId="3" borderId="22" applyAlignment="1" pivotButton="0" quotePrefix="0" xfId="0">
      <alignment horizontal="center" vertical="center"/>
    </xf>
    <xf numFmtId="164" fontId="14" fillId="3" borderId="0" applyAlignment="1" pivotButton="0" quotePrefix="0" xfId="0">
      <alignment horizontal="center" vertical="center"/>
    </xf>
    <xf numFmtId="164" fontId="14" fillId="3" borderId="20" applyAlignment="1" pivotButton="0" quotePrefix="0" xfId="0">
      <alignment horizontal="center" vertical="center"/>
    </xf>
    <xf numFmtId="164" fontId="20" fillId="3" borderId="8" applyAlignment="1" pivotButton="0" quotePrefix="0" xfId="0">
      <alignment horizontal="center" vertical="center"/>
    </xf>
    <xf numFmtId="164" fontId="20" fillId="3" borderId="21" applyAlignment="1" pivotButton="0" quotePrefix="0" xfId="0">
      <alignment horizontal="center" vertical="center"/>
    </xf>
    <xf numFmtId="164" fontId="20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/>
    </xf>
    <xf numFmtId="166" fontId="0" fillId="0" borderId="0" pivotButton="0" quotePrefix="0" xfId="0"/>
    <xf numFmtId="166" fontId="0" fillId="0" borderId="10" applyAlignment="1" pivotButton="0" quotePrefix="0" xfId="0">
      <alignment horizontal="center" vertical="center"/>
    </xf>
    <xf numFmtId="165" fontId="19" fillId="0" borderId="5" applyAlignment="1" pivotButton="0" quotePrefix="0" xfId="0">
      <alignment horizontal="center" vertical="center"/>
    </xf>
    <xf numFmtId="165" fontId="19" fillId="0" borderId="0" applyAlignment="1" pivotButton="0" quotePrefix="0" xfId="0">
      <alignment vertical="center"/>
    </xf>
    <xf numFmtId="165" fontId="19" fillId="0" borderId="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19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0" applyAlignment="1" pivotButton="0" quotePrefix="0" xfId="0">
      <alignment horizontal="center" vertical="center"/>
    </xf>
    <xf numFmtId="167" fontId="5" fillId="3" borderId="0" pivotButton="0" quotePrefix="0" xfId="0"/>
    <xf numFmtId="168" fontId="5" fillId="3" borderId="0" pivotButton="0" quotePrefix="0" xfId="0"/>
    <xf numFmtId="168" fontId="5" fillId="3" borderId="0" applyAlignment="1" pivotButton="0" quotePrefix="0" xfId="0">
      <alignment vertical="center"/>
    </xf>
    <xf numFmtId="167" fontId="5" fillId="3" borderId="1" applyAlignment="1" pivotButton="0" quotePrefix="0" xfId="0">
      <alignment horizontal="center" vertical="center"/>
    </xf>
    <xf numFmtId="168" fontId="5" fillId="3" borderId="1" applyAlignment="1" pivotButton="0" quotePrefix="0" xfId="0">
      <alignment horizontal="center" vertical="center"/>
    </xf>
    <xf numFmtId="167" fontId="5" fillId="3" borderId="13" applyAlignment="1" pivotButton="0" quotePrefix="0" xfId="0">
      <alignment horizontal="center" vertical="center"/>
    </xf>
    <xf numFmtId="168" fontId="5" fillId="3" borderId="13" applyAlignment="1" pivotButton="0" quotePrefix="0" xfId="0">
      <alignment horizontal="center" vertical="center"/>
    </xf>
    <xf numFmtId="168" fontId="5" fillId="5" borderId="0" applyAlignment="1" pivotButton="0" quotePrefix="0" xfId="0">
      <alignment horizontal="center" vertical="center"/>
    </xf>
    <xf numFmtId="165" fontId="7" fillId="3" borderId="7" applyAlignment="1" pivotButton="0" quotePrefix="0" xfId="0">
      <alignment horizontal="center" vertical="center"/>
    </xf>
    <xf numFmtId="165" fontId="7" fillId="3" borderId="1" applyAlignment="1" pivotButton="0" quotePrefix="0" xfId="0">
      <alignment horizontal="center" vertical="center"/>
    </xf>
    <xf numFmtId="165" fontId="7" fillId="3" borderId="2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 vertical="center"/>
    </xf>
    <xf numFmtId="165" fontId="7" fillId="3" borderId="0" applyAlignment="1" pivotButton="0" quotePrefix="0" xfId="0">
      <alignment horizontal="center"/>
    </xf>
    <xf numFmtId="165" fontId="7" fillId="5" borderId="11" applyAlignment="1" pivotButton="0" quotePrefix="0" xfId="0">
      <alignment horizontal="center" vertical="center"/>
    </xf>
    <xf numFmtId="165" fontId="7" fillId="5" borderId="0" applyAlignment="1" pivotButton="0" quotePrefix="0" xfId="0">
      <alignment horizontal="center" vertical="center"/>
    </xf>
    <xf numFmtId="167" fontId="5" fillId="5" borderId="8" applyAlignment="1" pivotButton="0" quotePrefix="0" xfId="0">
      <alignment horizontal="center" vertical="center"/>
    </xf>
    <xf numFmtId="168" fontId="5" fillId="5" borderId="8" applyAlignment="1" pivotButton="0" quotePrefix="0" xfId="0">
      <alignment horizontal="center" vertical="center"/>
    </xf>
    <xf numFmtId="167" fontId="5" fillId="3" borderId="0" applyAlignment="1" pivotButton="0" quotePrefix="0" xfId="0">
      <alignment horizontal="center" vertical="center"/>
    </xf>
    <xf numFmtId="168" fontId="5" fillId="3" borderId="0" applyAlignment="1" pivotButton="0" quotePrefix="0" xfId="0">
      <alignment horizontal="center" vertical="center"/>
    </xf>
    <xf numFmtId="167" fontId="5" fillId="3" borderId="1" applyAlignment="1" pivotButton="0" quotePrefix="0" xfId="0">
      <alignment horizontal="center"/>
    </xf>
    <xf numFmtId="168" fontId="5" fillId="3" borderId="1" pivotButton="0" quotePrefix="0" xfId="0"/>
    <xf numFmtId="168" fontId="5" fillId="5" borderId="1" applyAlignment="1" pivotButton="0" quotePrefix="0" xfId="0">
      <alignment horizontal="center" vertical="center"/>
    </xf>
    <xf numFmtId="168" fontId="5" fillId="5" borderId="13" applyAlignment="1" pivotButton="0" quotePrefix="0" xfId="0">
      <alignment horizontal="center" vertical="center"/>
    </xf>
    <xf numFmtId="169" fontId="5" fillId="3" borderId="1" applyAlignment="1" pivotButton="0" quotePrefix="0" xfId="0">
      <alignment horizontal="center" vertical="center"/>
    </xf>
    <xf numFmtId="169" fontId="5" fillId="3" borderId="13" applyAlignment="1" pivotButton="0" quotePrefix="0" xfId="0">
      <alignment horizontal="center" vertical="center"/>
    </xf>
    <xf numFmtId="168" fontId="5" fillId="3" borderId="8" applyAlignment="1" pivotButton="0" quotePrefix="0" xfId="0">
      <alignment horizontal="center" vertical="center"/>
    </xf>
    <xf numFmtId="170" fontId="25" fillId="5" borderId="1" applyAlignment="1" pivotButton="0" quotePrefix="0" xfId="0">
      <alignment horizontal="center" vertical="center"/>
    </xf>
    <xf numFmtId="170" fontId="25" fillId="5" borderId="0" applyAlignment="1" pivotButton="0" quotePrefix="0" xfId="0">
      <alignment horizontal="center" vertical="center"/>
    </xf>
    <xf numFmtId="170" fontId="25" fillId="5" borderId="13" applyAlignment="1" pivotButton="0" quotePrefix="0" xfId="0">
      <alignment horizontal="center" vertical="center"/>
    </xf>
    <xf numFmtId="167" fontId="5" fillId="3" borderId="1" pivotButton="0" quotePrefix="0" xfId="0"/>
    <xf numFmtId="167" fontId="5" fillId="5" borderId="1" pivotButton="0" quotePrefix="0" xfId="0"/>
    <xf numFmtId="168" fontId="5" fillId="5" borderId="1" pivotButton="0" quotePrefix="0" xfId="0"/>
    <xf numFmtId="167" fontId="5" fillId="5" borderId="0" pivotButton="0" quotePrefix="0" xfId="0"/>
    <xf numFmtId="168" fontId="5" fillId="5" borderId="0" pivotButton="0" quotePrefix="0" xfId="0"/>
    <xf numFmtId="167" fontId="5" fillId="5" borderId="13" pivotButton="0" quotePrefix="0" xfId="0"/>
    <xf numFmtId="168" fontId="5" fillId="5" borderId="13" pivotButton="0" quotePrefix="0" xfId="0"/>
  </cellXfs>
  <cellStyles count="11">
    <cellStyle name="常规" xfId="0" builtinId="0"/>
    <cellStyle name="Comma 2" xfId="1"/>
    <cellStyle name="Percent 2" xfId="2"/>
    <cellStyle name="Comma 3" xfId="3"/>
    <cellStyle name="Percent 3" xfId="4"/>
    <cellStyle name="표준 2" xfId="5"/>
    <cellStyle name="Comma 3 2" xfId="6"/>
    <cellStyle name="Percent 3 2" xfId="7"/>
    <cellStyle name="百分比" xfId="8" builtinId="5"/>
    <cellStyle name="백분율 2" xfId="9"/>
    <cellStyle name="쉼표 2" xfId="10"/>
  </cellStyles>
  <dxfs count="19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styles" Target="styles.xml" Id="rId11" /><Relationship Type="http://schemas.openxmlformats.org/officeDocument/2006/relationships/theme" Target="theme/theme1.xml" Id="rId12" /><Relationship Type="http://schemas.microsoft.com/office/2006/relationships/vbaProject" Target="vbaProject.bin" Id="rId13" /></Relationships>
</file>

<file path=xl/charts/chart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'RGB-PSNR'!$L$18:$L$22</f>
              <numCache>
                <formatCode>0.00</formatCode>
                <ptCount val="5"/>
                <pt idx="0">
                  <v>27.22580046666667</v>
                </pt>
                <pt idx="1">
                  <v>30.71761493333334</v>
                </pt>
                <pt idx="2">
                  <v>35.10815586666667</v>
                </pt>
                <pt idx="3">
                  <v>37.60589593333334</v>
                </pt>
              </numCache>
            </numRef>
          </yVal>
          <smooth val="1"/>
        </ser>
        <ser>
          <idx val="1"/>
          <order val="1"/>
          <tx>
            <strRef>
              <f>'RGB-PSNR'!$M$17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1669355993329"/>
          <y val="0.0817635605991917"/>
          <w val="0.6502004032055226"/>
          <h val="0.7669856554309729"/>
        </manualLayout>
      </layout>
      <scatterChart>
        <scatterStyle val="smoothMarker"/>
        <varyColors val="0"/>
        <ser>
          <idx val="0"/>
          <order val="0"/>
          <tx>
            <strRef>
              <f>'RGB-PSNR'!$L$28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'RGB-PSNR'!$L$29:$L$33</f>
              <numCache>
                <formatCode>0.00</formatCode>
                <ptCount val="5"/>
                <pt idx="0">
                  <v>30.24627033333334</v>
                </pt>
                <pt idx="1">
                  <v>33.07267876190476</v>
                </pt>
                <pt idx="2">
                  <v>36.28160247619047</v>
                </pt>
                <pt idx="3">
                  <v>39.43645909523809</v>
                </pt>
              </numCache>
            </numRef>
          </yVal>
          <smooth val="1"/>
        </ser>
        <ser>
          <idx val="1"/>
          <order val="1"/>
          <tx>
            <strRef>
              <f>'RGB-PSNR'!$M$28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'RGB-PSNR'!$L$34:$L$35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'RGB-PSNR'!$M$34:$M$35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'RGB-PSNR'!$L$40:$L$44</f>
              <numCache>
                <formatCode>0.00</formatCode>
                <ptCount val="5"/>
                <pt idx="0">
                  <v>30.21409319047619</v>
                </pt>
                <pt idx="1">
                  <v>32.99957871428573</v>
                </pt>
                <pt idx="2">
                  <v>36.24834299999999</v>
                </pt>
                <pt idx="3">
                  <v>39.02817485714286</v>
                </pt>
              </numCache>
            </numRef>
          </yVal>
          <smooth val="1"/>
        </ser>
        <ser>
          <idx val="1"/>
          <order val="1"/>
          <tx>
            <strRef>
              <f>'RGB-PSNR'!$M$39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'RGB-PSNR'!$M$45:$M$46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'RGB-PSNR'!$L$72</f>
              <strCache>
                <ptCount val="1"/>
                <pt idx="0">
                  <v>MPEG-151 0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'RGB-PSNR'!$M$72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'RGB-PSNR'!$M$83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'RGB-PSNR'!$M$94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'RGB-PSNR'!$M$105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'RGB-PSNR'!$L$7:$L$11</f>
              <numCache>
                <formatCode>0.00</formatCode>
                <ptCount val="5"/>
                <pt idx="0">
                  <v>27.2627336</v>
                </pt>
                <pt idx="1">
                  <v>30.5955504</v>
                </pt>
                <pt idx="2">
                  <v>35.17838400000001</v>
                </pt>
                <pt idx="3">
                  <v>37.84750626666666</v>
                </pt>
              </numCache>
            </numRef>
          </yVal>
          <smooth val="1"/>
        </ser>
        <ser>
          <idx val="1"/>
          <order val="1"/>
          <tx>
            <strRef>
              <f>'RGB-PSNR'!$M$6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'RGB-PSNR'!$M$7:$M$11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'YUV-PSNR'!$L$18:$L$22</f>
              <numCache>
                <formatCode>0.00</formatCode>
                <ptCount val="5"/>
                <pt idx="0">
                  <v>32.32119686666667</v>
                </pt>
                <pt idx="1">
                  <v>35.23271560000001</v>
                </pt>
                <pt idx="2">
                  <v>39.21084226666667</v>
                </pt>
                <pt idx="3">
                  <v>41.687571</v>
                </pt>
              </numCache>
            </numRef>
          </yVal>
          <smooth val="1"/>
        </ser>
        <ser>
          <idx val="1"/>
          <order val="1"/>
          <tx>
            <strRef>
              <f>'YUV-PSNR'!$M$17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87758535750952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'YUV-PSNR'!$L$29:$L$33</f>
              <numCache>
                <formatCode>0.00</formatCode>
                <ptCount val="5"/>
                <pt idx="0">
                  <v>33.86259985714285</v>
                </pt>
                <pt idx="1">
                  <v>36.6321952857143</v>
                </pt>
                <pt idx="2">
                  <v>40.25141447619048</v>
                </pt>
                <pt idx="3">
                  <v>43.58846976190476</v>
                </pt>
              </numCache>
            </numRef>
          </yVal>
          <smooth val="1"/>
        </ser>
        <ser>
          <idx val="1"/>
          <order val="1"/>
          <tx>
            <strRef>
              <f>'YUV-PSNR'!$M$28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7459913591304"/>
          <y val="0.2293899531949934"/>
          <w val="0.2007389202614408"/>
          <h val="0.4869281028288735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'YUV-PSNR'!$L$40:$L$44</f>
              <numCache>
                <formatCode>0.00</formatCode>
                <ptCount val="5"/>
                <pt idx="0">
                  <v>33.83205528571428</v>
                </pt>
                <pt idx="1">
                  <v>36.53183123809524</v>
                </pt>
                <pt idx="2">
                  <v>40.27649119047619</v>
                </pt>
                <pt idx="3">
                  <v>43.22999695238095</v>
                </pt>
              </numCache>
            </numRef>
          </yVal>
          <smooth val="1"/>
        </ser>
        <ser>
          <idx val="1"/>
          <order val="1"/>
          <tx>
            <strRef>
              <f>'YUV-PSNR'!$M$39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943700848801199"/>
          <h val="0.7679157798438693"/>
        </manualLayout>
      </layout>
      <scatterChart>
        <scatterStyle val="smoothMarker"/>
        <varyColors val="0"/>
        <ser>
          <idx val="0"/>
          <order val="0"/>
          <tx>
            <strRef>
              <f>'YUV-PSNR'!$L$50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10872838717861"/>
          <y val="0.256535681403199"/>
          <w val="0.2071115499809586"/>
          <h val="0.41227735025630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6920591006117557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layout>
        <manualLayout>
          <xMode val="edge"/>
          <yMode val="edge"/>
          <wMode val="factor"/>
          <hMode val="factor"/>
          <x val="0.782710021652507"/>
          <y val="0.2565360786840955"/>
          <w val="0.2054888122002376"/>
          <h val="0.4869278426318089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1268185758"/>
          <w val="0.7024743266559692"/>
          <h val="0.7679159038614244"/>
        </manualLayout>
      </layout>
      <scatterChart>
        <scatterStyle val="smoothMarker"/>
        <varyColors val="0"/>
        <ser>
          <idx val="0"/>
          <order val="0"/>
          <tx>
            <strRef>
              <f>'YUV-PSNR'!$L$83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'YUV-PSNR'!$L$94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'YUV-PSNR'!$D$95:$D$99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'YUV-PSNR'!$L$95:$L$99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9.xml><?xml version="1.0" encoding="utf-8"?>
<chartSpace xmlns:a="http://schemas.openxmlformats.org/drawingml/2006/main" xmlns="http://schemas.openxmlformats.org/drawingml/2006/chart">
  <chart>
    <plotArea>
      <layout>
        <manualLayout>
          <layoutTarget val="inner"/>
          <xMode val="edge"/>
          <yMode val="edge"/>
          <wMode val="factor"/>
          <hMode val="factor"/>
          <x val="0.04714395517787006"/>
          <y val="0.0746507525725654"/>
          <w val="0.6876235966949921"/>
          <h val="0.7679157798438693"/>
        </manualLayout>
      </layout>
      <scatterChart>
        <scatterStyle val="smoothMarker"/>
        <varyColors val="0"/>
        <ser>
          <idx val="1"/>
          <order val="0"/>
          <tx>
            <strRef>
              <f>'YUV-PSNR'!$M$105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layout>
        <manualLayout>
          <xMode val="edge"/>
          <yMode val="edge"/>
          <wMode val="factor"/>
          <hMode val="factor"/>
          <x val="0.7895249627961268"/>
          <y val="0.2798644423556721"/>
          <w val="0.1986738710566179"/>
          <h val="0.3724062604034133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'YUV-PSNR'!$L$7:$L$11</f>
              <numCache>
                <formatCode>0.00</formatCode>
                <ptCount val="5"/>
                <pt idx="0">
                  <v>32.4693168</v>
                </pt>
                <pt idx="1">
                  <v>35.24310213333333</v>
                </pt>
                <pt idx="2">
                  <v>39.28737146666667</v>
                </pt>
                <pt idx="3">
                  <v>41.92952173333333</v>
                </pt>
              </numCache>
            </numRef>
          </yVal>
          <smooth val="1"/>
        </ser>
        <ser>
          <idx val="1"/>
          <order val="1"/>
          <tx>
            <strRef>
              <f>'YUV-PSNR'!$M$6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'YUV-SSIM'!$L$18:$L$22</f>
              <numCache>
                <formatCode>0.00</formatCode>
                <ptCount val="5"/>
                <pt idx="0">
                  <v>0.9570006686666664</v>
                </pt>
                <pt idx="1">
                  <v>0.9749254726666667</v>
                </pt>
                <pt idx="2">
                  <v>0.9875746533333333</v>
                </pt>
                <pt idx="3">
                  <v>0.9919336393333335</v>
                </pt>
              </numCache>
            </numRef>
          </yVal>
          <smooth val="1"/>
        </ser>
        <ser>
          <idx val="1"/>
          <order val="1"/>
          <tx>
            <strRef>
              <f>'YUV-SSIM'!$M$17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'YUV-SSIM'!$L$29:$L$33</f>
              <numCache>
                <formatCode>0.00</formatCode>
                <ptCount val="5"/>
                <pt idx="0">
                  <v>0.9668438228571427</v>
                </pt>
                <pt idx="1">
                  <v>0.9800011423809526</v>
                </pt>
                <pt idx="2">
                  <v>0.9890334033333332</v>
                </pt>
                <pt idx="3">
                  <v>0.9937517323809524</v>
                </pt>
              </numCache>
            </numRef>
          </yVal>
          <smooth val="1"/>
        </ser>
        <ser>
          <idx val="1"/>
          <order val="1"/>
          <tx>
            <strRef>
              <f>'YUV-SSIM'!$M$28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'YUV-SSIM'!$L$40:$L$44</f>
              <numCache>
                <formatCode>0.00</formatCode>
                <ptCount val="5"/>
                <pt idx="0">
                  <v>0.9658294247619048</v>
                </pt>
                <pt idx="1">
                  <v>0.9790126252380953</v>
                </pt>
                <pt idx="2">
                  <v>0.9886870985714287</v>
                </pt>
                <pt idx="3">
                  <v>0.9934439380952381</v>
                </pt>
              </numCache>
            </numRef>
          </yVal>
          <smooth val="1"/>
        </ser>
        <ser>
          <idx val="1"/>
          <order val="1"/>
          <tx>
            <strRef>
              <f>'YUV-SSIM'!$M$39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'YUV-SSIM'!$M$105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'YUV-SSIM'!$L$7:$L$11</f>
              <numCache>
                <formatCode>0.00</formatCode>
                <ptCount val="5"/>
                <pt idx="0">
                  <v>0.9583451673333332</v>
                </pt>
                <pt idx="1">
                  <v>0.9757281966666667</v>
                </pt>
                <pt idx="2">
                  <v>0.9881094553333332</v>
                </pt>
                <pt idx="3">
                  <v>0.9924133746666667</v>
                </pt>
              </numCache>
            </numRef>
          </yVal>
          <smooth val="1"/>
        </ser>
        <ser>
          <idx val="1"/>
          <order val="1"/>
          <tx>
            <strRef>
              <f>'YUV-SSIM'!$M$6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'YUV-IVSSIM'!$L$18:$L$22</f>
              <numCache>
                <formatCode>0.00</formatCode>
                <ptCount val="5"/>
                <pt idx="0">
                  <v>0.9539593673333334</v>
                </pt>
                <pt idx="1">
                  <v>0.9722375646666667</v>
                </pt>
                <pt idx="2">
                  <v>0.9900518986666664</v>
                </pt>
                <pt idx="3">
                  <v>0.9951577339999998</v>
                </pt>
              </numCache>
            </numRef>
          </yVal>
          <smooth val="1"/>
        </ser>
        <ser>
          <idx val="1"/>
          <order val="1"/>
          <tx>
            <strRef>
              <f>'YUV-IVSSIM'!$M$17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'YUV-IVSSIM'!$L$29:$L$33</f>
              <numCache>
                <formatCode>0.00</formatCode>
                <ptCount val="5"/>
                <pt idx="0">
                  <v>0.9732736104761903</v>
                </pt>
                <pt idx="1">
                  <v>0.9842615528571427</v>
                </pt>
                <pt idx="2">
                  <v>0.9922808152380951</v>
                </pt>
                <pt idx="3">
                  <v>0.9959444971428573</v>
                </pt>
              </numCache>
            </numRef>
          </yVal>
          <smooth val="1"/>
        </ser>
        <ser>
          <idx val="1"/>
          <order val="1"/>
          <tx>
            <strRef>
              <f>'YUV-IVSSIM'!$M$28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'YUV-IVSSIM'!$L$34:$L$35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'YUV-IVSSIM'!$M$34:$M$35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'YUV-IVSSIM'!$L$40:$L$44</f>
              <numCache>
                <formatCode>0.00</formatCode>
                <ptCount val="5"/>
                <pt idx="0">
                  <v>0.9725471133333331</v>
                </pt>
                <pt idx="1">
                  <v>0.9837646823809524</v>
                </pt>
                <pt idx="2">
                  <v>0.9921045704761905</v>
                </pt>
                <pt idx="3">
                  <v>0.9957808985714285</v>
                </pt>
              </numCache>
            </numRef>
          </yVal>
          <smooth val="1"/>
        </ser>
        <ser>
          <idx val="1"/>
          <order val="1"/>
          <tx>
            <strRef>
              <f>'YUV-IVSSIM'!$M$39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'YUV-IVSSIM'!$L$45:$L$46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'YUV-IVSSIM'!$M$45:$M$46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'YUV-IVSSIM'!$L$83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'YUV-IVSSIM'!$M$105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'YUV-IVSSIM'!$L$7:$L$11</f>
              <numCache>
                <formatCode>0.00</formatCode>
                <ptCount val="5"/>
                <pt idx="0">
                  <v>0.9545635379999999</v>
                </pt>
                <pt idx="1">
                  <v>0.9725859333333334</v>
                </pt>
                <pt idx="2">
                  <v>0.9903826146666665</v>
                </pt>
                <pt idx="3">
                  <v>0.99521364</v>
                </pt>
              </numCache>
            </numRef>
          </yVal>
          <smooth val="1"/>
        </ser>
        <ser>
          <idx val="1"/>
          <order val="1"/>
          <tx>
            <strRef>
              <f>'YUV-IVSSIM'!$M$6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'YUV-IVSSIM'!$M$7:$M$11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.8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LPIPS!$L$17</f>
              <strCache>
                <ptCount val="1"/>
                <pt idx="0">
                  <v>MPEG-151 breakfast_semitrack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LPIPS!$D$18:$D$22</f>
              <numCache>
                <formatCode>0.000</formatCode>
                <ptCount val="5"/>
                <pt idx="0">
                  <v>37.945208</v>
                </pt>
                <pt idx="1">
                  <v>54.68156800000001</v>
                </pt>
                <pt idx="2">
                  <v>79.040792</v>
                </pt>
                <pt idx="3">
                  <v>112.144248</v>
                </pt>
              </numCache>
            </numRef>
          </xVal>
          <yVal>
            <numRef>
              <f>LPIPS!$L$18:$L$22</f>
              <numCache>
                <formatCode>0.00</formatCode>
                <ptCount val="5"/>
                <pt idx="0">
                  <v>0.06875882159999999</v>
                </pt>
                <pt idx="1">
                  <v>0.04251767653333333</v>
                </pt>
                <pt idx="2">
                  <v>0.024925761</v>
                </pt>
                <pt idx="3">
                  <v>0.01827497906666667</v>
                </pt>
              </numCache>
            </numRef>
          </yVal>
          <smooth val="1"/>
        </ser>
        <ser>
          <idx val="1"/>
          <order val="1"/>
          <tx>
            <strRef>
              <f>LPIPS!$M$17</f>
              <strCache>
                <ptCount val="1"/>
                <pt idx="0">
                  <v>my breakfast_semitrack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LPIPS!$L$28</f>
              <strCache>
                <ptCount val="1"/>
                <pt idx="0">
                  <v>MPEG-151 cinema_track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LPIPS!$D$29:$D$33</f>
              <numCache>
                <formatCode>0.000</formatCode>
                <ptCount val="5"/>
                <pt idx="0">
                  <v>27.457296</v>
                </pt>
                <pt idx="1">
                  <v>39.731792</v>
                </pt>
                <pt idx="2">
                  <v>59.551984</v>
                </pt>
                <pt idx="3">
                  <v>86.991584</v>
                </pt>
              </numCache>
            </numRef>
          </xVal>
          <yVal>
            <numRef>
              <f>LPIPS!$L$29:$L$33</f>
              <numCache>
                <formatCode>0.00</formatCode>
                <ptCount val="5"/>
                <pt idx="0">
                  <v>0.06407418242857144</v>
                </pt>
                <pt idx="1">
                  <v>0.04320026304761904</v>
                </pt>
                <pt idx="2">
                  <v>0.02722883133333334</v>
                </pt>
                <pt idx="3">
                  <v>0.014458101</v>
                </pt>
              </numCache>
            </numRef>
          </yVal>
          <smooth val="1"/>
        </ser>
        <ser>
          <idx val="1"/>
          <order val="1"/>
          <tx>
            <strRef>
              <f>LPIPS!$M$28</f>
              <strCache>
                <ptCount val="1"/>
                <pt idx="0">
                  <v>my cinema_track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LPIPS!$L$34:$L$35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LPIPS!$J$34:$J$35</f>
              <numCache>
                <formatCode>0.00</formatCode>
                <ptCount val="2"/>
                <pt idx="0">
                  <v>0</v>
                </pt>
                <pt idx="1">
                  <v>86.991584</v>
                </pt>
              </numCache>
            </numRef>
          </xVal>
          <yVal>
            <numRef>
              <f>LPIPS!$M$34:$M$35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LPIPS!$L$39</f>
              <strCache>
                <ptCount val="1"/>
                <pt idx="0">
                  <v>MPEG-151 cinema_semitrack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LPIPS!$D$40:$D$44</f>
              <numCache>
                <formatCode>0.000</formatCode>
                <ptCount val="5"/>
                <pt idx="0">
                  <v>28.316848</v>
                </pt>
                <pt idx="1">
                  <v>41.12648</v>
                </pt>
                <pt idx="2">
                  <v>61.86504</v>
                </pt>
                <pt idx="3">
                  <v>90.41676000000001</v>
                </pt>
              </numCache>
            </numRef>
          </xVal>
          <yVal>
            <numRef>
              <f>LPIPS!$L$40:$L$44</f>
              <numCache>
                <formatCode>0.00</formatCode>
                <ptCount val="5"/>
                <pt idx="0">
                  <v>0.06597339623809526</v>
                </pt>
                <pt idx="1">
                  <v>0.04448833447619048</v>
                </pt>
                <pt idx="2">
                  <v>0.02785036019047619</v>
                </pt>
                <pt idx="3">
                  <v>0.0156085845952381</v>
                </pt>
              </numCache>
            </numRef>
          </yVal>
          <smooth val="1"/>
        </ser>
        <ser>
          <idx val="1"/>
          <order val="1"/>
          <tx>
            <strRef>
              <f>LPIPS!$M$39</f>
              <strCache>
                <ptCount val="1"/>
                <pt idx="0">
                  <v>my cinema_semitrack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LPIPS!$L$45:$L$46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LPIPS!$J$45:$J$46</f>
              <numCache>
                <formatCode>0.00</formatCode>
                <ptCount val="2"/>
                <pt idx="0">
                  <v>0</v>
                </pt>
                <pt idx="1">
                  <v>90.41676000000001</v>
                </pt>
              </numCache>
            </numRef>
          </xVal>
          <yVal>
            <numRef>
              <f>LPIPS!$M$45:$M$46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LPIPS!$L$50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LPIPS!$M$50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LPIPS!$L$61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LPIPS!$M$61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LPIPS!$L$72</f>
              <strCache>
                <ptCount val="1"/>
                <pt idx="0">
                  <v>MPEG-151 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LPIPS!$M$72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LPIPS!$M$83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LPIPS!$M$94</f>
              <strCache>
                <ptCount val="1"/>
                <pt idx="0">
                  <v>my 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LPIPS!$M$100:$M$101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1"/>
          <order val="0"/>
          <tx>
            <strRef>
              <f>LPIPS!$M$105</f>
              <strCache>
                <ptCount val="1"/>
                <pt idx="0">
                  <v>my 0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LPIPS!$H$106:$H$110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LPIPS!$M$106:$M$110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1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2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  <max val="20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1"/>
        <delete val="1"/>
      </legendEntry>
      <legendEntry>
        <idx val="2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LPIPS!$L$6</f>
              <strCache>
                <ptCount val="1"/>
                <pt idx="0">
                  <v>MPEG-151 breakfast_track</v>
                </pt>
              </strCache>
            </strRef>
          </tx>
          <spPr>
            <a:ln>
              <a:solidFill>
                <a:schemeClr val="accent2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LPIPS!$D$7:$D$11</f>
              <numCache>
                <formatCode>0.000</formatCode>
                <ptCount val="5"/>
                <pt idx="0">
                  <v>37.033472</v>
                </pt>
                <pt idx="1">
                  <v>53.243408</v>
                </pt>
                <pt idx="2">
                  <v>76.77333600000001</v>
                </pt>
                <pt idx="3">
                  <v>108.862088</v>
                </pt>
              </numCache>
            </numRef>
          </xVal>
          <yVal>
            <numRef>
              <f>LPIPS!$L$7:$L$11</f>
              <numCache>
                <formatCode>0.00</formatCode>
                <ptCount val="5"/>
                <pt idx="0">
                  <v>0.06612499773333333</v>
                </pt>
                <pt idx="1">
                  <v>0.04102658380000001</v>
                </pt>
                <pt idx="2">
                  <v>0.0244386328</v>
                </pt>
                <pt idx="3">
                  <v>0.01744433573333333</v>
                </pt>
              </numCache>
            </numRef>
          </yVal>
          <smooth val="1"/>
        </ser>
        <ser>
          <idx val="1"/>
          <order val="1"/>
          <tx>
            <strRef>
              <f>LPIPS!$M$6</f>
              <strCache>
                <ptCount val="1"/>
                <pt idx="0">
                  <v>my breakfast_track</v>
                </pt>
              </strCache>
            </strRef>
          </tx>
          <spPr>
            <a:ln>
              <a:solidFill>
                <a:schemeClr val="accent3"/>
              </a:solidFill>
              <a:prstDash val="solid"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LPIPS!$H$7:$H$11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xVal>
          <yVal>
            <numRef>
              <f>LPIPS!$M$7:$M$11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LPIPS!$J$23:$J$24</f>
              <numCache>
                <formatCode>0.00</formatCode>
                <ptCount val="2"/>
                <pt idx="0">
                  <v>0</v>
                </pt>
                <pt idx="1">
                  <v>112.144248</v>
                </pt>
              </numCache>
            </numRef>
          </xVal>
          <yVal>
            <numRef>
              <f>LPIPS!$M$23:$M$24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lang="ja-JP"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lang="ja-JP"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1.xml" Id="rId1" /><Relationship Type="http://schemas.openxmlformats.org/officeDocument/2006/relationships/chart" Target="/xl/charts/chart12.xml" Id="rId2" /><Relationship Type="http://schemas.openxmlformats.org/officeDocument/2006/relationships/chart" Target="/xl/charts/chart13.xml" Id="rId3" /><Relationship Type="http://schemas.openxmlformats.org/officeDocument/2006/relationships/chart" Target="/xl/charts/chart14.xml" Id="rId4" /><Relationship Type="http://schemas.openxmlformats.org/officeDocument/2006/relationships/chart" Target="/xl/charts/chart15.xml" Id="rId5" /><Relationship Type="http://schemas.openxmlformats.org/officeDocument/2006/relationships/chart" Target="/xl/charts/chart16.xml" Id="rId6" /><Relationship Type="http://schemas.openxmlformats.org/officeDocument/2006/relationships/chart" Target="/xl/charts/chart17.xml" Id="rId7" /><Relationship Type="http://schemas.openxmlformats.org/officeDocument/2006/relationships/chart" Target="/xl/charts/chart18.xml" Id="rId8" /><Relationship Type="http://schemas.openxmlformats.org/officeDocument/2006/relationships/chart" Target="/xl/charts/chart19.xml" Id="rId9" /><Relationship Type="http://schemas.openxmlformats.org/officeDocument/2006/relationships/chart" Target="/xl/charts/chart20.xml" Id="rId10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21.xml" Id="rId1" /><Relationship Type="http://schemas.openxmlformats.org/officeDocument/2006/relationships/chart" Target="/xl/charts/chart22.xml" Id="rId2" /><Relationship Type="http://schemas.openxmlformats.org/officeDocument/2006/relationships/chart" Target="/xl/charts/chart23.xml" Id="rId3" /><Relationship Type="http://schemas.openxmlformats.org/officeDocument/2006/relationships/chart" Target="/xl/charts/chart24.xml" Id="rId4" /><Relationship Type="http://schemas.openxmlformats.org/officeDocument/2006/relationships/chart" Target="/xl/charts/chart25.xml" Id="rId5" /><Relationship Type="http://schemas.openxmlformats.org/officeDocument/2006/relationships/chart" Target="/xl/charts/chart26.xml" Id="rId6" /><Relationship Type="http://schemas.openxmlformats.org/officeDocument/2006/relationships/chart" Target="/xl/charts/chart27.xml" Id="rId7" /><Relationship Type="http://schemas.openxmlformats.org/officeDocument/2006/relationships/chart" Target="/xl/charts/chart28.xml" Id="rId8" /><Relationship Type="http://schemas.openxmlformats.org/officeDocument/2006/relationships/chart" Target="/xl/charts/chart29.xml" Id="rId9" /><Relationship Type="http://schemas.openxmlformats.org/officeDocument/2006/relationships/chart" Target="/xl/charts/chart30.xml" Id="rId10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31.xml" Id="rId1" /><Relationship Type="http://schemas.openxmlformats.org/officeDocument/2006/relationships/chart" Target="/xl/charts/chart32.xml" Id="rId2" /><Relationship Type="http://schemas.openxmlformats.org/officeDocument/2006/relationships/chart" Target="/xl/charts/chart33.xml" Id="rId3" /><Relationship Type="http://schemas.openxmlformats.org/officeDocument/2006/relationships/chart" Target="/xl/charts/chart34.xml" Id="rId4" /><Relationship Type="http://schemas.openxmlformats.org/officeDocument/2006/relationships/chart" Target="/xl/charts/chart35.xml" Id="rId5" /><Relationship Type="http://schemas.openxmlformats.org/officeDocument/2006/relationships/chart" Target="/xl/charts/chart36.xml" Id="rId6" /><Relationship Type="http://schemas.openxmlformats.org/officeDocument/2006/relationships/chart" Target="/xl/charts/chart37.xml" Id="rId7" /><Relationship Type="http://schemas.openxmlformats.org/officeDocument/2006/relationships/chart" Target="/xl/charts/chart38.xml" Id="rId8" /><Relationship Type="http://schemas.openxmlformats.org/officeDocument/2006/relationships/chart" Target="/xl/charts/chart39.xml" Id="rId9" /><Relationship Type="http://schemas.openxmlformats.org/officeDocument/2006/relationships/chart" Target="/xl/charts/chart40.xml" Id="rId10" /><Relationship Type="http://schemas.openxmlformats.org/officeDocument/2006/relationships/chart" Target="/xl/charts/chart41.xml" Id="rId11" /></Relationships>
</file>

<file path=xl/drawings/_rels/drawing5.xml.rels><Relationships xmlns="http://schemas.openxmlformats.org/package/2006/relationships"><Relationship Type="http://schemas.openxmlformats.org/officeDocument/2006/relationships/chart" Target="/xl/charts/chart42.xml" Id="rId1" /><Relationship Type="http://schemas.openxmlformats.org/officeDocument/2006/relationships/chart" Target="/xl/charts/chart43.xml" Id="rId2" /><Relationship Type="http://schemas.openxmlformats.org/officeDocument/2006/relationships/chart" Target="/xl/charts/chart44.xml" Id="rId3" /><Relationship Type="http://schemas.openxmlformats.org/officeDocument/2006/relationships/chart" Target="/xl/charts/chart45.xml" Id="rId4" /><Relationship Type="http://schemas.openxmlformats.org/officeDocument/2006/relationships/chart" Target="/xl/charts/chart46.xml" Id="rId5" /><Relationship Type="http://schemas.openxmlformats.org/officeDocument/2006/relationships/chart" Target="/xl/charts/chart47.xml" Id="rId6" /><Relationship Type="http://schemas.openxmlformats.org/officeDocument/2006/relationships/chart" Target="/xl/charts/chart48.xml" Id="rId7" /><Relationship Type="http://schemas.openxmlformats.org/officeDocument/2006/relationships/chart" Target="/xl/charts/chart49.xml" Id="rId8" /><Relationship Type="http://schemas.openxmlformats.org/officeDocument/2006/relationships/chart" Target="/xl/charts/chart50.xml" Id="rId9" /><Relationship Type="http://schemas.openxmlformats.org/officeDocument/2006/relationships/chart" Target="/xl/charts/chart51.xml" Id="rId10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drawings/drawing5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102</row>
      <rowOff>0</rowOff>
    </from>
    <to>
      <col>18</col>
      <colOff>13607</colOff>
      <row>111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17</col>
      <colOff>0</colOff>
      <row>3</row>
      <rowOff>0</rowOff>
    </from>
    <to>
      <col>18</col>
      <colOff>13607</colOff>
      <row>12</row>
      <rowOff>190499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_rels/sheet6.xml.rels><Relationships xmlns="http://schemas.openxmlformats.org/package/2006/relationships"><Relationship Type="http://schemas.openxmlformats.org/officeDocument/2006/relationships/drawing" Target="/xl/drawings/drawing5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I23"/>
  <sheetViews>
    <sheetView workbookViewId="0">
      <selection activeCell="C3" sqref="C3:H3"/>
    </sheetView>
  </sheetViews>
  <sheetFormatPr baseColWidth="8" defaultColWidth="8.59765625" defaultRowHeight="14.4" outlineLevelCol="0"/>
  <cols>
    <col width="1.59765625" bestFit="1" customWidth="1" style="275" min="1" max="1"/>
    <col width="30.69921875" customWidth="1" style="275" min="2" max="2"/>
    <col hidden="1" width="9.59765625" customWidth="1" style="275" min="3" max="3"/>
    <col width="9.59765625" bestFit="1" customWidth="1" style="275" min="4" max="5"/>
    <col width="8.19921875" customWidth="1" style="275" min="6" max="6"/>
    <col width="9.69921875" customWidth="1" style="275" min="7" max="7"/>
    <col width="7.09765625" customWidth="1" style="275" min="8" max="8"/>
    <col width="7.19921875" customWidth="1" style="275" min="9" max="9"/>
    <col width="8.59765625" customWidth="1" style="275" min="10" max="10"/>
    <col width="8.59765625" customWidth="1" style="275" min="11" max="16384"/>
  </cols>
  <sheetData>
    <row r="1">
      <c r="A1" s="173" t="inlineStr"/>
      <c r="B1" s="168" t="n"/>
      <c r="C1" s="168" t="n"/>
      <c r="D1" s="173" t="inlineStr"/>
      <c r="E1" s="173" t="inlineStr"/>
      <c r="F1" s="173" t="n"/>
      <c r="G1" s="173" t="n"/>
      <c r="H1" s="173" t="n"/>
      <c r="I1" s="173" t="inlineStr"/>
    </row>
    <row r="2">
      <c r="A2" s="168" t="n"/>
      <c r="B2" s="5" t="n"/>
      <c r="C2" s="150" t="n"/>
      <c r="D2" s="168" t="n"/>
      <c r="E2" s="168" t="n"/>
      <c r="F2" s="168" t="n"/>
      <c r="G2" s="168" t="n"/>
      <c r="H2" s="168" t="n"/>
      <c r="I2" s="168" t="n"/>
    </row>
    <row r="3">
      <c r="A3" s="168" t="n"/>
      <c r="B3" s="5" t="inlineStr">
        <is>
          <t>Anchor</t>
        </is>
      </c>
      <c r="C3" s="274" t="inlineStr">
        <is>
          <t>MPEG-151</t>
        </is>
      </c>
      <c r="I3" s="168" t="n"/>
    </row>
    <row r="4">
      <c r="A4" s="168" t="n"/>
      <c r="B4" s="5" t="inlineStr">
        <is>
          <t>Proposal</t>
        </is>
      </c>
      <c r="C4" s="274" t="inlineStr">
        <is>
          <t>my</t>
        </is>
      </c>
      <c r="I4" s="168" t="n"/>
    </row>
    <row r="5">
      <c r="A5" s="168" t="n"/>
      <c r="B5" s="5" t="n"/>
      <c r="C5" s="150" t="n"/>
      <c r="D5" s="168" t="n"/>
      <c r="E5" s="168" t="n"/>
      <c r="F5" s="168" t="n"/>
      <c r="G5" s="168" t="n"/>
      <c r="H5" s="168" t="n"/>
      <c r="I5" s="168" t="n"/>
    </row>
    <row r="6">
      <c r="A6" s="168" t="n"/>
      <c r="B6" s="2" t="n"/>
      <c r="C6" s="2" t="n"/>
      <c r="D6" s="168" t="n"/>
      <c r="E6" s="168" t="n"/>
      <c r="F6" s="168" t="n"/>
      <c r="G6" s="168" t="n"/>
      <c r="H6" s="168" t="n"/>
      <c r="I6" s="168" t="n"/>
    </row>
    <row r="7" ht="16.5" customFormat="1" customHeight="1" s="16" thickBot="1">
      <c r="A7" s="174" t="n"/>
      <c r="B7" s="276" t="n"/>
      <c r="C7" s="277" t="n"/>
      <c r="D7" s="277" t="n"/>
      <c r="E7" s="277" t="n"/>
      <c r="F7" s="277" t="n"/>
      <c r="G7" s="277" t="n"/>
      <c r="H7" s="277" t="n"/>
      <c r="I7" s="174" t="n"/>
    </row>
    <row r="8" ht="30" customHeight="1" s="279" thickBot="1">
      <c r="A8" s="168" t="n"/>
      <c r="B8" s="272" t="inlineStr">
        <is>
          <t>Sequence</t>
        </is>
      </c>
      <c r="C8" s="18" t="n"/>
      <c r="D8" s="19" t="inlineStr">
        <is>
          <t>BD-rate
RGB-PSNR</t>
        </is>
      </c>
      <c r="E8" s="19" t="inlineStr">
        <is>
          <t>BD-rate
YUV-PSNR</t>
        </is>
      </c>
      <c r="F8" s="19" t="inlineStr">
        <is>
          <t>BD-rate
YUV-SSIM</t>
        </is>
      </c>
      <c r="G8" s="19" t="inlineStr">
        <is>
          <t>BD-rate
YUV-IVSSIM</t>
        </is>
      </c>
      <c r="H8" s="198" t="inlineStr">
        <is>
          <t>BD-rate
LPIPS</t>
        </is>
      </c>
      <c r="I8" s="14" t="n"/>
    </row>
    <row r="9" ht="15.75" customHeight="1" s="279">
      <c r="A9" s="168" t="n"/>
      <c r="B9" s="175">
        <f>INDIRECT(C9&amp;"!B2")</f>
        <v/>
      </c>
      <c r="C9" s="196" t="inlineStr">
        <is>
          <t>breakfast_track</t>
        </is>
      </c>
      <c r="D9" s="312">
        <f>INDIRECT($C9&amp;"!AM$5")</f>
        <v/>
      </c>
      <c r="E9" s="312">
        <f>INDIRECT($C9&amp;"!AN$5")</f>
        <v/>
      </c>
      <c r="F9" s="312">
        <f>INDIRECT($C9&amp;"!AO$5")</f>
        <v/>
      </c>
      <c r="G9" s="312">
        <f>INDIRECT($C9&amp;"!AP$5")</f>
        <v/>
      </c>
      <c r="H9" s="313">
        <f>INDIRECT($C9&amp;"!AQ$5")</f>
        <v/>
      </c>
      <c r="I9" s="314" t="n"/>
    </row>
    <row r="10" ht="15.75" customHeight="1" s="279">
      <c r="A10" s="168" t="n"/>
      <c r="B10" s="175">
        <f>INDIRECT(C10&amp;"!B2")</f>
        <v/>
      </c>
      <c r="C10" s="196" t="inlineStr">
        <is>
          <t>breakfast_semitrack</t>
        </is>
      </c>
      <c r="D10" s="312">
        <f>INDIRECT($C10&amp;"!AM$5")</f>
        <v/>
      </c>
      <c r="E10" s="312">
        <f>INDIRECT($C10&amp;"!AN$5")</f>
        <v/>
      </c>
      <c r="F10" s="312">
        <f>INDIRECT($C10&amp;"!AO$5")</f>
        <v/>
      </c>
      <c r="G10" s="312">
        <f>INDIRECT($C10&amp;"!AP$5")</f>
        <v/>
      </c>
      <c r="H10" s="315">
        <f>INDIRECT($C10&amp;"!AQ$5")</f>
        <v/>
      </c>
      <c r="I10" s="314" t="n"/>
    </row>
    <row r="11" ht="15.75" customHeight="1" s="279">
      <c r="A11" s="168" t="n"/>
      <c r="B11" s="175">
        <f>INDIRECT(C11&amp;"!B2")</f>
        <v/>
      </c>
      <c r="C11" s="196" t="inlineStr">
        <is>
          <t>cinema_track</t>
        </is>
      </c>
      <c r="D11" s="312">
        <f>INDIRECT($C11&amp;"!AM$5")</f>
        <v/>
      </c>
      <c r="E11" s="312">
        <f>INDIRECT($C11&amp;"!AN$5")</f>
        <v/>
      </c>
      <c r="F11" s="312">
        <f>INDIRECT($C11&amp;"!AO$5")</f>
        <v/>
      </c>
      <c r="G11" s="312">
        <f>INDIRECT($C11&amp;"!AP$5")</f>
        <v/>
      </c>
      <c r="H11" s="315">
        <f>INDIRECT($C11&amp;"!AQ$5")</f>
        <v/>
      </c>
      <c r="I11" s="314" t="n"/>
    </row>
    <row r="12" ht="15.75" customHeight="1" s="279">
      <c r="A12" s="168" t="n"/>
      <c r="B12" s="175">
        <f>INDIRECT(C12&amp;"!B2")</f>
        <v/>
      </c>
      <c r="C12" s="197" t="inlineStr">
        <is>
          <t>cinema_semitrack</t>
        </is>
      </c>
      <c r="D12" s="312">
        <f>INDIRECT($C12&amp;"!AM$5")</f>
        <v/>
      </c>
      <c r="E12" s="312">
        <f>INDIRECT($C12&amp;"!AN$5")</f>
        <v/>
      </c>
      <c r="F12" s="312">
        <f>INDIRECT($C12&amp;"!AO$5")</f>
        <v/>
      </c>
      <c r="G12" s="312">
        <f>INDIRECT($C12&amp;"!AP$5")</f>
        <v/>
      </c>
      <c r="H12" s="315">
        <f>INDIRECT($C12&amp;"!AQ$5")</f>
        <v/>
      </c>
      <c r="I12" s="314" t="n"/>
    </row>
    <row r="13" ht="15.75" customHeight="1" s="279">
      <c r="A13" s="168" t="n"/>
      <c r="B13" s="175">
        <f>INDIRECT(C13&amp;"!B2")</f>
        <v/>
      </c>
      <c r="C13" s="197" t="n"/>
      <c r="D13" s="312">
        <f>INDIRECT($C13&amp;"!AM$5")</f>
        <v/>
      </c>
      <c r="E13" s="312">
        <f>INDIRECT($C13&amp;"!AN$5")</f>
        <v/>
      </c>
      <c r="F13" s="312">
        <f>INDIRECT($C13&amp;"!AO$5")</f>
        <v/>
      </c>
      <c r="G13" s="312">
        <f>INDIRECT($C13&amp;"!AP$5")</f>
        <v/>
      </c>
      <c r="H13" s="315">
        <f>INDIRECT($C13&amp;"!AQ$5")</f>
        <v/>
      </c>
      <c r="I13" s="314" t="n"/>
    </row>
    <row r="14" ht="15.75" customHeight="1" s="279">
      <c r="A14" s="168" t="n"/>
      <c r="B14" s="175">
        <f>INDIRECT(C14&amp;"!B2")</f>
        <v/>
      </c>
      <c r="C14" s="196" t="n"/>
      <c r="D14" s="312">
        <f>INDIRECT($C14&amp;"!AM$5")</f>
        <v/>
      </c>
      <c r="E14" s="312">
        <f>INDIRECT($C14&amp;"!AN$5")</f>
        <v/>
      </c>
      <c r="F14" s="312">
        <f>INDIRECT($C14&amp;"!AO$5")</f>
        <v/>
      </c>
      <c r="G14" s="312">
        <f>INDIRECT($C14&amp;"!AP$5")</f>
        <v/>
      </c>
      <c r="H14" s="315">
        <f>INDIRECT($C14&amp;"!AQ$5")</f>
        <v/>
      </c>
      <c r="I14" s="314" t="n"/>
    </row>
    <row r="15" ht="15.75" customHeight="1" s="279">
      <c r="A15" s="168" t="n"/>
      <c r="B15" s="175">
        <f>INDIRECT(C15&amp;"!B2")</f>
        <v/>
      </c>
      <c r="C15" s="196" t="n"/>
      <c r="D15" s="312">
        <f>INDIRECT($C15&amp;"!AM$5")</f>
        <v/>
      </c>
      <c r="E15" s="312">
        <f>INDIRECT($C15&amp;"!AN$5")</f>
        <v/>
      </c>
      <c r="F15" s="312">
        <f>INDIRECT($C15&amp;"!AO$5")</f>
        <v/>
      </c>
      <c r="G15" s="312">
        <f>INDIRECT($C15&amp;"!AP$5")</f>
        <v/>
      </c>
      <c r="H15" s="315">
        <f>INDIRECT($C15&amp;"!AQ$5")</f>
        <v/>
      </c>
      <c r="I15" s="314" t="n"/>
    </row>
    <row r="16" ht="15.75" customHeight="1" s="279">
      <c r="A16" s="168" t="n"/>
      <c r="B16" s="175">
        <f>INDIRECT(C16&amp;"!B2")</f>
        <v/>
      </c>
      <c r="C16" s="196" t="n"/>
      <c r="D16" s="312">
        <f>INDIRECT($C16&amp;"!AM$5")</f>
        <v/>
      </c>
      <c r="E16" s="312">
        <f>INDIRECT($C16&amp;"!AN$5")</f>
        <v/>
      </c>
      <c r="F16" s="312">
        <f>INDIRECT($C16&amp;"!AO$5")</f>
        <v/>
      </c>
      <c r="G16" s="312">
        <f>INDIRECT($C16&amp;"!AP$5")</f>
        <v/>
      </c>
      <c r="H16" s="315">
        <f>INDIRECT($C16&amp;"!AQ$5")</f>
        <v/>
      </c>
      <c r="I16" s="314" t="n"/>
    </row>
    <row r="17" ht="15.75" customHeight="1" s="279">
      <c r="A17" s="168" t="n"/>
      <c r="B17" s="175">
        <f>INDIRECT(C17&amp;"!B2")</f>
        <v/>
      </c>
      <c r="C17" s="196" t="n"/>
      <c r="D17" s="312">
        <f>INDIRECT($C17&amp;"!AM$5")</f>
        <v/>
      </c>
      <c r="E17" s="312">
        <f>INDIRECT($C17&amp;"!AN$5")</f>
        <v/>
      </c>
      <c r="F17" s="312">
        <f>INDIRECT($C17&amp;"!AO$5")</f>
        <v/>
      </c>
      <c r="G17" s="312">
        <f>INDIRECT($C17&amp;"!AP$5")</f>
        <v/>
      </c>
      <c r="H17" s="315">
        <f>INDIRECT($C17&amp;"!AQ$5")</f>
        <v/>
      </c>
      <c r="I17" s="314" t="n"/>
    </row>
    <row r="18" ht="15.75" customHeight="1" s="279" thickBot="1">
      <c r="A18" s="168" t="n"/>
      <c r="B18" s="175">
        <f>INDIRECT(C18&amp;"!B2")</f>
        <v/>
      </c>
      <c r="C18" s="196" t="n"/>
      <c r="D18" s="312">
        <f>INDIRECT($C18&amp;"!AM$5")</f>
        <v/>
      </c>
      <c r="E18" s="312">
        <f>INDIRECT($C18&amp;"!AN$5")</f>
        <v/>
      </c>
      <c r="F18" s="312">
        <f>INDIRECT($C18&amp;"!AO$5")</f>
        <v/>
      </c>
      <c r="G18" s="312">
        <f>INDIRECT($C18&amp;"!AP$5")</f>
        <v/>
      </c>
      <c r="H18" s="315">
        <f>INDIRECT($C18&amp;"!AQ$5")</f>
        <v/>
      </c>
      <c r="I18" s="314" t="n"/>
    </row>
    <row r="19" ht="15.75" customHeight="1" s="279" thickBot="1">
      <c r="A19" s="168" t="n"/>
      <c r="B19" s="272" t="inlineStr">
        <is>
          <t>Average</t>
        </is>
      </c>
      <c r="C19" s="273" t="n"/>
      <c r="D19" s="316">
        <f>IF(COUNTIF(D10:D15,"=0")&gt;0,0,AVERAGE(D10:D15))</f>
        <v/>
      </c>
      <c r="E19" s="316">
        <f>IF(COUNTIF(E10:E15,"=0")&gt;0,0,AVERAGE(E10:E15))</f>
        <v/>
      </c>
      <c r="F19" s="316">
        <f>IF(COUNTIF(F10:F15,"=0")&gt;0,0,AVERAGE(F10:F15))</f>
        <v/>
      </c>
      <c r="G19" s="316">
        <f>IF(COUNTIF(G10:G15,"=0")&gt;0,0,AVERAGE(G10:G15))</f>
        <v/>
      </c>
      <c r="H19" s="317">
        <f>IF(COUNTIF(H10:H15,"=0")&gt;0,0,AVERAGE(H10:H15))</f>
        <v/>
      </c>
      <c r="I19" s="314" t="n"/>
    </row>
    <row r="20" ht="15.75" customHeight="1" s="279">
      <c r="B20" s="176" t="n"/>
      <c r="C20" s="177" t="n"/>
      <c r="D20" s="314" t="n"/>
      <c r="E20" s="314" t="n"/>
      <c r="F20" s="314" t="n"/>
      <c r="G20" s="314" t="n"/>
      <c r="H20" s="314" t="n"/>
      <c r="I20" s="314" t="n"/>
    </row>
    <row r="21" ht="15.75" customHeight="1" s="279">
      <c r="B21" s="176" t="n"/>
      <c r="C21" s="177" t="n"/>
      <c r="D21" s="314" t="n"/>
      <c r="E21" s="314" t="n"/>
      <c r="F21" s="314" t="n"/>
      <c r="G21" s="314" t="n"/>
      <c r="H21" s="314" t="n"/>
      <c r="I21" s="314" t="n"/>
    </row>
    <row r="22" ht="15.75" customHeight="1" s="279">
      <c r="B22" s="88" t="n"/>
      <c r="D22" s="318" t="n"/>
      <c r="E22" s="318" t="n"/>
      <c r="F22" s="318" t="n"/>
      <c r="G22" s="318" t="n"/>
      <c r="H22" s="318" t="n"/>
      <c r="I22" s="174" t="n"/>
    </row>
    <row r="23">
      <c r="D23" s="319" t="n"/>
      <c r="E23" s="319" t="n"/>
      <c r="F23" s="319" t="n"/>
      <c r="G23" s="319" t="n"/>
      <c r="H23" s="319" t="n"/>
      <c r="I23" s="319" t="n"/>
    </row>
  </sheetData>
  <mergeCells count="4">
    <mergeCell ref="B19:C19"/>
    <mergeCell ref="C4:H4"/>
    <mergeCell ref="B7:H7"/>
    <mergeCell ref="C3:H3"/>
  </mergeCells>
  <conditionalFormatting sqref="D10:G19">
    <cfRule type="cellIs" priority="33" operator="lessThan" dxfId="1949">
      <formula>-0.03</formula>
    </cfRule>
    <cfRule type="cellIs" priority="34" operator="greaterThan" dxfId="1948">
      <formula>0.03</formula>
    </cfRule>
  </conditionalFormatting>
  <conditionalFormatting sqref="H9">
    <cfRule type="cellIs" priority="5" operator="greaterThan" dxfId="1949">
      <formula>-0.03</formula>
    </cfRule>
    <cfRule type="cellIs" priority="6" operator="lessThan" dxfId="1948">
      <formula>0.03</formula>
    </cfRule>
  </conditionalFormatting>
  <conditionalFormatting sqref="D9:G9">
    <cfRule type="cellIs" priority="3" operator="lessThan" dxfId="1949">
      <formula>-0.03</formula>
    </cfRule>
    <cfRule type="cellIs" priority="4" operator="greaterThan" dxfId="1948">
      <formula>0.03</formula>
    </cfRule>
  </conditionalFormatting>
  <conditionalFormatting sqref="H10:H19">
    <cfRule type="cellIs" priority="1" operator="lessThan" dxfId="1949">
      <formula>-0.03</formula>
    </cfRule>
    <cfRule type="cellIs" priority="2" operator="greaterThan" dxfId="1948">
      <formula>0.03</formula>
    </cfRule>
  </conditionalFormatting>
  <pageMargins left="0.7" right="0.7" top="0.75" bottom="0.75" header="0.3" footer="0.3"/>
  <pageSetup orientation="portrait" paperSize="9" horizontalDpi="4294967292" verticalDpi="4294967292"/>
</worksheet>
</file>

<file path=xl/worksheets/sheet2.xml><?xml version="1.0" encoding="utf-8"?>
<worksheet xmlns="http://schemas.openxmlformats.org/spreadsheetml/2006/main">
  <sheetPr codeName="Sheet11">
    <outlinePr summaryBelow="1" summaryRight="1"/>
    <pageSetUpPr/>
  </sheetPr>
  <dimension ref="A1:AF188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79" min="1" max="1"/>
    <col width="19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18.5" bestFit="1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21.5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9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F</t>
        </is>
      </c>
      <c r="M3" s="87" t="inlineStr">
        <is>
          <t>X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RGB-PSNR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>
      <c r="B14" s="206" t="n"/>
      <c r="C14" s="206" t="n"/>
      <c r="D14" s="329" t="n"/>
      <c r="E14" s="320" t="n"/>
      <c r="F14" s="206" t="n"/>
      <c r="G14" s="206" t="n"/>
      <c r="H14" s="329" t="n"/>
      <c r="I14" s="10" t="n"/>
      <c r="J14" s="200" t="n"/>
      <c r="L14" s="201" t="n"/>
      <c r="M14" s="201" t="n"/>
      <c r="N14" s="202" t="n"/>
      <c r="O14" s="320" t="n"/>
      <c r="P14" s="281" t="n"/>
      <c r="Q14" s="320" t="n"/>
      <c r="R14" s="10" t="n"/>
      <c r="S14" s="10" t="n"/>
      <c r="T14" s="10" t="n"/>
      <c r="U14" s="10" t="n"/>
      <c r="V14" s="67" t="n"/>
      <c r="X14" s="68" t="n"/>
      <c r="Y14" s="68" t="n"/>
      <c r="Z14" s="66" t="n"/>
    </row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RGB-PSNR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RGB-PSNR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RGB-PSNR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RGB-PSNR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RGB-PSNR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RGB-PSNR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2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RGB-PSNR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RGB-PSNR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RGB-PSNR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3">
      <c r="AB113" s="324" t="n"/>
    </row>
    <row r="116" ht="16.5" customHeight="1" s="279">
      <c r="AB116" s="324" t="n"/>
    </row>
    <row r="118" ht="16.5" customHeight="1" s="279"/>
    <row r="119" ht="16.5" customHeight="1" s="279"/>
    <row r="123">
      <c r="AB123" s="324" t="n"/>
    </row>
    <row r="126" ht="16.5" customHeight="1" s="279">
      <c r="AB126" s="324" t="n"/>
    </row>
    <row r="128" ht="16.5" customHeight="1" s="279"/>
    <row r="129" ht="16.5" customHeight="1" s="279"/>
    <row r="133">
      <c r="AB133" s="324" t="n"/>
    </row>
    <row r="136" ht="16.5" customHeight="1" s="279">
      <c r="AB136" s="324" t="n"/>
    </row>
    <row r="138" ht="16.5" customHeight="1" s="279"/>
    <row r="139" ht="16.5" customHeight="1" s="279"/>
    <row r="143">
      <c r="AB143" s="324" t="n"/>
    </row>
    <row r="146" ht="16.5" customHeight="1" s="279">
      <c r="AB146" s="324" t="n"/>
    </row>
    <row r="148" ht="16.5" customHeight="1" s="279"/>
    <row r="149" ht="16.5" customHeight="1" s="279"/>
    <row r="153">
      <c r="AB153" s="324" t="n"/>
    </row>
    <row r="156" ht="16.5" customHeight="1" s="279">
      <c r="AB156" s="324" t="n"/>
    </row>
    <row r="158" ht="16.5" customHeight="1" s="279"/>
    <row r="159" ht="16.5" customHeight="1" s="279"/>
    <row r="163">
      <c r="AB163" s="324" t="n"/>
    </row>
    <row r="166" ht="16.5" customHeight="1" s="279">
      <c r="AB166" s="324" t="n"/>
    </row>
    <row r="168" ht="16.5" customHeight="1" s="279"/>
    <row r="169" ht="16.5" customHeight="1" s="279"/>
    <row r="173">
      <c r="AB173" s="324" t="n"/>
    </row>
    <row r="176" ht="16.5" customHeight="1" s="279">
      <c r="AB176" s="324" t="n"/>
    </row>
    <row r="178" ht="16.5" customHeight="1" s="279"/>
    <row r="179" ht="16.5" customHeight="1" s="279"/>
    <row r="182">
      <c r="B182" s="183" t="n"/>
      <c r="C182" s="183" t="n"/>
      <c r="D182" s="3" t="n"/>
      <c r="E182" s="3" t="n"/>
      <c r="F182" s="3" t="n"/>
      <c r="G182" s="3" t="n"/>
      <c r="H182" s="3" t="n"/>
      <c r="I182" s="3" t="n"/>
      <c r="J182" s="3" t="n"/>
      <c r="L182" s="183" t="n"/>
      <c r="M182" s="183" t="n"/>
      <c r="N182" s="3" t="n"/>
      <c r="O182" s="3" t="n"/>
      <c r="P182" s="3" t="n"/>
      <c r="Q182" s="3" t="n"/>
      <c r="R182" s="3" t="n"/>
      <c r="S182" s="3" t="n"/>
      <c r="T182" s="3" t="n"/>
      <c r="U182" s="3" t="n"/>
      <c r="V182" s="3" t="n"/>
      <c r="X182" s="183" t="n"/>
      <c r="Y182" s="183" t="n"/>
      <c r="Z182" s="183" t="n"/>
    </row>
    <row r="183">
      <c r="B183" s="40" t="n"/>
      <c r="C183" s="183" t="n"/>
      <c r="D183" s="320" t="n"/>
      <c r="E183" s="320" t="n"/>
      <c r="F183" s="320" t="n"/>
      <c r="G183" s="320" t="n"/>
      <c r="H183" s="10" t="n"/>
      <c r="I183" s="10" t="n"/>
      <c r="J183" s="10" t="n"/>
      <c r="L183" s="40" t="n"/>
      <c r="M183" s="183" t="n"/>
      <c r="N183" s="320" t="n"/>
      <c r="O183" s="320" t="n"/>
      <c r="P183" s="320" t="n"/>
      <c r="Q183" s="320" t="n"/>
      <c r="R183" s="10" t="n"/>
      <c r="S183" s="10" t="n"/>
      <c r="T183" s="10" t="n"/>
      <c r="U183" s="10" t="n"/>
      <c r="V183" s="323" t="n"/>
      <c r="X183" s="7" t="n"/>
      <c r="Y183" s="7" t="n"/>
      <c r="Z183" s="66" t="n"/>
      <c r="AB183" s="324" t="n"/>
    </row>
    <row r="184">
      <c r="B184" s="40" t="n"/>
      <c r="C184" s="183" t="n"/>
      <c r="D184" s="320" t="n"/>
      <c r="E184" s="320" t="n"/>
      <c r="F184" s="320" t="n"/>
      <c r="G184" s="320" t="n"/>
      <c r="H184" s="10" t="n"/>
      <c r="I184" s="10" t="n"/>
      <c r="J184" s="10" t="n"/>
      <c r="L184" s="40" t="n"/>
      <c r="M184" s="183" t="n"/>
      <c r="N184" s="320" t="n"/>
      <c r="O184" s="320" t="n"/>
      <c r="P184" s="320" t="n"/>
      <c r="Q184" s="320" t="n"/>
      <c r="R184" s="10" t="n"/>
      <c r="S184" s="10" t="n"/>
      <c r="T184" s="10" t="n"/>
      <c r="U184" s="10" t="n"/>
      <c r="V184" s="323" t="n"/>
      <c r="X184" s="7" t="n"/>
      <c r="Y184" s="7" t="n"/>
      <c r="Z184" s="66" t="n"/>
    </row>
    <row r="185">
      <c r="B185" s="40" t="n"/>
      <c r="C185" s="183" t="n"/>
      <c r="D185" s="320" t="n"/>
      <c r="E185" s="320" t="n"/>
      <c r="F185" s="320" t="n"/>
      <c r="G185" s="320" t="n"/>
      <c r="H185" s="10" t="n"/>
      <c r="I185" s="10" t="n"/>
      <c r="J185" s="10" t="n"/>
      <c r="L185" s="40" t="n"/>
      <c r="M185" s="183" t="n"/>
      <c r="N185" s="320" t="n"/>
      <c r="O185" s="320" t="n"/>
      <c r="P185" s="320" t="n"/>
      <c r="Q185" s="320" t="n"/>
      <c r="R185" s="10" t="n"/>
      <c r="S185" s="10" t="n"/>
      <c r="T185" s="10" t="n"/>
      <c r="U185" s="10" t="n"/>
      <c r="V185" s="323" t="n"/>
      <c r="X185" s="7" t="n"/>
      <c r="Y185" s="7" t="n"/>
      <c r="Z185" s="66" t="n"/>
    </row>
    <row r="186" ht="16.5" customHeight="1" s="279">
      <c r="B186" s="40" t="n"/>
      <c r="C186" s="183" t="n"/>
      <c r="D186" s="320" t="n"/>
      <c r="E186" s="320" t="n"/>
      <c r="F186" s="320" t="n"/>
      <c r="G186" s="320" t="n"/>
      <c r="H186" s="10" t="n"/>
      <c r="I186" s="10" t="n"/>
      <c r="J186" s="10" t="n"/>
      <c r="L186" s="40" t="n"/>
      <c r="M186" s="183" t="n"/>
      <c r="N186" s="320" t="n"/>
      <c r="O186" s="320" t="n"/>
      <c r="P186" s="320" t="n"/>
      <c r="Q186" s="320" t="n"/>
      <c r="R186" s="10" t="n"/>
      <c r="S186" s="10" t="n"/>
      <c r="T186" s="10" t="n"/>
      <c r="U186" s="10" t="n"/>
      <c r="V186" s="323" t="n"/>
      <c r="X186" s="7" t="n"/>
      <c r="Y186" s="7" t="n"/>
      <c r="Z186" s="66" t="n"/>
      <c r="AB186" s="324" t="n"/>
    </row>
    <row r="187">
      <c r="B187" s="40" t="n"/>
      <c r="C187" s="183" t="n"/>
      <c r="D187" s="320" t="n"/>
      <c r="E187" s="320" t="n"/>
      <c r="F187" s="320" t="n"/>
      <c r="G187" s="320" t="n"/>
      <c r="H187" s="10" t="n"/>
      <c r="I187" s="10" t="n"/>
      <c r="J187" s="10" t="n"/>
      <c r="L187" s="40" t="n"/>
      <c r="M187" s="183" t="n"/>
      <c r="N187" s="320" t="n"/>
      <c r="O187" s="320" t="n"/>
      <c r="P187" s="320" t="n"/>
      <c r="Q187" s="320" t="n"/>
      <c r="R187" s="10" t="n"/>
      <c r="S187" s="10" t="n"/>
      <c r="T187" s="10" t="n"/>
      <c r="U187" s="10" t="n"/>
      <c r="V187" s="67" t="n"/>
      <c r="X187" s="7" t="n"/>
      <c r="Y187" s="7" t="n"/>
      <c r="Z187" s="66" t="n"/>
    </row>
    <row r="188" ht="16.5" customHeight="1" s="279">
      <c r="B188" s="40" t="n"/>
      <c r="D188" s="320" t="n"/>
      <c r="E188" s="320" t="n"/>
      <c r="F188" s="320" t="n"/>
      <c r="G188" s="320" t="n"/>
      <c r="H188" s="10" t="n"/>
      <c r="I188" s="10" t="n"/>
      <c r="J188" s="10" t="n"/>
      <c r="L188" s="40" t="n"/>
      <c r="M188" s="183" t="n"/>
      <c r="N188" s="320" t="n"/>
      <c r="O188" s="320" t="n"/>
      <c r="P188" s="320" t="n"/>
      <c r="Q188" s="320" t="n"/>
      <c r="R188" s="10" t="n"/>
      <c r="S188" s="10" t="n"/>
      <c r="T188" s="10" t="n"/>
      <c r="U188" s="10" t="n"/>
      <c r="V188" s="67" t="n"/>
      <c r="X188" s="68" t="n"/>
      <c r="Y188" s="68" t="n"/>
      <c r="Z188" s="66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1107">
      <dataBar>
        <cfvo type="min"/>
        <cfvo type="max"/>
        <color rgb="FF008AEF"/>
      </dataBar>
    </cfRule>
  </conditionalFormatting>
  <conditionalFormatting sqref="Z23:Z24">
    <cfRule type="cellIs" priority="1083" operator="lessThan" dxfId="1" stopIfTrue="1">
      <formula>-0.01</formula>
    </cfRule>
    <cfRule type="cellIs" priority="1084" operator="greaterThan" dxfId="0" stopIfTrue="1">
      <formula>0.01</formula>
    </cfRule>
  </conditionalFormatting>
  <conditionalFormatting sqref="I24">
    <cfRule type="dataBar" priority="1082">
      <dataBar>
        <cfvo type="min"/>
        <cfvo type="max"/>
        <color rgb="FF008AEF"/>
      </dataBar>
    </cfRule>
  </conditionalFormatting>
  <conditionalFormatting sqref="R23:T24">
    <cfRule type="dataBar" priority="1081">
      <dataBar>
        <cfvo type="min"/>
        <cfvo type="max"/>
        <color rgb="FF008AEF"/>
      </dataBar>
    </cfRule>
  </conditionalFormatting>
  <conditionalFormatting sqref="U23:U24">
    <cfRule type="dataBar" priority="1085">
      <dataBar>
        <cfvo type="min"/>
        <cfvo type="max"/>
        <color rgb="FF008AEF"/>
      </dataBar>
    </cfRule>
  </conditionalFormatting>
  <conditionalFormatting sqref="AB18">
    <cfRule type="cellIs" priority="1078" operator="greaterThan" dxfId="1">
      <formula>0.03</formula>
    </cfRule>
    <cfRule type="cellIs" priority="1079" operator="lessThan" dxfId="0" stopIfTrue="1">
      <formula>-0.03</formula>
    </cfRule>
  </conditionalFormatting>
  <conditionalFormatting sqref="AB22">
    <cfRule type="cellIs" priority="1076" operator="lessThan" dxfId="1">
      <formula>-0.03</formula>
    </cfRule>
    <cfRule type="cellIs" priority="1077" operator="greaterThan" dxfId="0" stopIfTrue="1">
      <formula>0.03</formula>
    </cfRule>
  </conditionalFormatting>
  <conditionalFormatting sqref="Z18">
    <cfRule type="cellIs" priority="1073" operator="lessThan" dxfId="1" stopIfTrue="1">
      <formula>-0.01</formula>
    </cfRule>
    <cfRule type="cellIs" priority="1074" operator="greaterThan" dxfId="0" stopIfTrue="1">
      <formula>0.01</formula>
    </cfRule>
  </conditionalFormatting>
  <conditionalFormatting sqref="Z19">
    <cfRule type="cellIs" priority="1071" operator="lessThan" dxfId="1" stopIfTrue="1">
      <formula>-0.01</formula>
    </cfRule>
    <cfRule type="cellIs" priority="1072" operator="greaterThan" dxfId="0" stopIfTrue="1">
      <formula>0.01</formula>
    </cfRule>
  </conditionalFormatting>
  <conditionalFormatting sqref="Z20:Z21">
    <cfRule type="cellIs" priority="1069" operator="lessThan" dxfId="1" stopIfTrue="1">
      <formula>-0.01</formula>
    </cfRule>
    <cfRule type="cellIs" priority="1070" operator="greaterThan" dxfId="0" stopIfTrue="1">
      <formula>0.01</formula>
    </cfRule>
  </conditionalFormatting>
  <conditionalFormatting sqref="Z22">
    <cfRule type="cellIs" priority="1067" operator="lessThan" dxfId="1" stopIfTrue="1">
      <formula>-0.01</formula>
    </cfRule>
    <cfRule type="cellIs" priority="1068" operator="greaterThan" dxfId="0" stopIfTrue="1">
      <formula>0.01</formula>
    </cfRule>
  </conditionalFormatting>
  <conditionalFormatting sqref="V18:V22">
    <cfRule type="cellIs" priority="1065" operator="greaterThan" dxfId="1">
      <formula>0.03</formula>
    </cfRule>
    <cfRule type="cellIs" priority="1066" operator="lessThan" dxfId="0" stopIfTrue="1">
      <formula>-0.03</formula>
    </cfRule>
  </conditionalFormatting>
  <conditionalFormatting sqref="R19:T19">
    <cfRule type="dataBar" priority="1061">
      <dataBar>
        <cfvo type="min"/>
        <cfvo type="max"/>
        <color rgb="FF008AEF"/>
      </dataBar>
    </cfRule>
  </conditionalFormatting>
  <conditionalFormatting sqref="R20:T21">
    <cfRule type="dataBar" priority="1060">
      <dataBar>
        <cfvo type="min"/>
        <cfvo type="max"/>
        <color rgb="FF008AEF"/>
      </dataBar>
    </cfRule>
  </conditionalFormatting>
  <conditionalFormatting sqref="R22:T22">
    <cfRule type="dataBar" priority="1059">
      <dataBar>
        <cfvo type="min"/>
        <cfvo type="max"/>
        <color rgb="FF008AEF"/>
      </dataBar>
    </cfRule>
  </conditionalFormatting>
  <conditionalFormatting sqref="R18:U18">
    <cfRule type="dataBar" priority="1080">
      <dataBar>
        <cfvo type="min"/>
        <cfvo type="max"/>
        <color rgb="FF008AEF"/>
      </dataBar>
    </cfRule>
  </conditionalFormatting>
  <conditionalFormatting sqref="Z34:Z35">
    <cfRule type="cellIs" priority="1056" operator="lessThan" dxfId="1" stopIfTrue="1">
      <formula>-0.01</formula>
    </cfRule>
    <cfRule type="cellIs" priority="1057" operator="greaterThan" dxfId="0" stopIfTrue="1">
      <formula>0.01</formula>
    </cfRule>
  </conditionalFormatting>
  <conditionalFormatting sqref="R34:T35">
    <cfRule type="dataBar" priority="1055">
      <dataBar>
        <cfvo type="min"/>
        <cfvo type="max"/>
        <color rgb="FF008AEF"/>
      </dataBar>
    </cfRule>
  </conditionalFormatting>
  <conditionalFormatting sqref="U34:U35">
    <cfRule type="dataBar" priority="1058">
      <dataBar>
        <cfvo type="min"/>
        <cfvo type="max"/>
        <color rgb="FF008AEF"/>
      </dataBar>
    </cfRule>
  </conditionalFormatting>
  <conditionalFormatting sqref="AB29">
    <cfRule type="cellIs" priority="1052" operator="greaterThan" dxfId="1">
      <formula>0.03</formula>
    </cfRule>
    <cfRule type="cellIs" priority="1053" operator="lessThan" dxfId="0" stopIfTrue="1">
      <formula>-0.03</formula>
    </cfRule>
  </conditionalFormatting>
  <conditionalFormatting sqref="AB33">
    <cfRule type="cellIs" priority="1050" operator="lessThan" dxfId="1">
      <formula>-0.03</formula>
    </cfRule>
    <cfRule type="cellIs" priority="1051" operator="greaterThan" dxfId="0" stopIfTrue="1">
      <formula>0.03</formula>
    </cfRule>
  </conditionalFormatting>
  <conditionalFormatting sqref="Z29">
    <cfRule type="cellIs" priority="1048" operator="lessThan" dxfId="1" stopIfTrue="1">
      <formula>-0.01</formula>
    </cfRule>
    <cfRule type="cellIs" priority="1049" operator="greaterThan" dxfId="0" stopIfTrue="1">
      <formula>0.01</formula>
    </cfRule>
  </conditionalFormatting>
  <conditionalFormatting sqref="Z30">
    <cfRule type="cellIs" priority="1046" operator="lessThan" dxfId="1" stopIfTrue="1">
      <formula>-0.01</formula>
    </cfRule>
    <cfRule type="cellIs" priority="1047" operator="greaterThan" dxfId="0" stopIfTrue="1">
      <formula>0.01</formula>
    </cfRule>
  </conditionalFormatting>
  <conditionalFormatting sqref="Z31:Z32">
    <cfRule type="cellIs" priority="1044" operator="lessThan" dxfId="1" stopIfTrue="1">
      <formula>-0.01</formula>
    </cfRule>
    <cfRule type="cellIs" priority="1045" operator="greaterThan" dxfId="0" stopIfTrue="1">
      <formula>0.01</formula>
    </cfRule>
  </conditionalFormatting>
  <conditionalFormatting sqref="Z33">
    <cfRule type="cellIs" priority="1042" operator="lessThan" dxfId="1" stopIfTrue="1">
      <formula>-0.01</formula>
    </cfRule>
    <cfRule type="cellIs" priority="1043" operator="greaterThan" dxfId="0" stopIfTrue="1">
      <formula>0.01</formula>
    </cfRule>
  </conditionalFormatting>
  <conditionalFormatting sqref="V29:V33">
    <cfRule type="cellIs" priority="1040" operator="greaterThan" dxfId="1">
      <formula>0.03</formula>
    </cfRule>
    <cfRule type="cellIs" priority="1041" operator="lessThan" dxfId="0" stopIfTrue="1">
      <formula>-0.03</formula>
    </cfRule>
  </conditionalFormatting>
  <conditionalFormatting sqref="R30:T30">
    <cfRule type="dataBar" priority="1039">
      <dataBar>
        <cfvo type="min"/>
        <cfvo type="max"/>
        <color rgb="FF008AEF"/>
      </dataBar>
    </cfRule>
  </conditionalFormatting>
  <conditionalFormatting sqref="R31:T32">
    <cfRule type="dataBar" priority="1038">
      <dataBar>
        <cfvo type="min"/>
        <cfvo type="max"/>
        <color rgb="FF008AEF"/>
      </dataBar>
    </cfRule>
  </conditionalFormatting>
  <conditionalFormatting sqref="R33:T33">
    <cfRule type="dataBar" priority="1037">
      <dataBar>
        <cfvo type="min"/>
        <cfvo type="max"/>
        <color rgb="FF008AEF"/>
      </dataBar>
    </cfRule>
  </conditionalFormatting>
  <conditionalFormatting sqref="R29:U29 U30:U33">
    <cfRule type="dataBar" priority="1054">
      <dataBar>
        <cfvo type="min"/>
        <cfvo type="max"/>
        <color rgb="FF008AEF"/>
      </dataBar>
    </cfRule>
  </conditionalFormatting>
  <conditionalFormatting sqref="Z45:Z46">
    <cfRule type="cellIs" priority="1034" operator="lessThan" dxfId="1" stopIfTrue="1">
      <formula>-0.01</formula>
    </cfRule>
    <cfRule type="cellIs" priority="1035" operator="greaterThan" dxfId="0" stopIfTrue="1">
      <formula>0.01</formula>
    </cfRule>
  </conditionalFormatting>
  <conditionalFormatting sqref="R45:T46">
    <cfRule type="dataBar" priority="1033">
      <dataBar>
        <cfvo type="min"/>
        <cfvo type="max"/>
        <color rgb="FF008AEF"/>
      </dataBar>
    </cfRule>
  </conditionalFormatting>
  <conditionalFormatting sqref="U45:U46">
    <cfRule type="dataBar" priority="1036">
      <dataBar>
        <cfvo type="min"/>
        <cfvo type="max"/>
        <color rgb="FF008AEF"/>
      </dataBar>
    </cfRule>
  </conditionalFormatting>
  <conditionalFormatting sqref="AB40">
    <cfRule type="cellIs" priority="1030" operator="greaterThan" dxfId="1">
      <formula>0.03</formula>
    </cfRule>
    <cfRule type="cellIs" priority="1031" operator="lessThan" dxfId="0" stopIfTrue="1">
      <formula>-0.03</formula>
    </cfRule>
  </conditionalFormatting>
  <conditionalFormatting sqref="AB44">
    <cfRule type="cellIs" priority="1028" operator="lessThan" dxfId="1">
      <formula>-0.03</formula>
    </cfRule>
    <cfRule type="cellIs" priority="1029" operator="greaterThan" dxfId="0" stopIfTrue="1">
      <formula>0.03</formula>
    </cfRule>
  </conditionalFormatting>
  <conditionalFormatting sqref="Z40">
    <cfRule type="cellIs" priority="1026" operator="lessThan" dxfId="1" stopIfTrue="1">
      <formula>-0.01</formula>
    </cfRule>
    <cfRule type="cellIs" priority="1027" operator="greaterThan" dxfId="0" stopIfTrue="1">
      <formula>0.01</formula>
    </cfRule>
  </conditionalFormatting>
  <conditionalFormatting sqref="Z41">
    <cfRule type="cellIs" priority="1024" operator="lessThan" dxfId="1" stopIfTrue="1">
      <formula>-0.01</formula>
    </cfRule>
    <cfRule type="cellIs" priority="1025" operator="greaterThan" dxfId="0" stopIfTrue="1">
      <formula>0.01</formula>
    </cfRule>
  </conditionalFormatting>
  <conditionalFormatting sqref="Z42:Z43">
    <cfRule type="cellIs" priority="1022" operator="lessThan" dxfId="1" stopIfTrue="1">
      <formula>-0.01</formula>
    </cfRule>
    <cfRule type="cellIs" priority="1023" operator="greaterThan" dxfId="0" stopIfTrue="1">
      <formula>0.01</formula>
    </cfRule>
  </conditionalFormatting>
  <conditionalFormatting sqref="Z44">
    <cfRule type="cellIs" priority="1020" operator="lessThan" dxfId="1" stopIfTrue="1">
      <formula>-0.01</formula>
    </cfRule>
    <cfRule type="cellIs" priority="1021" operator="greaterThan" dxfId="0" stopIfTrue="1">
      <formula>0.01</formula>
    </cfRule>
  </conditionalFormatting>
  <conditionalFormatting sqref="V40:V44">
    <cfRule type="cellIs" priority="1018" operator="greaterThan" dxfId="1">
      <formula>0.03</formula>
    </cfRule>
    <cfRule type="cellIs" priority="1019" operator="lessThan" dxfId="0" stopIfTrue="1">
      <formula>-0.03</formula>
    </cfRule>
  </conditionalFormatting>
  <conditionalFormatting sqref="R41:T41">
    <cfRule type="dataBar" priority="1017">
      <dataBar>
        <cfvo type="min"/>
        <cfvo type="max"/>
        <color rgb="FF008AEF"/>
      </dataBar>
    </cfRule>
  </conditionalFormatting>
  <conditionalFormatting sqref="R42:T43">
    <cfRule type="dataBar" priority="1016">
      <dataBar>
        <cfvo type="min"/>
        <cfvo type="max"/>
        <color rgb="FF008AEF"/>
      </dataBar>
    </cfRule>
  </conditionalFormatting>
  <conditionalFormatting sqref="R44:T44">
    <cfRule type="dataBar" priority="1015">
      <dataBar>
        <cfvo type="min"/>
        <cfvo type="max"/>
        <color rgb="FF008AEF"/>
      </dataBar>
    </cfRule>
  </conditionalFormatting>
  <conditionalFormatting sqref="R40:U40 U41:U44">
    <cfRule type="dataBar" priority="1032">
      <dataBar>
        <cfvo type="min"/>
        <cfvo type="max"/>
        <color rgb="FF008AEF"/>
      </dataBar>
    </cfRule>
  </conditionalFormatting>
  <conditionalFormatting sqref="Z56:Z57">
    <cfRule type="cellIs" priority="1012" operator="lessThan" dxfId="1" stopIfTrue="1">
      <formula>-0.01</formula>
    </cfRule>
    <cfRule type="cellIs" priority="1013" operator="greaterThan" dxfId="0" stopIfTrue="1">
      <formula>0.01</formula>
    </cfRule>
  </conditionalFormatting>
  <conditionalFormatting sqref="R56:T57">
    <cfRule type="dataBar" priority="1011">
      <dataBar>
        <cfvo type="min"/>
        <cfvo type="max"/>
        <color rgb="FF008AEF"/>
      </dataBar>
    </cfRule>
  </conditionalFormatting>
  <conditionalFormatting sqref="U56:U57">
    <cfRule type="dataBar" priority="1014">
      <dataBar>
        <cfvo type="min"/>
        <cfvo type="max"/>
        <color rgb="FF008AEF"/>
      </dataBar>
    </cfRule>
  </conditionalFormatting>
  <conditionalFormatting sqref="AB51">
    <cfRule type="cellIs" priority="1008" operator="greaterThan" dxfId="1">
      <formula>0.03</formula>
    </cfRule>
    <cfRule type="cellIs" priority="1009" operator="lessThan" dxfId="0" stopIfTrue="1">
      <formula>-0.03</formula>
    </cfRule>
  </conditionalFormatting>
  <conditionalFormatting sqref="AB55">
    <cfRule type="cellIs" priority="1006" operator="lessThan" dxfId="1">
      <formula>-0.03</formula>
    </cfRule>
    <cfRule type="cellIs" priority="1007" operator="greaterThan" dxfId="0" stopIfTrue="1">
      <formula>0.03</formula>
    </cfRule>
  </conditionalFormatting>
  <conditionalFormatting sqref="Z51">
    <cfRule type="cellIs" priority="1004" operator="lessThan" dxfId="1" stopIfTrue="1">
      <formula>-0.01</formula>
    </cfRule>
    <cfRule type="cellIs" priority="1005" operator="greaterThan" dxfId="0" stopIfTrue="1">
      <formula>0.01</formula>
    </cfRule>
  </conditionalFormatting>
  <conditionalFormatting sqref="Z52">
    <cfRule type="cellIs" priority="1002" operator="lessThan" dxfId="1" stopIfTrue="1">
      <formula>-0.01</formula>
    </cfRule>
    <cfRule type="cellIs" priority="1003" operator="greaterThan" dxfId="0" stopIfTrue="1">
      <formula>0.01</formula>
    </cfRule>
  </conditionalFormatting>
  <conditionalFormatting sqref="Z53:Z54">
    <cfRule type="cellIs" priority="1000" operator="lessThan" dxfId="1" stopIfTrue="1">
      <formula>-0.01</formula>
    </cfRule>
    <cfRule type="cellIs" priority="1001" operator="greaterThan" dxfId="0" stopIfTrue="1">
      <formula>0.01</formula>
    </cfRule>
  </conditionalFormatting>
  <conditionalFormatting sqref="Z55">
    <cfRule type="cellIs" priority="998" operator="lessThan" dxfId="1" stopIfTrue="1">
      <formula>-0.01</formula>
    </cfRule>
    <cfRule type="cellIs" priority="999" operator="greaterThan" dxfId="0" stopIfTrue="1">
      <formula>0.01</formula>
    </cfRule>
  </conditionalFormatting>
  <conditionalFormatting sqref="V51:V55">
    <cfRule type="cellIs" priority="996" operator="greaterThan" dxfId="1">
      <formula>0.03</formula>
    </cfRule>
    <cfRule type="cellIs" priority="997" operator="lessThan" dxfId="0" stopIfTrue="1">
      <formula>-0.03</formula>
    </cfRule>
  </conditionalFormatting>
  <conditionalFormatting sqref="R52:T52">
    <cfRule type="dataBar" priority="995">
      <dataBar>
        <cfvo type="min"/>
        <cfvo type="max"/>
        <color rgb="FF008AEF"/>
      </dataBar>
    </cfRule>
  </conditionalFormatting>
  <conditionalFormatting sqref="R53:T54">
    <cfRule type="dataBar" priority="994">
      <dataBar>
        <cfvo type="min"/>
        <cfvo type="max"/>
        <color rgb="FF008AEF"/>
      </dataBar>
    </cfRule>
  </conditionalFormatting>
  <conditionalFormatting sqref="R55:T55">
    <cfRule type="dataBar" priority="993">
      <dataBar>
        <cfvo type="min"/>
        <cfvo type="max"/>
        <color rgb="FF008AEF"/>
      </dataBar>
    </cfRule>
  </conditionalFormatting>
  <conditionalFormatting sqref="R51:U51 U52:U55">
    <cfRule type="dataBar" priority="1010">
      <dataBar>
        <cfvo type="min"/>
        <cfvo type="max"/>
        <color rgb="FF008AEF"/>
      </dataBar>
    </cfRule>
  </conditionalFormatting>
  <conditionalFormatting sqref="Z67:Z68">
    <cfRule type="cellIs" priority="990" operator="lessThan" dxfId="1" stopIfTrue="1">
      <formula>-0.01</formula>
    </cfRule>
    <cfRule type="cellIs" priority="991" operator="greaterThan" dxfId="0" stopIfTrue="1">
      <formula>0.01</formula>
    </cfRule>
  </conditionalFormatting>
  <conditionalFormatting sqref="AB62">
    <cfRule type="cellIs" priority="986" operator="greaterThan" dxfId="1">
      <formula>0.03</formula>
    </cfRule>
    <cfRule type="cellIs" priority="987" operator="lessThan" dxfId="0" stopIfTrue="1">
      <formula>-0.03</formula>
    </cfRule>
  </conditionalFormatting>
  <conditionalFormatting sqref="AB66">
    <cfRule type="cellIs" priority="984" operator="lessThan" dxfId="1">
      <formula>-0.03</formula>
    </cfRule>
    <cfRule type="cellIs" priority="985" operator="greaterThan" dxfId="0" stopIfTrue="1">
      <formula>0.03</formula>
    </cfRule>
  </conditionalFormatting>
  <conditionalFormatting sqref="Z62">
    <cfRule type="cellIs" priority="982" operator="lessThan" dxfId="1" stopIfTrue="1">
      <formula>-0.01</formula>
    </cfRule>
    <cfRule type="cellIs" priority="983" operator="greaterThan" dxfId="0" stopIfTrue="1">
      <formula>0.01</formula>
    </cfRule>
  </conditionalFormatting>
  <conditionalFormatting sqref="Z63">
    <cfRule type="cellIs" priority="980" operator="lessThan" dxfId="1" stopIfTrue="1">
      <formula>-0.01</formula>
    </cfRule>
    <cfRule type="cellIs" priority="981" operator="greaterThan" dxfId="0" stopIfTrue="1">
      <formula>0.01</formula>
    </cfRule>
  </conditionalFormatting>
  <conditionalFormatting sqref="Z64:Z65">
    <cfRule type="cellIs" priority="978" operator="lessThan" dxfId="1" stopIfTrue="1">
      <formula>-0.01</formula>
    </cfRule>
    <cfRule type="cellIs" priority="979" operator="greaterThan" dxfId="0" stopIfTrue="1">
      <formula>0.01</formula>
    </cfRule>
  </conditionalFormatting>
  <conditionalFormatting sqref="Z66">
    <cfRule type="cellIs" priority="976" operator="lessThan" dxfId="1" stopIfTrue="1">
      <formula>-0.01</formula>
    </cfRule>
    <cfRule type="cellIs" priority="977" operator="greaterThan" dxfId="0" stopIfTrue="1">
      <formula>0.01</formula>
    </cfRule>
  </conditionalFormatting>
  <conditionalFormatting sqref="V62:V66">
    <cfRule type="cellIs" priority="974" operator="greaterThan" dxfId="1">
      <formula>0.03</formula>
    </cfRule>
    <cfRule type="cellIs" priority="975" operator="lessThan" dxfId="0" stopIfTrue="1">
      <formula>-0.03</formula>
    </cfRule>
  </conditionalFormatting>
  <conditionalFormatting sqref="R63:T63">
    <cfRule type="dataBar" priority="973">
      <dataBar>
        <cfvo type="min"/>
        <cfvo type="max"/>
        <color rgb="FF008AEF"/>
      </dataBar>
    </cfRule>
  </conditionalFormatting>
  <conditionalFormatting sqref="R64:T65">
    <cfRule type="dataBar" priority="972">
      <dataBar>
        <cfvo type="min"/>
        <cfvo type="max"/>
        <color rgb="FF008AEF"/>
      </dataBar>
    </cfRule>
  </conditionalFormatting>
  <conditionalFormatting sqref="R66:T66">
    <cfRule type="dataBar" priority="971">
      <dataBar>
        <cfvo type="min"/>
        <cfvo type="max"/>
        <color rgb="FF008AEF"/>
      </dataBar>
    </cfRule>
  </conditionalFormatting>
  <conditionalFormatting sqref="R62:U62 U63:U66">
    <cfRule type="dataBar" priority="988">
      <dataBar>
        <cfvo type="min"/>
        <cfvo type="max"/>
        <color rgb="FF008AEF"/>
      </dataBar>
    </cfRule>
  </conditionalFormatting>
  <conditionalFormatting sqref="AB113">
    <cfRule type="cellIs" priority="869" operator="greaterThan" dxfId="1">
      <formula>0.03</formula>
    </cfRule>
    <cfRule type="cellIs" priority="870" operator="lessThan" dxfId="0" stopIfTrue="1">
      <formula>-0.03</formula>
    </cfRule>
  </conditionalFormatting>
  <conditionalFormatting sqref="AB116">
    <cfRule type="cellIs" priority="867" operator="lessThan" dxfId="1">
      <formula>-0.03</formula>
    </cfRule>
    <cfRule type="cellIs" priority="868" operator="greaterThan" dxfId="0" stopIfTrue="1">
      <formula>0.03</formula>
    </cfRule>
  </conditionalFormatting>
  <conditionalFormatting sqref="AB123">
    <cfRule type="cellIs" priority="865" operator="greaterThan" dxfId="1">
      <formula>0.03</formula>
    </cfRule>
    <cfRule type="cellIs" priority="866" operator="lessThan" dxfId="0" stopIfTrue="1">
      <formula>-0.03</formula>
    </cfRule>
  </conditionalFormatting>
  <conditionalFormatting sqref="AB126">
    <cfRule type="cellIs" priority="863" operator="lessThan" dxfId="1">
      <formula>-0.03</formula>
    </cfRule>
    <cfRule type="cellIs" priority="864" operator="greaterThan" dxfId="0" stopIfTrue="1">
      <formula>0.03</formula>
    </cfRule>
  </conditionalFormatting>
  <conditionalFormatting sqref="AB133">
    <cfRule type="cellIs" priority="861" operator="greaterThan" dxfId="1">
      <formula>0.03</formula>
    </cfRule>
    <cfRule type="cellIs" priority="862" operator="lessThan" dxfId="0" stopIfTrue="1">
      <formula>-0.03</formula>
    </cfRule>
  </conditionalFormatting>
  <conditionalFormatting sqref="AB136">
    <cfRule type="cellIs" priority="859" operator="lessThan" dxfId="1">
      <formula>-0.03</formula>
    </cfRule>
    <cfRule type="cellIs" priority="860" operator="greaterThan" dxfId="0" stopIfTrue="1">
      <formula>0.03</formula>
    </cfRule>
  </conditionalFormatting>
  <conditionalFormatting sqref="AB143">
    <cfRule type="cellIs" priority="857" operator="greaterThan" dxfId="1">
      <formula>0.03</formula>
    </cfRule>
    <cfRule type="cellIs" priority="858" operator="lessThan" dxfId="0" stopIfTrue="1">
      <formula>-0.03</formula>
    </cfRule>
  </conditionalFormatting>
  <conditionalFormatting sqref="AB146">
    <cfRule type="cellIs" priority="855" operator="lessThan" dxfId="1">
      <formula>-0.03</formula>
    </cfRule>
    <cfRule type="cellIs" priority="856" operator="greaterThan" dxfId="0" stopIfTrue="1">
      <formula>0.03</formula>
    </cfRule>
  </conditionalFormatting>
  <conditionalFormatting sqref="AB153">
    <cfRule type="cellIs" priority="853" operator="greaterThan" dxfId="1">
      <formula>0.03</formula>
    </cfRule>
    <cfRule type="cellIs" priority="854" operator="lessThan" dxfId="0" stopIfTrue="1">
      <formula>-0.03</formula>
    </cfRule>
  </conditionalFormatting>
  <conditionalFormatting sqref="AB156">
    <cfRule type="cellIs" priority="851" operator="lessThan" dxfId="1">
      <formula>-0.03</formula>
    </cfRule>
    <cfRule type="cellIs" priority="852" operator="greaterThan" dxfId="0" stopIfTrue="1">
      <formula>0.03</formula>
    </cfRule>
  </conditionalFormatting>
  <conditionalFormatting sqref="AB163">
    <cfRule type="cellIs" priority="849" operator="greaterThan" dxfId="1">
      <formula>0.03</formula>
    </cfRule>
    <cfRule type="cellIs" priority="850" operator="lessThan" dxfId="0" stopIfTrue="1">
      <formula>-0.03</formula>
    </cfRule>
  </conditionalFormatting>
  <conditionalFormatting sqref="AB166">
    <cfRule type="cellIs" priority="847" operator="lessThan" dxfId="1">
      <formula>-0.03</formula>
    </cfRule>
    <cfRule type="cellIs" priority="848" operator="greaterThan" dxfId="0" stopIfTrue="1">
      <formula>0.03</formula>
    </cfRule>
  </conditionalFormatting>
  <conditionalFormatting sqref="AB173">
    <cfRule type="cellIs" priority="845" operator="greaterThan" dxfId="1">
      <formula>0.03</formula>
    </cfRule>
    <cfRule type="cellIs" priority="846" operator="lessThan" dxfId="0" stopIfTrue="1">
      <formula>-0.03</formula>
    </cfRule>
  </conditionalFormatting>
  <conditionalFormatting sqref="AB176">
    <cfRule type="cellIs" priority="843" operator="lessThan" dxfId="1">
      <formula>-0.03</formula>
    </cfRule>
    <cfRule type="cellIs" priority="844" operator="greaterThan" dxfId="0" stopIfTrue="1">
      <formula>0.03</formula>
    </cfRule>
  </conditionalFormatting>
  <conditionalFormatting sqref="Z187:Z188">
    <cfRule type="cellIs" priority="840" operator="lessThan" dxfId="1" stopIfTrue="1">
      <formula>-0.01</formula>
    </cfRule>
    <cfRule type="cellIs" priority="841" operator="greaterThan" dxfId="0" stopIfTrue="1">
      <formula>0.01</formula>
    </cfRule>
  </conditionalFormatting>
  <conditionalFormatting sqref="H187:J188">
    <cfRule type="dataBar" priority="839">
      <dataBar>
        <cfvo type="min"/>
        <cfvo type="max"/>
        <color rgb="FF008AEF"/>
      </dataBar>
    </cfRule>
  </conditionalFormatting>
  <conditionalFormatting sqref="R187:T188">
    <cfRule type="dataBar" priority="838">
      <dataBar>
        <cfvo type="min"/>
        <cfvo type="max"/>
        <color rgb="FF008AEF"/>
      </dataBar>
    </cfRule>
  </conditionalFormatting>
  <conditionalFormatting sqref="U187:U188">
    <cfRule type="dataBar" priority="842">
      <dataBar>
        <cfvo type="min"/>
        <cfvo type="max"/>
        <color rgb="FF008AEF"/>
      </dataBar>
    </cfRule>
  </conditionalFormatting>
  <conditionalFormatting sqref="AB183">
    <cfRule type="cellIs" priority="835" operator="greaterThan" dxfId="1">
      <formula>0.03</formula>
    </cfRule>
    <cfRule type="cellIs" priority="836" operator="lessThan" dxfId="0" stopIfTrue="1">
      <formula>-0.03</formula>
    </cfRule>
  </conditionalFormatting>
  <conditionalFormatting sqref="AB186">
    <cfRule type="cellIs" priority="833" operator="lessThan" dxfId="1">
      <formula>-0.03</formula>
    </cfRule>
    <cfRule type="cellIs" priority="834" operator="greaterThan" dxfId="0" stopIfTrue="1">
      <formula>0.03</formula>
    </cfRule>
  </conditionalFormatting>
  <conditionalFormatting sqref="H183:J183">
    <cfRule type="dataBar" priority="832">
      <dataBar>
        <cfvo type="min"/>
        <cfvo type="max"/>
        <color rgb="FF008AEF"/>
      </dataBar>
    </cfRule>
  </conditionalFormatting>
  <conditionalFormatting sqref="Z183">
    <cfRule type="cellIs" priority="830" operator="lessThan" dxfId="1" stopIfTrue="1">
      <formula>-0.01</formula>
    </cfRule>
    <cfRule type="cellIs" priority="831" operator="greaterThan" dxfId="0" stopIfTrue="1">
      <formula>0.01</formula>
    </cfRule>
  </conditionalFormatting>
  <conditionalFormatting sqref="Z184">
    <cfRule type="cellIs" priority="828" operator="lessThan" dxfId="1" stopIfTrue="1">
      <formula>-0.01</formula>
    </cfRule>
    <cfRule type="cellIs" priority="829" operator="greaterThan" dxfId="0" stopIfTrue="1">
      <formula>0.01</formula>
    </cfRule>
  </conditionalFormatting>
  <conditionalFormatting sqref="Z185">
    <cfRule type="cellIs" priority="826" operator="lessThan" dxfId="1" stopIfTrue="1">
      <formula>-0.01</formula>
    </cfRule>
    <cfRule type="cellIs" priority="827" operator="greaterThan" dxfId="0" stopIfTrue="1">
      <formula>0.01</formula>
    </cfRule>
  </conditionalFormatting>
  <conditionalFormatting sqref="Z186">
    <cfRule type="cellIs" priority="824" operator="lessThan" dxfId="1" stopIfTrue="1">
      <formula>-0.01</formula>
    </cfRule>
    <cfRule type="cellIs" priority="825" operator="greaterThan" dxfId="0" stopIfTrue="1">
      <formula>0.01</formula>
    </cfRule>
  </conditionalFormatting>
  <conditionalFormatting sqref="V183:V186">
    <cfRule type="cellIs" priority="822" operator="greaterThan" dxfId="1">
      <formula>0.03</formula>
    </cfRule>
    <cfRule type="cellIs" priority="823" operator="lessThan" dxfId="0" stopIfTrue="1">
      <formula>-0.03</formula>
    </cfRule>
  </conditionalFormatting>
  <conditionalFormatting sqref="H184:J184">
    <cfRule type="dataBar" priority="821">
      <dataBar>
        <cfvo type="min"/>
        <cfvo type="max"/>
        <color rgb="FF008AEF"/>
      </dataBar>
    </cfRule>
  </conditionalFormatting>
  <conditionalFormatting sqref="H185:J185">
    <cfRule type="dataBar" priority="820">
      <dataBar>
        <cfvo type="min"/>
        <cfvo type="max"/>
        <color rgb="FF008AEF"/>
      </dataBar>
    </cfRule>
  </conditionalFormatting>
  <conditionalFormatting sqref="H186:J186">
    <cfRule type="dataBar" priority="819">
      <dataBar>
        <cfvo type="min"/>
        <cfvo type="max"/>
        <color rgb="FF008AEF"/>
      </dataBar>
    </cfRule>
  </conditionalFormatting>
  <conditionalFormatting sqref="R184:T184">
    <cfRule type="dataBar" priority="818">
      <dataBar>
        <cfvo type="min"/>
        <cfvo type="max"/>
        <color rgb="FF008AEF"/>
      </dataBar>
    </cfRule>
  </conditionalFormatting>
  <conditionalFormatting sqref="R185:T185">
    <cfRule type="dataBar" priority="817">
      <dataBar>
        <cfvo type="min"/>
        <cfvo type="max"/>
        <color rgb="FF008AEF"/>
      </dataBar>
    </cfRule>
  </conditionalFormatting>
  <conditionalFormatting sqref="R186:T186">
    <cfRule type="dataBar" priority="816">
      <dataBar>
        <cfvo type="min"/>
        <cfvo type="max"/>
        <color rgb="FF008AEF"/>
      </dataBar>
    </cfRule>
  </conditionalFormatting>
  <conditionalFormatting sqref="R183:U183 U184:U186">
    <cfRule type="dataBar" priority="837">
      <dataBar>
        <cfvo type="min"/>
        <cfvo type="max"/>
        <color rgb="FF008AEF"/>
      </dataBar>
    </cfRule>
  </conditionalFormatting>
  <conditionalFormatting sqref="I16">
    <cfRule type="dataBar" priority="812">
      <dataBar>
        <cfvo type="min"/>
        <cfvo type="max"/>
        <color rgb="FF008AEF"/>
      </dataBar>
    </cfRule>
  </conditionalFormatting>
  <conditionalFormatting sqref="I17">
    <cfRule type="dataBar" priority="811">
      <dataBar>
        <cfvo type="min"/>
        <cfvo type="max"/>
        <color rgb="FF008AEF"/>
      </dataBar>
    </cfRule>
  </conditionalFormatting>
  <conditionalFormatting sqref="N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35">
    <cfRule type="dataBar" priority="762">
      <dataBar>
        <cfvo type="min"/>
        <cfvo type="max"/>
        <color rgb="FF008AEF"/>
      </dataBar>
    </cfRule>
  </conditionalFormatting>
  <conditionalFormatting sqref="I27">
    <cfRule type="dataBar" priority="756">
      <dataBar>
        <cfvo type="min"/>
        <cfvo type="max"/>
        <color rgb="FF008AEF"/>
      </dataBar>
    </cfRule>
  </conditionalFormatting>
  <conditionalFormatting sqref="I28">
    <cfRule type="dataBar" priority="755">
      <dataBar>
        <cfvo type="min"/>
        <cfvo type="max"/>
        <color rgb="FF008AEF"/>
      </dataBar>
    </cfRule>
  </conditionalFormatting>
  <conditionalFormatting sqref="N35">
    <cfRule type="cellIs" priority="749" operator="lessThan" dxfId="1" stopIfTrue="1">
      <formula>-0.01</formula>
    </cfRule>
    <cfRule type="cellIs" priority="750" operator="greaterThan" dxfId="0" stopIfTrue="1">
      <formula>0.01</formula>
    </cfRule>
  </conditionalFormatting>
  <conditionalFormatting sqref="I45:I46">
    <cfRule type="dataBar" priority="736">
      <dataBar>
        <cfvo type="min"/>
        <cfvo type="max"/>
        <color rgb="FF008AEF"/>
      </dataBar>
    </cfRule>
  </conditionalFormatting>
  <conditionalFormatting sqref="I40">
    <cfRule type="dataBar" priority="735">
      <dataBar>
        <cfvo type="min"/>
        <cfvo type="max"/>
        <color rgb="FF008AEF"/>
      </dataBar>
    </cfRule>
    <cfRule type="dataBar" priority="728">
      <dataBar>
        <cfvo type="min"/>
        <cfvo type="max"/>
        <color rgb="FF008AEF"/>
      </dataBar>
    </cfRule>
  </conditionalFormatting>
  <conditionalFormatting sqref="I41">
    <cfRule type="dataBar" priority="734">
      <dataBar>
        <cfvo type="min"/>
        <cfvo type="max"/>
        <color rgb="FF008AEF"/>
      </dataBar>
    </cfRule>
    <cfRule type="dataBar" priority="727">
      <dataBar>
        <cfvo type="min"/>
        <cfvo type="max"/>
        <color rgb="FF008AEF"/>
      </dataBar>
    </cfRule>
  </conditionalFormatting>
  <conditionalFormatting sqref="I42:I43">
    <cfRule type="dataBar" priority="733">
      <dataBar>
        <cfvo type="min"/>
        <cfvo type="max"/>
        <color rgb="FF008AEF"/>
      </dataBar>
    </cfRule>
  </conditionalFormatting>
  <conditionalFormatting sqref="I44">
    <cfRule type="dataBar" priority="732">
      <dataBar>
        <cfvo type="min"/>
        <cfvo type="max"/>
        <color rgb="FF008AEF"/>
      </dataBar>
    </cfRule>
  </conditionalFormatting>
  <conditionalFormatting sqref="I42:I44">
    <cfRule type="dataBar" priority="731">
      <dataBar>
        <cfvo type="min"/>
        <cfvo type="max"/>
        <color rgb="FF008AEF"/>
      </dataBar>
    </cfRule>
  </conditionalFormatting>
  <conditionalFormatting sqref="I38">
    <cfRule type="dataBar" priority="730">
      <dataBar>
        <cfvo type="min"/>
        <cfvo type="max"/>
        <color rgb="FF008AEF"/>
      </dataBar>
    </cfRule>
  </conditionalFormatting>
  <conditionalFormatting sqref="I39">
    <cfRule type="dataBar" priority="729">
      <dataBar>
        <cfvo type="min"/>
        <cfvo type="max"/>
        <color rgb="FF008AEF"/>
      </dataBar>
    </cfRule>
  </conditionalFormatting>
  <conditionalFormatting sqref="N45:N46">
    <cfRule type="cellIs" priority="723" operator="lessThan" dxfId="1" stopIfTrue="1">
      <formula>-0.01</formula>
    </cfRule>
    <cfRule type="cellIs" priority="724" operator="greaterThan" dxfId="0" stopIfTrue="1">
      <formula>0.01</formula>
    </cfRule>
  </conditionalFormatting>
  <conditionalFormatting sqref="I56:I57">
    <cfRule type="dataBar" priority="710">
      <dataBar>
        <cfvo type="min"/>
        <cfvo type="max"/>
        <color rgb="FF008AEF"/>
      </dataBar>
    </cfRule>
  </conditionalFormatting>
  <conditionalFormatting sqref="I51">
    <cfRule type="dataBar" priority="709">
      <dataBar>
        <cfvo type="min"/>
        <cfvo type="max"/>
        <color rgb="FF008AEF"/>
      </dataBar>
    </cfRule>
    <cfRule type="dataBar" priority="702">
      <dataBar>
        <cfvo type="min"/>
        <cfvo type="max"/>
        <color rgb="FF008AEF"/>
      </dataBar>
    </cfRule>
  </conditionalFormatting>
  <conditionalFormatting sqref="I52">
    <cfRule type="dataBar" priority="708">
      <dataBar>
        <cfvo type="min"/>
        <cfvo type="max"/>
        <color rgb="FF008AEF"/>
      </dataBar>
    </cfRule>
    <cfRule type="dataBar" priority="701">
      <dataBar>
        <cfvo type="min"/>
        <cfvo type="max"/>
        <color rgb="FF008AEF"/>
      </dataBar>
    </cfRule>
  </conditionalFormatting>
  <conditionalFormatting sqref="I53:I54">
    <cfRule type="dataBar" priority="707">
      <dataBar>
        <cfvo type="min"/>
        <cfvo type="max"/>
        <color rgb="FF008AEF"/>
      </dataBar>
    </cfRule>
  </conditionalFormatting>
  <conditionalFormatting sqref="I55">
    <cfRule type="dataBar" priority="706">
      <dataBar>
        <cfvo type="min"/>
        <cfvo type="max"/>
        <color rgb="FF008AEF"/>
      </dataBar>
    </cfRule>
  </conditionalFormatting>
  <conditionalFormatting sqref="I53:I55">
    <cfRule type="dataBar" priority="705">
      <dataBar>
        <cfvo type="min"/>
        <cfvo type="max"/>
        <color rgb="FF008AEF"/>
      </dataBar>
    </cfRule>
  </conditionalFormatting>
  <conditionalFormatting sqref="I49">
    <cfRule type="dataBar" priority="704">
      <dataBar>
        <cfvo type="min"/>
        <cfvo type="max"/>
        <color rgb="FF008AEF"/>
      </dataBar>
    </cfRule>
  </conditionalFormatting>
  <conditionalFormatting sqref="I50">
    <cfRule type="dataBar" priority="703">
      <dataBar>
        <cfvo type="min"/>
        <cfvo type="max"/>
        <color rgb="FF008AEF"/>
      </dataBar>
    </cfRule>
  </conditionalFormatting>
  <conditionalFormatting sqref="J51:J55">
    <cfRule type="cellIs" priority="699" operator="greaterThan" dxfId="1">
      <formula>0.03</formula>
    </cfRule>
    <cfRule type="cellIs" priority="700" operator="lessThan" dxfId="0" stopIfTrue="1">
      <formula>-0.03</formula>
    </cfRule>
  </conditionalFormatting>
  <conditionalFormatting sqref="N56:N57">
    <cfRule type="cellIs" priority="697" operator="lessThan" dxfId="1" stopIfTrue="1">
      <formula>-0.01</formula>
    </cfRule>
    <cfRule type="cellIs" priority="698" operator="greaterThan" dxfId="0" stopIfTrue="1">
      <formula>0.01</formula>
    </cfRule>
  </conditionalFormatting>
  <conditionalFormatting sqref="N51">
    <cfRule type="cellIs" priority="695" operator="lessThan" dxfId="1" stopIfTrue="1">
      <formula>-0.01</formula>
    </cfRule>
    <cfRule type="cellIs" priority="696" operator="greaterThan" dxfId="0" stopIfTrue="1">
      <formula>0.01</formula>
    </cfRule>
  </conditionalFormatting>
  <conditionalFormatting sqref="N52">
    <cfRule type="cellIs" priority="693" operator="lessThan" dxfId="1" stopIfTrue="1">
      <formula>-0.01</formula>
    </cfRule>
    <cfRule type="cellIs" priority="694" operator="greaterThan" dxfId="0" stopIfTrue="1">
      <formula>0.01</formula>
    </cfRule>
  </conditionalFormatting>
  <conditionalFormatting sqref="N53:N54">
    <cfRule type="cellIs" priority="691" operator="lessThan" dxfId="1" stopIfTrue="1">
      <formula>-0.01</formula>
    </cfRule>
    <cfRule type="cellIs" priority="692" operator="greaterThan" dxfId="0" stopIfTrue="1">
      <formula>0.01</formula>
    </cfRule>
  </conditionalFormatting>
  <conditionalFormatting sqref="N55">
    <cfRule type="cellIs" priority="689" operator="lessThan" dxfId="1" stopIfTrue="1">
      <formula>-0.01</formula>
    </cfRule>
    <cfRule type="cellIs" priority="690" operator="greaterThan" dxfId="0" stopIfTrue="1">
      <formula>0.01</formula>
    </cfRule>
  </conditionalFormatting>
  <conditionalFormatting sqref="P51">
    <cfRule type="cellIs" priority="687" operator="greaterThan" dxfId="1">
      <formula>0.03</formula>
    </cfRule>
    <cfRule type="cellIs" priority="688" operator="lessThan" dxfId="0" stopIfTrue="1">
      <formula>-0.03</formula>
    </cfRule>
  </conditionalFormatting>
  <conditionalFormatting sqref="P55">
    <cfRule type="cellIs" priority="685" operator="lessThan" dxfId="1">
      <formula>-0.03</formula>
    </cfRule>
    <cfRule type="cellIs" priority="686" operator="greaterThan" dxfId="0" stopIfTrue="1">
      <formula>0.03</formula>
    </cfRule>
  </conditionalFormatting>
  <conditionalFormatting sqref="I60">
    <cfRule type="dataBar" priority="678">
      <dataBar>
        <cfvo type="min"/>
        <cfvo type="max"/>
        <color rgb="FF008AEF"/>
      </dataBar>
    </cfRule>
  </conditionalFormatting>
  <conditionalFormatting sqref="I61">
    <cfRule type="dataBar" priority="677">
      <dataBar>
        <cfvo type="min"/>
        <cfvo type="max"/>
        <color rgb="FF008AEF"/>
      </dataBar>
    </cfRule>
  </conditionalFormatting>
  <conditionalFormatting sqref="N68">
    <cfRule type="cellIs" priority="671" operator="lessThan" dxfId="1" stopIfTrue="1">
      <formula>-0.01</formula>
    </cfRule>
    <cfRule type="cellIs" priority="672" operator="greaterThan" dxfId="0" stopIfTrue="1">
      <formula>0.01</formula>
    </cfRule>
  </conditionalFormatting>
  <conditionalFormatting sqref="J40:J44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N40">
    <cfRule type="cellIs" priority="567" operator="lessThan" dxfId="1" stopIfTrue="1">
      <formula>-0.01</formula>
    </cfRule>
    <cfRule type="cellIs" priority="568" operator="greaterThan" dxfId="0" stopIfTrue="1">
      <formula>0.01</formula>
    </cfRule>
  </conditionalFormatting>
  <conditionalFormatting sqref="N41">
    <cfRule type="cellIs" priority="565" operator="lessThan" dxfId="1" stopIfTrue="1">
      <formula>-0.01</formula>
    </cfRule>
    <cfRule type="cellIs" priority="566" operator="greaterThan" dxfId="0" stopIfTrue="1">
      <formula>0.01</formula>
    </cfRule>
  </conditionalFormatting>
  <conditionalFormatting sqref="N42:N43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N44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P40">
    <cfRule type="cellIs" priority="559" operator="greaterThan" dxfId="1">
      <formula>0.03</formula>
    </cfRule>
    <cfRule type="cellIs" priority="560" operator="lessThan" dxfId="0" stopIfTrue="1">
      <formula>-0.03</formula>
    </cfRule>
  </conditionalFormatting>
  <conditionalFormatting sqref="P44">
    <cfRule type="cellIs" priority="557" operator="lessThan" dxfId="1">
      <formula>-0.03</formula>
    </cfRule>
    <cfRule type="cellIs" priority="558" operator="greaterThan" dxfId="0" stopIfTrue="1">
      <formula>0.03</formula>
    </cfRule>
  </conditionalFormatting>
  <conditionalFormatting sqref="I34">
    <cfRule type="dataBar" priority="556">
      <dataBar>
        <cfvo type="min"/>
        <cfvo type="max"/>
        <color rgb="FF008AEF"/>
      </dataBar>
    </cfRule>
  </conditionalFormatting>
  <conditionalFormatting sqref="I29">
    <cfRule type="dataBar" priority="555">
      <dataBar>
        <cfvo type="min"/>
        <cfvo type="max"/>
        <color rgb="FF008AEF"/>
      </dataBar>
    </cfRule>
    <cfRule type="dataBar" priority="550">
      <dataBar>
        <cfvo type="min"/>
        <cfvo type="max"/>
        <color rgb="FF008AEF"/>
      </dataBar>
    </cfRule>
  </conditionalFormatting>
  <conditionalFormatting sqref="I30">
    <cfRule type="dataBar" priority="554">
      <dataBar>
        <cfvo type="min"/>
        <cfvo type="max"/>
        <color rgb="FF008AEF"/>
      </dataBar>
    </cfRule>
    <cfRule type="dataBar" priority="549">
      <dataBar>
        <cfvo type="min"/>
        <cfvo type="max"/>
        <color rgb="FF008AEF"/>
      </dataBar>
    </cfRule>
  </conditionalFormatting>
  <conditionalFormatting sqref="I31:I32">
    <cfRule type="dataBar" priority="553">
      <dataBar>
        <cfvo type="min"/>
        <cfvo type="max"/>
        <color rgb="FF008AEF"/>
      </dataBar>
    </cfRule>
  </conditionalFormatting>
  <conditionalFormatting sqref="I33">
    <cfRule type="dataBar" priority="552">
      <dataBar>
        <cfvo type="min"/>
        <cfvo type="max"/>
        <color rgb="FF008AEF"/>
      </dataBar>
    </cfRule>
  </conditionalFormatting>
  <conditionalFormatting sqref="I31:I33">
    <cfRule type="dataBar" priority="551">
      <dataBar>
        <cfvo type="min"/>
        <cfvo type="max"/>
        <color rgb="FF008AEF"/>
      </dataBar>
    </cfRule>
  </conditionalFormatting>
  <conditionalFormatting sqref="N34">
    <cfRule type="cellIs" priority="547" operator="lessThan" dxfId="1" stopIfTrue="1">
      <formula>-0.01</formula>
    </cfRule>
    <cfRule type="cellIs" priority="548" operator="greaterThan" dxfId="0" stopIfTrue="1">
      <formula>0.01</formula>
    </cfRule>
  </conditionalFormatting>
  <conditionalFormatting sqref="J29:J33">
    <cfRule type="cellIs" priority="545" operator="greaterThan" dxfId="1">
      <formula>0.03</formula>
    </cfRule>
    <cfRule type="cellIs" priority="546" operator="lessThan" dxfId="0" stopIfTrue="1">
      <formula>-0.03</formula>
    </cfRule>
  </conditionalFormatting>
  <conditionalFormatting sqref="N29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N30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N31:N32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N33">
    <cfRule type="cellIs" priority="537" operator="lessThan" dxfId="1" stopIfTrue="1">
      <formula>-0.01</formula>
    </cfRule>
    <cfRule type="cellIs" priority="538" operator="greaterThan" dxfId="0" stopIfTrue="1">
      <formula>0.01</formula>
    </cfRule>
  </conditionalFormatting>
  <conditionalFormatting sqref="P29">
    <cfRule type="cellIs" priority="535" operator="greaterThan" dxfId="1">
      <formula>0.03</formula>
    </cfRule>
    <cfRule type="cellIs" priority="536" operator="lessThan" dxfId="0" stopIfTrue="1">
      <formula>-0.03</formula>
    </cfRule>
  </conditionalFormatting>
  <conditionalFormatting sqref="P33">
    <cfRule type="cellIs" priority="533" operator="lessThan" dxfId="1">
      <formula>-0.03</formula>
    </cfRule>
    <cfRule type="cellIs" priority="534" operator="greaterThan" dxfId="0" stopIfTrue="1">
      <formula>0.03</formula>
    </cfRule>
  </conditionalFormatting>
  <conditionalFormatting sqref="I23">
    <cfRule type="dataBar" priority="532">
      <dataBar>
        <cfvo type="min"/>
        <cfvo type="max"/>
        <color rgb="FF008AEF"/>
      </dataBar>
    </cfRule>
  </conditionalFormatting>
  <conditionalFormatting sqref="I18">
    <cfRule type="dataBar" priority="531">
      <dataBar>
        <cfvo type="min"/>
        <cfvo type="max"/>
        <color rgb="FF008AEF"/>
      </dataBar>
    </cfRule>
    <cfRule type="dataBar" priority="526">
      <dataBar>
        <cfvo type="min"/>
        <cfvo type="max"/>
        <color rgb="FF008AEF"/>
      </dataBar>
    </cfRule>
  </conditionalFormatting>
  <conditionalFormatting sqref="I19">
    <cfRule type="dataBar" priority="530">
      <dataBar>
        <cfvo type="min"/>
        <cfvo type="max"/>
        <color rgb="FF008AEF"/>
      </dataBar>
    </cfRule>
    <cfRule type="dataBar" priority="525">
      <dataBar>
        <cfvo type="min"/>
        <cfvo type="max"/>
        <color rgb="FF008AEF"/>
      </dataBar>
    </cfRule>
  </conditionalFormatting>
  <conditionalFormatting sqref="I20:I21">
    <cfRule type="dataBar" priority="529">
      <dataBar>
        <cfvo type="min"/>
        <cfvo type="max"/>
        <color rgb="FF008AEF"/>
      </dataBar>
    </cfRule>
  </conditionalFormatting>
  <conditionalFormatting sqref="I22">
    <cfRule type="dataBar" priority="528">
      <dataBar>
        <cfvo type="min"/>
        <cfvo type="max"/>
        <color rgb="FF008AEF"/>
      </dataBar>
    </cfRule>
  </conditionalFormatting>
  <conditionalFormatting sqref="I20:I22">
    <cfRule type="dataBar" priority="527">
      <dataBar>
        <cfvo type="min"/>
        <cfvo type="max"/>
        <color rgb="FF008AEF"/>
      </dataBar>
    </cfRule>
  </conditionalFormatting>
  <conditionalFormatting sqref="N23">
    <cfRule type="cellIs" priority="523" operator="lessThan" dxfId="1" stopIfTrue="1">
      <formula>-0.01</formula>
    </cfRule>
    <cfRule type="cellIs" priority="524" operator="greaterThan" dxfId="0" stopIfTrue="1">
      <formula>0.01</formula>
    </cfRule>
  </conditionalFormatting>
  <conditionalFormatting sqref="J18:J22">
    <cfRule type="cellIs" priority="521" operator="greaterThan" dxfId="1">
      <formula>0.03</formula>
    </cfRule>
    <cfRule type="cellIs" priority="522" operator="lessThan" dxfId="0" stopIfTrue="1">
      <formula>-0.03</formula>
    </cfRule>
  </conditionalFormatting>
  <conditionalFormatting sqref="N18">
    <cfRule type="cellIs" priority="519" operator="lessThan" dxfId="1" stopIfTrue="1">
      <formula>-0.01</formula>
    </cfRule>
    <cfRule type="cellIs" priority="520" operator="greaterThan" dxfId="0" stopIfTrue="1">
      <formula>0.01</formula>
    </cfRule>
  </conditionalFormatting>
  <conditionalFormatting sqref="N19">
    <cfRule type="cellIs" priority="517" operator="lessThan" dxfId="1" stopIfTrue="1">
      <formula>-0.01</formula>
    </cfRule>
    <cfRule type="cellIs" priority="518" operator="greaterThan" dxfId="0" stopIfTrue="1">
      <formula>0.01</formula>
    </cfRule>
  </conditionalFormatting>
  <conditionalFormatting sqref="N20:N21">
    <cfRule type="cellIs" priority="515" operator="lessThan" dxfId="1" stopIfTrue="1">
      <formula>-0.01</formula>
    </cfRule>
    <cfRule type="cellIs" priority="516" operator="greaterThan" dxfId="0" stopIfTrue="1">
      <formula>0.01</formula>
    </cfRule>
  </conditionalFormatting>
  <conditionalFormatting sqref="N22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P18">
    <cfRule type="cellIs" priority="511" operator="greaterThan" dxfId="1">
      <formula>0.03</formula>
    </cfRule>
    <cfRule type="cellIs" priority="512" operator="lessThan" dxfId="0" stopIfTrue="1">
      <formula>-0.03</formula>
    </cfRule>
  </conditionalFormatting>
  <conditionalFormatting sqref="P22">
    <cfRule type="cellIs" priority="509" operator="lessThan" dxfId="1">
      <formula>-0.03</formula>
    </cfRule>
    <cfRule type="cellIs" priority="510" operator="greaterThan" dxfId="0" stopIfTrue="1">
      <formula>0.03</formula>
    </cfRule>
  </conditionalFormatting>
  <conditionalFormatting sqref="I67">
    <cfRule type="dataBar" priority="484">
      <dataBar>
        <cfvo type="min"/>
        <cfvo type="max"/>
        <color rgb="FF008AEF"/>
      </dataBar>
    </cfRule>
  </conditionalFormatting>
  <conditionalFormatting sqref="I62">
    <cfRule type="dataBar" priority="483">
      <dataBar>
        <cfvo type="min"/>
        <cfvo type="max"/>
        <color rgb="FF008AEF"/>
      </dataBar>
    </cfRule>
    <cfRule type="dataBar" priority="478">
      <dataBar>
        <cfvo type="min"/>
        <cfvo type="max"/>
        <color rgb="FF008AEF"/>
      </dataBar>
    </cfRule>
  </conditionalFormatting>
  <conditionalFormatting sqref="I63">
    <cfRule type="dataBar" priority="482">
      <dataBar>
        <cfvo type="min"/>
        <cfvo type="max"/>
        <color rgb="FF008AEF"/>
      </dataBar>
    </cfRule>
    <cfRule type="dataBar" priority="477">
      <dataBar>
        <cfvo type="min"/>
        <cfvo type="max"/>
        <color rgb="FF008AEF"/>
      </dataBar>
    </cfRule>
  </conditionalFormatting>
  <conditionalFormatting sqref="I64:I65">
    <cfRule type="dataBar" priority="481">
      <dataBar>
        <cfvo type="min"/>
        <cfvo type="max"/>
        <color rgb="FF008AEF"/>
      </dataBar>
    </cfRule>
  </conditionalFormatting>
  <conditionalFormatting sqref="I66">
    <cfRule type="dataBar" priority="480">
      <dataBar>
        <cfvo type="min"/>
        <cfvo type="max"/>
        <color rgb="FF008AEF"/>
      </dataBar>
    </cfRule>
  </conditionalFormatting>
  <conditionalFormatting sqref="I64:I66">
    <cfRule type="dataBar" priority="479">
      <dataBar>
        <cfvo type="min"/>
        <cfvo type="max"/>
        <color rgb="FF008AEF"/>
      </dataBar>
    </cfRule>
  </conditionalFormatting>
  <conditionalFormatting sqref="J62:J66">
    <cfRule type="cellIs" priority="475" operator="greaterThan" dxfId="1">
      <formula>0.03</formula>
    </cfRule>
    <cfRule type="cellIs" priority="476" operator="lessThan" dxfId="0" stopIfTrue="1">
      <formula>-0.03</formula>
    </cfRule>
  </conditionalFormatting>
  <conditionalFormatting sqref="N67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6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63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64:N6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N66">
    <cfRule type="cellIs" priority="465" operator="lessThan" dxfId="1" stopIfTrue="1">
      <formula>-0.01</formula>
    </cfRule>
    <cfRule type="cellIs" priority="466" operator="greaterThan" dxfId="0" stopIfTrue="1">
      <formula>0.01</formula>
    </cfRule>
  </conditionalFormatting>
  <conditionalFormatting sqref="P62">
    <cfRule type="cellIs" priority="463" operator="greaterThan" dxfId="1">
      <formula>0.03</formula>
    </cfRule>
    <cfRule type="cellIs" priority="464" operator="lessThan" dxfId="0" stopIfTrue="1">
      <formula>-0.03</formula>
    </cfRule>
  </conditionalFormatting>
  <conditionalFormatting sqref="P66">
    <cfRule type="cellIs" priority="461" operator="lessThan" dxfId="1">
      <formula>-0.03</formula>
    </cfRule>
    <cfRule type="cellIs" priority="462" operator="greaterThan" dxfId="0" stopIfTrue="1">
      <formula>0.03</formula>
    </cfRule>
  </conditionalFormatting>
  <conditionalFormatting sqref="R67:T68">
    <cfRule type="dataBar" priority="1108">
      <dataBar>
        <cfvo type="min"/>
        <cfvo type="max"/>
        <color rgb="FF008AEF"/>
      </dataBar>
    </cfRule>
  </conditionalFormatting>
  <conditionalFormatting sqref="U67:U68">
    <cfRule type="dataBar" priority="1109">
      <dataBar>
        <cfvo type="min"/>
        <cfvo type="max"/>
        <color rgb="FF008AEF"/>
      </dataBar>
    </cfRule>
  </conditionalFormatting>
  <conditionalFormatting sqref="I68">
    <cfRule type="dataBar" priority="1112">
      <dataBar>
        <cfvo type="min"/>
        <cfvo type="max"/>
        <color rgb="FF008AEF"/>
      </dataBar>
    </cfRule>
  </conditionalFormatting>
  <conditionalFormatting sqref="Z78:Z79">
    <cfRule type="cellIs" priority="252" operator="lessThan" dxfId="1" stopIfTrue="1">
      <formula>-0.01</formula>
    </cfRule>
    <cfRule type="cellIs" priority="253" operator="greaterThan" dxfId="0" stopIfTrue="1">
      <formula>0.01</formula>
    </cfRule>
  </conditionalFormatting>
  <conditionalFormatting sqref="AB73">
    <cfRule type="cellIs" priority="249" operator="greaterThan" dxfId="1">
      <formula>0.03</formula>
    </cfRule>
    <cfRule type="cellIs" priority="250" operator="lessThan" dxfId="0" stopIfTrue="1">
      <formula>-0.03</formula>
    </cfRule>
  </conditionalFormatting>
  <conditionalFormatting sqref="AB77">
    <cfRule type="cellIs" priority="247" operator="lessThan" dxfId="1">
      <formula>-0.03</formula>
    </cfRule>
    <cfRule type="cellIs" priority="248" operator="greaterThan" dxfId="0" stopIfTrue="1">
      <formula>0.03</formula>
    </cfRule>
  </conditionalFormatting>
  <conditionalFormatting sqref="Z73">
    <cfRule type="cellIs" priority="245" operator="lessThan" dxfId="1" stopIfTrue="1">
      <formula>-0.01</formula>
    </cfRule>
    <cfRule type="cellIs" priority="246" operator="greaterThan" dxfId="0" stopIfTrue="1">
      <formula>0.01</formula>
    </cfRule>
  </conditionalFormatting>
  <conditionalFormatting sqref="Z74">
    <cfRule type="cellIs" priority="243" operator="lessThan" dxfId="1" stopIfTrue="1">
      <formula>-0.01</formula>
    </cfRule>
    <cfRule type="cellIs" priority="244" operator="greaterThan" dxfId="0" stopIfTrue="1">
      <formula>0.01</formula>
    </cfRule>
  </conditionalFormatting>
  <conditionalFormatting sqref="Z75:Z76">
    <cfRule type="cellIs" priority="241" operator="lessThan" dxfId="1" stopIfTrue="1">
      <formula>-0.01</formula>
    </cfRule>
    <cfRule type="cellIs" priority="242" operator="greaterThan" dxfId="0" stopIfTrue="1">
      <formula>0.01</formula>
    </cfRule>
  </conditionalFormatting>
  <conditionalFormatting sqref="Z77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V73:V77">
    <cfRule type="cellIs" priority="237" operator="greaterThan" dxfId="1">
      <formula>0.03</formula>
    </cfRule>
    <cfRule type="cellIs" priority="238" operator="lessThan" dxfId="0" stopIfTrue="1">
      <formula>-0.03</formula>
    </cfRule>
  </conditionalFormatting>
  <conditionalFormatting sqref="R74:T74">
    <cfRule type="dataBar" priority="236">
      <dataBar>
        <cfvo type="min"/>
        <cfvo type="max"/>
        <color rgb="FF008AEF"/>
      </dataBar>
    </cfRule>
  </conditionalFormatting>
  <conditionalFormatting sqref="R75:T76">
    <cfRule type="dataBar" priority="235">
      <dataBar>
        <cfvo type="min"/>
        <cfvo type="max"/>
        <color rgb="FF008AEF"/>
      </dataBar>
    </cfRule>
  </conditionalFormatting>
  <conditionalFormatting sqref="R77:T77">
    <cfRule type="dataBar" priority="234">
      <dataBar>
        <cfvo type="min"/>
        <cfvo type="max"/>
        <color rgb="FF008AEF"/>
      </dataBar>
    </cfRule>
  </conditionalFormatting>
  <conditionalFormatting sqref="R73:U73 U74:U77">
    <cfRule type="dataBar" priority="251">
      <dataBar>
        <cfvo type="min"/>
        <cfvo type="max"/>
        <color rgb="FF008AEF"/>
      </dataBar>
    </cfRule>
  </conditionalFormatting>
  <conditionalFormatting sqref="I71">
    <cfRule type="dataBar" priority="233">
      <dataBar>
        <cfvo type="min"/>
        <cfvo type="max"/>
        <color rgb="FF008AEF"/>
      </dataBar>
    </cfRule>
  </conditionalFormatting>
  <conditionalFormatting sqref="I72">
    <cfRule type="dataBar" priority="232">
      <dataBar>
        <cfvo type="min"/>
        <cfvo type="max"/>
        <color rgb="FF008AEF"/>
      </dataBar>
    </cfRule>
  </conditionalFormatting>
  <conditionalFormatting sqref="N79">
    <cfRule type="cellIs" priority="230" operator="lessThan" dxfId="1" stopIfTrue="1">
      <formula>-0.01</formula>
    </cfRule>
    <cfRule type="cellIs" priority="231" operator="greaterThan" dxfId="0" stopIfTrue="1">
      <formula>0.01</formula>
    </cfRule>
  </conditionalFormatting>
  <conditionalFormatting sqref="I78">
    <cfRule type="dataBar" priority="229">
      <dataBar>
        <cfvo type="min"/>
        <cfvo type="max"/>
        <color rgb="FF008AEF"/>
      </dataBar>
    </cfRule>
  </conditionalFormatting>
  <conditionalFormatting sqref="I73">
    <cfRule type="dataBar" priority="228">
      <dataBar>
        <cfvo type="min"/>
        <cfvo type="max"/>
        <color rgb="FF008AEF"/>
      </dataBar>
    </cfRule>
    <cfRule type="dataBar" priority="223">
      <dataBar>
        <cfvo type="min"/>
        <cfvo type="max"/>
        <color rgb="FF008AEF"/>
      </dataBar>
    </cfRule>
  </conditionalFormatting>
  <conditionalFormatting sqref="I74">
    <cfRule type="dataBar" priority="227">
      <dataBar>
        <cfvo type="min"/>
        <cfvo type="max"/>
        <color rgb="FF008AEF"/>
      </dataBar>
    </cfRule>
    <cfRule type="dataBar" priority="222">
      <dataBar>
        <cfvo type="min"/>
        <cfvo type="max"/>
        <color rgb="FF008AEF"/>
      </dataBar>
    </cfRule>
  </conditionalFormatting>
  <conditionalFormatting sqref="I75:I76">
    <cfRule type="dataBar" priority="226">
      <dataBar>
        <cfvo type="min"/>
        <cfvo type="max"/>
        <color rgb="FF008AEF"/>
      </dataBar>
    </cfRule>
  </conditionalFormatting>
  <conditionalFormatting sqref="I77">
    <cfRule type="dataBar" priority="225">
      <dataBar>
        <cfvo type="min"/>
        <cfvo type="max"/>
        <color rgb="FF008AEF"/>
      </dataBar>
    </cfRule>
  </conditionalFormatting>
  <conditionalFormatting sqref="I75:I77">
    <cfRule type="dataBar" priority="224">
      <dataBar>
        <cfvo type="min"/>
        <cfvo type="max"/>
        <color rgb="FF008AEF"/>
      </dataBar>
    </cfRule>
  </conditionalFormatting>
  <conditionalFormatting sqref="J73:J77">
    <cfRule type="cellIs" priority="220" operator="greaterThan" dxfId="1">
      <formula>0.03</formula>
    </cfRule>
    <cfRule type="cellIs" priority="221" operator="lessThan" dxfId="0" stopIfTrue="1">
      <formula>-0.03</formula>
    </cfRule>
  </conditionalFormatting>
  <conditionalFormatting sqref="N78">
    <cfRule type="cellIs" priority="218" operator="lessThan" dxfId="1" stopIfTrue="1">
      <formula>-0.01</formula>
    </cfRule>
    <cfRule type="cellIs" priority="219" operator="greaterThan" dxfId="0" stopIfTrue="1">
      <formula>0.01</formula>
    </cfRule>
  </conditionalFormatting>
  <conditionalFormatting sqref="N73">
    <cfRule type="cellIs" priority="216" operator="lessThan" dxfId="1" stopIfTrue="1">
      <formula>-0.01</formula>
    </cfRule>
    <cfRule type="cellIs" priority="217" operator="greaterThan" dxfId="0" stopIfTrue="1">
      <formula>0.01</formula>
    </cfRule>
  </conditionalFormatting>
  <conditionalFormatting sqref="N74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N75:N76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N77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P73">
    <cfRule type="cellIs" priority="208" operator="greaterThan" dxfId="1">
      <formula>0.03</formula>
    </cfRule>
    <cfRule type="cellIs" priority="209" operator="lessThan" dxfId="0" stopIfTrue="1">
      <formula>-0.03</formula>
    </cfRule>
  </conditionalFormatting>
  <conditionalFormatting sqref="P77">
    <cfRule type="cellIs" priority="206" operator="lessThan" dxfId="1">
      <formula>-0.03</formula>
    </cfRule>
    <cfRule type="cellIs" priority="207" operator="greaterThan" dxfId="0" stopIfTrue="1">
      <formula>0.03</formula>
    </cfRule>
  </conditionalFormatting>
  <conditionalFormatting sqref="R78:T79">
    <cfRule type="dataBar" priority="254">
      <dataBar>
        <cfvo type="min"/>
        <cfvo type="max"/>
        <color rgb="FF008AEF"/>
      </dataBar>
    </cfRule>
  </conditionalFormatting>
  <conditionalFormatting sqref="U78:U79">
    <cfRule type="dataBar" priority="255">
      <dataBar>
        <cfvo type="min"/>
        <cfvo type="max"/>
        <color rgb="FF008AEF"/>
      </dataBar>
    </cfRule>
  </conditionalFormatting>
  <conditionalFormatting sqref="I79">
    <cfRule type="dataBar" priority="256">
      <dataBar>
        <cfvo type="min"/>
        <cfvo type="max"/>
        <color rgb="FF008AEF"/>
      </dataBar>
    </cfRule>
  </conditionalFormatting>
  <conditionalFormatting sqref="Z89:Z9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AB84">
    <cfRule type="cellIs" priority="198" operator="greaterThan" dxfId="1">
      <formula>0.03</formula>
    </cfRule>
    <cfRule type="cellIs" priority="199" operator="lessThan" dxfId="0" stopIfTrue="1">
      <formula>-0.03</formula>
    </cfRule>
  </conditionalFormatting>
  <conditionalFormatting sqref="AB88">
    <cfRule type="cellIs" priority="196" operator="lessThan" dxfId="1">
      <formula>-0.03</formula>
    </cfRule>
    <cfRule type="cellIs" priority="197" operator="greaterThan" dxfId="0" stopIfTrue="1">
      <formula>0.03</formula>
    </cfRule>
  </conditionalFormatting>
  <conditionalFormatting sqref="Z84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Z85">
    <cfRule type="cellIs" priority="192" operator="lessThan" dxfId="1" stopIfTrue="1">
      <formula>-0.01</formula>
    </cfRule>
    <cfRule type="cellIs" priority="193" operator="greaterThan" dxfId="0" stopIfTrue="1">
      <formula>0.01</formula>
    </cfRule>
  </conditionalFormatting>
  <conditionalFormatting sqref="Z86:Z87">
    <cfRule type="cellIs" priority="190" operator="lessThan" dxfId="1" stopIfTrue="1">
      <formula>-0.01</formula>
    </cfRule>
    <cfRule type="cellIs" priority="191" operator="greaterThan" dxfId="0" stopIfTrue="1">
      <formula>0.01</formula>
    </cfRule>
  </conditionalFormatting>
  <conditionalFormatting sqref="Z88">
    <cfRule type="cellIs" priority="188" operator="lessThan" dxfId="1" stopIfTrue="1">
      <formula>-0.01</formula>
    </cfRule>
    <cfRule type="cellIs" priority="189" operator="greaterThan" dxfId="0" stopIfTrue="1">
      <formula>0.01</formula>
    </cfRule>
  </conditionalFormatting>
  <conditionalFormatting sqref="V84:V88">
    <cfRule type="cellIs" priority="186" operator="greaterThan" dxfId="1">
      <formula>0.03</formula>
    </cfRule>
    <cfRule type="cellIs" priority="187" operator="lessThan" dxfId="0" stopIfTrue="1">
      <formula>-0.03</formula>
    </cfRule>
  </conditionalFormatting>
  <conditionalFormatting sqref="R85:T85">
    <cfRule type="dataBar" priority="185">
      <dataBar>
        <cfvo type="min"/>
        <cfvo type="max"/>
        <color rgb="FF008AEF"/>
      </dataBar>
    </cfRule>
  </conditionalFormatting>
  <conditionalFormatting sqref="R86:T87">
    <cfRule type="dataBar" priority="184">
      <dataBar>
        <cfvo type="min"/>
        <cfvo type="max"/>
        <color rgb="FF008AEF"/>
      </dataBar>
    </cfRule>
  </conditionalFormatting>
  <conditionalFormatting sqref="R88:T88">
    <cfRule type="dataBar" priority="183">
      <dataBar>
        <cfvo type="min"/>
        <cfvo type="max"/>
        <color rgb="FF008AEF"/>
      </dataBar>
    </cfRule>
  </conditionalFormatting>
  <conditionalFormatting sqref="R84:U84 U85:U88">
    <cfRule type="dataBar" priority="200">
      <dataBar>
        <cfvo type="min"/>
        <cfvo type="max"/>
        <color rgb="FF008AEF"/>
      </dataBar>
    </cfRule>
  </conditionalFormatting>
  <conditionalFormatting sqref="I82">
    <cfRule type="dataBar" priority="182">
      <dataBar>
        <cfvo type="min"/>
        <cfvo type="max"/>
        <color rgb="FF008AEF"/>
      </dataBar>
    </cfRule>
  </conditionalFormatting>
  <conditionalFormatting sqref="I83">
    <cfRule type="dataBar" priority="181">
      <dataBar>
        <cfvo type="min"/>
        <cfvo type="max"/>
        <color rgb="FF008AEF"/>
      </dataBar>
    </cfRule>
  </conditionalFormatting>
  <conditionalFormatting sqref="N90">
    <cfRule type="cellIs" priority="179" operator="lessThan" dxfId="1" stopIfTrue="1">
      <formula>-0.01</formula>
    </cfRule>
    <cfRule type="cellIs" priority="180" operator="greaterThan" dxfId="0" stopIfTrue="1">
      <formula>0.01</formula>
    </cfRule>
  </conditionalFormatting>
  <conditionalFormatting sqref="I89">
    <cfRule type="dataBar" priority="178">
      <dataBar>
        <cfvo type="min"/>
        <cfvo type="max"/>
        <color rgb="FF008AEF"/>
      </dataBar>
    </cfRule>
  </conditionalFormatting>
  <conditionalFormatting sqref="I84">
    <cfRule type="dataBar" priority="177">
      <dataBar>
        <cfvo type="min"/>
        <cfvo type="max"/>
        <color rgb="FF008AEF"/>
      </dataBar>
    </cfRule>
    <cfRule type="dataBar" priority="172">
      <dataBar>
        <cfvo type="min"/>
        <cfvo type="max"/>
        <color rgb="FF008AEF"/>
      </dataBar>
    </cfRule>
  </conditionalFormatting>
  <conditionalFormatting sqref="I85">
    <cfRule type="dataBar" priority="176">
      <dataBar>
        <cfvo type="min"/>
        <cfvo type="max"/>
        <color rgb="FF008AEF"/>
      </dataBar>
    </cfRule>
    <cfRule type="dataBar" priority="171">
      <dataBar>
        <cfvo type="min"/>
        <cfvo type="max"/>
        <color rgb="FF008AEF"/>
      </dataBar>
    </cfRule>
  </conditionalFormatting>
  <conditionalFormatting sqref="I86:I87">
    <cfRule type="dataBar" priority="175">
      <dataBar>
        <cfvo type="min"/>
        <cfvo type="max"/>
        <color rgb="FF008AEF"/>
      </dataBar>
    </cfRule>
  </conditionalFormatting>
  <conditionalFormatting sqref="I88">
    <cfRule type="dataBar" priority="174">
      <dataBar>
        <cfvo type="min"/>
        <cfvo type="max"/>
        <color rgb="FF008AEF"/>
      </dataBar>
    </cfRule>
  </conditionalFormatting>
  <conditionalFormatting sqref="I86:I88">
    <cfRule type="dataBar" priority="173">
      <dataBar>
        <cfvo type="min"/>
        <cfvo type="max"/>
        <color rgb="FF008AEF"/>
      </dataBar>
    </cfRule>
  </conditionalFormatting>
  <conditionalFormatting sqref="J84:J88">
    <cfRule type="cellIs" priority="169" operator="greaterThan" dxfId="1">
      <formula>0.03</formula>
    </cfRule>
    <cfRule type="cellIs" priority="170" operator="lessThan" dxfId="0" stopIfTrue="1">
      <formula>-0.03</formula>
    </cfRule>
  </conditionalFormatting>
  <conditionalFormatting sqref="N89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N84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N85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N86:N87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N88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P84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P88">
    <cfRule type="cellIs" priority="155" operator="lessThan" dxfId="1">
      <formula>-0.03</formula>
    </cfRule>
    <cfRule type="cellIs" priority="156" operator="greaterThan" dxfId="0" stopIfTrue="1">
      <formula>0.03</formula>
    </cfRule>
  </conditionalFormatting>
  <conditionalFormatting sqref="R89:T90">
    <cfRule type="dataBar" priority="203">
      <dataBar>
        <cfvo type="min"/>
        <cfvo type="max"/>
        <color rgb="FF008AEF"/>
      </dataBar>
    </cfRule>
  </conditionalFormatting>
  <conditionalFormatting sqref="U89:U90">
    <cfRule type="dataBar" priority="204">
      <dataBar>
        <cfvo type="min"/>
        <cfvo type="max"/>
        <color rgb="FF008AEF"/>
      </dataBar>
    </cfRule>
  </conditionalFormatting>
  <conditionalFormatting sqref="I90">
    <cfRule type="dataBar" priority="205">
      <dataBar>
        <cfvo type="min"/>
        <cfvo type="max"/>
        <color rgb="FF008AEF"/>
      </dataBar>
    </cfRule>
  </conditionalFormatting>
  <conditionalFormatting sqref="Z100:Z101">
    <cfRule type="cellIs" priority="150" operator="lessThan" dxfId="1" stopIfTrue="1">
      <formula>-0.01</formula>
    </cfRule>
    <cfRule type="cellIs" priority="151" operator="greaterThan" dxfId="0" stopIfTrue="1">
      <formula>0.01</formula>
    </cfRule>
  </conditionalFormatting>
  <conditionalFormatting sqref="AB95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AB99">
    <cfRule type="cellIs" priority="145" operator="lessThan" dxfId="1">
      <formula>-0.03</formula>
    </cfRule>
    <cfRule type="cellIs" priority="146" operator="greaterThan" dxfId="0" stopIfTrue="1">
      <formula>0.03</formula>
    </cfRule>
  </conditionalFormatting>
  <conditionalFormatting sqref="Z95">
    <cfRule type="cellIs" priority="143" operator="lessThan" dxfId="1" stopIfTrue="1">
      <formula>-0.01</formula>
    </cfRule>
    <cfRule type="cellIs" priority="144" operator="greaterThan" dxfId="0" stopIfTrue="1">
      <formula>0.01</formula>
    </cfRule>
  </conditionalFormatting>
  <conditionalFormatting sqref="Z96">
    <cfRule type="cellIs" priority="141" operator="lessThan" dxfId="1" stopIfTrue="1">
      <formula>-0.01</formula>
    </cfRule>
    <cfRule type="cellIs" priority="142" operator="greaterThan" dxfId="0" stopIfTrue="1">
      <formula>0.01</formula>
    </cfRule>
  </conditionalFormatting>
  <conditionalFormatting sqref="Z97:Z98">
    <cfRule type="cellIs" priority="139" operator="lessThan" dxfId="1" stopIfTrue="1">
      <formula>-0.01</formula>
    </cfRule>
    <cfRule type="cellIs" priority="140" operator="greaterThan" dxfId="0" stopIfTrue="1">
      <formula>0.01</formula>
    </cfRule>
  </conditionalFormatting>
  <conditionalFormatting sqref="Z99">
    <cfRule type="cellIs" priority="137" operator="lessThan" dxfId="1" stopIfTrue="1">
      <formula>-0.01</formula>
    </cfRule>
    <cfRule type="cellIs" priority="138" operator="greaterThan" dxfId="0" stopIfTrue="1">
      <formula>0.01</formula>
    </cfRule>
  </conditionalFormatting>
  <conditionalFormatting sqref="V95:V99">
    <cfRule type="cellIs" priority="135" operator="greaterThan" dxfId="1">
      <formula>0.03</formula>
    </cfRule>
    <cfRule type="cellIs" priority="136" operator="lessThan" dxfId="0" stopIfTrue="1">
      <formula>-0.03</formula>
    </cfRule>
  </conditionalFormatting>
  <conditionalFormatting sqref="R96:T96">
    <cfRule type="dataBar" priority="134">
      <dataBar>
        <cfvo type="min"/>
        <cfvo type="max"/>
        <color rgb="FF008AEF"/>
      </dataBar>
    </cfRule>
  </conditionalFormatting>
  <conditionalFormatting sqref="R97:T98">
    <cfRule type="dataBar" priority="133">
      <dataBar>
        <cfvo type="min"/>
        <cfvo type="max"/>
        <color rgb="FF008AEF"/>
      </dataBar>
    </cfRule>
  </conditionalFormatting>
  <conditionalFormatting sqref="R99:T99">
    <cfRule type="dataBar" priority="132">
      <dataBar>
        <cfvo type="min"/>
        <cfvo type="max"/>
        <color rgb="FF008AEF"/>
      </dataBar>
    </cfRule>
  </conditionalFormatting>
  <conditionalFormatting sqref="R95:U95 U96:U99">
    <cfRule type="dataBar" priority="149">
      <dataBar>
        <cfvo type="min"/>
        <cfvo type="max"/>
        <color rgb="FF008AEF"/>
      </dataBar>
    </cfRule>
  </conditionalFormatting>
  <conditionalFormatting sqref="I93">
    <cfRule type="dataBar" priority="131">
      <dataBar>
        <cfvo type="min"/>
        <cfvo type="max"/>
        <color rgb="FF008AEF"/>
      </dataBar>
    </cfRule>
  </conditionalFormatting>
  <conditionalFormatting sqref="I94">
    <cfRule type="dataBar" priority="130">
      <dataBar>
        <cfvo type="min"/>
        <cfvo type="max"/>
        <color rgb="FF008AEF"/>
      </dataBar>
    </cfRule>
  </conditionalFormatting>
  <conditionalFormatting sqref="N101">
    <cfRule type="cellIs" priority="128" operator="lessThan" dxfId="1" stopIfTrue="1">
      <formula>-0.01</formula>
    </cfRule>
    <cfRule type="cellIs" priority="129" operator="greaterThan" dxfId="0" stopIfTrue="1">
      <formula>0.01</formula>
    </cfRule>
  </conditionalFormatting>
  <conditionalFormatting sqref="I100">
    <cfRule type="dataBar" priority="127">
      <dataBar>
        <cfvo type="min"/>
        <cfvo type="max"/>
        <color rgb="FF008AEF"/>
      </dataBar>
    </cfRule>
  </conditionalFormatting>
  <conditionalFormatting sqref="I95">
    <cfRule type="dataBar" priority="126">
      <dataBar>
        <cfvo type="min"/>
        <cfvo type="max"/>
        <color rgb="FF008AEF"/>
      </dataBar>
    </cfRule>
    <cfRule type="dataBar" priority="121">
      <dataBar>
        <cfvo type="min"/>
        <cfvo type="max"/>
        <color rgb="FF008AEF"/>
      </dataBar>
    </cfRule>
  </conditionalFormatting>
  <conditionalFormatting sqref="I9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97:I98">
    <cfRule type="dataBar" priority="124">
      <dataBar>
        <cfvo type="min"/>
        <cfvo type="max"/>
        <color rgb="FF008AEF"/>
      </dataBar>
    </cfRule>
  </conditionalFormatting>
  <conditionalFormatting sqref="I99">
    <cfRule type="dataBar" priority="123">
      <dataBar>
        <cfvo type="min"/>
        <cfvo type="max"/>
        <color rgb="FF008AEF"/>
      </dataBar>
    </cfRule>
  </conditionalFormatting>
  <conditionalFormatting sqref="I97:I99">
    <cfRule type="dataBar" priority="122">
      <dataBar>
        <cfvo type="min"/>
        <cfvo type="max"/>
        <color rgb="FF008AEF"/>
      </dataBar>
    </cfRule>
  </conditionalFormatting>
  <conditionalFormatting sqref="J95:J99">
    <cfRule type="cellIs" priority="118" operator="greaterThan" dxfId="1">
      <formula>0.03</formula>
    </cfRule>
    <cfRule type="cellIs" priority="119" operator="lessThan" dxfId="0" stopIfTrue="1">
      <formula>-0.03</formula>
    </cfRule>
  </conditionalFormatting>
  <conditionalFormatting sqref="N100">
    <cfRule type="cellIs" priority="116" operator="lessThan" dxfId="1" stopIfTrue="1">
      <formula>-0.01</formula>
    </cfRule>
    <cfRule type="cellIs" priority="117" operator="greaterThan" dxfId="0" stopIfTrue="1">
      <formula>0.01</formula>
    </cfRule>
  </conditionalFormatting>
  <conditionalFormatting sqref="N95">
    <cfRule type="cellIs" priority="114" operator="lessThan" dxfId="1" stopIfTrue="1">
      <formula>-0.01</formula>
    </cfRule>
    <cfRule type="cellIs" priority="115" operator="greaterThan" dxfId="0" stopIfTrue="1">
      <formula>0.01</formula>
    </cfRule>
  </conditionalFormatting>
  <conditionalFormatting sqref="N96">
    <cfRule type="cellIs" priority="112" operator="lessThan" dxfId="1" stopIfTrue="1">
      <formula>-0.01</formula>
    </cfRule>
    <cfRule type="cellIs" priority="113" operator="greaterThan" dxfId="0" stopIfTrue="1">
      <formula>0.01</formula>
    </cfRule>
  </conditionalFormatting>
  <conditionalFormatting sqref="N97:N98">
    <cfRule type="cellIs" priority="110" operator="lessThan" dxfId="1" stopIfTrue="1">
      <formula>-0.01</formula>
    </cfRule>
    <cfRule type="cellIs" priority="111" operator="greaterThan" dxfId="0" stopIfTrue="1">
      <formula>0.01</formula>
    </cfRule>
  </conditionalFormatting>
  <conditionalFormatting sqref="N99">
    <cfRule type="cellIs" priority="108" operator="lessThan" dxfId="1" stopIfTrue="1">
      <formula>-0.01</formula>
    </cfRule>
    <cfRule type="cellIs" priority="109" operator="greaterThan" dxfId="0" stopIfTrue="1">
      <formula>0.01</formula>
    </cfRule>
  </conditionalFormatting>
  <conditionalFormatting sqref="P95">
    <cfRule type="cellIs" priority="106" operator="greaterThan" dxfId="1">
      <formula>0.03</formula>
    </cfRule>
    <cfRule type="cellIs" priority="107" operator="lessThan" dxfId="0" stopIfTrue="1">
      <formula>-0.03</formula>
    </cfRule>
  </conditionalFormatting>
  <conditionalFormatting sqref="P99">
    <cfRule type="cellIs" priority="104" operator="lessThan" dxfId="1">
      <formula>-0.03</formula>
    </cfRule>
    <cfRule type="cellIs" priority="105" operator="greaterThan" dxfId="0" stopIfTrue="1">
      <formula>0.03</formula>
    </cfRule>
  </conditionalFormatting>
  <conditionalFormatting sqref="R100:T101">
    <cfRule type="dataBar" priority="152">
      <dataBar>
        <cfvo type="min"/>
        <cfvo type="max"/>
        <color rgb="FF008AEF"/>
      </dataBar>
    </cfRule>
  </conditionalFormatting>
  <conditionalFormatting sqref="U100:U101">
    <cfRule type="dataBar" priority="153">
      <dataBar>
        <cfvo type="min"/>
        <cfvo type="max"/>
        <color rgb="FF008AEF"/>
      </dataBar>
    </cfRule>
  </conditionalFormatting>
  <conditionalFormatting sqref="I101">
    <cfRule type="dataBar" priority="154">
      <dataBar>
        <cfvo type="min"/>
        <cfvo type="max"/>
        <color rgb="FF008AEF"/>
      </dataBar>
    </cfRule>
  </conditionalFormatting>
  <conditionalFormatting sqref="Z111:Z112">
    <cfRule type="cellIs" priority="99" operator="lessThan" dxfId="1" stopIfTrue="1">
      <formula>-0.01</formula>
    </cfRule>
    <cfRule type="cellIs" priority="100" operator="greaterThan" dxfId="0" stopIfTrue="1">
      <formula>0.01</formula>
    </cfRule>
  </conditionalFormatting>
  <conditionalFormatting sqref="AB106">
    <cfRule type="cellIs" priority="96" operator="greaterThan" dxfId="1">
      <formula>0.03</formula>
    </cfRule>
    <cfRule type="cellIs" priority="97" operator="lessThan" dxfId="0" stopIfTrue="1">
      <formula>-0.03</formula>
    </cfRule>
  </conditionalFormatting>
  <conditionalFormatting sqref="AB110">
    <cfRule type="cellIs" priority="94" operator="lessThan" dxfId="1">
      <formula>-0.03</formula>
    </cfRule>
    <cfRule type="cellIs" priority="95" operator="greaterThan" dxfId="0" stopIfTrue="1">
      <formula>0.03</formula>
    </cfRule>
  </conditionalFormatting>
  <conditionalFormatting sqref="Z106">
    <cfRule type="cellIs" priority="92" operator="lessThan" dxfId="1" stopIfTrue="1">
      <formula>-0.01</formula>
    </cfRule>
    <cfRule type="cellIs" priority="93" operator="greaterThan" dxfId="0" stopIfTrue="1">
      <formula>0.01</formula>
    </cfRule>
  </conditionalFormatting>
  <conditionalFormatting sqref="Z107">
    <cfRule type="cellIs" priority="90" operator="lessThan" dxfId="1" stopIfTrue="1">
      <formula>-0.01</formula>
    </cfRule>
    <cfRule type="cellIs" priority="91" operator="greaterThan" dxfId="0" stopIfTrue="1">
      <formula>0.01</formula>
    </cfRule>
  </conditionalFormatting>
  <conditionalFormatting sqref="Z108:Z109">
    <cfRule type="cellIs" priority="88" operator="lessThan" dxfId="1" stopIfTrue="1">
      <formula>-0.01</formula>
    </cfRule>
    <cfRule type="cellIs" priority="89" operator="greaterThan" dxfId="0" stopIfTrue="1">
      <formula>0.01</formula>
    </cfRule>
  </conditionalFormatting>
  <conditionalFormatting sqref="Z110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V106:V110">
    <cfRule type="cellIs" priority="84" operator="greaterThan" dxfId="1">
      <formula>0.03</formula>
    </cfRule>
    <cfRule type="cellIs" priority="85" operator="lessThan" dxfId="0" stopIfTrue="1">
      <formula>-0.03</formula>
    </cfRule>
  </conditionalFormatting>
  <conditionalFormatting sqref="R107:T107">
    <cfRule type="dataBar" priority="83">
      <dataBar>
        <cfvo type="min"/>
        <cfvo type="max"/>
        <color rgb="FF008AEF"/>
      </dataBar>
    </cfRule>
  </conditionalFormatting>
  <conditionalFormatting sqref="R108:T109">
    <cfRule type="dataBar" priority="82">
      <dataBar>
        <cfvo type="min"/>
        <cfvo type="max"/>
        <color rgb="FF008AEF"/>
      </dataBar>
    </cfRule>
  </conditionalFormatting>
  <conditionalFormatting sqref="R110:T110">
    <cfRule type="dataBar" priority="81">
      <dataBar>
        <cfvo type="min"/>
        <cfvo type="max"/>
        <color rgb="FF008AEF"/>
      </dataBar>
    </cfRule>
  </conditionalFormatting>
  <conditionalFormatting sqref="R106:U106 U107:U110">
    <cfRule type="dataBar" priority="98">
      <dataBar>
        <cfvo type="min"/>
        <cfvo type="max"/>
        <color rgb="FF008AEF"/>
      </dataBar>
    </cfRule>
  </conditionalFormatting>
  <conditionalFormatting sqref="I104">
    <cfRule type="dataBar" priority="80">
      <dataBar>
        <cfvo type="min"/>
        <cfvo type="max"/>
        <color rgb="FF008AEF"/>
      </dataBar>
    </cfRule>
  </conditionalFormatting>
  <conditionalFormatting sqref="I105">
    <cfRule type="dataBar" priority="79">
      <dataBar>
        <cfvo type="min"/>
        <cfvo type="max"/>
        <color rgb="FF008AEF"/>
      </dataBar>
    </cfRule>
  </conditionalFormatting>
  <conditionalFormatting sqref="N112">
    <cfRule type="cellIs" priority="77" operator="lessThan" dxfId="1" stopIfTrue="1">
      <formula>-0.01</formula>
    </cfRule>
    <cfRule type="cellIs" priority="78" operator="greaterThan" dxfId="0" stopIfTrue="1">
      <formula>0.01</formula>
    </cfRule>
  </conditionalFormatting>
  <conditionalFormatting sqref="I111">
    <cfRule type="dataBar" priority="76">
      <dataBar>
        <cfvo type="min"/>
        <cfvo type="max"/>
        <color rgb="FF008AEF"/>
      </dataBar>
    </cfRule>
  </conditionalFormatting>
  <conditionalFormatting sqref="I106">
    <cfRule type="dataBar" priority="75">
      <dataBar>
        <cfvo type="min"/>
        <cfvo type="max"/>
        <color rgb="FF008AEF"/>
      </dataBar>
    </cfRule>
    <cfRule type="dataBar" priority="70">
      <dataBar>
        <cfvo type="min"/>
        <cfvo type="max"/>
        <color rgb="FF008AEF"/>
      </dataBar>
    </cfRule>
  </conditionalFormatting>
  <conditionalFormatting sqref="I107">
    <cfRule type="dataBar" priority="74">
      <dataBar>
        <cfvo type="min"/>
        <cfvo type="max"/>
        <color rgb="FF008AEF"/>
      </dataBar>
    </cfRule>
    <cfRule type="dataBar" priority="69">
      <dataBar>
        <cfvo type="min"/>
        <cfvo type="max"/>
        <color rgb="FF008AEF"/>
      </dataBar>
    </cfRule>
  </conditionalFormatting>
  <conditionalFormatting sqref="I108:I109">
    <cfRule type="dataBar" priority="73">
      <dataBar>
        <cfvo type="min"/>
        <cfvo type="max"/>
        <color rgb="FF008AEF"/>
      </dataBar>
    </cfRule>
  </conditionalFormatting>
  <conditionalFormatting sqref="I110">
    <cfRule type="dataBar" priority="72">
      <dataBar>
        <cfvo type="min"/>
        <cfvo type="max"/>
        <color rgb="FF008AEF"/>
      </dataBar>
    </cfRule>
  </conditionalFormatting>
  <conditionalFormatting sqref="I108:I110">
    <cfRule type="dataBar" priority="71">
      <dataBar>
        <cfvo type="min"/>
        <cfvo type="max"/>
        <color rgb="FF008AEF"/>
      </dataBar>
    </cfRule>
  </conditionalFormatting>
  <conditionalFormatting sqref="J106:J110">
    <cfRule type="cellIs" priority="67" operator="greaterThan" dxfId="1">
      <formula>0.03</formula>
    </cfRule>
    <cfRule type="cellIs" priority="68" operator="lessThan" dxfId="0" stopIfTrue="1">
      <formula>-0.03</formula>
    </cfRule>
  </conditionalFormatting>
  <conditionalFormatting sqref="N111">
    <cfRule type="cellIs" priority="65" operator="lessThan" dxfId="1" stopIfTrue="1">
      <formula>-0.01</formula>
    </cfRule>
    <cfRule type="cellIs" priority="66" operator="greaterThan" dxfId="0" stopIfTrue="1">
      <formula>0.01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R111:T112">
    <cfRule type="dataBar" priority="101">
      <dataBar>
        <cfvo type="min"/>
        <cfvo type="max"/>
        <color rgb="FF008AEF"/>
      </dataBar>
    </cfRule>
  </conditionalFormatting>
  <conditionalFormatting sqref="U111:U112">
    <cfRule type="dataBar" priority="102">
      <dataBar>
        <cfvo type="min"/>
        <cfvo type="max"/>
        <color rgb="FF008AEF"/>
      </dataBar>
    </cfRule>
  </conditionalFormatting>
  <conditionalFormatting sqref="I112">
    <cfRule type="dataBar" priority="103">
      <dataBar>
        <cfvo type="min"/>
        <cfvo type="max"/>
        <color rgb="FF008AEF"/>
      </dataBar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4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:I14">
    <cfRule type="dataBar" priority="48">
      <dataBar>
        <cfvo type="min"/>
        <cfvo type="max"/>
        <color rgb="FF008AEF"/>
      </dataBar>
    </cfRule>
  </conditionalFormatting>
  <conditionalFormatting sqref="R12:T14">
    <cfRule type="dataBar" priority="47">
      <dataBar>
        <cfvo type="min"/>
        <cfvo type="max"/>
        <color rgb="FF008AEF"/>
      </dataBar>
    </cfRule>
  </conditionalFormatting>
  <conditionalFormatting sqref="U12:U14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:N14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21">
    <outlinePr summaryBelow="1" summaryRight="1"/>
    <pageSetUpPr/>
  </sheetPr>
  <dimension ref="A1:AF221"/>
  <sheetViews>
    <sheetView workbookViewId="0">
      <selection activeCell="R25" sqref="R25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G</t>
        </is>
      </c>
      <c r="M3" s="87" t="inlineStr">
        <is>
          <t>Y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YUV-PSNR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YUV-PSNR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YUV-PSNR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YUV-PSNR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YUV-PSNR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YUV-PSNR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YUV-PSNR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YUV-PSNR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5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YUV-PSNR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5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YUV-PSNR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11">
      <dataBar>
        <cfvo type="min"/>
        <cfvo type="max"/>
        <color rgb="FF008AEF"/>
      </dataBar>
    </cfRule>
  </conditionalFormatting>
  <conditionalFormatting sqref="Z23:Z24">
    <cfRule type="cellIs" priority="703" operator="lessThan" dxfId="1" stopIfTrue="1">
      <formula>-0.01</formula>
    </cfRule>
    <cfRule type="cellIs" priority="704" operator="greaterThan" dxfId="0" stopIfTrue="1">
      <formula>0.01</formula>
    </cfRule>
  </conditionalFormatting>
  <conditionalFormatting sqref="I24">
    <cfRule type="dataBar" priority="702">
      <dataBar>
        <cfvo type="min"/>
        <cfvo type="max"/>
        <color rgb="FF008AEF"/>
      </dataBar>
    </cfRule>
  </conditionalFormatting>
  <conditionalFormatting sqref="R23:T24">
    <cfRule type="dataBar" priority="701">
      <dataBar>
        <cfvo type="min"/>
        <cfvo type="max"/>
        <color rgb="FF008AEF"/>
      </dataBar>
    </cfRule>
  </conditionalFormatting>
  <conditionalFormatting sqref="U23:U24">
    <cfRule type="dataBar" priority="705">
      <dataBar>
        <cfvo type="min"/>
        <cfvo type="max"/>
        <color rgb="FF008AEF"/>
      </dataBar>
    </cfRule>
  </conditionalFormatting>
  <conditionalFormatting sqref="AB18">
    <cfRule type="cellIs" priority="698" operator="greaterThan" dxfId="1">
      <formula>0.03</formula>
    </cfRule>
    <cfRule type="cellIs" priority="699" operator="lessThan" dxfId="0" stopIfTrue="1">
      <formula>-0.03</formula>
    </cfRule>
  </conditionalFormatting>
  <conditionalFormatting sqref="AB22">
    <cfRule type="cellIs" priority="696" operator="lessThan" dxfId="1">
      <formula>-0.03</formula>
    </cfRule>
    <cfRule type="cellIs" priority="697" operator="greaterThan" dxfId="0" stopIfTrue="1">
      <formula>0.03</formula>
    </cfRule>
  </conditionalFormatting>
  <conditionalFormatting sqref="Z18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Z19">
    <cfRule type="cellIs" priority="692" operator="lessThan" dxfId="1" stopIfTrue="1">
      <formula>-0.01</formula>
    </cfRule>
    <cfRule type="cellIs" priority="693" operator="greaterThan" dxfId="0" stopIfTrue="1">
      <formula>0.01</formula>
    </cfRule>
  </conditionalFormatting>
  <conditionalFormatting sqref="Z20:Z21">
    <cfRule type="cellIs" priority="690" operator="lessThan" dxfId="1" stopIfTrue="1">
      <formula>-0.01</formula>
    </cfRule>
    <cfRule type="cellIs" priority="691" operator="greaterThan" dxfId="0" stopIfTrue="1">
      <formula>0.01</formula>
    </cfRule>
  </conditionalFormatting>
  <conditionalFormatting sqref="Z22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V18:V22">
    <cfRule type="cellIs" priority="686" operator="greaterThan" dxfId="1">
      <formula>0.03</formula>
    </cfRule>
    <cfRule type="cellIs" priority="687" operator="lessThan" dxfId="0" stopIfTrue="1">
      <formula>-0.03</formula>
    </cfRule>
  </conditionalFormatting>
  <conditionalFormatting sqref="R19:T19">
    <cfRule type="dataBar" priority="685">
      <dataBar>
        <cfvo type="min"/>
        <cfvo type="max"/>
        <color rgb="FF008AEF"/>
      </dataBar>
    </cfRule>
  </conditionalFormatting>
  <conditionalFormatting sqref="R20:T21">
    <cfRule type="dataBar" priority="684">
      <dataBar>
        <cfvo type="min"/>
        <cfvo type="max"/>
        <color rgb="FF008AEF"/>
      </dataBar>
    </cfRule>
  </conditionalFormatting>
  <conditionalFormatting sqref="R22:T22">
    <cfRule type="dataBar" priority="683">
      <dataBar>
        <cfvo type="min"/>
        <cfvo type="max"/>
        <color rgb="FF008AEF"/>
      </dataBar>
    </cfRule>
  </conditionalFormatting>
  <conditionalFormatting sqref="R18:U18">
    <cfRule type="dataBar" priority="700">
      <dataBar>
        <cfvo type="min"/>
        <cfvo type="max"/>
        <color rgb="FF008AEF"/>
      </dataBar>
    </cfRule>
  </conditionalFormatting>
  <conditionalFormatting sqref="Z34:Z35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R34:T35">
    <cfRule type="dataBar" priority="679">
      <dataBar>
        <cfvo type="min"/>
        <cfvo type="max"/>
        <color rgb="FF008AEF"/>
      </dataBar>
    </cfRule>
  </conditionalFormatting>
  <conditionalFormatting sqref="U34:U35">
    <cfRule type="dataBar" priority="682">
      <dataBar>
        <cfvo type="min"/>
        <cfvo type="max"/>
        <color rgb="FF008AEF"/>
      </dataBar>
    </cfRule>
  </conditionalFormatting>
  <conditionalFormatting sqref="AB29">
    <cfRule type="cellIs" priority="676" operator="greaterThan" dxfId="1">
      <formula>0.03</formula>
    </cfRule>
    <cfRule type="cellIs" priority="677" operator="lessThan" dxfId="0" stopIfTrue="1">
      <formula>-0.03</formula>
    </cfRule>
  </conditionalFormatting>
  <conditionalFormatting sqref="AB33">
    <cfRule type="cellIs" priority="674" operator="lessThan" dxfId="1">
      <formula>-0.03</formula>
    </cfRule>
    <cfRule type="cellIs" priority="675" operator="greaterThan" dxfId="0" stopIfTrue="1">
      <formula>0.03</formula>
    </cfRule>
  </conditionalFormatting>
  <conditionalFormatting sqref="Z29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Z30">
    <cfRule type="cellIs" priority="670" operator="lessThan" dxfId="1" stopIfTrue="1">
      <formula>-0.01</formula>
    </cfRule>
    <cfRule type="cellIs" priority="671" operator="greaterThan" dxfId="0" stopIfTrue="1">
      <formula>0.01</formula>
    </cfRule>
  </conditionalFormatting>
  <conditionalFormatting sqref="Z31:Z32">
    <cfRule type="cellIs" priority="668" operator="lessThan" dxfId="1" stopIfTrue="1">
      <formula>-0.01</formula>
    </cfRule>
    <cfRule type="cellIs" priority="669" operator="greaterThan" dxfId="0" stopIfTrue="1">
      <formula>0.01</formula>
    </cfRule>
  </conditionalFormatting>
  <conditionalFormatting sqref="Z33">
    <cfRule type="cellIs" priority="666" operator="lessThan" dxfId="1" stopIfTrue="1">
      <formula>-0.01</formula>
    </cfRule>
    <cfRule type="cellIs" priority="667" operator="greaterThan" dxfId="0" stopIfTrue="1">
      <formula>0.01</formula>
    </cfRule>
  </conditionalFormatting>
  <conditionalFormatting sqref="V29:V33">
    <cfRule type="cellIs" priority="664" operator="greaterThan" dxfId="1">
      <formula>0.03</formula>
    </cfRule>
    <cfRule type="cellIs" priority="665" operator="lessThan" dxfId="0" stopIfTrue="1">
      <formula>-0.03</formula>
    </cfRule>
  </conditionalFormatting>
  <conditionalFormatting sqref="R30:T30">
    <cfRule type="dataBar" priority="663">
      <dataBar>
        <cfvo type="min"/>
        <cfvo type="max"/>
        <color rgb="FF008AEF"/>
      </dataBar>
    </cfRule>
  </conditionalFormatting>
  <conditionalFormatting sqref="R31:T32">
    <cfRule type="dataBar" priority="662">
      <dataBar>
        <cfvo type="min"/>
        <cfvo type="max"/>
        <color rgb="FF008AEF"/>
      </dataBar>
    </cfRule>
  </conditionalFormatting>
  <conditionalFormatting sqref="R33:T33">
    <cfRule type="dataBar" priority="661">
      <dataBar>
        <cfvo type="min"/>
        <cfvo type="max"/>
        <color rgb="FF008AEF"/>
      </dataBar>
    </cfRule>
  </conditionalFormatting>
  <conditionalFormatting sqref="R29:U29 U30:U33">
    <cfRule type="dataBar" priority="678">
      <dataBar>
        <cfvo type="min"/>
        <cfvo type="max"/>
        <color rgb="FF008AEF"/>
      </dataBar>
    </cfRule>
  </conditionalFormatting>
  <conditionalFormatting sqref="Z45:Z46">
    <cfRule type="cellIs" priority="658" operator="lessThan" dxfId="1" stopIfTrue="1">
      <formula>-0.01</formula>
    </cfRule>
    <cfRule type="cellIs" priority="659" operator="greaterThan" dxfId="0" stopIfTrue="1">
      <formula>0.01</formula>
    </cfRule>
  </conditionalFormatting>
  <conditionalFormatting sqref="R45:T46">
    <cfRule type="dataBar" priority="657">
      <dataBar>
        <cfvo type="min"/>
        <cfvo type="max"/>
        <color rgb="FF008AEF"/>
      </dataBar>
    </cfRule>
  </conditionalFormatting>
  <conditionalFormatting sqref="U45:U46">
    <cfRule type="dataBar" priority="660">
      <dataBar>
        <cfvo type="min"/>
        <cfvo type="max"/>
        <color rgb="FF008AEF"/>
      </dataBar>
    </cfRule>
  </conditionalFormatting>
  <conditionalFormatting sqref="AB40">
    <cfRule type="cellIs" priority="654" operator="greaterThan" dxfId="1">
      <formula>0.03</formula>
    </cfRule>
    <cfRule type="cellIs" priority="655" operator="lessThan" dxfId="0" stopIfTrue="1">
      <formula>-0.03</formula>
    </cfRule>
  </conditionalFormatting>
  <conditionalFormatting sqref="AB44">
    <cfRule type="cellIs" priority="652" operator="lessThan" dxfId="1">
      <formula>-0.03</formula>
    </cfRule>
    <cfRule type="cellIs" priority="653" operator="greaterThan" dxfId="0" stopIfTrue="1">
      <formula>0.03</formula>
    </cfRule>
  </conditionalFormatting>
  <conditionalFormatting sqref="Z40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Z41">
    <cfRule type="cellIs" priority="648" operator="lessThan" dxfId="1" stopIfTrue="1">
      <formula>-0.01</formula>
    </cfRule>
    <cfRule type="cellIs" priority="649" operator="greaterThan" dxfId="0" stopIfTrue="1">
      <formula>0.01</formula>
    </cfRule>
  </conditionalFormatting>
  <conditionalFormatting sqref="Z42:Z43">
    <cfRule type="cellIs" priority="646" operator="lessThan" dxfId="1" stopIfTrue="1">
      <formula>-0.01</formula>
    </cfRule>
    <cfRule type="cellIs" priority="647" operator="greaterThan" dxfId="0" stopIfTrue="1">
      <formula>0.01</formula>
    </cfRule>
  </conditionalFormatting>
  <conditionalFormatting sqref="Z44">
    <cfRule type="cellIs" priority="644" operator="lessThan" dxfId="1" stopIfTrue="1">
      <formula>-0.01</formula>
    </cfRule>
    <cfRule type="cellIs" priority="645" operator="greaterThan" dxfId="0" stopIfTrue="1">
      <formula>0.01</formula>
    </cfRule>
  </conditionalFormatting>
  <conditionalFormatting sqref="V40:V44">
    <cfRule type="cellIs" priority="642" operator="greaterThan" dxfId="1">
      <formula>0.03</formula>
    </cfRule>
    <cfRule type="cellIs" priority="643" operator="lessThan" dxfId="0" stopIfTrue="1">
      <formula>-0.03</formula>
    </cfRule>
  </conditionalFormatting>
  <conditionalFormatting sqref="R41:T41">
    <cfRule type="dataBar" priority="641">
      <dataBar>
        <cfvo type="min"/>
        <cfvo type="max"/>
        <color rgb="FF008AEF"/>
      </dataBar>
    </cfRule>
  </conditionalFormatting>
  <conditionalFormatting sqref="R42:T43">
    <cfRule type="dataBar" priority="640">
      <dataBar>
        <cfvo type="min"/>
        <cfvo type="max"/>
        <color rgb="FF008AEF"/>
      </dataBar>
    </cfRule>
  </conditionalFormatting>
  <conditionalFormatting sqref="R44:T44">
    <cfRule type="dataBar" priority="639">
      <dataBar>
        <cfvo type="min"/>
        <cfvo type="max"/>
        <color rgb="FF008AEF"/>
      </dataBar>
    </cfRule>
  </conditionalFormatting>
  <conditionalFormatting sqref="R40:U40 U41:U44">
    <cfRule type="dataBar" priority="656">
      <dataBar>
        <cfvo type="min"/>
        <cfvo type="max"/>
        <color rgb="FF008AEF"/>
      </dataBar>
    </cfRule>
  </conditionalFormatting>
  <conditionalFormatting sqref="Z56:Z57">
    <cfRule type="cellIs" priority="636" operator="lessThan" dxfId="1" stopIfTrue="1">
      <formula>-0.01</formula>
    </cfRule>
    <cfRule type="cellIs" priority="637" operator="greaterThan" dxfId="0" stopIfTrue="1">
      <formula>0.01</formula>
    </cfRule>
  </conditionalFormatting>
  <conditionalFormatting sqref="R56:T57">
    <cfRule type="dataBar" priority="635">
      <dataBar>
        <cfvo type="min"/>
        <cfvo type="max"/>
        <color rgb="FF008AEF"/>
      </dataBar>
    </cfRule>
  </conditionalFormatting>
  <conditionalFormatting sqref="U56:U57">
    <cfRule type="dataBar" priority="638">
      <dataBar>
        <cfvo type="min"/>
        <cfvo type="max"/>
        <color rgb="FF008AEF"/>
      </dataBar>
    </cfRule>
  </conditionalFormatting>
  <conditionalFormatting sqref="AB51">
    <cfRule type="cellIs" priority="632" operator="greaterThan" dxfId="1">
      <formula>0.03</formula>
    </cfRule>
    <cfRule type="cellIs" priority="633" operator="lessThan" dxfId="0" stopIfTrue="1">
      <formula>-0.03</formula>
    </cfRule>
  </conditionalFormatting>
  <conditionalFormatting sqref="AB55">
    <cfRule type="cellIs" priority="630" operator="lessThan" dxfId="1">
      <formula>-0.03</formula>
    </cfRule>
    <cfRule type="cellIs" priority="631" operator="greaterThan" dxfId="0" stopIfTrue="1">
      <formula>0.03</formula>
    </cfRule>
  </conditionalFormatting>
  <conditionalFormatting sqref="Z51">
    <cfRule type="cellIs" priority="628" operator="lessThan" dxfId="1" stopIfTrue="1">
      <formula>-0.01</formula>
    </cfRule>
    <cfRule type="cellIs" priority="629" operator="greaterThan" dxfId="0" stopIfTrue="1">
      <formula>0.01</formula>
    </cfRule>
  </conditionalFormatting>
  <conditionalFormatting sqref="Z52">
    <cfRule type="cellIs" priority="626" operator="lessThan" dxfId="1" stopIfTrue="1">
      <formula>-0.01</formula>
    </cfRule>
    <cfRule type="cellIs" priority="627" operator="greaterThan" dxfId="0" stopIfTrue="1">
      <formula>0.01</formula>
    </cfRule>
  </conditionalFormatting>
  <conditionalFormatting sqref="Z53:Z54">
    <cfRule type="cellIs" priority="624" operator="lessThan" dxfId="1" stopIfTrue="1">
      <formula>-0.01</formula>
    </cfRule>
    <cfRule type="cellIs" priority="625" operator="greaterThan" dxfId="0" stopIfTrue="1">
      <formula>0.01</formula>
    </cfRule>
  </conditionalFormatting>
  <conditionalFormatting sqref="Z55">
    <cfRule type="cellIs" priority="622" operator="lessThan" dxfId="1" stopIfTrue="1">
      <formula>-0.01</formula>
    </cfRule>
    <cfRule type="cellIs" priority="623" operator="greaterThan" dxfId="0" stopIfTrue="1">
      <formula>0.01</formula>
    </cfRule>
  </conditionalFormatting>
  <conditionalFormatting sqref="V51:V55">
    <cfRule type="cellIs" priority="620" operator="greaterThan" dxfId="1">
      <formula>0.03</formula>
    </cfRule>
    <cfRule type="cellIs" priority="621" operator="lessThan" dxfId="0" stopIfTrue="1">
      <formula>-0.03</formula>
    </cfRule>
  </conditionalFormatting>
  <conditionalFormatting sqref="R52:T52">
    <cfRule type="dataBar" priority="619">
      <dataBar>
        <cfvo type="min"/>
        <cfvo type="max"/>
        <color rgb="FF008AEF"/>
      </dataBar>
    </cfRule>
  </conditionalFormatting>
  <conditionalFormatting sqref="R53:T54">
    <cfRule type="dataBar" priority="618">
      <dataBar>
        <cfvo type="min"/>
        <cfvo type="max"/>
        <color rgb="FF008AEF"/>
      </dataBar>
    </cfRule>
  </conditionalFormatting>
  <conditionalFormatting sqref="R55:T55">
    <cfRule type="dataBar" priority="617">
      <dataBar>
        <cfvo type="min"/>
        <cfvo type="max"/>
        <color rgb="FF008AEF"/>
      </dataBar>
    </cfRule>
  </conditionalFormatting>
  <conditionalFormatting sqref="R51:U51 U52:U55">
    <cfRule type="dataBar" priority="634">
      <dataBar>
        <cfvo type="min"/>
        <cfvo type="max"/>
        <color rgb="FF008AEF"/>
      </dataBar>
    </cfRule>
  </conditionalFormatting>
  <conditionalFormatting sqref="Z67:Z68">
    <cfRule type="cellIs" priority="614" operator="lessThan" dxfId="1" stopIfTrue="1">
      <formula>-0.01</formula>
    </cfRule>
    <cfRule type="cellIs" priority="615" operator="greaterThan" dxfId="0" stopIfTrue="1">
      <formula>0.01</formula>
    </cfRule>
  </conditionalFormatting>
  <conditionalFormatting sqref="R67:T68">
    <cfRule type="dataBar" priority="613">
      <dataBar>
        <cfvo type="min"/>
        <cfvo type="max"/>
        <color rgb="FF008AEF"/>
      </dataBar>
    </cfRule>
  </conditionalFormatting>
  <conditionalFormatting sqref="U67:U68">
    <cfRule type="dataBar" priority="616">
      <dataBar>
        <cfvo type="min"/>
        <cfvo type="max"/>
        <color rgb="FF008AEF"/>
      </dataBar>
    </cfRule>
  </conditionalFormatting>
  <conditionalFormatting sqref="AB62">
    <cfRule type="cellIs" priority="610" operator="greaterThan" dxfId="1">
      <formula>0.03</formula>
    </cfRule>
    <cfRule type="cellIs" priority="611" operator="lessThan" dxfId="0" stopIfTrue="1">
      <formula>-0.03</formula>
    </cfRule>
  </conditionalFormatting>
  <conditionalFormatting sqref="AB66">
    <cfRule type="cellIs" priority="608" operator="lessThan" dxfId="1">
      <formula>-0.03</formula>
    </cfRule>
    <cfRule type="cellIs" priority="609" operator="greaterThan" dxfId="0" stopIfTrue="1">
      <formula>0.03</formula>
    </cfRule>
  </conditionalFormatting>
  <conditionalFormatting sqref="Z62">
    <cfRule type="cellIs" priority="606" operator="lessThan" dxfId="1" stopIfTrue="1">
      <formula>-0.01</formula>
    </cfRule>
    <cfRule type="cellIs" priority="607" operator="greaterThan" dxfId="0" stopIfTrue="1">
      <formula>0.01</formula>
    </cfRule>
  </conditionalFormatting>
  <conditionalFormatting sqref="Z63">
    <cfRule type="cellIs" priority="604" operator="lessThan" dxfId="1" stopIfTrue="1">
      <formula>-0.01</formula>
    </cfRule>
    <cfRule type="cellIs" priority="605" operator="greaterThan" dxfId="0" stopIfTrue="1">
      <formula>0.01</formula>
    </cfRule>
  </conditionalFormatting>
  <conditionalFormatting sqref="Z64:Z65">
    <cfRule type="cellIs" priority="602" operator="lessThan" dxfId="1" stopIfTrue="1">
      <formula>-0.01</formula>
    </cfRule>
    <cfRule type="cellIs" priority="603" operator="greaterThan" dxfId="0" stopIfTrue="1">
      <formula>0.01</formula>
    </cfRule>
  </conditionalFormatting>
  <conditionalFormatting sqref="Z66">
    <cfRule type="cellIs" priority="600" operator="lessThan" dxfId="1" stopIfTrue="1">
      <formula>-0.01</formula>
    </cfRule>
    <cfRule type="cellIs" priority="601" operator="greaterThan" dxfId="0" stopIfTrue="1">
      <formula>0.01</formula>
    </cfRule>
  </conditionalFormatting>
  <conditionalFormatting sqref="V62:V66">
    <cfRule type="cellIs" priority="598" operator="greaterThan" dxfId="1">
      <formula>0.03</formula>
    </cfRule>
    <cfRule type="cellIs" priority="599" operator="lessThan" dxfId="0" stopIfTrue="1">
      <formula>-0.03</formula>
    </cfRule>
  </conditionalFormatting>
  <conditionalFormatting sqref="R63:T63">
    <cfRule type="dataBar" priority="597">
      <dataBar>
        <cfvo type="min"/>
        <cfvo type="max"/>
        <color rgb="FF008AEF"/>
      </dataBar>
    </cfRule>
  </conditionalFormatting>
  <conditionalFormatting sqref="R64:T65">
    <cfRule type="dataBar" priority="596">
      <dataBar>
        <cfvo type="min"/>
        <cfvo type="max"/>
        <color rgb="FF008AEF"/>
      </dataBar>
    </cfRule>
  </conditionalFormatting>
  <conditionalFormatting sqref="R66:T66">
    <cfRule type="dataBar" priority="595">
      <dataBar>
        <cfvo type="min"/>
        <cfvo type="max"/>
        <color rgb="FF008AEF"/>
      </dataBar>
    </cfRule>
  </conditionalFormatting>
  <conditionalFormatting sqref="R62:U62 U63:U66">
    <cfRule type="dataBar" priority="612">
      <dataBar>
        <cfvo type="min"/>
        <cfvo type="max"/>
        <color rgb="FF008AEF"/>
      </dataBar>
    </cfRule>
  </conditionalFormatting>
  <conditionalFormatting sqref="Z78:Z79">
    <cfRule type="cellIs" priority="592" operator="lessThan" dxfId="1" stopIfTrue="1">
      <formula>-0.01</formula>
    </cfRule>
    <cfRule type="cellIs" priority="593" operator="greaterThan" dxfId="0" stopIfTrue="1">
      <formula>0.01</formula>
    </cfRule>
  </conditionalFormatting>
  <conditionalFormatting sqref="R78:T79">
    <cfRule type="dataBar" priority="591">
      <dataBar>
        <cfvo type="min"/>
        <cfvo type="max"/>
        <color rgb="FF008AEF"/>
      </dataBar>
    </cfRule>
  </conditionalFormatting>
  <conditionalFormatting sqref="U78:U79">
    <cfRule type="dataBar" priority="594">
      <dataBar>
        <cfvo type="min"/>
        <cfvo type="max"/>
        <color rgb="FF008AEF"/>
      </dataBar>
    </cfRule>
  </conditionalFormatting>
  <conditionalFormatting sqref="AB73">
    <cfRule type="cellIs" priority="588" operator="greaterThan" dxfId="1">
      <formula>0.03</formula>
    </cfRule>
    <cfRule type="cellIs" priority="589" operator="lessThan" dxfId="0" stopIfTrue="1">
      <formula>-0.03</formula>
    </cfRule>
  </conditionalFormatting>
  <conditionalFormatting sqref="AB77">
    <cfRule type="cellIs" priority="586" operator="lessThan" dxfId="1">
      <formula>-0.03</formula>
    </cfRule>
    <cfRule type="cellIs" priority="587" operator="greaterThan" dxfId="0" stopIfTrue="1">
      <formula>0.03</formula>
    </cfRule>
  </conditionalFormatting>
  <conditionalFormatting sqref="Z73">
    <cfRule type="cellIs" priority="584" operator="lessThan" dxfId="1" stopIfTrue="1">
      <formula>-0.01</formula>
    </cfRule>
    <cfRule type="cellIs" priority="585" operator="greaterThan" dxfId="0" stopIfTrue="1">
      <formula>0.01</formula>
    </cfRule>
  </conditionalFormatting>
  <conditionalFormatting sqref="Z74">
    <cfRule type="cellIs" priority="582" operator="lessThan" dxfId="1" stopIfTrue="1">
      <formula>-0.01</formula>
    </cfRule>
    <cfRule type="cellIs" priority="583" operator="greaterThan" dxfId="0" stopIfTrue="1">
      <formula>0.01</formula>
    </cfRule>
  </conditionalFormatting>
  <conditionalFormatting sqref="Z75:Z76">
    <cfRule type="cellIs" priority="580" operator="lessThan" dxfId="1" stopIfTrue="1">
      <formula>-0.01</formula>
    </cfRule>
    <cfRule type="cellIs" priority="581" operator="greaterThan" dxfId="0" stopIfTrue="1">
      <formula>0.01</formula>
    </cfRule>
  </conditionalFormatting>
  <conditionalFormatting sqref="Z77">
    <cfRule type="cellIs" priority="578" operator="lessThan" dxfId="1" stopIfTrue="1">
      <formula>-0.01</formula>
    </cfRule>
    <cfRule type="cellIs" priority="579" operator="greaterThan" dxfId="0" stopIfTrue="1">
      <formula>0.01</formula>
    </cfRule>
  </conditionalFormatting>
  <conditionalFormatting sqref="V73:V77">
    <cfRule type="cellIs" priority="576" operator="greaterThan" dxfId="1">
      <formula>0.03</formula>
    </cfRule>
    <cfRule type="cellIs" priority="577" operator="lessThan" dxfId="0" stopIfTrue="1">
      <formula>-0.03</formula>
    </cfRule>
  </conditionalFormatting>
  <conditionalFormatting sqref="R74:T74">
    <cfRule type="dataBar" priority="575">
      <dataBar>
        <cfvo type="min"/>
        <cfvo type="max"/>
        <color rgb="FF008AEF"/>
      </dataBar>
    </cfRule>
  </conditionalFormatting>
  <conditionalFormatting sqref="R75:T76">
    <cfRule type="dataBar" priority="574">
      <dataBar>
        <cfvo type="min"/>
        <cfvo type="max"/>
        <color rgb="FF008AEF"/>
      </dataBar>
    </cfRule>
  </conditionalFormatting>
  <conditionalFormatting sqref="R77:T77">
    <cfRule type="dataBar" priority="573">
      <dataBar>
        <cfvo type="min"/>
        <cfvo type="max"/>
        <color rgb="FF008AEF"/>
      </dataBar>
    </cfRule>
  </conditionalFormatting>
  <conditionalFormatting sqref="R73:U73 U74:U77">
    <cfRule type="dataBar" priority="590">
      <dataBar>
        <cfvo type="min"/>
        <cfvo type="max"/>
        <color rgb="FF008AEF"/>
      </dataBar>
    </cfRule>
  </conditionalFormatting>
  <conditionalFormatting sqref="Z89:Z90">
    <cfRule type="cellIs" priority="570" operator="lessThan" dxfId="1" stopIfTrue="1">
      <formula>-0.01</formula>
    </cfRule>
    <cfRule type="cellIs" priority="571" operator="greaterThan" dxfId="0" stopIfTrue="1">
      <formula>0.01</formula>
    </cfRule>
  </conditionalFormatting>
  <conditionalFormatting sqref="U89:U90">
    <cfRule type="dataBar" priority="572">
      <dataBar>
        <cfvo type="min"/>
        <cfvo type="max"/>
        <color rgb="FF008AEF"/>
      </dataBar>
    </cfRule>
  </conditionalFormatting>
  <conditionalFormatting sqref="AB84">
    <cfRule type="cellIs" priority="567" operator="greaterThan" dxfId="1">
      <formula>0.03</formula>
    </cfRule>
    <cfRule type="cellIs" priority="568" operator="lessThan" dxfId="0" stopIfTrue="1">
      <formula>-0.03</formula>
    </cfRule>
  </conditionalFormatting>
  <conditionalFormatting sqref="AB88">
    <cfRule type="cellIs" priority="565" operator="lessThan" dxfId="1">
      <formula>-0.03</formula>
    </cfRule>
    <cfRule type="cellIs" priority="566" operator="greaterThan" dxfId="0" stopIfTrue="1">
      <formula>0.03</formula>
    </cfRule>
  </conditionalFormatting>
  <conditionalFormatting sqref="Z84">
    <cfRule type="cellIs" priority="563" operator="lessThan" dxfId="1" stopIfTrue="1">
      <formula>-0.01</formula>
    </cfRule>
    <cfRule type="cellIs" priority="564" operator="greaterThan" dxfId="0" stopIfTrue="1">
      <formula>0.01</formula>
    </cfRule>
  </conditionalFormatting>
  <conditionalFormatting sqref="Z85">
    <cfRule type="cellIs" priority="561" operator="lessThan" dxfId="1" stopIfTrue="1">
      <formula>-0.01</formula>
    </cfRule>
    <cfRule type="cellIs" priority="562" operator="greaterThan" dxfId="0" stopIfTrue="1">
      <formula>0.01</formula>
    </cfRule>
  </conditionalFormatting>
  <conditionalFormatting sqref="Z86:Z87">
    <cfRule type="cellIs" priority="559" operator="lessThan" dxfId="1" stopIfTrue="1">
      <formula>-0.01</formula>
    </cfRule>
    <cfRule type="cellIs" priority="560" operator="greaterThan" dxfId="0" stopIfTrue="1">
      <formula>0.01</formula>
    </cfRule>
  </conditionalFormatting>
  <conditionalFormatting sqref="Z88">
    <cfRule type="cellIs" priority="557" operator="lessThan" dxfId="1" stopIfTrue="1">
      <formula>-0.01</formula>
    </cfRule>
    <cfRule type="cellIs" priority="558" operator="greaterThan" dxfId="0" stopIfTrue="1">
      <formula>0.01</formula>
    </cfRule>
  </conditionalFormatting>
  <conditionalFormatting sqref="V84:V88">
    <cfRule type="cellIs" priority="555" operator="greaterThan" dxfId="1">
      <formula>0.03</formula>
    </cfRule>
    <cfRule type="cellIs" priority="556" operator="lessThan" dxfId="0" stopIfTrue="1">
      <formula>-0.03</formula>
    </cfRule>
  </conditionalFormatting>
  <conditionalFormatting sqref="U84:U88">
    <cfRule type="dataBar" priority="569">
      <dataBar>
        <cfvo type="min"/>
        <cfvo type="max"/>
        <color rgb="FF008AEF"/>
      </dataBar>
    </cfRule>
  </conditionalFormatting>
  <conditionalFormatting sqref="Z100:Z101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U100:U101">
    <cfRule type="dataBar" priority="554">
      <dataBar>
        <cfvo type="min"/>
        <cfvo type="max"/>
        <color rgb="FF008AEF"/>
      </dataBar>
    </cfRule>
  </conditionalFormatting>
  <conditionalFormatting sqref="AB95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9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95">
    <cfRule type="cellIs" priority="545" operator="lessThan" dxfId="1" stopIfTrue="1">
      <formula>-0.01</formula>
    </cfRule>
    <cfRule type="cellIs" priority="546" operator="greaterThan" dxfId="0" stopIfTrue="1">
      <formula>0.01</formula>
    </cfRule>
  </conditionalFormatting>
  <conditionalFormatting sqref="Z96">
    <cfRule type="cellIs" priority="543" operator="lessThan" dxfId="1" stopIfTrue="1">
      <formula>-0.01</formula>
    </cfRule>
    <cfRule type="cellIs" priority="544" operator="greaterThan" dxfId="0" stopIfTrue="1">
      <formula>0.01</formula>
    </cfRule>
  </conditionalFormatting>
  <conditionalFormatting sqref="Z97:Z98">
    <cfRule type="cellIs" priority="541" operator="lessThan" dxfId="1" stopIfTrue="1">
      <formula>-0.01</formula>
    </cfRule>
    <cfRule type="cellIs" priority="542" operator="greaterThan" dxfId="0" stopIfTrue="1">
      <formula>0.01</formula>
    </cfRule>
  </conditionalFormatting>
  <conditionalFormatting sqref="Z99">
    <cfRule type="cellIs" priority="539" operator="lessThan" dxfId="1" stopIfTrue="1">
      <formula>-0.01</formula>
    </cfRule>
    <cfRule type="cellIs" priority="540" operator="greaterThan" dxfId="0" stopIfTrue="1">
      <formula>0.01</formula>
    </cfRule>
  </conditionalFormatting>
  <conditionalFormatting sqref="V95:V99">
    <cfRule type="cellIs" priority="537" operator="greaterThan" dxfId="1">
      <formula>0.03</formula>
    </cfRule>
    <cfRule type="cellIs" priority="538" operator="lessThan" dxfId="0" stopIfTrue="1">
      <formula>-0.03</formula>
    </cfRule>
  </conditionalFormatting>
  <conditionalFormatting sqref="U95:U99">
    <cfRule type="dataBar" priority="551">
      <dataBar>
        <cfvo type="min"/>
        <cfvo type="max"/>
        <color rgb="FF008AEF"/>
      </dataBar>
    </cfRule>
  </conditionalFormatting>
  <conditionalFormatting sqref="AB116">
    <cfRule type="cellIs" priority="513" operator="greaterThan" dxfId="1">
      <formula>0.03</formula>
    </cfRule>
    <cfRule type="cellIs" priority="514" operator="lessThan" dxfId="0" stopIfTrue="1">
      <formula>-0.03</formula>
    </cfRule>
  </conditionalFormatting>
  <conditionalFormatting sqref="AB119">
    <cfRule type="cellIs" priority="511" operator="lessThan" dxfId="1">
      <formula>-0.03</formula>
    </cfRule>
    <cfRule type="cellIs" priority="512" operator="greaterThan" dxfId="0" stopIfTrue="1">
      <formula>0.03</formula>
    </cfRule>
  </conditionalFormatting>
  <conditionalFormatting sqref="AB126">
    <cfRule type="cellIs" priority="509" operator="greaterThan" dxfId="1">
      <formula>0.03</formula>
    </cfRule>
    <cfRule type="cellIs" priority="510" operator="lessThan" dxfId="0" stopIfTrue="1">
      <formula>-0.03</formula>
    </cfRule>
  </conditionalFormatting>
  <conditionalFormatting sqref="AB129">
    <cfRule type="cellIs" priority="507" operator="lessThan" dxfId="1">
      <formula>-0.03</formula>
    </cfRule>
    <cfRule type="cellIs" priority="508" operator="greaterThan" dxfId="0" stopIfTrue="1">
      <formula>0.03</formula>
    </cfRule>
  </conditionalFormatting>
  <conditionalFormatting sqref="AB136">
    <cfRule type="cellIs" priority="505" operator="greaterThan" dxfId="1">
      <formula>0.03</formula>
    </cfRule>
    <cfRule type="cellIs" priority="506" operator="lessThan" dxfId="0" stopIfTrue="1">
      <formula>-0.03</formula>
    </cfRule>
  </conditionalFormatting>
  <conditionalFormatting sqref="AB139">
    <cfRule type="cellIs" priority="503" operator="lessThan" dxfId="1">
      <formula>-0.03</formula>
    </cfRule>
    <cfRule type="cellIs" priority="504" operator="greaterThan" dxfId="0" stopIfTrue="1">
      <formula>0.03</formula>
    </cfRule>
  </conditionalFormatting>
  <conditionalFormatting sqref="AB146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AB149">
    <cfRule type="cellIs" priority="499" operator="lessThan" dxfId="1">
      <formula>-0.03</formula>
    </cfRule>
    <cfRule type="cellIs" priority="500" operator="greaterThan" dxfId="0" stopIfTrue="1">
      <formula>0.03</formula>
    </cfRule>
  </conditionalFormatting>
  <conditionalFormatting sqref="AB156">
    <cfRule type="cellIs" priority="497" operator="greaterThan" dxfId="1">
      <formula>0.03</formula>
    </cfRule>
    <cfRule type="cellIs" priority="498" operator="lessThan" dxfId="0" stopIfTrue="1">
      <formula>-0.03</formula>
    </cfRule>
  </conditionalFormatting>
  <conditionalFormatting sqref="AB159">
    <cfRule type="cellIs" priority="495" operator="lessThan" dxfId="1">
      <formula>-0.03</formula>
    </cfRule>
    <cfRule type="cellIs" priority="496" operator="greaterThan" dxfId="0" stopIfTrue="1">
      <formula>0.03</formula>
    </cfRule>
  </conditionalFormatting>
  <conditionalFormatting sqref="AB166">
    <cfRule type="cellIs" priority="493" operator="greaterThan" dxfId="1">
      <formula>0.03</formula>
    </cfRule>
    <cfRule type="cellIs" priority="494" operator="lessThan" dxfId="0" stopIfTrue="1">
      <formula>-0.03</formula>
    </cfRule>
  </conditionalFormatting>
  <conditionalFormatting sqref="AB169">
    <cfRule type="cellIs" priority="491" operator="lessThan" dxfId="1">
      <formula>-0.03</formula>
    </cfRule>
    <cfRule type="cellIs" priority="492" operator="greaterThan" dxfId="0" stopIfTrue="1">
      <formula>0.03</formula>
    </cfRule>
  </conditionalFormatting>
  <conditionalFormatting sqref="AB176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AB179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AB186">
    <cfRule type="cellIs" priority="485" operator="greaterThan" dxfId="1">
      <formula>0.03</formula>
    </cfRule>
    <cfRule type="cellIs" priority="486" operator="lessThan" dxfId="0" stopIfTrue="1">
      <formula>-0.03</formula>
    </cfRule>
  </conditionalFormatting>
  <conditionalFormatting sqref="AB189">
    <cfRule type="cellIs" priority="483" operator="lessThan" dxfId="1">
      <formula>-0.03</formula>
    </cfRule>
    <cfRule type="cellIs" priority="484" operator="greaterThan" dxfId="0" stopIfTrue="1">
      <formula>0.03</formula>
    </cfRule>
  </conditionalFormatting>
  <conditionalFormatting sqref="AB196">
    <cfRule type="cellIs" priority="481" operator="greaterThan" dxfId="1">
      <formula>0.03</formula>
    </cfRule>
    <cfRule type="cellIs" priority="482" operator="lessThan" dxfId="0" stopIfTrue="1">
      <formula>-0.03</formula>
    </cfRule>
  </conditionalFormatting>
  <conditionalFormatting sqref="AB199">
    <cfRule type="cellIs" priority="479" operator="lessThan" dxfId="1">
      <formula>-0.03</formula>
    </cfRule>
    <cfRule type="cellIs" priority="480" operator="greaterThan" dxfId="0" stopIfTrue="1">
      <formula>0.03</formula>
    </cfRule>
  </conditionalFormatting>
  <conditionalFormatting sqref="AB206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AB209">
    <cfRule type="cellIs" priority="475" operator="lessThan" dxfId="1">
      <formula>-0.03</formula>
    </cfRule>
    <cfRule type="cellIs" priority="476" operator="greaterThan" dxfId="0" stopIfTrue="1">
      <formula>0.03</formula>
    </cfRule>
  </conditionalFormatting>
  <conditionalFormatting sqref="Z220:Z221">
    <cfRule type="cellIs" priority="472" operator="lessThan" dxfId="1" stopIfTrue="1">
      <formula>-0.01</formula>
    </cfRule>
    <cfRule type="cellIs" priority="473" operator="greaterThan" dxfId="0" stopIfTrue="1">
      <formula>0.01</formula>
    </cfRule>
  </conditionalFormatting>
  <conditionalFormatting sqref="H220:J221">
    <cfRule type="dataBar" priority="471">
      <dataBar>
        <cfvo type="min"/>
        <cfvo type="max"/>
        <color rgb="FF008AEF"/>
      </dataBar>
    </cfRule>
  </conditionalFormatting>
  <conditionalFormatting sqref="R220:T221">
    <cfRule type="dataBar" priority="470">
      <dataBar>
        <cfvo type="min"/>
        <cfvo type="max"/>
        <color rgb="FF008AEF"/>
      </dataBar>
    </cfRule>
  </conditionalFormatting>
  <conditionalFormatting sqref="U220:U221">
    <cfRule type="dataBar" priority="474">
      <dataBar>
        <cfvo type="min"/>
        <cfvo type="max"/>
        <color rgb="FF008AEF"/>
      </dataBar>
    </cfRule>
  </conditionalFormatting>
  <conditionalFormatting sqref="AB216">
    <cfRule type="cellIs" priority="467" operator="greaterThan" dxfId="1">
      <formula>0.03</formula>
    </cfRule>
    <cfRule type="cellIs" priority="468" operator="lessThan" dxfId="0" stopIfTrue="1">
      <formula>-0.03</formula>
    </cfRule>
  </conditionalFormatting>
  <conditionalFormatting sqref="AB219">
    <cfRule type="cellIs" priority="465" operator="lessThan" dxfId="1">
      <formula>-0.03</formula>
    </cfRule>
    <cfRule type="cellIs" priority="466" operator="greaterThan" dxfId="0" stopIfTrue="1">
      <formula>0.03</formula>
    </cfRule>
  </conditionalFormatting>
  <conditionalFormatting sqref="H216:J216">
    <cfRule type="dataBar" priority="464">
      <dataBar>
        <cfvo type="min"/>
        <cfvo type="max"/>
        <color rgb="FF008AEF"/>
      </dataBar>
    </cfRule>
  </conditionalFormatting>
  <conditionalFormatting sqref="Z216">
    <cfRule type="cellIs" priority="462" operator="lessThan" dxfId="1" stopIfTrue="1">
      <formula>-0.01</formula>
    </cfRule>
    <cfRule type="cellIs" priority="463" operator="greaterThan" dxfId="0" stopIfTrue="1">
      <formula>0.01</formula>
    </cfRule>
  </conditionalFormatting>
  <conditionalFormatting sqref="Z217">
    <cfRule type="cellIs" priority="460" operator="lessThan" dxfId="1" stopIfTrue="1">
      <formula>-0.01</formula>
    </cfRule>
    <cfRule type="cellIs" priority="461" operator="greaterThan" dxfId="0" stopIfTrue="1">
      <formula>0.01</formula>
    </cfRule>
  </conditionalFormatting>
  <conditionalFormatting sqref="Z21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Z219">
    <cfRule type="cellIs" priority="456" operator="lessThan" dxfId="1" stopIfTrue="1">
      <formula>-0.01</formula>
    </cfRule>
    <cfRule type="cellIs" priority="457" operator="greaterThan" dxfId="0" stopIfTrue="1">
      <formula>0.01</formula>
    </cfRule>
  </conditionalFormatting>
  <conditionalFormatting sqref="V216:V219">
    <cfRule type="cellIs" priority="454" operator="greaterThan" dxfId="1">
      <formula>0.03</formula>
    </cfRule>
    <cfRule type="cellIs" priority="455" operator="lessThan" dxfId="0" stopIfTrue="1">
      <formula>-0.03</formula>
    </cfRule>
  </conditionalFormatting>
  <conditionalFormatting sqref="H217:J217">
    <cfRule type="dataBar" priority="453">
      <dataBar>
        <cfvo type="min"/>
        <cfvo type="max"/>
        <color rgb="FF008AEF"/>
      </dataBar>
    </cfRule>
  </conditionalFormatting>
  <conditionalFormatting sqref="H218:J218">
    <cfRule type="dataBar" priority="452">
      <dataBar>
        <cfvo type="min"/>
        <cfvo type="max"/>
        <color rgb="FF008AEF"/>
      </dataBar>
    </cfRule>
  </conditionalFormatting>
  <conditionalFormatting sqref="H219:J219">
    <cfRule type="dataBar" priority="451">
      <dataBar>
        <cfvo type="min"/>
        <cfvo type="max"/>
        <color rgb="FF008AEF"/>
      </dataBar>
    </cfRule>
  </conditionalFormatting>
  <conditionalFormatting sqref="R217:T217">
    <cfRule type="dataBar" priority="450">
      <dataBar>
        <cfvo type="min"/>
        <cfvo type="max"/>
        <color rgb="FF008AEF"/>
      </dataBar>
    </cfRule>
  </conditionalFormatting>
  <conditionalFormatting sqref="R218:T218">
    <cfRule type="dataBar" priority="449">
      <dataBar>
        <cfvo type="min"/>
        <cfvo type="max"/>
        <color rgb="FF008AEF"/>
      </dataBar>
    </cfRule>
  </conditionalFormatting>
  <conditionalFormatting sqref="R219:T219">
    <cfRule type="dataBar" priority="448">
      <dataBar>
        <cfvo type="min"/>
        <cfvo type="max"/>
        <color rgb="FF008AEF"/>
      </dataBar>
    </cfRule>
  </conditionalFormatting>
  <conditionalFormatting sqref="R216:U216 U217:U219">
    <cfRule type="dataBar" priority="469">
      <dataBar>
        <cfvo type="min"/>
        <cfvo type="max"/>
        <color rgb="FF008AEF"/>
      </dataBar>
    </cfRule>
  </conditionalFormatting>
  <conditionalFormatting sqref="I16">
    <cfRule type="dataBar" priority="447">
      <dataBar>
        <cfvo type="min"/>
        <cfvo type="max"/>
        <color rgb="FF008AEF"/>
      </dataBar>
    </cfRule>
  </conditionalFormatting>
  <conditionalFormatting sqref="I17">
    <cfRule type="dataBar" priority="446">
      <dataBar>
        <cfvo type="min"/>
        <cfvo type="max"/>
        <color rgb="FF008AEF"/>
      </dataBar>
    </cfRule>
  </conditionalFormatting>
  <conditionalFormatting sqref="N24">
    <cfRule type="cellIs" priority="434" operator="lessThan" dxfId="1" stopIfTrue="1">
      <formula>-0.01</formula>
    </cfRule>
    <cfRule type="cellIs" priority="435" operator="greaterThan" dxfId="0" stopIfTrue="1">
      <formula>0.01</formula>
    </cfRule>
  </conditionalFormatting>
  <conditionalFormatting sqref="I35">
    <cfRule type="dataBar" priority="433">
      <dataBar>
        <cfvo type="min"/>
        <cfvo type="max"/>
        <color rgb="FF008AEF"/>
      </dataBar>
    </cfRule>
  </conditionalFormatting>
  <conditionalFormatting sqref="I27">
    <cfRule type="dataBar" priority="432">
      <dataBar>
        <cfvo type="min"/>
        <cfvo type="max"/>
        <color rgb="FF008AEF"/>
      </dataBar>
    </cfRule>
  </conditionalFormatting>
  <conditionalFormatting sqref="I28">
    <cfRule type="dataBar" priority="431">
      <dataBar>
        <cfvo type="min"/>
        <cfvo type="max"/>
        <color rgb="FF008AEF"/>
      </dataBar>
    </cfRule>
  </conditionalFormatting>
  <conditionalFormatting sqref="N35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I45:I46">
    <cfRule type="dataBar" priority="428">
      <dataBar>
        <cfvo type="min"/>
        <cfvo type="max"/>
        <color rgb="FF008AEF"/>
      </dataBar>
    </cfRule>
  </conditionalFormatting>
  <conditionalFormatting sqref="I40">
    <cfRule type="dataBar" priority="427">
      <dataBar>
        <cfvo type="min"/>
        <cfvo type="max"/>
        <color rgb="FF008AEF"/>
      </dataBar>
    </cfRule>
    <cfRule type="dataBar" priority="420">
      <dataBar>
        <cfvo type="min"/>
        <cfvo type="max"/>
        <color rgb="FF008AEF"/>
      </dataBar>
    </cfRule>
  </conditionalFormatting>
  <conditionalFormatting sqref="I41">
    <cfRule type="dataBar" priority="426">
      <dataBar>
        <cfvo type="min"/>
        <cfvo type="max"/>
        <color rgb="FF008AEF"/>
      </dataBar>
    </cfRule>
    <cfRule type="dataBar" priority="419">
      <dataBar>
        <cfvo type="min"/>
        <cfvo type="max"/>
        <color rgb="FF008AEF"/>
      </dataBar>
    </cfRule>
  </conditionalFormatting>
  <conditionalFormatting sqref="I42:I43">
    <cfRule type="dataBar" priority="425">
      <dataBar>
        <cfvo type="min"/>
        <cfvo type="max"/>
        <color rgb="FF008AEF"/>
      </dataBar>
    </cfRule>
  </conditionalFormatting>
  <conditionalFormatting sqref="I44">
    <cfRule type="dataBar" priority="424">
      <dataBar>
        <cfvo type="min"/>
        <cfvo type="max"/>
        <color rgb="FF008AEF"/>
      </dataBar>
    </cfRule>
  </conditionalFormatting>
  <conditionalFormatting sqref="I42:I44">
    <cfRule type="dataBar" priority="423">
      <dataBar>
        <cfvo type="min"/>
        <cfvo type="max"/>
        <color rgb="FF008AEF"/>
      </dataBar>
    </cfRule>
  </conditionalFormatting>
  <conditionalFormatting sqref="I38">
    <cfRule type="dataBar" priority="422">
      <dataBar>
        <cfvo type="min"/>
        <cfvo type="max"/>
        <color rgb="FF008AEF"/>
      </dataBar>
    </cfRule>
  </conditionalFormatting>
  <conditionalFormatting sqref="I39">
    <cfRule type="dataBar" priority="421">
      <dataBar>
        <cfvo type="min"/>
        <cfvo type="max"/>
        <color rgb="FF008AEF"/>
      </dataBar>
    </cfRule>
  </conditionalFormatting>
  <conditionalFormatting sqref="N45:N46">
    <cfRule type="cellIs" priority="417" operator="lessThan" dxfId="1" stopIfTrue="1">
      <formula>-0.01</formula>
    </cfRule>
    <cfRule type="cellIs" priority="418" operator="greaterThan" dxfId="0" stopIfTrue="1">
      <formula>0.01</formula>
    </cfRule>
  </conditionalFormatting>
  <conditionalFormatting sqref="I56:I57">
    <cfRule type="dataBar" priority="416">
      <dataBar>
        <cfvo type="min"/>
        <cfvo type="max"/>
        <color rgb="FF008AEF"/>
      </dataBar>
    </cfRule>
  </conditionalFormatting>
  <conditionalFormatting sqref="I51">
    <cfRule type="dataBar" priority="415">
      <dataBar>
        <cfvo type="min"/>
        <cfvo type="max"/>
        <color rgb="FF008AEF"/>
      </dataBar>
    </cfRule>
    <cfRule type="dataBar" priority="408">
      <dataBar>
        <cfvo type="min"/>
        <cfvo type="max"/>
        <color rgb="FF008AEF"/>
      </dataBar>
    </cfRule>
  </conditionalFormatting>
  <conditionalFormatting sqref="I52">
    <cfRule type="dataBar" priority="414">
      <dataBar>
        <cfvo type="min"/>
        <cfvo type="max"/>
        <color rgb="FF008AEF"/>
      </dataBar>
    </cfRule>
    <cfRule type="dataBar" priority="407">
      <dataBar>
        <cfvo type="min"/>
        <cfvo type="max"/>
        <color rgb="FF008AEF"/>
      </dataBar>
    </cfRule>
  </conditionalFormatting>
  <conditionalFormatting sqref="I53:I54">
    <cfRule type="dataBar" priority="413">
      <dataBar>
        <cfvo type="min"/>
        <cfvo type="max"/>
        <color rgb="FF008AEF"/>
      </dataBar>
    </cfRule>
  </conditionalFormatting>
  <conditionalFormatting sqref="I55">
    <cfRule type="dataBar" priority="412">
      <dataBar>
        <cfvo type="min"/>
        <cfvo type="max"/>
        <color rgb="FF008AEF"/>
      </dataBar>
    </cfRule>
  </conditionalFormatting>
  <conditionalFormatting sqref="I53:I55">
    <cfRule type="dataBar" priority="411">
      <dataBar>
        <cfvo type="min"/>
        <cfvo type="max"/>
        <color rgb="FF008AEF"/>
      </dataBar>
    </cfRule>
  </conditionalFormatting>
  <conditionalFormatting sqref="I49">
    <cfRule type="dataBar" priority="410">
      <dataBar>
        <cfvo type="min"/>
        <cfvo type="max"/>
        <color rgb="FF008AEF"/>
      </dataBar>
    </cfRule>
  </conditionalFormatting>
  <conditionalFormatting sqref="I50">
    <cfRule type="dataBar" priority="409">
      <dataBar>
        <cfvo type="min"/>
        <cfvo type="max"/>
        <color rgb="FF008AEF"/>
      </dataBar>
    </cfRule>
  </conditionalFormatting>
  <conditionalFormatting sqref="J51:J55">
    <cfRule type="cellIs" priority="405" operator="greaterThan" dxfId="1">
      <formula>0.03</formula>
    </cfRule>
    <cfRule type="cellIs" priority="406" operator="lessThan" dxfId="0" stopIfTrue="1">
      <formula>-0.03</formula>
    </cfRule>
  </conditionalFormatting>
  <conditionalFormatting sqref="N56:N57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5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5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N53:N54">
    <cfRule type="cellIs" priority="397" operator="lessThan" dxfId="1" stopIfTrue="1">
      <formula>-0.01</formula>
    </cfRule>
    <cfRule type="cellIs" priority="398" operator="greaterThan" dxfId="0" stopIfTrue="1">
      <formula>0.01</formula>
    </cfRule>
  </conditionalFormatting>
  <conditionalFormatting sqref="N55">
    <cfRule type="cellIs" priority="395" operator="lessThan" dxfId="1" stopIfTrue="1">
      <formula>-0.01</formula>
    </cfRule>
    <cfRule type="cellIs" priority="396" operator="greaterThan" dxfId="0" stopIfTrue="1">
      <formula>0.01</formula>
    </cfRule>
  </conditionalFormatting>
  <conditionalFormatting sqref="P51">
    <cfRule type="cellIs" priority="393" operator="greaterThan" dxfId="1">
      <formula>0.03</formula>
    </cfRule>
    <cfRule type="cellIs" priority="394" operator="lessThan" dxfId="0" stopIfTrue="1">
      <formula>-0.03</formula>
    </cfRule>
  </conditionalFormatting>
  <conditionalFormatting sqref="P55">
    <cfRule type="cellIs" priority="391" operator="lessThan" dxfId="1">
      <formula>-0.03</formula>
    </cfRule>
    <cfRule type="cellIs" priority="392" operator="greaterThan" dxfId="0" stopIfTrue="1">
      <formula>0.03</formula>
    </cfRule>
  </conditionalFormatting>
  <conditionalFormatting sqref="I68">
    <cfRule type="dataBar" priority="390">
      <dataBar>
        <cfvo type="min"/>
        <cfvo type="max"/>
        <color rgb="FF008AEF"/>
      </dataBar>
    </cfRule>
  </conditionalFormatting>
  <conditionalFormatting sqref="I60">
    <cfRule type="dataBar" priority="389">
      <dataBar>
        <cfvo type="min"/>
        <cfvo type="max"/>
        <color rgb="FF008AEF"/>
      </dataBar>
    </cfRule>
  </conditionalFormatting>
  <conditionalFormatting sqref="I61">
    <cfRule type="dataBar" priority="388">
      <dataBar>
        <cfvo type="min"/>
        <cfvo type="max"/>
        <color rgb="FF008AEF"/>
      </dataBar>
    </cfRule>
  </conditionalFormatting>
  <conditionalFormatting sqref="N68">
    <cfRule type="cellIs" priority="386" operator="lessThan" dxfId="1" stopIfTrue="1">
      <formula>-0.01</formula>
    </cfRule>
    <cfRule type="cellIs" priority="387" operator="greaterThan" dxfId="0" stopIfTrue="1">
      <formula>0.01</formula>
    </cfRule>
  </conditionalFormatting>
  <conditionalFormatting sqref="I79">
    <cfRule type="dataBar" priority="385">
      <dataBar>
        <cfvo type="min"/>
        <cfvo type="max"/>
        <color rgb="FF008AEF"/>
      </dataBar>
    </cfRule>
  </conditionalFormatting>
  <conditionalFormatting sqref="I71">
    <cfRule type="dataBar" priority="384">
      <dataBar>
        <cfvo type="min"/>
        <cfvo type="max"/>
        <color rgb="FF008AEF"/>
      </dataBar>
    </cfRule>
  </conditionalFormatting>
  <conditionalFormatting sqref="I72">
    <cfRule type="dataBar" priority="383">
      <dataBar>
        <cfvo type="min"/>
        <cfvo type="max"/>
        <color rgb="FF008AEF"/>
      </dataBar>
    </cfRule>
  </conditionalFormatting>
  <conditionalFormatting sqref="N79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R89:T90">
    <cfRule type="dataBar" priority="380">
      <dataBar>
        <cfvo type="min"/>
        <cfvo type="max"/>
        <color rgb="FF008AEF"/>
      </dataBar>
    </cfRule>
  </conditionalFormatting>
  <conditionalFormatting sqref="R85:T85">
    <cfRule type="dataBar" priority="378">
      <dataBar>
        <cfvo type="min"/>
        <cfvo type="max"/>
        <color rgb="FF008AEF"/>
      </dataBar>
    </cfRule>
  </conditionalFormatting>
  <conditionalFormatting sqref="R86:T87">
    <cfRule type="dataBar" priority="377">
      <dataBar>
        <cfvo type="min"/>
        <cfvo type="max"/>
        <color rgb="FF008AEF"/>
      </dataBar>
    </cfRule>
  </conditionalFormatting>
  <conditionalFormatting sqref="R88:T88">
    <cfRule type="dataBar" priority="376">
      <dataBar>
        <cfvo type="min"/>
        <cfvo type="max"/>
        <color rgb="FF008AEF"/>
      </dataBar>
    </cfRule>
  </conditionalFormatting>
  <conditionalFormatting sqref="R84:T84">
    <cfRule type="dataBar" priority="379">
      <dataBar>
        <cfvo type="min"/>
        <cfvo type="max"/>
        <color rgb="FF008AEF"/>
      </dataBar>
    </cfRule>
  </conditionalFormatting>
  <conditionalFormatting sqref="I90">
    <cfRule type="dataBar" priority="375">
      <dataBar>
        <cfvo type="min"/>
        <cfvo type="max"/>
        <color rgb="FF008AEF"/>
      </dataBar>
    </cfRule>
  </conditionalFormatting>
  <conditionalFormatting sqref="I82">
    <cfRule type="dataBar" priority="374">
      <dataBar>
        <cfvo type="min"/>
        <cfvo type="max"/>
        <color rgb="FF008AEF"/>
      </dataBar>
    </cfRule>
  </conditionalFormatting>
  <conditionalFormatting sqref="I83">
    <cfRule type="dataBar" priority="373">
      <dataBar>
        <cfvo type="min"/>
        <cfvo type="max"/>
        <color rgb="FF008AEF"/>
      </dataBar>
    </cfRule>
  </conditionalFormatting>
  <conditionalFormatting sqref="N90">
    <cfRule type="cellIs" priority="371" operator="lessThan" dxfId="1" stopIfTrue="1">
      <formula>-0.01</formula>
    </cfRule>
    <cfRule type="cellIs" priority="372" operator="greaterThan" dxfId="0" stopIfTrue="1">
      <formula>0.01</formula>
    </cfRule>
  </conditionalFormatting>
  <conditionalFormatting sqref="R100:T101">
    <cfRule type="dataBar" priority="370">
      <dataBar>
        <cfvo type="min"/>
        <cfvo type="max"/>
        <color rgb="FF008AEF"/>
      </dataBar>
    </cfRule>
  </conditionalFormatting>
  <conditionalFormatting sqref="R96:T96">
    <cfRule type="dataBar" priority="368">
      <dataBar>
        <cfvo type="min"/>
        <cfvo type="max"/>
        <color rgb="FF008AEF"/>
      </dataBar>
    </cfRule>
  </conditionalFormatting>
  <conditionalFormatting sqref="R97:T98">
    <cfRule type="dataBar" priority="367">
      <dataBar>
        <cfvo type="min"/>
        <cfvo type="max"/>
        <color rgb="FF008AEF"/>
      </dataBar>
    </cfRule>
  </conditionalFormatting>
  <conditionalFormatting sqref="R99:T99">
    <cfRule type="dataBar" priority="366">
      <dataBar>
        <cfvo type="min"/>
        <cfvo type="max"/>
        <color rgb="FF008AEF"/>
      </dataBar>
    </cfRule>
  </conditionalFormatting>
  <conditionalFormatting sqref="R95:T95">
    <cfRule type="dataBar" priority="369">
      <dataBar>
        <cfvo type="min"/>
        <cfvo type="max"/>
        <color rgb="FF008AEF"/>
      </dataBar>
    </cfRule>
  </conditionalFormatting>
  <conditionalFormatting sqref="I101">
    <cfRule type="dataBar" priority="365">
      <dataBar>
        <cfvo type="min"/>
        <cfvo type="max"/>
        <color rgb="FF008AEF"/>
      </dataBar>
    </cfRule>
  </conditionalFormatting>
  <conditionalFormatting sqref="I93">
    <cfRule type="dataBar" priority="364">
      <dataBar>
        <cfvo type="min"/>
        <cfvo type="max"/>
        <color rgb="FF008AEF"/>
      </dataBar>
    </cfRule>
  </conditionalFormatting>
  <conditionalFormatting sqref="I94">
    <cfRule type="dataBar" priority="363">
      <dataBar>
        <cfvo type="min"/>
        <cfvo type="max"/>
        <color rgb="FF008AEF"/>
      </dataBar>
    </cfRule>
  </conditionalFormatting>
  <conditionalFormatting sqref="N101">
    <cfRule type="cellIs" priority="361" operator="lessThan" dxfId="1" stopIfTrue="1">
      <formula>-0.01</formula>
    </cfRule>
    <cfRule type="cellIs" priority="362" operator="greaterThan" dxfId="0" stopIfTrue="1">
      <formula>0.01</formula>
    </cfRule>
  </conditionalFormatting>
  <conditionalFormatting sqref="J40:J44">
    <cfRule type="cellIs" priority="359" operator="greaterThan" dxfId="1">
      <formula>0.03</formula>
    </cfRule>
    <cfRule type="cellIs" priority="360" operator="lessThan" dxfId="0" stopIfTrue="1">
      <formula>-0.03</formula>
    </cfRule>
  </conditionalFormatting>
  <conditionalFormatting sqref="N40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41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42:N43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44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40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44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34">
    <cfRule type="dataBar" priority="346">
      <dataBar>
        <cfvo type="min"/>
        <cfvo type="max"/>
        <color rgb="FF008AEF"/>
      </dataBar>
    </cfRule>
  </conditionalFormatting>
  <conditionalFormatting sqref="I29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30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31:I32">
    <cfRule type="dataBar" priority="343">
      <dataBar>
        <cfvo type="min"/>
        <cfvo type="max"/>
        <color rgb="FF008AEF"/>
      </dataBar>
    </cfRule>
  </conditionalFormatting>
  <conditionalFormatting sqref="I33">
    <cfRule type="dataBar" priority="342">
      <dataBar>
        <cfvo type="min"/>
        <cfvo type="max"/>
        <color rgb="FF008AEF"/>
      </dataBar>
    </cfRule>
  </conditionalFormatting>
  <conditionalFormatting sqref="I31:I33">
    <cfRule type="dataBar" priority="341">
      <dataBar>
        <cfvo type="min"/>
        <cfvo type="max"/>
        <color rgb="FF008AEF"/>
      </dataBar>
    </cfRule>
  </conditionalFormatting>
  <conditionalFormatting sqref="N34">
    <cfRule type="cellIs" priority="337" operator="lessThan" dxfId="1" stopIfTrue="1">
      <formula>-0.01</formula>
    </cfRule>
    <cfRule type="cellIs" priority="338" operator="greaterThan" dxfId="0" stopIfTrue="1">
      <formula>0.01</formula>
    </cfRule>
  </conditionalFormatting>
  <conditionalFormatting sqref="J29:J33">
    <cfRule type="cellIs" priority="335" operator="greaterThan" dxfId="1">
      <formula>0.03</formula>
    </cfRule>
    <cfRule type="cellIs" priority="336" operator="lessThan" dxfId="0" stopIfTrue="1">
      <formula>-0.03</formula>
    </cfRule>
  </conditionalFormatting>
  <conditionalFormatting sqref="N29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30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31:N32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33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29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33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I23">
    <cfRule type="dataBar" priority="322">
      <dataBar>
        <cfvo type="min"/>
        <cfvo type="max"/>
        <color rgb="FF008AEF"/>
      </dataBar>
    </cfRule>
  </conditionalFormatting>
  <conditionalFormatting sqref="I18">
    <cfRule type="dataBar" priority="321">
      <dataBar>
        <cfvo type="min"/>
        <cfvo type="max"/>
        <color rgb="FF008AEF"/>
      </dataBar>
    </cfRule>
    <cfRule type="dataBar" priority="316">
      <dataBar>
        <cfvo type="min"/>
        <cfvo type="max"/>
        <color rgb="FF008AEF"/>
      </dataBar>
    </cfRule>
  </conditionalFormatting>
  <conditionalFormatting sqref="I19">
    <cfRule type="dataBar" priority="320">
      <dataBar>
        <cfvo type="min"/>
        <cfvo type="max"/>
        <color rgb="FF008AEF"/>
      </dataBar>
    </cfRule>
    <cfRule type="dataBar" priority="315">
      <dataBar>
        <cfvo type="min"/>
        <cfvo type="max"/>
        <color rgb="FF008AEF"/>
      </dataBar>
    </cfRule>
  </conditionalFormatting>
  <conditionalFormatting sqref="I20:I21">
    <cfRule type="dataBar" priority="319">
      <dataBar>
        <cfvo type="min"/>
        <cfvo type="max"/>
        <color rgb="FF008AEF"/>
      </dataBar>
    </cfRule>
  </conditionalFormatting>
  <conditionalFormatting sqref="I22">
    <cfRule type="dataBar" priority="318">
      <dataBar>
        <cfvo type="min"/>
        <cfvo type="max"/>
        <color rgb="FF008AEF"/>
      </dataBar>
    </cfRule>
  </conditionalFormatting>
  <conditionalFormatting sqref="I20:I22">
    <cfRule type="dataBar" priority="317">
      <dataBar>
        <cfvo type="min"/>
        <cfvo type="max"/>
        <color rgb="FF008AEF"/>
      </dataBar>
    </cfRule>
  </conditionalFormatting>
  <conditionalFormatting sqref="N23">
    <cfRule type="cellIs" priority="313" operator="lessThan" dxfId="1" stopIfTrue="1">
      <formula>-0.01</formula>
    </cfRule>
    <cfRule type="cellIs" priority="314" operator="greaterThan" dxfId="0" stopIfTrue="1">
      <formula>0.01</formula>
    </cfRule>
  </conditionalFormatting>
  <conditionalFormatting sqref="J18:J22">
    <cfRule type="cellIs" priority="311" operator="greaterThan" dxfId="1">
      <formula>0.03</formula>
    </cfRule>
    <cfRule type="cellIs" priority="312" operator="lessThan" dxfId="0" stopIfTrue="1">
      <formula>-0.03</formula>
    </cfRule>
  </conditionalFormatting>
  <conditionalFormatting sqref="N18">
    <cfRule type="cellIs" priority="309" operator="lessThan" dxfId="1" stopIfTrue="1">
      <formula>-0.01</formula>
    </cfRule>
    <cfRule type="cellIs" priority="310" operator="greaterThan" dxfId="0" stopIfTrue="1">
      <formula>0.01</formula>
    </cfRule>
  </conditionalFormatting>
  <conditionalFormatting sqref="N19">
    <cfRule type="cellIs" priority="307" operator="lessThan" dxfId="1" stopIfTrue="1">
      <formula>-0.01</formula>
    </cfRule>
    <cfRule type="cellIs" priority="308" operator="greaterThan" dxfId="0" stopIfTrue="1">
      <formula>0.01</formula>
    </cfRule>
  </conditionalFormatting>
  <conditionalFormatting sqref="N20:N21">
    <cfRule type="cellIs" priority="305" operator="lessThan" dxfId="1" stopIfTrue="1">
      <formula>-0.01</formula>
    </cfRule>
    <cfRule type="cellIs" priority="306" operator="greaterThan" dxfId="0" stopIfTrue="1">
      <formula>0.01</formula>
    </cfRule>
  </conditionalFormatting>
  <conditionalFormatting sqref="N22">
    <cfRule type="cellIs" priority="303" operator="lessThan" dxfId="1" stopIfTrue="1">
      <formula>-0.01</formula>
    </cfRule>
    <cfRule type="cellIs" priority="304" operator="greaterThan" dxfId="0" stopIfTrue="1">
      <formula>0.01</formula>
    </cfRule>
  </conditionalFormatting>
  <conditionalFormatting sqref="P18">
    <cfRule type="cellIs" priority="301" operator="greaterThan" dxfId="1">
      <formula>0.03</formula>
    </cfRule>
    <cfRule type="cellIs" priority="302" operator="lessThan" dxfId="0" stopIfTrue="1">
      <formula>-0.03</formula>
    </cfRule>
  </conditionalFormatting>
  <conditionalFormatting sqref="P22">
    <cfRule type="cellIs" priority="299" operator="lessThan" dxfId="1">
      <formula>-0.03</formula>
    </cfRule>
    <cfRule type="cellIs" priority="300" operator="greaterThan" dxfId="0" stopIfTrue="1">
      <formula>0.03</formula>
    </cfRule>
  </conditionalFormatting>
  <conditionalFormatting sqref="I67">
    <cfRule type="dataBar" priority="274">
      <dataBar>
        <cfvo type="min"/>
        <cfvo type="max"/>
        <color rgb="FF008AEF"/>
      </dataBar>
    </cfRule>
  </conditionalFormatting>
  <conditionalFormatting sqref="I62">
    <cfRule type="dataBar" priority="273">
      <dataBar>
        <cfvo type="min"/>
        <cfvo type="max"/>
        <color rgb="FF008AEF"/>
      </dataBar>
    </cfRule>
    <cfRule type="dataBar" priority="268">
      <dataBar>
        <cfvo type="min"/>
        <cfvo type="max"/>
        <color rgb="FF008AEF"/>
      </dataBar>
    </cfRule>
  </conditionalFormatting>
  <conditionalFormatting sqref="I63">
    <cfRule type="dataBar" priority="272">
      <dataBar>
        <cfvo type="min"/>
        <cfvo type="max"/>
        <color rgb="FF008AEF"/>
      </dataBar>
    </cfRule>
    <cfRule type="dataBar" priority="267">
      <dataBar>
        <cfvo type="min"/>
        <cfvo type="max"/>
        <color rgb="FF008AEF"/>
      </dataBar>
    </cfRule>
  </conditionalFormatting>
  <conditionalFormatting sqref="I64:I65">
    <cfRule type="dataBar" priority="271">
      <dataBar>
        <cfvo type="min"/>
        <cfvo type="max"/>
        <color rgb="FF008AEF"/>
      </dataBar>
    </cfRule>
  </conditionalFormatting>
  <conditionalFormatting sqref="I66">
    <cfRule type="dataBar" priority="270">
      <dataBar>
        <cfvo type="min"/>
        <cfvo type="max"/>
        <color rgb="FF008AEF"/>
      </dataBar>
    </cfRule>
  </conditionalFormatting>
  <conditionalFormatting sqref="I64:I66">
    <cfRule type="dataBar" priority="269">
      <dataBar>
        <cfvo type="min"/>
        <cfvo type="max"/>
        <color rgb="FF008AEF"/>
      </dataBar>
    </cfRule>
  </conditionalFormatting>
  <conditionalFormatting sqref="J62:J66">
    <cfRule type="cellIs" priority="265" operator="greaterThan" dxfId="1">
      <formula>0.03</formula>
    </cfRule>
    <cfRule type="cellIs" priority="266" operator="lessThan" dxfId="0" stopIfTrue="1">
      <formula>-0.03</formula>
    </cfRule>
  </conditionalFormatting>
  <conditionalFormatting sqref="N67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N62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N63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N64:N65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N66">
    <cfRule type="cellIs" priority="255" operator="lessThan" dxfId="1" stopIfTrue="1">
      <formula>-0.01</formula>
    </cfRule>
    <cfRule type="cellIs" priority="256" operator="greaterThan" dxfId="0" stopIfTrue="1">
      <formula>0.01</formula>
    </cfRule>
  </conditionalFormatting>
  <conditionalFormatting sqref="P62">
    <cfRule type="cellIs" priority="253" operator="greaterThan" dxfId="1">
      <formula>0.03</formula>
    </cfRule>
    <cfRule type="cellIs" priority="254" operator="lessThan" dxfId="0" stopIfTrue="1">
      <formula>-0.03</formula>
    </cfRule>
  </conditionalFormatting>
  <conditionalFormatting sqref="P66">
    <cfRule type="cellIs" priority="251" operator="lessThan" dxfId="1">
      <formula>-0.03</formula>
    </cfRule>
    <cfRule type="cellIs" priority="252" operator="greaterThan" dxfId="0" stopIfTrue="1">
      <formula>0.03</formula>
    </cfRule>
  </conditionalFormatting>
  <conditionalFormatting sqref="I78">
    <cfRule type="dataBar" priority="250">
      <dataBar>
        <cfvo type="min"/>
        <cfvo type="max"/>
        <color rgb="FF008AEF"/>
      </dataBar>
    </cfRule>
  </conditionalFormatting>
  <conditionalFormatting sqref="I73">
    <cfRule type="dataBar" priority="249">
      <dataBar>
        <cfvo type="min"/>
        <cfvo type="max"/>
        <color rgb="FF008AEF"/>
      </dataBar>
    </cfRule>
    <cfRule type="dataBar" priority="244">
      <dataBar>
        <cfvo type="min"/>
        <cfvo type="max"/>
        <color rgb="FF008AEF"/>
      </dataBar>
    </cfRule>
  </conditionalFormatting>
  <conditionalFormatting sqref="I74">
    <cfRule type="dataBar" priority="248">
      <dataBar>
        <cfvo type="min"/>
        <cfvo type="max"/>
        <color rgb="FF008AEF"/>
      </dataBar>
    </cfRule>
    <cfRule type="dataBar" priority="243">
      <dataBar>
        <cfvo type="min"/>
        <cfvo type="max"/>
        <color rgb="FF008AEF"/>
      </dataBar>
    </cfRule>
  </conditionalFormatting>
  <conditionalFormatting sqref="I75:I76">
    <cfRule type="dataBar" priority="247">
      <dataBar>
        <cfvo type="min"/>
        <cfvo type="max"/>
        <color rgb="FF008AEF"/>
      </dataBar>
    </cfRule>
  </conditionalFormatting>
  <conditionalFormatting sqref="I77">
    <cfRule type="dataBar" priority="246">
      <dataBar>
        <cfvo type="min"/>
        <cfvo type="max"/>
        <color rgb="FF008AEF"/>
      </dataBar>
    </cfRule>
  </conditionalFormatting>
  <conditionalFormatting sqref="I75:I77">
    <cfRule type="dataBar" priority="245">
      <dataBar>
        <cfvo type="min"/>
        <cfvo type="max"/>
        <color rgb="FF008AEF"/>
      </dataBar>
    </cfRule>
  </conditionalFormatting>
  <conditionalFormatting sqref="J73:J77">
    <cfRule type="cellIs" priority="241" operator="greaterThan" dxfId="1">
      <formula>0.03</formula>
    </cfRule>
    <cfRule type="cellIs" priority="242" operator="lessThan" dxfId="0" stopIfTrue="1">
      <formula>-0.03</formula>
    </cfRule>
  </conditionalFormatting>
  <conditionalFormatting sqref="N78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N73">
    <cfRule type="cellIs" priority="237" operator="lessThan" dxfId="1" stopIfTrue="1">
      <formula>-0.01</formula>
    </cfRule>
    <cfRule type="cellIs" priority="238" operator="greaterThan" dxfId="0" stopIfTrue="1">
      <formula>0.01</formula>
    </cfRule>
  </conditionalFormatting>
  <conditionalFormatting sqref="N74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N75:N7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N77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P73">
    <cfRule type="cellIs" priority="229" operator="greaterThan" dxfId="1">
      <formula>0.03</formula>
    </cfRule>
    <cfRule type="cellIs" priority="230" operator="lessThan" dxfId="0" stopIfTrue="1">
      <formula>-0.03</formula>
    </cfRule>
  </conditionalFormatting>
  <conditionalFormatting sqref="P77">
    <cfRule type="cellIs" priority="227" operator="lessThan" dxfId="1">
      <formula>-0.03</formula>
    </cfRule>
    <cfRule type="cellIs" priority="228" operator="greaterThan" dxfId="0" stopIfTrue="1">
      <formula>0.03</formula>
    </cfRule>
  </conditionalFormatting>
  <conditionalFormatting sqref="I89">
    <cfRule type="dataBar" priority="226">
      <dataBar>
        <cfvo type="min"/>
        <cfvo type="max"/>
        <color rgb="FF008AEF"/>
      </dataBar>
    </cfRule>
  </conditionalFormatting>
  <conditionalFormatting sqref="I84">
    <cfRule type="dataBar" priority="225">
      <dataBar>
        <cfvo type="min"/>
        <cfvo type="max"/>
        <color rgb="FF008AEF"/>
      </dataBar>
    </cfRule>
    <cfRule type="dataBar" priority="220">
      <dataBar>
        <cfvo type="min"/>
        <cfvo type="max"/>
        <color rgb="FF008AEF"/>
      </dataBar>
    </cfRule>
  </conditionalFormatting>
  <conditionalFormatting sqref="I85">
    <cfRule type="dataBar" priority="224">
      <dataBar>
        <cfvo type="min"/>
        <cfvo type="max"/>
        <color rgb="FF008AEF"/>
      </dataBar>
    </cfRule>
    <cfRule type="dataBar" priority="219">
      <dataBar>
        <cfvo type="min"/>
        <cfvo type="max"/>
        <color rgb="FF008AEF"/>
      </dataBar>
    </cfRule>
  </conditionalFormatting>
  <conditionalFormatting sqref="I86:I87">
    <cfRule type="dataBar" priority="223">
      <dataBar>
        <cfvo type="min"/>
        <cfvo type="max"/>
        <color rgb="FF008AEF"/>
      </dataBar>
    </cfRule>
  </conditionalFormatting>
  <conditionalFormatting sqref="I88">
    <cfRule type="dataBar" priority="222">
      <dataBar>
        <cfvo type="min"/>
        <cfvo type="max"/>
        <color rgb="FF008AEF"/>
      </dataBar>
    </cfRule>
  </conditionalFormatting>
  <conditionalFormatting sqref="I86:I88">
    <cfRule type="dataBar" priority="221">
      <dataBar>
        <cfvo type="min"/>
        <cfvo type="max"/>
        <color rgb="FF008AEF"/>
      </dataBar>
    </cfRule>
  </conditionalFormatting>
  <conditionalFormatting sqref="J84:J88">
    <cfRule type="cellIs" priority="217" operator="greaterThan" dxfId="1">
      <formula>0.03</formula>
    </cfRule>
    <cfRule type="cellIs" priority="218" operator="lessThan" dxfId="0" stopIfTrue="1">
      <formula>-0.03</formula>
    </cfRule>
  </conditionalFormatting>
  <conditionalFormatting sqref="N89">
    <cfRule type="cellIs" priority="215" operator="lessThan" dxfId="1" stopIfTrue="1">
      <formula>-0.01</formula>
    </cfRule>
    <cfRule type="cellIs" priority="216" operator="greaterThan" dxfId="0" stopIfTrue="1">
      <formula>0.01</formula>
    </cfRule>
  </conditionalFormatting>
  <conditionalFormatting sqref="N84">
    <cfRule type="cellIs" priority="213" operator="lessThan" dxfId="1" stopIfTrue="1">
      <formula>-0.01</formula>
    </cfRule>
    <cfRule type="cellIs" priority="214" operator="greaterThan" dxfId="0" stopIfTrue="1">
      <formula>0.01</formula>
    </cfRule>
  </conditionalFormatting>
  <conditionalFormatting sqref="N85">
    <cfRule type="cellIs" priority="211" operator="lessThan" dxfId="1" stopIfTrue="1">
      <formula>-0.01</formula>
    </cfRule>
    <cfRule type="cellIs" priority="212" operator="greaterThan" dxfId="0" stopIfTrue="1">
      <formula>0.01</formula>
    </cfRule>
  </conditionalFormatting>
  <conditionalFormatting sqref="N86:N87">
    <cfRule type="cellIs" priority="209" operator="lessThan" dxfId="1" stopIfTrue="1">
      <formula>-0.01</formula>
    </cfRule>
    <cfRule type="cellIs" priority="210" operator="greaterThan" dxfId="0" stopIfTrue="1">
      <formula>0.01</formula>
    </cfRule>
  </conditionalFormatting>
  <conditionalFormatting sqref="N88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P84">
    <cfRule type="cellIs" priority="205" operator="greaterThan" dxfId="1">
      <formula>0.03</formula>
    </cfRule>
    <cfRule type="cellIs" priority="206" operator="lessThan" dxfId="0" stopIfTrue="1">
      <formula>-0.03</formula>
    </cfRule>
  </conditionalFormatting>
  <conditionalFormatting sqref="P88">
    <cfRule type="cellIs" priority="203" operator="lessThan" dxfId="1">
      <formula>-0.03</formula>
    </cfRule>
    <cfRule type="cellIs" priority="204" operator="greaterThan" dxfId="0" stopIfTrue="1">
      <formula>0.03</formula>
    </cfRule>
  </conditionalFormatting>
  <conditionalFormatting sqref="I100">
    <cfRule type="dataBar" priority="202">
      <dataBar>
        <cfvo type="min"/>
        <cfvo type="max"/>
        <color rgb="FF008AEF"/>
      </dataBar>
    </cfRule>
  </conditionalFormatting>
  <conditionalFormatting sqref="I95">
    <cfRule type="dataBar" priority="201">
      <dataBar>
        <cfvo type="min"/>
        <cfvo type="max"/>
        <color rgb="FF008AEF"/>
      </dataBar>
    </cfRule>
    <cfRule type="dataBar" priority="196">
      <dataBar>
        <cfvo type="min"/>
        <cfvo type="max"/>
        <color rgb="FF008AEF"/>
      </dataBar>
    </cfRule>
  </conditionalFormatting>
  <conditionalFormatting sqref="I96">
    <cfRule type="dataBar" priority="200">
      <dataBar>
        <cfvo type="min"/>
        <cfvo type="max"/>
        <color rgb="FF008AEF"/>
      </dataBar>
    </cfRule>
    <cfRule type="dataBar" priority="195">
      <dataBar>
        <cfvo type="min"/>
        <cfvo type="max"/>
        <color rgb="FF008AEF"/>
      </dataBar>
    </cfRule>
  </conditionalFormatting>
  <conditionalFormatting sqref="I97:I98">
    <cfRule type="dataBar" priority="199">
      <dataBar>
        <cfvo type="min"/>
        <cfvo type="max"/>
        <color rgb="FF008AEF"/>
      </dataBar>
    </cfRule>
  </conditionalFormatting>
  <conditionalFormatting sqref="I99">
    <cfRule type="dataBar" priority="198">
      <dataBar>
        <cfvo type="min"/>
        <cfvo type="max"/>
        <color rgb="FF008AEF"/>
      </dataBar>
    </cfRule>
  </conditionalFormatting>
  <conditionalFormatting sqref="I97:I99">
    <cfRule type="dataBar" priority="197">
      <dataBar>
        <cfvo type="min"/>
        <cfvo type="max"/>
        <color rgb="FF008AEF"/>
      </dataBar>
    </cfRule>
  </conditionalFormatting>
  <conditionalFormatting sqref="J95:J99">
    <cfRule type="cellIs" priority="193" operator="greaterThan" dxfId="1">
      <formula>0.03</formula>
    </cfRule>
    <cfRule type="cellIs" priority="194" operator="lessThan" dxfId="0" stopIfTrue="1">
      <formula>-0.03</formula>
    </cfRule>
  </conditionalFormatting>
  <conditionalFormatting sqref="N100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N95">
    <cfRule type="cellIs" priority="189" operator="lessThan" dxfId="1" stopIfTrue="1">
      <formula>-0.01</formula>
    </cfRule>
    <cfRule type="cellIs" priority="190" operator="greaterThan" dxfId="0" stopIfTrue="1">
      <formula>0.01</formula>
    </cfRule>
  </conditionalFormatting>
  <conditionalFormatting sqref="N96">
    <cfRule type="cellIs" priority="187" operator="lessThan" dxfId="1" stopIfTrue="1">
      <formula>-0.01</formula>
    </cfRule>
    <cfRule type="cellIs" priority="188" operator="greaterThan" dxfId="0" stopIfTrue="1">
      <formula>0.01</formula>
    </cfRule>
  </conditionalFormatting>
  <conditionalFormatting sqref="N97:N98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N99">
    <cfRule type="cellIs" priority="183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P95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P99">
    <cfRule type="cellIs" priority="179" operator="lessThan" dxfId="1">
      <formula>-0.03</formula>
    </cfRule>
    <cfRule type="cellIs" priority="180" operator="greaterThan" dxfId="0" stopIfTrue="1">
      <formula>0.03</formula>
    </cfRule>
  </conditionalFormatting>
  <conditionalFormatting sqref="Z111:Z112">
    <cfRule type="cellIs" priority="174" operator="lessThan" dxfId="1" stopIfTrue="1">
      <formula>-0.01</formula>
    </cfRule>
    <cfRule type="cellIs" priority="175" operator="greaterThan" dxfId="0" stopIfTrue="1">
      <formula>0.01</formula>
    </cfRule>
  </conditionalFormatting>
  <conditionalFormatting sqref="AB106">
    <cfRule type="cellIs" priority="171" operator="greaterThan" dxfId="1">
      <formula>0.03</formula>
    </cfRule>
    <cfRule type="cellIs" priority="172" operator="lessThan" dxfId="0" stopIfTrue="1">
      <formula>-0.03</formula>
    </cfRule>
  </conditionalFormatting>
  <conditionalFormatting sqref="AB110">
    <cfRule type="cellIs" priority="169" operator="lessThan" dxfId="1">
      <formula>-0.03</formula>
    </cfRule>
    <cfRule type="cellIs" priority="170" operator="greaterThan" dxfId="0" stopIfTrue="1">
      <formula>0.03</formula>
    </cfRule>
  </conditionalFormatting>
  <conditionalFormatting sqref="Z106">
    <cfRule type="cellIs" priority="167" operator="lessThan" dxfId="1" stopIfTrue="1">
      <formula>-0.01</formula>
    </cfRule>
    <cfRule type="cellIs" priority="168" operator="greaterThan" dxfId="0" stopIfTrue="1">
      <formula>0.01</formula>
    </cfRule>
  </conditionalFormatting>
  <conditionalFormatting sqref="Z107">
    <cfRule type="cellIs" priority="165" operator="lessThan" dxfId="1" stopIfTrue="1">
      <formula>-0.01</formula>
    </cfRule>
    <cfRule type="cellIs" priority="166" operator="greaterThan" dxfId="0" stopIfTrue="1">
      <formula>0.01</formula>
    </cfRule>
  </conditionalFormatting>
  <conditionalFormatting sqref="Z108:Z109">
    <cfRule type="cellIs" priority="163" operator="lessThan" dxfId="1" stopIfTrue="1">
      <formula>-0.01</formula>
    </cfRule>
    <cfRule type="cellIs" priority="164" operator="greaterThan" dxfId="0" stopIfTrue="1">
      <formula>0.01</formula>
    </cfRule>
  </conditionalFormatting>
  <conditionalFormatting sqref="Z110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V106:V110">
    <cfRule type="cellIs" priority="159" operator="greaterThan" dxfId="1">
      <formula>0.03</formula>
    </cfRule>
    <cfRule type="cellIs" priority="160" operator="lessThan" dxfId="0" stopIfTrue="1">
      <formula>-0.03</formula>
    </cfRule>
  </conditionalFormatting>
  <conditionalFormatting sqref="R107:T107">
    <cfRule type="dataBar" priority="158">
      <dataBar>
        <cfvo type="min"/>
        <cfvo type="max"/>
        <color rgb="FF008AEF"/>
      </dataBar>
    </cfRule>
  </conditionalFormatting>
  <conditionalFormatting sqref="R108:T109">
    <cfRule type="dataBar" priority="157">
      <dataBar>
        <cfvo type="min"/>
        <cfvo type="max"/>
        <color rgb="FF008AEF"/>
      </dataBar>
    </cfRule>
  </conditionalFormatting>
  <conditionalFormatting sqref="R110:T110">
    <cfRule type="dataBar" priority="156">
      <dataBar>
        <cfvo type="min"/>
        <cfvo type="max"/>
        <color rgb="FF008AEF"/>
      </dataBar>
    </cfRule>
  </conditionalFormatting>
  <conditionalFormatting sqref="R106:U106 U107:U110">
    <cfRule type="dataBar" priority="173">
      <dataBar>
        <cfvo type="min"/>
        <cfvo type="max"/>
        <color rgb="FF008AEF"/>
      </dataBar>
    </cfRule>
  </conditionalFormatting>
  <conditionalFormatting sqref="N112">
    <cfRule type="cellIs" priority="152" operator="lessThan" dxfId="1" stopIfTrue="1">
      <formula>-0.01</formula>
    </cfRule>
    <cfRule type="cellIs" priority="153" operator="greaterThan" dxfId="0" stopIfTrue="1">
      <formula>0.01</formula>
    </cfRule>
  </conditionalFormatting>
  <conditionalFormatting sqref="I111">
    <cfRule type="dataBar" priority="151">
      <dataBar>
        <cfvo type="min"/>
        <cfvo type="max"/>
        <color rgb="FF008AEF"/>
      </dataBar>
    </cfRule>
  </conditionalFormatting>
  <conditionalFormatting sqref="N111">
    <cfRule type="cellIs" priority="140" operator="lessThan" dxfId="1" stopIfTrue="1">
      <formula>-0.01</formula>
    </cfRule>
    <cfRule type="cellIs" priority="141" operator="greaterThan" dxfId="0" stopIfTrue="1">
      <formula>0.01</formula>
    </cfRule>
  </conditionalFormatting>
  <conditionalFormatting sqref="R111:T112">
    <cfRule type="dataBar" priority="176">
      <dataBar>
        <cfvo type="min"/>
        <cfvo type="max"/>
        <color rgb="FF008AEF"/>
      </dataBar>
    </cfRule>
  </conditionalFormatting>
  <conditionalFormatting sqref="U111:U112">
    <cfRule type="dataBar" priority="177">
      <dataBar>
        <cfvo type="min"/>
        <cfvo type="max"/>
        <color rgb="FF008AEF"/>
      </dataBar>
    </cfRule>
  </conditionalFormatting>
  <conditionalFormatting sqref="I112">
    <cfRule type="dataBar" priority="178">
      <dataBar>
        <cfvo type="min"/>
        <cfvo type="max"/>
        <color rgb="FF008AEF"/>
      </dataBar>
    </cfRule>
  </conditionalFormatting>
  <conditionalFormatting sqref="I104">
    <cfRule type="dataBar" priority="127">
      <dataBar>
        <cfvo type="min"/>
        <cfvo type="max"/>
        <color rgb="FF008AEF"/>
      </dataBar>
    </cfRule>
  </conditionalFormatting>
  <conditionalFormatting sqref="I105">
    <cfRule type="dataBar" priority="126">
      <dataBar>
        <cfvo type="min"/>
        <cfvo type="max"/>
        <color rgb="FF008AEF"/>
      </dataBar>
    </cfRule>
  </conditionalFormatting>
  <conditionalFormatting sqref="I106">
    <cfRule type="dataBar" priority="125">
      <dataBar>
        <cfvo type="min"/>
        <cfvo type="max"/>
        <color rgb="FF008AEF"/>
      </dataBar>
    </cfRule>
    <cfRule type="dataBar" priority="120">
      <dataBar>
        <cfvo type="min"/>
        <cfvo type="max"/>
        <color rgb="FF008AEF"/>
      </dataBar>
    </cfRule>
  </conditionalFormatting>
  <conditionalFormatting sqref="I107">
    <cfRule type="dataBar" priority="124">
      <dataBar>
        <cfvo type="min"/>
        <cfvo type="max"/>
        <color rgb="FF008AEF"/>
      </dataBar>
    </cfRule>
    <cfRule type="dataBar" priority="119">
      <dataBar>
        <cfvo type="min"/>
        <cfvo type="max"/>
        <color rgb="FF008AEF"/>
      </dataBar>
    </cfRule>
  </conditionalFormatting>
  <conditionalFormatting sqref="I108:I109">
    <cfRule type="dataBar" priority="123">
      <dataBar>
        <cfvo type="min"/>
        <cfvo type="max"/>
        <color rgb="FF008AEF"/>
      </dataBar>
    </cfRule>
  </conditionalFormatting>
  <conditionalFormatting sqref="I110">
    <cfRule type="dataBar" priority="122">
      <dataBar>
        <cfvo type="min"/>
        <cfvo type="max"/>
        <color rgb="FF008AEF"/>
      </dataBar>
    </cfRule>
  </conditionalFormatting>
  <conditionalFormatting sqref="I108:I110">
    <cfRule type="dataBar" priority="121">
      <dataBar>
        <cfvo type="min"/>
        <cfvo type="max"/>
        <color rgb="FF008AEF"/>
      </dataBar>
    </cfRule>
  </conditionalFormatting>
  <conditionalFormatting sqref="J106:J110">
    <cfRule type="cellIs" priority="117" operator="greaterThan" dxfId="1">
      <formula>0.03</formula>
    </cfRule>
    <cfRule type="cellIs" priority="118" operator="lessThan" dxfId="0" stopIfTrue="1">
      <formula>-0.03</formula>
    </cfRule>
  </conditionalFormatting>
  <conditionalFormatting sqref="N106">
    <cfRule type="cellIs" priority="115" operator="lessThan" dxfId="1" stopIfTrue="1">
      <formula>-0.01</formula>
    </cfRule>
    <cfRule type="cellIs" priority="116" operator="greaterThan" dxfId="0" stopIfTrue="1">
      <formula>0.01</formula>
    </cfRule>
  </conditionalFormatting>
  <conditionalFormatting sqref="N107">
    <cfRule type="cellIs" priority="113" operator="lessThan" dxfId="1" stopIfTrue="1">
      <formula>-0.01</formula>
    </cfRule>
    <cfRule type="cellIs" priority="114" operator="greaterThan" dxfId="0" stopIfTrue="1">
      <formula>0.01</formula>
    </cfRule>
  </conditionalFormatting>
  <conditionalFormatting sqref="N108:N109">
    <cfRule type="cellIs" priority="111" operator="lessThan" dxfId="1" stopIfTrue="1">
      <formula>-0.01</formula>
    </cfRule>
    <cfRule type="cellIs" priority="112" operator="greaterThan" dxfId="0" stopIfTrue="1">
      <formula>0.01</formula>
    </cfRule>
  </conditionalFormatting>
  <conditionalFormatting sqref="N110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P106">
    <cfRule type="cellIs" priority="107" operator="greaterThan" dxfId="1">
      <formula>0.03</formula>
    </cfRule>
    <cfRule type="cellIs" priority="108" operator="lessThan" dxfId="0" stopIfTrue="1">
      <formula>-0.03</formula>
    </cfRule>
  </conditionalFormatting>
  <conditionalFormatting sqref="P110">
    <cfRule type="cellIs" priority="105" operator="lessThan" dxfId="1">
      <formula>-0.03</formula>
    </cfRule>
    <cfRule type="cellIs" priority="106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25">
    <outlinePr summaryBelow="1" summaryRight="1"/>
    <pageSetUpPr/>
  </sheetPr>
  <dimension ref="A1:AF221"/>
  <sheetViews>
    <sheetView topLeftCell="A82" workbookViewId="0">
      <selection activeCell="B103" sqref="B103:D103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8" bestFit="1" customWidth="1" style="279" min="14" max="14"/>
    <col width="4.59765625" customWidth="1" style="279" min="15" max="15"/>
    <col width="9.6992187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H</t>
        </is>
      </c>
      <c r="M3" s="87" t="inlineStr">
        <is>
          <t>Z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48" operator="lessThan" dxfId="1" stopIfTrue="1">
      <formula>-0.01</formula>
    </cfRule>
    <cfRule type="cellIs" priority="249" operator="greaterThan" dxfId="0" stopIfTrue="1">
      <formula>0.01</formula>
    </cfRule>
  </conditionalFormatting>
  <conditionalFormatting sqref="I89">
    <cfRule type="dataBar" priority="247">
      <dataBar>
        <cfvo type="min"/>
        <cfvo type="max"/>
        <color rgb="FF008AEF"/>
      </dataBar>
    </cfRule>
  </conditionalFormatting>
  <conditionalFormatting sqref="N89">
    <cfRule type="cellIs" priority="236" operator="lessThan" dxfId="1" stopIfTrue="1">
      <formula>-0.01</formula>
    </cfRule>
    <cfRule type="cellIs" priority="237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AB95">
    <cfRule type="cellIs" priority="216" operator="greaterThan" dxfId="1">
      <formula>0.03</formula>
    </cfRule>
    <cfRule type="cellIs" priority="217" operator="lessThan" dxfId="0" stopIfTrue="1">
      <formula>-0.03</formula>
    </cfRule>
  </conditionalFormatting>
  <conditionalFormatting sqref="AB99">
    <cfRule type="cellIs" priority="214" operator="lessThan" dxfId="1">
      <formula>-0.03</formula>
    </cfRule>
    <cfRule type="cellIs" priority="215" operator="greaterThan" dxfId="0" stopIfTrue="1">
      <formula>0.03</formula>
    </cfRule>
  </conditionalFormatting>
  <conditionalFormatting sqref="Z95">
    <cfRule type="cellIs" priority="212" operator="lessThan" dxfId="1" stopIfTrue="1">
      <formula>-0.01</formula>
    </cfRule>
    <cfRule type="cellIs" priority="213" operator="greaterThan" dxfId="0" stopIfTrue="1">
      <formula>0.01</formula>
    </cfRule>
  </conditionalFormatting>
  <conditionalFormatting sqref="Z96">
    <cfRule type="cellIs" priority="210" operator="lessThan" dxfId="1" stopIfTrue="1">
      <formula>-0.01</formula>
    </cfRule>
    <cfRule type="cellIs" priority="211" operator="greaterThan" dxfId="0" stopIfTrue="1">
      <formula>0.01</formula>
    </cfRule>
  </conditionalFormatting>
  <conditionalFormatting sqref="Z97:Z98">
    <cfRule type="cellIs" priority="208" operator="lessThan" dxfId="1" stopIfTrue="1">
      <formula>-0.01</formula>
    </cfRule>
    <cfRule type="cellIs" priority="209" operator="greaterThan" dxfId="0" stopIfTrue="1">
      <formula>0.01</formula>
    </cfRule>
  </conditionalFormatting>
  <conditionalFormatting sqref="Z99">
    <cfRule type="cellIs" priority="206" operator="lessThan" dxfId="1" stopIfTrue="1">
      <formula>-0.01</formula>
    </cfRule>
    <cfRule type="cellIs" priority="207" operator="greaterThan" dxfId="0" stopIfTrue="1">
      <formula>0.01</formula>
    </cfRule>
  </conditionalFormatting>
  <conditionalFormatting sqref="V95:V99">
    <cfRule type="cellIs" priority="204" operator="greaterThan" dxfId="1">
      <formula>0.03</formula>
    </cfRule>
    <cfRule type="cellIs" priority="205" operator="lessThan" dxfId="0" stopIfTrue="1">
      <formula>-0.03</formula>
    </cfRule>
  </conditionalFormatting>
  <conditionalFormatting sqref="R96:T96">
    <cfRule type="dataBar" priority="203">
      <dataBar>
        <cfvo type="min"/>
        <cfvo type="max"/>
        <color rgb="FF008AEF"/>
      </dataBar>
    </cfRule>
  </conditionalFormatting>
  <conditionalFormatting sqref="R97:T98">
    <cfRule type="dataBar" priority="202">
      <dataBar>
        <cfvo type="min"/>
        <cfvo type="max"/>
        <color rgb="FF008AEF"/>
      </dataBar>
    </cfRule>
  </conditionalFormatting>
  <conditionalFormatting sqref="R99:T99">
    <cfRule type="dataBar" priority="201">
      <dataBar>
        <cfvo type="min"/>
        <cfvo type="max"/>
        <color rgb="FF008AEF"/>
      </dataBar>
    </cfRule>
  </conditionalFormatting>
  <conditionalFormatting sqref="R95:U95 U96:U99">
    <cfRule type="dataBar" priority="218">
      <dataBar>
        <cfvo type="min"/>
        <cfvo type="max"/>
        <color rgb="FF008AEF"/>
      </dataBar>
    </cfRule>
  </conditionalFormatting>
  <conditionalFormatting sqref="N101">
    <cfRule type="cellIs" priority="197" operator="lessThan" dxfId="1" stopIfTrue="1">
      <formula>-0.01</formula>
    </cfRule>
    <cfRule type="cellIs" priority="198" operator="greaterThan" dxfId="0" stopIfTrue="1">
      <formula>0.01</formula>
    </cfRule>
  </conditionalFormatting>
  <conditionalFormatting sqref="I100">
    <cfRule type="dataBar" priority="196">
      <dataBar>
        <cfvo type="min"/>
        <cfvo type="max"/>
        <color rgb="FF008AEF"/>
      </dataBar>
    </cfRule>
  </conditionalFormatting>
  <conditionalFormatting sqref="N100">
    <cfRule type="cellIs" priority="185" operator="lessThan" dxfId="1" stopIfTrue="1">
      <formula>-0.01</formula>
    </cfRule>
    <cfRule type="cellIs" priority="186" operator="greaterThan" dxfId="0" stopIfTrue="1">
      <formula>0.01</formula>
    </cfRule>
  </conditionalFormatting>
  <conditionalFormatting sqref="R100:T101">
    <cfRule type="dataBar" priority="221">
      <dataBar>
        <cfvo type="min"/>
        <cfvo type="max"/>
        <color rgb="FF008AEF"/>
      </dataBar>
    </cfRule>
  </conditionalFormatting>
  <conditionalFormatting sqref="U100:U101">
    <cfRule type="dataBar" priority="222">
      <dataBar>
        <cfvo type="min"/>
        <cfvo type="max"/>
        <color rgb="FF008AEF"/>
      </dataBar>
    </cfRule>
  </conditionalFormatting>
  <conditionalFormatting sqref="I101">
    <cfRule type="dataBar" priority="223">
      <dataBar>
        <cfvo type="min"/>
        <cfvo type="max"/>
        <color rgb="FF008AEF"/>
      </dataBar>
    </cfRule>
  </conditionalFormatting>
  <conditionalFormatting sqref="Z111:Z112">
    <cfRule type="cellIs" priority="168" operator="lessThan" dxfId="1" stopIfTrue="1">
      <formula>-0.01</formula>
    </cfRule>
    <cfRule type="cellIs" priority="169" operator="greaterThan" dxfId="0" stopIfTrue="1">
      <formula>0.01</formula>
    </cfRule>
  </conditionalFormatting>
  <conditionalFormatting sqref="AB106">
    <cfRule type="cellIs" priority="165" operator="greaterThan" dxfId="1">
      <formula>0.03</formula>
    </cfRule>
    <cfRule type="cellIs" priority="166" operator="lessThan" dxfId="0" stopIfTrue="1">
      <formula>-0.03</formula>
    </cfRule>
  </conditionalFormatting>
  <conditionalFormatting sqref="AB110">
    <cfRule type="cellIs" priority="163" operator="lessThan" dxfId="1">
      <formula>-0.03</formula>
    </cfRule>
    <cfRule type="cellIs" priority="164" operator="greaterThan" dxfId="0" stopIfTrue="1">
      <formula>0.03</formula>
    </cfRule>
  </conditionalFormatting>
  <conditionalFormatting sqref="Z106">
    <cfRule type="cellIs" priority="161" operator="lessThan" dxfId="1" stopIfTrue="1">
      <formula>-0.01</formula>
    </cfRule>
    <cfRule type="cellIs" priority="162" operator="greaterThan" dxfId="0" stopIfTrue="1">
      <formula>0.01</formula>
    </cfRule>
  </conditionalFormatting>
  <conditionalFormatting sqref="Z107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Z108:Z109">
    <cfRule type="cellIs" priority="157" operator="lessThan" dxfId="1" stopIfTrue="1">
      <formula>-0.01</formula>
    </cfRule>
    <cfRule type="cellIs" priority="158" operator="greaterThan" dxfId="0" stopIfTrue="1">
      <formula>0.01</formula>
    </cfRule>
  </conditionalFormatting>
  <conditionalFormatting sqref="Z110">
    <cfRule type="cellIs" priority="155" operator="lessThan" dxfId="1" stopIfTrue="1">
      <formula>-0.01</formula>
    </cfRule>
    <cfRule type="cellIs" priority="156" operator="greaterThan" dxfId="0" stopIfTrue="1">
      <formula>0.01</formula>
    </cfRule>
  </conditionalFormatting>
  <conditionalFormatting sqref="V106:V110">
    <cfRule type="cellIs" priority="153" operator="greaterThan" dxfId="1">
      <formula>0.03</formula>
    </cfRule>
    <cfRule type="cellIs" priority="154" operator="lessThan" dxfId="0" stopIfTrue="1">
      <formula>-0.03</formula>
    </cfRule>
  </conditionalFormatting>
  <conditionalFormatting sqref="R107:T107">
    <cfRule type="dataBar" priority="152">
      <dataBar>
        <cfvo type="min"/>
        <cfvo type="max"/>
        <color rgb="FF008AEF"/>
      </dataBar>
    </cfRule>
  </conditionalFormatting>
  <conditionalFormatting sqref="R108:T109">
    <cfRule type="dataBar" priority="151">
      <dataBar>
        <cfvo type="min"/>
        <cfvo type="max"/>
        <color rgb="FF008AEF"/>
      </dataBar>
    </cfRule>
  </conditionalFormatting>
  <conditionalFormatting sqref="R110:T110">
    <cfRule type="dataBar" priority="150">
      <dataBar>
        <cfvo type="min"/>
        <cfvo type="max"/>
        <color rgb="FF008AEF"/>
      </dataBar>
    </cfRule>
  </conditionalFormatting>
  <conditionalFormatting sqref="R106:U106 U107:U110">
    <cfRule type="dataBar" priority="167">
      <dataBar>
        <cfvo type="min"/>
        <cfvo type="max"/>
        <color rgb="FF008AEF"/>
      </dataBar>
    </cfRule>
  </conditionalFormatting>
  <conditionalFormatting sqref="N112">
    <cfRule type="cellIs" priority="146" operator="lessThan" dxfId="1" stopIfTrue="1">
      <formula>-0.01</formula>
    </cfRule>
    <cfRule type="cellIs" priority="147" operator="greaterThan" dxfId="0" stopIfTrue="1">
      <formula>0.01</formula>
    </cfRule>
  </conditionalFormatting>
  <conditionalFormatting sqref="I111">
    <cfRule type="dataBar" priority="145">
      <dataBar>
        <cfvo type="min"/>
        <cfvo type="max"/>
        <color rgb="FF008AEF"/>
      </dataBar>
    </cfRule>
  </conditionalFormatting>
  <conditionalFormatting sqref="N111">
    <cfRule type="cellIs" priority="134" operator="lessThan" dxfId="1" stopIfTrue="1">
      <formula>-0.01</formula>
    </cfRule>
    <cfRule type="cellIs" priority="135" operator="greaterThan" dxfId="0" stopIfTrue="1">
      <formula>0.01</formula>
    </cfRule>
  </conditionalFormatting>
  <conditionalFormatting sqref="R111:T112">
    <cfRule type="dataBar" priority="170">
      <dataBar>
        <cfvo type="min"/>
        <cfvo type="max"/>
        <color rgb="FF008AEF"/>
      </dataBar>
    </cfRule>
  </conditionalFormatting>
  <conditionalFormatting sqref="U111:U112">
    <cfRule type="dataBar" priority="171">
      <dataBar>
        <cfvo type="min"/>
        <cfvo type="max"/>
        <color rgb="FF008AEF"/>
      </dataBar>
    </cfRule>
  </conditionalFormatting>
  <conditionalFormatting sqref="I112">
    <cfRule type="dataBar" priority="172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26">
    <outlinePr summaryBelow="1" summaryRight="1"/>
    <pageSetUpPr/>
  </sheetPr>
  <dimension ref="A1:AF221"/>
  <sheetViews>
    <sheetView topLeftCell="B1" zoomScaleNormal="100" workbookViewId="0">
      <selection activeCell="F4" sqref="F4:H4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8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I</t>
        </is>
      </c>
      <c r="M3" s="87" t="inlineStr">
        <is>
          <t>AA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YUV-IVSSIM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YUV-IVSSIM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YUV-IVSSIM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YUV-IVSSIM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YUV-IVSSIM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YUV-IVSSIM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YUV-IVSSIM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YUV-IVSSIM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YUV-IVSSIM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YUV-IVSSIM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B93:C93"/>
    <mergeCell ref="F2:H2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F71:G71"/>
    <mergeCell ref="B49:C49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F48:H48"/>
    <mergeCell ref="B15:D15"/>
    <mergeCell ref="R71:T71"/>
    <mergeCell ref="F38:G38"/>
    <mergeCell ref="L70:N70"/>
    <mergeCell ref="B26:D26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807">
      <dataBar>
        <cfvo type="min"/>
        <cfvo type="max"/>
        <color rgb="FF008AEF"/>
      </dataBar>
    </cfRule>
  </conditionalFormatting>
  <conditionalFormatting sqref="Z23:Z24">
    <cfRule type="cellIs" priority="799" operator="lessThan" dxfId="1" stopIfTrue="1">
      <formula>-0.01</formula>
    </cfRule>
    <cfRule type="cellIs" priority="800" operator="greaterThan" dxfId="0" stopIfTrue="1">
      <formula>0.01</formula>
    </cfRule>
  </conditionalFormatting>
  <conditionalFormatting sqref="I24">
    <cfRule type="dataBar" priority="798">
      <dataBar>
        <cfvo type="min"/>
        <cfvo type="max"/>
        <color rgb="FF008AEF"/>
      </dataBar>
    </cfRule>
  </conditionalFormatting>
  <conditionalFormatting sqref="R23:T24">
    <cfRule type="dataBar" priority="797">
      <dataBar>
        <cfvo type="min"/>
        <cfvo type="max"/>
        <color rgb="FF008AEF"/>
      </dataBar>
    </cfRule>
  </conditionalFormatting>
  <conditionalFormatting sqref="U23:U24">
    <cfRule type="dataBar" priority="801">
      <dataBar>
        <cfvo type="min"/>
        <cfvo type="max"/>
        <color rgb="FF008AEF"/>
      </dataBar>
    </cfRule>
  </conditionalFormatting>
  <conditionalFormatting sqref="AB18">
    <cfRule type="cellIs" priority="794" operator="greaterThan" dxfId="1">
      <formula>0.03</formula>
    </cfRule>
    <cfRule type="cellIs" priority="795" operator="lessThan" dxfId="0" stopIfTrue="1">
      <formula>-0.03</formula>
    </cfRule>
  </conditionalFormatting>
  <conditionalFormatting sqref="AB22">
    <cfRule type="cellIs" priority="792" operator="lessThan" dxfId="1">
      <formula>-0.03</formula>
    </cfRule>
    <cfRule type="cellIs" priority="793" operator="greaterThan" dxfId="0" stopIfTrue="1">
      <formula>0.03</formula>
    </cfRule>
  </conditionalFormatting>
  <conditionalFormatting sqref="Z18">
    <cfRule type="cellIs" priority="790" operator="lessThan" dxfId="1" stopIfTrue="1">
      <formula>-0.01</formula>
    </cfRule>
    <cfRule type="cellIs" priority="791" operator="greaterThan" dxfId="0" stopIfTrue="1">
      <formula>0.01</formula>
    </cfRule>
  </conditionalFormatting>
  <conditionalFormatting sqref="Z19">
    <cfRule type="cellIs" priority="788" operator="lessThan" dxfId="1" stopIfTrue="1">
      <formula>-0.01</formula>
    </cfRule>
    <cfRule type="cellIs" priority="789" operator="greaterThan" dxfId="0" stopIfTrue="1">
      <formula>0.01</formula>
    </cfRule>
  </conditionalFormatting>
  <conditionalFormatting sqref="Z20:Z21">
    <cfRule type="cellIs" priority="786" operator="lessThan" dxfId="1" stopIfTrue="1">
      <formula>-0.01</formula>
    </cfRule>
    <cfRule type="cellIs" priority="787" operator="greaterThan" dxfId="0" stopIfTrue="1">
      <formula>0.01</formula>
    </cfRule>
  </conditionalFormatting>
  <conditionalFormatting sqref="Z22">
    <cfRule type="cellIs" priority="784" operator="lessThan" dxfId="1" stopIfTrue="1">
      <formula>-0.01</formula>
    </cfRule>
    <cfRule type="cellIs" priority="785" operator="greaterThan" dxfId="0" stopIfTrue="1">
      <formula>0.01</formula>
    </cfRule>
  </conditionalFormatting>
  <conditionalFormatting sqref="V18:V22">
    <cfRule type="cellIs" priority="782" operator="greaterThan" dxfId="1">
      <formula>0.03</formula>
    </cfRule>
    <cfRule type="cellIs" priority="783" operator="lessThan" dxfId="0" stopIfTrue="1">
      <formula>-0.03</formula>
    </cfRule>
  </conditionalFormatting>
  <conditionalFormatting sqref="R19:T19">
    <cfRule type="dataBar" priority="781">
      <dataBar>
        <cfvo type="min"/>
        <cfvo type="max"/>
        <color rgb="FF008AEF"/>
      </dataBar>
    </cfRule>
  </conditionalFormatting>
  <conditionalFormatting sqref="R20:T21">
    <cfRule type="dataBar" priority="780">
      <dataBar>
        <cfvo type="min"/>
        <cfvo type="max"/>
        <color rgb="FF008AEF"/>
      </dataBar>
    </cfRule>
  </conditionalFormatting>
  <conditionalFormatting sqref="R22:T22">
    <cfRule type="dataBar" priority="779">
      <dataBar>
        <cfvo type="min"/>
        <cfvo type="max"/>
        <color rgb="FF008AEF"/>
      </dataBar>
    </cfRule>
  </conditionalFormatting>
  <conditionalFormatting sqref="R18:U18">
    <cfRule type="dataBar" priority="796">
      <dataBar>
        <cfvo type="min"/>
        <cfvo type="max"/>
        <color rgb="FF008AEF"/>
      </dataBar>
    </cfRule>
  </conditionalFormatting>
  <conditionalFormatting sqref="Z34:Z35">
    <cfRule type="cellIs" priority="776" operator="lessThan" dxfId="1" stopIfTrue="1">
      <formula>-0.01</formula>
    </cfRule>
    <cfRule type="cellIs" priority="777" operator="greaterThan" dxfId="0" stopIfTrue="1">
      <formula>0.01</formula>
    </cfRule>
  </conditionalFormatting>
  <conditionalFormatting sqref="R34:T35">
    <cfRule type="dataBar" priority="775">
      <dataBar>
        <cfvo type="min"/>
        <cfvo type="max"/>
        <color rgb="FF008AEF"/>
      </dataBar>
    </cfRule>
  </conditionalFormatting>
  <conditionalFormatting sqref="U34:U35">
    <cfRule type="dataBar" priority="778">
      <dataBar>
        <cfvo type="min"/>
        <cfvo type="max"/>
        <color rgb="FF008AEF"/>
      </dataBar>
    </cfRule>
  </conditionalFormatting>
  <conditionalFormatting sqref="AB29">
    <cfRule type="cellIs" priority="772" operator="greaterThan" dxfId="1">
      <formula>0.03</formula>
    </cfRule>
    <cfRule type="cellIs" priority="773" operator="lessThan" dxfId="0" stopIfTrue="1">
      <formula>-0.03</formula>
    </cfRule>
  </conditionalFormatting>
  <conditionalFormatting sqref="AB33">
    <cfRule type="cellIs" priority="770" operator="lessThan" dxfId="1">
      <formula>-0.03</formula>
    </cfRule>
    <cfRule type="cellIs" priority="771" operator="greaterThan" dxfId="0" stopIfTrue="1">
      <formula>0.03</formula>
    </cfRule>
  </conditionalFormatting>
  <conditionalFormatting sqref="Z29">
    <cfRule type="cellIs" priority="768" operator="lessThan" dxfId="1" stopIfTrue="1">
      <formula>-0.01</formula>
    </cfRule>
    <cfRule type="cellIs" priority="769" operator="greaterThan" dxfId="0" stopIfTrue="1">
      <formula>0.01</formula>
    </cfRule>
  </conditionalFormatting>
  <conditionalFormatting sqref="Z30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31:Z32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33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V29:V33">
    <cfRule type="cellIs" priority="760" operator="greaterThan" dxfId="1">
      <formula>0.03</formula>
    </cfRule>
    <cfRule type="cellIs" priority="761" operator="lessThan" dxfId="0" stopIfTrue="1">
      <formula>-0.03</formula>
    </cfRule>
  </conditionalFormatting>
  <conditionalFormatting sqref="R30:T30">
    <cfRule type="dataBar" priority="759">
      <dataBar>
        <cfvo type="min"/>
        <cfvo type="max"/>
        <color rgb="FF008AEF"/>
      </dataBar>
    </cfRule>
  </conditionalFormatting>
  <conditionalFormatting sqref="R31:T32">
    <cfRule type="dataBar" priority="758">
      <dataBar>
        <cfvo type="min"/>
        <cfvo type="max"/>
        <color rgb="FF008AEF"/>
      </dataBar>
    </cfRule>
  </conditionalFormatting>
  <conditionalFormatting sqref="R33:T33">
    <cfRule type="dataBar" priority="757">
      <dataBar>
        <cfvo type="min"/>
        <cfvo type="max"/>
        <color rgb="FF008AEF"/>
      </dataBar>
    </cfRule>
  </conditionalFormatting>
  <conditionalFormatting sqref="R29:U29 U30:U33">
    <cfRule type="dataBar" priority="774">
      <dataBar>
        <cfvo type="min"/>
        <cfvo type="max"/>
        <color rgb="FF008AEF"/>
      </dataBar>
    </cfRule>
  </conditionalFormatting>
  <conditionalFormatting sqref="Z45:Z46">
    <cfRule type="cellIs" priority="754" operator="lessThan" dxfId="1" stopIfTrue="1">
      <formula>-0.01</formula>
    </cfRule>
    <cfRule type="cellIs" priority="755" operator="greaterThan" dxfId="0" stopIfTrue="1">
      <formula>0.01</formula>
    </cfRule>
  </conditionalFormatting>
  <conditionalFormatting sqref="R45:T46">
    <cfRule type="dataBar" priority="753">
      <dataBar>
        <cfvo type="min"/>
        <cfvo type="max"/>
        <color rgb="FF008AEF"/>
      </dataBar>
    </cfRule>
  </conditionalFormatting>
  <conditionalFormatting sqref="U45:U46">
    <cfRule type="dataBar" priority="756">
      <dataBar>
        <cfvo type="min"/>
        <cfvo type="max"/>
        <color rgb="FF008AEF"/>
      </dataBar>
    </cfRule>
  </conditionalFormatting>
  <conditionalFormatting sqref="AB40">
    <cfRule type="cellIs" priority="750" operator="greaterThan" dxfId="1">
      <formula>0.03</formula>
    </cfRule>
    <cfRule type="cellIs" priority="751" operator="lessThan" dxfId="0" stopIfTrue="1">
      <formula>-0.03</formula>
    </cfRule>
  </conditionalFormatting>
  <conditionalFormatting sqref="AB44">
    <cfRule type="cellIs" priority="748" operator="lessThan" dxfId="1">
      <formula>-0.03</formula>
    </cfRule>
    <cfRule type="cellIs" priority="749" operator="greaterThan" dxfId="0" stopIfTrue="1">
      <formula>0.03</formula>
    </cfRule>
  </conditionalFormatting>
  <conditionalFormatting sqref="Z40">
    <cfRule type="cellIs" priority="746" operator="lessThan" dxfId="1" stopIfTrue="1">
      <formula>-0.01</formula>
    </cfRule>
    <cfRule type="cellIs" priority="747" operator="greaterThan" dxfId="0" stopIfTrue="1">
      <formula>0.01</formula>
    </cfRule>
  </conditionalFormatting>
  <conditionalFormatting sqref="Z41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42:Z43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44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V40:V44">
    <cfRule type="cellIs" priority="738" operator="greaterThan" dxfId="1">
      <formula>0.03</formula>
    </cfRule>
    <cfRule type="cellIs" priority="739" operator="lessThan" dxfId="0" stopIfTrue="1">
      <formula>-0.03</formula>
    </cfRule>
  </conditionalFormatting>
  <conditionalFormatting sqref="R41:T41">
    <cfRule type="dataBar" priority="737">
      <dataBar>
        <cfvo type="min"/>
        <cfvo type="max"/>
        <color rgb="FF008AEF"/>
      </dataBar>
    </cfRule>
  </conditionalFormatting>
  <conditionalFormatting sqref="R42:T43">
    <cfRule type="dataBar" priority="736">
      <dataBar>
        <cfvo type="min"/>
        <cfvo type="max"/>
        <color rgb="FF008AEF"/>
      </dataBar>
    </cfRule>
  </conditionalFormatting>
  <conditionalFormatting sqref="R44:T44">
    <cfRule type="dataBar" priority="735">
      <dataBar>
        <cfvo type="min"/>
        <cfvo type="max"/>
        <color rgb="FF008AEF"/>
      </dataBar>
    </cfRule>
  </conditionalFormatting>
  <conditionalFormatting sqref="R40:U40 U41:U44">
    <cfRule type="dataBar" priority="752">
      <dataBar>
        <cfvo type="min"/>
        <cfvo type="max"/>
        <color rgb="FF008AEF"/>
      </dataBar>
    </cfRule>
  </conditionalFormatting>
  <conditionalFormatting sqref="Z56:Z57">
    <cfRule type="cellIs" priority="732" operator="lessThan" dxfId="1" stopIfTrue="1">
      <formula>-0.01</formula>
    </cfRule>
    <cfRule type="cellIs" priority="733" operator="greaterThan" dxfId="0" stopIfTrue="1">
      <formula>0.01</formula>
    </cfRule>
  </conditionalFormatting>
  <conditionalFormatting sqref="R56:T57">
    <cfRule type="dataBar" priority="731">
      <dataBar>
        <cfvo type="min"/>
        <cfvo type="max"/>
        <color rgb="FF008AEF"/>
      </dataBar>
    </cfRule>
  </conditionalFormatting>
  <conditionalFormatting sqref="U56:U57">
    <cfRule type="dataBar" priority="734">
      <dataBar>
        <cfvo type="min"/>
        <cfvo type="max"/>
        <color rgb="FF008AEF"/>
      </dataBar>
    </cfRule>
  </conditionalFormatting>
  <conditionalFormatting sqref="AB51">
    <cfRule type="cellIs" priority="728" operator="greaterThan" dxfId="1">
      <formula>0.03</formula>
    </cfRule>
    <cfRule type="cellIs" priority="729" operator="lessThan" dxfId="0" stopIfTrue="1">
      <formula>-0.03</formula>
    </cfRule>
  </conditionalFormatting>
  <conditionalFormatting sqref="AB55">
    <cfRule type="cellIs" priority="726" operator="lessThan" dxfId="1">
      <formula>-0.03</formula>
    </cfRule>
    <cfRule type="cellIs" priority="727" operator="greaterThan" dxfId="0" stopIfTrue="1">
      <formula>0.03</formula>
    </cfRule>
  </conditionalFormatting>
  <conditionalFormatting sqref="Z51">
    <cfRule type="cellIs" priority="724" operator="lessThan" dxfId="1" stopIfTrue="1">
      <formula>-0.01</formula>
    </cfRule>
    <cfRule type="cellIs" priority="725" operator="greaterThan" dxfId="0" stopIfTrue="1">
      <formula>0.01</formula>
    </cfRule>
  </conditionalFormatting>
  <conditionalFormatting sqref="Z52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53:Z54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55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V51:V55">
    <cfRule type="cellIs" priority="716" operator="greaterThan" dxfId="1">
      <formula>0.03</formula>
    </cfRule>
    <cfRule type="cellIs" priority="717" operator="lessThan" dxfId="0" stopIfTrue="1">
      <formula>-0.03</formula>
    </cfRule>
  </conditionalFormatting>
  <conditionalFormatting sqref="R52:T52">
    <cfRule type="dataBar" priority="715">
      <dataBar>
        <cfvo type="min"/>
        <cfvo type="max"/>
        <color rgb="FF008AEF"/>
      </dataBar>
    </cfRule>
  </conditionalFormatting>
  <conditionalFormatting sqref="R53:T54">
    <cfRule type="dataBar" priority="714">
      <dataBar>
        <cfvo type="min"/>
        <cfvo type="max"/>
        <color rgb="FF008AEF"/>
      </dataBar>
    </cfRule>
  </conditionalFormatting>
  <conditionalFormatting sqref="R55:T55">
    <cfRule type="dataBar" priority="713">
      <dataBar>
        <cfvo type="min"/>
        <cfvo type="max"/>
        <color rgb="FF008AEF"/>
      </dataBar>
    </cfRule>
  </conditionalFormatting>
  <conditionalFormatting sqref="R51:U51 U52:U55">
    <cfRule type="dataBar" priority="730">
      <dataBar>
        <cfvo type="min"/>
        <cfvo type="max"/>
        <color rgb="FF008AEF"/>
      </dataBar>
    </cfRule>
  </conditionalFormatting>
  <conditionalFormatting sqref="Z67:Z68">
    <cfRule type="cellIs" priority="710" operator="lessThan" dxfId="1" stopIfTrue="1">
      <formula>-0.01</formula>
    </cfRule>
    <cfRule type="cellIs" priority="711" operator="greaterThan" dxfId="0" stopIfTrue="1">
      <formula>0.01</formula>
    </cfRule>
  </conditionalFormatting>
  <conditionalFormatting sqref="R67:T68">
    <cfRule type="dataBar" priority="709">
      <dataBar>
        <cfvo type="min"/>
        <cfvo type="max"/>
        <color rgb="FF008AEF"/>
      </dataBar>
    </cfRule>
  </conditionalFormatting>
  <conditionalFormatting sqref="U67:U68">
    <cfRule type="dataBar" priority="712">
      <dataBar>
        <cfvo type="min"/>
        <cfvo type="max"/>
        <color rgb="FF008AEF"/>
      </dataBar>
    </cfRule>
  </conditionalFormatting>
  <conditionalFormatting sqref="AB62">
    <cfRule type="cellIs" priority="706" operator="greaterThan" dxfId="1">
      <formula>0.03</formula>
    </cfRule>
    <cfRule type="cellIs" priority="707" operator="lessThan" dxfId="0" stopIfTrue="1">
      <formula>-0.03</formula>
    </cfRule>
  </conditionalFormatting>
  <conditionalFormatting sqref="AB66">
    <cfRule type="cellIs" priority="704" operator="lessThan" dxfId="1">
      <formula>-0.03</formula>
    </cfRule>
    <cfRule type="cellIs" priority="705" operator="greaterThan" dxfId="0" stopIfTrue="1">
      <formula>0.03</formula>
    </cfRule>
  </conditionalFormatting>
  <conditionalFormatting sqref="Z62">
    <cfRule type="cellIs" priority="702" operator="lessThan" dxfId="1" stopIfTrue="1">
      <formula>-0.01</formula>
    </cfRule>
    <cfRule type="cellIs" priority="703" operator="greaterThan" dxfId="0" stopIfTrue="1">
      <formula>0.01</formula>
    </cfRule>
  </conditionalFormatting>
  <conditionalFormatting sqref="Z63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64:Z65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66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V62:V66">
    <cfRule type="cellIs" priority="694" operator="greaterThan" dxfId="1">
      <formula>0.03</formula>
    </cfRule>
    <cfRule type="cellIs" priority="695" operator="lessThan" dxfId="0" stopIfTrue="1">
      <formula>-0.03</formula>
    </cfRule>
  </conditionalFormatting>
  <conditionalFormatting sqref="R63:T63">
    <cfRule type="dataBar" priority="693">
      <dataBar>
        <cfvo type="min"/>
        <cfvo type="max"/>
        <color rgb="FF008AEF"/>
      </dataBar>
    </cfRule>
  </conditionalFormatting>
  <conditionalFormatting sqref="R64:T65">
    <cfRule type="dataBar" priority="692">
      <dataBar>
        <cfvo type="min"/>
        <cfvo type="max"/>
        <color rgb="FF008AEF"/>
      </dataBar>
    </cfRule>
  </conditionalFormatting>
  <conditionalFormatting sqref="R66:T66">
    <cfRule type="dataBar" priority="691">
      <dataBar>
        <cfvo type="min"/>
        <cfvo type="max"/>
        <color rgb="FF008AEF"/>
      </dataBar>
    </cfRule>
  </conditionalFormatting>
  <conditionalFormatting sqref="R62:U62 U63:U66">
    <cfRule type="dataBar" priority="708">
      <dataBar>
        <cfvo type="min"/>
        <cfvo type="max"/>
        <color rgb="FF008AEF"/>
      </dataBar>
    </cfRule>
  </conditionalFormatting>
  <conditionalFormatting sqref="Z78:Z79">
    <cfRule type="cellIs" priority="688" operator="lessThan" dxfId="1" stopIfTrue="1">
      <formula>-0.01</formula>
    </cfRule>
    <cfRule type="cellIs" priority="689" operator="greaterThan" dxfId="0" stopIfTrue="1">
      <formula>0.01</formula>
    </cfRule>
  </conditionalFormatting>
  <conditionalFormatting sqref="R78:T79">
    <cfRule type="dataBar" priority="687">
      <dataBar>
        <cfvo type="min"/>
        <cfvo type="max"/>
        <color rgb="FF008AEF"/>
      </dataBar>
    </cfRule>
  </conditionalFormatting>
  <conditionalFormatting sqref="U78:U79">
    <cfRule type="dataBar" priority="690">
      <dataBar>
        <cfvo type="min"/>
        <cfvo type="max"/>
        <color rgb="FF008AEF"/>
      </dataBar>
    </cfRule>
  </conditionalFormatting>
  <conditionalFormatting sqref="AB73">
    <cfRule type="cellIs" priority="684" operator="greaterThan" dxfId="1">
      <formula>0.03</formula>
    </cfRule>
    <cfRule type="cellIs" priority="685" operator="lessThan" dxfId="0" stopIfTrue="1">
      <formula>-0.03</formula>
    </cfRule>
  </conditionalFormatting>
  <conditionalFormatting sqref="AB77">
    <cfRule type="cellIs" priority="682" operator="lessThan" dxfId="1">
      <formula>-0.03</formula>
    </cfRule>
    <cfRule type="cellIs" priority="683" operator="greaterThan" dxfId="0" stopIfTrue="1">
      <formula>0.03</formula>
    </cfRule>
  </conditionalFormatting>
  <conditionalFormatting sqref="Z73">
    <cfRule type="cellIs" priority="680" operator="lessThan" dxfId="1" stopIfTrue="1">
      <formula>-0.01</formula>
    </cfRule>
    <cfRule type="cellIs" priority="681" operator="greaterThan" dxfId="0" stopIfTrue="1">
      <formula>0.01</formula>
    </cfRule>
  </conditionalFormatting>
  <conditionalFormatting sqref="Z74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75:Z76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77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V73:V77">
    <cfRule type="cellIs" priority="672" operator="greaterThan" dxfId="1">
      <formula>0.03</formula>
    </cfRule>
    <cfRule type="cellIs" priority="673" operator="lessThan" dxfId="0" stopIfTrue="1">
      <formula>-0.03</formula>
    </cfRule>
  </conditionalFormatting>
  <conditionalFormatting sqref="R74:T74">
    <cfRule type="dataBar" priority="671">
      <dataBar>
        <cfvo type="min"/>
        <cfvo type="max"/>
        <color rgb="FF008AEF"/>
      </dataBar>
    </cfRule>
  </conditionalFormatting>
  <conditionalFormatting sqref="R75:T76">
    <cfRule type="dataBar" priority="670">
      <dataBar>
        <cfvo type="min"/>
        <cfvo type="max"/>
        <color rgb="FF008AEF"/>
      </dataBar>
    </cfRule>
  </conditionalFormatting>
  <conditionalFormatting sqref="R77:T77">
    <cfRule type="dataBar" priority="669">
      <dataBar>
        <cfvo type="min"/>
        <cfvo type="max"/>
        <color rgb="FF008AEF"/>
      </dataBar>
    </cfRule>
  </conditionalFormatting>
  <conditionalFormatting sqref="R73:U73 U74:U77">
    <cfRule type="dataBar" priority="686">
      <dataBar>
        <cfvo type="min"/>
        <cfvo type="max"/>
        <color rgb="FF008AEF"/>
      </dataBar>
    </cfRule>
  </conditionalFormatting>
  <conditionalFormatting sqref="AB116">
    <cfRule type="cellIs" priority="609" operator="greaterThan" dxfId="1">
      <formula>0.03</formula>
    </cfRule>
    <cfRule type="cellIs" priority="610" operator="lessThan" dxfId="0" stopIfTrue="1">
      <formula>-0.03</formula>
    </cfRule>
  </conditionalFormatting>
  <conditionalFormatting sqref="AB119">
    <cfRule type="cellIs" priority="607" operator="lessThan" dxfId="1">
      <formula>-0.03</formula>
    </cfRule>
    <cfRule type="cellIs" priority="608" operator="greaterThan" dxfId="0" stopIfTrue="1">
      <formula>0.03</formula>
    </cfRule>
  </conditionalFormatting>
  <conditionalFormatting sqref="AB126">
    <cfRule type="cellIs" priority="605" operator="greaterThan" dxfId="1">
      <formula>0.03</formula>
    </cfRule>
    <cfRule type="cellIs" priority="606" operator="lessThan" dxfId="0" stopIfTrue="1">
      <formula>-0.03</formula>
    </cfRule>
  </conditionalFormatting>
  <conditionalFormatting sqref="AB129">
    <cfRule type="cellIs" priority="603" operator="lessThan" dxfId="1">
      <formula>-0.03</formula>
    </cfRule>
    <cfRule type="cellIs" priority="604" operator="greaterThan" dxfId="0" stopIfTrue="1">
      <formula>0.03</formula>
    </cfRule>
  </conditionalFormatting>
  <conditionalFormatting sqref="AB136">
    <cfRule type="cellIs" priority="601" operator="greaterThan" dxfId="1">
      <formula>0.03</formula>
    </cfRule>
    <cfRule type="cellIs" priority="602" operator="lessThan" dxfId="0" stopIfTrue="1">
      <formula>-0.03</formula>
    </cfRule>
  </conditionalFormatting>
  <conditionalFormatting sqref="AB139">
    <cfRule type="cellIs" priority="599" operator="lessThan" dxfId="1">
      <formula>-0.03</formula>
    </cfRule>
    <cfRule type="cellIs" priority="600" operator="greaterThan" dxfId="0" stopIfTrue="1">
      <formula>0.03</formula>
    </cfRule>
  </conditionalFormatting>
  <conditionalFormatting sqref="AB146">
    <cfRule type="cellIs" priority="597" operator="greaterThan" dxfId="1">
      <formula>0.03</formula>
    </cfRule>
    <cfRule type="cellIs" priority="598" operator="lessThan" dxfId="0" stopIfTrue="1">
      <formula>-0.03</formula>
    </cfRule>
  </conditionalFormatting>
  <conditionalFormatting sqref="AB149">
    <cfRule type="cellIs" priority="595" operator="lessThan" dxfId="1">
      <formula>-0.03</formula>
    </cfRule>
    <cfRule type="cellIs" priority="596" operator="greaterThan" dxfId="0" stopIfTrue="1">
      <formula>0.03</formula>
    </cfRule>
  </conditionalFormatting>
  <conditionalFormatting sqref="AB156">
    <cfRule type="cellIs" priority="593" operator="greaterThan" dxfId="1">
      <formula>0.03</formula>
    </cfRule>
    <cfRule type="cellIs" priority="594" operator="lessThan" dxfId="0" stopIfTrue="1">
      <formula>-0.03</formula>
    </cfRule>
  </conditionalFormatting>
  <conditionalFormatting sqref="AB159">
    <cfRule type="cellIs" priority="591" operator="lessThan" dxfId="1">
      <formula>-0.03</formula>
    </cfRule>
    <cfRule type="cellIs" priority="592" operator="greaterThan" dxfId="0" stopIfTrue="1">
      <formula>0.03</formula>
    </cfRule>
  </conditionalFormatting>
  <conditionalFormatting sqref="AB166">
    <cfRule type="cellIs" priority="589" operator="greaterThan" dxfId="1">
      <formula>0.03</formula>
    </cfRule>
    <cfRule type="cellIs" priority="590" operator="lessThan" dxfId="0" stopIfTrue="1">
      <formula>-0.03</formula>
    </cfRule>
  </conditionalFormatting>
  <conditionalFormatting sqref="AB169">
    <cfRule type="cellIs" priority="587" operator="lessThan" dxfId="1">
      <formula>-0.03</formula>
    </cfRule>
    <cfRule type="cellIs" priority="588" operator="greaterThan" dxfId="0" stopIfTrue="1">
      <formula>0.03</formula>
    </cfRule>
  </conditionalFormatting>
  <conditionalFormatting sqref="AB17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7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8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8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9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9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20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20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Z220:Z221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H220:J221">
    <cfRule type="dataBar" priority="567">
      <dataBar>
        <cfvo type="min"/>
        <cfvo type="max"/>
        <color rgb="FF008AEF"/>
      </dataBar>
    </cfRule>
  </conditionalFormatting>
  <conditionalFormatting sqref="R220:T221">
    <cfRule type="dataBar" priority="566">
      <dataBar>
        <cfvo type="min"/>
        <cfvo type="max"/>
        <color rgb="FF008AEF"/>
      </dataBar>
    </cfRule>
  </conditionalFormatting>
  <conditionalFormatting sqref="U220:U221">
    <cfRule type="dataBar" priority="570">
      <dataBar>
        <cfvo type="min"/>
        <cfvo type="max"/>
        <color rgb="FF008AEF"/>
      </dataBar>
    </cfRule>
  </conditionalFormatting>
  <conditionalFormatting sqref="AB216">
    <cfRule type="cellIs" priority="563" operator="greaterThan" dxfId="1">
      <formula>0.03</formula>
    </cfRule>
    <cfRule type="cellIs" priority="564" operator="lessThan" dxfId="0" stopIfTrue="1">
      <formula>-0.03</formula>
    </cfRule>
  </conditionalFormatting>
  <conditionalFormatting sqref="AB219">
    <cfRule type="cellIs" priority="561" operator="lessThan" dxfId="1">
      <formula>-0.03</formula>
    </cfRule>
    <cfRule type="cellIs" priority="562" operator="greaterThan" dxfId="0" stopIfTrue="1">
      <formula>0.03</formula>
    </cfRule>
  </conditionalFormatting>
  <conditionalFormatting sqref="H216:J216">
    <cfRule type="dataBar" priority="560">
      <dataBar>
        <cfvo type="min"/>
        <cfvo type="max"/>
        <color rgb="FF008AEF"/>
      </dataBar>
    </cfRule>
  </conditionalFormatting>
  <conditionalFormatting sqref="Z216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Z217">
    <cfRule type="cellIs" priority="556" operator="lessThan" dxfId="1" stopIfTrue="1">
      <formula>-0.01</formula>
    </cfRule>
    <cfRule type="cellIs" priority="557" operator="greaterThan" dxfId="0" stopIfTrue="1">
      <formula>0.01</formula>
    </cfRule>
  </conditionalFormatting>
  <conditionalFormatting sqref="Z218">
    <cfRule type="cellIs" priority="554" operator="lessThan" dxfId="1" stopIfTrue="1">
      <formula>-0.01</formula>
    </cfRule>
    <cfRule type="cellIs" priority="555" operator="greaterThan" dxfId="0" stopIfTrue="1">
      <formula>0.01</formula>
    </cfRule>
  </conditionalFormatting>
  <conditionalFormatting sqref="Z219">
    <cfRule type="cellIs" priority="552" operator="lessThan" dxfId="1" stopIfTrue="1">
      <formula>-0.01</formula>
    </cfRule>
    <cfRule type="cellIs" priority="553" operator="greaterThan" dxfId="0" stopIfTrue="1">
      <formula>0.01</formula>
    </cfRule>
  </conditionalFormatting>
  <conditionalFormatting sqref="V216:V219">
    <cfRule type="cellIs" priority="550" operator="greaterThan" dxfId="1">
      <formula>0.03</formula>
    </cfRule>
    <cfRule type="cellIs" priority="551" operator="lessThan" dxfId="0" stopIfTrue="1">
      <formula>-0.03</formula>
    </cfRule>
  </conditionalFormatting>
  <conditionalFormatting sqref="H217:J217">
    <cfRule type="dataBar" priority="549">
      <dataBar>
        <cfvo type="min"/>
        <cfvo type="max"/>
        <color rgb="FF008AEF"/>
      </dataBar>
    </cfRule>
  </conditionalFormatting>
  <conditionalFormatting sqref="H218:J218">
    <cfRule type="dataBar" priority="548">
      <dataBar>
        <cfvo type="min"/>
        <cfvo type="max"/>
        <color rgb="FF008AEF"/>
      </dataBar>
    </cfRule>
  </conditionalFormatting>
  <conditionalFormatting sqref="H219:J219">
    <cfRule type="dataBar" priority="547">
      <dataBar>
        <cfvo type="min"/>
        <cfvo type="max"/>
        <color rgb="FF008AEF"/>
      </dataBar>
    </cfRule>
  </conditionalFormatting>
  <conditionalFormatting sqref="R217:T217">
    <cfRule type="dataBar" priority="546">
      <dataBar>
        <cfvo type="min"/>
        <cfvo type="max"/>
        <color rgb="FF008AEF"/>
      </dataBar>
    </cfRule>
  </conditionalFormatting>
  <conditionalFormatting sqref="R218:T218">
    <cfRule type="dataBar" priority="545">
      <dataBar>
        <cfvo type="min"/>
        <cfvo type="max"/>
        <color rgb="FF008AEF"/>
      </dataBar>
    </cfRule>
  </conditionalFormatting>
  <conditionalFormatting sqref="R219:T219">
    <cfRule type="dataBar" priority="544">
      <dataBar>
        <cfvo type="min"/>
        <cfvo type="max"/>
        <color rgb="FF008AEF"/>
      </dataBar>
    </cfRule>
  </conditionalFormatting>
  <conditionalFormatting sqref="R216:U216 U217:U219">
    <cfRule type="dataBar" priority="565">
      <dataBar>
        <cfvo type="min"/>
        <cfvo type="max"/>
        <color rgb="FF008AEF"/>
      </dataBar>
    </cfRule>
  </conditionalFormatting>
  <conditionalFormatting sqref="I16">
    <cfRule type="dataBar" priority="543">
      <dataBar>
        <cfvo type="min"/>
        <cfvo type="max"/>
        <color rgb="FF008AEF"/>
      </dataBar>
    </cfRule>
  </conditionalFormatting>
  <conditionalFormatting sqref="I17">
    <cfRule type="dataBar" priority="542">
      <dataBar>
        <cfvo type="min"/>
        <cfvo type="max"/>
        <color rgb="FF008AEF"/>
      </dataBar>
    </cfRule>
  </conditionalFormatting>
  <conditionalFormatting sqref="N24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I35">
    <cfRule type="dataBar" priority="529">
      <dataBar>
        <cfvo type="min"/>
        <cfvo type="max"/>
        <color rgb="FF008AEF"/>
      </dataBar>
    </cfRule>
  </conditionalFormatting>
  <conditionalFormatting sqref="I27">
    <cfRule type="dataBar" priority="528">
      <dataBar>
        <cfvo type="min"/>
        <cfvo type="max"/>
        <color rgb="FF008AEF"/>
      </dataBar>
    </cfRule>
  </conditionalFormatting>
  <conditionalFormatting sqref="I28">
    <cfRule type="dataBar" priority="527">
      <dataBar>
        <cfvo type="min"/>
        <cfvo type="max"/>
        <color rgb="FF008AEF"/>
      </dataBar>
    </cfRule>
  </conditionalFormatting>
  <conditionalFormatting sqref="N35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45:I46">
    <cfRule type="dataBar" priority="524">
      <dataBar>
        <cfvo type="min"/>
        <cfvo type="max"/>
        <color rgb="FF008AEF"/>
      </dataBar>
    </cfRule>
  </conditionalFormatting>
  <conditionalFormatting sqref="I40">
    <cfRule type="dataBar" priority="523">
      <dataBar>
        <cfvo type="min"/>
        <cfvo type="max"/>
        <color rgb="FF008AEF"/>
      </dataBar>
    </cfRule>
    <cfRule type="dataBar" priority="516">
      <dataBar>
        <cfvo type="min"/>
        <cfvo type="max"/>
        <color rgb="FF008AEF"/>
      </dataBar>
    </cfRule>
  </conditionalFormatting>
  <conditionalFormatting sqref="I41">
    <cfRule type="dataBar" priority="522">
      <dataBar>
        <cfvo type="min"/>
        <cfvo type="max"/>
        <color rgb="FF008AEF"/>
      </dataBar>
    </cfRule>
    <cfRule type="dataBar" priority="515">
      <dataBar>
        <cfvo type="min"/>
        <cfvo type="max"/>
        <color rgb="FF008AEF"/>
      </dataBar>
    </cfRule>
  </conditionalFormatting>
  <conditionalFormatting sqref="I42:I43">
    <cfRule type="dataBar" priority="521">
      <dataBar>
        <cfvo type="min"/>
        <cfvo type="max"/>
        <color rgb="FF008AEF"/>
      </dataBar>
    </cfRule>
  </conditionalFormatting>
  <conditionalFormatting sqref="I44">
    <cfRule type="dataBar" priority="520">
      <dataBar>
        <cfvo type="min"/>
        <cfvo type="max"/>
        <color rgb="FF008AEF"/>
      </dataBar>
    </cfRule>
  </conditionalFormatting>
  <conditionalFormatting sqref="I42:I44">
    <cfRule type="dataBar" priority="519">
      <dataBar>
        <cfvo type="min"/>
        <cfvo type="max"/>
        <color rgb="FF008AEF"/>
      </dataBar>
    </cfRule>
  </conditionalFormatting>
  <conditionalFormatting sqref="I38">
    <cfRule type="dataBar" priority="518">
      <dataBar>
        <cfvo type="min"/>
        <cfvo type="max"/>
        <color rgb="FF008AEF"/>
      </dataBar>
    </cfRule>
  </conditionalFormatting>
  <conditionalFormatting sqref="I39">
    <cfRule type="dataBar" priority="517">
      <dataBar>
        <cfvo type="min"/>
        <cfvo type="max"/>
        <color rgb="FF008AEF"/>
      </dataBar>
    </cfRule>
  </conditionalFormatting>
  <conditionalFormatting sqref="N45:N46">
    <cfRule type="cellIs" priority="513" operator="lessThan" dxfId="1" stopIfTrue="1">
      <formula>-0.01</formula>
    </cfRule>
    <cfRule type="cellIs" priority="514" operator="greaterThan" dxfId="0" stopIfTrue="1">
      <formula>0.01</formula>
    </cfRule>
  </conditionalFormatting>
  <conditionalFormatting sqref="I56:I57">
    <cfRule type="dataBar" priority="512">
      <dataBar>
        <cfvo type="min"/>
        <cfvo type="max"/>
        <color rgb="FF008AEF"/>
      </dataBar>
    </cfRule>
  </conditionalFormatting>
  <conditionalFormatting sqref="I51">
    <cfRule type="dataBar" priority="511">
      <dataBar>
        <cfvo type="min"/>
        <cfvo type="max"/>
        <color rgb="FF008AEF"/>
      </dataBar>
    </cfRule>
    <cfRule type="dataBar" priority="504">
      <dataBar>
        <cfvo type="min"/>
        <cfvo type="max"/>
        <color rgb="FF008AEF"/>
      </dataBar>
    </cfRule>
  </conditionalFormatting>
  <conditionalFormatting sqref="I52">
    <cfRule type="dataBar" priority="510">
      <dataBar>
        <cfvo type="min"/>
        <cfvo type="max"/>
        <color rgb="FF008AEF"/>
      </dataBar>
    </cfRule>
    <cfRule type="dataBar" priority="503">
      <dataBar>
        <cfvo type="min"/>
        <cfvo type="max"/>
        <color rgb="FF008AEF"/>
      </dataBar>
    </cfRule>
  </conditionalFormatting>
  <conditionalFormatting sqref="I53:I54">
    <cfRule type="dataBar" priority="509">
      <dataBar>
        <cfvo type="min"/>
        <cfvo type="max"/>
        <color rgb="FF008AEF"/>
      </dataBar>
    </cfRule>
  </conditionalFormatting>
  <conditionalFormatting sqref="I55">
    <cfRule type="dataBar" priority="508">
      <dataBar>
        <cfvo type="min"/>
        <cfvo type="max"/>
        <color rgb="FF008AEF"/>
      </dataBar>
    </cfRule>
  </conditionalFormatting>
  <conditionalFormatting sqref="I53:I55">
    <cfRule type="dataBar" priority="507">
      <dataBar>
        <cfvo type="min"/>
        <cfvo type="max"/>
        <color rgb="FF008AEF"/>
      </dataBar>
    </cfRule>
  </conditionalFormatting>
  <conditionalFormatting sqref="I49">
    <cfRule type="dataBar" priority="506">
      <dataBar>
        <cfvo type="min"/>
        <cfvo type="max"/>
        <color rgb="FF008AEF"/>
      </dataBar>
    </cfRule>
  </conditionalFormatting>
  <conditionalFormatting sqref="I50">
    <cfRule type="dataBar" priority="505">
      <dataBar>
        <cfvo type="min"/>
        <cfvo type="max"/>
        <color rgb="FF008AEF"/>
      </dataBar>
    </cfRule>
  </conditionalFormatting>
  <conditionalFormatting sqref="J51:J55">
    <cfRule type="cellIs" priority="501" operator="greaterThan" dxfId="1">
      <formula>0.03</formula>
    </cfRule>
    <cfRule type="cellIs" priority="502" operator="lessThan" dxfId="0" stopIfTrue="1">
      <formula>-0.03</formula>
    </cfRule>
  </conditionalFormatting>
  <conditionalFormatting sqref="N56:N57">
    <cfRule type="cellIs" priority="499" operator="lessThan" dxfId="1" stopIfTrue="1">
      <formula>-0.01</formula>
    </cfRule>
    <cfRule type="cellIs" priority="500" operator="greaterThan" dxfId="0" stopIfTrue="1">
      <formula>0.01</formula>
    </cfRule>
  </conditionalFormatting>
  <conditionalFormatting sqref="N51">
    <cfRule type="cellIs" priority="497" operator="lessThan" dxfId="1" stopIfTrue="1">
      <formula>-0.01</formula>
    </cfRule>
    <cfRule type="cellIs" priority="498" operator="greaterThan" dxfId="0" stopIfTrue="1">
      <formula>0.01</formula>
    </cfRule>
  </conditionalFormatting>
  <conditionalFormatting sqref="N52">
    <cfRule type="cellIs" priority="495" operator="lessThan" dxfId="1" stopIfTrue="1">
      <formula>-0.01</formula>
    </cfRule>
    <cfRule type="cellIs" priority="496" operator="greaterThan" dxfId="0" stopIfTrue="1">
      <formula>0.01</formula>
    </cfRule>
  </conditionalFormatting>
  <conditionalFormatting sqref="N53:N54">
    <cfRule type="cellIs" priority="493" operator="lessThan" dxfId="1" stopIfTrue="1">
      <formula>-0.01</formula>
    </cfRule>
    <cfRule type="cellIs" priority="494" operator="greaterThan" dxfId="0" stopIfTrue="1">
      <formula>0.01</formula>
    </cfRule>
  </conditionalFormatting>
  <conditionalFormatting sqref="N55">
    <cfRule type="cellIs" priority="491" operator="lessThan" dxfId="1" stopIfTrue="1">
      <formula>-0.01</formula>
    </cfRule>
    <cfRule type="cellIs" priority="492" operator="greaterThan" dxfId="0" stopIfTrue="1">
      <formula>0.01</formula>
    </cfRule>
  </conditionalFormatting>
  <conditionalFormatting sqref="P51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P55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I68">
    <cfRule type="dataBar" priority="486">
      <dataBar>
        <cfvo type="min"/>
        <cfvo type="max"/>
        <color rgb="FF008AEF"/>
      </dataBar>
    </cfRule>
  </conditionalFormatting>
  <conditionalFormatting sqref="I60">
    <cfRule type="dataBar" priority="485">
      <dataBar>
        <cfvo type="min"/>
        <cfvo type="max"/>
        <color rgb="FF008AEF"/>
      </dataBar>
    </cfRule>
  </conditionalFormatting>
  <conditionalFormatting sqref="I61">
    <cfRule type="dataBar" priority="484">
      <dataBar>
        <cfvo type="min"/>
        <cfvo type="max"/>
        <color rgb="FF008AEF"/>
      </dataBar>
    </cfRule>
  </conditionalFormatting>
  <conditionalFormatting sqref="N68">
    <cfRule type="cellIs" priority="482" operator="lessThan" dxfId="1" stopIfTrue="1">
      <formula>-0.01</formula>
    </cfRule>
    <cfRule type="cellIs" priority="483" operator="greaterThan" dxfId="0" stopIfTrue="1">
      <formula>0.01</formula>
    </cfRule>
  </conditionalFormatting>
  <conditionalFormatting sqref="I79">
    <cfRule type="dataBar" priority="481">
      <dataBar>
        <cfvo type="min"/>
        <cfvo type="max"/>
        <color rgb="FF008AEF"/>
      </dataBar>
    </cfRule>
  </conditionalFormatting>
  <conditionalFormatting sqref="I71">
    <cfRule type="dataBar" priority="480">
      <dataBar>
        <cfvo type="min"/>
        <cfvo type="max"/>
        <color rgb="FF008AEF"/>
      </dataBar>
    </cfRule>
  </conditionalFormatting>
  <conditionalFormatting sqref="I72">
    <cfRule type="dataBar" priority="479">
      <dataBar>
        <cfvo type="min"/>
        <cfvo type="max"/>
        <color rgb="FF008AEF"/>
      </dataBar>
    </cfRule>
  </conditionalFormatting>
  <conditionalFormatting sqref="N79">
    <cfRule type="cellIs" priority="477" operator="lessThan" dxfId="1" stopIfTrue="1">
      <formula>-0.01</formula>
    </cfRule>
    <cfRule type="cellIs" priority="478" operator="greaterThan" dxfId="0" stopIfTrue="1">
      <formula>0.01</formula>
    </cfRule>
  </conditionalFormatting>
  <conditionalFormatting sqref="J40:J44">
    <cfRule type="cellIs" priority="455" operator="greaterThan" dxfId="1">
      <formula>0.03</formula>
    </cfRule>
    <cfRule type="cellIs" priority="456" operator="lessThan" dxfId="0" stopIfTrue="1">
      <formula>-0.03</formula>
    </cfRule>
  </conditionalFormatting>
  <conditionalFormatting sqref="N40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N41">
    <cfRule type="cellIs" priority="451" operator="lessThan" dxfId="1" stopIfTrue="1">
      <formula>-0.01</formula>
    </cfRule>
    <cfRule type="cellIs" priority="452" operator="greaterThan" dxfId="0" stopIfTrue="1">
      <formula>0.01</formula>
    </cfRule>
  </conditionalFormatting>
  <conditionalFormatting sqref="N42:N43">
    <cfRule type="cellIs" priority="449" operator="lessThan" dxfId="1" stopIfTrue="1">
      <formula>-0.01</formula>
    </cfRule>
    <cfRule type="cellIs" priority="450" operator="greaterThan" dxfId="0" stopIfTrue="1">
      <formula>0.01</formula>
    </cfRule>
  </conditionalFormatting>
  <conditionalFormatting sqref="N44">
    <cfRule type="cellIs" priority="447" operator="lessThan" dxfId="1" stopIfTrue="1">
      <formula>-0.01</formula>
    </cfRule>
    <cfRule type="cellIs" priority="448" operator="greaterThan" dxfId="0" stopIfTrue="1">
      <formula>0.01</formula>
    </cfRule>
  </conditionalFormatting>
  <conditionalFormatting sqref="P40">
    <cfRule type="cellIs" priority="445" operator="greaterThan" dxfId="1">
      <formula>0.03</formula>
    </cfRule>
    <cfRule type="cellIs" priority="446" operator="lessThan" dxfId="0" stopIfTrue="1">
      <formula>-0.03</formula>
    </cfRule>
  </conditionalFormatting>
  <conditionalFormatting sqref="P44">
    <cfRule type="cellIs" priority="443" operator="lessThan" dxfId="1">
      <formula>-0.03</formula>
    </cfRule>
    <cfRule type="cellIs" priority="444" operator="greaterThan" dxfId="0" stopIfTrue="1">
      <formula>0.03</formula>
    </cfRule>
  </conditionalFormatting>
  <conditionalFormatting sqref="I34">
    <cfRule type="dataBar" priority="442">
      <dataBar>
        <cfvo type="min"/>
        <cfvo type="max"/>
        <color rgb="FF008AEF"/>
      </dataBar>
    </cfRule>
  </conditionalFormatting>
  <conditionalFormatting sqref="I29">
    <cfRule type="dataBar" priority="441">
      <dataBar>
        <cfvo type="min"/>
        <cfvo type="max"/>
        <color rgb="FF008AEF"/>
      </dataBar>
    </cfRule>
    <cfRule type="dataBar" priority="436">
      <dataBar>
        <cfvo type="min"/>
        <cfvo type="max"/>
        <color rgb="FF008AEF"/>
      </dataBar>
    </cfRule>
  </conditionalFormatting>
  <conditionalFormatting sqref="I30">
    <cfRule type="dataBar" priority="440">
      <dataBar>
        <cfvo type="min"/>
        <cfvo type="max"/>
        <color rgb="FF008AEF"/>
      </dataBar>
    </cfRule>
    <cfRule type="dataBar" priority="435">
      <dataBar>
        <cfvo type="min"/>
        <cfvo type="max"/>
        <color rgb="FF008AEF"/>
      </dataBar>
    </cfRule>
  </conditionalFormatting>
  <conditionalFormatting sqref="I31:I32">
    <cfRule type="dataBar" priority="439">
      <dataBar>
        <cfvo type="min"/>
        <cfvo type="max"/>
        <color rgb="FF008AEF"/>
      </dataBar>
    </cfRule>
  </conditionalFormatting>
  <conditionalFormatting sqref="I33">
    <cfRule type="dataBar" priority="438">
      <dataBar>
        <cfvo type="min"/>
        <cfvo type="max"/>
        <color rgb="FF008AEF"/>
      </dataBar>
    </cfRule>
  </conditionalFormatting>
  <conditionalFormatting sqref="I31:I33">
    <cfRule type="dataBar" priority="437">
      <dataBar>
        <cfvo type="min"/>
        <cfvo type="max"/>
        <color rgb="FF008AEF"/>
      </dataBar>
    </cfRule>
  </conditionalFormatting>
  <conditionalFormatting sqref="N34">
    <cfRule type="cellIs" priority="433" operator="lessThan" dxfId="1" stopIfTrue="1">
      <formula>-0.01</formula>
    </cfRule>
    <cfRule type="cellIs" priority="434" operator="greaterThan" dxfId="0" stopIfTrue="1">
      <formula>0.01</formula>
    </cfRule>
  </conditionalFormatting>
  <conditionalFormatting sqref="J29:J33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29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30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31:N32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33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29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33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23">
    <cfRule type="dataBar" priority="418">
      <dataBar>
        <cfvo type="min"/>
        <cfvo type="max"/>
        <color rgb="FF008AEF"/>
      </dataBar>
    </cfRule>
  </conditionalFormatting>
  <conditionalFormatting sqref="I18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19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20:I21">
    <cfRule type="dataBar" priority="415">
      <dataBar>
        <cfvo type="min"/>
        <cfvo type="max"/>
        <color rgb="FF008AEF"/>
      </dataBar>
    </cfRule>
  </conditionalFormatting>
  <conditionalFormatting sqref="I22">
    <cfRule type="dataBar" priority="414">
      <dataBar>
        <cfvo type="min"/>
        <cfvo type="max"/>
        <color rgb="FF008AEF"/>
      </dataBar>
    </cfRule>
  </conditionalFormatting>
  <conditionalFormatting sqref="I20:I22">
    <cfRule type="dataBar" priority="413">
      <dataBar>
        <cfvo type="min"/>
        <cfvo type="max"/>
        <color rgb="FF008AEF"/>
      </dataBar>
    </cfRule>
  </conditionalFormatting>
  <conditionalFormatting sqref="N23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18:J22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18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19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20:N21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22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18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22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27">
    <outlinePr summaryBelow="1" summaryRight="1"/>
    <pageSetUpPr/>
  </sheetPr>
  <dimension ref="A1:AF221"/>
  <sheetViews>
    <sheetView workbookViewId="0">
      <selection activeCell="B4" sqref="B4:D4"/>
    </sheetView>
  </sheetViews>
  <sheetFormatPr baseColWidth="8" defaultColWidth="9" defaultRowHeight="15.6" outlineLevelCol="0"/>
  <cols>
    <col width="1.59765625" bestFit="1" customWidth="1" style="279" min="1" max="1"/>
    <col width="6.59765625" customWidth="1" style="279" min="2" max="2"/>
    <col width="9.3984375" customWidth="1" style="279" min="3" max="3"/>
    <col width="14.3984375" customWidth="1" style="279" min="4" max="4"/>
    <col width="4.59765625" customWidth="1" style="279" min="5" max="5"/>
    <col width="6.59765625" customWidth="1" style="279" min="6" max="6"/>
    <col width="9.3984375" customWidth="1" style="279" min="7" max="7"/>
    <col width="14.3984375" customWidth="1" style="279" min="8" max="8"/>
    <col width="4.59765625" customWidth="1" style="279" min="9" max="9"/>
    <col width="9.59765625" customWidth="1" style="279" min="10" max="10"/>
    <col width="4.59765625" customWidth="1" style="279" min="11" max="11"/>
    <col width="14.3984375" bestFit="1" customWidth="1" style="279" min="12" max="12"/>
    <col width="16.09765625" bestFit="1" customWidth="1" style="279" min="13" max="13"/>
    <col width="7.59765625" bestFit="1" customWidth="1" style="279" min="14" max="14"/>
    <col width="4.59765625" customWidth="1" style="279" min="15" max="15"/>
    <col width="9.59765625" bestFit="1" customWidth="1" style="279" min="16" max="16"/>
    <col width="4.59765625" customWidth="1" style="279" min="17" max="17"/>
    <col width="84.59765625" customWidth="1" style="279" min="18" max="18"/>
    <col width="6.5" bestFit="1" customWidth="1" style="279" min="19" max="19"/>
    <col width="9.59765625" bestFit="1" customWidth="1" style="279" min="20" max="20"/>
    <col width="1.59765625" bestFit="1" customWidth="1" style="279" min="21" max="21"/>
    <col width="7.59765625" bestFit="1" customWidth="1" style="279" min="22" max="22"/>
    <col width="1.59765625" bestFit="1" customWidth="1" style="279" min="23" max="23"/>
    <col width="14.3984375" bestFit="1" customWidth="1" style="279" min="24" max="24"/>
    <col width="16.09765625" bestFit="1" customWidth="1" style="279" min="25" max="25"/>
    <col width="5.09765625" bestFit="1" customWidth="1" style="279" min="26" max="26"/>
    <col width="1.59765625" bestFit="1" customWidth="1" style="279" min="27" max="27"/>
    <col width="8.09765625" bestFit="1" customWidth="1" style="281" min="28" max="28"/>
    <col width="9" customWidth="1" style="279" min="29" max="29"/>
    <col width="1.3984375" bestFit="1" customWidth="1" style="279" min="30" max="30"/>
    <col width="80.59765625" customWidth="1" style="279" min="31" max="31"/>
    <col width="1.3984375" bestFit="1" customWidth="1" style="279" min="32" max="32"/>
    <col width="9" customWidth="1" style="279" min="33" max="39"/>
    <col width="9" customWidth="1" style="279" min="40" max="16384"/>
  </cols>
  <sheetData>
    <row r="1">
      <c r="AD1" s="11" t="inlineStr"/>
      <c r="AF1" s="11" t="inlineStr"/>
    </row>
    <row r="2">
      <c r="B2" s="280">
        <f>'Summary (auto)'!C3</f>
        <v/>
      </c>
      <c r="E2" s="206" t="n"/>
      <c r="F2" s="280">
        <f>'Summary (auto)'!C4</f>
        <v/>
      </c>
      <c r="I2" s="281" t="n"/>
      <c r="J2" s="285" t="inlineStr">
        <is>
          <t>Rate</t>
        </is>
      </c>
      <c r="K2" s="281" t="n"/>
      <c r="L2" s="285" t="inlineStr">
        <is>
          <t>Distortion</t>
        </is>
      </c>
      <c r="O2" s="281" t="n"/>
      <c r="P2" s="285" t="inlineStr">
        <is>
          <t>BD-rate</t>
        </is>
      </c>
      <c r="U2" s="285" t="n"/>
      <c r="V2" s="285" t="n"/>
    </row>
    <row r="3" ht="16.5" customHeight="1" s="279" thickBot="1">
      <c r="A3" s="178" t="inlineStr"/>
      <c r="B3" s="206" t="n"/>
      <c r="C3" s="206" t="n"/>
      <c r="D3" s="206" t="n"/>
      <c r="E3" s="206" t="n"/>
      <c r="F3" s="206" t="n"/>
      <c r="G3" s="206" t="n"/>
      <c r="H3" s="206" t="n"/>
      <c r="I3" s="281" t="n"/>
      <c r="J3" s="281" t="n"/>
      <c r="K3" s="179" t="inlineStr"/>
      <c r="L3" s="87" t="inlineStr">
        <is>
          <t>J</t>
        </is>
      </c>
      <c r="M3" s="87" t="inlineStr">
        <is>
          <t>AB</t>
        </is>
      </c>
      <c r="N3" s="281" t="n"/>
      <c r="O3" s="179" t="inlineStr"/>
      <c r="P3" s="281" t="n"/>
      <c r="U3" s="178" t="inlineStr"/>
      <c r="W3" s="178" t="inlineStr"/>
    </row>
    <row r="4">
      <c r="B4" s="282" t="inlineStr">
        <is>
          <t>breakfast_track</t>
        </is>
      </c>
      <c r="C4" s="283" t="n"/>
      <c r="D4" s="284" t="n"/>
      <c r="E4" s="3" t="n"/>
      <c r="F4" s="282">
        <f>B4</f>
        <v/>
      </c>
      <c r="G4" s="283" t="n"/>
      <c r="H4" s="284" t="n"/>
      <c r="I4" s="3" t="n"/>
      <c r="J4" s="286" t="n"/>
      <c r="L4" s="286">
        <f>F4</f>
        <v/>
      </c>
      <c r="M4" s="283" t="n"/>
      <c r="N4" s="284" t="n"/>
      <c r="O4" s="183" t="n"/>
      <c r="P4" s="286" t="n"/>
      <c r="Q4" s="183" t="n"/>
      <c r="R4" s="183" t="n"/>
      <c r="S4" s="183" t="n"/>
      <c r="T4" s="183" t="n"/>
      <c r="U4" s="281" t="n"/>
      <c r="V4" s="281" t="n"/>
      <c r="X4" s="281" t="n"/>
    </row>
    <row r="5">
      <c r="B5" s="278" t="inlineStr">
        <is>
          <t>Test</t>
        </is>
      </c>
      <c r="D5" s="71" t="inlineStr">
        <is>
          <t>Bitrate [Mbps]</t>
        </is>
      </c>
      <c r="E5" s="320" t="n"/>
      <c r="F5" s="278" t="inlineStr">
        <is>
          <t>Test</t>
        </is>
      </c>
      <c r="H5" s="71" t="inlineStr">
        <is>
          <t>Bitrate [Mbps]</t>
        </is>
      </c>
      <c r="I5" s="10" t="n"/>
      <c r="J5" s="287" t="inlineStr">
        <is>
          <t>%</t>
        </is>
      </c>
      <c r="L5" s="287" t="inlineStr">
        <is>
          <t>YUV-IVSSIM</t>
        </is>
      </c>
      <c r="N5" s="288" t="n"/>
      <c r="O5" s="69" t="n"/>
      <c r="P5" s="4" t="n"/>
      <c r="Q5" s="69" t="n"/>
      <c r="R5" s="285" t="n"/>
      <c r="U5" s="285" t="n"/>
      <c r="V5" s="285" t="n"/>
      <c r="X5" s="285" t="n"/>
    </row>
    <row r="6">
      <c r="B6" s="180" t="inlineStr">
        <is>
          <t>Anchor</t>
        </is>
      </c>
      <c r="C6" s="102" t="inlineStr">
        <is>
          <t>Test point</t>
        </is>
      </c>
      <c r="D6" s="70" t="inlineStr">
        <is>
          <t>Total</t>
        </is>
      </c>
      <c r="E6" s="320" t="n"/>
      <c r="F6" s="180" t="inlineStr">
        <is>
          <t>Anchor</t>
        </is>
      </c>
      <c r="G6" s="102" t="inlineStr">
        <is>
          <t>Test point</t>
        </is>
      </c>
      <c r="H6" s="70" t="inlineStr">
        <is>
          <t>Total</t>
        </is>
      </c>
      <c r="I6" s="10" t="n"/>
      <c r="J6" s="75" t="n"/>
      <c r="L6" s="181">
        <f>CONCATENATE(B$2," ",L4)</f>
        <v/>
      </c>
      <c r="M6" s="199">
        <f>CONCATENATE(F$2," ",L4)</f>
        <v/>
      </c>
      <c r="N6" s="182" t="inlineStr">
        <is>
          <t>Delta</t>
        </is>
      </c>
      <c r="O6" s="3" t="n"/>
      <c r="P6" s="4" t="inlineStr">
        <is>
          <t>BD-rate</t>
        </is>
      </c>
      <c r="Q6" s="3" t="n"/>
      <c r="R6" s="3" t="n"/>
      <c r="S6" s="3" t="n"/>
      <c r="T6" s="3" t="n"/>
      <c r="U6" s="3" t="n"/>
      <c r="V6" s="3" t="n"/>
      <c r="X6" s="183" t="n"/>
      <c r="Y6" s="183" t="n"/>
      <c r="Z6" s="183" t="n"/>
    </row>
    <row r="7">
      <c r="B7" s="95">
        <f>B4</f>
        <v/>
      </c>
      <c r="C7" s="102" t="inlineStr">
        <is>
          <t>r01</t>
        </is>
      </c>
      <c r="D7" s="321">
        <f>0.001*INDIRECT($B7&amp;"!E5")</f>
        <v/>
      </c>
      <c r="E7" s="320" t="n"/>
      <c r="F7" s="95">
        <f>F4</f>
        <v/>
      </c>
      <c r="G7" s="102" t="inlineStr">
        <is>
          <t>r01</t>
        </is>
      </c>
      <c r="H7" s="321">
        <f>0.001*INDIRECT($B7&amp;"!W5")</f>
        <v/>
      </c>
      <c r="I7" s="10" t="n"/>
      <c r="J7" s="322">
        <f>H7/D7-1</f>
        <v/>
      </c>
      <c r="L7" s="76">
        <f>INDIRECT($B7&amp;"!"&amp;L$3&amp;"5")</f>
        <v/>
      </c>
      <c r="M7" s="77">
        <f>INDIRECT($B7&amp;"!"&amp;M$3&amp;"5")</f>
        <v/>
      </c>
      <c r="N7" s="78">
        <f>M7-L7</f>
        <v/>
      </c>
      <c r="O7" s="320" t="n"/>
      <c r="P7" s="322">
        <f>bdrate(D7:D10,L7:L10,H7:H10,M7:M10)</f>
        <v/>
      </c>
      <c r="Q7" s="320" t="n"/>
      <c r="R7" s="10" t="n"/>
      <c r="S7" s="10" t="n"/>
      <c r="T7" s="10" t="n"/>
      <c r="U7" s="10" t="n"/>
      <c r="V7" s="323" t="n"/>
      <c r="X7" s="7" t="n"/>
      <c r="Y7" s="7" t="n"/>
      <c r="Z7" s="66" t="n"/>
      <c r="AB7" s="324" t="n"/>
    </row>
    <row r="8">
      <c r="B8" s="95">
        <f>B7</f>
        <v/>
      </c>
      <c r="C8" s="102" t="inlineStr">
        <is>
          <t>r02</t>
        </is>
      </c>
      <c r="D8" s="321">
        <f>0.001*INDIRECT($B8&amp;"!E6")</f>
        <v/>
      </c>
      <c r="E8" s="320" t="n"/>
      <c r="F8" s="95">
        <f>F7</f>
        <v/>
      </c>
      <c r="G8" s="102" t="inlineStr">
        <is>
          <t>r02</t>
        </is>
      </c>
      <c r="H8" s="321">
        <f>0.001*INDIRECT($B8&amp;"!W6")</f>
        <v/>
      </c>
      <c r="I8" s="10" t="n"/>
      <c r="J8" s="322">
        <f>H8/D8-1</f>
        <v/>
      </c>
      <c r="L8" s="76">
        <f>INDIRECT($B8&amp;"!"&amp;L$3&amp;"6")</f>
        <v/>
      </c>
      <c r="M8" s="77">
        <f>INDIRECT($B8&amp;"!"&amp;M$3&amp;"6")</f>
        <v/>
      </c>
      <c r="N8" s="78">
        <f>M8-L8</f>
        <v/>
      </c>
      <c r="O8" s="320" t="n"/>
      <c r="P8" s="4" t="n"/>
      <c r="Q8" s="320" t="n"/>
      <c r="R8" s="10" t="n"/>
      <c r="S8" s="10" t="n"/>
      <c r="T8" s="10" t="n"/>
      <c r="U8" s="10" t="n"/>
      <c r="V8" s="323" t="n"/>
      <c r="X8" s="7" t="n"/>
      <c r="Y8" s="7" t="n"/>
      <c r="Z8" s="66" t="n"/>
    </row>
    <row r="9">
      <c r="B9" s="95">
        <f>B8</f>
        <v/>
      </c>
      <c r="C9" s="102" t="inlineStr">
        <is>
          <t>r03</t>
        </is>
      </c>
      <c r="D9" s="321">
        <f>0.001*INDIRECT($B9&amp;"!E7")</f>
        <v/>
      </c>
      <c r="E9" s="320" t="n"/>
      <c r="F9" s="95">
        <f>F8</f>
        <v/>
      </c>
      <c r="G9" s="102" t="inlineStr">
        <is>
          <t>r03</t>
        </is>
      </c>
      <c r="H9" s="321">
        <f>0.001*INDIRECT($B9&amp;"!W7")</f>
        <v/>
      </c>
      <c r="I9" s="10" t="n"/>
      <c r="J9" s="322">
        <f>H9/D9-1</f>
        <v/>
      </c>
      <c r="L9" s="76">
        <f>INDIRECT($B9&amp;"!"&amp;L$3&amp;"7")</f>
        <v/>
      </c>
      <c r="M9" s="77">
        <f>INDIRECT($B9&amp;"!"&amp;M$3&amp;"7")</f>
        <v/>
      </c>
      <c r="N9" s="78">
        <f>M9-L9</f>
        <v/>
      </c>
      <c r="O9" s="320" t="n"/>
      <c r="P9" s="4" t="inlineStr">
        <is>
          <t>BD-PSNR</t>
        </is>
      </c>
      <c r="Q9" s="320" t="n"/>
      <c r="R9" s="10" t="n"/>
      <c r="S9" s="10" t="n"/>
      <c r="T9" s="10" t="n"/>
      <c r="U9" s="10" t="n"/>
      <c r="V9" s="323" t="n"/>
      <c r="X9" s="7" t="n"/>
      <c r="Y9" s="7" t="n"/>
      <c r="Z9" s="66" t="n"/>
    </row>
    <row r="10">
      <c r="B10" s="95">
        <f>B9</f>
        <v/>
      </c>
      <c r="C10" s="102" t="inlineStr">
        <is>
          <t>r04</t>
        </is>
      </c>
      <c r="D10" s="321">
        <f>0.001*INDIRECT($B10&amp;"!E8")</f>
        <v/>
      </c>
      <c r="E10" s="320" t="n"/>
      <c r="F10" s="95">
        <f>F9</f>
        <v/>
      </c>
      <c r="G10" s="102" t="inlineStr">
        <is>
          <t>r04</t>
        </is>
      </c>
      <c r="H10" s="321">
        <f>0.001*INDIRECT($B10&amp;"!W8")</f>
        <v/>
      </c>
      <c r="I10" s="10" t="n"/>
      <c r="J10" s="322">
        <f>H10/D10-1</f>
        <v/>
      </c>
      <c r="L10" s="76">
        <f>INDIRECT($B10&amp;"!"&amp;L$3&amp;"8")</f>
        <v/>
      </c>
      <c r="M10" s="77">
        <f>INDIRECT($B10&amp;"!"&amp;M$3&amp;"8")</f>
        <v/>
      </c>
      <c r="N10" s="78">
        <f>M10-L10</f>
        <v/>
      </c>
      <c r="O10" s="320" t="n"/>
      <c r="P10" s="325">
        <f>bdrate(L7:L10,D7:D10,M7:M10,H7:H10)</f>
        <v/>
      </c>
      <c r="Q10" s="320" t="n"/>
      <c r="R10" s="10" t="n"/>
      <c r="S10" s="10" t="n"/>
      <c r="T10" s="10" t="n"/>
      <c r="U10" s="10" t="n"/>
      <c r="V10" s="323" t="n"/>
      <c r="X10" s="7" t="n"/>
      <c r="Y10" s="7" t="n"/>
      <c r="Z10" s="66" t="n"/>
    </row>
    <row r="11" ht="16.5" customHeight="1" s="279" thickBot="1">
      <c r="B11" s="72" t="n"/>
      <c r="C11" s="103" t="n"/>
      <c r="D11" s="326" t="n"/>
      <c r="E11" s="320" t="n"/>
      <c r="F11" s="72" t="n"/>
      <c r="G11" s="103" t="n"/>
      <c r="H11" s="321" t="n"/>
      <c r="I11" s="10" t="n"/>
      <c r="J11" s="322" t="n"/>
      <c r="L11" s="76" t="n"/>
      <c r="M11" s="77" t="n"/>
      <c r="N11" s="79" t="n"/>
      <c r="O11" s="320" t="n"/>
      <c r="P11" s="327" t="n"/>
      <c r="Q11" s="320" t="n"/>
      <c r="R11" s="10" t="n"/>
      <c r="S11" s="10" t="n"/>
      <c r="T11" s="10" t="n"/>
      <c r="U11" s="10" t="n"/>
      <c r="V11" s="323" t="n"/>
      <c r="X11" s="7" t="n"/>
      <c r="Y11" s="7" t="n"/>
      <c r="Z11" s="66" t="n"/>
      <c r="AB11" s="324" t="n"/>
    </row>
    <row r="12" ht="16.5" customHeight="1" s="279">
      <c r="B12" s="73" t="n"/>
      <c r="C12" s="92" t="n"/>
      <c r="D12" s="328" t="n"/>
      <c r="F12" s="73" t="n"/>
      <c r="G12" s="92" t="n"/>
      <c r="H12" s="328" t="n"/>
      <c r="J12" s="80">
        <f>MIN(D7:D11,H7:H11)</f>
        <v/>
      </c>
      <c r="L12" s="81" t="n"/>
      <c r="M12" s="82" t="n"/>
      <c r="N12" s="83" t="n"/>
      <c r="O12" s="320" t="n"/>
      <c r="P12" s="286" t="n"/>
      <c r="Q12" s="320" t="n"/>
      <c r="R12" s="10" t="n"/>
      <c r="S12" s="10" t="n"/>
      <c r="T12" s="10" t="n"/>
      <c r="U12" s="10" t="n"/>
      <c r="V12" s="67" t="n"/>
      <c r="X12" s="7" t="n"/>
      <c r="Y12" s="7" t="n"/>
      <c r="Z12" s="66" t="n"/>
    </row>
    <row r="13" ht="16.5" customHeight="1" s="279" thickBot="1">
      <c r="B13" s="72" t="n"/>
      <c r="C13" s="74" t="n"/>
      <c r="D13" s="326" t="n"/>
      <c r="E13" s="320" t="n"/>
      <c r="F13" s="72" t="n"/>
      <c r="G13" s="74" t="n"/>
      <c r="H13" s="326" t="n"/>
      <c r="I13" s="10" t="n"/>
      <c r="J13" s="84">
        <f>MAX(D7:D11,H7:H11)</f>
        <v/>
      </c>
      <c r="L13" s="85">
        <f>L12</f>
        <v/>
      </c>
      <c r="M13" s="86">
        <f>M12</f>
        <v/>
      </c>
      <c r="N13" s="79" t="n"/>
      <c r="O13" s="320" t="n"/>
      <c r="P13" s="6" t="n"/>
      <c r="Q13" s="320" t="n"/>
      <c r="R13" s="10" t="n"/>
      <c r="S13" s="10" t="n"/>
      <c r="T13" s="10" t="n"/>
      <c r="U13" s="10" t="n"/>
      <c r="V13" s="67" t="n"/>
      <c r="X13" s="68" t="n"/>
      <c r="Y13" s="68" t="n"/>
      <c r="Z13" s="66" t="n"/>
    </row>
    <row r="14" ht="16.5" customHeight="1" s="279" thickBot="1"/>
    <row r="15">
      <c r="B15" s="282" t="inlineStr">
        <is>
          <t>breakfast_semitrack</t>
        </is>
      </c>
      <c r="C15" s="283" t="n"/>
      <c r="D15" s="284" t="n"/>
      <c r="E15" s="3" t="n"/>
      <c r="F15" s="282">
        <f>B15</f>
        <v/>
      </c>
      <c r="G15" s="283" t="n"/>
      <c r="H15" s="284" t="n"/>
      <c r="I15" s="3" t="n"/>
      <c r="J15" s="286" t="n"/>
      <c r="L15" s="286">
        <f>F15</f>
        <v/>
      </c>
      <c r="M15" s="283" t="n"/>
      <c r="N15" s="284" t="n"/>
      <c r="O15" s="183" t="n"/>
      <c r="P15" s="286" t="n"/>
      <c r="Q15" s="183" t="n"/>
      <c r="R15" s="183" t="n"/>
      <c r="S15" s="183" t="n"/>
      <c r="T15" s="183" t="n"/>
      <c r="U15" s="281" t="n"/>
      <c r="V15" s="281" t="n"/>
      <c r="X15" s="281" t="n"/>
    </row>
    <row r="16">
      <c r="B16" s="278" t="inlineStr">
        <is>
          <t>Test</t>
        </is>
      </c>
      <c r="D16" s="71" t="inlineStr">
        <is>
          <t>Bitrate [Mbps]</t>
        </is>
      </c>
      <c r="E16" s="320" t="n"/>
      <c r="F16" s="278" t="inlineStr">
        <is>
          <t>Test</t>
        </is>
      </c>
      <c r="H16" s="71" t="inlineStr">
        <is>
          <t>Bitrate [Mbps]</t>
        </is>
      </c>
      <c r="I16" s="10" t="n"/>
      <c r="J16" s="287" t="inlineStr">
        <is>
          <t>%</t>
        </is>
      </c>
      <c r="L16" s="287" t="inlineStr">
        <is>
          <t>YUV-IVSSIM</t>
        </is>
      </c>
      <c r="N16" s="288" t="n"/>
      <c r="O16" s="69" t="n"/>
      <c r="P16" s="4" t="n"/>
      <c r="Q16" s="69" t="n"/>
      <c r="R16" s="285" t="n"/>
      <c r="U16" s="285" t="n"/>
      <c r="V16" s="285" t="n"/>
      <c r="X16" s="285" t="n"/>
    </row>
    <row r="17">
      <c r="B17" s="180" t="inlineStr">
        <is>
          <t>Anchor</t>
        </is>
      </c>
      <c r="C17" s="102" t="inlineStr">
        <is>
          <t>Test point</t>
        </is>
      </c>
      <c r="D17" s="70" t="inlineStr">
        <is>
          <t>Total</t>
        </is>
      </c>
      <c r="E17" s="320" t="n"/>
      <c r="F17" s="180" t="inlineStr">
        <is>
          <t>Anchor</t>
        </is>
      </c>
      <c r="G17" s="102" t="inlineStr">
        <is>
          <t>Test point</t>
        </is>
      </c>
      <c r="H17" s="70" t="inlineStr">
        <is>
          <t>Total</t>
        </is>
      </c>
      <c r="I17" s="10" t="n"/>
      <c r="J17" s="75" t="n"/>
      <c r="L17" s="181">
        <f>CONCATENATE(B$2," ",L15)</f>
        <v/>
      </c>
      <c r="M17" s="199">
        <f>CONCATENATE(F$2," ",L15)</f>
        <v/>
      </c>
      <c r="N17" s="182" t="inlineStr">
        <is>
          <t>Delta</t>
        </is>
      </c>
      <c r="O17" s="3" t="n"/>
      <c r="P17" s="4" t="inlineStr">
        <is>
          <t>BD-rate</t>
        </is>
      </c>
      <c r="Q17" s="3" t="n"/>
      <c r="R17" s="3" t="n"/>
      <c r="S17" s="3" t="n"/>
      <c r="T17" s="3" t="n"/>
      <c r="U17" s="3" t="n"/>
      <c r="V17" s="3" t="n"/>
      <c r="X17" s="183" t="n"/>
      <c r="Y17" s="183" t="n"/>
      <c r="Z17" s="183" t="n"/>
    </row>
    <row r="18">
      <c r="B18" s="95">
        <f>B15</f>
        <v/>
      </c>
      <c r="C18" s="102" t="inlineStr">
        <is>
          <t>r01</t>
        </is>
      </c>
      <c r="D18" s="321">
        <f>0.001*INDIRECT($B18&amp;"!E5")</f>
        <v/>
      </c>
      <c r="E18" s="320" t="n"/>
      <c r="F18" s="95">
        <f>F15</f>
        <v/>
      </c>
      <c r="G18" s="102" t="inlineStr">
        <is>
          <t>r01</t>
        </is>
      </c>
      <c r="H18" s="321">
        <f>0.001*INDIRECT($B18&amp;"!W5")</f>
        <v/>
      </c>
      <c r="I18" s="10" t="n"/>
      <c r="J18" s="322">
        <f>H18/D18-1</f>
        <v/>
      </c>
      <c r="L18" s="76">
        <f>INDIRECT($B18&amp;"!"&amp;L$3&amp;"5")</f>
        <v/>
      </c>
      <c r="M18" s="77">
        <f>INDIRECT($B18&amp;"!"&amp;M$3&amp;"5")</f>
        <v/>
      </c>
      <c r="N18" s="78">
        <f>M18-L18</f>
        <v/>
      </c>
      <c r="O18" s="320" t="n"/>
      <c r="P18" s="322">
        <f>bdrate(D18:D21,L18:L21,H18:H21,M18:M21)</f>
        <v/>
      </c>
      <c r="Q18" s="320" t="n"/>
      <c r="R18" s="10" t="n"/>
      <c r="S18" s="10" t="n"/>
      <c r="T18" s="10" t="n"/>
      <c r="U18" s="10" t="n"/>
      <c r="V18" s="323" t="n"/>
      <c r="X18" s="7" t="n"/>
      <c r="Y18" s="7" t="n"/>
      <c r="Z18" s="66" t="n"/>
      <c r="AB18" s="324" t="n"/>
    </row>
    <row r="19">
      <c r="B19" s="95">
        <f>B18</f>
        <v/>
      </c>
      <c r="C19" s="102" t="inlineStr">
        <is>
          <t>r02</t>
        </is>
      </c>
      <c r="D19" s="321">
        <f>0.001*INDIRECT($B19&amp;"!E6")</f>
        <v/>
      </c>
      <c r="E19" s="320" t="n"/>
      <c r="F19" s="95">
        <f>F18</f>
        <v/>
      </c>
      <c r="G19" s="102" t="inlineStr">
        <is>
          <t>r02</t>
        </is>
      </c>
      <c r="H19" s="321">
        <f>0.001*INDIRECT($B19&amp;"!W6")</f>
        <v/>
      </c>
      <c r="I19" s="10" t="n"/>
      <c r="J19" s="322">
        <f>H19/D19-1</f>
        <v/>
      </c>
      <c r="L19" s="76">
        <f>INDIRECT($B19&amp;"!"&amp;L$3&amp;"6")</f>
        <v/>
      </c>
      <c r="M19" s="77">
        <f>INDIRECT($B19&amp;"!"&amp;M$3&amp;"6")</f>
        <v/>
      </c>
      <c r="N19" s="78">
        <f>M19-L19</f>
        <v/>
      </c>
      <c r="O19" s="320" t="n"/>
      <c r="P19" s="4" t="n"/>
      <c r="Q19" s="320" t="n"/>
      <c r="R19" s="10" t="n"/>
      <c r="S19" s="10" t="n"/>
      <c r="T19" s="10" t="n"/>
      <c r="U19" s="10" t="n"/>
      <c r="V19" s="323" t="n"/>
      <c r="X19" s="7" t="n"/>
      <c r="Y19" s="7" t="n"/>
      <c r="Z19" s="66" t="n"/>
    </row>
    <row r="20">
      <c r="B20" s="95">
        <f>B19</f>
        <v/>
      </c>
      <c r="C20" s="102" t="inlineStr">
        <is>
          <t>r03</t>
        </is>
      </c>
      <c r="D20" s="321">
        <f>0.001*INDIRECT($B20&amp;"!E7")</f>
        <v/>
      </c>
      <c r="E20" s="320" t="n"/>
      <c r="F20" s="95">
        <f>F19</f>
        <v/>
      </c>
      <c r="G20" s="102" t="inlineStr">
        <is>
          <t>r03</t>
        </is>
      </c>
      <c r="H20" s="321">
        <f>0.001*INDIRECT($B20&amp;"!W7")</f>
        <v/>
      </c>
      <c r="I20" s="10" t="n"/>
      <c r="J20" s="322">
        <f>H20/D20-1</f>
        <v/>
      </c>
      <c r="L20" s="76">
        <f>INDIRECT($B20&amp;"!"&amp;L$3&amp;"7")</f>
        <v/>
      </c>
      <c r="M20" s="77">
        <f>INDIRECT($B20&amp;"!"&amp;M$3&amp;"7")</f>
        <v/>
      </c>
      <c r="N20" s="78">
        <f>M20-L20</f>
        <v/>
      </c>
      <c r="O20" s="320" t="n"/>
      <c r="P20" s="4" t="inlineStr">
        <is>
          <t>BD-PSNR</t>
        </is>
      </c>
      <c r="Q20" s="320" t="n"/>
      <c r="R20" s="10" t="n"/>
      <c r="S20" s="10" t="n"/>
      <c r="T20" s="10" t="n"/>
      <c r="U20" s="10" t="n"/>
      <c r="V20" s="323" t="n"/>
      <c r="X20" s="7" t="n"/>
      <c r="Y20" s="7" t="n"/>
      <c r="Z20" s="66" t="n"/>
    </row>
    <row r="21">
      <c r="B21" s="95">
        <f>B20</f>
        <v/>
      </c>
      <c r="C21" s="102" t="inlineStr">
        <is>
          <t>r04</t>
        </is>
      </c>
      <c r="D21" s="321">
        <f>0.001*INDIRECT($B21&amp;"!E8")</f>
        <v/>
      </c>
      <c r="E21" s="320" t="n"/>
      <c r="F21" s="95">
        <f>F20</f>
        <v/>
      </c>
      <c r="G21" s="102" t="inlineStr">
        <is>
          <t>r04</t>
        </is>
      </c>
      <c r="H21" s="321">
        <f>0.001*INDIRECT($B21&amp;"!W8")</f>
        <v/>
      </c>
      <c r="I21" s="10" t="n"/>
      <c r="J21" s="322">
        <f>H21/D21-1</f>
        <v/>
      </c>
      <c r="L21" s="76">
        <f>INDIRECT($B21&amp;"!"&amp;L$3&amp;"8")</f>
        <v/>
      </c>
      <c r="M21" s="77">
        <f>INDIRECT($B21&amp;"!"&amp;M$3&amp;"8")</f>
        <v/>
      </c>
      <c r="N21" s="78">
        <f>M21-L21</f>
        <v/>
      </c>
      <c r="O21" s="320" t="n"/>
      <c r="P21" s="325">
        <f>bdrate(L18:L21,D18:D21,M18:M21,H18:H21)</f>
        <v/>
      </c>
      <c r="Q21" s="320" t="n"/>
      <c r="R21" s="10" t="n"/>
      <c r="S21" s="10" t="n"/>
      <c r="T21" s="10" t="n"/>
      <c r="U21" s="10" t="n"/>
      <c r="V21" s="323" t="n"/>
      <c r="X21" s="7" t="n"/>
      <c r="Y21" s="7" t="n"/>
      <c r="Z21" s="66" t="n"/>
    </row>
    <row r="22" ht="16.5" customHeight="1" s="279" thickBot="1">
      <c r="B22" s="72" t="n"/>
      <c r="C22" s="103" t="n"/>
      <c r="D22" s="326" t="n"/>
      <c r="E22" s="320" t="n"/>
      <c r="F22" s="72" t="n"/>
      <c r="G22" s="103" t="n"/>
      <c r="H22" s="321" t="n"/>
      <c r="I22" s="10" t="n"/>
      <c r="J22" s="322" t="n"/>
      <c r="L22" s="76" t="n"/>
      <c r="M22" s="77" t="n"/>
      <c r="N22" s="79" t="n"/>
      <c r="O22" s="320" t="n"/>
      <c r="P22" s="327" t="n"/>
      <c r="Q22" s="320" t="n"/>
      <c r="R22" s="10" t="n"/>
      <c r="S22" s="10" t="n"/>
      <c r="T22" s="10" t="n"/>
      <c r="U22" s="10" t="n"/>
      <c r="V22" s="323" t="n"/>
      <c r="X22" s="7" t="n"/>
      <c r="Y22" s="7" t="n"/>
      <c r="Z22" s="66" t="n"/>
      <c r="AB22" s="324" t="n"/>
    </row>
    <row r="23" ht="16.5" customHeight="1" s="279">
      <c r="B23" s="73" t="n"/>
      <c r="C23" s="92" t="n"/>
      <c r="D23" s="328" t="n"/>
      <c r="F23" s="73" t="n"/>
      <c r="G23" s="92" t="n"/>
      <c r="H23" s="328" t="n"/>
      <c r="J23" s="80">
        <f>MIN(D18:D22,H18:H22)</f>
        <v/>
      </c>
      <c r="L23" s="81" t="n"/>
      <c r="M23" s="82" t="n"/>
      <c r="N23" s="83" t="n"/>
      <c r="O23" s="320" t="n"/>
      <c r="P23" s="286" t="n"/>
      <c r="Q23" s="320" t="n"/>
      <c r="R23" s="10" t="n"/>
      <c r="S23" s="10" t="n"/>
      <c r="T23" s="10" t="n"/>
      <c r="U23" s="10" t="n"/>
      <c r="V23" s="67" t="n"/>
      <c r="X23" s="7" t="n"/>
      <c r="Y23" s="7" t="n"/>
      <c r="Z23" s="66" t="n"/>
    </row>
    <row r="24" ht="16.5" customHeight="1" s="279" thickBot="1">
      <c r="B24" s="72" t="n"/>
      <c r="C24" s="74" t="n"/>
      <c r="D24" s="326" t="n"/>
      <c r="E24" s="320" t="n"/>
      <c r="F24" s="72" t="n"/>
      <c r="G24" s="74" t="n"/>
      <c r="H24" s="326" t="n"/>
      <c r="I24" s="10" t="n"/>
      <c r="J24" s="84">
        <f>MAX(D18:D22,H18:H22)</f>
        <v/>
      </c>
      <c r="L24" s="85">
        <f>L23</f>
        <v/>
      </c>
      <c r="M24" s="86">
        <f>M23</f>
        <v/>
      </c>
      <c r="N24" s="79" t="n"/>
      <c r="O24" s="320" t="n"/>
      <c r="P24" s="6" t="n"/>
      <c r="Q24" s="320" t="n"/>
      <c r="R24" s="10" t="n"/>
      <c r="S24" s="10" t="n"/>
      <c r="T24" s="10" t="n"/>
      <c r="U24" s="10" t="n"/>
      <c r="V24" s="67" t="n"/>
      <c r="X24" s="68" t="n"/>
      <c r="Y24" s="68" t="n"/>
      <c r="Z24" s="66" t="n"/>
    </row>
    <row r="25" ht="16.5" customHeight="1" s="279" thickBot="1"/>
    <row r="26">
      <c r="B26" s="282" t="inlineStr">
        <is>
          <t>cinema_track</t>
        </is>
      </c>
      <c r="C26" s="283" t="n"/>
      <c r="D26" s="284" t="n"/>
      <c r="E26" s="3" t="n"/>
      <c r="F26" s="282">
        <f>B26</f>
        <v/>
      </c>
      <c r="G26" s="283" t="n"/>
      <c r="H26" s="284" t="n"/>
      <c r="I26" s="3" t="n"/>
      <c r="J26" s="286" t="n"/>
      <c r="L26" s="286">
        <f>F26</f>
        <v/>
      </c>
      <c r="M26" s="283" t="n"/>
      <c r="N26" s="284" t="n"/>
      <c r="O26" s="183" t="n"/>
      <c r="P26" s="286" t="n"/>
      <c r="U26" s="281" t="n"/>
      <c r="V26" s="281" t="n"/>
      <c r="X26" s="281" t="n"/>
    </row>
    <row r="27">
      <c r="B27" s="278" t="inlineStr">
        <is>
          <t>Test</t>
        </is>
      </c>
      <c r="D27" s="71" t="inlineStr">
        <is>
          <t>Bitrate [Mbps]</t>
        </is>
      </c>
      <c r="E27" s="320" t="n"/>
      <c r="F27" s="278" t="inlineStr">
        <is>
          <t>Test</t>
        </is>
      </c>
      <c r="H27" s="71" t="inlineStr">
        <is>
          <t>Bitrate [Mbps]</t>
        </is>
      </c>
      <c r="I27" s="10" t="n"/>
      <c r="J27" s="287" t="inlineStr">
        <is>
          <t>%</t>
        </is>
      </c>
      <c r="L27" s="287" t="inlineStr">
        <is>
          <t>YUV-IVSSIM</t>
        </is>
      </c>
      <c r="N27" s="288" t="n"/>
      <c r="O27" s="69" t="n"/>
      <c r="P27" s="4" t="n"/>
      <c r="R27" s="285" t="n"/>
      <c r="U27" s="285" t="n"/>
      <c r="V27" s="285" t="n"/>
      <c r="X27" s="285" t="n"/>
    </row>
    <row r="28">
      <c r="B28" s="180" t="inlineStr">
        <is>
          <t>Anchor</t>
        </is>
      </c>
      <c r="C28" s="102" t="inlineStr">
        <is>
          <t>Test point</t>
        </is>
      </c>
      <c r="D28" s="70" t="inlineStr">
        <is>
          <t>Total</t>
        </is>
      </c>
      <c r="E28" s="320" t="n"/>
      <c r="F28" s="180" t="inlineStr">
        <is>
          <t>Anchor</t>
        </is>
      </c>
      <c r="G28" s="102" t="inlineStr">
        <is>
          <t>Test point</t>
        </is>
      </c>
      <c r="H28" s="70" t="inlineStr">
        <is>
          <t>Total</t>
        </is>
      </c>
      <c r="I28" s="10" t="n"/>
      <c r="J28" s="75" t="n"/>
      <c r="L28" s="181">
        <f>CONCATENATE(B$2," ",L26)</f>
        <v/>
      </c>
      <c r="M28" s="199">
        <f>CONCATENATE(F$2," ",L26)</f>
        <v/>
      </c>
      <c r="N28" s="182" t="inlineStr">
        <is>
          <t>Delta</t>
        </is>
      </c>
      <c r="O28" s="3" t="n"/>
      <c r="P28" s="4" t="inlineStr">
        <is>
          <t>BD-rate</t>
        </is>
      </c>
      <c r="Q28" s="3" t="n"/>
      <c r="R28" s="3" t="n"/>
      <c r="S28" s="3" t="n"/>
      <c r="T28" s="3" t="n"/>
      <c r="U28" s="3" t="n"/>
      <c r="V28" s="3" t="n"/>
      <c r="X28" s="183" t="n"/>
      <c r="Y28" s="183" t="n"/>
      <c r="Z28" s="183" t="n"/>
    </row>
    <row r="29">
      <c r="B29" s="95">
        <f>B26</f>
        <v/>
      </c>
      <c r="C29" s="102" t="inlineStr">
        <is>
          <t>r01</t>
        </is>
      </c>
      <c r="D29" s="321">
        <f>0.001*INDIRECT($B29&amp;"!E5")</f>
        <v/>
      </c>
      <c r="E29" s="320" t="n"/>
      <c r="F29" s="95">
        <f>F26</f>
        <v/>
      </c>
      <c r="G29" s="102" t="inlineStr">
        <is>
          <t>r01</t>
        </is>
      </c>
      <c r="H29" s="321">
        <f>0.001*INDIRECT($B29&amp;"!W5")</f>
        <v/>
      </c>
      <c r="I29" s="10" t="n"/>
      <c r="J29" s="322">
        <f>H29/D29-1</f>
        <v/>
      </c>
      <c r="L29" s="76">
        <f>INDIRECT($B29&amp;"!"&amp;L$3&amp;"5")</f>
        <v/>
      </c>
      <c r="M29" s="77">
        <f>INDIRECT($B29&amp;"!"&amp;M$3&amp;"5")</f>
        <v/>
      </c>
      <c r="N29" s="78">
        <f>M29-L29</f>
        <v/>
      </c>
      <c r="O29" s="320" t="n"/>
      <c r="P29" s="322">
        <f>bdrate(D29:D32,L29:L32,H29:H32,M29:M32)</f>
        <v/>
      </c>
      <c r="Q29" s="320" t="n"/>
      <c r="R29" s="10" t="n"/>
      <c r="S29" s="10" t="n"/>
      <c r="T29" s="10" t="n"/>
      <c r="U29" s="10" t="n"/>
      <c r="V29" s="323" t="n"/>
      <c r="X29" s="7" t="n"/>
      <c r="Y29" s="7" t="n"/>
      <c r="Z29" s="66" t="n"/>
      <c r="AB29" s="324" t="n"/>
    </row>
    <row r="30">
      <c r="B30" s="95">
        <f>B29</f>
        <v/>
      </c>
      <c r="C30" s="102" t="inlineStr">
        <is>
          <t>r02</t>
        </is>
      </c>
      <c r="D30" s="321">
        <f>0.001*INDIRECT($B30&amp;"!E6")</f>
        <v/>
      </c>
      <c r="E30" s="320" t="n"/>
      <c r="F30" s="95">
        <f>F29</f>
        <v/>
      </c>
      <c r="G30" s="102" t="inlineStr">
        <is>
          <t>r02</t>
        </is>
      </c>
      <c r="H30" s="321">
        <f>0.001*INDIRECT($B30&amp;"!W6")</f>
        <v/>
      </c>
      <c r="I30" s="10" t="n"/>
      <c r="J30" s="322">
        <f>H30/D30-1</f>
        <v/>
      </c>
      <c r="L30" s="76">
        <f>INDIRECT($B30&amp;"!"&amp;L$3&amp;"6")</f>
        <v/>
      </c>
      <c r="M30" s="77">
        <f>INDIRECT($B30&amp;"!"&amp;M$3&amp;"6")</f>
        <v/>
      </c>
      <c r="N30" s="78">
        <f>M30-L30</f>
        <v/>
      </c>
      <c r="O30" s="320" t="n"/>
      <c r="P30" s="4" t="n"/>
      <c r="Q30" s="320" t="n"/>
      <c r="R30" s="10" t="n"/>
      <c r="S30" s="10" t="n"/>
      <c r="T30" s="10" t="n"/>
      <c r="U30" s="10" t="n"/>
      <c r="V30" s="323" t="n"/>
      <c r="X30" s="7" t="n"/>
      <c r="Y30" s="7" t="n"/>
      <c r="Z30" s="66" t="n"/>
    </row>
    <row r="31">
      <c r="B31" s="95">
        <f>B30</f>
        <v/>
      </c>
      <c r="C31" s="102" t="inlineStr">
        <is>
          <t>r03</t>
        </is>
      </c>
      <c r="D31" s="321">
        <f>0.001*INDIRECT($B31&amp;"!E7")</f>
        <v/>
      </c>
      <c r="E31" s="320" t="n"/>
      <c r="F31" s="95">
        <f>F30</f>
        <v/>
      </c>
      <c r="G31" s="102" t="inlineStr">
        <is>
          <t>r03</t>
        </is>
      </c>
      <c r="H31" s="321">
        <f>0.001*INDIRECT($B31&amp;"!W7")</f>
        <v/>
      </c>
      <c r="I31" s="10" t="n"/>
      <c r="J31" s="322">
        <f>H31/D31-1</f>
        <v/>
      </c>
      <c r="L31" s="76">
        <f>INDIRECT($B31&amp;"!"&amp;L$3&amp;"7")</f>
        <v/>
      </c>
      <c r="M31" s="77">
        <f>INDIRECT($B31&amp;"!"&amp;M$3&amp;"7")</f>
        <v/>
      </c>
      <c r="N31" s="78">
        <f>M31-L31</f>
        <v/>
      </c>
      <c r="O31" s="320" t="n"/>
      <c r="P31" s="4" t="inlineStr">
        <is>
          <t>BD-PSNR</t>
        </is>
      </c>
      <c r="Q31" s="320" t="n"/>
      <c r="R31" s="10" t="n"/>
      <c r="S31" s="10" t="n"/>
      <c r="T31" s="10" t="n"/>
      <c r="U31" s="10" t="n"/>
      <c r="V31" s="323" t="n"/>
      <c r="X31" s="7" t="n"/>
      <c r="Y31" s="7" t="n"/>
      <c r="Z31" s="66" t="n"/>
    </row>
    <row r="32">
      <c r="B32" s="95">
        <f>B31</f>
        <v/>
      </c>
      <c r="C32" s="102" t="inlineStr">
        <is>
          <t>r04</t>
        </is>
      </c>
      <c r="D32" s="321">
        <f>0.001*INDIRECT($B32&amp;"!E8")</f>
        <v/>
      </c>
      <c r="E32" s="320" t="n"/>
      <c r="F32" s="95">
        <f>F31</f>
        <v/>
      </c>
      <c r="G32" s="102" t="inlineStr">
        <is>
          <t>r04</t>
        </is>
      </c>
      <c r="H32" s="321">
        <f>0.001*INDIRECT($B32&amp;"!W8")</f>
        <v/>
      </c>
      <c r="I32" s="10" t="n"/>
      <c r="J32" s="322">
        <f>H32/D32-1</f>
        <v/>
      </c>
      <c r="L32" s="76">
        <f>INDIRECT($B32&amp;"!"&amp;L$3&amp;"8")</f>
        <v/>
      </c>
      <c r="M32" s="77">
        <f>INDIRECT($B32&amp;"!"&amp;M$3&amp;"8")</f>
        <v/>
      </c>
      <c r="N32" s="78">
        <f>M32-L32</f>
        <v/>
      </c>
      <c r="O32" s="320" t="n"/>
      <c r="P32" s="325">
        <f>bdrate(L29:L32,D29:D32,M29:M32,H29:H32)</f>
        <v/>
      </c>
      <c r="Q32" s="320" t="n"/>
      <c r="R32" s="10" t="n"/>
      <c r="S32" s="10" t="n"/>
      <c r="T32" s="10" t="n"/>
      <c r="U32" s="10" t="n"/>
      <c r="V32" s="323" t="n"/>
      <c r="X32" s="7" t="n"/>
      <c r="Y32" s="7" t="n"/>
      <c r="Z32" s="66" t="n"/>
    </row>
    <row r="33" ht="16.5" customHeight="1" s="279" thickBot="1">
      <c r="B33" s="72" t="n"/>
      <c r="C33" s="103" t="n"/>
      <c r="D33" s="326" t="n"/>
      <c r="E33" s="320" t="n"/>
      <c r="F33" s="72" t="n"/>
      <c r="G33" s="103" t="n"/>
      <c r="H33" s="321" t="n"/>
      <c r="I33" s="10" t="n"/>
      <c r="J33" s="322" t="n"/>
      <c r="L33" s="76" t="n"/>
      <c r="M33" s="77" t="n"/>
      <c r="N33" s="79" t="n"/>
      <c r="O33" s="320" t="n"/>
      <c r="P33" s="327" t="n"/>
      <c r="Q33" s="320" t="n"/>
      <c r="R33" s="10" t="n"/>
      <c r="S33" s="10" t="n"/>
      <c r="T33" s="10" t="n"/>
      <c r="U33" s="10" t="n"/>
      <c r="V33" s="323" t="n"/>
      <c r="X33" s="7" t="n"/>
      <c r="Y33" s="7" t="n"/>
      <c r="Z33" s="66" t="n"/>
      <c r="AB33" s="324" t="n"/>
    </row>
    <row r="34" ht="16.5" customHeight="1" s="279">
      <c r="B34" s="73" t="n"/>
      <c r="C34" s="92" t="n"/>
      <c r="D34" s="328" t="n"/>
      <c r="F34" s="73" t="n"/>
      <c r="G34" s="92" t="n"/>
      <c r="H34" s="328" t="n"/>
      <c r="J34" s="80">
        <f>MIN(D29:D33,H29:H33)</f>
        <v/>
      </c>
      <c r="L34" s="81" t="n"/>
      <c r="M34" s="82" t="n"/>
      <c r="N34" s="83" t="n"/>
      <c r="O34" s="320" t="n"/>
      <c r="P34" s="286" t="n"/>
      <c r="Q34" s="320" t="n"/>
      <c r="R34" s="10" t="n"/>
      <c r="S34" s="10" t="n"/>
      <c r="T34" s="10" t="n"/>
      <c r="U34" s="10" t="n"/>
      <c r="V34" s="67" t="n"/>
      <c r="X34" s="7" t="n"/>
      <c r="Y34" s="7" t="n"/>
      <c r="Z34" s="66" t="n"/>
    </row>
    <row r="35" ht="16.5" customHeight="1" s="279" thickBot="1">
      <c r="B35" s="72" t="n"/>
      <c r="C35" s="74" t="n"/>
      <c r="D35" s="326" t="n"/>
      <c r="E35" s="320" t="n"/>
      <c r="F35" s="72" t="n"/>
      <c r="G35" s="74" t="n"/>
      <c r="H35" s="326" t="n"/>
      <c r="I35" s="10" t="n"/>
      <c r="J35" s="84">
        <f>MAX(D29:D33,H29:H33)</f>
        <v/>
      </c>
      <c r="L35" s="85">
        <f>L34</f>
        <v/>
      </c>
      <c r="M35" s="86">
        <f>M34</f>
        <v/>
      </c>
      <c r="N35" s="79" t="n"/>
      <c r="O35" s="320" t="n"/>
      <c r="P35" s="6" t="n"/>
      <c r="Q35" s="320" t="n"/>
      <c r="R35" s="10" t="n"/>
      <c r="S35" s="10" t="n"/>
      <c r="T35" s="10" t="n"/>
      <c r="U35" s="10" t="n"/>
      <c r="V35" s="67" t="n"/>
      <c r="X35" s="68" t="n"/>
      <c r="Y35" s="68" t="n"/>
      <c r="Z35" s="66" t="n"/>
    </row>
    <row r="36" ht="16.5" customHeight="1" s="279" thickBot="1"/>
    <row r="37">
      <c r="B37" s="282" t="inlineStr">
        <is>
          <t>cinema_semitrack</t>
        </is>
      </c>
      <c r="C37" s="283" t="n"/>
      <c r="D37" s="284" t="n"/>
      <c r="E37" s="3" t="n"/>
      <c r="F37" s="282">
        <f>B37</f>
        <v/>
      </c>
      <c r="G37" s="283" t="n"/>
      <c r="H37" s="284" t="n"/>
      <c r="I37" s="3" t="n"/>
      <c r="J37" s="286" t="n"/>
      <c r="L37" s="286">
        <f>F37</f>
        <v/>
      </c>
      <c r="M37" s="283" t="n"/>
      <c r="N37" s="284" t="n"/>
      <c r="O37" s="183" t="n"/>
      <c r="P37" s="286" t="n"/>
      <c r="U37" s="281" t="n"/>
      <c r="V37" s="281" t="n"/>
      <c r="X37" s="281" t="n"/>
    </row>
    <row r="38">
      <c r="B38" s="278" t="inlineStr">
        <is>
          <t>Test</t>
        </is>
      </c>
      <c r="D38" s="71" t="inlineStr">
        <is>
          <t>Bitrate [Mbps]</t>
        </is>
      </c>
      <c r="E38" s="320" t="n"/>
      <c r="F38" s="278" t="inlineStr">
        <is>
          <t>Test</t>
        </is>
      </c>
      <c r="H38" s="71" t="inlineStr">
        <is>
          <t>Bitrate [Mbps]</t>
        </is>
      </c>
      <c r="I38" s="10" t="n"/>
      <c r="J38" s="287" t="inlineStr">
        <is>
          <t>%</t>
        </is>
      </c>
      <c r="L38" s="287" t="inlineStr">
        <is>
          <t>YUV-IVSSIM</t>
        </is>
      </c>
      <c r="N38" s="288" t="n"/>
      <c r="O38" s="69" t="n"/>
      <c r="P38" s="4" t="n"/>
      <c r="R38" s="285" t="n"/>
      <c r="U38" s="285" t="n"/>
      <c r="V38" s="285" t="n"/>
      <c r="X38" s="285" t="n"/>
    </row>
    <row r="39">
      <c r="B39" s="180" t="inlineStr">
        <is>
          <t>Anchor</t>
        </is>
      </c>
      <c r="C39" s="102" t="inlineStr">
        <is>
          <t>Test point</t>
        </is>
      </c>
      <c r="D39" s="70" t="inlineStr">
        <is>
          <t>Total</t>
        </is>
      </c>
      <c r="E39" s="320" t="n"/>
      <c r="F39" s="180" t="inlineStr">
        <is>
          <t>Anchor</t>
        </is>
      </c>
      <c r="G39" s="102" t="inlineStr">
        <is>
          <t>Test point</t>
        </is>
      </c>
      <c r="H39" s="70" t="inlineStr">
        <is>
          <t>Total</t>
        </is>
      </c>
      <c r="I39" s="10" t="n"/>
      <c r="J39" s="75" t="n"/>
      <c r="L39" s="181">
        <f>CONCATENATE(B$2," ",L37)</f>
        <v/>
      </c>
      <c r="M39" s="199">
        <f>CONCATENATE(F$2," ",L37)</f>
        <v/>
      </c>
      <c r="N39" s="182" t="inlineStr">
        <is>
          <t>Delta</t>
        </is>
      </c>
      <c r="O39" s="3" t="n"/>
      <c r="P39" s="4" t="inlineStr">
        <is>
          <t>BD-rate</t>
        </is>
      </c>
      <c r="Q39" s="3" t="n"/>
      <c r="R39" s="3" t="n"/>
      <c r="S39" s="3" t="n"/>
      <c r="T39" s="3" t="n"/>
      <c r="U39" s="3" t="n"/>
      <c r="V39" s="3" t="n"/>
      <c r="X39" s="183" t="n"/>
      <c r="Y39" s="183" t="n"/>
      <c r="Z39" s="183" t="n"/>
    </row>
    <row r="40">
      <c r="B40" s="95">
        <f>B37</f>
        <v/>
      </c>
      <c r="C40" s="102" t="inlineStr">
        <is>
          <t>r01</t>
        </is>
      </c>
      <c r="D40" s="321">
        <f>0.001*INDIRECT($B40&amp;"!E5")</f>
        <v/>
      </c>
      <c r="E40" s="320" t="n"/>
      <c r="F40" s="95">
        <f>F37</f>
        <v/>
      </c>
      <c r="G40" s="102" t="inlineStr">
        <is>
          <t>r01</t>
        </is>
      </c>
      <c r="H40" s="321">
        <f>0.001*INDIRECT($B40&amp;"!W5")</f>
        <v/>
      </c>
      <c r="I40" s="10" t="n"/>
      <c r="J40" s="322">
        <f>H40/D40-1</f>
        <v/>
      </c>
      <c r="L40" s="76">
        <f>INDIRECT($B40&amp;"!"&amp;L$3&amp;"5")</f>
        <v/>
      </c>
      <c r="M40" s="77">
        <f>INDIRECT($B40&amp;"!"&amp;M$3&amp;"5")</f>
        <v/>
      </c>
      <c r="N40" s="78">
        <f>M40-L40</f>
        <v/>
      </c>
      <c r="O40" s="320" t="n"/>
      <c r="P40" s="322">
        <f>bdrate(D40:D43,L40:L43,H40:H43,M40:M43)</f>
        <v/>
      </c>
      <c r="Q40" s="320" t="n"/>
      <c r="R40" s="10" t="n"/>
      <c r="S40" s="10" t="n"/>
      <c r="T40" s="10" t="n"/>
      <c r="U40" s="10" t="n"/>
      <c r="V40" s="323" t="n"/>
      <c r="X40" s="7" t="n"/>
      <c r="Y40" s="7" t="n"/>
      <c r="Z40" s="66" t="n"/>
      <c r="AB40" s="324" t="n"/>
    </row>
    <row r="41">
      <c r="B41" s="95">
        <f>B40</f>
        <v/>
      </c>
      <c r="C41" s="102" t="inlineStr">
        <is>
          <t>r02</t>
        </is>
      </c>
      <c r="D41" s="321">
        <f>0.001*INDIRECT($B41&amp;"!E6")</f>
        <v/>
      </c>
      <c r="E41" s="320" t="n"/>
      <c r="F41" s="95">
        <f>F40</f>
        <v/>
      </c>
      <c r="G41" s="102" t="inlineStr">
        <is>
          <t>r02</t>
        </is>
      </c>
      <c r="H41" s="321">
        <f>0.001*INDIRECT($B41&amp;"!W6")</f>
        <v/>
      </c>
      <c r="I41" s="10" t="n"/>
      <c r="J41" s="322">
        <f>H41/D41-1</f>
        <v/>
      </c>
      <c r="L41" s="76">
        <f>INDIRECT($B41&amp;"!"&amp;L$3&amp;"6")</f>
        <v/>
      </c>
      <c r="M41" s="77">
        <f>INDIRECT($B41&amp;"!"&amp;M$3&amp;"6")</f>
        <v/>
      </c>
      <c r="N41" s="78">
        <f>M41-L41</f>
        <v/>
      </c>
      <c r="O41" s="320" t="n"/>
      <c r="P41" s="4" t="n"/>
      <c r="Q41" s="320" t="n"/>
      <c r="R41" s="10" t="n"/>
      <c r="S41" s="10" t="n"/>
      <c r="T41" s="10" t="n"/>
      <c r="U41" s="10" t="n"/>
      <c r="V41" s="323" t="n"/>
      <c r="X41" s="7" t="n"/>
      <c r="Y41" s="7" t="n"/>
      <c r="Z41" s="66" t="n"/>
    </row>
    <row r="42">
      <c r="B42" s="95">
        <f>B41</f>
        <v/>
      </c>
      <c r="C42" s="102" t="inlineStr">
        <is>
          <t>r03</t>
        </is>
      </c>
      <c r="D42" s="321">
        <f>0.001*INDIRECT($B42&amp;"!E7")</f>
        <v/>
      </c>
      <c r="E42" s="320" t="n"/>
      <c r="F42" s="95">
        <f>F41</f>
        <v/>
      </c>
      <c r="G42" s="102" t="inlineStr">
        <is>
          <t>r03</t>
        </is>
      </c>
      <c r="H42" s="321">
        <f>0.001*INDIRECT($B42&amp;"!W7")</f>
        <v/>
      </c>
      <c r="I42" s="10" t="n"/>
      <c r="J42" s="322">
        <f>H42/D42-1</f>
        <v/>
      </c>
      <c r="L42" s="76">
        <f>INDIRECT($B42&amp;"!"&amp;L$3&amp;"7")</f>
        <v/>
      </c>
      <c r="M42" s="77">
        <f>INDIRECT($B42&amp;"!"&amp;M$3&amp;"7")</f>
        <v/>
      </c>
      <c r="N42" s="78">
        <f>M42-L42</f>
        <v/>
      </c>
      <c r="O42" s="320" t="n"/>
      <c r="P42" s="4" t="inlineStr">
        <is>
          <t>BD-PSNR</t>
        </is>
      </c>
      <c r="Q42" s="320" t="n"/>
      <c r="R42" s="10" t="n"/>
      <c r="S42" s="10" t="n"/>
      <c r="T42" s="10" t="n"/>
      <c r="U42" s="10" t="n"/>
      <c r="V42" s="323" t="n"/>
      <c r="X42" s="7" t="n"/>
      <c r="Y42" s="7" t="n"/>
      <c r="Z42" s="66" t="n"/>
    </row>
    <row r="43">
      <c r="B43" s="95">
        <f>B42</f>
        <v/>
      </c>
      <c r="C43" s="102" t="inlineStr">
        <is>
          <t>r04</t>
        </is>
      </c>
      <c r="D43" s="321">
        <f>0.001*INDIRECT($B43&amp;"!E8")</f>
        <v/>
      </c>
      <c r="E43" s="320" t="n"/>
      <c r="F43" s="95">
        <f>F42</f>
        <v/>
      </c>
      <c r="G43" s="102" t="inlineStr">
        <is>
          <t>r04</t>
        </is>
      </c>
      <c r="H43" s="321">
        <f>0.001*INDIRECT($B43&amp;"!W8")</f>
        <v/>
      </c>
      <c r="I43" s="10" t="n"/>
      <c r="J43" s="322">
        <f>H43/D43-1</f>
        <v/>
      </c>
      <c r="L43" s="76">
        <f>INDIRECT($B43&amp;"!"&amp;L$3&amp;"8")</f>
        <v/>
      </c>
      <c r="M43" s="77">
        <f>INDIRECT($B43&amp;"!"&amp;M$3&amp;"8")</f>
        <v/>
      </c>
      <c r="N43" s="78">
        <f>M43-L43</f>
        <v/>
      </c>
      <c r="O43" s="320" t="n"/>
      <c r="P43" s="325">
        <f>bdrate(L40:L43,D40:D43,M40:M43,H40:H43)</f>
        <v/>
      </c>
      <c r="Q43" s="320" t="n"/>
      <c r="R43" s="10" t="n"/>
      <c r="S43" s="10" t="n"/>
      <c r="T43" s="10" t="n"/>
      <c r="U43" s="10" t="n"/>
      <c r="V43" s="323" t="n"/>
      <c r="X43" s="7" t="n"/>
      <c r="Y43" s="7" t="n"/>
      <c r="Z43" s="66" t="n"/>
    </row>
    <row r="44" ht="16.5" customHeight="1" s="279" thickBot="1">
      <c r="B44" s="72" t="n"/>
      <c r="C44" s="103" t="n"/>
      <c r="D44" s="326" t="n"/>
      <c r="E44" s="320" t="n"/>
      <c r="F44" s="72" t="n"/>
      <c r="G44" s="103" t="n"/>
      <c r="H44" s="321" t="n"/>
      <c r="I44" s="10" t="n"/>
      <c r="J44" s="322" t="n"/>
      <c r="L44" s="76" t="n"/>
      <c r="M44" s="77" t="n"/>
      <c r="N44" s="79" t="n"/>
      <c r="O44" s="320" t="n"/>
      <c r="P44" s="327" t="n"/>
      <c r="Q44" s="320" t="n"/>
      <c r="R44" s="10" t="n"/>
      <c r="S44" s="10" t="n"/>
      <c r="T44" s="10" t="n"/>
      <c r="U44" s="10" t="n"/>
      <c r="V44" s="323" t="n"/>
      <c r="X44" s="7" t="n"/>
      <c r="Y44" s="7" t="n"/>
      <c r="Z44" s="66" t="n"/>
      <c r="AB44" s="324" t="n"/>
    </row>
    <row r="45" ht="16.5" customHeight="1" s="279">
      <c r="B45" s="73" t="n"/>
      <c r="C45" s="92" t="n"/>
      <c r="D45" s="328" t="n"/>
      <c r="F45" s="73" t="n"/>
      <c r="G45" s="92" t="n"/>
      <c r="H45" s="328" t="n"/>
      <c r="J45" s="80">
        <f>MIN(D40:D44,H40:H44)</f>
        <v/>
      </c>
      <c r="L45" s="81" t="n"/>
      <c r="M45" s="82" t="n"/>
      <c r="N45" s="83" t="n"/>
      <c r="O45" s="320" t="n"/>
      <c r="P45" s="286" t="n"/>
      <c r="Q45" s="320" t="n"/>
      <c r="R45" s="10" t="n"/>
      <c r="S45" s="10" t="n"/>
      <c r="T45" s="10" t="n"/>
      <c r="U45" s="10" t="n"/>
      <c r="V45" s="67" t="n"/>
      <c r="X45" s="7" t="n"/>
      <c r="Y45" s="7" t="n"/>
      <c r="Z45" s="66" t="n"/>
    </row>
    <row r="46" ht="16.5" customHeight="1" s="279" thickBot="1">
      <c r="B46" s="72" t="n"/>
      <c r="C46" s="74" t="n"/>
      <c r="D46" s="326" t="n"/>
      <c r="E46" s="320" t="n"/>
      <c r="F46" s="72" t="n"/>
      <c r="G46" s="74" t="n"/>
      <c r="H46" s="326" t="n"/>
      <c r="I46" s="10" t="n"/>
      <c r="J46" s="84">
        <f>MAX(D40:D44,H40:H44)</f>
        <v/>
      </c>
      <c r="L46" s="85">
        <f>L45</f>
        <v/>
      </c>
      <c r="M46" s="86">
        <f>M45</f>
        <v/>
      </c>
      <c r="N46" s="79" t="n"/>
      <c r="O46" s="320" t="n"/>
      <c r="P46" s="6" t="n"/>
      <c r="Q46" s="320" t="n"/>
      <c r="R46" s="10" t="n"/>
      <c r="S46" s="10" t="n"/>
      <c r="T46" s="10" t="n"/>
      <c r="U46" s="10" t="n"/>
      <c r="V46" s="67" t="n"/>
      <c r="X46" s="68" t="n"/>
      <c r="Y46" s="68" t="n"/>
      <c r="Z46" s="66" t="n"/>
    </row>
    <row r="47" ht="16.5" customHeight="1" s="279" thickBot="1"/>
    <row r="48">
      <c r="B48" s="282" t="n"/>
      <c r="C48" s="283" t="n"/>
      <c r="D48" s="284" t="n"/>
      <c r="E48" s="3" t="n"/>
      <c r="F48" s="282">
        <f>B48</f>
        <v/>
      </c>
      <c r="G48" s="283" t="n"/>
      <c r="H48" s="284" t="n"/>
      <c r="I48" s="3" t="n"/>
      <c r="J48" s="286" t="n"/>
      <c r="L48" s="286">
        <f>F48</f>
        <v/>
      </c>
      <c r="M48" s="283" t="n"/>
      <c r="N48" s="284" t="n"/>
      <c r="O48" s="183" t="n"/>
      <c r="P48" s="286" t="n"/>
      <c r="U48" s="281" t="n"/>
      <c r="V48" s="281" t="n"/>
      <c r="X48" s="281" t="n"/>
    </row>
    <row r="49">
      <c r="B49" s="278" t="inlineStr">
        <is>
          <t>Test</t>
        </is>
      </c>
      <c r="D49" s="71" t="inlineStr">
        <is>
          <t>Bitrate [Mbps]</t>
        </is>
      </c>
      <c r="E49" s="320" t="n"/>
      <c r="F49" s="278" t="inlineStr">
        <is>
          <t>Test</t>
        </is>
      </c>
      <c r="H49" s="71" t="inlineStr">
        <is>
          <t>Bitrate [Mbps]</t>
        </is>
      </c>
      <c r="I49" s="10" t="n"/>
      <c r="J49" s="287" t="inlineStr">
        <is>
          <t>%</t>
        </is>
      </c>
      <c r="L49" s="287" t="inlineStr">
        <is>
          <t>YUV-IVSSIM</t>
        </is>
      </c>
      <c r="N49" s="288" t="n"/>
      <c r="O49" s="69" t="n"/>
      <c r="P49" s="4" t="n"/>
      <c r="R49" s="285" t="n"/>
      <c r="U49" s="285" t="n"/>
      <c r="V49" s="285" t="n"/>
      <c r="X49" s="285" t="n"/>
    </row>
    <row r="50">
      <c r="B50" s="180" t="inlineStr">
        <is>
          <t>Anchor</t>
        </is>
      </c>
      <c r="C50" s="102" t="inlineStr">
        <is>
          <t>Test point</t>
        </is>
      </c>
      <c r="D50" s="70" t="inlineStr">
        <is>
          <t>Total</t>
        </is>
      </c>
      <c r="E50" s="320" t="n"/>
      <c r="F50" s="180" t="inlineStr">
        <is>
          <t>Anchor</t>
        </is>
      </c>
      <c r="G50" s="102" t="inlineStr">
        <is>
          <t>Test point</t>
        </is>
      </c>
      <c r="H50" s="70" t="inlineStr">
        <is>
          <t>Total</t>
        </is>
      </c>
      <c r="I50" s="10" t="n"/>
      <c r="J50" s="75" t="n"/>
      <c r="L50" s="181">
        <f>CONCATENATE(B$2," ",L48)</f>
        <v/>
      </c>
      <c r="M50" s="199">
        <f>CONCATENATE(F$2," ",L48)</f>
        <v/>
      </c>
      <c r="N50" s="182" t="inlineStr">
        <is>
          <t>Delta</t>
        </is>
      </c>
      <c r="O50" s="3" t="n"/>
      <c r="P50" s="4" t="inlineStr">
        <is>
          <t>BD-rate</t>
        </is>
      </c>
      <c r="Q50" s="3" t="n"/>
      <c r="R50" s="3" t="n"/>
      <c r="S50" s="3" t="n"/>
      <c r="T50" s="3" t="n"/>
      <c r="U50" s="3" t="n"/>
      <c r="V50" s="3" t="n"/>
      <c r="X50" s="183" t="n"/>
      <c r="Y50" s="183" t="n"/>
      <c r="Z50" s="183" t="n"/>
    </row>
    <row r="51">
      <c r="B51" s="95">
        <f>B48</f>
        <v/>
      </c>
      <c r="C51" s="102" t="inlineStr">
        <is>
          <t>r01</t>
        </is>
      </c>
      <c r="D51" s="321">
        <f>0.001*INDIRECT($B51&amp;"!E5")</f>
        <v/>
      </c>
      <c r="E51" s="320" t="n"/>
      <c r="F51" s="95">
        <f>F48</f>
        <v/>
      </c>
      <c r="G51" s="102" t="inlineStr">
        <is>
          <t>r01</t>
        </is>
      </c>
      <c r="H51" s="321">
        <f>0.001*INDIRECT($B51&amp;"!W5")</f>
        <v/>
      </c>
      <c r="I51" s="10" t="n"/>
      <c r="J51" s="322">
        <f>H51/D51-1</f>
        <v/>
      </c>
      <c r="L51" s="76">
        <f>INDIRECT($B51&amp;"!"&amp;L$3&amp;"5")</f>
        <v/>
      </c>
      <c r="M51" s="77">
        <f>INDIRECT($B51&amp;"!"&amp;M$3&amp;"5")</f>
        <v/>
      </c>
      <c r="N51" s="78">
        <f>M51-L51</f>
        <v/>
      </c>
      <c r="O51" s="320" t="n"/>
      <c r="P51" s="322">
        <f>bdrate(D51:D54,L51:L54,H51:H54,M51:M54)</f>
        <v/>
      </c>
      <c r="Q51" s="320" t="n"/>
      <c r="R51" s="10" t="n"/>
      <c r="S51" s="10" t="n"/>
      <c r="T51" s="10" t="n"/>
      <c r="U51" s="10" t="n"/>
      <c r="V51" s="323" t="n"/>
      <c r="X51" s="7" t="n"/>
      <c r="Y51" s="7" t="n"/>
      <c r="Z51" s="66" t="n"/>
      <c r="AB51" s="324" t="n"/>
    </row>
    <row r="52">
      <c r="B52" s="95">
        <f>B51</f>
        <v/>
      </c>
      <c r="C52" s="102" t="inlineStr">
        <is>
          <t>r02</t>
        </is>
      </c>
      <c r="D52" s="321">
        <f>0.001*INDIRECT($B52&amp;"!E6")</f>
        <v/>
      </c>
      <c r="E52" s="320" t="n"/>
      <c r="F52" s="95">
        <f>F51</f>
        <v/>
      </c>
      <c r="G52" s="102" t="inlineStr">
        <is>
          <t>r02</t>
        </is>
      </c>
      <c r="H52" s="321">
        <f>0.001*INDIRECT($B52&amp;"!W6")</f>
        <v/>
      </c>
      <c r="I52" s="10" t="n"/>
      <c r="J52" s="322">
        <f>H52/D52-1</f>
        <v/>
      </c>
      <c r="L52" s="76">
        <f>INDIRECT($B52&amp;"!"&amp;L$3&amp;"6")</f>
        <v/>
      </c>
      <c r="M52" s="77">
        <f>INDIRECT($B52&amp;"!"&amp;M$3&amp;"6")</f>
        <v/>
      </c>
      <c r="N52" s="78">
        <f>M52-L52</f>
        <v/>
      </c>
      <c r="O52" s="320" t="n"/>
      <c r="P52" s="4" t="n"/>
      <c r="Q52" s="320" t="n"/>
      <c r="R52" s="10" t="n"/>
      <c r="S52" s="10" t="n"/>
      <c r="T52" s="10" t="n"/>
      <c r="U52" s="10" t="n"/>
      <c r="V52" s="323" t="n"/>
      <c r="X52" s="7" t="n"/>
      <c r="Y52" s="7" t="n"/>
      <c r="Z52" s="66" t="n"/>
    </row>
    <row r="53">
      <c r="B53" s="95">
        <f>B52</f>
        <v/>
      </c>
      <c r="C53" s="102" t="inlineStr">
        <is>
          <t>r03</t>
        </is>
      </c>
      <c r="D53" s="321">
        <f>0.001*INDIRECT($B53&amp;"!E7")</f>
        <v/>
      </c>
      <c r="E53" s="320" t="n"/>
      <c r="F53" s="95">
        <f>F52</f>
        <v/>
      </c>
      <c r="G53" s="102" t="inlineStr">
        <is>
          <t>r03</t>
        </is>
      </c>
      <c r="H53" s="321">
        <f>0.001*INDIRECT($B53&amp;"!W7")</f>
        <v/>
      </c>
      <c r="I53" s="10" t="n"/>
      <c r="J53" s="322">
        <f>H53/D53-1</f>
        <v/>
      </c>
      <c r="L53" s="76">
        <f>INDIRECT($B53&amp;"!"&amp;L$3&amp;"7")</f>
        <v/>
      </c>
      <c r="M53" s="77">
        <f>INDIRECT($B53&amp;"!"&amp;M$3&amp;"7")</f>
        <v/>
      </c>
      <c r="N53" s="78">
        <f>M53-L53</f>
        <v/>
      </c>
      <c r="O53" s="320" t="n"/>
      <c r="P53" s="4" t="inlineStr">
        <is>
          <t>BD-PSNR</t>
        </is>
      </c>
      <c r="Q53" s="320" t="n"/>
      <c r="R53" s="10" t="n"/>
      <c r="S53" s="10" t="n"/>
      <c r="T53" s="10" t="n"/>
      <c r="U53" s="10" t="n"/>
      <c r="V53" s="323" t="n"/>
      <c r="X53" s="7" t="n"/>
      <c r="Y53" s="7" t="n"/>
      <c r="Z53" s="66" t="n"/>
    </row>
    <row r="54">
      <c r="B54" s="95">
        <f>B53</f>
        <v/>
      </c>
      <c r="C54" s="102" t="inlineStr">
        <is>
          <t>r04</t>
        </is>
      </c>
      <c r="D54" s="321">
        <f>0.001*INDIRECT($B54&amp;"!E8")</f>
        <v/>
      </c>
      <c r="E54" s="320" t="n"/>
      <c r="F54" s="95">
        <f>F53</f>
        <v/>
      </c>
      <c r="G54" s="102" t="inlineStr">
        <is>
          <t>r04</t>
        </is>
      </c>
      <c r="H54" s="321">
        <f>0.001*INDIRECT($B54&amp;"!W8")</f>
        <v/>
      </c>
      <c r="I54" s="10" t="n"/>
      <c r="J54" s="322">
        <f>H54/D54-1</f>
        <v/>
      </c>
      <c r="L54" s="76">
        <f>INDIRECT($B54&amp;"!"&amp;L$3&amp;"8")</f>
        <v/>
      </c>
      <c r="M54" s="77">
        <f>INDIRECT($B54&amp;"!"&amp;M$3&amp;"8")</f>
        <v/>
      </c>
      <c r="N54" s="78">
        <f>M54-L54</f>
        <v/>
      </c>
      <c r="O54" s="320" t="n"/>
      <c r="P54" s="325">
        <f>bdrate(L51:L54,D51:D54,M51:M54,H51:H54)</f>
        <v/>
      </c>
      <c r="Q54" s="320" t="n"/>
      <c r="R54" s="10" t="n"/>
      <c r="S54" s="10" t="n"/>
      <c r="T54" s="10" t="n"/>
      <c r="U54" s="10" t="n"/>
      <c r="V54" s="323" t="n"/>
      <c r="X54" s="7" t="n"/>
      <c r="Y54" s="7" t="n"/>
      <c r="Z54" s="66" t="n"/>
    </row>
    <row r="55" ht="16.5" customHeight="1" s="279" thickBot="1">
      <c r="B55" s="72" t="n"/>
      <c r="C55" s="103" t="n"/>
      <c r="D55" s="326" t="n"/>
      <c r="E55" s="320" t="n"/>
      <c r="F55" s="72" t="n"/>
      <c r="G55" s="103" t="n"/>
      <c r="H55" s="321" t="n"/>
      <c r="I55" s="10" t="n"/>
      <c r="J55" s="322" t="n"/>
      <c r="L55" s="76" t="n"/>
      <c r="M55" s="77" t="n"/>
      <c r="N55" s="79" t="n"/>
      <c r="O55" s="320" t="n"/>
      <c r="P55" s="327" t="n"/>
      <c r="Q55" s="320" t="n"/>
      <c r="R55" s="10" t="n"/>
      <c r="S55" s="10" t="n"/>
      <c r="T55" s="10" t="n"/>
      <c r="U55" s="10" t="n"/>
      <c r="V55" s="323" t="n"/>
      <c r="X55" s="7" t="n"/>
      <c r="Y55" s="7" t="n"/>
      <c r="Z55" s="66" t="n"/>
      <c r="AB55" s="324" t="n"/>
    </row>
    <row r="56" ht="16.5" customHeight="1" s="279">
      <c r="B56" s="91" t="n"/>
      <c r="C56" s="92" t="n"/>
      <c r="D56" s="328" t="n"/>
      <c r="F56" s="91" t="n"/>
      <c r="G56" s="92" t="n"/>
      <c r="H56" s="328" t="n"/>
      <c r="J56" s="80">
        <f>MIN(D51:D55,H51:H55)</f>
        <v/>
      </c>
      <c r="L56" s="81" t="n"/>
      <c r="M56" s="82" t="n"/>
      <c r="N56" s="83" t="n"/>
      <c r="O56" s="320" t="n"/>
      <c r="P56" s="286" t="n"/>
      <c r="Q56" s="320" t="n"/>
      <c r="R56" s="10" t="n"/>
      <c r="S56" s="10" t="n"/>
      <c r="T56" s="10" t="n"/>
      <c r="U56" s="10" t="n"/>
      <c r="V56" s="67" t="n"/>
      <c r="X56" s="7" t="n"/>
      <c r="Y56" s="7" t="n"/>
      <c r="Z56" s="66" t="n"/>
    </row>
    <row r="57" ht="16.5" customHeight="1" s="279" thickBot="1">
      <c r="B57" s="72" t="n"/>
      <c r="C57" s="74" t="n"/>
      <c r="D57" s="326" t="n"/>
      <c r="E57" s="320" t="n"/>
      <c r="F57" s="72" t="n"/>
      <c r="G57" s="74" t="n"/>
      <c r="H57" s="326" t="n"/>
      <c r="I57" s="10" t="n"/>
      <c r="J57" s="84">
        <f>MAX(D51:D55,H51:H55)</f>
        <v/>
      </c>
      <c r="L57" s="85">
        <f>L56</f>
        <v/>
      </c>
      <c r="M57" s="86">
        <f>M56</f>
        <v/>
      </c>
      <c r="N57" s="79" t="n"/>
      <c r="O57" s="320" t="n"/>
      <c r="P57" s="6" t="n"/>
      <c r="Q57" s="320" t="n"/>
      <c r="R57" s="10" t="n"/>
      <c r="S57" s="10" t="n"/>
      <c r="T57" s="10" t="n"/>
      <c r="U57" s="10" t="n"/>
      <c r="V57" s="67" t="n"/>
      <c r="X57" s="68" t="n"/>
      <c r="Y57" s="68" t="n"/>
      <c r="Z57" s="66" t="n"/>
    </row>
    <row r="58" ht="16.5" customHeight="1" s="279" thickBot="1"/>
    <row r="59">
      <c r="B59" s="282" t="n"/>
      <c r="C59" s="283" t="n"/>
      <c r="D59" s="284" t="n"/>
      <c r="E59" s="3" t="n"/>
      <c r="F59" s="282">
        <f>B59</f>
        <v/>
      </c>
      <c r="G59" s="283" t="n"/>
      <c r="H59" s="284" t="n"/>
      <c r="I59" s="3" t="n"/>
      <c r="J59" s="286" t="n"/>
      <c r="L59" s="286">
        <f>F59</f>
        <v/>
      </c>
      <c r="M59" s="283" t="n"/>
      <c r="N59" s="284" t="n"/>
      <c r="O59" s="183" t="n"/>
      <c r="P59" s="286" t="n"/>
      <c r="U59" s="281" t="n"/>
      <c r="V59" s="281" t="n"/>
      <c r="X59" s="281" t="n"/>
    </row>
    <row r="60">
      <c r="B60" s="278" t="inlineStr">
        <is>
          <t>Test</t>
        </is>
      </c>
      <c r="D60" s="71" t="inlineStr">
        <is>
          <t>Bitrate [Mbps]</t>
        </is>
      </c>
      <c r="E60" s="320" t="n"/>
      <c r="F60" s="278" t="inlineStr">
        <is>
          <t>Test</t>
        </is>
      </c>
      <c r="H60" s="71" t="inlineStr">
        <is>
          <t>Bitrate [Mbps]</t>
        </is>
      </c>
      <c r="I60" s="10" t="n"/>
      <c r="J60" s="287" t="inlineStr">
        <is>
          <t>%</t>
        </is>
      </c>
      <c r="L60" s="287" t="inlineStr">
        <is>
          <t>YUV-IVSSIM</t>
        </is>
      </c>
      <c r="N60" s="288" t="n"/>
      <c r="O60" s="69" t="n"/>
      <c r="P60" s="4" t="n"/>
      <c r="R60" s="285" t="n"/>
      <c r="U60" s="285" t="n"/>
      <c r="V60" s="285" t="n"/>
      <c r="X60" s="285" t="n"/>
    </row>
    <row r="61">
      <c r="B61" s="180" t="inlineStr">
        <is>
          <t>Anchor</t>
        </is>
      </c>
      <c r="C61" s="102" t="inlineStr">
        <is>
          <t>Test point</t>
        </is>
      </c>
      <c r="D61" s="70" t="inlineStr">
        <is>
          <t>Total</t>
        </is>
      </c>
      <c r="E61" s="320" t="n"/>
      <c r="F61" s="180" t="inlineStr">
        <is>
          <t>Anchor</t>
        </is>
      </c>
      <c r="G61" s="102" t="inlineStr">
        <is>
          <t>Test point</t>
        </is>
      </c>
      <c r="H61" s="70" t="inlineStr">
        <is>
          <t>Total</t>
        </is>
      </c>
      <c r="I61" s="10" t="n"/>
      <c r="J61" s="75" t="n"/>
      <c r="L61" s="181">
        <f>CONCATENATE(B$2," ",L59)</f>
        <v/>
      </c>
      <c r="M61" s="199">
        <f>CONCATENATE(F$2," ",L59)</f>
        <v/>
      </c>
      <c r="N61" s="182" t="inlineStr">
        <is>
          <t>Delta</t>
        </is>
      </c>
      <c r="O61" s="3" t="n"/>
      <c r="P61" s="4" t="inlineStr">
        <is>
          <t>BD-rate</t>
        </is>
      </c>
      <c r="Q61" s="3" t="n"/>
      <c r="R61" s="3" t="n"/>
      <c r="S61" s="3" t="n"/>
      <c r="T61" s="3" t="n"/>
      <c r="U61" s="3" t="n"/>
      <c r="V61" s="3" t="n"/>
      <c r="X61" s="183" t="n"/>
      <c r="Y61" s="183" t="n"/>
      <c r="Z61" s="183" t="n"/>
    </row>
    <row r="62">
      <c r="B62" s="95">
        <f>B59</f>
        <v/>
      </c>
      <c r="C62" s="102" t="inlineStr">
        <is>
          <t>r01</t>
        </is>
      </c>
      <c r="D62" s="321">
        <f>0.001*INDIRECT($B62&amp;"!E5")</f>
        <v/>
      </c>
      <c r="E62" s="320" t="n"/>
      <c r="F62" s="95">
        <f>F59</f>
        <v/>
      </c>
      <c r="G62" s="102" t="inlineStr">
        <is>
          <t>r01</t>
        </is>
      </c>
      <c r="H62" s="321">
        <f>0.001*INDIRECT($B62&amp;"!W5")</f>
        <v/>
      </c>
      <c r="I62" s="10" t="n"/>
      <c r="J62" s="322">
        <f>H62/D62-1</f>
        <v/>
      </c>
      <c r="L62" s="76">
        <f>INDIRECT($B62&amp;"!"&amp;L$3&amp;"5")</f>
        <v/>
      </c>
      <c r="M62" s="77">
        <f>INDIRECT($B62&amp;"!"&amp;M$3&amp;"5")</f>
        <v/>
      </c>
      <c r="N62" s="78">
        <f>M62-L62</f>
        <v/>
      </c>
      <c r="O62" s="320" t="n"/>
      <c r="P62" s="322">
        <f>bdrate(D62:D65,L62:L65,H62:H65,M62:M65)</f>
        <v/>
      </c>
      <c r="Q62" s="320" t="n"/>
      <c r="R62" s="10" t="n"/>
      <c r="S62" s="10" t="n"/>
      <c r="T62" s="10" t="n"/>
      <c r="U62" s="10" t="n"/>
      <c r="V62" s="323" t="n"/>
      <c r="X62" s="7" t="n"/>
      <c r="Y62" s="7" t="n"/>
      <c r="Z62" s="66" t="n"/>
      <c r="AB62" s="324" t="n"/>
    </row>
    <row r="63">
      <c r="B63" s="95">
        <f>B62</f>
        <v/>
      </c>
      <c r="C63" s="102" t="inlineStr">
        <is>
          <t>r02</t>
        </is>
      </c>
      <c r="D63" s="321">
        <f>0.001*INDIRECT($B63&amp;"!E6")</f>
        <v/>
      </c>
      <c r="E63" s="320" t="n"/>
      <c r="F63" s="95">
        <f>F62</f>
        <v/>
      </c>
      <c r="G63" s="102" t="inlineStr">
        <is>
          <t>r02</t>
        </is>
      </c>
      <c r="H63" s="321">
        <f>0.001*INDIRECT($B63&amp;"!W6")</f>
        <v/>
      </c>
      <c r="I63" s="10" t="n"/>
      <c r="J63" s="322">
        <f>H63/D63-1</f>
        <v/>
      </c>
      <c r="L63" s="76">
        <f>INDIRECT($B63&amp;"!"&amp;L$3&amp;"6")</f>
        <v/>
      </c>
      <c r="M63" s="77">
        <f>INDIRECT($B63&amp;"!"&amp;M$3&amp;"6")</f>
        <v/>
      </c>
      <c r="N63" s="78">
        <f>M63-L63</f>
        <v/>
      </c>
      <c r="O63" s="320" t="n"/>
      <c r="P63" s="4" t="n"/>
      <c r="Q63" s="320" t="n"/>
      <c r="R63" s="10" t="n"/>
      <c r="S63" s="10" t="n"/>
      <c r="T63" s="10" t="n"/>
      <c r="U63" s="10" t="n"/>
      <c r="V63" s="323" t="n"/>
      <c r="X63" s="7" t="n"/>
      <c r="Y63" s="7" t="n"/>
      <c r="Z63" s="66" t="n"/>
    </row>
    <row r="64">
      <c r="B64" s="95">
        <f>B63</f>
        <v/>
      </c>
      <c r="C64" s="102" t="inlineStr">
        <is>
          <t>r03</t>
        </is>
      </c>
      <c r="D64" s="321">
        <f>0.001*INDIRECT($B64&amp;"!E7")</f>
        <v/>
      </c>
      <c r="E64" s="320" t="n"/>
      <c r="F64" s="95">
        <f>F63</f>
        <v/>
      </c>
      <c r="G64" s="102" t="inlineStr">
        <is>
          <t>r03</t>
        </is>
      </c>
      <c r="H64" s="321">
        <f>0.001*INDIRECT($B64&amp;"!W7")</f>
        <v/>
      </c>
      <c r="I64" s="10" t="n"/>
      <c r="J64" s="322">
        <f>H64/D64-1</f>
        <v/>
      </c>
      <c r="L64" s="76">
        <f>INDIRECT($B64&amp;"!"&amp;L$3&amp;"7")</f>
        <v/>
      </c>
      <c r="M64" s="77">
        <f>INDIRECT($B64&amp;"!"&amp;M$3&amp;"7")</f>
        <v/>
      </c>
      <c r="N64" s="78">
        <f>M64-L64</f>
        <v/>
      </c>
      <c r="O64" s="320" t="n"/>
      <c r="P64" s="4" t="inlineStr">
        <is>
          <t>BD-PSNR</t>
        </is>
      </c>
      <c r="Q64" s="320" t="n"/>
      <c r="R64" s="10" t="n"/>
      <c r="S64" s="10" t="n"/>
      <c r="T64" s="10" t="n"/>
      <c r="U64" s="10" t="n"/>
      <c r="V64" s="323" t="n"/>
      <c r="X64" s="7" t="n"/>
      <c r="Y64" s="7" t="n"/>
      <c r="Z64" s="66" t="n"/>
    </row>
    <row r="65">
      <c r="B65" s="95">
        <f>B64</f>
        <v/>
      </c>
      <c r="C65" s="102" t="inlineStr">
        <is>
          <t>r04</t>
        </is>
      </c>
      <c r="D65" s="321">
        <f>0.001*INDIRECT($B65&amp;"!E8")</f>
        <v/>
      </c>
      <c r="E65" s="320" t="n"/>
      <c r="F65" s="95">
        <f>F64</f>
        <v/>
      </c>
      <c r="G65" s="102" t="inlineStr">
        <is>
          <t>r04</t>
        </is>
      </c>
      <c r="H65" s="321">
        <f>0.001*INDIRECT($B65&amp;"!W8")</f>
        <v/>
      </c>
      <c r="I65" s="10" t="n"/>
      <c r="J65" s="322">
        <f>H65/D65-1</f>
        <v/>
      </c>
      <c r="L65" s="76">
        <f>INDIRECT($B65&amp;"!"&amp;L$3&amp;"8")</f>
        <v/>
      </c>
      <c r="M65" s="77">
        <f>INDIRECT($B65&amp;"!"&amp;M$3&amp;"8")</f>
        <v/>
      </c>
      <c r="N65" s="78">
        <f>M65-L65</f>
        <v/>
      </c>
      <c r="O65" s="320" t="n"/>
      <c r="P65" s="325">
        <f>bdrate(L62:L65,D62:D65,M62:M65,H62:H65)</f>
        <v/>
      </c>
      <c r="Q65" s="320" t="n"/>
      <c r="R65" s="10" t="n"/>
      <c r="S65" s="10" t="n"/>
      <c r="T65" s="10" t="n"/>
      <c r="U65" s="10" t="n"/>
      <c r="V65" s="323" t="n"/>
      <c r="X65" s="7" t="n"/>
      <c r="Y65" s="7" t="n"/>
      <c r="Z65" s="66" t="n"/>
    </row>
    <row r="66" ht="16.5" customHeight="1" s="279" thickBot="1">
      <c r="B66" s="72" t="n"/>
      <c r="C66" s="103" t="n"/>
      <c r="D66" s="326" t="n"/>
      <c r="E66" s="320" t="n"/>
      <c r="F66" s="72" t="n"/>
      <c r="G66" s="103" t="n"/>
      <c r="H66" s="321" t="n"/>
      <c r="I66" s="10" t="n"/>
      <c r="J66" s="322" t="n"/>
      <c r="L66" s="76" t="n"/>
      <c r="M66" s="77" t="n"/>
      <c r="N66" s="79" t="n"/>
      <c r="O66" s="320" t="n"/>
      <c r="P66" s="327" t="n"/>
      <c r="Q66" s="320" t="n"/>
      <c r="R66" s="10" t="n"/>
      <c r="S66" s="10" t="n"/>
      <c r="T66" s="10" t="n"/>
      <c r="U66" s="10" t="n"/>
      <c r="V66" s="323" t="n"/>
      <c r="X66" s="7" t="n"/>
      <c r="Y66" s="7" t="n"/>
      <c r="Z66" s="66" t="n"/>
      <c r="AB66" s="324" t="n"/>
    </row>
    <row r="67" ht="16.5" customHeight="1" s="279">
      <c r="B67" s="91" t="n"/>
      <c r="C67" s="92" t="n"/>
      <c r="D67" s="328" t="n"/>
      <c r="F67" s="91" t="n"/>
      <c r="G67" s="92" t="n"/>
      <c r="H67" s="328" t="n"/>
      <c r="J67" s="80">
        <f>MIN(D62:D66,H62:H66)</f>
        <v/>
      </c>
      <c r="L67" s="81" t="n"/>
      <c r="M67" s="82" t="n"/>
      <c r="N67" s="83" t="n"/>
      <c r="O67" s="320" t="n"/>
      <c r="P67" s="286" t="n"/>
      <c r="Q67" s="320" t="n"/>
      <c r="R67" s="10" t="n"/>
      <c r="S67" s="10" t="n"/>
      <c r="T67" s="10" t="n"/>
      <c r="U67" s="10" t="n"/>
      <c r="V67" s="67" t="n"/>
      <c r="X67" s="7" t="n"/>
      <c r="Y67" s="7" t="n"/>
      <c r="Z67" s="66" t="n"/>
    </row>
    <row r="68" ht="16.5" customHeight="1" s="279" thickBot="1">
      <c r="B68" s="72" t="n"/>
      <c r="C68" s="74" t="n"/>
      <c r="D68" s="326" t="n"/>
      <c r="E68" s="320" t="n"/>
      <c r="F68" s="72" t="n"/>
      <c r="G68" s="74" t="n"/>
      <c r="H68" s="326" t="n"/>
      <c r="I68" s="10" t="n"/>
      <c r="J68" s="84">
        <f>MAX(D62:D66,H62:H66)</f>
        <v/>
      </c>
      <c r="L68" s="85">
        <f>L67</f>
        <v/>
      </c>
      <c r="M68" s="86">
        <f>M67</f>
        <v/>
      </c>
      <c r="N68" s="79" t="n"/>
      <c r="O68" s="320" t="n"/>
      <c r="P68" s="6" t="n"/>
      <c r="Q68" s="320" t="n"/>
      <c r="R68" s="10" t="n"/>
      <c r="S68" s="10" t="n"/>
      <c r="T68" s="10" t="n"/>
      <c r="U68" s="10" t="n"/>
      <c r="V68" s="67" t="n"/>
      <c r="X68" s="68" t="n"/>
      <c r="Y68" s="68" t="n"/>
      <c r="Z68" s="66" t="n"/>
    </row>
    <row r="69" ht="16.5" customHeight="1" s="279" thickBot="1"/>
    <row r="70">
      <c r="B70" s="282" t="n"/>
      <c r="C70" s="283" t="n"/>
      <c r="D70" s="284" t="n"/>
      <c r="E70" s="3" t="n"/>
      <c r="F70" s="282">
        <f>B70</f>
        <v/>
      </c>
      <c r="G70" s="283" t="n"/>
      <c r="H70" s="284" t="n"/>
      <c r="I70" s="3" t="n"/>
      <c r="J70" s="286" t="n"/>
      <c r="L70" s="286">
        <f>F70</f>
        <v/>
      </c>
      <c r="M70" s="283" t="n"/>
      <c r="N70" s="284" t="n"/>
      <c r="O70" s="183" t="n"/>
      <c r="P70" s="286" t="n"/>
      <c r="U70" s="281" t="n"/>
      <c r="V70" s="281" t="n"/>
      <c r="X70" s="281" t="n"/>
    </row>
    <row r="71">
      <c r="B71" s="278" t="inlineStr">
        <is>
          <t>Test</t>
        </is>
      </c>
      <c r="D71" s="71" t="inlineStr">
        <is>
          <t>Bitrate [Mbps]</t>
        </is>
      </c>
      <c r="E71" s="320" t="n"/>
      <c r="F71" s="278" t="inlineStr">
        <is>
          <t>Test</t>
        </is>
      </c>
      <c r="H71" s="71" t="inlineStr">
        <is>
          <t>Bitrate [Mbps]</t>
        </is>
      </c>
      <c r="I71" s="10" t="n"/>
      <c r="J71" s="287" t="inlineStr">
        <is>
          <t>%</t>
        </is>
      </c>
      <c r="L71" s="287" t="inlineStr">
        <is>
          <t>YUV-IVSSIM</t>
        </is>
      </c>
      <c r="N71" s="288" t="n"/>
      <c r="O71" s="69" t="n"/>
      <c r="P71" s="4" t="n"/>
      <c r="R71" s="285" t="n"/>
      <c r="U71" s="285" t="n"/>
      <c r="V71" s="285" t="n"/>
      <c r="X71" s="285" t="n"/>
    </row>
    <row r="72">
      <c r="B72" s="180" t="inlineStr">
        <is>
          <t>Anchor</t>
        </is>
      </c>
      <c r="C72" s="102" t="inlineStr">
        <is>
          <t>Test point</t>
        </is>
      </c>
      <c r="D72" s="70" t="inlineStr">
        <is>
          <t>Total</t>
        </is>
      </c>
      <c r="E72" s="320" t="n"/>
      <c r="F72" s="180" t="inlineStr">
        <is>
          <t>Anchor</t>
        </is>
      </c>
      <c r="G72" s="102" t="inlineStr">
        <is>
          <t>Test point</t>
        </is>
      </c>
      <c r="H72" s="70" t="inlineStr">
        <is>
          <t>Total</t>
        </is>
      </c>
      <c r="I72" s="10" t="n"/>
      <c r="J72" s="75" t="n"/>
      <c r="L72" s="181">
        <f>CONCATENATE(B$2," ",L70)</f>
        <v/>
      </c>
      <c r="M72" s="199">
        <f>CONCATENATE(F$2," ",L70)</f>
        <v/>
      </c>
      <c r="N72" s="182" t="inlineStr">
        <is>
          <t>Delta</t>
        </is>
      </c>
      <c r="O72" s="3" t="n"/>
      <c r="P72" s="4" t="inlineStr">
        <is>
          <t>BD-rate</t>
        </is>
      </c>
      <c r="Q72" s="3" t="n"/>
      <c r="R72" s="3" t="n"/>
      <c r="S72" s="3" t="n"/>
      <c r="T72" s="3" t="n"/>
      <c r="U72" s="3" t="n"/>
      <c r="V72" s="3" t="n"/>
      <c r="X72" s="183" t="n"/>
      <c r="Y72" s="183" t="n"/>
      <c r="Z72" s="183" t="n"/>
    </row>
    <row r="73">
      <c r="B73" s="95">
        <f>B70</f>
        <v/>
      </c>
      <c r="C73" s="102" t="inlineStr">
        <is>
          <t>r01</t>
        </is>
      </c>
      <c r="D73" s="321">
        <f>0.001*INDIRECT($B73&amp;"!E5")</f>
        <v/>
      </c>
      <c r="E73" s="320" t="n"/>
      <c r="F73" s="95">
        <f>F70</f>
        <v/>
      </c>
      <c r="G73" s="102" t="inlineStr">
        <is>
          <t>r01</t>
        </is>
      </c>
      <c r="H73" s="321">
        <f>0.001*INDIRECT($B73&amp;"!W5")</f>
        <v/>
      </c>
      <c r="I73" s="10" t="n"/>
      <c r="J73" s="322">
        <f>H73/D73-1</f>
        <v/>
      </c>
      <c r="L73" s="76">
        <f>INDIRECT($B73&amp;"!"&amp;L$3&amp;"5")</f>
        <v/>
      </c>
      <c r="M73" s="77">
        <f>INDIRECT($B73&amp;"!"&amp;M$3&amp;"5")</f>
        <v/>
      </c>
      <c r="N73" s="78">
        <f>M73-L73</f>
        <v/>
      </c>
      <c r="O73" s="320" t="n"/>
      <c r="P73" s="322">
        <f>bdrate(D73:D76,L73:L76,H73:H76,M73:M76)</f>
        <v/>
      </c>
      <c r="Q73" s="320" t="n"/>
      <c r="R73" s="10" t="n"/>
      <c r="S73" s="10" t="n"/>
      <c r="T73" s="10" t="n"/>
      <c r="U73" s="10" t="n"/>
      <c r="V73" s="323" t="n"/>
      <c r="X73" s="7" t="n"/>
      <c r="Y73" s="7" t="n"/>
      <c r="Z73" s="66" t="n"/>
      <c r="AB73" s="324" t="n"/>
    </row>
    <row r="74">
      <c r="B74" s="95">
        <f>B73</f>
        <v/>
      </c>
      <c r="C74" s="102" t="inlineStr">
        <is>
          <t>r02</t>
        </is>
      </c>
      <c r="D74" s="321">
        <f>0.001*INDIRECT($B74&amp;"!E6")</f>
        <v/>
      </c>
      <c r="E74" s="320" t="n"/>
      <c r="F74" s="95">
        <f>F73</f>
        <v/>
      </c>
      <c r="G74" s="102" t="inlineStr">
        <is>
          <t>r02</t>
        </is>
      </c>
      <c r="H74" s="321">
        <f>0.001*INDIRECT($B74&amp;"!W6")</f>
        <v/>
      </c>
      <c r="I74" s="10" t="n"/>
      <c r="J74" s="322">
        <f>H74/D74-1</f>
        <v/>
      </c>
      <c r="L74" s="76">
        <f>INDIRECT($B74&amp;"!"&amp;L$3&amp;"6")</f>
        <v/>
      </c>
      <c r="M74" s="77">
        <f>INDIRECT($B74&amp;"!"&amp;M$3&amp;"6")</f>
        <v/>
      </c>
      <c r="N74" s="78">
        <f>M74-L74</f>
        <v/>
      </c>
      <c r="O74" s="320" t="n"/>
      <c r="P74" s="4" t="n"/>
      <c r="Q74" s="320" t="n"/>
      <c r="R74" s="10" t="n"/>
      <c r="S74" s="10" t="n"/>
      <c r="T74" s="10" t="n"/>
      <c r="U74" s="10" t="n"/>
      <c r="V74" s="323" t="n"/>
      <c r="X74" s="7" t="n"/>
      <c r="Y74" s="7" t="n"/>
      <c r="Z74" s="66" t="n"/>
    </row>
    <row r="75">
      <c r="B75" s="95">
        <f>B74</f>
        <v/>
      </c>
      <c r="C75" s="102" t="inlineStr">
        <is>
          <t>r03</t>
        </is>
      </c>
      <c r="D75" s="321">
        <f>0.001*INDIRECT($B75&amp;"!E7")</f>
        <v/>
      </c>
      <c r="E75" s="320" t="n"/>
      <c r="F75" s="95">
        <f>F74</f>
        <v/>
      </c>
      <c r="G75" s="102" t="inlineStr">
        <is>
          <t>r03</t>
        </is>
      </c>
      <c r="H75" s="321">
        <f>0.001*INDIRECT($B75&amp;"!W7")</f>
        <v/>
      </c>
      <c r="I75" s="10" t="n"/>
      <c r="J75" s="322">
        <f>H75/D75-1</f>
        <v/>
      </c>
      <c r="L75" s="76">
        <f>INDIRECT($B75&amp;"!"&amp;L$3&amp;"7")</f>
        <v/>
      </c>
      <c r="M75" s="77">
        <f>INDIRECT($B75&amp;"!"&amp;M$3&amp;"7")</f>
        <v/>
      </c>
      <c r="N75" s="78">
        <f>M75-L75</f>
        <v/>
      </c>
      <c r="O75" s="320" t="n"/>
      <c r="P75" s="4" t="inlineStr">
        <is>
          <t>BD-PSNR</t>
        </is>
      </c>
      <c r="Q75" s="320" t="n"/>
      <c r="R75" s="10" t="n"/>
      <c r="S75" s="10" t="n"/>
      <c r="T75" s="10" t="n"/>
      <c r="U75" s="10" t="n"/>
      <c r="V75" s="323" t="n"/>
      <c r="X75" s="7" t="n"/>
      <c r="Y75" s="7" t="n"/>
      <c r="Z75" s="66" t="n"/>
    </row>
    <row r="76">
      <c r="B76" s="95">
        <f>B75</f>
        <v/>
      </c>
      <c r="C76" s="102" t="inlineStr">
        <is>
          <t>r04</t>
        </is>
      </c>
      <c r="D76" s="321">
        <f>0.001*INDIRECT($B76&amp;"!E8")</f>
        <v/>
      </c>
      <c r="E76" s="320" t="n"/>
      <c r="F76" s="95">
        <f>F75</f>
        <v/>
      </c>
      <c r="G76" s="102" t="inlineStr">
        <is>
          <t>r04</t>
        </is>
      </c>
      <c r="H76" s="321">
        <f>0.001*INDIRECT($B76&amp;"!W8")</f>
        <v/>
      </c>
      <c r="I76" s="10" t="n"/>
      <c r="J76" s="322">
        <f>H76/D76-1</f>
        <v/>
      </c>
      <c r="L76" s="76">
        <f>INDIRECT($B76&amp;"!"&amp;L$3&amp;"8")</f>
        <v/>
      </c>
      <c r="M76" s="77">
        <f>INDIRECT($B76&amp;"!"&amp;M$3&amp;"8")</f>
        <v/>
      </c>
      <c r="N76" s="78">
        <f>M76-L76</f>
        <v/>
      </c>
      <c r="O76" s="320" t="n"/>
      <c r="P76" s="325">
        <f>bdrate(L73:L76,D73:D76,M73:M76,H73:H76)</f>
        <v/>
      </c>
      <c r="Q76" s="320" t="n"/>
      <c r="R76" s="10" t="n"/>
      <c r="S76" s="10" t="n"/>
      <c r="T76" s="10" t="n"/>
      <c r="U76" s="10" t="n"/>
      <c r="V76" s="323" t="n"/>
      <c r="X76" s="7" t="n"/>
      <c r="Y76" s="7" t="n"/>
      <c r="Z76" s="66" t="n"/>
    </row>
    <row r="77" ht="16.5" customHeight="1" s="279" thickBot="1">
      <c r="B77" s="72" t="n"/>
      <c r="C77" s="103" t="n"/>
      <c r="D77" s="326" t="n"/>
      <c r="E77" s="320" t="n"/>
      <c r="F77" s="72" t="n"/>
      <c r="G77" s="103" t="n"/>
      <c r="H77" s="321" t="n"/>
      <c r="I77" s="10" t="n"/>
      <c r="J77" s="322" t="n"/>
      <c r="L77" s="76" t="n"/>
      <c r="M77" s="77" t="n"/>
      <c r="N77" s="79" t="n"/>
      <c r="O77" s="320" t="n"/>
      <c r="P77" s="327" t="n"/>
      <c r="Q77" s="320" t="n"/>
      <c r="R77" s="10" t="n"/>
      <c r="S77" s="10" t="n"/>
      <c r="T77" s="10" t="n"/>
      <c r="U77" s="10" t="n"/>
      <c r="V77" s="323" t="n"/>
      <c r="X77" s="7" t="n"/>
      <c r="Y77" s="7" t="n"/>
      <c r="Z77" s="66" t="n"/>
      <c r="AB77" s="324" t="n"/>
    </row>
    <row r="78" ht="16.5" customHeight="1" s="279">
      <c r="B78" s="91" t="n"/>
      <c r="C78" s="92" t="n"/>
      <c r="D78" s="328" t="n"/>
      <c r="F78" s="91" t="n"/>
      <c r="G78" s="92" t="n"/>
      <c r="H78" s="328" t="n"/>
      <c r="J78" s="80">
        <f>MIN(D73:D77,H73:H77)</f>
        <v/>
      </c>
      <c r="L78" s="81" t="n"/>
      <c r="M78" s="82" t="n"/>
      <c r="N78" s="83" t="n"/>
      <c r="O78" s="320" t="n"/>
      <c r="P78" s="286" t="n"/>
      <c r="Q78" s="320" t="n"/>
      <c r="R78" s="10" t="n"/>
      <c r="S78" s="10" t="n"/>
      <c r="T78" s="10" t="n"/>
      <c r="U78" s="10" t="n"/>
      <c r="V78" s="67" t="n"/>
      <c r="X78" s="7" t="n"/>
      <c r="Y78" s="7" t="n"/>
      <c r="Z78" s="66" t="n"/>
    </row>
    <row r="79" ht="16.5" customHeight="1" s="279" thickBot="1">
      <c r="B79" s="72" t="n"/>
      <c r="C79" s="74" t="n"/>
      <c r="D79" s="326" t="n"/>
      <c r="E79" s="320" t="n"/>
      <c r="F79" s="72" t="n"/>
      <c r="G79" s="74" t="n"/>
      <c r="H79" s="326" t="n"/>
      <c r="I79" s="10" t="n"/>
      <c r="J79" s="84">
        <f>MAX(D73:D77,H73:H77)</f>
        <v/>
      </c>
      <c r="L79" s="85">
        <f>L78</f>
        <v/>
      </c>
      <c r="M79" s="86">
        <f>M78</f>
        <v/>
      </c>
      <c r="N79" s="79" t="n"/>
      <c r="O79" s="320" t="n"/>
      <c r="P79" s="6" t="n"/>
      <c r="Q79" s="320" t="n"/>
      <c r="R79" s="10" t="n"/>
      <c r="S79" s="10" t="n"/>
      <c r="T79" s="10" t="n"/>
      <c r="U79" s="10" t="n"/>
      <c r="V79" s="67" t="n"/>
      <c r="X79" s="68" t="n"/>
      <c r="Y79" s="68" t="n"/>
      <c r="Z79" s="66" t="n"/>
    </row>
    <row r="80" ht="16.5" customHeight="1" s="279" thickBot="1"/>
    <row r="81">
      <c r="B81" s="282" t="n"/>
      <c r="C81" s="283" t="n"/>
      <c r="D81" s="284" t="n"/>
      <c r="E81" s="3" t="n"/>
      <c r="F81" s="282">
        <f>B81</f>
        <v/>
      </c>
      <c r="G81" s="283" t="n"/>
      <c r="H81" s="284" t="n"/>
      <c r="I81" s="3" t="n"/>
      <c r="J81" s="286" t="n"/>
      <c r="L81" s="286">
        <f>F81</f>
        <v/>
      </c>
      <c r="M81" s="283" t="n"/>
      <c r="N81" s="284" t="n"/>
      <c r="O81" s="183" t="n"/>
      <c r="P81" s="286" t="n"/>
      <c r="U81" s="281" t="n"/>
      <c r="V81" s="281" t="n"/>
      <c r="X81" s="281" t="n"/>
    </row>
    <row r="82">
      <c r="B82" s="278" t="inlineStr">
        <is>
          <t>Test</t>
        </is>
      </c>
      <c r="D82" s="71" t="inlineStr">
        <is>
          <t>Bitrate [Mbps]</t>
        </is>
      </c>
      <c r="E82" s="320" t="n"/>
      <c r="F82" s="278" t="inlineStr">
        <is>
          <t>Test</t>
        </is>
      </c>
      <c r="H82" s="71" t="inlineStr">
        <is>
          <t>Bitrate [Mbps]</t>
        </is>
      </c>
      <c r="I82" s="10" t="n"/>
      <c r="J82" s="287" t="inlineStr">
        <is>
          <t>%</t>
        </is>
      </c>
      <c r="L82" s="287" t="inlineStr">
        <is>
          <t>YUV-IVSSIM</t>
        </is>
      </c>
      <c r="N82" s="288" t="n"/>
      <c r="O82" s="69" t="n"/>
      <c r="P82" s="4" t="n"/>
      <c r="R82" s="285" t="n"/>
      <c r="U82" s="285" t="n"/>
      <c r="V82" s="285" t="n"/>
      <c r="X82" s="285" t="n"/>
    </row>
    <row r="83">
      <c r="B83" s="180" t="inlineStr">
        <is>
          <t>Anchor</t>
        </is>
      </c>
      <c r="C83" s="102" t="inlineStr">
        <is>
          <t>Test point</t>
        </is>
      </c>
      <c r="D83" s="70" t="inlineStr">
        <is>
          <t>Total</t>
        </is>
      </c>
      <c r="E83" s="320" t="n"/>
      <c r="F83" s="180" t="inlineStr">
        <is>
          <t>Anchor</t>
        </is>
      </c>
      <c r="G83" s="102" t="inlineStr">
        <is>
          <t>Test point</t>
        </is>
      </c>
      <c r="H83" s="70" t="inlineStr">
        <is>
          <t>Total</t>
        </is>
      </c>
      <c r="I83" s="10" t="n"/>
      <c r="J83" s="75" t="n"/>
      <c r="L83" s="181">
        <f>CONCATENATE(B$2," ",L81)</f>
        <v/>
      </c>
      <c r="M83" s="199">
        <f>CONCATENATE(F$2," ",L81)</f>
        <v/>
      </c>
      <c r="N83" s="182" t="inlineStr">
        <is>
          <t>Delta</t>
        </is>
      </c>
      <c r="O83" s="3" t="n"/>
      <c r="P83" s="4" t="inlineStr">
        <is>
          <t>BD-rate</t>
        </is>
      </c>
      <c r="Q83" s="3" t="n"/>
      <c r="R83" s="3" t="n"/>
      <c r="S83" s="3" t="n"/>
      <c r="T83" s="3" t="n"/>
      <c r="U83" s="3" t="n"/>
      <c r="V83" s="3" t="n"/>
      <c r="X83" s="183" t="n"/>
      <c r="Y83" s="183" t="n"/>
      <c r="Z83" s="183" t="n"/>
    </row>
    <row r="84">
      <c r="B84" s="95">
        <f>B81</f>
        <v/>
      </c>
      <c r="C84" s="102" t="inlineStr">
        <is>
          <t>r01</t>
        </is>
      </c>
      <c r="D84" s="321">
        <f>0.001*INDIRECT($B84&amp;"!E5")</f>
        <v/>
      </c>
      <c r="E84" s="320" t="n"/>
      <c r="F84" s="95">
        <f>F81</f>
        <v/>
      </c>
      <c r="G84" s="102" t="inlineStr">
        <is>
          <t>r01</t>
        </is>
      </c>
      <c r="H84" s="321">
        <f>0.001*INDIRECT($B84&amp;"!W5")</f>
        <v/>
      </c>
      <c r="I84" s="10" t="n"/>
      <c r="J84" s="322">
        <f>H84/D84-1</f>
        <v/>
      </c>
      <c r="L84" s="76">
        <f>INDIRECT($B84&amp;"!"&amp;L$3&amp;"5")</f>
        <v/>
      </c>
      <c r="M84" s="77">
        <f>INDIRECT($B84&amp;"!"&amp;M$3&amp;"5")</f>
        <v/>
      </c>
      <c r="N84" s="78">
        <f>M84-L84</f>
        <v/>
      </c>
      <c r="O84" s="320" t="n"/>
      <c r="P84" s="322">
        <f>bdrate(D84:D87,L84:L87,H84:H87,M84:M87)</f>
        <v/>
      </c>
      <c r="Q84" s="320" t="n"/>
      <c r="R84" s="10" t="n"/>
      <c r="S84" s="10" t="n"/>
      <c r="T84" s="10" t="n"/>
      <c r="U84" s="10" t="n"/>
      <c r="V84" s="323" t="n"/>
      <c r="X84" s="7" t="n"/>
      <c r="Y84" s="7" t="n"/>
      <c r="Z84" s="66" t="n"/>
      <c r="AB84" s="324" t="n"/>
    </row>
    <row r="85">
      <c r="B85" s="95">
        <f>B84</f>
        <v/>
      </c>
      <c r="C85" s="102" t="inlineStr">
        <is>
          <t>r02</t>
        </is>
      </c>
      <c r="D85" s="321">
        <f>0.001*INDIRECT($B85&amp;"!E6")</f>
        <v/>
      </c>
      <c r="E85" s="320" t="n"/>
      <c r="F85" s="95">
        <f>F84</f>
        <v/>
      </c>
      <c r="G85" s="102" t="inlineStr">
        <is>
          <t>r02</t>
        </is>
      </c>
      <c r="H85" s="321">
        <f>0.001*INDIRECT($B85&amp;"!W6")</f>
        <v/>
      </c>
      <c r="I85" s="10" t="n"/>
      <c r="J85" s="322">
        <f>H85/D85-1</f>
        <v/>
      </c>
      <c r="L85" s="76">
        <f>INDIRECT($B85&amp;"!"&amp;L$3&amp;"6")</f>
        <v/>
      </c>
      <c r="M85" s="77">
        <f>INDIRECT($B85&amp;"!"&amp;M$3&amp;"6")</f>
        <v/>
      </c>
      <c r="N85" s="78">
        <f>M85-L85</f>
        <v/>
      </c>
      <c r="O85" s="320" t="n"/>
      <c r="P85" s="4" t="n"/>
      <c r="Q85" s="320" t="n"/>
      <c r="R85" s="10" t="n"/>
      <c r="S85" s="10" t="n"/>
      <c r="T85" s="10" t="n"/>
      <c r="U85" s="10" t="n"/>
      <c r="V85" s="323" t="n"/>
      <c r="X85" s="7" t="n"/>
      <c r="Y85" s="7" t="n"/>
      <c r="Z85" s="66" t="n"/>
    </row>
    <row r="86">
      <c r="B86" s="95">
        <f>B85</f>
        <v/>
      </c>
      <c r="C86" s="102" t="inlineStr">
        <is>
          <t>r03</t>
        </is>
      </c>
      <c r="D86" s="321">
        <f>0.001*INDIRECT($B86&amp;"!E7")</f>
        <v/>
      </c>
      <c r="E86" s="320" t="n"/>
      <c r="F86" s="95">
        <f>F85</f>
        <v/>
      </c>
      <c r="G86" s="102" t="inlineStr">
        <is>
          <t>r03</t>
        </is>
      </c>
      <c r="H86" s="321">
        <f>0.001*INDIRECT($B86&amp;"!W7")</f>
        <v/>
      </c>
      <c r="I86" s="10" t="n"/>
      <c r="J86" s="322">
        <f>H86/D86-1</f>
        <v/>
      </c>
      <c r="L86" s="76">
        <f>INDIRECT($B86&amp;"!"&amp;L$3&amp;"7")</f>
        <v/>
      </c>
      <c r="M86" s="77">
        <f>INDIRECT($B86&amp;"!"&amp;M$3&amp;"7")</f>
        <v/>
      </c>
      <c r="N86" s="78">
        <f>M86-L86</f>
        <v/>
      </c>
      <c r="O86" s="320" t="n"/>
      <c r="P86" s="4" t="inlineStr">
        <is>
          <t>BD-PSNR</t>
        </is>
      </c>
      <c r="Q86" s="320" t="n"/>
      <c r="R86" s="10" t="n"/>
      <c r="S86" s="10" t="n"/>
      <c r="T86" s="10" t="n"/>
      <c r="U86" s="10" t="n"/>
      <c r="V86" s="323" t="n"/>
      <c r="X86" s="7" t="n"/>
      <c r="Y86" s="7" t="n"/>
      <c r="Z86" s="66" t="n"/>
    </row>
    <row r="87">
      <c r="B87" s="95">
        <f>B86</f>
        <v/>
      </c>
      <c r="C87" s="102" t="inlineStr">
        <is>
          <t>r04</t>
        </is>
      </c>
      <c r="D87" s="321">
        <f>0.001*INDIRECT($B87&amp;"!E8")</f>
        <v/>
      </c>
      <c r="E87" s="320" t="n"/>
      <c r="F87" s="95">
        <f>F86</f>
        <v/>
      </c>
      <c r="G87" s="102" t="inlineStr">
        <is>
          <t>r04</t>
        </is>
      </c>
      <c r="H87" s="321">
        <f>0.001*INDIRECT($B87&amp;"!W8")</f>
        <v/>
      </c>
      <c r="I87" s="10" t="n"/>
      <c r="J87" s="322">
        <f>H87/D87-1</f>
        <v/>
      </c>
      <c r="L87" s="76">
        <f>INDIRECT($B87&amp;"!"&amp;L$3&amp;"8")</f>
        <v/>
      </c>
      <c r="M87" s="77">
        <f>INDIRECT($B87&amp;"!"&amp;M$3&amp;"8")</f>
        <v/>
      </c>
      <c r="N87" s="78">
        <f>M87-L87</f>
        <v/>
      </c>
      <c r="O87" s="320" t="n"/>
      <c r="P87" s="325">
        <f>bdrate(L84:L87,D84:D87,M84:M87,H84:H87)</f>
        <v/>
      </c>
      <c r="Q87" s="320" t="n"/>
      <c r="R87" s="10" t="n"/>
      <c r="S87" s="10" t="n"/>
      <c r="T87" s="10" t="n"/>
      <c r="U87" s="10" t="n"/>
      <c r="V87" s="323" t="n"/>
      <c r="X87" s="7" t="n"/>
      <c r="Y87" s="7" t="n"/>
      <c r="Z87" s="66" t="n"/>
    </row>
    <row r="88" ht="16.5" customHeight="1" s="279" thickBot="1">
      <c r="B88" s="72" t="n"/>
      <c r="C88" s="103" t="n"/>
      <c r="D88" s="326" t="n"/>
      <c r="E88" s="320" t="n"/>
      <c r="F88" s="72" t="n"/>
      <c r="G88" s="103" t="n"/>
      <c r="H88" s="321" t="n"/>
      <c r="I88" s="10" t="n"/>
      <c r="J88" s="322" t="n"/>
      <c r="L88" s="76" t="n"/>
      <c r="M88" s="77" t="n"/>
      <c r="N88" s="79" t="n"/>
      <c r="O88" s="320" t="n"/>
      <c r="P88" s="327" t="n"/>
      <c r="Q88" s="320" t="n"/>
      <c r="R88" s="10" t="n"/>
      <c r="S88" s="10" t="n"/>
      <c r="T88" s="10" t="n"/>
      <c r="U88" s="10" t="n"/>
      <c r="V88" s="323" t="n"/>
      <c r="X88" s="7" t="n"/>
      <c r="Y88" s="7" t="n"/>
      <c r="Z88" s="66" t="n"/>
      <c r="AB88" s="324" t="n"/>
    </row>
    <row r="89" ht="16.5" customHeight="1" s="279">
      <c r="B89" s="91" t="n"/>
      <c r="C89" s="92" t="n"/>
      <c r="D89" s="328" t="n"/>
      <c r="F89" s="91" t="n"/>
      <c r="G89" s="92" t="n"/>
      <c r="H89" s="328" t="n"/>
      <c r="J89" s="80">
        <f>MIN(D84:D88,H84:H88)</f>
        <v/>
      </c>
      <c r="L89" s="81" t="n"/>
      <c r="M89" s="82" t="n"/>
      <c r="N89" s="83" t="n"/>
      <c r="O89" s="320" t="n"/>
      <c r="P89" s="286" t="n"/>
      <c r="Q89" s="320" t="n"/>
      <c r="R89" s="10" t="n"/>
      <c r="S89" s="10" t="n"/>
      <c r="T89" s="10" t="n"/>
      <c r="U89" s="10" t="n"/>
      <c r="V89" s="67" t="n"/>
      <c r="X89" s="7" t="n"/>
      <c r="Y89" s="7" t="n"/>
      <c r="Z89" s="66" t="n"/>
    </row>
    <row r="90" ht="16.5" customHeight="1" s="279" thickBot="1">
      <c r="B90" s="72" t="n"/>
      <c r="C90" s="74" t="n"/>
      <c r="D90" s="326" t="n"/>
      <c r="E90" s="320" t="n"/>
      <c r="F90" s="72" t="n"/>
      <c r="G90" s="74" t="n"/>
      <c r="H90" s="326" t="n"/>
      <c r="I90" s="10" t="n"/>
      <c r="J90" s="84">
        <f>MAX(D84:D88,H84:H88)</f>
        <v/>
      </c>
      <c r="L90" s="85">
        <f>L89</f>
        <v/>
      </c>
      <c r="M90" s="86">
        <f>M89</f>
        <v/>
      </c>
      <c r="N90" s="79" t="n"/>
      <c r="O90" s="320" t="n"/>
      <c r="P90" s="6" t="n"/>
      <c r="Q90" s="320" t="n"/>
      <c r="R90" s="10" t="n"/>
      <c r="S90" s="10" t="n"/>
      <c r="T90" s="10" t="n"/>
      <c r="U90" s="10" t="n"/>
      <c r="V90" s="67" t="n"/>
      <c r="X90" s="68" t="n"/>
      <c r="Y90" s="68" t="n"/>
      <c r="Z90" s="66" t="n"/>
    </row>
    <row r="91" ht="16.2" customHeight="1" s="279" thickBot="1"/>
    <row r="92">
      <c r="B92" s="282" t="n"/>
      <c r="C92" s="283" t="n"/>
      <c r="D92" s="284" t="n"/>
      <c r="E92" s="3" t="n"/>
      <c r="F92" s="282">
        <f>B92</f>
        <v/>
      </c>
      <c r="G92" s="283" t="n"/>
      <c r="H92" s="284" t="n"/>
      <c r="I92" s="3" t="n"/>
      <c r="J92" s="286" t="n"/>
      <c r="L92" s="286">
        <f>F92</f>
        <v/>
      </c>
      <c r="M92" s="283" t="n"/>
      <c r="N92" s="284" t="n"/>
      <c r="O92" s="183" t="n"/>
      <c r="P92" s="286" t="n"/>
      <c r="U92" s="281" t="n"/>
      <c r="V92" s="281" t="n"/>
      <c r="X92" s="281" t="n"/>
    </row>
    <row r="93">
      <c r="B93" s="278" t="inlineStr">
        <is>
          <t>Test</t>
        </is>
      </c>
      <c r="D93" s="71" t="inlineStr">
        <is>
          <t>Bitrate [Mbps]</t>
        </is>
      </c>
      <c r="E93" s="320" t="n"/>
      <c r="F93" s="278" t="inlineStr">
        <is>
          <t>Test</t>
        </is>
      </c>
      <c r="H93" s="71" t="inlineStr">
        <is>
          <t>Bitrate [Mbps]</t>
        </is>
      </c>
      <c r="I93" s="10" t="n"/>
      <c r="J93" s="287" t="inlineStr">
        <is>
          <t>%</t>
        </is>
      </c>
      <c r="L93" s="287" t="inlineStr">
        <is>
          <t>YUV-IVSSIM</t>
        </is>
      </c>
      <c r="N93" s="288" t="n"/>
      <c r="O93" s="69" t="n"/>
      <c r="P93" s="4" t="n"/>
      <c r="R93" s="285" t="n"/>
      <c r="U93" s="285" t="n"/>
      <c r="V93" s="285" t="n"/>
      <c r="X93" s="285" t="n"/>
    </row>
    <row r="94">
      <c r="B94" s="180" t="inlineStr">
        <is>
          <t>Anchor</t>
        </is>
      </c>
      <c r="C94" s="102" t="inlineStr">
        <is>
          <t>Test point</t>
        </is>
      </c>
      <c r="D94" s="70" t="inlineStr">
        <is>
          <t>Total</t>
        </is>
      </c>
      <c r="E94" s="320" t="n"/>
      <c r="F94" s="180" t="inlineStr">
        <is>
          <t>Anchor</t>
        </is>
      </c>
      <c r="G94" s="102" t="inlineStr">
        <is>
          <t>Test point</t>
        </is>
      </c>
      <c r="H94" s="70" t="inlineStr">
        <is>
          <t>Total</t>
        </is>
      </c>
      <c r="I94" s="10" t="n"/>
      <c r="J94" s="75" t="n"/>
      <c r="L94" s="181">
        <f>CONCATENATE(B$2," ",L92)</f>
        <v/>
      </c>
      <c r="M94" s="199">
        <f>CONCATENATE(F$2," ",L92)</f>
        <v/>
      </c>
      <c r="N94" s="182" t="inlineStr">
        <is>
          <t>Delta</t>
        </is>
      </c>
      <c r="O94" s="3" t="n"/>
      <c r="P94" s="4" t="inlineStr">
        <is>
          <t>BD-rate</t>
        </is>
      </c>
      <c r="Q94" s="3" t="n"/>
      <c r="R94" s="3" t="n"/>
      <c r="S94" s="3" t="n"/>
      <c r="T94" s="3" t="n"/>
      <c r="U94" s="3" t="n"/>
      <c r="V94" s="3" t="n"/>
      <c r="X94" s="183" t="n"/>
      <c r="Y94" s="183" t="n"/>
      <c r="Z94" s="183" t="n"/>
    </row>
    <row r="95">
      <c r="B95" s="95">
        <f>B92</f>
        <v/>
      </c>
      <c r="C95" s="102" t="inlineStr">
        <is>
          <t>r01</t>
        </is>
      </c>
      <c r="D95" s="321">
        <f>0.001*INDIRECT($B95&amp;"!E5")</f>
        <v/>
      </c>
      <c r="E95" s="320" t="n"/>
      <c r="F95" s="95">
        <f>F92</f>
        <v/>
      </c>
      <c r="G95" s="102" t="inlineStr">
        <is>
          <t>r01</t>
        </is>
      </c>
      <c r="H95" s="321">
        <f>0.001*INDIRECT($B95&amp;"!W5")</f>
        <v/>
      </c>
      <c r="I95" s="10" t="n"/>
      <c r="J95" s="322">
        <f>H95/D95-1</f>
        <v/>
      </c>
      <c r="L95" s="76">
        <f>INDIRECT($B95&amp;"!"&amp;L$3&amp;"5")</f>
        <v/>
      </c>
      <c r="M95" s="77">
        <f>INDIRECT($B95&amp;"!"&amp;M$3&amp;"5")</f>
        <v/>
      </c>
      <c r="N95" s="78">
        <f>M95-L95</f>
        <v/>
      </c>
      <c r="O95" s="320" t="n"/>
      <c r="P95" s="322">
        <f>bdrate(D95:D98,L95:L98,H95:H98,M95:M98)</f>
        <v/>
      </c>
      <c r="Q95" s="320" t="n"/>
      <c r="R95" s="10" t="n"/>
      <c r="S95" s="10" t="n"/>
      <c r="T95" s="10" t="n"/>
      <c r="U95" s="10" t="n"/>
      <c r="V95" s="323" t="n"/>
      <c r="X95" s="7" t="n"/>
      <c r="Y95" s="7" t="n"/>
      <c r="Z95" s="66" t="n"/>
      <c r="AB95" s="324" t="n"/>
    </row>
    <row r="96">
      <c r="B96" s="95">
        <f>B95</f>
        <v/>
      </c>
      <c r="C96" s="102" t="inlineStr">
        <is>
          <t>r02</t>
        </is>
      </c>
      <c r="D96" s="321">
        <f>0.001*INDIRECT($B96&amp;"!E6")</f>
        <v/>
      </c>
      <c r="E96" s="320" t="n"/>
      <c r="F96" s="95">
        <f>F95</f>
        <v/>
      </c>
      <c r="G96" s="102" t="inlineStr">
        <is>
          <t>r02</t>
        </is>
      </c>
      <c r="H96" s="321">
        <f>0.001*INDIRECT($B96&amp;"!W6")</f>
        <v/>
      </c>
      <c r="I96" s="10" t="n"/>
      <c r="J96" s="322">
        <f>H96/D96-1</f>
        <v/>
      </c>
      <c r="L96" s="76">
        <f>INDIRECT($B96&amp;"!"&amp;L$3&amp;"6")</f>
        <v/>
      </c>
      <c r="M96" s="77">
        <f>INDIRECT($B96&amp;"!"&amp;M$3&amp;"6")</f>
        <v/>
      </c>
      <c r="N96" s="78">
        <f>M96-L96</f>
        <v/>
      </c>
      <c r="O96" s="320" t="n"/>
      <c r="P96" s="4" t="n"/>
      <c r="Q96" s="320" t="n"/>
      <c r="R96" s="10" t="n"/>
      <c r="S96" s="10" t="n"/>
      <c r="T96" s="10" t="n"/>
      <c r="U96" s="10" t="n"/>
      <c r="V96" s="323" t="n"/>
      <c r="X96" s="7" t="n"/>
      <c r="Y96" s="7" t="n"/>
      <c r="Z96" s="66" t="n"/>
    </row>
    <row r="97">
      <c r="B97" s="95">
        <f>B96</f>
        <v/>
      </c>
      <c r="C97" s="102" t="inlineStr">
        <is>
          <t>r03</t>
        </is>
      </c>
      <c r="D97" s="321">
        <f>0.001*INDIRECT($B97&amp;"!E7")</f>
        <v/>
      </c>
      <c r="E97" s="320" t="n"/>
      <c r="F97" s="95">
        <f>F96</f>
        <v/>
      </c>
      <c r="G97" s="102" t="inlineStr">
        <is>
          <t>r03</t>
        </is>
      </c>
      <c r="H97" s="321">
        <f>0.001*INDIRECT($B97&amp;"!W7")</f>
        <v/>
      </c>
      <c r="I97" s="10" t="n"/>
      <c r="J97" s="322">
        <f>H97/D97-1</f>
        <v/>
      </c>
      <c r="L97" s="76">
        <f>INDIRECT($B97&amp;"!"&amp;L$3&amp;"7")</f>
        <v/>
      </c>
      <c r="M97" s="77">
        <f>INDIRECT($B97&amp;"!"&amp;M$3&amp;"7")</f>
        <v/>
      </c>
      <c r="N97" s="78">
        <f>M97-L97</f>
        <v/>
      </c>
      <c r="O97" s="320" t="n"/>
      <c r="P97" s="4" t="inlineStr">
        <is>
          <t>BD-PSNR</t>
        </is>
      </c>
      <c r="Q97" s="320" t="n"/>
      <c r="R97" s="10" t="n"/>
      <c r="S97" s="10" t="n"/>
      <c r="T97" s="10" t="n"/>
      <c r="U97" s="10" t="n"/>
      <c r="V97" s="323" t="n"/>
      <c r="X97" s="7" t="n"/>
      <c r="Y97" s="7" t="n"/>
      <c r="Z97" s="66" t="n"/>
    </row>
    <row r="98">
      <c r="B98" s="95">
        <f>B97</f>
        <v/>
      </c>
      <c r="C98" s="102" t="inlineStr">
        <is>
          <t>r04</t>
        </is>
      </c>
      <c r="D98" s="321">
        <f>0.001*INDIRECT($B98&amp;"!E8")</f>
        <v/>
      </c>
      <c r="E98" s="320" t="n"/>
      <c r="F98" s="95">
        <f>F97</f>
        <v/>
      </c>
      <c r="G98" s="102" t="inlineStr">
        <is>
          <t>r04</t>
        </is>
      </c>
      <c r="H98" s="321">
        <f>0.001*INDIRECT($B98&amp;"!W8")</f>
        <v/>
      </c>
      <c r="I98" s="10" t="n"/>
      <c r="J98" s="322">
        <f>H98/D98-1</f>
        <v/>
      </c>
      <c r="L98" s="76">
        <f>INDIRECT($B98&amp;"!"&amp;L$3&amp;"8")</f>
        <v/>
      </c>
      <c r="M98" s="77">
        <f>INDIRECT($B98&amp;"!"&amp;M$3&amp;"8")</f>
        <v/>
      </c>
      <c r="N98" s="78">
        <f>M98-L98</f>
        <v/>
      </c>
      <c r="O98" s="320" t="n"/>
      <c r="P98" s="325">
        <f>bdrate(L95:L98,D95:D98,M95:M98,H95:H98)</f>
        <v/>
      </c>
      <c r="Q98" s="320" t="n"/>
      <c r="R98" s="10" t="n"/>
      <c r="S98" s="10" t="n"/>
      <c r="T98" s="10" t="n"/>
      <c r="U98" s="10" t="n"/>
      <c r="V98" s="323" t="n"/>
      <c r="X98" s="7" t="n"/>
      <c r="Y98" s="7" t="n"/>
      <c r="Z98" s="66" t="n"/>
    </row>
    <row r="99" ht="16.5" customHeight="1" s="279" thickBot="1">
      <c r="B99" s="72" t="n"/>
      <c r="C99" s="103" t="n"/>
      <c r="D99" s="326" t="n"/>
      <c r="E99" s="320" t="n"/>
      <c r="F99" s="72" t="n"/>
      <c r="G99" s="103" t="n"/>
      <c r="H99" s="321" t="n"/>
      <c r="I99" s="10" t="n"/>
      <c r="J99" s="322" t="n"/>
      <c r="L99" s="76" t="n"/>
      <c r="M99" s="77" t="n"/>
      <c r="N99" s="79" t="n"/>
      <c r="O99" s="320" t="n"/>
      <c r="P99" s="327" t="n"/>
      <c r="Q99" s="320" t="n"/>
      <c r="R99" s="10" t="n"/>
      <c r="S99" s="10" t="n"/>
      <c r="T99" s="10" t="n"/>
      <c r="U99" s="10" t="n"/>
      <c r="V99" s="323" t="n"/>
      <c r="X99" s="7" t="n"/>
      <c r="Y99" s="7" t="n"/>
      <c r="Z99" s="66" t="n"/>
      <c r="AB99" s="324" t="n"/>
    </row>
    <row r="100" ht="16.5" customHeight="1" s="279">
      <c r="B100" s="91" t="n"/>
      <c r="C100" s="92" t="n"/>
      <c r="D100" s="328" t="n"/>
      <c r="F100" s="91" t="n"/>
      <c r="G100" s="92" t="n"/>
      <c r="H100" s="328" t="n"/>
      <c r="J100" s="80">
        <f>MIN(D95:D99,H95:H99)</f>
        <v/>
      </c>
      <c r="L100" s="81" t="n"/>
      <c r="M100" s="82" t="n"/>
      <c r="N100" s="83" t="n"/>
      <c r="O100" s="320" t="n"/>
      <c r="P100" s="286" t="n"/>
      <c r="Q100" s="320" t="n"/>
      <c r="R100" s="10" t="n"/>
      <c r="S100" s="10" t="n"/>
      <c r="T100" s="10" t="n"/>
      <c r="U100" s="10" t="n"/>
      <c r="V100" s="67" t="n"/>
      <c r="X100" s="7" t="n"/>
      <c r="Y100" s="7" t="n"/>
      <c r="Z100" s="66" t="n"/>
    </row>
    <row r="101" ht="16.5" customHeight="1" s="279" thickBot="1">
      <c r="B101" s="72" t="n"/>
      <c r="C101" s="74" t="n"/>
      <c r="D101" s="326" t="n"/>
      <c r="E101" s="320" t="n"/>
      <c r="F101" s="72" t="n"/>
      <c r="G101" s="74" t="n"/>
      <c r="H101" s="326" t="n"/>
      <c r="I101" s="10" t="n"/>
      <c r="J101" s="84">
        <f>MAX(D95:D99,H95:H99)</f>
        <v/>
      </c>
      <c r="L101" s="85">
        <f>L100</f>
        <v/>
      </c>
      <c r="M101" s="86">
        <f>M100</f>
        <v/>
      </c>
      <c r="N101" s="79" t="n"/>
      <c r="O101" s="320" t="n"/>
      <c r="P101" s="6" t="n"/>
      <c r="Q101" s="320" t="n"/>
      <c r="R101" s="10" t="n"/>
      <c r="S101" s="10" t="n"/>
      <c r="T101" s="10" t="n"/>
      <c r="U101" s="10" t="n"/>
      <c r="V101" s="67" t="n"/>
      <c r="X101" s="68" t="n"/>
      <c r="Y101" s="68" t="n"/>
      <c r="Z101" s="66" t="n"/>
    </row>
    <row r="102" ht="16.2" customHeight="1" s="279" thickBot="1"/>
    <row r="103">
      <c r="B103" s="282" t="n"/>
      <c r="C103" s="283" t="n"/>
      <c r="D103" s="284" t="n"/>
      <c r="E103" s="3" t="n"/>
      <c r="F103" s="282">
        <f>B103</f>
        <v/>
      </c>
      <c r="G103" s="283" t="n"/>
      <c r="H103" s="284" t="n"/>
      <c r="I103" s="3" t="n"/>
      <c r="J103" s="286" t="n"/>
      <c r="L103" s="286">
        <f>F103</f>
        <v/>
      </c>
      <c r="M103" s="283" t="n"/>
      <c r="N103" s="284" t="n"/>
      <c r="O103" s="183" t="n"/>
      <c r="P103" s="286" t="n"/>
      <c r="U103" s="281" t="n"/>
      <c r="V103" s="281" t="n"/>
      <c r="X103" s="281" t="n"/>
    </row>
    <row r="104">
      <c r="B104" s="278" t="inlineStr">
        <is>
          <t>Test</t>
        </is>
      </c>
      <c r="D104" s="71" t="inlineStr">
        <is>
          <t>Bitrate [Mbps]</t>
        </is>
      </c>
      <c r="E104" s="320" t="n"/>
      <c r="F104" s="278" t="inlineStr">
        <is>
          <t>Test</t>
        </is>
      </c>
      <c r="H104" s="71" t="inlineStr">
        <is>
          <t>Bitrate [Mbps]</t>
        </is>
      </c>
      <c r="I104" s="10" t="n"/>
      <c r="J104" s="287" t="inlineStr">
        <is>
          <t>%</t>
        </is>
      </c>
      <c r="L104" s="287" t="inlineStr">
        <is>
          <t>YUV-IVSSIM</t>
        </is>
      </c>
      <c r="N104" s="288" t="n"/>
      <c r="O104" s="69" t="n"/>
      <c r="P104" s="4" t="n"/>
      <c r="R104" s="285" t="n"/>
      <c r="U104" s="285" t="n"/>
      <c r="V104" s="285" t="n"/>
      <c r="X104" s="285" t="n"/>
    </row>
    <row r="105">
      <c r="B105" s="180" t="inlineStr">
        <is>
          <t>Anchor</t>
        </is>
      </c>
      <c r="C105" s="102" t="inlineStr">
        <is>
          <t>Test point</t>
        </is>
      </c>
      <c r="D105" s="70" t="inlineStr">
        <is>
          <t>Total</t>
        </is>
      </c>
      <c r="E105" s="320" t="n"/>
      <c r="F105" s="180" t="inlineStr">
        <is>
          <t>Anchor</t>
        </is>
      </c>
      <c r="G105" s="102" t="inlineStr">
        <is>
          <t>Test point</t>
        </is>
      </c>
      <c r="H105" s="70" t="inlineStr">
        <is>
          <t>Total</t>
        </is>
      </c>
      <c r="I105" s="10" t="n"/>
      <c r="J105" s="75" t="n"/>
      <c r="L105" s="181">
        <f>CONCATENATE(B$2," ",L103)</f>
        <v/>
      </c>
      <c r="M105" s="199">
        <f>CONCATENATE(F$2," ",L103)</f>
        <v/>
      </c>
      <c r="N105" s="182" t="inlineStr">
        <is>
          <t>Delta</t>
        </is>
      </c>
      <c r="O105" s="3" t="n"/>
      <c r="P105" s="4" t="inlineStr">
        <is>
          <t>BD-rate</t>
        </is>
      </c>
      <c r="Q105" s="3" t="n"/>
      <c r="R105" s="3" t="n"/>
      <c r="S105" s="3" t="n"/>
      <c r="T105" s="3" t="n"/>
      <c r="U105" s="3" t="n"/>
      <c r="V105" s="3" t="n"/>
      <c r="X105" s="183" t="n"/>
      <c r="Y105" s="183" t="n"/>
      <c r="Z105" s="183" t="n"/>
    </row>
    <row r="106">
      <c r="B106" s="95">
        <f>B103</f>
        <v/>
      </c>
      <c r="C106" s="102" t="inlineStr">
        <is>
          <t>r01</t>
        </is>
      </c>
      <c r="D106" s="321">
        <f>0.001*INDIRECT($B106&amp;"!E5")</f>
        <v/>
      </c>
      <c r="E106" s="320" t="n"/>
      <c r="F106" s="95">
        <f>F103</f>
        <v/>
      </c>
      <c r="G106" s="102" t="inlineStr">
        <is>
          <t>r01</t>
        </is>
      </c>
      <c r="H106" s="321">
        <f>0.001*INDIRECT($B106&amp;"!W5")</f>
        <v/>
      </c>
      <c r="I106" s="10" t="n"/>
      <c r="J106" s="322">
        <f>H106/D106-1</f>
        <v/>
      </c>
      <c r="L106" s="76">
        <f>INDIRECT($B106&amp;"!"&amp;L$3&amp;"5")</f>
        <v/>
      </c>
      <c r="M106" s="77">
        <f>INDIRECT($B106&amp;"!"&amp;M$3&amp;"5")</f>
        <v/>
      </c>
      <c r="N106" s="78">
        <f>M106-L106</f>
        <v/>
      </c>
      <c r="O106" s="320" t="n"/>
      <c r="P106" s="322">
        <f>bdrate(D106:D109,L106:L109,H106:H109,M106:M109)</f>
        <v/>
      </c>
      <c r="Q106" s="320" t="n"/>
      <c r="R106" s="10" t="n"/>
      <c r="S106" s="10" t="n"/>
      <c r="T106" s="10" t="n"/>
      <c r="U106" s="10" t="n"/>
      <c r="V106" s="323" t="n"/>
      <c r="X106" s="7" t="n"/>
      <c r="Y106" s="7" t="n"/>
      <c r="Z106" s="66" t="n"/>
      <c r="AB106" s="324" t="n"/>
    </row>
    <row r="107">
      <c r="B107" s="95">
        <f>B106</f>
        <v/>
      </c>
      <c r="C107" s="102" t="inlineStr">
        <is>
          <t>r02</t>
        </is>
      </c>
      <c r="D107" s="321">
        <f>0.001*INDIRECT($B107&amp;"!E6")</f>
        <v/>
      </c>
      <c r="E107" s="320" t="n"/>
      <c r="F107" s="95">
        <f>F106</f>
        <v/>
      </c>
      <c r="G107" s="102" t="inlineStr">
        <is>
          <t>r02</t>
        </is>
      </c>
      <c r="H107" s="321">
        <f>0.001*INDIRECT($B107&amp;"!W6")</f>
        <v/>
      </c>
      <c r="I107" s="10" t="n"/>
      <c r="J107" s="322">
        <f>H107/D107-1</f>
        <v/>
      </c>
      <c r="L107" s="76">
        <f>INDIRECT($B107&amp;"!"&amp;L$3&amp;"6")</f>
        <v/>
      </c>
      <c r="M107" s="77">
        <f>INDIRECT($B107&amp;"!"&amp;M$3&amp;"6")</f>
        <v/>
      </c>
      <c r="N107" s="78">
        <f>M107-L107</f>
        <v/>
      </c>
      <c r="O107" s="320" t="n"/>
      <c r="P107" s="4" t="n"/>
      <c r="Q107" s="320" t="n"/>
      <c r="R107" s="10" t="n"/>
      <c r="S107" s="10" t="n"/>
      <c r="T107" s="10" t="n"/>
      <c r="U107" s="10" t="n"/>
      <c r="V107" s="323" t="n"/>
      <c r="X107" s="7" t="n"/>
      <c r="Y107" s="7" t="n"/>
      <c r="Z107" s="66" t="n"/>
    </row>
    <row r="108">
      <c r="B108" s="95">
        <f>B107</f>
        <v/>
      </c>
      <c r="C108" s="102" t="inlineStr">
        <is>
          <t>r03</t>
        </is>
      </c>
      <c r="D108" s="321">
        <f>0.001*INDIRECT($B108&amp;"!E7")</f>
        <v/>
      </c>
      <c r="E108" s="320" t="n"/>
      <c r="F108" s="95">
        <f>F107</f>
        <v/>
      </c>
      <c r="G108" s="102" t="inlineStr">
        <is>
          <t>r03</t>
        </is>
      </c>
      <c r="H108" s="321">
        <f>0.001*INDIRECT($B108&amp;"!W7")</f>
        <v/>
      </c>
      <c r="I108" s="10" t="n"/>
      <c r="J108" s="322">
        <f>H108/D108-1</f>
        <v/>
      </c>
      <c r="L108" s="76">
        <f>INDIRECT($B108&amp;"!"&amp;L$3&amp;"7")</f>
        <v/>
      </c>
      <c r="M108" s="77">
        <f>INDIRECT($B108&amp;"!"&amp;M$3&amp;"7")</f>
        <v/>
      </c>
      <c r="N108" s="78">
        <f>M108-L108</f>
        <v/>
      </c>
      <c r="O108" s="320" t="n"/>
      <c r="P108" s="4" t="inlineStr">
        <is>
          <t>BD-PSNR</t>
        </is>
      </c>
      <c r="Q108" s="320" t="n"/>
      <c r="R108" s="10" t="n"/>
      <c r="S108" s="10" t="n"/>
      <c r="T108" s="10" t="n"/>
      <c r="U108" s="10" t="n"/>
      <c r="V108" s="323" t="n"/>
      <c r="X108" s="7" t="n"/>
      <c r="Y108" s="7" t="n"/>
      <c r="Z108" s="66" t="n"/>
    </row>
    <row r="109">
      <c r="B109" s="95">
        <f>B108</f>
        <v/>
      </c>
      <c r="C109" s="102" t="inlineStr">
        <is>
          <t>r04</t>
        </is>
      </c>
      <c r="D109" s="321">
        <f>0.001*INDIRECT($B109&amp;"!E8")</f>
        <v/>
      </c>
      <c r="E109" s="320" t="n"/>
      <c r="F109" s="95">
        <f>F108</f>
        <v/>
      </c>
      <c r="G109" s="102" t="inlineStr">
        <is>
          <t>r04</t>
        </is>
      </c>
      <c r="H109" s="321">
        <f>0.001*INDIRECT($B109&amp;"!W8")</f>
        <v/>
      </c>
      <c r="I109" s="10" t="n"/>
      <c r="J109" s="322">
        <f>H109/D109-1</f>
        <v/>
      </c>
      <c r="L109" s="76">
        <f>INDIRECT($B109&amp;"!"&amp;L$3&amp;"8")</f>
        <v/>
      </c>
      <c r="M109" s="77">
        <f>INDIRECT($B109&amp;"!"&amp;M$3&amp;"8")</f>
        <v/>
      </c>
      <c r="N109" s="78">
        <f>M109-L109</f>
        <v/>
      </c>
      <c r="O109" s="320" t="n"/>
      <c r="P109" s="325">
        <f>bdrate(L106:L109,D106:D109,M106:M109,H106:H109)</f>
        <v/>
      </c>
      <c r="Q109" s="320" t="n"/>
      <c r="R109" s="10" t="n"/>
      <c r="S109" s="10" t="n"/>
      <c r="T109" s="10" t="n"/>
      <c r="U109" s="10" t="n"/>
      <c r="V109" s="323" t="n"/>
      <c r="X109" s="7" t="n"/>
      <c r="Y109" s="7" t="n"/>
      <c r="Z109" s="66" t="n"/>
    </row>
    <row r="110" ht="16.5" customHeight="1" s="279" thickBot="1">
      <c r="B110" s="72" t="n"/>
      <c r="C110" s="103" t="n"/>
      <c r="D110" s="326" t="n"/>
      <c r="E110" s="320" t="n"/>
      <c r="F110" s="72" t="n"/>
      <c r="G110" s="103" t="n"/>
      <c r="H110" s="321" t="n"/>
      <c r="I110" s="10" t="n"/>
      <c r="J110" s="322" t="n"/>
      <c r="L110" s="76" t="n"/>
      <c r="M110" s="77" t="n"/>
      <c r="N110" s="79" t="n"/>
      <c r="O110" s="320" t="n"/>
      <c r="P110" s="327" t="n"/>
      <c r="Q110" s="320" t="n"/>
      <c r="R110" s="10" t="n"/>
      <c r="S110" s="10" t="n"/>
      <c r="T110" s="10" t="n"/>
      <c r="U110" s="10" t="n"/>
      <c r="V110" s="323" t="n"/>
      <c r="X110" s="7" t="n"/>
      <c r="Y110" s="7" t="n"/>
      <c r="Z110" s="66" t="n"/>
      <c r="AB110" s="324" t="n"/>
    </row>
    <row r="111" ht="16.5" customHeight="1" s="279">
      <c r="B111" s="91" t="n"/>
      <c r="C111" s="92" t="n"/>
      <c r="D111" s="328" t="n"/>
      <c r="F111" s="91" t="n"/>
      <c r="G111" s="92" t="n"/>
      <c r="H111" s="328" t="n"/>
      <c r="J111" s="80">
        <f>MIN(D106:D110,H106:H110)</f>
        <v/>
      </c>
      <c r="L111" s="81" t="n"/>
      <c r="M111" s="82" t="n"/>
      <c r="N111" s="83" t="n"/>
      <c r="O111" s="320" t="n"/>
      <c r="P111" s="286" t="n"/>
      <c r="Q111" s="320" t="n"/>
      <c r="R111" s="10" t="n"/>
      <c r="S111" s="10" t="n"/>
      <c r="T111" s="10" t="n"/>
      <c r="U111" s="10" t="n"/>
      <c r="V111" s="67" t="n"/>
      <c r="X111" s="7" t="n"/>
      <c r="Y111" s="7" t="n"/>
      <c r="Z111" s="66" t="n"/>
    </row>
    <row r="112" ht="16.5" customHeight="1" s="279" thickBot="1">
      <c r="B112" s="72" t="n"/>
      <c r="C112" s="74" t="n"/>
      <c r="D112" s="326" t="n"/>
      <c r="E112" s="320" t="n"/>
      <c r="F112" s="72" t="n"/>
      <c r="G112" s="74" t="n"/>
      <c r="H112" s="326" t="n"/>
      <c r="I112" s="10" t="n"/>
      <c r="J112" s="84">
        <f>MAX(D106:D110,H106:H110)</f>
        <v/>
      </c>
      <c r="L112" s="85">
        <f>L111</f>
        <v/>
      </c>
      <c r="M112" s="86">
        <f>M111</f>
        <v/>
      </c>
      <c r="N112" s="79" t="n"/>
      <c r="O112" s="320" t="n"/>
      <c r="P112" s="6" t="n"/>
      <c r="Q112" s="320" t="n"/>
      <c r="R112" s="10" t="n"/>
      <c r="S112" s="10" t="n"/>
      <c r="T112" s="10" t="n"/>
      <c r="U112" s="10" t="n"/>
      <c r="V112" s="67" t="n"/>
      <c r="X112" s="68" t="n"/>
      <c r="Y112" s="68" t="n"/>
      <c r="Z112" s="66" t="n"/>
    </row>
    <row r="116">
      <c r="AB116" s="324" t="n"/>
    </row>
    <row r="119" ht="16.5" customHeight="1" s="279">
      <c r="AB119" s="324" t="n"/>
    </row>
    <row r="121" ht="16.5" customHeight="1" s="279"/>
    <row r="122" ht="16.5" customHeight="1" s="279"/>
    <row r="126">
      <c r="AB126" s="324" t="n"/>
    </row>
    <row r="129" ht="16.5" customHeight="1" s="279">
      <c r="AB129" s="324" t="n"/>
    </row>
    <row r="131" ht="16.5" customHeight="1" s="279"/>
    <row r="132" ht="16.5" customHeight="1" s="279"/>
    <row r="136">
      <c r="AB136" s="324" t="n"/>
    </row>
    <row r="139" ht="16.5" customHeight="1" s="279">
      <c r="AB139" s="324" t="n"/>
    </row>
    <row r="141" ht="16.5" customHeight="1" s="279"/>
    <row r="142" ht="16.5" customHeight="1" s="279"/>
    <row r="146">
      <c r="AB146" s="324" t="n"/>
    </row>
    <row r="149" ht="16.5" customHeight="1" s="279">
      <c r="AB149" s="324" t="n"/>
    </row>
    <row r="151" ht="16.5" customHeight="1" s="279"/>
    <row r="152" ht="16.5" customHeight="1" s="279"/>
    <row r="156">
      <c r="AB156" s="324" t="n"/>
    </row>
    <row r="159" ht="16.5" customHeight="1" s="279">
      <c r="AB159" s="324" t="n"/>
    </row>
    <row r="161" ht="16.5" customHeight="1" s="279"/>
    <row r="162" ht="16.5" customHeight="1" s="279"/>
    <row r="166">
      <c r="AB166" s="324" t="n"/>
    </row>
    <row r="169" ht="16.5" customHeight="1" s="279">
      <c r="AB169" s="324" t="n"/>
    </row>
    <row r="171" ht="16.5" customHeight="1" s="279"/>
    <row r="172" ht="16.5" customHeight="1" s="279"/>
    <row r="176">
      <c r="AB176" s="324" t="n"/>
    </row>
    <row r="179" ht="16.5" customHeight="1" s="279">
      <c r="AB179" s="324" t="n"/>
    </row>
    <row r="181" ht="16.5" customHeight="1" s="279"/>
    <row r="182" ht="16.5" customHeight="1" s="279"/>
    <row r="186">
      <c r="AB186" s="324" t="n"/>
    </row>
    <row r="189" ht="16.5" customHeight="1" s="279">
      <c r="AB189" s="324" t="n"/>
    </row>
    <row r="191" ht="16.5" customHeight="1" s="279"/>
    <row r="192" ht="16.5" customHeight="1" s="279"/>
    <row r="196">
      <c r="AB196" s="324" t="n"/>
    </row>
    <row r="199" ht="16.5" customHeight="1" s="279">
      <c r="AB199" s="324" t="n"/>
    </row>
    <row r="201" ht="16.5" customHeight="1" s="279"/>
    <row r="202" ht="16.5" customHeight="1" s="279"/>
    <row r="206">
      <c r="AB206" s="324" t="n"/>
    </row>
    <row r="209" ht="16.5" customHeight="1" s="279">
      <c r="AB209" s="324" t="n"/>
    </row>
    <row r="211" ht="16.5" customHeight="1" s="279"/>
    <row r="212" ht="16.5" customHeight="1" s="279"/>
    <row r="215">
      <c r="B215" s="183" t="n"/>
      <c r="C215" s="183" t="n"/>
      <c r="D215" s="3" t="n"/>
      <c r="E215" s="3" t="n"/>
      <c r="F215" s="3" t="n"/>
      <c r="G215" s="3" t="n"/>
      <c r="H215" s="3" t="n"/>
      <c r="I215" s="3" t="n"/>
      <c r="J215" s="3" t="n"/>
      <c r="L215" s="183" t="n"/>
      <c r="M215" s="183" t="n"/>
      <c r="N215" s="3" t="n"/>
      <c r="O215" s="3" t="n"/>
      <c r="P215" s="3" t="n"/>
      <c r="Q215" s="3" t="n"/>
      <c r="R215" s="3" t="n"/>
      <c r="S215" s="3" t="n"/>
      <c r="T215" s="3" t="n"/>
      <c r="U215" s="3" t="n"/>
      <c r="V215" s="3" t="n"/>
      <c r="X215" s="183" t="n"/>
      <c r="Y215" s="183" t="n"/>
      <c r="Z215" s="183" t="n"/>
    </row>
    <row r="216">
      <c r="B216" s="40" t="n"/>
      <c r="C216" s="183" t="n"/>
      <c r="D216" s="320" t="n"/>
      <c r="E216" s="320" t="n"/>
      <c r="F216" s="320" t="n"/>
      <c r="G216" s="320" t="n"/>
      <c r="H216" s="10" t="n"/>
      <c r="I216" s="10" t="n"/>
      <c r="J216" s="10" t="n"/>
      <c r="L216" s="40" t="n"/>
      <c r="M216" s="183" t="n"/>
      <c r="N216" s="320" t="n"/>
      <c r="O216" s="320" t="n"/>
      <c r="P216" s="320" t="n"/>
      <c r="Q216" s="320" t="n"/>
      <c r="R216" s="10" t="n"/>
      <c r="S216" s="10" t="n"/>
      <c r="T216" s="10" t="n"/>
      <c r="U216" s="10" t="n"/>
      <c r="V216" s="323" t="n"/>
      <c r="X216" s="7" t="n"/>
      <c r="Y216" s="7" t="n"/>
      <c r="Z216" s="66" t="n"/>
      <c r="AB216" s="324" t="n"/>
    </row>
    <row r="217">
      <c r="B217" s="40" t="n"/>
      <c r="C217" s="183" t="n"/>
      <c r="D217" s="320" t="n"/>
      <c r="E217" s="320" t="n"/>
      <c r="F217" s="320" t="n"/>
      <c r="G217" s="320" t="n"/>
      <c r="H217" s="10" t="n"/>
      <c r="I217" s="10" t="n"/>
      <c r="J217" s="10" t="n"/>
      <c r="L217" s="40" t="n"/>
      <c r="M217" s="183" t="n"/>
      <c r="N217" s="320" t="n"/>
      <c r="O217" s="320" t="n"/>
      <c r="P217" s="320" t="n"/>
      <c r="Q217" s="320" t="n"/>
      <c r="R217" s="10" t="n"/>
      <c r="S217" s="10" t="n"/>
      <c r="T217" s="10" t="n"/>
      <c r="U217" s="10" t="n"/>
      <c r="V217" s="323" t="n"/>
      <c r="X217" s="7" t="n"/>
      <c r="Y217" s="7" t="n"/>
      <c r="Z217" s="66" t="n"/>
    </row>
    <row r="218">
      <c r="B218" s="40" t="n"/>
      <c r="C218" s="183" t="n"/>
      <c r="D218" s="320" t="n"/>
      <c r="E218" s="320" t="n"/>
      <c r="F218" s="320" t="n"/>
      <c r="G218" s="320" t="n"/>
      <c r="H218" s="10" t="n"/>
      <c r="I218" s="10" t="n"/>
      <c r="J218" s="10" t="n"/>
      <c r="L218" s="40" t="n"/>
      <c r="M218" s="183" t="n"/>
      <c r="N218" s="320" t="n"/>
      <c r="O218" s="320" t="n"/>
      <c r="P218" s="320" t="n"/>
      <c r="Q218" s="320" t="n"/>
      <c r="R218" s="10" t="n"/>
      <c r="S218" s="10" t="n"/>
      <c r="T218" s="10" t="n"/>
      <c r="U218" s="10" t="n"/>
      <c r="V218" s="323" t="n"/>
      <c r="X218" s="7" t="n"/>
      <c r="Y218" s="7" t="n"/>
      <c r="Z218" s="66" t="n"/>
    </row>
    <row r="219" ht="16.5" customHeight="1" s="279">
      <c r="B219" s="40" t="n"/>
      <c r="C219" s="183" t="n"/>
      <c r="D219" s="320" t="n"/>
      <c r="E219" s="320" t="n"/>
      <c r="F219" s="320" t="n"/>
      <c r="G219" s="320" t="n"/>
      <c r="H219" s="10" t="n"/>
      <c r="I219" s="10" t="n"/>
      <c r="J219" s="10" t="n"/>
      <c r="L219" s="40" t="n"/>
      <c r="M219" s="183" t="n"/>
      <c r="N219" s="320" t="n"/>
      <c r="O219" s="320" t="n"/>
      <c r="P219" s="320" t="n"/>
      <c r="Q219" s="320" t="n"/>
      <c r="R219" s="10" t="n"/>
      <c r="S219" s="10" t="n"/>
      <c r="T219" s="10" t="n"/>
      <c r="U219" s="10" t="n"/>
      <c r="V219" s="323" t="n"/>
      <c r="X219" s="7" t="n"/>
      <c r="Y219" s="7" t="n"/>
      <c r="Z219" s="66" t="n"/>
      <c r="AB219" s="324" t="n"/>
    </row>
    <row r="220">
      <c r="B220" s="40" t="n"/>
      <c r="C220" s="183" t="n"/>
      <c r="D220" s="320" t="n"/>
      <c r="E220" s="320" t="n"/>
      <c r="F220" s="320" t="n"/>
      <c r="G220" s="320" t="n"/>
      <c r="H220" s="10" t="n"/>
      <c r="I220" s="10" t="n"/>
      <c r="J220" s="10" t="n"/>
      <c r="L220" s="40" t="n"/>
      <c r="M220" s="183" t="n"/>
      <c r="N220" s="320" t="n"/>
      <c r="O220" s="320" t="n"/>
      <c r="P220" s="320" t="n"/>
      <c r="Q220" s="320" t="n"/>
      <c r="R220" s="10" t="n"/>
      <c r="S220" s="10" t="n"/>
      <c r="T220" s="10" t="n"/>
      <c r="U220" s="10" t="n"/>
      <c r="V220" s="67" t="n"/>
      <c r="X220" s="7" t="n"/>
      <c r="Y220" s="7" t="n"/>
      <c r="Z220" s="66" t="n"/>
    </row>
    <row r="221" ht="16.5" customHeight="1" s="279">
      <c r="B221" s="40" t="n"/>
      <c r="D221" s="320" t="n"/>
      <c r="E221" s="320" t="n"/>
      <c r="F221" s="320" t="n"/>
      <c r="G221" s="320" t="n"/>
      <c r="H221" s="10" t="n"/>
      <c r="I221" s="10" t="n"/>
      <c r="J221" s="10" t="n"/>
      <c r="L221" s="40" t="n"/>
      <c r="M221" s="183" t="n"/>
      <c r="N221" s="320" t="n"/>
      <c r="O221" s="320" t="n"/>
      <c r="P221" s="320" t="n"/>
      <c r="Q221" s="320" t="n"/>
      <c r="R221" s="10" t="n"/>
      <c r="S221" s="10" t="n"/>
      <c r="T221" s="10" t="n"/>
      <c r="U221" s="10" t="n"/>
      <c r="V221" s="67" t="n"/>
      <c r="X221" s="68" t="n"/>
      <c r="Y221" s="68" t="n"/>
      <c r="Z221" s="66" t="n"/>
    </row>
  </sheetData>
  <mergeCells count="93">
    <mergeCell ref="L93:N93"/>
    <mergeCell ref="F16:G16"/>
    <mergeCell ref="R27:T27"/>
    <mergeCell ref="F2:H2"/>
    <mergeCell ref="B93:C93"/>
    <mergeCell ref="B37:D37"/>
    <mergeCell ref="X5:Z5"/>
    <mergeCell ref="L60:N60"/>
    <mergeCell ref="B92:D92"/>
    <mergeCell ref="X60:Z60"/>
    <mergeCell ref="F92:H92"/>
    <mergeCell ref="L59:N59"/>
    <mergeCell ref="B38:C38"/>
    <mergeCell ref="X59:Z59"/>
    <mergeCell ref="R5:T5"/>
    <mergeCell ref="B4:D4"/>
    <mergeCell ref="L48:N48"/>
    <mergeCell ref="B49:C49"/>
    <mergeCell ref="F71:G71"/>
    <mergeCell ref="R38:T38"/>
    <mergeCell ref="L103:N103"/>
    <mergeCell ref="B104:C104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F103:H103"/>
    <mergeCell ref="R16:T16"/>
    <mergeCell ref="B59:D59"/>
    <mergeCell ref="L37:N37"/>
    <mergeCell ref="F59:H59"/>
    <mergeCell ref="F15:H15"/>
    <mergeCell ref="B48:D48"/>
    <mergeCell ref="X103:Z103"/>
    <mergeCell ref="F26:H26"/>
    <mergeCell ref="L4:N4"/>
    <mergeCell ref="B71:C71"/>
    <mergeCell ref="X15:Z15"/>
    <mergeCell ref="L104:N104"/>
    <mergeCell ref="F81:H81"/>
    <mergeCell ref="X38:Z38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F49:G49"/>
    <mergeCell ref="X37:Z37"/>
    <mergeCell ref="L5:N5"/>
    <mergeCell ref="L92:N92"/>
    <mergeCell ref="F70:H70"/>
    <mergeCell ref="X92:Z92"/>
    <mergeCell ref="B103:D103"/>
    <mergeCell ref="L38:N38"/>
    <mergeCell ref="F104:G104"/>
    <mergeCell ref="X4:Z4"/>
    <mergeCell ref="B15:D15"/>
    <mergeCell ref="F48:H48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U19:U22">
    <cfRule type="dataBar" priority="778">
      <dataBar>
        <cfvo type="min"/>
        <cfvo type="max"/>
        <color rgb="FF008AEF"/>
      </dataBar>
    </cfRule>
  </conditionalFormatting>
  <conditionalFormatting sqref="Z23:Z24">
    <cfRule type="cellIs" priority="775" operator="lessThan" dxfId="1" stopIfTrue="1">
      <formula>-0.01</formula>
    </cfRule>
    <cfRule type="cellIs" priority="776" operator="greaterThan" dxfId="0" stopIfTrue="1">
      <formula>0.01</formula>
    </cfRule>
  </conditionalFormatting>
  <conditionalFormatting sqref="I24">
    <cfRule type="dataBar" priority="774">
      <dataBar>
        <cfvo type="min"/>
        <cfvo type="max"/>
        <color rgb="FF008AEF"/>
      </dataBar>
    </cfRule>
  </conditionalFormatting>
  <conditionalFormatting sqref="R23:T24">
    <cfRule type="dataBar" priority="773">
      <dataBar>
        <cfvo type="min"/>
        <cfvo type="max"/>
        <color rgb="FF008AEF"/>
      </dataBar>
    </cfRule>
  </conditionalFormatting>
  <conditionalFormatting sqref="U23:U24">
    <cfRule type="dataBar" priority="777">
      <dataBar>
        <cfvo type="min"/>
        <cfvo type="max"/>
        <color rgb="FF008AEF"/>
      </dataBar>
    </cfRule>
  </conditionalFormatting>
  <conditionalFormatting sqref="AB18">
    <cfRule type="cellIs" priority="770" operator="greaterThan" dxfId="1">
      <formula>0.03</formula>
    </cfRule>
    <cfRule type="cellIs" priority="771" operator="lessThan" dxfId="0" stopIfTrue="1">
      <formula>-0.03</formula>
    </cfRule>
  </conditionalFormatting>
  <conditionalFormatting sqref="AB22">
    <cfRule type="cellIs" priority="768" operator="lessThan" dxfId="1">
      <formula>-0.03</formula>
    </cfRule>
    <cfRule type="cellIs" priority="769" operator="greaterThan" dxfId="0" stopIfTrue="1">
      <formula>0.03</formula>
    </cfRule>
  </conditionalFormatting>
  <conditionalFormatting sqref="Z18">
    <cfRule type="cellIs" priority="766" operator="lessThan" dxfId="1" stopIfTrue="1">
      <formula>-0.01</formula>
    </cfRule>
    <cfRule type="cellIs" priority="767" operator="greaterThan" dxfId="0" stopIfTrue="1">
      <formula>0.01</formula>
    </cfRule>
  </conditionalFormatting>
  <conditionalFormatting sqref="Z19">
    <cfRule type="cellIs" priority="764" operator="lessThan" dxfId="1" stopIfTrue="1">
      <formula>-0.01</formula>
    </cfRule>
    <cfRule type="cellIs" priority="765" operator="greaterThan" dxfId="0" stopIfTrue="1">
      <formula>0.01</formula>
    </cfRule>
  </conditionalFormatting>
  <conditionalFormatting sqref="Z20:Z21">
    <cfRule type="cellIs" priority="762" operator="lessThan" dxfId="1" stopIfTrue="1">
      <formula>-0.01</formula>
    </cfRule>
    <cfRule type="cellIs" priority="763" operator="greaterThan" dxfId="0" stopIfTrue="1">
      <formula>0.01</formula>
    </cfRule>
  </conditionalFormatting>
  <conditionalFormatting sqref="Z22">
    <cfRule type="cellIs" priority="760" operator="lessThan" dxfId="1" stopIfTrue="1">
      <formula>-0.01</formula>
    </cfRule>
    <cfRule type="cellIs" priority="761" operator="greaterThan" dxfId="0" stopIfTrue="1">
      <formula>0.01</formula>
    </cfRule>
  </conditionalFormatting>
  <conditionalFormatting sqref="V18:V22">
    <cfRule type="cellIs" priority="758" operator="greaterThan" dxfId="1">
      <formula>0.03</formula>
    </cfRule>
    <cfRule type="cellIs" priority="759" operator="lessThan" dxfId="0" stopIfTrue="1">
      <formula>-0.03</formula>
    </cfRule>
  </conditionalFormatting>
  <conditionalFormatting sqref="R19:T19">
    <cfRule type="dataBar" priority="757">
      <dataBar>
        <cfvo type="min"/>
        <cfvo type="max"/>
        <color rgb="FF008AEF"/>
      </dataBar>
    </cfRule>
  </conditionalFormatting>
  <conditionalFormatting sqref="R20:T21">
    <cfRule type="dataBar" priority="756">
      <dataBar>
        <cfvo type="min"/>
        <cfvo type="max"/>
        <color rgb="FF008AEF"/>
      </dataBar>
    </cfRule>
  </conditionalFormatting>
  <conditionalFormatting sqref="R22:T22">
    <cfRule type="dataBar" priority="755">
      <dataBar>
        <cfvo type="min"/>
        <cfvo type="max"/>
        <color rgb="FF008AEF"/>
      </dataBar>
    </cfRule>
  </conditionalFormatting>
  <conditionalFormatting sqref="R18:U18">
    <cfRule type="dataBar" priority="772">
      <dataBar>
        <cfvo type="min"/>
        <cfvo type="max"/>
        <color rgb="FF008AEF"/>
      </dataBar>
    </cfRule>
  </conditionalFormatting>
  <conditionalFormatting sqref="Z34:Z35">
    <cfRule type="cellIs" priority="752" operator="lessThan" dxfId="1" stopIfTrue="1">
      <formula>-0.01</formula>
    </cfRule>
    <cfRule type="cellIs" priority="753" operator="greaterThan" dxfId="0" stopIfTrue="1">
      <formula>0.01</formula>
    </cfRule>
  </conditionalFormatting>
  <conditionalFormatting sqref="R34:T35">
    <cfRule type="dataBar" priority="751">
      <dataBar>
        <cfvo type="min"/>
        <cfvo type="max"/>
        <color rgb="FF008AEF"/>
      </dataBar>
    </cfRule>
  </conditionalFormatting>
  <conditionalFormatting sqref="U34:U35">
    <cfRule type="dataBar" priority="754">
      <dataBar>
        <cfvo type="min"/>
        <cfvo type="max"/>
        <color rgb="FF008AEF"/>
      </dataBar>
    </cfRule>
  </conditionalFormatting>
  <conditionalFormatting sqref="AB29">
    <cfRule type="cellIs" priority="748" operator="greaterThan" dxfId="1">
      <formula>0.03</formula>
    </cfRule>
    <cfRule type="cellIs" priority="749" operator="lessThan" dxfId="0" stopIfTrue="1">
      <formula>-0.03</formula>
    </cfRule>
  </conditionalFormatting>
  <conditionalFormatting sqref="AB33">
    <cfRule type="cellIs" priority="746" operator="lessThan" dxfId="1">
      <formula>-0.03</formula>
    </cfRule>
    <cfRule type="cellIs" priority="747" operator="greaterThan" dxfId="0" stopIfTrue="1">
      <formula>0.03</formula>
    </cfRule>
  </conditionalFormatting>
  <conditionalFormatting sqref="Z29">
    <cfRule type="cellIs" priority="744" operator="lessThan" dxfId="1" stopIfTrue="1">
      <formula>-0.01</formula>
    </cfRule>
    <cfRule type="cellIs" priority="745" operator="greaterThan" dxfId="0" stopIfTrue="1">
      <formula>0.01</formula>
    </cfRule>
  </conditionalFormatting>
  <conditionalFormatting sqref="Z30">
    <cfRule type="cellIs" priority="742" operator="lessThan" dxfId="1" stopIfTrue="1">
      <formula>-0.01</formula>
    </cfRule>
    <cfRule type="cellIs" priority="743" operator="greaterThan" dxfId="0" stopIfTrue="1">
      <formula>0.01</formula>
    </cfRule>
  </conditionalFormatting>
  <conditionalFormatting sqref="Z31:Z32">
    <cfRule type="cellIs" priority="740" operator="lessThan" dxfId="1" stopIfTrue="1">
      <formula>-0.01</formula>
    </cfRule>
    <cfRule type="cellIs" priority="741" operator="greaterThan" dxfId="0" stopIfTrue="1">
      <formula>0.01</formula>
    </cfRule>
  </conditionalFormatting>
  <conditionalFormatting sqref="Z33">
    <cfRule type="cellIs" priority="738" operator="lessThan" dxfId="1" stopIfTrue="1">
      <formula>-0.01</formula>
    </cfRule>
    <cfRule type="cellIs" priority="739" operator="greaterThan" dxfId="0" stopIfTrue="1">
      <formula>0.01</formula>
    </cfRule>
  </conditionalFormatting>
  <conditionalFormatting sqref="V29:V33">
    <cfRule type="cellIs" priority="736" operator="greaterThan" dxfId="1">
      <formula>0.03</formula>
    </cfRule>
    <cfRule type="cellIs" priority="737" operator="lessThan" dxfId="0" stopIfTrue="1">
      <formula>-0.03</formula>
    </cfRule>
  </conditionalFormatting>
  <conditionalFormatting sqref="R30:T30">
    <cfRule type="dataBar" priority="735">
      <dataBar>
        <cfvo type="min"/>
        <cfvo type="max"/>
        <color rgb="FF008AEF"/>
      </dataBar>
    </cfRule>
  </conditionalFormatting>
  <conditionalFormatting sqref="R31:T32">
    <cfRule type="dataBar" priority="734">
      <dataBar>
        <cfvo type="min"/>
        <cfvo type="max"/>
        <color rgb="FF008AEF"/>
      </dataBar>
    </cfRule>
  </conditionalFormatting>
  <conditionalFormatting sqref="R33:T33">
    <cfRule type="dataBar" priority="733">
      <dataBar>
        <cfvo type="min"/>
        <cfvo type="max"/>
        <color rgb="FF008AEF"/>
      </dataBar>
    </cfRule>
  </conditionalFormatting>
  <conditionalFormatting sqref="R29:U29 U30:U33">
    <cfRule type="dataBar" priority="750">
      <dataBar>
        <cfvo type="min"/>
        <cfvo type="max"/>
        <color rgb="FF008AEF"/>
      </dataBar>
    </cfRule>
  </conditionalFormatting>
  <conditionalFormatting sqref="Z45:Z46">
    <cfRule type="cellIs" priority="730" operator="lessThan" dxfId="1" stopIfTrue="1">
      <formula>-0.01</formula>
    </cfRule>
    <cfRule type="cellIs" priority="731" operator="greaterThan" dxfId="0" stopIfTrue="1">
      <formula>0.01</formula>
    </cfRule>
  </conditionalFormatting>
  <conditionalFormatting sqref="R45:T46">
    <cfRule type="dataBar" priority="729">
      <dataBar>
        <cfvo type="min"/>
        <cfvo type="max"/>
        <color rgb="FF008AEF"/>
      </dataBar>
    </cfRule>
  </conditionalFormatting>
  <conditionalFormatting sqref="U45:U46">
    <cfRule type="dataBar" priority="732">
      <dataBar>
        <cfvo type="min"/>
        <cfvo type="max"/>
        <color rgb="FF008AEF"/>
      </dataBar>
    </cfRule>
  </conditionalFormatting>
  <conditionalFormatting sqref="AB40">
    <cfRule type="cellIs" priority="726" operator="greaterThan" dxfId="1">
      <formula>0.03</formula>
    </cfRule>
    <cfRule type="cellIs" priority="727" operator="lessThan" dxfId="0" stopIfTrue="1">
      <formula>-0.03</formula>
    </cfRule>
  </conditionalFormatting>
  <conditionalFormatting sqref="AB44">
    <cfRule type="cellIs" priority="724" operator="lessThan" dxfId="1">
      <formula>-0.03</formula>
    </cfRule>
    <cfRule type="cellIs" priority="725" operator="greaterThan" dxfId="0" stopIfTrue="1">
      <formula>0.03</formula>
    </cfRule>
  </conditionalFormatting>
  <conditionalFormatting sqref="Z40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Z41">
    <cfRule type="cellIs" priority="720" operator="lessThan" dxfId="1" stopIfTrue="1">
      <formula>-0.01</formula>
    </cfRule>
    <cfRule type="cellIs" priority="721" operator="greaterThan" dxfId="0" stopIfTrue="1">
      <formula>0.01</formula>
    </cfRule>
  </conditionalFormatting>
  <conditionalFormatting sqref="Z42:Z43">
    <cfRule type="cellIs" priority="718" operator="lessThan" dxfId="1" stopIfTrue="1">
      <formula>-0.01</formula>
    </cfRule>
    <cfRule type="cellIs" priority="719" operator="greaterThan" dxfId="0" stopIfTrue="1">
      <formula>0.01</formula>
    </cfRule>
  </conditionalFormatting>
  <conditionalFormatting sqref="Z44">
    <cfRule type="cellIs" priority="716" operator="lessThan" dxfId="1" stopIfTrue="1">
      <formula>-0.01</formula>
    </cfRule>
    <cfRule type="cellIs" priority="717" operator="greaterThan" dxfId="0" stopIfTrue="1">
      <formula>0.01</formula>
    </cfRule>
  </conditionalFormatting>
  <conditionalFormatting sqref="V40:V44">
    <cfRule type="cellIs" priority="714" operator="greaterThan" dxfId="1">
      <formula>0.03</formula>
    </cfRule>
    <cfRule type="cellIs" priority="715" operator="lessThan" dxfId="0" stopIfTrue="1">
      <formula>-0.03</formula>
    </cfRule>
  </conditionalFormatting>
  <conditionalFormatting sqref="R41:T41">
    <cfRule type="dataBar" priority="713">
      <dataBar>
        <cfvo type="min"/>
        <cfvo type="max"/>
        <color rgb="FF008AEF"/>
      </dataBar>
    </cfRule>
  </conditionalFormatting>
  <conditionalFormatting sqref="R42:T43">
    <cfRule type="dataBar" priority="712">
      <dataBar>
        <cfvo type="min"/>
        <cfvo type="max"/>
        <color rgb="FF008AEF"/>
      </dataBar>
    </cfRule>
  </conditionalFormatting>
  <conditionalFormatting sqref="R44:T44">
    <cfRule type="dataBar" priority="711">
      <dataBar>
        <cfvo type="min"/>
        <cfvo type="max"/>
        <color rgb="FF008AEF"/>
      </dataBar>
    </cfRule>
  </conditionalFormatting>
  <conditionalFormatting sqref="R40:U40 U41:U44">
    <cfRule type="dataBar" priority="728">
      <dataBar>
        <cfvo type="min"/>
        <cfvo type="max"/>
        <color rgb="FF008AEF"/>
      </dataBar>
    </cfRule>
  </conditionalFormatting>
  <conditionalFormatting sqref="Z56:Z57">
    <cfRule type="cellIs" priority="708" operator="lessThan" dxfId="1" stopIfTrue="1">
      <formula>-0.01</formula>
    </cfRule>
    <cfRule type="cellIs" priority="709" operator="greaterThan" dxfId="0" stopIfTrue="1">
      <formula>0.01</formula>
    </cfRule>
  </conditionalFormatting>
  <conditionalFormatting sqref="R56:T57">
    <cfRule type="dataBar" priority="707">
      <dataBar>
        <cfvo type="min"/>
        <cfvo type="max"/>
        <color rgb="FF008AEF"/>
      </dataBar>
    </cfRule>
  </conditionalFormatting>
  <conditionalFormatting sqref="U56:U57">
    <cfRule type="dataBar" priority="710">
      <dataBar>
        <cfvo type="min"/>
        <cfvo type="max"/>
        <color rgb="FF008AEF"/>
      </dataBar>
    </cfRule>
  </conditionalFormatting>
  <conditionalFormatting sqref="AB51">
    <cfRule type="cellIs" priority="704" operator="greaterThan" dxfId="1">
      <formula>0.03</formula>
    </cfRule>
    <cfRule type="cellIs" priority="705" operator="lessThan" dxfId="0" stopIfTrue="1">
      <formula>-0.03</formula>
    </cfRule>
  </conditionalFormatting>
  <conditionalFormatting sqref="AB55">
    <cfRule type="cellIs" priority="702" operator="lessThan" dxfId="1">
      <formula>-0.03</formula>
    </cfRule>
    <cfRule type="cellIs" priority="703" operator="greaterThan" dxfId="0" stopIfTrue="1">
      <formula>0.03</formula>
    </cfRule>
  </conditionalFormatting>
  <conditionalFormatting sqref="Z51">
    <cfRule type="cellIs" priority="700" operator="lessThan" dxfId="1" stopIfTrue="1">
      <formula>-0.01</formula>
    </cfRule>
    <cfRule type="cellIs" priority="701" operator="greaterThan" dxfId="0" stopIfTrue="1">
      <formula>0.01</formula>
    </cfRule>
  </conditionalFormatting>
  <conditionalFormatting sqref="Z52">
    <cfRule type="cellIs" priority="698" operator="lessThan" dxfId="1" stopIfTrue="1">
      <formula>-0.01</formula>
    </cfRule>
    <cfRule type="cellIs" priority="699" operator="greaterThan" dxfId="0" stopIfTrue="1">
      <formula>0.01</formula>
    </cfRule>
  </conditionalFormatting>
  <conditionalFormatting sqref="Z53:Z54">
    <cfRule type="cellIs" priority="696" operator="lessThan" dxfId="1" stopIfTrue="1">
      <formula>-0.01</formula>
    </cfRule>
    <cfRule type="cellIs" priority="697" operator="greaterThan" dxfId="0" stopIfTrue="1">
      <formula>0.01</formula>
    </cfRule>
  </conditionalFormatting>
  <conditionalFormatting sqref="Z55">
    <cfRule type="cellIs" priority="694" operator="lessThan" dxfId="1" stopIfTrue="1">
      <formula>-0.01</formula>
    </cfRule>
    <cfRule type="cellIs" priority="695" operator="greaterThan" dxfId="0" stopIfTrue="1">
      <formula>0.01</formula>
    </cfRule>
  </conditionalFormatting>
  <conditionalFormatting sqref="V51:V55">
    <cfRule type="cellIs" priority="692" operator="greaterThan" dxfId="1">
      <formula>0.03</formula>
    </cfRule>
    <cfRule type="cellIs" priority="693" operator="lessThan" dxfId="0" stopIfTrue="1">
      <formula>-0.03</formula>
    </cfRule>
  </conditionalFormatting>
  <conditionalFormatting sqref="R52:T52">
    <cfRule type="dataBar" priority="691">
      <dataBar>
        <cfvo type="min"/>
        <cfvo type="max"/>
        <color rgb="FF008AEF"/>
      </dataBar>
    </cfRule>
  </conditionalFormatting>
  <conditionalFormatting sqref="R53:T54">
    <cfRule type="dataBar" priority="690">
      <dataBar>
        <cfvo type="min"/>
        <cfvo type="max"/>
        <color rgb="FF008AEF"/>
      </dataBar>
    </cfRule>
  </conditionalFormatting>
  <conditionalFormatting sqref="R55:T55">
    <cfRule type="dataBar" priority="689">
      <dataBar>
        <cfvo type="min"/>
        <cfvo type="max"/>
        <color rgb="FF008AEF"/>
      </dataBar>
    </cfRule>
  </conditionalFormatting>
  <conditionalFormatting sqref="R51:U51 U52:U55">
    <cfRule type="dataBar" priority="706">
      <dataBar>
        <cfvo type="min"/>
        <cfvo type="max"/>
        <color rgb="FF008AEF"/>
      </dataBar>
    </cfRule>
  </conditionalFormatting>
  <conditionalFormatting sqref="Z67:Z68">
    <cfRule type="cellIs" priority="686" operator="lessThan" dxfId="1" stopIfTrue="1">
      <formula>-0.01</formula>
    </cfRule>
    <cfRule type="cellIs" priority="687" operator="greaterThan" dxfId="0" stopIfTrue="1">
      <formula>0.01</formula>
    </cfRule>
  </conditionalFormatting>
  <conditionalFormatting sqref="R67:T68">
    <cfRule type="dataBar" priority="685">
      <dataBar>
        <cfvo type="min"/>
        <cfvo type="max"/>
        <color rgb="FF008AEF"/>
      </dataBar>
    </cfRule>
  </conditionalFormatting>
  <conditionalFormatting sqref="U67:U68">
    <cfRule type="dataBar" priority="688">
      <dataBar>
        <cfvo type="min"/>
        <cfvo type="max"/>
        <color rgb="FF008AEF"/>
      </dataBar>
    </cfRule>
  </conditionalFormatting>
  <conditionalFormatting sqref="AB62">
    <cfRule type="cellIs" priority="682" operator="greaterThan" dxfId="1">
      <formula>0.03</formula>
    </cfRule>
    <cfRule type="cellIs" priority="683" operator="lessThan" dxfId="0" stopIfTrue="1">
      <formula>-0.03</formula>
    </cfRule>
  </conditionalFormatting>
  <conditionalFormatting sqref="AB66">
    <cfRule type="cellIs" priority="680" operator="lessThan" dxfId="1">
      <formula>-0.03</formula>
    </cfRule>
    <cfRule type="cellIs" priority="681" operator="greaterThan" dxfId="0" stopIfTrue="1">
      <formula>0.03</formula>
    </cfRule>
  </conditionalFormatting>
  <conditionalFormatting sqref="Z62">
    <cfRule type="cellIs" priority="678" operator="lessThan" dxfId="1" stopIfTrue="1">
      <formula>-0.01</formula>
    </cfRule>
    <cfRule type="cellIs" priority="679" operator="greaterThan" dxfId="0" stopIfTrue="1">
      <formula>0.01</formula>
    </cfRule>
  </conditionalFormatting>
  <conditionalFormatting sqref="Z63">
    <cfRule type="cellIs" priority="676" operator="lessThan" dxfId="1" stopIfTrue="1">
      <formula>-0.01</formula>
    </cfRule>
    <cfRule type="cellIs" priority="677" operator="greaterThan" dxfId="0" stopIfTrue="1">
      <formula>0.01</formula>
    </cfRule>
  </conditionalFormatting>
  <conditionalFormatting sqref="Z64:Z65">
    <cfRule type="cellIs" priority="674" operator="lessThan" dxfId="1" stopIfTrue="1">
      <formula>-0.01</formula>
    </cfRule>
    <cfRule type="cellIs" priority="675" operator="greaterThan" dxfId="0" stopIfTrue="1">
      <formula>0.01</formula>
    </cfRule>
  </conditionalFormatting>
  <conditionalFormatting sqref="Z66">
    <cfRule type="cellIs" priority="672" operator="lessThan" dxfId="1" stopIfTrue="1">
      <formula>-0.01</formula>
    </cfRule>
    <cfRule type="cellIs" priority="673" operator="greaterThan" dxfId="0" stopIfTrue="1">
      <formula>0.01</formula>
    </cfRule>
  </conditionalFormatting>
  <conditionalFormatting sqref="V62:V66">
    <cfRule type="cellIs" priority="670" operator="greaterThan" dxfId="1">
      <formula>0.03</formula>
    </cfRule>
    <cfRule type="cellIs" priority="671" operator="lessThan" dxfId="0" stopIfTrue="1">
      <formula>-0.03</formula>
    </cfRule>
  </conditionalFormatting>
  <conditionalFormatting sqref="R63:T63">
    <cfRule type="dataBar" priority="669">
      <dataBar>
        <cfvo type="min"/>
        <cfvo type="max"/>
        <color rgb="FF008AEF"/>
      </dataBar>
    </cfRule>
  </conditionalFormatting>
  <conditionalFormatting sqref="R64:T65">
    <cfRule type="dataBar" priority="668">
      <dataBar>
        <cfvo type="min"/>
        <cfvo type="max"/>
        <color rgb="FF008AEF"/>
      </dataBar>
    </cfRule>
  </conditionalFormatting>
  <conditionalFormatting sqref="R66:T66">
    <cfRule type="dataBar" priority="667">
      <dataBar>
        <cfvo type="min"/>
        <cfvo type="max"/>
        <color rgb="FF008AEF"/>
      </dataBar>
    </cfRule>
  </conditionalFormatting>
  <conditionalFormatting sqref="R62:U62 U63:U66">
    <cfRule type="dataBar" priority="684">
      <dataBar>
        <cfvo type="min"/>
        <cfvo type="max"/>
        <color rgb="FF008AEF"/>
      </dataBar>
    </cfRule>
  </conditionalFormatting>
  <conditionalFormatting sqref="Z78:Z79">
    <cfRule type="cellIs" priority="664" operator="lessThan" dxfId="1" stopIfTrue="1">
      <formula>-0.01</formula>
    </cfRule>
    <cfRule type="cellIs" priority="665" operator="greaterThan" dxfId="0" stopIfTrue="1">
      <formula>0.01</formula>
    </cfRule>
  </conditionalFormatting>
  <conditionalFormatting sqref="R78:T79">
    <cfRule type="dataBar" priority="663">
      <dataBar>
        <cfvo type="min"/>
        <cfvo type="max"/>
        <color rgb="FF008AEF"/>
      </dataBar>
    </cfRule>
  </conditionalFormatting>
  <conditionalFormatting sqref="U78:U79">
    <cfRule type="dataBar" priority="666">
      <dataBar>
        <cfvo type="min"/>
        <cfvo type="max"/>
        <color rgb="FF008AEF"/>
      </dataBar>
    </cfRule>
  </conditionalFormatting>
  <conditionalFormatting sqref="AB73">
    <cfRule type="cellIs" priority="660" operator="greaterThan" dxfId="1">
      <formula>0.03</formula>
    </cfRule>
    <cfRule type="cellIs" priority="661" operator="lessThan" dxfId="0" stopIfTrue="1">
      <formula>-0.03</formula>
    </cfRule>
  </conditionalFormatting>
  <conditionalFormatting sqref="AB77">
    <cfRule type="cellIs" priority="658" operator="lessThan" dxfId="1">
      <formula>-0.03</formula>
    </cfRule>
    <cfRule type="cellIs" priority="659" operator="greaterThan" dxfId="0" stopIfTrue="1">
      <formula>0.03</formula>
    </cfRule>
  </conditionalFormatting>
  <conditionalFormatting sqref="Z73">
    <cfRule type="cellIs" priority="656" operator="lessThan" dxfId="1" stopIfTrue="1">
      <formula>-0.01</formula>
    </cfRule>
    <cfRule type="cellIs" priority="657" operator="greaterThan" dxfId="0" stopIfTrue="1">
      <formula>0.01</formula>
    </cfRule>
  </conditionalFormatting>
  <conditionalFormatting sqref="Z74">
    <cfRule type="cellIs" priority="654" operator="lessThan" dxfId="1" stopIfTrue="1">
      <formula>-0.01</formula>
    </cfRule>
    <cfRule type="cellIs" priority="655" operator="greaterThan" dxfId="0" stopIfTrue="1">
      <formula>0.01</formula>
    </cfRule>
  </conditionalFormatting>
  <conditionalFormatting sqref="Z75:Z76">
    <cfRule type="cellIs" priority="652" operator="lessThan" dxfId="1" stopIfTrue="1">
      <formula>-0.01</formula>
    </cfRule>
    <cfRule type="cellIs" priority="653" operator="greaterThan" dxfId="0" stopIfTrue="1">
      <formula>0.01</formula>
    </cfRule>
  </conditionalFormatting>
  <conditionalFormatting sqref="Z77">
    <cfRule type="cellIs" priority="650" operator="lessThan" dxfId="1" stopIfTrue="1">
      <formula>-0.01</formula>
    </cfRule>
    <cfRule type="cellIs" priority="651" operator="greaterThan" dxfId="0" stopIfTrue="1">
      <formula>0.01</formula>
    </cfRule>
  </conditionalFormatting>
  <conditionalFormatting sqref="V73:V77">
    <cfRule type="cellIs" priority="648" operator="greaterThan" dxfId="1">
      <formula>0.03</formula>
    </cfRule>
    <cfRule type="cellIs" priority="649" operator="lessThan" dxfId="0" stopIfTrue="1">
      <formula>-0.03</formula>
    </cfRule>
  </conditionalFormatting>
  <conditionalFormatting sqref="R74:T74">
    <cfRule type="dataBar" priority="647">
      <dataBar>
        <cfvo type="min"/>
        <cfvo type="max"/>
        <color rgb="FF008AEF"/>
      </dataBar>
    </cfRule>
  </conditionalFormatting>
  <conditionalFormatting sqref="R75:T76">
    <cfRule type="dataBar" priority="646">
      <dataBar>
        <cfvo type="min"/>
        <cfvo type="max"/>
        <color rgb="FF008AEF"/>
      </dataBar>
    </cfRule>
  </conditionalFormatting>
  <conditionalFormatting sqref="R77:T77">
    <cfRule type="dataBar" priority="645">
      <dataBar>
        <cfvo type="min"/>
        <cfvo type="max"/>
        <color rgb="FF008AEF"/>
      </dataBar>
    </cfRule>
  </conditionalFormatting>
  <conditionalFormatting sqref="R73:U73 U74:U77">
    <cfRule type="dataBar" priority="662">
      <dataBar>
        <cfvo type="min"/>
        <cfvo type="max"/>
        <color rgb="FF008AEF"/>
      </dataBar>
    </cfRule>
  </conditionalFormatting>
  <conditionalFormatting sqref="AB116">
    <cfRule type="cellIs" priority="585" operator="greaterThan" dxfId="1">
      <formula>0.03</formula>
    </cfRule>
    <cfRule type="cellIs" priority="586" operator="lessThan" dxfId="0" stopIfTrue="1">
      <formula>-0.03</formula>
    </cfRule>
  </conditionalFormatting>
  <conditionalFormatting sqref="AB119">
    <cfRule type="cellIs" priority="583" operator="lessThan" dxfId="1">
      <formula>-0.03</formula>
    </cfRule>
    <cfRule type="cellIs" priority="584" operator="greaterThan" dxfId="0" stopIfTrue="1">
      <formula>0.03</formula>
    </cfRule>
  </conditionalFormatting>
  <conditionalFormatting sqref="AB126">
    <cfRule type="cellIs" priority="581" operator="greaterThan" dxfId="1">
      <formula>0.03</formula>
    </cfRule>
    <cfRule type="cellIs" priority="582" operator="lessThan" dxfId="0" stopIfTrue="1">
      <formula>-0.03</formula>
    </cfRule>
  </conditionalFormatting>
  <conditionalFormatting sqref="AB129">
    <cfRule type="cellIs" priority="579" operator="lessThan" dxfId="1">
      <formula>-0.03</formula>
    </cfRule>
    <cfRule type="cellIs" priority="580" operator="greaterThan" dxfId="0" stopIfTrue="1">
      <formula>0.03</formula>
    </cfRule>
  </conditionalFormatting>
  <conditionalFormatting sqref="AB136">
    <cfRule type="cellIs" priority="577" operator="greaterThan" dxfId="1">
      <formula>0.03</formula>
    </cfRule>
    <cfRule type="cellIs" priority="578" operator="lessThan" dxfId="0" stopIfTrue="1">
      <formula>-0.03</formula>
    </cfRule>
  </conditionalFormatting>
  <conditionalFormatting sqref="AB139">
    <cfRule type="cellIs" priority="575" operator="lessThan" dxfId="1">
      <formula>-0.03</formula>
    </cfRule>
    <cfRule type="cellIs" priority="576" operator="greaterThan" dxfId="0" stopIfTrue="1">
      <formula>0.03</formula>
    </cfRule>
  </conditionalFormatting>
  <conditionalFormatting sqref="AB146">
    <cfRule type="cellIs" priority="573" operator="greaterThan" dxfId="1">
      <formula>0.03</formula>
    </cfRule>
    <cfRule type="cellIs" priority="574" operator="lessThan" dxfId="0" stopIfTrue="1">
      <formula>-0.03</formula>
    </cfRule>
  </conditionalFormatting>
  <conditionalFormatting sqref="AB149">
    <cfRule type="cellIs" priority="571" operator="lessThan" dxfId="1">
      <formula>-0.03</formula>
    </cfRule>
    <cfRule type="cellIs" priority="572" operator="greaterThan" dxfId="0" stopIfTrue="1">
      <formula>0.03</formula>
    </cfRule>
  </conditionalFormatting>
  <conditionalFormatting sqref="AB156">
    <cfRule type="cellIs" priority="569" operator="greaterThan" dxfId="1">
      <formula>0.03</formula>
    </cfRule>
    <cfRule type="cellIs" priority="570" operator="lessThan" dxfId="0" stopIfTrue="1">
      <formula>-0.03</formula>
    </cfRule>
  </conditionalFormatting>
  <conditionalFormatting sqref="AB159">
    <cfRule type="cellIs" priority="567" operator="lessThan" dxfId="1">
      <formula>-0.03</formula>
    </cfRule>
    <cfRule type="cellIs" priority="568" operator="greaterThan" dxfId="0" stopIfTrue="1">
      <formula>0.03</formula>
    </cfRule>
  </conditionalFormatting>
  <conditionalFormatting sqref="AB166">
    <cfRule type="cellIs" priority="565" operator="greaterThan" dxfId="1">
      <formula>0.03</formula>
    </cfRule>
    <cfRule type="cellIs" priority="566" operator="lessThan" dxfId="0" stopIfTrue="1">
      <formula>-0.03</formula>
    </cfRule>
  </conditionalFormatting>
  <conditionalFormatting sqref="AB169">
    <cfRule type="cellIs" priority="563" operator="lessThan" dxfId="1">
      <formula>-0.03</formula>
    </cfRule>
    <cfRule type="cellIs" priority="564" operator="greaterThan" dxfId="0" stopIfTrue="1">
      <formula>0.03</formula>
    </cfRule>
  </conditionalFormatting>
  <conditionalFormatting sqref="AB176">
    <cfRule type="cellIs" priority="561" operator="greaterThan" dxfId="1">
      <formula>0.03</formula>
    </cfRule>
    <cfRule type="cellIs" priority="562" operator="lessThan" dxfId="0" stopIfTrue="1">
      <formula>-0.03</formula>
    </cfRule>
  </conditionalFormatting>
  <conditionalFormatting sqref="AB179">
    <cfRule type="cellIs" priority="559" operator="lessThan" dxfId="1">
      <formula>-0.03</formula>
    </cfRule>
    <cfRule type="cellIs" priority="560" operator="greaterThan" dxfId="0" stopIfTrue="1">
      <formula>0.03</formula>
    </cfRule>
  </conditionalFormatting>
  <conditionalFormatting sqref="AB186">
    <cfRule type="cellIs" priority="557" operator="greaterThan" dxfId="1">
      <formula>0.03</formula>
    </cfRule>
    <cfRule type="cellIs" priority="558" operator="lessThan" dxfId="0" stopIfTrue="1">
      <formula>-0.03</formula>
    </cfRule>
  </conditionalFormatting>
  <conditionalFormatting sqref="AB189">
    <cfRule type="cellIs" priority="555" operator="lessThan" dxfId="1">
      <formula>-0.03</formula>
    </cfRule>
    <cfRule type="cellIs" priority="556" operator="greaterThan" dxfId="0" stopIfTrue="1">
      <formula>0.03</formula>
    </cfRule>
  </conditionalFormatting>
  <conditionalFormatting sqref="AB196">
    <cfRule type="cellIs" priority="553" operator="greaterThan" dxfId="1">
      <formula>0.03</formula>
    </cfRule>
    <cfRule type="cellIs" priority="554" operator="lessThan" dxfId="0" stopIfTrue="1">
      <formula>-0.03</formula>
    </cfRule>
  </conditionalFormatting>
  <conditionalFormatting sqref="AB199">
    <cfRule type="cellIs" priority="551" operator="lessThan" dxfId="1">
      <formula>-0.03</formula>
    </cfRule>
    <cfRule type="cellIs" priority="552" operator="greaterThan" dxfId="0" stopIfTrue="1">
      <formula>0.03</formula>
    </cfRule>
  </conditionalFormatting>
  <conditionalFormatting sqref="AB206">
    <cfRule type="cellIs" priority="549" operator="greaterThan" dxfId="1">
      <formula>0.03</formula>
    </cfRule>
    <cfRule type="cellIs" priority="550" operator="lessThan" dxfId="0" stopIfTrue="1">
      <formula>-0.03</formula>
    </cfRule>
  </conditionalFormatting>
  <conditionalFormatting sqref="AB209">
    <cfRule type="cellIs" priority="547" operator="lessThan" dxfId="1">
      <formula>-0.03</formula>
    </cfRule>
    <cfRule type="cellIs" priority="548" operator="greaterThan" dxfId="0" stopIfTrue="1">
      <formula>0.03</formula>
    </cfRule>
  </conditionalFormatting>
  <conditionalFormatting sqref="Z220:Z221">
    <cfRule type="cellIs" priority="544" operator="lessThan" dxfId="1" stopIfTrue="1">
      <formula>-0.01</formula>
    </cfRule>
    <cfRule type="cellIs" priority="545" operator="greaterThan" dxfId="0" stopIfTrue="1">
      <formula>0.01</formula>
    </cfRule>
  </conditionalFormatting>
  <conditionalFormatting sqref="H220:J221">
    <cfRule type="dataBar" priority="543">
      <dataBar>
        <cfvo type="min"/>
        <cfvo type="max"/>
        <color rgb="FF008AEF"/>
      </dataBar>
    </cfRule>
  </conditionalFormatting>
  <conditionalFormatting sqref="R220:T221">
    <cfRule type="dataBar" priority="542">
      <dataBar>
        <cfvo type="min"/>
        <cfvo type="max"/>
        <color rgb="FF008AEF"/>
      </dataBar>
    </cfRule>
  </conditionalFormatting>
  <conditionalFormatting sqref="U220:U221">
    <cfRule type="dataBar" priority="546">
      <dataBar>
        <cfvo type="min"/>
        <cfvo type="max"/>
        <color rgb="FF008AEF"/>
      </dataBar>
    </cfRule>
  </conditionalFormatting>
  <conditionalFormatting sqref="AB216">
    <cfRule type="cellIs" priority="539" operator="greaterThan" dxfId="1">
      <formula>0.03</formula>
    </cfRule>
    <cfRule type="cellIs" priority="540" operator="lessThan" dxfId="0" stopIfTrue="1">
      <formula>-0.03</formula>
    </cfRule>
  </conditionalFormatting>
  <conditionalFormatting sqref="AB219">
    <cfRule type="cellIs" priority="537" operator="lessThan" dxfId="1">
      <formula>-0.03</formula>
    </cfRule>
    <cfRule type="cellIs" priority="538" operator="greaterThan" dxfId="0" stopIfTrue="1">
      <formula>0.03</formula>
    </cfRule>
  </conditionalFormatting>
  <conditionalFormatting sqref="H216:J216">
    <cfRule type="dataBar" priority="536">
      <dataBar>
        <cfvo type="min"/>
        <cfvo type="max"/>
        <color rgb="FF008AEF"/>
      </dataBar>
    </cfRule>
  </conditionalFormatting>
  <conditionalFormatting sqref="Z216">
    <cfRule type="cellIs" priority="534" operator="lessThan" dxfId="1" stopIfTrue="1">
      <formula>-0.01</formula>
    </cfRule>
    <cfRule type="cellIs" priority="535" operator="greaterThan" dxfId="0" stopIfTrue="1">
      <formula>0.01</formula>
    </cfRule>
  </conditionalFormatting>
  <conditionalFormatting sqref="Z217">
    <cfRule type="cellIs" priority="532" operator="lessThan" dxfId="1" stopIfTrue="1">
      <formula>-0.01</formula>
    </cfRule>
    <cfRule type="cellIs" priority="533" operator="greaterThan" dxfId="0" stopIfTrue="1">
      <formula>0.01</formula>
    </cfRule>
  </conditionalFormatting>
  <conditionalFormatting sqref="Z218">
    <cfRule type="cellIs" priority="530" operator="lessThan" dxfId="1" stopIfTrue="1">
      <formula>-0.01</formula>
    </cfRule>
    <cfRule type="cellIs" priority="531" operator="greaterThan" dxfId="0" stopIfTrue="1">
      <formula>0.01</formula>
    </cfRule>
  </conditionalFormatting>
  <conditionalFormatting sqref="Z219">
    <cfRule type="cellIs" priority="528" operator="lessThan" dxfId="1" stopIfTrue="1">
      <formula>-0.01</formula>
    </cfRule>
    <cfRule type="cellIs" priority="529" operator="greaterThan" dxfId="0" stopIfTrue="1">
      <formula>0.01</formula>
    </cfRule>
  </conditionalFormatting>
  <conditionalFormatting sqref="V216:V219">
    <cfRule type="cellIs" priority="526" operator="greaterThan" dxfId="1">
      <formula>0.03</formula>
    </cfRule>
    <cfRule type="cellIs" priority="527" operator="lessThan" dxfId="0" stopIfTrue="1">
      <formula>-0.03</formula>
    </cfRule>
  </conditionalFormatting>
  <conditionalFormatting sqref="H217:J217">
    <cfRule type="dataBar" priority="525">
      <dataBar>
        <cfvo type="min"/>
        <cfvo type="max"/>
        <color rgb="FF008AEF"/>
      </dataBar>
    </cfRule>
  </conditionalFormatting>
  <conditionalFormatting sqref="H218:J218">
    <cfRule type="dataBar" priority="524">
      <dataBar>
        <cfvo type="min"/>
        <cfvo type="max"/>
        <color rgb="FF008AEF"/>
      </dataBar>
    </cfRule>
  </conditionalFormatting>
  <conditionalFormatting sqref="H219:J219">
    <cfRule type="dataBar" priority="523">
      <dataBar>
        <cfvo type="min"/>
        <cfvo type="max"/>
        <color rgb="FF008AEF"/>
      </dataBar>
    </cfRule>
  </conditionalFormatting>
  <conditionalFormatting sqref="R217:T217">
    <cfRule type="dataBar" priority="522">
      <dataBar>
        <cfvo type="min"/>
        <cfvo type="max"/>
        <color rgb="FF008AEF"/>
      </dataBar>
    </cfRule>
  </conditionalFormatting>
  <conditionalFormatting sqref="R218:T218">
    <cfRule type="dataBar" priority="521">
      <dataBar>
        <cfvo type="min"/>
        <cfvo type="max"/>
        <color rgb="FF008AEF"/>
      </dataBar>
    </cfRule>
  </conditionalFormatting>
  <conditionalFormatting sqref="R219:T219">
    <cfRule type="dataBar" priority="520">
      <dataBar>
        <cfvo type="min"/>
        <cfvo type="max"/>
        <color rgb="FF008AEF"/>
      </dataBar>
    </cfRule>
  </conditionalFormatting>
  <conditionalFormatting sqref="R216:U216 U217:U219">
    <cfRule type="dataBar" priority="541">
      <dataBar>
        <cfvo type="min"/>
        <cfvo type="max"/>
        <color rgb="FF008AEF"/>
      </dataBar>
    </cfRule>
  </conditionalFormatting>
  <conditionalFormatting sqref="I16">
    <cfRule type="dataBar" priority="519">
      <dataBar>
        <cfvo type="min"/>
        <cfvo type="max"/>
        <color rgb="FF008AEF"/>
      </dataBar>
    </cfRule>
  </conditionalFormatting>
  <conditionalFormatting sqref="I17">
    <cfRule type="dataBar" priority="518">
      <dataBar>
        <cfvo type="min"/>
        <cfvo type="max"/>
        <color rgb="FF008AEF"/>
      </dataBar>
    </cfRule>
  </conditionalFormatting>
  <conditionalFormatting sqref="N24">
    <cfRule type="cellIs" priority="506" operator="lessThan" dxfId="1" stopIfTrue="1">
      <formula>-0.01</formula>
    </cfRule>
    <cfRule type="cellIs" priority="507" operator="greaterThan" dxfId="0" stopIfTrue="1">
      <formula>0.01</formula>
    </cfRule>
  </conditionalFormatting>
  <conditionalFormatting sqref="I35">
    <cfRule type="dataBar" priority="505">
      <dataBar>
        <cfvo type="min"/>
        <cfvo type="max"/>
        <color rgb="FF008AEF"/>
      </dataBar>
    </cfRule>
  </conditionalFormatting>
  <conditionalFormatting sqref="I27">
    <cfRule type="dataBar" priority="504">
      <dataBar>
        <cfvo type="min"/>
        <cfvo type="max"/>
        <color rgb="FF008AEF"/>
      </dataBar>
    </cfRule>
  </conditionalFormatting>
  <conditionalFormatting sqref="I28">
    <cfRule type="dataBar" priority="503">
      <dataBar>
        <cfvo type="min"/>
        <cfvo type="max"/>
        <color rgb="FF008AEF"/>
      </dataBar>
    </cfRule>
  </conditionalFormatting>
  <conditionalFormatting sqref="N35">
    <cfRule type="cellIs" priority="501" operator="lessThan" dxfId="1" stopIfTrue="1">
      <formula>-0.01</formula>
    </cfRule>
    <cfRule type="cellIs" priority="502" operator="greaterThan" dxfId="0" stopIfTrue="1">
      <formula>0.01</formula>
    </cfRule>
  </conditionalFormatting>
  <conditionalFormatting sqref="I45:I46">
    <cfRule type="dataBar" priority="500">
      <dataBar>
        <cfvo type="min"/>
        <cfvo type="max"/>
        <color rgb="FF008AEF"/>
      </dataBar>
    </cfRule>
  </conditionalFormatting>
  <conditionalFormatting sqref="I40">
    <cfRule type="dataBar" priority="499">
      <dataBar>
        <cfvo type="min"/>
        <cfvo type="max"/>
        <color rgb="FF008AEF"/>
      </dataBar>
    </cfRule>
    <cfRule type="dataBar" priority="492">
      <dataBar>
        <cfvo type="min"/>
        <cfvo type="max"/>
        <color rgb="FF008AEF"/>
      </dataBar>
    </cfRule>
  </conditionalFormatting>
  <conditionalFormatting sqref="I41">
    <cfRule type="dataBar" priority="498">
      <dataBar>
        <cfvo type="min"/>
        <cfvo type="max"/>
        <color rgb="FF008AEF"/>
      </dataBar>
    </cfRule>
    <cfRule type="dataBar" priority="491">
      <dataBar>
        <cfvo type="min"/>
        <cfvo type="max"/>
        <color rgb="FF008AEF"/>
      </dataBar>
    </cfRule>
  </conditionalFormatting>
  <conditionalFormatting sqref="I42:I43">
    <cfRule type="dataBar" priority="497">
      <dataBar>
        <cfvo type="min"/>
        <cfvo type="max"/>
        <color rgb="FF008AEF"/>
      </dataBar>
    </cfRule>
  </conditionalFormatting>
  <conditionalFormatting sqref="I44">
    <cfRule type="dataBar" priority="496">
      <dataBar>
        <cfvo type="min"/>
        <cfvo type="max"/>
        <color rgb="FF008AEF"/>
      </dataBar>
    </cfRule>
  </conditionalFormatting>
  <conditionalFormatting sqref="I42:I44">
    <cfRule type="dataBar" priority="495">
      <dataBar>
        <cfvo type="min"/>
        <cfvo type="max"/>
        <color rgb="FF008AEF"/>
      </dataBar>
    </cfRule>
  </conditionalFormatting>
  <conditionalFormatting sqref="I38">
    <cfRule type="dataBar" priority="494">
      <dataBar>
        <cfvo type="min"/>
        <cfvo type="max"/>
        <color rgb="FF008AEF"/>
      </dataBar>
    </cfRule>
  </conditionalFormatting>
  <conditionalFormatting sqref="I39">
    <cfRule type="dataBar" priority="493">
      <dataBar>
        <cfvo type="min"/>
        <cfvo type="max"/>
        <color rgb="FF008AEF"/>
      </dataBar>
    </cfRule>
  </conditionalFormatting>
  <conditionalFormatting sqref="N45:N46">
    <cfRule type="cellIs" priority="489" operator="lessThan" dxfId="1" stopIfTrue="1">
      <formula>-0.01</formula>
    </cfRule>
    <cfRule type="cellIs" priority="490" operator="greaterThan" dxfId="0" stopIfTrue="1">
      <formula>0.01</formula>
    </cfRule>
  </conditionalFormatting>
  <conditionalFormatting sqref="I56:I57">
    <cfRule type="dataBar" priority="488">
      <dataBar>
        <cfvo type="min"/>
        <cfvo type="max"/>
        <color rgb="FF008AEF"/>
      </dataBar>
    </cfRule>
  </conditionalFormatting>
  <conditionalFormatting sqref="I51">
    <cfRule type="dataBar" priority="487">
      <dataBar>
        <cfvo type="min"/>
        <cfvo type="max"/>
        <color rgb="FF008AEF"/>
      </dataBar>
    </cfRule>
    <cfRule type="dataBar" priority="480">
      <dataBar>
        <cfvo type="min"/>
        <cfvo type="max"/>
        <color rgb="FF008AEF"/>
      </dataBar>
    </cfRule>
  </conditionalFormatting>
  <conditionalFormatting sqref="I52">
    <cfRule type="dataBar" priority="486">
      <dataBar>
        <cfvo type="min"/>
        <cfvo type="max"/>
        <color rgb="FF008AEF"/>
      </dataBar>
    </cfRule>
    <cfRule type="dataBar" priority="479">
      <dataBar>
        <cfvo type="min"/>
        <cfvo type="max"/>
        <color rgb="FF008AEF"/>
      </dataBar>
    </cfRule>
  </conditionalFormatting>
  <conditionalFormatting sqref="I53:I54">
    <cfRule type="dataBar" priority="485">
      <dataBar>
        <cfvo type="min"/>
        <cfvo type="max"/>
        <color rgb="FF008AEF"/>
      </dataBar>
    </cfRule>
  </conditionalFormatting>
  <conditionalFormatting sqref="I55">
    <cfRule type="dataBar" priority="484">
      <dataBar>
        <cfvo type="min"/>
        <cfvo type="max"/>
        <color rgb="FF008AEF"/>
      </dataBar>
    </cfRule>
  </conditionalFormatting>
  <conditionalFormatting sqref="I53:I55">
    <cfRule type="dataBar" priority="483">
      <dataBar>
        <cfvo type="min"/>
        <cfvo type="max"/>
        <color rgb="FF008AEF"/>
      </dataBar>
    </cfRule>
  </conditionalFormatting>
  <conditionalFormatting sqref="I49">
    <cfRule type="dataBar" priority="482">
      <dataBar>
        <cfvo type="min"/>
        <cfvo type="max"/>
        <color rgb="FF008AEF"/>
      </dataBar>
    </cfRule>
  </conditionalFormatting>
  <conditionalFormatting sqref="I50">
    <cfRule type="dataBar" priority="481">
      <dataBar>
        <cfvo type="min"/>
        <cfvo type="max"/>
        <color rgb="FF008AEF"/>
      </dataBar>
    </cfRule>
  </conditionalFormatting>
  <conditionalFormatting sqref="J51:J55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N56:N57">
    <cfRule type="cellIs" priority="475" operator="lessThan" dxfId="1" stopIfTrue="1">
      <formula>-0.01</formula>
    </cfRule>
    <cfRule type="cellIs" priority="476" operator="greaterThan" dxfId="0" stopIfTrue="1">
      <formula>0.01</formula>
    </cfRule>
  </conditionalFormatting>
  <conditionalFormatting sqref="N51">
    <cfRule type="cellIs" priority="473" operator="lessThan" dxfId="1" stopIfTrue="1">
      <formula>-0.01</formula>
    </cfRule>
    <cfRule type="cellIs" priority="474" operator="greaterThan" dxfId="0" stopIfTrue="1">
      <formula>0.01</formula>
    </cfRule>
  </conditionalFormatting>
  <conditionalFormatting sqref="N52">
    <cfRule type="cellIs" priority="471" operator="lessThan" dxfId="1" stopIfTrue="1">
      <formula>-0.01</formula>
    </cfRule>
    <cfRule type="cellIs" priority="472" operator="greaterThan" dxfId="0" stopIfTrue="1">
      <formula>0.01</formula>
    </cfRule>
  </conditionalFormatting>
  <conditionalFormatting sqref="N53:N54">
    <cfRule type="cellIs" priority="469" operator="lessThan" dxfId="1" stopIfTrue="1">
      <formula>-0.01</formula>
    </cfRule>
    <cfRule type="cellIs" priority="470" operator="greaterThan" dxfId="0" stopIfTrue="1">
      <formula>0.01</formula>
    </cfRule>
  </conditionalFormatting>
  <conditionalFormatting sqref="N55">
    <cfRule type="cellIs" priority="467" operator="lessThan" dxfId="1" stopIfTrue="1">
      <formula>-0.01</formula>
    </cfRule>
    <cfRule type="cellIs" priority="468" operator="greaterThan" dxfId="0" stopIfTrue="1">
      <formula>0.01</formula>
    </cfRule>
  </conditionalFormatting>
  <conditionalFormatting sqref="P51">
    <cfRule type="cellIs" priority="465" operator="greaterThan" dxfId="1">
      <formula>0.03</formula>
    </cfRule>
    <cfRule type="cellIs" priority="466" operator="lessThan" dxfId="0" stopIfTrue="1">
      <formula>-0.03</formula>
    </cfRule>
  </conditionalFormatting>
  <conditionalFormatting sqref="P55">
    <cfRule type="cellIs" priority="463" operator="lessThan" dxfId="1">
      <formula>-0.03</formula>
    </cfRule>
    <cfRule type="cellIs" priority="464" operator="greaterThan" dxfId="0" stopIfTrue="1">
      <formula>0.03</formula>
    </cfRule>
  </conditionalFormatting>
  <conditionalFormatting sqref="I68">
    <cfRule type="dataBar" priority="462">
      <dataBar>
        <cfvo type="min"/>
        <cfvo type="max"/>
        <color rgb="FF008AEF"/>
      </dataBar>
    </cfRule>
  </conditionalFormatting>
  <conditionalFormatting sqref="I60">
    <cfRule type="dataBar" priority="461">
      <dataBar>
        <cfvo type="min"/>
        <cfvo type="max"/>
        <color rgb="FF008AEF"/>
      </dataBar>
    </cfRule>
  </conditionalFormatting>
  <conditionalFormatting sqref="I61">
    <cfRule type="dataBar" priority="460">
      <dataBar>
        <cfvo type="min"/>
        <cfvo type="max"/>
        <color rgb="FF008AEF"/>
      </dataBar>
    </cfRule>
  </conditionalFormatting>
  <conditionalFormatting sqref="N68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I79">
    <cfRule type="dataBar" priority="457">
      <dataBar>
        <cfvo type="min"/>
        <cfvo type="max"/>
        <color rgb="FF008AEF"/>
      </dataBar>
    </cfRule>
  </conditionalFormatting>
  <conditionalFormatting sqref="I71">
    <cfRule type="dataBar" priority="456">
      <dataBar>
        <cfvo type="min"/>
        <cfvo type="max"/>
        <color rgb="FF008AEF"/>
      </dataBar>
    </cfRule>
  </conditionalFormatting>
  <conditionalFormatting sqref="I72">
    <cfRule type="dataBar" priority="455">
      <dataBar>
        <cfvo type="min"/>
        <cfvo type="max"/>
        <color rgb="FF008AEF"/>
      </dataBar>
    </cfRule>
  </conditionalFormatting>
  <conditionalFormatting sqref="N79">
    <cfRule type="cellIs" priority="453" operator="lessThan" dxfId="1" stopIfTrue="1">
      <formula>-0.01</formula>
    </cfRule>
    <cfRule type="cellIs" priority="454" operator="greaterThan" dxfId="0" stopIfTrue="1">
      <formula>0.01</formula>
    </cfRule>
  </conditionalFormatting>
  <conditionalFormatting sqref="J40:J44">
    <cfRule type="cellIs" priority="431" operator="greaterThan" dxfId="1">
      <formula>0.03</formula>
    </cfRule>
    <cfRule type="cellIs" priority="432" operator="lessThan" dxfId="0" stopIfTrue="1">
      <formula>-0.03</formula>
    </cfRule>
  </conditionalFormatting>
  <conditionalFormatting sqref="N40">
    <cfRule type="cellIs" priority="429" operator="lessThan" dxfId="1" stopIfTrue="1">
      <formula>-0.01</formula>
    </cfRule>
    <cfRule type="cellIs" priority="430" operator="greaterThan" dxfId="0" stopIfTrue="1">
      <formula>0.01</formula>
    </cfRule>
  </conditionalFormatting>
  <conditionalFormatting sqref="N41">
    <cfRule type="cellIs" priority="427" operator="lessThan" dxfId="1" stopIfTrue="1">
      <formula>-0.01</formula>
    </cfRule>
    <cfRule type="cellIs" priority="428" operator="greaterThan" dxfId="0" stopIfTrue="1">
      <formula>0.01</formula>
    </cfRule>
  </conditionalFormatting>
  <conditionalFormatting sqref="N42:N43">
    <cfRule type="cellIs" priority="425" operator="lessThan" dxfId="1" stopIfTrue="1">
      <formula>-0.01</formula>
    </cfRule>
    <cfRule type="cellIs" priority="426" operator="greaterThan" dxfId="0" stopIfTrue="1">
      <formula>0.01</formula>
    </cfRule>
  </conditionalFormatting>
  <conditionalFormatting sqref="N44">
    <cfRule type="cellIs" priority="423" operator="lessThan" dxfId="1" stopIfTrue="1">
      <formula>-0.01</formula>
    </cfRule>
    <cfRule type="cellIs" priority="424" operator="greaterThan" dxfId="0" stopIfTrue="1">
      <formula>0.01</formula>
    </cfRule>
  </conditionalFormatting>
  <conditionalFormatting sqref="P40">
    <cfRule type="cellIs" priority="421" operator="greaterThan" dxfId="1">
      <formula>0.03</formula>
    </cfRule>
    <cfRule type="cellIs" priority="422" operator="lessThan" dxfId="0" stopIfTrue="1">
      <formula>-0.03</formula>
    </cfRule>
  </conditionalFormatting>
  <conditionalFormatting sqref="P44">
    <cfRule type="cellIs" priority="419" operator="lessThan" dxfId="1">
      <formula>-0.03</formula>
    </cfRule>
    <cfRule type="cellIs" priority="420" operator="greaterThan" dxfId="0" stopIfTrue="1">
      <formula>0.03</formula>
    </cfRule>
  </conditionalFormatting>
  <conditionalFormatting sqref="I34">
    <cfRule type="dataBar" priority="418">
      <dataBar>
        <cfvo type="min"/>
        <cfvo type="max"/>
        <color rgb="FF008AEF"/>
      </dataBar>
    </cfRule>
  </conditionalFormatting>
  <conditionalFormatting sqref="I29">
    <cfRule type="dataBar" priority="417">
      <dataBar>
        <cfvo type="min"/>
        <cfvo type="max"/>
        <color rgb="FF008AEF"/>
      </dataBar>
    </cfRule>
    <cfRule type="dataBar" priority="412">
      <dataBar>
        <cfvo type="min"/>
        <cfvo type="max"/>
        <color rgb="FF008AEF"/>
      </dataBar>
    </cfRule>
  </conditionalFormatting>
  <conditionalFormatting sqref="I30">
    <cfRule type="dataBar" priority="416">
      <dataBar>
        <cfvo type="min"/>
        <cfvo type="max"/>
        <color rgb="FF008AEF"/>
      </dataBar>
    </cfRule>
    <cfRule type="dataBar" priority="411">
      <dataBar>
        <cfvo type="min"/>
        <cfvo type="max"/>
        <color rgb="FF008AEF"/>
      </dataBar>
    </cfRule>
  </conditionalFormatting>
  <conditionalFormatting sqref="I31:I32">
    <cfRule type="dataBar" priority="415">
      <dataBar>
        <cfvo type="min"/>
        <cfvo type="max"/>
        <color rgb="FF008AEF"/>
      </dataBar>
    </cfRule>
  </conditionalFormatting>
  <conditionalFormatting sqref="I33">
    <cfRule type="dataBar" priority="414">
      <dataBar>
        <cfvo type="min"/>
        <cfvo type="max"/>
        <color rgb="FF008AEF"/>
      </dataBar>
    </cfRule>
  </conditionalFormatting>
  <conditionalFormatting sqref="I31:I33">
    <cfRule type="dataBar" priority="413">
      <dataBar>
        <cfvo type="min"/>
        <cfvo type="max"/>
        <color rgb="FF008AEF"/>
      </dataBar>
    </cfRule>
  </conditionalFormatting>
  <conditionalFormatting sqref="N34">
    <cfRule type="cellIs" priority="409" operator="lessThan" dxfId="1" stopIfTrue="1">
      <formula>-0.01</formula>
    </cfRule>
    <cfRule type="cellIs" priority="410" operator="greaterThan" dxfId="0" stopIfTrue="1">
      <formula>0.01</formula>
    </cfRule>
  </conditionalFormatting>
  <conditionalFormatting sqref="J29:J33">
    <cfRule type="cellIs" priority="407" operator="greaterThan" dxfId="1">
      <formula>0.03</formula>
    </cfRule>
    <cfRule type="cellIs" priority="408" operator="lessThan" dxfId="0" stopIfTrue="1">
      <formula>-0.03</formula>
    </cfRule>
  </conditionalFormatting>
  <conditionalFormatting sqref="N29">
    <cfRule type="cellIs" priority="405" operator="lessThan" dxfId="1" stopIfTrue="1">
      <formula>-0.01</formula>
    </cfRule>
    <cfRule type="cellIs" priority="406" operator="greaterThan" dxfId="0" stopIfTrue="1">
      <formula>0.01</formula>
    </cfRule>
  </conditionalFormatting>
  <conditionalFormatting sqref="N30">
    <cfRule type="cellIs" priority="403" operator="lessThan" dxfId="1" stopIfTrue="1">
      <formula>-0.01</formula>
    </cfRule>
    <cfRule type="cellIs" priority="404" operator="greaterThan" dxfId="0" stopIfTrue="1">
      <formula>0.01</formula>
    </cfRule>
  </conditionalFormatting>
  <conditionalFormatting sqref="N31:N32">
    <cfRule type="cellIs" priority="401" operator="lessThan" dxfId="1" stopIfTrue="1">
      <formula>-0.01</formula>
    </cfRule>
    <cfRule type="cellIs" priority="402" operator="greaterThan" dxfId="0" stopIfTrue="1">
      <formula>0.01</formula>
    </cfRule>
  </conditionalFormatting>
  <conditionalFormatting sqref="N33">
    <cfRule type="cellIs" priority="399" operator="lessThan" dxfId="1" stopIfTrue="1">
      <formula>-0.01</formula>
    </cfRule>
    <cfRule type="cellIs" priority="400" operator="greaterThan" dxfId="0" stopIfTrue="1">
      <formula>0.01</formula>
    </cfRule>
  </conditionalFormatting>
  <conditionalFormatting sqref="P29">
    <cfRule type="cellIs" priority="397" operator="greaterThan" dxfId="1">
      <formula>0.03</formula>
    </cfRule>
    <cfRule type="cellIs" priority="398" operator="lessThan" dxfId="0" stopIfTrue="1">
      <formula>-0.03</formula>
    </cfRule>
  </conditionalFormatting>
  <conditionalFormatting sqref="P33">
    <cfRule type="cellIs" priority="395" operator="lessThan" dxfId="1">
      <formula>-0.03</formula>
    </cfRule>
    <cfRule type="cellIs" priority="396" operator="greaterThan" dxfId="0" stopIfTrue="1">
      <formula>0.03</formula>
    </cfRule>
  </conditionalFormatting>
  <conditionalFormatting sqref="I23">
    <cfRule type="dataBar" priority="394">
      <dataBar>
        <cfvo type="min"/>
        <cfvo type="max"/>
        <color rgb="FF008AEF"/>
      </dataBar>
    </cfRule>
  </conditionalFormatting>
  <conditionalFormatting sqref="I18">
    <cfRule type="dataBar" priority="393">
      <dataBar>
        <cfvo type="min"/>
        <cfvo type="max"/>
        <color rgb="FF008AEF"/>
      </dataBar>
    </cfRule>
    <cfRule type="dataBar" priority="388">
      <dataBar>
        <cfvo type="min"/>
        <cfvo type="max"/>
        <color rgb="FF008AEF"/>
      </dataBar>
    </cfRule>
  </conditionalFormatting>
  <conditionalFormatting sqref="I19">
    <cfRule type="dataBar" priority="392">
      <dataBar>
        <cfvo type="min"/>
        <cfvo type="max"/>
        <color rgb="FF008AEF"/>
      </dataBar>
    </cfRule>
    <cfRule type="dataBar" priority="387">
      <dataBar>
        <cfvo type="min"/>
        <cfvo type="max"/>
        <color rgb="FF008AEF"/>
      </dataBar>
    </cfRule>
  </conditionalFormatting>
  <conditionalFormatting sqref="I20:I21">
    <cfRule type="dataBar" priority="391">
      <dataBar>
        <cfvo type="min"/>
        <cfvo type="max"/>
        <color rgb="FF008AEF"/>
      </dataBar>
    </cfRule>
  </conditionalFormatting>
  <conditionalFormatting sqref="I22">
    <cfRule type="dataBar" priority="390">
      <dataBar>
        <cfvo type="min"/>
        <cfvo type="max"/>
        <color rgb="FF008AEF"/>
      </dataBar>
    </cfRule>
  </conditionalFormatting>
  <conditionalFormatting sqref="I20:I22">
    <cfRule type="dataBar" priority="389">
      <dataBar>
        <cfvo type="min"/>
        <cfvo type="max"/>
        <color rgb="FF008AEF"/>
      </dataBar>
    </cfRule>
  </conditionalFormatting>
  <conditionalFormatting sqref="N23">
    <cfRule type="cellIs" priority="385" operator="lessThan" dxfId="1" stopIfTrue="1">
      <formula>-0.01</formula>
    </cfRule>
    <cfRule type="cellIs" priority="386" operator="greaterThan" dxfId="0" stopIfTrue="1">
      <formula>0.01</formula>
    </cfRule>
  </conditionalFormatting>
  <conditionalFormatting sqref="J18:J22">
    <cfRule type="cellIs" priority="383" operator="greaterThan" dxfId="1">
      <formula>0.03</formula>
    </cfRule>
    <cfRule type="cellIs" priority="384" operator="lessThan" dxfId="0" stopIfTrue="1">
      <formula>-0.03</formula>
    </cfRule>
  </conditionalFormatting>
  <conditionalFormatting sqref="N18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N19">
    <cfRule type="cellIs" priority="379" operator="lessThan" dxfId="1" stopIfTrue="1">
      <formula>-0.01</formula>
    </cfRule>
    <cfRule type="cellIs" priority="380" operator="greaterThan" dxfId="0" stopIfTrue="1">
      <formula>0.01</formula>
    </cfRule>
  </conditionalFormatting>
  <conditionalFormatting sqref="N20:N21">
    <cfRule type="cellIs" priority="377" operator="lessThan" dxfId="1" stopIfTrue="1">
      <formula>-0.01</formula>
    </cfRule>
    <cfRule type="cellIs" priority="378" operator="greaterThan" dxfId="0" stopIfTrue="1">
      <formula>0.01</formula>
    </cfRule>
  </conditionalFormatting>
  <conditionalFormatting sqref="N22">
    <cfRule type="cellIs" priority="375" operator="lessThan" dxfId="1" stopIfTrue="1">
      <formula>-0.01</formula>
    </cfRule>
    <cfRule type="cellIs" priority="376" operator="greaterThan" dxfId="0" stopIfTrue="1">
      <formula>0.01</formula>
    </cfRule>
  </conditionalFormatting>
  <conditionalFormatting sqref="P18">
    <cfRule type="cellIs" priority="373" operator="greaterThan" dxfId="1">
      <formula>0.03</formula>
    </cfRule>
    <cfRule type="cellIs" priority="374" operator="lessThan" dxfId="0" stopIfTrue="1">
      <formula>-0.03</formula>
    </cfRule>
  </conditionalFormatting>
  <conditionalFormatting sqref="P22">
    <cfRule type="cellIs" priority="371" operator="lessThan" dxfId="1">
      <formula>-0.03</formula>
    </cfRule>
    <cfRule type="cellIs" priority="372" operator="greaterThan" dxfId="0" stopIfTrue="1">
      <formula>0.03</formula>
    </cfRule>
  </conditionalFormatting>
  <conditionalFormatting sqref="I67">
    <cfRule type="dataBar" priority="370">
      <dataBar>
        <cfvo type="min"/>
        <cfvo type="max"/>
        <color rgb="FF008AEF"/>
      </dataBar>
    </cfRule>
  </conditionalFormatting>
  <conditionalFormatting sqref="I62">
    <cfRule type="dataBar" priority="369">
      <dataBar>
        <cfvo type="min"/>
        <cfvo type="max"/>
        <color rgb="FF008AEF"/>
      </dataBar>
    </cfRule>
    <cfRule type="dataBar" priority="364">
      <dataBar>
        <cfvo type="min"/>
        <cfvo type="max"/>
        <color rgb="FF008AEF"/>
      </dataBar>
    </cfRule>
  </conditionalFormatting>
  <conditionalFormatting sqref="I63">
    <cfRule type="dataBar" priority="368">
      <dataBar>
        <cfvo type="min"/>
        <cfvo type="max"/>
        <color rgb="FF008AEF"/>
      </dataBar>
    </cfRule>
    <cfRule type="dataBar" priority="363">
      <dataBar>
        <cfvo type="min"/>
        <cfvo type="max"/>
        <color rgb="FF008AEF"/>
      </dataBar>
    </cfRule>
  </conditionalFormatting>
  <conditionalFormatting sqref="I64:I65">
    <cfRule type="dataBar" priority="367">
      <dataBar>
        <cfvo type="min"/>
        <cfvo type="max"/>
        <color rgb="FF008AEF"/>
      </dataBar>
    </cfRule>
  </conditionalFormatting>
  <conditionalFormatting sqref="I66">
    <cfRule type="dataBar" priority="366">
      <dataBar>
        <cfvo type="min"/>
        <cfvo type="max"/>
        <color rgb="FF008AEF"/>
      </dataBar>
    </cfRule>
  </conditionalFormatting>
  <conditionalFormatting sqref="I64:I66">
    <cfRule type="dataBar" priority="365">
      <dataBar>
        <cfvo type="min"/>
        <cfvo type="max"/>
        <color rgb="FF008AEF"/>
      </dataBar>
    </cfRule>
  </conditionalFormatting>
  <conditionalFormatting sqref="J62:J66">
    <cfRule type="cellIs" priority="361" operator="greaterThan" dxfId="1">
      <formula>0.03</formula>
    </cfRule>
    <cfRule type="cellIs" priority="362" operator="lessThan" dxfId="0" stopIfTrue="1">
      <formula>-0.03</formula>
    </cfRule>
  </conditionalFormatting>
  <conditionalFormatting sqref="N67">
    <cfRule type="cellIs" priority="359" operator="lessThan" dxfId="1" stopIfTrue="1">
      <formula>-0.01</formula>
    </cfRule>
    <cfRule type="cellIs" priority="360" operator="greaterThan" dxfId="0" stopIfTrue="1">
      <formula>0.01</formula>
    </cfRule>
  </conditionalFormatting>
  <conditionalFormatting sqref="N62">
    <cfRule type="cellIs" priority="357" operator="lessThan" dxfId="1" stopIfTrue="1">
      <formula>-0.01</formula>
    </cfRule>
    <cfRule type="cellIs" priority="358" operator="greaterThan" dxfId="0" stopIfTrue="1">
      <formula>0.01</formula>
    </cfRule>
  </conditionalFormatting>
  <conditionalFormatting sqref="N63">
    <cfRule type="cellIs" priority="355" operator="lessThan" dxfId="1" stopIfTrue="1">
      <formula>-0.01</formula>
    </cfRule>
    <cfRule type="cellIs" priority="356" operator="greaterThan" dxfId="0" stopIfTrue="1">
      <formula>0.01</formula>
    </cfRule>
  </conditionalFormatting>
  <conditionalFormatting sqref="N64:N65">
    <cfRule type="cellIs" priority="353" operator="lessThan" dxfId="1" stopIfTrue="1">
      <formula>-0.01</formula>
    </cfRule>
    <cfRule type="cellIs" priority="354" operator="greaterThan" dxfId="0" stopIfTrue="1">
      <formula>0.01</formula>
    </cfRule>
  </conditionalFormatting>
  <conditionalFormatting sqref="N66">
    <cfRule type="cellIs" priority="351" operator="lessThan" dxfId="1" stopIfTrue="1">
      <formula>-0.01</formula>
    </cfRule>
    <cfRule type="cellIs" priority="352" operator="greaterThan" dxfId="0" stopIfTrue="1">
      <formula>0.01</formula>
    </cfRule>
  </conditionalFormatting>
  <conditionalFormatting sqref="P62">
    <cfRule type="cellIs" priority="349" operator="greaterThan" dxfId="1">
      <formula>0.03</formula>
    </cfRule>
    <cfRule type="cellIs" priority="350" operator="lessThan" dxfId="0" stopIfTrue="1">
      <formula>-0.03</formula>
    </cfRule>
  </conditionalFormatting>
  <conditionalFormatting sqref="P66">
    <cfRule type="cellIs" priority="347" operator="lessThan" dxfId="1">
      <formula>-0.03</formula>
    </cfRule>
    <cfRule type="cellIs" priority="348" operator="greaterThan" dxfId="0" stopIfTrue="1">
      <formula>0.03</formula>
    </cfRule>
  </conditionalFormatting>
  <conditionalFormatting sqref="I78">
    <cfRule type="dataBar" priority="346">
      <dataBar>
        <cfvo type="min"/>
        <cfvo type="max"/>
        <color rgb="FF008AEF"/>
      </dataBar>
    </cfRule>
  </conditionalFormatting>
  <conditionalFormatting sqref="I73">
    <cfRule type="dataBar" priority="345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74">
    <cfRule type="dataBar" priority="344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75:I76">
    <cfRule type="dataBar" priority="343">
      <dataBar>
        <cfvo type="min"/>
        <cfvo type="max"/>
        <color rgb="FF008AEF"/>
      </dataBar>
    </cfRule>
  </conditionalFormatting>
  <conditionalFormatting sqref="I77">
    <cfRule type="dataBar" priority="342">
      <dataBar>
        <cfvo type="min"/>
        <cfvo type="max"/>
        <color rgb="FF008AEF"/>
      </dataBar>
    </cfRule>
  </conditionalFormatting>
  <conditionalFormatting sqref="I75:I77">
    <cfRule type="dataBar" priority="341">
      <dataBar>
        <cfvo type="min"/>
        <cfvo type="max"/>
        <color rgb="FF008AEF"/>
      </dataBar>
    </cfRule>
  </conditionalFormatting>
  <conditionalFormatting sqref="J73:J77">
    <cfRule type="cellIs" priority="337" operator="greaterThan" dxfId="1">
      <formula>0.03</formula>
    </cfRule>
    <cfRule type="cellIs" priority="338" operator="lessThan" dxfId="0" stopIfTrue="1">
      <formula>-0.03</formula>
    </cfRule>
  </conditionalFormatting>
  <conditionalFormatting sqref="N78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N73">
    <cfRule type="cellIs" priority="333" operator="lessThan" dxfId="1" stopIfTrue="1">
      <formula>-0.01</formula>
    </cfRule>
    <cfRule type="cellIs" priority="334" operator="greaterThan" dxfId="0" stopIfTrue="1">
      <formula>0.01</formula>
    </cfRule>
  </conditionalFormatting>
  <conditionalFormatting sqref="N74">
    <cfRule type="cellIs" priority="331" operator="lessThan" dxfId="1" stopIfTrue="1">
      <formula>-0.01</formula>
    </cfRule>
    <cfRule type="cellIs" priority="332" operator="greaterThan" dxfId="0" stopIfTrue="1">
      <formula>0.01</formula>
    </cfRule>
  </conditionalFormatting>
  <conditionalFormatting sqref="N75:N76">
    <cfRule type="cellIs" priority="329" operator="lessThan" dxfId="1" stopIfTrue="1">
      <formula>-0.01</formula>
    </cfRule>
    <cfRule type="cellIs" priority="330" operator="greaterThan" dxfId="0" stopIfTrue="1">
      <formula>0.01</formula>
    </cfRule>
  </conditionalFormatting>
  <conditionalFormatting sqref="N77">
    <cfRule type="cellIs" priority="327" operator="lessThan" dxfId="1" stopIfTrue="1">
      <formula>-0.01</formula>
    </cfRule>
    <cfRule type="cellIs" priority="328" operator="greaterThan" dxfId="0" stopIfTrue="1">
      <formula>0.01</formula>
    </cfRule>
  </conditionalFormatting>
  <conditionalFormatting sqref="P73">
    <cfRule type="cellIs" priority="325" operator="greaterThan" dxfId="1">
      <formula>0.03</formula>
    </cfRule>
    <cfRule type="cellIs" priority="326" operator="lessThan" dxfId="0" stopIfTrue="1">
      <formula>-0.03</formula>
    </cfRule>
  </conditionalFormatting>
  <conditionalFormatting sqref="P77">
    <cfRule type="cellIs" priority="323" operator="lessThan" dxfId="1">
      <formula>-0.03</formula>
    </cfRule>
    <cfRule type="cellIs" priority="324" operator="greaterThan" dxfId="0" stopIfTrue="1">
      <formula>0.03</formula>
    </cfRule>
  </conditionalFormatting>
  <conditionalFormatting sqref="Z89:Z90">
    <cfRule type="cellIs" priority="270" operator="lessThan" dxfId="1" stopIfTrue="1">
      <formula>-0.01</formula>
    </cfRule>
    <cfRule type="cellIs" priority="271" operator="greaterThan" dxfId="0" stopIfTrue="1">
      <formula>0.01</formula>
    </cfRule>
  </conditionalFormatting>
  <conditionalFormatting sqref="AB84">
    <cfRule type="cellIs" priority="267" operator="greaterThan" dxfId="1">
      <formula>0.03</formula>
    </cfRule>
    <cfRule type="cellIs" priority="268" operator="lessThan" dxfId="0" stopIfTrue="1">
      <formula>-0.03</formula>
    </cfRule>
  </conditionalFormatting>
  <conditionalFormatting sqref="AB88">
    <cfRule type="cellIs" priority="265" operator="lessThan" dxfId="1">
      <formula>-0.03</formula>
    </cfRule>
    <cfRule type="cellIs" priority="266" operator="greaterThan" dxfId="0" stopIfTrue="1">
      <formula>0.03</formula>
    </cfRule>
  </conditionalFormatting>
  <conditionalFormatting sqref="Z84">
    <cfRule type="cellIs" priority="263" operator="lessThan" dxfId="1" stopIfTrue="1">
      <formula>-0.01</formula>
    </cfRule>
    <cfRule type="cellIs" priority="264" operator="greaterThan" dxfId="0" stopIfTrue="1">
      <formula>0.01</formula>
    </cfRule>
  </conditionalFormatting>
  <conditionalFormatting sqref="Z85">
    <cfRule type="cellIs" priority="261" operator="lessThan" dxfId="1" stopIfTrue="1">
      <formula>-0.01</formula>
    </cfRule>
    <cfRule type="cellIs" priority="262" operator="greaterThan" dxfId="0" stopIfTrue="1">
      <formula>0.01</formula>
    </cfRule>
  </conditionalFormatting>
  <conditionalFormatting sqref="Z86:Z87">
    <cfRule type="cellIs" priority="259" operator="lessThan" dxfId="1" stopIfTrue="1">
      <formula>-0.01</formula>
    </cfRule>
    <cfRule type="cellIs" priority="260" operator="greaterThan" dxfId="0" stopIfTrue="1">
      <formula>0.01</formula>
    </cfRule>
  </conditionalFormatting>
  <conditionalFormatting sqref="Z88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V84:V88">
    <cfRule type="cellIs" priority="255" operator="greaterThan" dxfId="1">
      <formula>0.03</formula>
    </cfRule>
    <cfRule type="cellIs" priority="256" operator="lessThan" dxfId="0" stopIfTrue="1">
      <formula>-0.03</formula>
    </cfRule>
  </conditionalFormatting>
  <conditionalFormatting sqref="R85:T85">
    <cfRule type="dataBar" priority="254">
      <dataBar>
        <cfvo type="min"/>
        <cfvo type="max"/>
        <color rgb="FF008AEF"/>
      </dataBar>
    </cfRule>
  </conditionalFormatting>
  <conditionalFormatting sqref="R86:T87">
    <cfRule type="dataBar" priority="253">
      <dataBar>
        <cfvo type="min"/>
        <cfvo type="max"/>
        <color rgb="FF008AEF"/>
      </dataBar>
    </cfRule>
  </conditionalFormatting>
  <conditionalFormatting sqref="R88:T88">
    <cfRule type="dataBar" priority="252">
      <dataBar>
        <cfvo type="min"/>
        <cfvo type="max"/>
        <color rgb="FF008AEF"/>
      </dataBar>
    </cfRule>
  </conditionalFormatting>
  <conditionalFormatting sqref="R84:U84 U85:U88">
    <cfRule type="dataBar" priority="269">
      <dataBar>
        <cfvo type="min"/>
        <cfvo type="max"/>
        <color rgb="FF008AEF"/>
      </dataBar>
    </cfRule>
  </conditionalFormatting>
  <conditionalFormatting sqref="N90">
    <cfRule type="cellIs" priority="250" operator="lessThan" dxfId="1" stopIfTrue="1">
      <formula>-0.01</formula>
    </cfRule>
    <cfRule type="cellIs" priority="251" operator="greaterThan" dxfId="0" stopIfTrue="1">
      <formula>0.01</formula>
    </cfRule>
  </conditionalFormatting>
  <conditionalFormatting sqref="I89">
    <cfRule type="dataBar" priority="249">
      <dataBar>
        <cfvo type="min"/>
        <cfvo type="max"/>
        <color rgb="FF008AEF"/>
      </dataBar>
    </cfRule>
  </conditionalFormatting>
  <conditionalFormatting sqref="N89">
    <cfRule type="cellIs" priority="247" operator="lessThan" dxfId="1" stopIfTrue="1">
      <formula>-0.01</formula>
    </cfRule>
    <cfRule type="cellIs" priority="248" operator="greaterThan" dxfId="0" stopIfTrue="1">
      <formula>0.01</formula>
    </cfRule>
  </conditionalFormatting>
  <conditionalFormatting sqref="R89:T90">
    <cfRule type="dataBar" priority="272">
      <dataBar>
        <cfvo type="min"/>
        <cfvo type="max"/>
        <color rgb="FF008AEF"/>
      </dataBar>
    </cfRule>
  </conditionalFormatting>
  <conditionalFormatting sqref="U89:U90">
    <cfRule type="dataBar" priority="273">
      <dataBar>
        <cfvo type="min"/>
        <cfvo type="max"/>
        <color rgb="FF008AEF"/>
      </dataBar>
    </cfRule>
  </conditionalFormatting>
  <conditionalFormatting sqref="I90">
    <cfRule type="dataBar" priority="274">
      <dataBar>
        <cfvo type="min"/>
        <cfvo type="max"/>
        <color rgb="FF008AEF"/>
      </dataBar>
    </cfRule>
  </conditionalFormatting>
  <conditionalFormatting sqref="Z100:Z101">
    <cfRule type="cellIs" priority="242" operator="lessThan" dxfId="1" stopIfTrue="1">
      <formula>-0.01</formula>
    </cfRule>
    <cfRule type="cellIs" priority="243" operator="greaterThan" dxfId="0" stopIfTrue="1">
      <formula>0.01</formula>
    </cfRule>
  </conditionalFormatting>
  <conditionalFormatting sqref="AB95">
    <cfRule type="cellIs" priority="239" operator="greaterThan" dxfId="1">
      <formula>0.03</formula>
    </cfRule>
    <cfRule type="cellIs" priority="240" operator="lessThan" dxfId="0" stopIfTrue="1">
      <formula>-0.03</formula>
    </cfRule>
  </conditionalFormatting>
  <conditionalFormatting sqref="AB99">
    <cfRule type="cellIs" priority="237" operator="lessThan" dxfId="1">
      <formula>-0.03</formula>
    </cfRule>
    <cfRule type="cellIs" priority="238" operator="greaterThan" dxfId="0" stopIfTrue="1">
      <formula>0.03</formula>
    </cfRule>
  </conditionalFormatting>
  <conditionalFormatting sqref="Z95">
    <cfRule type="cellIs" priority="235" operator="lessThan" dxfId="1" stopIfTrue="1">
      <formula>-0.01</formula>
    </cfRule>
    <cfRule type="cellIs" priority="236" operator="greaterThan" dxfId="0" stopIfTrue="1">
      <formula>0.01</formula>
    </cfRule>
  </conditionalFormatting>
  <conditionalFormatting sqref="Z96">
    <cfRule type="cellIs" priority="233" operator="lessThan" dxfId="1" stopIfTrue="1">
      <formula>-0.01</formula>
    </cfRule>
    <cfRule type="cellIs" priority="234" operator="greaterThan" dxfId="0" stopIfTrue="1">
      <formula>0.01</formula>
    </cfRule>
  </conditionalFormatting>
  <conditionalFormatting sqref="Z97:Z98">
    <cfRule type="cellIs" priority="231" operator="lessThan" dxfId="1" stopIfTrue="1">
      <formula>-0.01</formula>
    </cfRule>
    <cfRule type="cellIs" priority="232" operator="greaterThan" dxfId="0" stopIfTrue="1">
      <formula>0.01</formula>
    </cfRule>
  </conditionalFormatting>
  <conditionalFormatting sqref="Z99">
    <cfRule type="cellIs" priority="229" operator="lessThan" dxfId="1" stopIfTrue="1">
      <formula>-0.01</formula>
    </cfRule>
    <cfRule type="cellIs" priority="230" operator="greaterThan" dxfId="0" stopIfTrue="1">
      <formula>0.01</formula>
    </cfRule>
  </conditionalFormatting>
  <conditionalFormatting sqref="V95:V99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R96:T96">
    <cfRule type="dataBar" priority="226">
      <dataBar>
        <cfvo type="min"/>
        <cfvo type="max"/>
        <color rgb="FF008AEF"/>
      </dataBar>
    </cfRule>
  </conditionalFormatting>
  <conditionalFormatting sqref="R97:T98">
    <cfRule type="dataBar" priority="225">
      <dataBar>
        <cfvo type="min"/>
        <cfvo type="max"/>
        <color rgb="FF008AEF"/>
      </dataBar>
    </cfRule>
  </conditionalFormatting>
  <conditionalFormatting sqref="R99:T99">
    <cfRule type="dataBar" priority="224">
      <dataBar>
        <cfvo type="min"/>
        <cfvo type="max"/>
        <color rgb="FF008AEF"/>
      </dataBar>
    </cfRule>
  </conditionalFormatting>
  <conditionalFormatting sqref="R95:U95 U96:U99">
    <cfRule type="dataBar" priority="241">
      <dataBar>
        <cfvo type="min"/>
        <cfvo type="max"/>
        <color rgb="FF008AEF"/>
      </dataBar>
    </cfRule>
  </conditionalFormatting>
  <conditionalFormatting sqref="N101">
    <cfRule type="cellIs" priority="222" operator="lessThan" dxfId="1" stopIfTrue="1">
      <formula>-0.01</formula>
    </cfRule>
    <cfRule type="cellIs" priority="223" operator="greaterThan" dxfId="0" stopIfTrue="1">
      <formula>0.01</formula>
    </cfRule>
  </conditionalFormatting>
  <conditionalFormatting sqref="I100">
    <cfRule type="dataBar" priority="221">
      <dataBar>
        <cfvo type="min"/>
        <cfvo type="max"/>
        <color rgb="FF008AEF"/>
      </dataBar>
    </cfRule>
  </conditionalFormatting>
  <conditionalFormatting sqref="N100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R100:T101">
    <cfRule type="dataBar" priority="244">
      <dataBar>
        <cfvo type="min"/>
        <cfvo type="max"/>
        <color rgb="FF008AEF"/>
      </dataBar>
    </cfRule>
  </conditionalFormatting>
  <conditionalFormatting sqref="U100:U101">
    <cfRule type="dataBar" priority="245">
      <dataBar>
        <cfvo type="min"/>
        <cfvo type="max"/>
        <color rgb="FF008AEF"/>
      </dataBar>
    </cfRule>
  </conditionalFormatting>
  <conditionalFormatting sqref="I101">
    <cfRule type="dataBar" priority="246">
      <dataBar>
        <cfvo type="min"/>
        <cfvo type="max"/>
        <color rgb="FF008AEF"/>
      </dataBar>
    </cfRule>
  </conditionalFormatting>
  <conditionalFormatting sqref="Z111:Z112">
    <cfRule type="cellIs" priority="214" operator="lessThan" dxfId="1" stopIfTrue="1">
      <formula>-0.01</formula>
    </cfRule>
    <cfRule type="cellIs" priority="215" operator="greaterThan" dxfId="0" stopIfTrue="1">
      <formula>0.01</formula>
    </cfRule>
  </conditionalFormatting>
  <conditionalFormatting sqref="AB106">
    <cfRule type="cellIs" priority="211" operator="greaterThan" dxfId="1">
      <formula>0.03</formula>
    </cfRule>
    <cfRule type="cellIs" priority="212" operator="lessThan" dxfId="0" stopIfTrue="1">
      <formula>-0.03</formula>
    </cfRule>
  </conditionalFormatting>
  <conditionalFormatting sqref="AB110">
    <cfRule type="cellIs" priority="209" operator="lessThan" dxfId="1">
      <formula>-0.03</formula>
    </cfRule>
    <cfRule type="cellIs" priority="210" operator="greaterThan" dxfId="0" stopIfTrue="1">
      <formula>0.03</formula>
    </cfRule>
  </conditionalFormatting>
  <conditionalFormatting sqref="Z106">
    <cfRule type="cellIs" priority="207" operator="lessThan" dxfId="1" stopIfTrue="1">
      <formula>-0.01</formula>
    </cfRule>
    <cfRule type="cellIs" priority="208" operator="greaterThan" dxfId="0" stopIfTrue="1">
      <formula>0.01</formula>
    </cfRule>
  </conditionalFormatting>
  <conditionalFormatting sqref="Z107">
    <cfRule type="cellIs" priority="205" operator="lessThan" dxfId="1" stopIfTrue="1">
      <formula>-0.01</formula>
    </cfRule>
    <cfRule type="cellIs" priority="206" operator="greaterThan" dxfId="0" stopIfTrue="1">
      <formula>0.01</formula>
    </cfRule>
  </conditionalFormatting>
  <conditionalFormatting sqref="Z108:Z10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Z110">
    <cfRule type="cellIs" priority="201" operator="lessThan" dxfId="1" stopIfTrue="1">
      <formula>-0.01</formula>
    </cfRule>
    <cfRule type="cellIs" priority="202" operator="greaterThan" dxfId="0" stopIfTrue="1">
      <formula>0.01</formula>
    </cfRule>
  </conditionalFormatting>
  <conditionalFormatting sqref="V106:V110">
    <cfRule type="cellIs" priority="199" operator="greaterThan" dxfId="1">
      <formula>0.03</formula>
    </cfRule>
    <cfRule type="cellIs" priority="200" operator="lessThan" dxfId="0" stopIfTrue="1">
      <formula>-0.03</formula>
    </cfRule>
  </conditionalFormatting>
  <conditionalFormatting sqref="R107:T107">
    <cfRule type="dataBar" priority="198">
      <dataBar>
        <cfvo type="min"/>
        <cfvo type="max"/>
        <color rgb="FF008AEF"/>
      </dataBar>
    </cfRule>
  </conditionalFormatting>
  <conditionalFormatting sqref="R108:T109">
    <cfRule type="dataBar" priority="197">
      <dataBar>
        <cfvo type="min"/>
        <cfvo type="max"/>
        <color rgb="FF008AEF"/>
      </dataBar>
    </cfRule>
  </conditionalFormatting>
  <conditionalFormatting sqref="R110:T110">
    <cfRule type="dataBar" priority="196">
      <dataBar>
        <cfvo type="min"/>
        <cfvo type="max"/>
        <color rgb="FF008AEF"/>
      </dataBar>
    </cfRule>
  </conditionalFormatting>
  <conditionalFormatting sqref="R106:U106 U107:U110">
    <cfRule type="dataBar" priority="213">
      <dataBar>
        <cfvo type="min"/>
        <cfvo type="max"/>
        <color rgb="FF008AEF"/>
      </dataBar>
    </cfRule>
  </conditionalFormatting>
  <conditionalFormatting sqref="N112">
    <cfRule type="cellIs" priority="194" operator="lessThan" dxfId="1" stopIfTrue="1">
      <formula>-0.01</formula>
    </cfRule>
    <cfRule type="cellIs" priority="195" operator="greaterThan" dxfId="0" stopIfTrue="1">
      <formula>0.01</formula>
    </cfRule>
  </conditionalFormatting>
  <conditionalFormatting sqref="I111">
    <cfRule type="dataBar" priority="193">
      <dataBar>
        <cfvo type="min"/>
        <cfvo type="max"/>
        <color rgb="FF008AEF"/>
      </dataBar>
    </cfRule>
  </conditionalFormatting>
  <conditionalFormatting sqref="N111">
    <cfRule type="cellIs" priority="191" operator="lessThan" dxfId="1" stopIfTrue="1">
      <formula>-0.01</formula>
    </cfRule>
    <cfRule type="cellIs" priority="192" operator="greaterThan" dxfId="0" stopIfTrue="1">
      <formula>0.01</formula>
    </cfRule>
  </conditionalFormatting>
  <conditionalFormatting sqref="R111:T112">
    <cfRule type="dataBar" priority="216">
      <dataBar>
        <cfvo type="min"/>
        <cfvo type="max"/>
        <color rgb="FF008AEF"/>
      </dataBar>
    </cfRule>
  </conditionalFormatting>
  <conditionalFormatting sqref="U111:U112">
    <cfRule type="dataBar" priority="217">
      <dataBar>
        <cfvo type="min"/>
        <cfvo type="max"/>
        <color rgb="FF008AEF"/>
      </dataBar>
    </cfRule>
  </conditionalFormatting>
  <conditionalFormatting sqref="I112">
    <cfRule type="dataBar" priority="218">
      <dataBar>
        <cfvo type="min"/>
        <cfvo type="max"/>
        <color rgb="FF008AEF"/>
      </dataBar>
    </cfRule>
  </conditionalFormatting>
  <conditionalFormatting sqref="I82">
    <cfRule type="dataBar" priority="121">
      <dataBar>
        <cfvo type="min"/>
        <cfvo type="max"/>
        <color rgb="FF008AEF"/>
      </dataBar>
    </cfRule>
  </conditionalFormatting>
  <conditionalFormatting sqref="I83">
    <cfRule type="dataBar" priority="120">
      <dataBar>
        <cfvo type="min"/>
        <cfvo type="max"/>
        <color rgb="FF008AEF"/>
      </dataBar>
    </cfRule>
  </conditionalFormatting>
  <conditionalFormatting sqref="I84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5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86:I87">
    <cfRule type="dataBar" priority="117">
      <dataBar>
        <cfvo type="min"/>
        <cfvo type="max"/>
        <color rgb="FF008AEF"/>
      </dataBar>
    </cfRule>
  </conditionalFormatting>
  <conditionalFormatting sqref="I88">
    <cfRule type="dataBar" priority="116">
      <dataBar>
        <cfvo type="min"/>
        <cfvo type="max"/>
        <color rgb="FF008AEF"/>
      </dataBar>
    </cfRule>
  </conditionalFormatting>
  <conditionalFormatting sqref="I86:I88">
    <cfRule type="dataBar" priority="115">
      <dataBar>
        <cfvo type="min"/>
        <cfvo type="max"/>
        <color rgb="FF008AEF"/>
      </dataBar>
    </cfRule>
  </conditionalFormatting>
  <conditionalFormatting sqref="J84:J88">
    <cfRule type="cellIs" priority="111" operator="greaterThan" dxfId="1">
      <formula>0.03</formula>
    </cfRule>
    <cfRule type="cellIs" priority="112" operator="lessThan" dxfId="0" stopIfTrue="1">
      <formula>-0.03</formula>
    </cfRule>
  </conditionalFormatting>
  <conditionalFormatting sqref="N84">
    <cfRule type="cellIs" priority="109" operator="lessThan" dxfId="1" stopIfTrue="1">
      <formula>-0.01</formula>
    </cfRule>
    <cfRule type="cellIs" priority="110" operator="greaterThan" dxfId="0" stopIfTrue="1">
      <formula>0.01</formula>
    </cfRule>
  </conditionalFormatting>
  <conditionalFormatting sqref="N85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6:N87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88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P84">
    <cfRule type="cellIs" priority="101" operator="greaterThan" dxfId="1">
      <formula>0.03</formula>
    </cfRule>
    <cfRule type="cellIs" priority="102" operator="lessThan" dxfId="0" stopIfTrue="1">
      <formula>-0.03</formula>
    </cfRule>
  </conditionalFormatting>
  <conditionalFormatting sqref="P88">
    <cfRule type="cellIs" priority="99" operator="lessThan" dxfId="1">
      <formula>-0.03</formula>
    </cfRule>
    <cfRule type="cellIs" priority="100" operator="greaterThan" dxfId="0" stopIfTrue="1">
      <formula>0.03</formula>
    </cfRule>
  </conditionalFormatting>
  <conditionalFormatting sqref="I93">
    <cfRule type="dataBar" priority="98">
      <dataBar>
        <cfvo type="min"/>
        <cfvo type="max"/>
        <color rgb="FF008AEF"/>
      </dataBar>
    </cfRule>
  </conditionalFormatting>
  <conditionalFormatting sqref="I94">
    <cfRule type="dataBar" priority="97">
      <dataBar>
        <cfvo type="min"/>
        <cfvo type="max"/>
        <color rgb="FF008AEF"/>
      </dataBar>
    </cfRule>
  </conditionalFormatting>
  <conditionalFormatting sqref="I95">
    <cfRule type="dataBar" priority="96">
      <dataBar>
        <cfvo type="min"/>
        <cfvo type="max"/>
        <color rgb="FF008AEF"/>
      </dataBar>
    </cfRule>
    <cfRule type="dataBar" priority="91">
      <dataBar>
        <cfvo type="min"/>
        <cfvo type="max"/>
        <color rgb="FF008AEF"/>
      </dataBar>
    </cfRule>
  </conditionalFormatting>
  <conditionalFormatting sqref="I96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97:I98">
    <cfRule type="dataBar" priority="94">
      <dataBar>
        <cfvo type="min"/>
        <cfvo type="max"/>
        <color rgb="FF008AEF"/>
      </dataBar>
    </cfRule>
  </conditionalFormatting>
  <conditionalFormatting sqref="I99">
    <cfRule type="dataBar" priority="93">
      <dataBar>
        <cfvo type="min"/>
        <cfvo type="max"/>
        <color rgb="FF008AEF"/>
      </dataBar>
    </cfRule>
  </conditionalFormatting>
  <conditionalFormatting sqref="I97:I99">
    <cfRule type="dataBar" priority="92">
      <dataBar>
        <cfvo type="min"/>
        <cfvo type="max"/>
        <color rgb="FF008AEF"/>
      </dataBar>
    </cfRule>
  </conditionalFormatting>
  <conditionalFormatting sqref="J95:J99">
    <cfRule type="cellIs" priority="88" operator="greaterThan" dxfId="1">
      <formula>0.03</formula>
    </cfRule>
    <cfRule type="cellIs" priority="89" operator="lessThan" dxfId="0" stopIfTrue="1">
      <formula>-0.03</formula>
    </cfRule>
  </conditionalFormatting>
  <conditionalFormatting sqref="N95">
    <cfRule type="cellIs" priority="86" operator="lessThan" dxfId="1" stopIfTrue="1">
      <formula>-0.01</formula>
    </cfRule>
    <cfRule type="cellIs" priority="87" operator="greaterThan" dxfId="0" stopIfTrue="1">
      <formula>0.01</formula>
    </cfRule>
  </conditionalFormatting>
  <conditionalFormatting sqref="N96">
    <cfRule type="cellIs" priority="84" operator="lessThan" dxfId="1" stopIfTrue="1">
      <formula>-0.01</formula>
    </cfRule>
    <cfRule type="cellIs" priority="85" operator="greaterThan" dxfId="0" stopIfTrue="1">
      <formula>0.01</formula>
    </cfRule>
  </conditionalFormatting>
  <conditionalFormatting sqref="N97:N98">
    <cfRule type="cellIs" priority="82" operator="lessThan" dxfId="1" stopIfTrue="1">
      <formula>-0.01</formula>
    </cfRule>
    <cfRule type="cellIs" priority="83" operator="greaterThan" dxfId="0" stopIfTrue="1">
      <formula>0.01</formula>
    </cfRule>
  </conditionalFormatting>
  <conditionalFormatting sqref="N99">
    <cfRule type="cellIs" priority="80" operator="lessThan" dxfId="1" stopIfTrue="1">
      <formula>-0.01</formula>
    </cfRule>
    <cfRule type="cellIs" priority="81" operator="greaterThan" dxfId="0" stopIfTrue="1">
      <formula>0.01</formula>
    </cfRule>
  </conditionalFormatting>
  <conditionalFormatting sqref="P95">
    <cfRule type="cellIs" priority="78" operator="greaterThan" dxfId="1">
      <formula>0.03</formula>
    </cfRule>
    <cfRule type="cellIs" priority="79" operator="lessThan" dxfId="0" stopIfTrue="1">
      <formula>-0.03</formula>
    </cfRule>
  </conditionalFormatting>
  <conditionalFormatting sqref="P99">
    <cfRule type="cellIs" priority="76" operator="lessThan" dxfId="1">
      <formula>-0.03</formula>
    </cfRule>
    <cfRule type="cellIs" priority="77" operator="greaterThan" dxfId="0" stopIfTrue="1">
      <formula>0.03</formula>
    </cfRule>
  </conditionalFormatting>
  <conditionalFormatting sqref="I104">
    <cfRule type="dataBar" priority="75">
      <dataBar>
        <cfvo type="min"/>
        <cfvo type="max"/>
        <color rgb="FF008AEF"/>
      </dataBar>
    </cfRule>
  </conditionalFormatting>
  <conditionalFormatting sqref="I105">
    <cfRule type="dataBar" priority="74">
      <dataBar>
        <cfvo type="min"/>
        <cfvo type="max"/>
        <color rgb="FF008AEF"/>
      </dataBar>
    </cfRule>
  </conditionalFormatting>
  <conditionalFormatting sqref="I106">
    <cfRule type="dataBar" priority="73">
      <dataBar>
        <cfvo type="min"/>
        <cfvo type="max"/>
        <color rgb="FF008AEF"/>
      </dataBar>
    </cfRule>
    <cfRule type="dataBar" priority="68">
      <dataBar>
        <cfvo type="min"/>
        <cfvo type="max"/>
        <color rgb="FF008AEF"/>
      </dataBar>
    </cfRule>
  </conditionalFormatting>
  <conditionalFormatting sqref="I107">
    <cfRule type="dataBar" priority="72">
      <dataBar>
        <cfvo type="min"/>
        <cfvo type="max"/>
        <color rgb="FF008AEF"/>
      </dataBar>
    </cfRule>
    <cfRule type="dataBar" priority="67">
      <dataBar>
        <cfvo type="min"/>
        <cfvo type="max"/>
        <color rgb="FF008AEF"/>
      </dataBar>
    </cfRule>
  </conditionalFormatting>
  <conditionalFormatting sqref="I108:I109">
    <cfRule type="dataBar" priority="71">
      <dataBar>
        <cfvo type="min"/>
        <cfvo type="max"/>
        <color rgb="FF008AEF"/>
      </dataBar>
    </cfRule>
  </conditionalFormatting>
  <conditionalFormatting sqref="I110">
    <cfRule type="dataBar" priority="70">
      <dataBar>
        <cfvo type="min"/>
        <cfvo type="max"/>
        <color rgb="FF008AEF"/>
      </dataBar>
    </cfRule>
  </conditionalFormatting>
  <conditionalFormatting sqref="I108:I110">
    <cfRule type="dataBar" priority="69">
      <dataBar>
        <cfvo type="min"/>
        <cfvo type="max"/>
        <color rgb="FF008AEF"/>
      </dataBar>
    </cfRule>
  </conditionalFormatting>
  <conditionalFormatting sqref="J106:J110">
    <cfRule type="cellIs" priority="65" operator="greaterThan" dxfId="1">
      <formula>0.03</formula>
    </cfRule>
    <cfRule type="cellIs" priority="66" operator="lessThan" dxfId="0" stopIfTrue="1">
      <formula>-0.03</formula>
    </cfRule>
  </conditionalFormatting>
  <conditionalFormatting sqref="N106">
    <cfRule type="cellIs" priority="63" operator="lessThan" dxfId="1" stopIfTrue="1">
      <formula>-0.01</formula>
    </cfRule>
    <cfRule type="cellIs" priority="64" operator="greaterThan" dxfId="0" stopIfTrue="1">
      <formula>0.01</formula>
    </cfRule>
  </conditionalFormatting>
  <conditionalFormatting sqref="N107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108:N109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110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P106">
    <cfRule type="cellIs" priority="55" operator="greaterThan" dxfId="1">
      <formula>0.03</formula>
    </cfRule>
    <cfRule type="cellIs" priority="56" operator="lessThan" dxfId="0" stopIfTrue="1">
      <formula>-0.03</formula>
    </cfRule>
  </conditionalFormatting>
  <conditionalFormatting sqref="P110">
    <cfRule type="cellIs" priority="53" operator="lessThan" dxfId="1">
      <formula>-0.03</formula>
    </cfRule>
    <cfRule type="cellIs" priority="54" operator="greaterThan" dxfId="0" stopIfTrue="1">
      <formula>0.03</formula>
    </cfRule>
  </conditionalFormatting>
  <conditionalFormatting sqref="U8:U11">
    <cfRule type="dataBar" priority="52">
      <dataBar>
        <cfvo type="min"/>
        <cfvo type="max"/>
        <color rgb="FF008AEF"/>
      </dataBar>
    </cfRule>
  </conditionalFormatting>
  <conditionalFormatting sqref="Z12:Z13">
    <cfRule type="cellIs" priority="49" operator="lessThan" dxfId="1" stopIfTrue="1">
      <formula>-0.01</formula>
    </cfRule>
    <cfRule type="cellIs" priority="50" operator="greaterThan" dxfId="0" stopIfTrue="1">
      <formula>0.01</formula>
    </cfRule>
  </conditionalFormatting>
  <conditionalFormatting sqref="I13">
    <cfRule type="dataBar" priority="48">
      <dataBar>
        <cfvo type="min"/>
        <cfvo type="max"/>
        <color rgb="FF008AEF"/>
      </dataBar>
    </cfRule>
  </conditionalFormatting>
  <conditionalFormatting sqref="R12:T13">
    <cfRule type="dataBar" priority="47">
      <dataBar>
        <cfvo type="min"/>
        <cfvo type="max"/>
        <color rgb="FF008AEF"/>
      </dataBar>
    </cfRule>
  </conditionalFormatting>
  <conditionalFormatting sqref="U12:U13">
    <cfRule type="dataBar" priority="51">
      <dataBar>
        <cfvo type="min"/>
        <cfvo type="max"/>
        <color rgb="FF008AEF"/>
      </dataBar>
    </cfRule>
  </conditionalFormatting>
  <conditionalFormatting sqref="AB7">
    <cfRule type="cellIs" priority="44" operator="greaterThan" dxfId="1">
      <formula>0.03</formula>
    </cfRule>
    <cfRule type="cellIs" priority="45" operator="lessThan" dxfId="0" stopIfTrue="1">
      <formula>-0.03</formula>
    </cfRule>
  </conditionalFormatting>
  <conditionalFormatting sqref="AB11">
    <cfRule type="cellIs" priority="42" operator="lessThan" dxfId="1">
      <formula>-0.03</formula>
    </cfRule>
    <cfRule type="cellIs" priority="43" operator="greaterThan" dxfId="0" stopIfTrue="1">
      <formula>0.03</formula>
    </cfRule>
  </conditionalFormatting>
  <conditionalFormatting sqref="Z7">
    <cfRule type="cellIs" priority="40" operator="lessThan" dxfId="1" stopIfTrue="1">
      <formula>-0.01</formula>
    </cfRule>
    <cfRule type="cellIs" priority="41" operator="greaterThan" dxfId="0" stopIfTrue="1">
      <formula>0.01</formula>
    </cfRule>
  </conditionalFormatting>
  <conditionalFormatting sqref="Z8">
    <cfRule type="cellIs" priority="38" operator="lessThan" dxfId="1" stopIfTrue="1">
      <formula>-0.01</formula>
    </cfRule>
    <cfRule type="cellIs" priority="39" operator="greaterThan" dxfId="0" stopIfTrue="1">
      <formula>0.01</formula>
    </cfRule>
  </conditionalFormatting>
  <conditionalFormatting sqref="Z9:Z10">
    <cfRule type="cellIs" priority="36" operator="lessThan" dxfId="1" stopIfTrue="1">
      <formula>-0.01</formula>
    </cfRule>
    <cfRule type="cellIs" priority="37" operator="greaterThan" dxfId="0" stopIfTrue="1">
      <formula>0.01</formula>
    </cfRule>
  </conditionalFormatting>
  <conditionalFormatting sqref="Z11">
    <cfRule type="cellIs" priority="34" operator="lessThan" dxfId="1" stopIfTrue="1">
      <formula>-0.01</formula>
    </cfRule>
    <cfRule type="cellIs" priority="35" operator="greaterThan" dxfId="0" stopIfTrue="1">
      <formula>0.01</formula>
    </cfRule>
  </conditionalFormatting>
  <conditionalFormatting sqref="V7:V11">
    <cfRule type="cellIs" priority="32" operator="greaterThan" dxfId="1">
      <formula>0.03</formula>
    </cfRule>
    <cfRule type="cellIs" priority="33" operator="lessThan" dxfId="0" stopIfTrue="1">
      <formula>-0.03</formula>
    </cfRule>
  </conditionalFormatting>
  <conditionalFormatting sqref="R8:T8">
    <cfRule type="dataBar" priority="31">
      <dataBar>
        <cfvo type="min"/>
        <cfvo type="max"/>
        <color rgb="FF008AEF"/>
      </dataBar>
    </cfRule>
  </conditionalFormatting>
  <conditionalFormatting sqref="R9:T10">
    <cfRule type="dataBar" priority="30">
      <dataBar>
        <cfvo type="min"/>
        <cfvo type="max"/>
        <color rgb="FF008AEF"/>
      </dataBar>
    </cfRule>
  </conditionalFormatting>
  <conditionalFormatting sqref="R11:T11">
    <cfRule type="dataBar" priority="29">
      <dataBar>
        <cfvo type="min"/>
        <cfvo type="max"/>
        <color rgb="FF008AEF"/>
      </dataBar>
    </cfRule>
  </conditionalFormatting>
  <conditionalFormatting sqref="R7:U7">
    <cfRule type="dataBar" priority="46">
      <dataBar>
        <cfvo type="min"/>
        <cfvo type="max"/>
        <color rgb="FF008AEF"/>
      </dataBar>
    </cfRule>
  </conditionalFormatting>
  <conditionalFormatting sqref="I5">
    <cfRule type="dataBar" priority="28">
      <dataBar>
        <cfvo type="min"/>
        <cfvo type="max"/>
        <color rgb="FF008AEF"/>
      </dataBar>
    </cfRule>
  </conditionalFormatting>
  <conditionalFormatting sqref="I6">
    <cfRule type="dataBar" priority="27">
      <dataBar>
        <cfvo type="min"/>
        <cfvo type="max"/>
        <color rgb="FF008AEF"/>
      </dataBar>
    </cfRule>
  </conditionalFormatting>
  <conditionalFormatting sqref="N13">
    <cfRule type="cellIs" priority="25" operator="lessThan" dxfId="1" stopIfTrue="1">
      <formula>-0.01</formula>
    </cfRule>
    <cfRule type="cellIs" priority="26" operator="greaterThan" dxfId="0" stopIfTrue="1">
      <formula>0.01</formula>
    </cfRule>
  </conditionalFormatting>
  <conditionalFormatting sqref="I12">
    <cfRule type="dataBar" priority="24">
      <dataBar>
        <cfvo type="min"/>
        <cfvo type="max"/>
        <color rgb="FF008AEF"/>
      </dataBar>
    </cfRule>
  </conditionalFormatting>
  <conditionalFormatting sqref="I7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8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:I10">
    <cfRule type="dataBar" priority="21">
      <dataBar>
        <cfvo type="min"/>
        <cfvo type="max"/>
        <color rgb="FF008AEF"/>
      </dataBar>
    </cfRule>
  </conditionalFormatting>
  <conditionalFormatting sqref="I11">
    <cfRule type="dataBar" priority="20">
      <dataBar>
        <cfvo type="min"/>
        <cfvo type="max"/>
        <color rgb="FF008AEF"/>
      </dataBar>
    </cfRule>
  </conditionalFormatting>
  <conditionalFormatting sqref="I9:I11">
    <cfRule type="dataBar" priority="19">
      <dataBar>
        <cfvo type="min"/>
        <cfvo type="max"/>
        <color rgb="FF008AEF"/>
      </dataBar>
    </cfRule>
  </conditionalFormatting>
  <conditionalFormatting sqref="N12">
    <cfRule type="cellIs" priority="15" operator="lessThan" dxfId="1" stopIfTrue="1">
      <formula>-0.01</formula>
    </cfRule>
    <cfRule type="cellIs" priority="16" operator="greaterThan" dxfId="0" stopIfTrue="1">
      <formula>0.01</formula>
    </cfRule>
  </conditionalFormatting>
  <conditionalFormatting sqref="J7:J11">
    <cfRule type="cellIs" priority="13" operator="greaterThan" dxfId="1">
      <formula>0.03</formula>
    </cfRule>
    <cfRule type="cellIs" priority="14" operator="lessThan" dxfId="0" stopIfTrue="1">
      <formula>-0.03</formula>
    </cfRule>
  </conditionalFormatting>
  <conditionalFormatting sqref="N7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8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:N10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11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7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11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breakfast_track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5941.224</v>
      </c>
      <c r="F16" s="169" t="n">
        <v>6950.84</v>
      </c>
      <c r="G16" s="169" t="n">
        <v>2479.192</v>
      </c>
      <c r="H16" s="169" t="n">
        <v>925.624</v>
      </c>
      <c r="I16" s="169" t="n">
        <v>107.456</v>
      </c>
      <c r="J16" s="169" t="n">
        <v>11102.456</v>
      </c>
      <c r="K16" s="62" t="n">
        <v>7159.68</v>
      </c>
      <c r="L16" s="62" t="n">
        <v>2367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5941.224</v>
      </c>
      <c r="X16" s="169" t="n">
        <v>6882.976</v>
      </c>
      <c r="Y16" s="169" t="n">
        <v>2607.568</v>
      </c>
      <c r="Z16" s="169" t="n">
        <v>1034.824</v>
      </c>
      <c r="AA16" s="169" t="n">
        <v>174.808</v>
      </c>
      <c r="AB16" s="169" t="n">
        <v>11103</v>
      </c>
      <c r="AC16" s="62" t="n">
        <v>7159.784</v>
      </c>
      <c r="AD16" s="62" t="n">
        <v>2367.056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5941.224</v>
      </c>
      <c r="F17" s="170" t="n">
        <v>9208.879999999999</v>
      </c>
      <c r="G17" s="170" t="n">
        <v>6678.36</v>
      </c>
      <c r="H17" s="170" t="n">
        <v>3445.296</v>
      </c>
      <c r="I17" s="170" t="n">
        <v>1066.664</v>
      </c>
      <c r="J17" s="170" t="n">
        <v>14290.28</v>
      </c>
      <c r="K17" s="64" t="n">
        <v>9490.904</v>
      </c>
      <c r="L17" s="64" t="n">
        <v>3121.8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5941.224</v>
      </c>
      <c r="X17" s="170" t="n">
        <v>9120.776</v>
      </c>
      <c r="Y17" s="170" t="n">
        <v>6738.568</v>
      </c>
      <c r="Z17" s="170" t="n">
        <v>3594.64</v>
      </c>
      <c r="AA17" s="170" t="n">
        <v>1260.984</v>
      </c>
      <c r="AB17" s="170" t="n">
        <v>14290.264</v>
      </c>
      <c r="AC17" s="64" t="n">
        <v>9490.944</v>
      </c>
      <c r="AD17" s="64" t="n">
        <v>3121.856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5941.224</v>
      </c>
      <c r="F18" s="170" t="n">
        <v>11523.68</v>
      </c>
      <c r="G18" s="170" t="n">
        <v>12327.76</v>
      </c>
      <c r="H18" s="170" t="n">
        <v>8552.031999999999</v>
      </c>
      <c r="I18" s="170" t="n">
        <v>5014.36</v>
      </c>
      <c r="J18" s="170" t="n">
        <v>17597.624</v>
      </c>
      <c r="K18" s="64" t="n">
        <v>11921.12</v>
      </c>
      <c r="L18" s="64" t="n">
        <v>3895.536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5941.224</v>
      </c>
      <c r="X18" s="170" t="n">
        <v>11403.424</v>
      </c>
      <c r="Y18" s="170" t="n">
        <v>12332.488</v>
      </c>
      <c r="Z18" s="170" t="n">
        <v>8663.968000000001</v>
      </c>
      <c r="AA18" s="170" t="n">
        <v>5252.464</v>
      </c>
      <c r="AB18" s="170" t="n">
        <v>17597.616</v>
      </c>
      <c r="AC18" s="64" t="n">
        <v>11920.904</v>
      </c>
      <c r="AD18" s="64" t="n">
        <v>3895.592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5941.224</v>
      </c>
      <c r="F19" s="170" t="n">
        <v>13726.208</v>
      </c>
      <c r="G19" s="170" t="n">
        <v>18542.392</v>
      </c>
      <c r="H19" s="170" t="n">
        <v>16488.648</v>
      </c>
      <c r="I19" s="170" t="n">
        <v>13983.656</v>
      </c>
      <c r="J19" s="170" t="n">
        <v>21009.472</v>
      </c>
      <c r="K19" s="64" t="n">
        <v>14466.144</v>
      </c>
      <c r="L19" s="64" t="n">
        <v>4704.344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5941.224</v>
      </c>
      <c r="X19" s="170" t="n">
        <v>13573.32</v>
      </c>
      <c r="Y19" s="170" t="n">
        <v>18544.024</v>
      </c>
      <c r="Z19" s="170" t="n">
        <v>16539.472</v>
      </c>
      <c r="AA19" s="170" t="n">
        <v>14160.736</v>
      </c>
      <c r="AB19" s="170" t="n">
        <v>21010.096</v>
      </c>
      <c r="AC19" s="64" t="n">
        <v>14466.336</v>
      </c>
      <c r="AD19" s="64" t="n">
        <v>4704.28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26.798352</v>
      </c>
      <c r="G33" s="99" t="n">
        <v>32.055731</v>
      </c>
      <c r="H33" s="99" t="n">
        <v>0.95811589</v>
      </c>
      <c r="I33" s="62" t="n">
        <v>0.95013264</v>
      </c>
      <c r="J33" s="62" t="n">
        <v>0.07062971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7.143658</v>
      </c>
      <c r="Y33" s="99" t="n">
        <v>9.814848</v>
      </c>
      <c r="Z33" s="99" t="n">
        <v>0.5263093</v>
      </c>
      <c r="AA33" s="62" t="n">
        <v>0.41404933</v>
      </c>
      <c r="AB33" s="62" t="n">
        <v>0.88382363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30.683052</v>
      </c>
      <c r="G34" s="192" t="n">
        <v>35.189309</v>
      </c>
      <c r="H34" s="192" t="n">
        <v>0.97566373</v>
      </c>
      <c r="I34" s="64" t="n">
        <v>0.97241996</v>
      </c>
      <c r="J34" s="64" t="n">
        <v>0.043773934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7.101913</v>
      </c>
      <c r="Y34" s="192" t="n">
        <v>9.858515000000001</v>
      </c>
      <c r="Z34" s="192" t="n">
        <v>0.52712382</v>
      </c>
      <c r="AA34" s="64" t="n">
        <v>0.41550495</v>
      </c>
      <c r="AB34" s="64" t="n">
        <v>0.88025296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35.245213</v>
      </c>
      <c r="G35" s="192" t="n">
        <v>39.325405</v>
      </c>
      <c r="H35" s="192" t="n">
        <v>0.98802478</v>
      </c>
      <c r="I35" s="64" t="n">
        <v>0.99024722</v>
      </c>
      <c r="J35" s="64" t="n">
        <v>0.025878713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7.266582</v>
      </c>
      <c r="Y35" s="192" t="n">
        <v>9.792411</v>
      </c>
      <c r="Z35" s="192" t="n">
        <v>0.52161337</v>
      </c>
      <c r="AA35" s="64" t="n">
        <v>0.40974922</v>
      </c>
      <c r="AB35" s="64" t="n">
        <v>0.87668073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37.978982</v>
      </c>
      <c r="G36" s="192" t="n">
        <v>42.071569</v>
      </c>
      <c r="H36" s="192" t="n">
        <v>0.99232674</v>
      </c>
      <c r="I36" s="64" t="n">
        <v>0.99516832</v>
      </c>
      <c r="J36" s="64" t="n">
        <v>0.018133216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7.196548</v>
      </c>
      <c r="Y36" s="192" t="n">
        <v>9.743155</v>
      </c>
      <c r="Z36" s="192" t="n">
        <v>0.519957</v>
      </c>
      <c r="AA36" s="64" t="n">
        <v>0.40835732</v>
      </c>
      <c r="AB36" s="64" t="n">
        <v>0.87561667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27.159337</v>
      </c>
      <c r="G38" s="99" t="n">
        <v>32.313654</v>
      </c>
      <c r="H38" s="99" t="n">
        <v>0.9591326100000001</v>
      </c>
      <c r="I38" s="62" t="n">
        <v>0.95348165</v>
      </c>
      <c r="J38" s="62" t="n">
        <v>0.06765059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7.009608</v>
      </c>
      <c r="Y38" s="99" t="n">
        <v>9.729913</v>
      </c>
      <c r="Z38" s="99" t="n">
        <v>0.5125199499999999</v>
      </c>
      <c r="AA38" s="62" t="n">
        <v>0.40268839</v>
      </c>
      <c r="AB38" s="62" t="n">
        <v>0.887749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30.61149</v>
      </c>
      <c r="G39" s="192" t="n">
        <v>35.12582</v>
      </c>
      <c r="H39" s="192" t="n">
        <v>0.97554803</v>
      </c>
      <c r="I39" s="64" t="n">
        <v>0.97318224</v>
      </c>
      <c r="J39" s="64" t="n">
        <v>0.042904843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6.963894</v>
      </c>
      <c r="Y39" s="192" t="n">
        <v>9.762479000000001</v>
      </c>
      <c r="Z39" s="192" t="n">
        <v>0.51506396</v>
      </c>
      <c r="AA39" s="64" t="n">
        <v>0.40432557</v>
      </c>
      <c r="AB39" s="64" t="n">
        <v>0.8869574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35.104631</v>
      </c>
      <c r="G40" s="192" t="n">
        <v>39.205774</v>
      </c>
      <c r="H40" s="192" t="n">
        <v>0.98771968</v>
      </c>
      <c r="I40" s="64" t="n">
        <v>0.99035199</v>
      </c>
      <c r="J40" s="64" t="n">
        <v>0.026291702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7.144911</v>
      </c>
      <c r="Y40" s="192" t="n">
        <v>9.702258</v>
      </c>
      <c r="Z40" s="192" t="n">
        <v>0.50684401</v>
      </c>
      <c r="AA40" s="64" t="n">
        <v>0.39798704</v>
      </c>
      <c r="AB40" s="64" t="n">
        <v>0.8824687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37.772447</v>
      </c>
      <c r="G41" s="192" t="n">
        <v>41.887455</v>
      </c>
      <c r="H41" s="192" t="n">
        <v>0.99197133</v>
      </c>
      <c r="I41" s="64" t="n">
        <v>0.99512036</v>
      </c>
      <c r="J41" s="64" t="n">
        <v>0.018893559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7.074197</v>
      </c>
      <c r="Y41" s="192" t="n">
        <v>9.655557999999999</v>
      </c>
      <c r="Z41" s="192" t="n">
        <v>0.50506031</v>
      </c>
      <c r="AA41" s="64" t="n">
        <v>0.39548294</v>
      </c>
      <c r="AB41" s="64" t="n">
        <v>0.8816781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27.47721</v>
      </c>
      <c r="G43" s="99" t="n">
        <v>32.542786</v>
      </c>
      <c r="H43" s="99" t="n">
        <v>0.95888883</v>
      </c>
      <c r="I43" s="62" t="n">
        <v>0.95585541</v>
      </c>
      <c r="J43" s="62" t="n">
        <v>0.06415727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6.936348</v>
      </c>
      <c r="Y43" s="99" t="n">
        <v>9.735481999999999</v>
      </c>
      <c r="Z43" s="99" t="n">
        <v>0.50288848</v>
      </c>
      <c r="AA43" s="62" t="n">
        <v>0.39351973</v>
      </c>
      <c r="AB43" s="62" t="n">
        <v>0.8933025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30.589346</v>
      </c>
      <c r="G44" s="192" t="n">
        <v>35.108955</v>
      </c>
      <c r="H44" s="192" t="n">
        <v>0.97530395</v>
      </c>
      <c r="I44" s="64" t="n">
        <v>0.97331947</v>
      </c>
      <c r="J44" s="64" t="n">
        <v>0.040674977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6.889717</v>
      </c>
      <c r="Y44" s="192" t="n">
        <v>9.774614</v>
      </c>
      <c r="Z44" s="192" t="n">
        <v>0.50484537</v>
      </c>
      <c r="AA44" s="64" t="n">
        <v>0.3959001</v>
      </c>
      <c r="AB44" s="64" t="n">
        <v>0.8908775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35.185032</v>
      </c>
      <c r="G45" s="192" t="n">
        <v>39.267469</v>
      </c>
      <c r="H45" s="192" t="n">
        <v>0.98778605</v>
      </c>
      <c r="I45" s="64" t="n">
        <v>0.99048534</v>
      </c>
      <c r="J45" s="64" t="n">
        <v>0.024693282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7.051656</v>
      </c>
      <c r="Y45" s="192" t="n">
        <v>9.694993</v>
      </c>
      <c r="Z45" s="192" t="n">
        <v>0.49675402</v>
      </c>
      <c r="AA45" s="64" t="n">
        <v>0.38945215</v>
      </c>
      <c r="AB45" s="64" t="n">
        <v>0.8877728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37.84141</v>
      </c>
      <c r="G46" s="192" t="n">
        <v>41.947218</v>
      </c>
      <c r="H46" s="192" t="n">
        <v>0.99210927</v>
      </c>
      <c r="I46" s="64" t="n">
        <v>0.99513595</v>
      </c>
      <c r="J46" s="64" t="n">
        <v>0.017724298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6.986077</v>
      </c>
      <c r="Y46" s="192" t="n">
        <v>9.662419</v>
      </c>
      <c r="Z46" s="192" t="n">
        <v>0.49600633</v>
      </c>
      <c r="AA46" s="64" t="n">
        <v>0.38698781</v>
      </c>
      <c r="AB46" s="64" t="n">
        <v>0.8874924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27.528515</v>
      </c>
      <c r="G48" s="99" t="n">
        <v>32.573353</v>
      </c>
      <c r="H48" s="99" t="n">
        <v>0.95889004</v>
      </c>
      <c r="I48" s="62" t="n">
        <v>0.95552258</v>
      </c>
      <c r="J48" s="62" t="n">
        <v>0.06511947999999999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6.905968</v>
      </c>
      <c r="Y48" s="99" t="n">
        <v>9.818149</v>
      </c>
      <c r="Z48" s="99" t="n">
        <v>0.50753582</v>
      </c>
      <c r="AA48" s="62" t="n">
        <v>0.39718688</v>
      </c>
      <c r="AB48" s="62" t="n">
        <v>0.88113666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30.364004</v>
      </c>
      <c r="G49" s="192" t="n">
        <v>34.911343</v>
      </c>
      <c r="H49" s="192" t="n">
        <v>0.97482051</v>
      </c>
      <c r="I49" s="64" t="n">
        <v>0.97217199</v>
      </c>
      <c r="J49" s="64" t="n">
        <v>0.042943962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6.907755</v>
      </c>
      <c r="Y49" s="192" t="n">
        <v>9.901028</v>
      </c>
      <c r="Z49" s="192" t="n">
        <v>0.51054124</v>
      </c>
      <c r="AA49" s="64" t="n">
        <v>0.40421555</v>
      </c>
      <c r="AB49" s="64" t="n">
        <v>0.8792339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35.178788</v>
      </c>
      <c r="G50" s="192" t="n">
        <v>39.253575</v>
      </c>
      <c r="H50" s="192" t="n">
        <v>0.98766487</v>
      </c>
      <c r="I50" s="64" t="n">
        <v>0.99047031</v>
      </c>
      <c r="J50" s="64" t="n">
        <v>0.025777917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7.067644</v>
      </c>
      <c r="Y50" s="192" t="n">
        <v>9.801786999999999</v>
      </c>
      <c r="Z50" s="192" t="n">
        <v>0.50175322</v>
      </c>
      <c r="AA50" s="64" t="n">
        <v>0.39360246</v>
      </c>
      <c r="AB50" s="64" t="n">
        <v>0.87469864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37.787499</v>
      </c>
      <c r="G51" s="192" t="n">
        <v>41.886262</v>
      </c>
      <c r="H51" s="192" t="n">
        <v>0.99195459</v>
      </c>
      <c r="I51" s="64" t="n">
        <v>0.9950635799999999</v>
      </c>
      <c r="J51" s="64" t="n">
        <v>0.01861242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7.002072</v>
      </c>
      <c r="Y51" s="192" t="n">
        <v>9.775883</v>
      </c>
      <c r="Z51" s="192" t="n">
        <v>0.50107018</v>
      </c>
      <c r="AA51" s="64" t="n">
        <v>0.39197858</v>
      </c>
      <c r="AB51" s="64" t="n">
        <v>0.8750363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27.637275</v>
      </c>
      <c r="G53" s="99" t="n">
        <v>32.603611</v>
      </c>
      <c r="H53" s="99" t="n">
        <v>0.95685091</v>
      </c>
      <c r="I53" s="62" t="n">
        <v>0.95639452</v>
      </c>
      <c r="J53" s="62" t="n">
        <v>0.06859033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6.843079</v>
      </c>
      <c r="Y53" s="99" t="n">
        <v>9.814282</v>
      </c>
      <c r="Z53" s="99" t="n">
        <v>0.5049470700000001</v>
      </c>
      <c r="AA53" s="62" t="n">
        <v>0.40043545</v>
      </c>
      <c r="AB53" s="62" t="n">
        <v>0.8805524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30.342055</v>
      </c>
      <c r="G54" s="192" t="n">
        <v>34.873163</v>
      </c>
      <c r="H54" s="192" t="n">
        <v>0.97403955</v>
      </c>
      <c r="I54" s="64" t="n">
        <v>0.97253383</v>
      </c>
      <c r="J54" s="64" t="n">
        <v>0.045010433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6.852934</v>
      </c>
      <c r="Y54" s="192" t="n">
        <v>9.933210000000001</v>
      </c>
      <c r="Z54" s="192" t="n">
        <v>0.51029757</v>
      </c>
      <c r="AA54" s="64" t="n">
        <v>0.41157843</v>
      </c>
      <c r="AB54" s="64" t="n">
        <v>0.8783453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34.99412</v>
      </c>
      <c r="G55" s="192" t="n">
        <v>39.061015</v>
      </c>
      <c r="H55" s="192" t="n">
        <v>0.98708829</v>
      </c>
      <c r="I55" s="64" t="n">
        <v>0.99036941</v>
      </c>
      <c r="J55" s="64" t="n">
        <v>0.027586918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7.015134</v>
      </c>
      <c r="Y55" s="192" t="n">
        <v>9.831913999999999</v>
      </c>
      <c r="Z55" s="192" t="n">
        <v>0.50061777</v>
      </c>
      <c r="AA55" s="64" t="n">
        <v>0.39977382</v>
      </c>
      <c r="AB55" s="64" t="n">
        <v>0.874197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37.432069</v>
      </c>
      <c r="G56" s="192" t="n">
        <v>41.503722</v>
      </c>
      <c r="H56" s="192" t="n">
        <v>0.99142966</v>
      </c>
      <c r="I56" s="64" t="n">
        <v>0.99482473</v>
      </c>
      <c r="J56" s="64" t="n">
        <v>0.019992592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6.950831</v>
      </c>
      <c r="Y56" s="192" t="n">
        <v>9.803945000000001</v>
      </c>
      <c r="Z56" s="192" t="n">
        <v>0.50035493</v>
      </c>
      <c r="AA56" s="64" t="n">
        <v>0.39841662</v>
      </c>
      <c r="AB56" s="64" t="n">
        <v>0.8738937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26.894822</v>
      </c>
      <c r="G58" s="99" t="n">
        <v>32.264718</v>
      </c>
      <c r="H58" s="99" t="n">
        <v>0.95867438</v>
      </c>
      <c r="I58" s="62" t="n">
        <v>0.95391573</v>
      </c>
      <c r="J58" s="62" t="n">
        <v>0.06924356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7.190733</v>
      </c>
      <c r="Y58" s="99" t="n">
        <v>9.794886</v>
      </c>
      <c r="Z58" s="99" t="n">
        <v>0.53180697</v>
      </c>
      <c r="AA58" s="62" t="n">
        <v>0.42494437</v>
      </c>
      <c r="AB58" s="62" t="n">
        <v>0.869557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30.816381</v>
      </c>
      <c r="G59" s="192" t="n">
        <v>35.493073</v>
      </c>
      <c r="H59" s="192" t="n">
        <v>0.9764444799999999</v>
      </c>
      <c r="I59" s="64" t="n">
        <v>0.97494441</v>
      </c>
      <c r="J59" s="64" t="n">
        <v>0.041013528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7.142614</v>
      </c>
      <c r="Y59" s="192" t="n">
        <v>9.869303</v>
      </c>
      <c r="Z59" s="192" t="n">
        <v>0.52779673</v>
      </c>
      <c r="AA59" s="64" t="n">
        <v>0.42239902</v>
      </c>
      <c r="AB59" s="64" t="n">
        <v>0.8713307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35.293846</v>
      </c>
      <c r="G60" s="192" t="n">
        <v>39.39068</v>
      </c>
      <c r="H60" s="192" t="n">
        <v>0.98864725</v>
      </c>
      <c r="I60" s="64" t="n">
        <v>0.99094232</v>
      </c>
      <c r="J60" s="64" t="n">
        <v>0.023807272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7.320173</v>
      </c>
      <c r="Y60" s="192" t="n">
        <v>9.773892</v>
      </c>
      <c r="Z60" s="192" t="n">
        <v>0.52307772</v>
      </c>
      <c r="AA60" s="64" t="n">
        <v>0.41798394</v>
      </c>
      <c r="AB60" s="64" t="n">
        <v>0.8654496699999999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37.956539</v>
      </c>
      <c r="G61" s="192" t="n">
        <v>42.040222</v>
      </c>
      <c r="H61" s="192" t="n">
        <v>0.99285303</v>
      </c>
      <c r="I61" s="64" t="n">
        <v>0.9956947900000001</v>
      </c>
      <c r="J61" s="64" t="n">
        <v>0.016822651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7.24698</v>
      </c>
      <c r="Y61" s="192" t="n">
        <v>9.726986</v>
      </c>
      <c r="Z61" s="192" t="n">
        <v>0.52195928</v>
      </c>
      <c r="AA61" s="64" t="n">
        <v>0.41631497</v>
      </c>
      <c r="AB61" s="64" t="n">
        <v>0.8669882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27.080069</v>
      </c>
      <c r="G63" s="99" t="n">
        <v>32.41377</v>
      </c>
      <c r="H63" s="99" t="n">
        <v>0.95950606</v>
      </c>
      <c r="I63" s="62" t="n">
        <v>0.95407178</v>
      </c>
      <c r="J63" s="62" t="n">
        <v>0.0653517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7.066805</v>
      </c>
      <c r="Y63" s="99" t="n">
        <v>9.769503</v>
      </c>
      <c r="Z63" s="99" t="n">
        <v>0.5175878900000001</v>
      </c>
      <c r="AA63" s="62" t="n">
        <v>0.40740192</v>
      </c>
      <c r="AB63" s="62" t="n">
        <v>0.87878954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30.646645</v>
      </c>
      <c r="G64" s="192" t="n">
        <v>35.377361</v>
      </c>
      <c r="H64" s="192" t="n">
        <v>0.97647065</v>
      </c>
      <c r="I64" s="64" t="n">
        <v>0.97207644</v>
      </c>
      <c r="J64" s="64" t="n">
        <v>0.039864033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7.0484</v>
      </c>
      <c r="Y64" s="192" t="n">
        <v>9.876658000000001</v>
      </c>
      <c r="Z64" s="192" t="n">
        <v>0.51536448</v>
      </c>
      <c r="AA64" s="64" t="n">
        <v>0.40962483</v>
      </c>
      <c r="AB64" s="64" t="n">
        <v>0.87858874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35.304289</v>
      </c>
      <c r="G65" s="192" t="n">
        <v>39.427394</v>
      </c>
      <c r="H65" s="192" t="n">
        <v>0.98858228</v>
      </c>
      <c r="I65" s="64" t="n">
        <v>0.99053735</v>
      </c>
      <c r="J65" s="64" t="n">
        <v>0.023588745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7.220883</v>
      </c>
      <c r="Y65" s="192" t="n">
        <v>9.781238999999999</v>
      </c>
      <c r="Z65" s="192" t="n">
        <v>0.5093479400000001</v>
      </c>
      <c r="AA65" s="64" t="n">
        <v>0.40322594</v>
      </c>
      <c r="AB65" s="64" t="n">
        <v>0.87517554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37.940698</v>
      </c>
      <c r="G66" s="192" t="n">
        <v>42.04266</v>
      </c>
      <c r="H66" s="192" t="n">
        <v>0.99273868</v>
      </c>
      <c r="I66" s="64" t="n">
        <v>0.99535589</v>
      </c>
      <c r="J66" s="64" t="n">
        <v>0.0167075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7.149266</v>
      </c>
      <c r="Y66" s="192" t="n">
        <v>9.739017</v>
      </c>
      <c r="Z66" s="192" t="n">
        <v>0.5085407199999999</v>
      </c>
      <c r="AA66" s="64" t="n">
        <v>0.40133475</v>
      </c>
      <c r="AB66" s="64" t="n">
        <v>0.8745605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27.339937</v>
      </c>
      <c r="G68" s="99" t="n">
        <v>32.598719</v>
      </c>
      <c r="H68" s="99" t="n">
        <v>0.9595214</v>
      </c>
      <c r="I68" s="62" t="n">
        <v>0.95485657</v>
      </c>
      <c r="J68" s="62" t="n">
        <v>0.062930346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7.068988</v>
      </c>
      <c r="Y68" s="99" t="n">
        <v>9.804475</v>
      </c>
      <c r="Z68" s="99" t="n">
        <v>0.51094119</v>
      </c>
      <c r="AA68" s="62" t="n">
        <v>0.40028689</v>
      </c>
      <c r="AB68" s="62" t="n">
        <v>0.88322544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30.699699</v>
      </c>
      <c r="G69" s="192" t="n">
        <v>35.41825</v>
      </c>
      <c r="H69" s="192" t="n">
        <v>0.97609678</v>
      </c>
      <c r="I69" s="64" t="n">
        <v>0.97140774</v>
      </c>
      <c r="J69" s="64" t="n">
        <v>0.039092842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7.049136</v>
      </c>
      <c r="Y69" s="192" t="n">
        <v>9.934915999999999</v>
      </c>
      <c r="Z69" s="192" t="n">
        <v>0.51099999</v>
      </c>
      <c r="AA69" s="64" t="n">
        <v>0.4045042</v>
      </c>
      <c r="AB69" s="64" t="n">
        <v>0.88105476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35.325892</v>
      </c>
      <c r="G70" s="192" t="n">
        <v>39.444446</v>
      </c>
      <c r="H70" s="192" t="n">
        <v>0.98833273</v>
      </c>
      <c r="I70" s="64" t="n">
        <v>0.99000382</v>
      </c>
      <c r="J70" s="64" t="n">
        <v>0.023051122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7.227961</v>
      </c>
      <c r="Y70" s="192" t="n">
        <v>9.840070000000001</v>
      </c>
      <c r="Z70" s="192" t="n">
        <v>0.5039801900000001</v>
      </c>
      <c r="AA70" s="64" t="n">
        <v>0.3969315</v>
      </c>
      <c r="AB70" s="64" t="n">
        <v>0.8775339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37.91897</v>
      </c>
      <c r="G71" s="192" t="n">
        <v>42.0106</v>
      </c>
      <c r="H71" s="192" t="n">
        <v>0.9926001</v>
      </c>
      <c r="I71" s="64" t="n">
        <v>0.99502448</v>
      </c>
      <c r="J71" s="64" t="n">
        <v>0.016604716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7.157455</v>
      </c>
      <c r="Y71" s="192" t="n">
        <v>9.801962</v>
      </c>
      <c r="Z71" s="192" t="n">
        <v>0.50341977</v>
      </c>
      <c r="AA71" s="64" t="n">
        <v>0.3957451</v>
      </c>
      <c r="AB71" s="64" t="n">
        <v>0.8767239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27.454829</v>
      </c>
      <c r="G73" s="99" t="n">
        <v>32.661768</v>
      </c>
      <c r="H73" s="99" t="n">
        <v>0.95952679</v>
      </c>
      <c r="I73" s="62" t="n">
        <v>0.95506356</v>
      </c>
      <c r="J73" s="62" t="n">
        <v>0.06267731999999999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7.137707</v>
      </c>
      <c r="Y73" s="99" t="n">
        <v>9.881257</v>
      </c>
      <c r="Z73" s="99" t="n">
        <v>0.51101788</v>
      </c>
      <c r="AA73" s="62" t="n">
        <v>0.40322085</v>
      </c>
      <c r="AB73" s="62" t="n">
        <v>0.87896794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30.660633</v>
      </c>
      <c r="G74" s="192" t="n">
        <v>35.361565</v>
      </c>
      <c r="H74" s="192" t="n">
        <v>0.9757781</v>
      </c>
      <c r="I74" s="64" t="n">
        <v>0.9710833</v>
      </c>
      <c r="J74" s="64" t="n">
        <v>0.039405763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7.106769</v>
      </c>
      <c r="Y74" s="192" t="n">
        <v>10.004314</v>
      </c>
      <c r="Z74" s="192" t="n">
        <v>0.51356922</v>
      </c>
      <c r="AA74" s="64" t="n">
        <v>0.41012895</v>
      </c>
      <c r="AB74" s="64" t="n">
        <v>0.87659985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35.31421</v>
      </c>
      <c r="G75" s="192" t="n">
        <v>39.431276</v>
      </c>
      <c r="H75" s="192" t="n">
        <v>0.98818454</v>
      </c>
      <c r="I75" s="64" t="n">
        <v>0.9900803500000001</v>
      </c>
      <c r="J75" s="64" t="n">
        <v>0.023250917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7.288862</v>
      </c>
      <c r="Y75" s="192" t="n">
        <v>9.918298</v>
      </c>
      <c r="Z75" s="192" t="n">
        <v>0.50672792</v>
      </c>
      <c r="AA75" s="64" t="n">
        <v>0.40115268</v>
      </c>
      <c r="AB75" s="64" t="n">
        <v>0.8725502000000001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37.881674</v>
      </c>
      <c r="G76" s="192" t="n">
        <v>41.968683</v>
      </c>
      <c r="H76" s="192" t="n">
        <v>0.99242517</v>
      </c>
      <c r="I76" s="64" t="n">
        <v>0.99507888</v>
      </c>
      <c r="J76" s="64" t="n">
        <v>0.016820215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7.216687</v>
      </c>
      <c r="Y76" s="192" t="n">
        <v>9.886153</v>
      </c>
      <c r="Z76" s="192" t="n">
        <v>0.5066658000000001</v>
      </c>
      <c r="AA76" s="64" t="n">
        <v>0.40079798</v>
      </c>
      <c r="AB76" s="64" t="n">
        <v>0.8727961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27.508753</v>
      </c>
      <c r="G78" s="99" t="n">
        <v>32.618157</v>
      </c>
      <c r="H78" s="99" t="n">
        <v>0.95760784</v>
      </c>
      <c r="I78" s="62" t="n">
        <v>0.95567822</v>
      </c>
      <c r="J78" s="62" t="n">
        <v>0.06616482999999999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7.068925</v>
      </c>
      <c r="Y78" s="99" t="n">
        <v>9.835868</v>
      </c>
      <c r="Z78" s="99" t="n">
        <v>0.5049121</v>
      </c>
      <c r="AA78" s="62" t="n">
        <v>0.40386502</v>
      </c>
      <c r="AB78" s="62" t="n">
        <v>0.8754004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30.58878</v>
      </c>
      <c r="G79" s="192" t="n">
        <v>35.228862</v>
      </c>
      <c r="H79" s="192" t="n">
        <v>0.97467069</v>
      </c>
      <c r="I79" s="64" t="n">
        <v>0.9719521800000001</v>
      </c>
      <c r="J79" s="64" t="n">
        <v>0.04279477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7.050719</v>
      </c>
      <c r="Y79" s="192" t="n">
        <v>9.967077</v>
      </c>
      <c r="Z79" s="192" t="n">
        <v>0.50866201</v>
      </c>
      <c r="AA79" s="64" t="n">
        <v>0.41162884</v>
      </c>
      <c r="AB79" s="64" t="n">
        <v>0.87573147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35.130314</v>
      </c>
      <c r="G80" s="192" t="n">
        <v>39.225898</v>
      </c>
      <c r="H80" s="192" t="n">
        <v>0.98737633</v>
      </c>
      <c r="I80" s="64" t="n">
        <v>0.99017669</v>
      </c>
      <c r="J80" s="64" t="n">
        <v>0.025149196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7.232113</v>
      </c>
      <c r="Y80" s="192" t="n">
        <v>9.893886999999999</v>
      </c>
      <c r="Z80" s="192" t="n">
        <v>0.5008201</v>
      </c>
      <c r="AA80" s="64" t="n">
        <v>0.40478461</v>
      </c>
      <c r="AB80" s="64" t="n">
        <v>0.8722367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37.597347</v>
      </c>
      <c r="G81" s="192" t="n">
        <v>41.652252</v>
      </c>
      <c r="H81" s="192" t="n">
        <v>0.9916916099999999</v>
      </c>
      <c r="I81" s="64" t="n">
        <v>0.99492577</v>
      </c>
      <c r="J81" s="64" t="n">
        <v>0.01848512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7.164611</v>
      </c>
      <c r="Y81" s="192" t="n">
        <v>9.86233</v>
      </c>
      <c r="Z81" s="192" t="n">
        <v>0.5007622900000001</v>
      </c>
      <c r="AA81" s="64" t="n">
        <v>0.40351786</v>
      </c>
      <c r="AB81" s="64" t="n">
        <v>0.8725382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26.979896</v>
      </c>
      <c r="G83" s="99" t="n">
        <v>32.325276</v>
      </c>
      <c r="H83" s="99" t="n">
        <v>0.95656842</v>
      </c>
      <c r="I83" s="62" t="n">
        <v>0.95544584</v>
      </c>
      <c r="J83" s="62" t="n">
        <v>0.07042292999999999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7.414394</v>
      </c>
      <c r="Y83" s="99" t="n">
        <v>10.132026</v>
      </c>
      <c r="Z83" s="99" t="n">
        <v>0.52151402</v>
      </c>
      <c r="AA83" s="62" t="n">
        <v>0.42917841</v>
      </c>
      <c r="AB83" s="62" t="n">
        <v>0.8755168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30.509104</v>
      </c>
      <c r="G84" s="192" t="n">
        <v>35.275842</v>
      </c>
      <c r="H84" s="192" t="n">
        <v>0.9760980500000001</v>
      </c>
      <c r="I84" s="64" t="n">
        <v>0.97458858</v>
      </c>
      <c r="J84" s="64" t="n">
        <v>0.0410227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7.352043</v>
      </c>
      <c r="Y84" s="192" t="n">
        <v>10.251197</v>
      </c>
      <c r="Z84" s="192" t="n">
        <v>0.5174775</v>
      </c>
      <c r="AA84" s="64" t="n">
        <v>0.42887327</v>
      </c>
      <c r="AB84" s="64" t="n">
        <v>0.8792037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34.995499</v>
      </c>
      <c r="G85" s="192" t="n">
        <v>39.131517</v>
      </c>
      <c r="H85" s="192" t="n">
        <v>0.988575</v>
      </c>
      <c r="I85" s="64" t="n">
        <v>0.99112529</v>
      </c>
      <c r="J85" s="64" t="n">
        <v>0.023768082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7.529406</v>
      </c>
      <c r="Y85" s="192" t="n">
        <v>10.152109</v>
      </c>
      <c r="Z85" s="192" t="n">
        <v>0.51230394</v>
      </c>
      <c r="AA85" s="64" t="n">
        <v>0.42377774</v>
      </c>
      <c r="AB85" s="64" t="n">
        <v>0.87323916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37.818875</v>
      </c>
      <c r="G86" s="192" t="n">
        <v>41.873577</v>
      </c>
      <c r="H86" s="192" t="n">
        <v>0.99298097</v>
      </c>
      <c r="I86" s="64" t="n">
        <v>0.99568496</v>
      </c>
      <c r="J86" s="64" t="n">
        <v>0.016779754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7.458981</v>
      </c>
      <c r="Y86" s="192" t="n">
        <v>10.109689</v>
      </c>
      <c r="Z86" s="192" t="n">
        <v>0.5118735800000001</v>
      </c>
      <c r="AA86" s="64" t="n">
        <v>0.42179681</v>
      </c>
      <c r="AB86" s="64" t="n">
        <v>0.8734925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27.070197</v>
      </c>
      <c r="G88" s="99" t="n">
        <v>32.40762</v>
      </c>
      <c r="H88" s="99" t="n">
        <v>0.95771629</v>
      </c>
      <c r="I88" s="62" t="n">
        <v>0.95467356</v>
      </c>
      <c r="J88" s="62" t="n">
        <v>0.0666832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7.389099</v>
      </c>
      <c r="Y88" s="99" t="n">
        <v>10.085463</v>
      </c>
      <c r="Z88" s="99" t="n">
        <v>0.51832984</v>
      </c>
      <c r="AA88" s="62" t="n">
        <v>0.42131833</v>
      </c>
      <c r="AB88" s="62" t="n">
        <v>0.878742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30.588432</v>
      </c>
      <c r="G89" s="192" t="n">
        <v>35.345521</v>
      </c>
      <c r="H89" s="192" t="n">
        <v>0.97624431</v>
      </c>
      <c r="I89" s="64" t="n">
        <v>0.97311337</v>
      </c>
      <c r="J89" s="64" t="n">
        <v>0.039928038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7.349987</v>
      </c>
      <c r="Y89" s="192" t="n">
        <v>10.235935</v>
      </c>
      <c r="Z89" s="192" t="n">
        <v>0.51574541</v>
      </c>
      <c r="AA89" s="64" t="n">
        <v>0.42500397</v>
      </c>
      <c r="AB89" s="64" t="n">
        <v>0.8814455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35.127245</v>
      </c>
      <c r="G90" s="192" t="n">
        <v>39.274522</v>
      </c>
      <c r="H90" s="192" t="n">
        <v>0.9885316</v>
      </c>
      <c r="I90" s="64" t="n">
        <v>0.99071747</v>
      </c>
      <c r="J90" s="64" t="n">
        <v>0.023596168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7.546552</v>
      </c>
      <c r="Y90" s="192" t="n">
        <v>10.140447</v>
      </c>
      <c r="Z90" s="192" t="n">
        <v>0.51091571</v>
      </c>
      <c r="AA90" s="64" t="n">
        <v>0.41922352</v>
      </c>
      <c r="AB90" s="64" t="n">
        <v>0.8756254999999999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37.913258</v>
      </c>
      <c r="G91" s="192" t="n">
        <v>41.991973</v>
      </c>
      <c r="H91" s="192" t="n">
        <v>0.99289779</v>
      </c>
      <c r="I91" s="64" t="n">
        <v>0.99545551</v>
      </c>
      <c r="J91" s="64" t="n">
        <v>0.016695475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7.470626</v>
      </c>
      <c r="Y91" s="192" t="n">
        <v>10.094312</v>
      </c>
      <c r="Z91" s="192" t="n">
        <v>0.50989834</v>
      </c>
      <c r="AA91" s="64" t="n">
        <v>0.41570111</v>
      </c>
      <c r="AB91" s="64" t="n">
        <v>0.8762909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27.229775</v>
      </c>
      <c r="G93" s="99" t="n">
        <v>32.531093</v>
      </c>
      <c r="H93" s="99" t="n">
        <v>0.95857614</v>
      </c>
      <c r="I93" s="62" t="n">
        <v>0.95339068</v>
      </c>
      <c r="J93" s="62" t="n">
        <v>0.06351257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7.383223</v>
      </c>
      <c r="Y93" s="99" t="n">
        <v>10.121587</v>
      </c>
      <c r="Z93" s="99" t="n">
        <v>0.5099226100000001</v>
      </c>
      <c r="AA93" s="62" t="n">
        <v>0.41148134</v>
      </c>
      <c r="AB93" s="62" t="n">
        <v>0.8799876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30.689409</v>
      </c>
      <c r="G94" s="192" t="n">
        <v>35.411991</v>
      </c>
      <c r="H94" s="192" t="n">
        <v>0.97657392</v>
      </c>
      <c r="I94" s="64" t="n">
        <v>0.97131583</v>
      </c>
      <c r="J94" s="64" t="n">
        <v>0.038080454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7.296582</v>
      </c>
      <c r="Y94" s="192" t="n">
        <v>10.238182</v>
      </c>
      <c r="Z94" s="192" t="n">
        <v>0.50987684</v>
      </c>
      <c r="AA94" s="64" t="n">
        <v>0.41572409</v>
      </c>
      <c r="AB94" s="64" t="n">
        <v>0.8819283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35.329491</v>
      </c>
      <c r="G95" s="192" t="n">
        <v>39.454034</v>
      </c>
      <c r="H95" s="192" t="n">
        <v>0.98865216</v>
      </c>
      <c r="I95" s="64" t="n">
        <v>0.99013811</v>
      </c>
      <c r="J95" s="64" t="n">
        <v>0.022565855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7.491336</v>
      </c>
      <c r="Y95" s="192" t="n">
        <v>10.142545</v>
      </c>
      <c r="Z95" s="192" t="n">
        <v>0.50608621</v>
      </c>
      <c r="AA95" s="64" t="n">
        <v>0.40873053</v>
      </c>
      <c r="AB95" s="64" t="n">
        <v>0.8766155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38.081161</v>
      </c>
      <c r="G96" s="192" t="n">
        <v>42.15001</v>
      </c>
      <c r="H96" s="192" t="n">
        <v>0.99293013</v>
      </c>
      <c r="I96" s="64" t="n">
        <v>0.99516193</v>
      </c>
      <c r="J96" s="64" t="n">
        <v>0.016004402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7.412324</v>
      </c>
      <c r="Y96" s="192" t="n">
        <v>10.09691</v>
      </c>
      <c r="Z96" s="192" t="n">
        <v>0.50488624</v>
      </c>
      <c r="AA96" s="64" t="n">
        <v>0.4062661</v>
      </c>
      <c r="AB96" s="64" t="n">
        <v>0.8765634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27.399815</v>
      </c>
      <c r="G98" s="99" t="n">
        <v>32.661894</v>
      </c>
      <c r="H98" s="99" t="n">
        <v>0.95872363</v>
      </c>
      <c r="I98" s="62" t="n">
        <v>0.95469424</v>
      </c>
      <c r="J98" s="62" t="n">
        <v>0.063374124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7.497649</v>
      </c>
      <c r="Y98" s="99" t="n">
        <v>10.19167</v>
      </c>
      <c r="Z98" s="99" t="n">
        <v>0.51143206</v>
      </c>
      <c r="AA98" s="62" t="n">
        <v>0.41917251</v>
      </c>
      <c r="AB98" s="62" t="n">
        <v>0.8769369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30.65092</v>
      </c>
      <c r="G99" s="192" t="n">
        <v>35.392979</v>
      </c>
      <c r="H99" s="192" t="n">
        <v>0.97648904</v>
      </c>
      <c r="I99" s="64" t="n">
        <v>0.97186671</v>
      </c>
      <c r="J99" s="64" t="n">
        <v>0.038674027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7.441023</v>
      </c>
      <c r="Y99" s="192" t="n">
        <v>10.323394</v>
      </c>
      <c r="Z99" s="192" t="n">
        <v>0.50942538</v>
      </c>
      <c r="AA99" s="64" t="n">
        <v>0.42269001</v>
      </c>
      <c r="AB99" s="64" t="n">
        <v>0.8789202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35.226109</v>
      </c>
      <c r="G100" s="192" t="n">
        <v>39.377244</v>
      </c>
      <c r="H100" s="192" t="n">
        <v>0.98856973</v>
      </c>
      <c r="I100" s="64" t="n">
        <v>0.99010826</v>
      </c>
      <c r="J100" s="64" t="n">
        <v>0.023301473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7.61524</v>
      </c>
      <c r="Y100" s="192" t="n">
        <v>10.207292</v>
      </c>
      <c r="Z100" s="192" t="n">
        <v>0.50660362</v>
      </c>
      <c r="AA100" s="64" t="n">
        <v>0.41623471</v>
      </c>
      <c r="AB100" s="64" t="n">
        <v>0.87381655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38.028995</v>
      </c>
      <c r="G101" s="192" t="n">
        <v>42.107762</v>
      </c>
      <c r="H101" s="192" t="n">
        <v>0.99285833</v>
      </c>
      <c r="I101" s="64" t="n">
        <v>0.99530067</v>
      </c>
      <c r="J101" s="64" t="n">
        <v>0.016391024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7.544678</v>
      </c>
      <c r="Y101" s="192" t="n">
        <v>10.170511</v>
      </c>
      <c r="Z101" s="192" t="n">
        <v>0.50610127</v>
      </c>
      <c r="AA101" s="64" t="n">
        <v>0.41415023</v>
      </c>
      <c r="AB101" s="64" t="n">
        <v>0.8732151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27.382222</v>
      </c>
      <c r="G103" s="99" t="n">
        <v>32.467602</v>
      </c>
      <c r="H103" s="99" t="n">
        <v>0.95687828</v>
      </c>
      <c r="I103" s="62" t="n">
        <v>0.95527609</v>
      </c>
      <c r="J103" s="62" t="n">
        <v>0.06536700600000001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7.435269</v>
      </c>
      <c r="Y103" s="99" t="n">
        <v>10.062073</v>
      </c>
      <c r="Z103" s="99" t="n">
        <v>0.49481389</v>
      </c>
      <c r="AA103" s="62" t="n">
        <v>0.41283718</v>
      </c>
      <c r="AB103" s="62" t="n">
        <v>0.8761447999999999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30.493306</v>
      </c>
      <c r="G104" s="192" t="n">
        <v>35.132498</v>
      </c>
      <c r="H104" s="192" t="n">
        <v>0.97568116</v>
      </c>
      <c r="I104" s="64" t="n">
        <v>0.97281295</v>
      </c>
      <c r="J104" s="64" t="n">
        <v>0.040214453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7.390918</v>
      </c>
      <c r="Y104" s="192" t="n">
        <v>10.217143</v>
      </c>
      <c r="Z104" s="192" t="n">
        <v>0.49488786</v>
      </c>
      <c r="AA104" s="64" t="n">
        <v>0.42080767</v>
      </c>
      <c r="AB104" s="64" t="n">
        <v>0.8780691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34.921081</v>
      </c>
      <c r="G105" s="192" t="n">
        <v>39.040323</v>
      </c>
      <c r="H105" s="192" t="n">
        <v>0.98790654</v>
      </c>
      <c r="I105" s="64" t="n">
        <v>0.98998529</v>
      </c>
      <c r="J105" s="64" t="n">
        <v>0.02427213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7.545934</v>
      </c>
      <c r="Y105" s="192" t="n">
        <v>10.084926</v>
      </c>
      <c r="Z105" s="192" t="n">
        <v>0.4906423</v>
      </c>
      <c r="AA105" s="64" t="n">
        <v>0.41212409</v>
      </c>
      <c r="AB105" s="64" t="n">
        <v>0.87361455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37.76267</v>
      </c>
      <c r="G106" s="192" t="n">
        <v>41.808861</v>
      </c>
      <c r="H106" s="192" t="n">
        <v>0.99243322</v>
      </c>
      <c r="I106" s="64" t="n">
        <v>0.99520878</v>
      </c>
      <c r="J106" s="64" t="n">
        <v>0.016998094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7.483641</v>
      </c>
      <c r="Y106" s="192" t="n">
        <v>10.057051</v>
      </c>
      <c r="Z106" s="192" t="n">
        <v>0.48949758</v>
      </c>
      <c r="AA106" s="64" t="n">
        <v>0.41032003</v>
      </c>
      <c r="AB106" s="64" t="n">
        <v>0.87182844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/>
      <c r="G108" s="99" t="n"/>
      <c r="H108" s="99" t="n"/>
      <c r="I108" s="62" t="n"/>
      <c r="J108" s="62" t="n"/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/>
      <c r="G109" s="192" t="n"/>
      <c r="H109" s="192" t="n"/>
      <c r="I109" s="64" t="n"/>
      <c r="J109" s="64" t="n"/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/>
      <c r="G110" s="192" t="n"/>
      <c r="H110" s="192" t="n"/>
      <c r="I110" s="64" t="n"/>
      <c r="J110" s="64" t="n"/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/>
      <c r="G111" s="192" t="n"/>
      <c r="H111" s="192" t="n"/>
      <c r="I111" s="64" t="n"/>
      <c r="J111" s="64" t="n"/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/>
      <c r="G113" s="99" t="n"/>
      <c r="H113" s="99" t="n"/>
      <c r="I113" s="62" t="n"/>
      <c r="J113" s="62" t="n"/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/>
      <c r="G114" s="192" t="n"/>
      <c r="H114" s="192" t="n"/>
      <c r="I114" s="64" t="n"/>
      <c r="J114" s="64" t="n"/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/>
      <c r="G115" s="192" t="n"/>
      <c r="H115" s="192" t="n"/>
      <c r="I115" s="64" t="n"/>
      <c r="J115" s="64" t="n"/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/>
      <c r="G116" s="192" t="n"/>
      <c r="H116" s="192" t="n"/>
      <c r="I116" s="64" t="n"/>
      <c r="J116" s="64" t="n"/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/>
      <c r="G118" s="99" t="n"/>
      <c r="H118" s="99" t="n"/>
      <c r="I118" s="62" t="n"/>
      <c r="J118" s="62" t="n"/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/>
      <c r="G119" s="192" t="n"/>
      <c r="H119" s="192" t="n"/>
      <c r="I119" s="64" t="n"/>
      <c r="J119" s="64" t="n"/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/>
      <c r="G120" s="192" t="n"/>
      <c r="H120" s="192" t="n"/>
      <c r="I120" s="64" t="n"/>
      <c r="J120" s="64" t="n"/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/>
      <c r="G121" s="192" t="n"/>
      <c r="H121" s="192" t="n"/>
      <c r="I121" s="64" t="n"/>
      <c r="J121" s="64" t="n"/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/>
      <c r="G123" s="99" t="n"/>
      <c r="H123" s="99" t="n"/>
      <c r="I123" s="62" t="n"/>
      <c r="J123" s="62" t="n"/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/>
      <c r="G124" s="192" t="n"/>
      <c r="H124" s="192" t="n"/>
      <c r="I124" s="64" t="n"/>
      <c r="J124" s="64" t="n"/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/>
      <c r="G125" s="192" t="n"/>
      <c r="H125" s="192" t="n"/>
      <c r="I125" s="64" t="n"/>
      <c r="J125" s="64" t="n"/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/>
      <c r="G126" s="192" t="n"/>
      <c r="H126" s="192" t="n"/>
      <c r="I126" s="64" t="n"/>
      <c r="J126" s="64" t="n"/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/>
      <c r="G128" s="99" t="n"/>
      <c r="H128" s="99" t="n"/>
      <c r="I128" s="62" t="n"/>
      <c r="J128" s="62" t="n"/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/>
      <c r="G129" s="192" t="n"/>
      <c r="H129" s="192" t="n"/>
      <c r="I129" s="64" t="n"/>
      <c r="J129" s="64" t="n"/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/>
      <c r="G130" s="192" t="n"/>
      <c r="H130" s="192" t="n"/>
      <c r="I130" s="64" t="n"/>
      <c r="J130" s="64" t="n"/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/>
      <c r="G131" s="192" t="n"/>
      <c r="H131" s="192" t="n"/>
      <c r="I131" s="64" t="n"/>
      <c r="J131" s="64" t="n"/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/>
      <c r="G133" s="99" t="n"/>
      <c r="H133" s="99" t="n"/>
      <c r="I133" s="62" t="n"/>
      <c r="J133" s="62" t="n"/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/>
      <c r="G134" s="192" t="n"/>
      <c r="H134" s="192" t="n"/>
      <c r="I134" s="64" t="n"/>
      <c r="J134" s="64" t="n"/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/>
      <c r="G135" s="192" t="n"/>
      <c r="H135" s="192" t="n"/>
      <c r="I135" s="64" t="n"/>
      <c r="J135" s="64" t="n"/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/>
      <c r="G136" s="192" t="n"/>
      <c r="H136" s="192" t="n"/>
      <c r="I136" s="64" t="n"/>
      <c r="J136" s="64" t="n"/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8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breakfast_semitrack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6005.904</v>
      </c>
      <c r="F16" s="169" t="n">
        <v>7153.416</v>
      </c>
      <c r="G16" s="169" t="n">
        <v>2634.032</v>
      </c>
      <c r="H16" s="169" t="n">
        <v>989.232</v>
      </c>
      <c r="I16" s="169" t="n">
        <v>123.896</v>
      </c>
      <c r="J16" s="169" t="n">
        <v>11311.216</v>
      </c>
      <c r="K16" s="62" t="n">
        <v>7332.128</v>
      </c>
      <c r="L16" s="62" t="n">
        <v>2395.384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6005.904</v>
      </c>
      <c r="X16" s="169" t="n">
        <v>7081.68</v>
      </c>
      <c r="Y16" s="169" t="n">
        <v>2765.08</v>
      </c>
      <c r="Z16" s="169" t="n">
        <v>1106</v>
      </c>
      <c r="AA16" s="169" t="n">
        <v>198.552</v>
      </c>
      <c r="AB16" s="169" t="n">
        <v>11311.624</v>
      </c>
      <c r="AC16" s="62" t="n">
        <v>7332.248</v>
      </c>
      <c r="AD16" s="62" t="n">
        <v>2395.456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6005.904</v>
      </c>
      <c r="F17" s="170" t="n">
        <v>9431.216</v>
      </c>
      <c r="G17" s="170" t="n">
        <v>7009.32</v>
      </c>
      <c r="H17" s="170" t="n">
        <v>3661.576</v>
      </c>
      <c r="I17" s="170" t="n">
        <v>1207.752</v>
      </c>
      <c r="J17" s="170" t="n">
        <v>14528.6</v>
      </c>
      <c r="K17" s="64" t="n">
        <v>9682.368</v>
      </c>
      <c r="L17" s="64" t="n">
        <v>3154.832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6005.904</v>
      </c>
      <c r="X17" s="170" t="n">
        <v>9339.791999999999</v>
      </c>
      <c r="Y17" s="170" t="n">
        <v>7063.904</v>
      </c>
      <c r="Z17" s="170" t="n">
        <v>3816.104</v>
      </c>
      <c r="AA17" s="170" t="n">
        <v>1412.152</v>
      </c>
      <c r="AB17" s="170" t="n">
        <v>14528.752</v>
      </c>
      <c r="AC17" s="64" t="n">
        <v>9682.272000000001</v>
      </c>
      <c r="AD17" s="64" t="n">
        <v>3154.896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6005.904</v>
      </c>
      <c r="F18" s="170" t="n">
        <v>11769.8</v>
      </c>
      <c r="G18" s="170" t="n">
        <v>12782.184</v>
      </c>
      <c r="H18" s="170" t="n">
        <v>9017.944</v>
      </c>
      <c r="I18" s="170" t="n">
        <v>5526.952</v>
      </c>
      <c r="J18" s="170" t="n">
        <v>17869.976</v>
      </c>
      <c r="K18" s="64" t="n">
        <v>12136.968</v>
      </c>
      <c r="L18" s="64" t="n">
        <v>3931.064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6005.904</v>
      </c>
      <c r="X18" s="170" t="n">
        <v>11645.928</v>
      </c>
      <c r="Y18" s="170" t="n">
        <v>12785.952</v>
      </c>
      <c r="Z18" s="170" t="n">
        <v>9126.384</v>
      </c>
      <c r="AA18" s="170" t="n">
        <v>5766.256</v>
      </c>
      <c r="AB18" s="170" t="n">
        <v>17870.168</v>
      </c>
      <c r="AC18" s="64" t="n">
        <v>12136.912</v>
      </c>
      <c r="AD18" s="64" t="n">
        <v>3931.128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6005.904</v>
      </c>
      <c r="F19" s="170" t="n">
        <v>13995.472</v>
      </c>
      <c r="G19" s="170" t="n">
        <v>19073.768</v>
      </c>
      <c r="H19" s="170" t="n">
        <v>17235.536</v>
      </c>
      <c r="I19" s="170" t="n">
        <v>15068.224</v>
      </c>
      <c r="J19" s="170" t="n">
        <v>21317.2</v>
      </c>
      <c r="K19" s="64" t="n">
        <v>14705.208</v>
      </c>
      <c r="L19" s="64" t="n">
        <v>4742.936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6005.904</v>
      </c>
      <c r="X19" s="170" t="n">
        <v>13839.672</v>
      </c>
      <c r="Y19" s="170" t="n">
        <v>19075.504</v>
      </c>
      <c r="Z19" s="170" t="n">
        <v>17281.696</v>
      </c>
      <c r="AA19" s="170" t="n">
        <v>15239</v>
      </c>
      <c r="AB19" s="170" t="n">
        <v>21317.912</v>
      </c>
      <c r="AC19" s="64" t="n">
        <v>14705.424</v>
      </c>
      <c r="AD19" s="64" t="n">
        <v>4742.944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26.822709</v>
      </c>
      <c r="G33" s="99" t="n">
        <v>31.894274</v>
      </c>
      <c r="H33" s="99" t="n">
        <v>0.95634443</v>
      </c>
      <c r="I33" s="62" t="n">
        <v>0.94974391</v>
      </c>
      <c r="J33" s="62" t="n">
        <v>0.07316177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7.823925</v>
      </c>
      <c r="Y33" s="99" t="n">
        <v>12.558627</v>
      </c>
      <c r="Z33" s="99" t="n">
        <v>0.52400457</v>
      </c>
      <c r="AA33" s="62" t="n">
        <v>0.39490603</v>
      </c>
      <c r="AB33" s="62" t="n">
        <v>0.7910431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30.718677</v>
      </c>
      <c r="G34" s="192" t="n">
        <v>35.105765</v>
      </c>
      <c r="H34" s="192" t="n">
        <v>0.97493398</v>
      </c>
      <c r="I34" s="64" t="n">
        <v>0.97260874</v>
      </c>
      <c r="J34" s="64" t="n">
        <v>0.045003712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7.848684</v>
      </c>
      <c r="Y34" s="192" t="n">
        <v>12.632861</v>
      </c>
      <c r="Z34" s="192" t="n">
        <v>0.52277717</v>
      </c>
      <c r="AA34" s="64" t="n">
        <v>0.39686924</v>
      </c>
      <c r="AB34" s="64" t="n">
        <v>0.79323184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35.208333</v>
      </c>
      <c r="G35" s="192" t="n">
        <v>39.272649</v>
      </c>
      <c r="H35" s="192" t="n">
        <v>0.98740146</v>
      </c>
      <c r="I35" s="64" t="n">
        <v>0.99000587</v>
      </c>
      <c r="J35" s="64" t="n">
        <v>0.026539272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7.795024</v>
      </c>
      <c r="Y35" s="192" t="n">
        <v>12.433163</v>
      </c>
      <c r="Z35" s="192" t="n">
        <v>0.51344682</v>
      </c>
      <c r="AA35" s="64" t="n">
        <v>0.38687911</v>
      </c>
      <c r="AB35" s="64" t="n">
        <v>0.79285765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37.821803</v>
      </c>
      <c r="G36" s="192" t="n">
        <v>41.911561</v>
      </c>
      <c r="H36" s="192" t="n">
        <v>0.99184025</v>
      </c>
      <c r="I36" s="64" t="n">
        <v>0.99521393</v>
      </c>
      <c r="J36" s="64" t="n">
        <v>0.018475004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7.838099</v>
      </c>
      <c r="Y36" s="192" t="n">
        <v>12.542638</v>
      </c>
      <c r="Z36" s="192" t="n">
        <v>0.51519742</v>
      </c>
      <c r="AA36" s="64" t="n">
        <v>0.39008757</v>
      </c>
      <c r="AB36" s="64" t="n">
        <v>0.78956974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27.15503</v>
      </c>
      <c r="G38" s="99" t="n">
        <v>32.206569</v>
      </c>
      <c r="H38" s="99" t="n">
        <v>0.95730326</v>
      </c>
      <c r="I38" s="62" t="n">
        <v>0.95267179</v>
      </c>
      <c r="J38" s="62" t="n">
        <v>0.07038909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7.710245</v>
      </c>
      <c r="Y38" s="99" t="n">
        <v>12.413435</v>
      </c>
      <c r="Z38" s="99" t="n">
        <v>0.50955502</v>
      </c>
      <c r="AA38" s="62" t="n">
        <v>0.38502091</v>
      </c>
      <c r="AB38" s="62" t="n">
        <v>0.79900813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30.670563</v>
      </c>
      <c r="G39" s="192" t="n">
        <v>35.084049</v>
      </c>
      <c r="H39" s="192" t="n">
        <v>0.97492584</v>
      </c>
      <c r="I39" s="64" t="n">
        <v>0.97300891</v>
      </c>
      <c r="J39" s="64" t="n">
        <v>0.044366464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7.716552</v>
      </c>
      <c r="Y39" s="192" t="n">
        <v>12.46067</v>
      </c>
      <c r="Z39" s="192" t="n">
        <v>0.50850246</v>
      </c>
      <c r="AA39" s="64" t="n">
        <v>0.3868795</v>
      </c>
      <c r="AB39" s="64" t="n">
        <v>0.80143046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35.082215</v>
      </c>
      <c r="G40" s="192" t="n">
        <v>39.175049</v>
      </c>
      <c r="H40" s="192" t="n">
        <v>0.9872140700000001</v>
      </c>
      <c r="I40" s="64" t="n">
        <v>0.99041207</v>
      </c>
      <c r="J40" s="64" t="n">
        <v>0.026983492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7.670529</v>
      </c>
      <c r="Y40" s="192" t="n">
        <v>12.250456</v>
      </c>
      <c r="Z40" s="192" t="n">
        <v>0.5004134099999999</v>
      </c>
      <c r="AA40" s="64" t="n">
        <v>0.37624529</v>
      </c>
      <c r="AB40" s="64" t="n">
        <v>0.7997672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37.564023</v>
      </c>
      <c r="G41" s="192" t="n">
        <v>41.673533</v>
      </c>
      <c r="H41" s="192" t="n">
        <v>0.99154983</v>
      </c>
      <c r="I41" s="64" t="n">
        <v>0.99517492</v>
      </c>
      <c r="J41" s="64" t="n">
        <v>0.01939185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7.723746</v>
      </c>
      <c r="Y41" s="192" t="n">
        <v>12.385039</v>
      </c>
      <c r="Z41" s="192" t="n">
        <v>0.50080665</v>
      </c>
      <c r="AA41" s="64" t="n">
        <v>0.38007527</v>
      </c>
      <c r="AB41" s="64" t="n">
        <v>0.79821944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27.395927</v>
      </c>
      <c r="G43" s="99" t="n">
        <v>32.426301</v>
      </c>
      <c r="H43" s="99" t="n">
        <v>0.95755312</v>
      </c>
      <c r="I43" s="62" t="n">
        <v>0.95498381</v>
      </c>
      <c r="J43" s="62" t="n">
        <v>0.06547744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7.620623</v>
      </c>
      <c r="Y43" s="99" t="n">
        <v>12.073098</v>
      </c>
      <c r="Z43" s="99" t="n">
        <v>0.49870619</v>
      </c>
      <c r="AA43" s="62" t="n">
        <v>0.38318883</v>
      </c>
      <c r="AB43" s="62" t="n">
        <v>0.80714375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30.697759</v>
      </c>
      <c r="G44" s="192" t="n">
        <v>35.114454</v>
      </c>
      <c r="H44" s="192" t="n">
        <v>0.9745536299999999</v>
      </c>
      <c r="I44" s="64" t="n">
        <v>0.97301749</v>
      </c>
      <c r="J44" s="64" t="n">
        <v>0.041261587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7.606468</v>
      </c>
      <c r="Y44" s="192" t="n">
        <v>12.134048</v>
      </c>
      <c r="Z44" s="192" t="n">
        <v>0.49740702</v>
      </c>
      <c r="AA44" s="64" t="n">
        <v>0.38433556</v>
      </c>
      <c r="AB44" s="64" t="n">
        <v>0.8061865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35.193805</v>
      </c>
      <c r="G45" s="192" t="n">
        <v>39.2552</v>
      </c>
      <c r="H45" s="192" t="n">
        <v>0.98722105</v>
      </c>
      <c r="I45" s="64" t="n">
        <v>0.9903841</v>
      </c>
      <c r="J45" s="64" t="n">
        <v>0.024934815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7.58048</v>
      </c>
      <c r="Y45" s="192" t="n">
        <v>11.933313</v>
      </c>
      <c r="Z45" s="192" t="n">
        <v>0.48837592</v>
      </c>
      <c r="AA45" s="64" t="n">
        <v>0.37460907</v>
      </c>
      <c r="AB45" s="64" t="n">
        <v>0.80612415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37.602215</v>
      </c>
      <c r="G46" s="192" t="n">
        <v>41.690871</v>
      </c>
      <c r="H46" s="192" t="n">
        <v>0.9916004899999999</v>
      </c>
      <c r="I46" s="64" t="n">
        <v>0.9951375099999999</v>
      </c>
      <c r="J46" s="64" t="n">
        <v>0.018027645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7.626886</v>
      </c>
      <c r="Y46" s="192" t="n">
        <v>12.065047</v>
      </c>
      <c r="Z46" s="192" t="n">
        <v>0.4889203</v>
      </c>
      <c r="AA46" s="64" t="n">
        <v>0.37714984</v>
      </c>
      <c r="AB46" s="64" t="n">
        <v>0.80490935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27.406087</v>
      </c>
      <c r="G48" s="99" t="n">
        <v>32.42689</v>
      </c>
      <c r="H48" s="99" t="n">
        <v>0.95777323</v>
      </c>
      <c r="I48" s="62" t="n">
        <v>0.95496381</v>
      </c>
      <c r="J48" s="62" t="n">
        <v>0.06714096999999999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7.597793</v>
      </c>
      <c r="Y48" s="99" t="n">
        <v>11.65665</v>
      </c>
      <c r="Z48" s="99" t="n">
        <v>0.5053052</v>
      </c>
      <c r="AA48" s="62" t="n">
        <v>0.39549556</v>
      </c>
      <c r="AB48" s="62" t="n">
        <v>0.8068989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30.551265</v>
      </c>
      <c r="G49" s="192" t="n">
        <v>34.978854</v>
      </c>
      <c r="H49" s="192" t="n">
        <v>0.97408086</v>
      </c>
      <c r="I49" s="64" t="n">
        <v>0.9721792</v>
      </c>
      <c r="J49" s="64" t="n">
        <v>0.043624606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7.628053</v>
      </c>
      <c r="Y49" s="192" t="n">
        <v>11.799857</v>
      </c>
      <c r="Z49" s="192" t="n">
        <v>0.50331572</v>
      </c>
      <c r="AA49" s="64" t="n">
        <v>0.39925512</v>
      </c>
      <c r="AB49" s="64" t="n">
        <v>0.8068654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35.21565</v>
      </c>
      <c r="G50" s="192" t="n">
        <v>39.264226</v>
      </c>
      <c r="H50" s="192" t="n">
        <v>0.98699548</v>
      </c>
      <c r="I50" s="64" t="n">
        <v>0.99021385</v>
      </c>
      <c r="J50" s="64" t="n">
        <v>0.026084714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7.617405</v>
      </c>
      <c r="Y50" s="192" t="n">
        <v>11.649296</v>
      </c>
      <c r="Z50" s="192" t="n">
        <v>0.4947827</v>
      </c>
      <c r="AA50" s="64" t="n">
        <v>0.38982613</v>
      </c>
      <c r="AB50" s="64" t="n">
        <v>0.80457294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37.544877</v>
      </c>
      <c r="G51" s="192" t="n">
        <v>41.619893</v>
      </c>
      <c r="H51" s="192" t="n">
        <v>0.9913883100000001</v>
      </c>
      <c r="I51" s="64" t="n">
        <v>0.99507394</v>
      </c>
      <c r="J51" s="64" t="n">
        <v>0.019179547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7.643882</v>
      </c>
      <c r="Y51" s="192" t="n">
        <v>11.745753</v>
      </c>
      <c r="Z51" s="192" t="n">
        <v>0.49510221</v>
      </c>
      <c r="AA51" s="64" t="n">
        <v>0.39128206</v>
      </c>
      <c r="AB51" s="64" t="n">
        <v>0.8035502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27.461846</v>
      </c>
      <c r="G53" s="99" t="n">
        <v>32.418275</v>
      </c>
      <c r="H53" s="99" t="n">
        <v>0.95585049</v>
      </c>
      <c r="I53" s="62" t="n">
        <v>0.95539303</v>
      </c>
      <c r="J53" s="62" t="n">
        <v>0.07097901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7.544108</v>
      </c>
      <c r="Y53" s="99" t="n">
        <v>11.451252</v>
      </c>
      <c r="Z53" s="99" t="n">
        <v>0.50175393</v>
      </c>
      <c r="AA53" s="62" t="n">
        <v>0.40158732</v>
      </c>
      <c r="AB53" s="62" t="n">
        <v>0.8114561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30.5355</v>
      </c>
      <c r="G54" s="192" t="n">
        <v>34.941802</v>
      </c>
      <c r="H54" s="192" t="n">
        <v>0.97325649</v>
      </c>
      <c r="I54" s="64" t="n">
        <v>0.97258572</v>
      </c>
      <c r="J54" s="64" t="n">
        <v>0.045896985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7.572615</v>
      </c>
      <c r="Y54" s="192" t="n">
        <v>11.594797</v>
      </c>
      <c r="Z54" s="192" t="n">
        <v>0.50036609</v>
      </c>
      <c r="AA54" s="64" t="n">
        <v>0.40708758</v>
      </c>
      <c r="AB54" s="64" t="n">
        <v>0.81084263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34.999614</v>
      </c>
      <c r="G55" s="192" t="n">
        <v>39.030625</v>
      </c>
      <c r="H55" s="192" t="n">
        <v>0.98639427</v>
      </c>
      <c r="I55" s="64" t="n">
        <v>0.98987499</v>
      </c>
      <c r="J55" s="64" t="n">
        <v>0.02789219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7.568386</v>
      </c>
      <c r="Y55" s="192" t="n">
        <v>11.478471</v>
      </c>
      <c r="Z55" s="192" t="n">
        <v>0.4912844</v>
      </c>
      <c r="AA55" s="64" t="n">
        <v>0.39571005</v>
      </c>
      <c r="AB55" s="64" t="n">
        <v>0.80828565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37.247562</v>
      </c>
      <c r="G56" s="192" t="n">
        <v>41.294356</v>
      </c>
      <c r="H56" s="192" t="n">
        <v>0.99092534</v>
      </c>
      <c r="I56" s="64" t="n">
        <v>0.99484272</v>
      </c>
      <c r="J56" s="64" t="n">
        <v>0.020623738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7.600478</v>
      </c>
      <c r="Y56" s="192" t="n">
        <v>11.547345</v>
      </c>
      <c r="Z56" s="192" t="n">
        <v>0.49034915</v>
      </c>
      <c r="AA56" s="64" t="n">
        <v>0.39802931</v>
      </c>
      <c r="AB56" s="64" t="n">
        <v>0.8069266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27.015913</v>
      </c>
      <c r="G58" s="99" t="n">
        <v>32.128841</v>
      </c>
      <c r="H58" s="99" t="n">
        <v>0.95702016</v>
      </c>
      <c r="I58" s="62" t="n">
        <v>0.95447514</v>
      </c>
      <c r="J58" s="62" t="n">
        <v>0.07345168000000001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7.969544</v>
      </c>
      <c r="Y58" s="99" t="n">
        <v>13.05656</v>
      </c>
      <c r="Z58" s="99" t="n">
        <v>0.5195784</v>
      </c>
      <c r="AA58" s="62" t="n">
        <v>0.39117909</v>
      </c>
      <c r="AB58" s="62" t="n">
        <v>0.77526176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30.87134</v>
      </c>
      <c r="G59" s="192" t="n">
        <v>35.404367</v>
      </c>
      <c r="H59" s="192" t="n">
        <v>0.97574711</v>
      </c>
      <c r="I59" s="64" t="n">
        <v>0.9744540900000001</v>
      </c>
      <c r="J59" s="64" t="n">
        <v>0.043537956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7.993362</v>
      </c>
      <c r="Y59" s="192" t="n">
        <v>13.025048</v>
      </c>
      <c r="Z59" s="192" t="n">
        <v>0.51671263</v>
      </c>
      <c r="AA59" s="64" t="n">
        <v>0.39266348</v>
      </c>
      <c r="AB59" s="64" t="n">
        <v>0.774587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35.184916</v>
      </c>
      <c r="G60" s="192" t="n">
        <v>39.299033</v>
      </c>
      <c r="H60" s="192" t="n">
        <v>0.98817892</v>
      </c>
      <c r="I60" s="64" t="n">
        <v>0.99054431</v>
      </c>
      <c r="J60" s="64" t="n">
        <v>0.024527108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7.952142</v>
      </c>
      <c r="Y60" s="192" t="n">
        <v>12.916824</v>
      </c>
      <c r="Z60" s="192" t="n">
        <v>0.50860798</v>
      </c>
      <c r="AA60" s="64" t="n">
        <v>0.38093594</v>
      </c>
      <c r="AB60" s="64" t="n">
        <v>0.7737107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37.748719</v>
      </c>
      <c r="G61" s="192" t="n">
        <v>41.856163</v>
      </c>
      <c r="H61" s="192" t="n">
        <v>0.9924557899999999</v>
      </c>
      <c r="I61" s="64" t="n">
        <v>0.99554823</v>
      </c>
      <c r="J61" s="64" t="n">
        <v>0.017698685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7.988811</v>
      </c>
      <c r="Y61" s="192" t="n">
        <v>12.936429</v>
      </c>
      <c r="Z61" s="192" t="n">
        <v>0.5083051200000001</v>
      </c>
      <c r="AA61" s="64" t="n">
        <v>0.38518882</v>
      </c>
      <c r="AB61" s="64" t="n">
        <v>0.77170014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27.141102</v>
      </c>
      <c r="G63" s="99" t="n">
        <v>32.32602</v>
      </c>
      <c r="H63" s="99" t="n">
        <v>0.95799069</v>
      </c>
      <c r="I63" s="62" t="n">
        <v>0.95360668</v>
      </c>
      <c r="J63" s="62" t="n">
        <v>0.06721154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7.947027</v>
      </c>
      <c r="Y63" s="99" t="n">
        <v>12.852026</v>
      </c>
      <c r="Z63" s="99" t="n">
        <v>0.50526759</v>
      </c>
      <c r="AA63" s="62" t="n">
        <v>0.38700856</v>
      </c>
      <c r="AB63" s="62" t="n">
        <v>0.78273314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30.764541</v>
      </c>
      <c r="G64" s="192" t="n">
        <v>35.355891</v>
      </c>
      <c r="H64" s="192" t="n">
        <v>0.9755476</v>
      </c>
      <c r="I64" s="64" t="n">
        <v>0.97143144</v>
      </c>
      <c r="J64" s="64" t="n">
        <v>0.04165407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7.947468</v>
      </c>
      <c r="Y64" s="192" t="n">
        <v>12.838566</v>
      </c>
      <c r="Z64" s="192" t="n">
        <v>0.50310401</v>
      </c>
      <c r="AA64" s="64" t="n">
        <v>0.3880221</v>
      </c>
      <c r="AB64" s="64" t="n">
        <v>0.78428555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35.208038</v>
      </c>
      <c r="G65" s="192" t="n">
        <v>39.33586</v>
      </c>
      <c r="H65" s="192" t="n">
        <v>0.9880755</v>
      </c>
      <c r="I65" s="64" t="n">
        <v>0.99014009</v>
      </c>
      <c r="J65" s="64" t="n">
        <v>0.023809284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7.9283</v>
      </c>
      <c r="Y65" s="192" t="n">
        <v>12.740599</v>
      </c>
      <c r="Z65" s="192" t="n">
        <v>0.49568559</v>
      </c>
      <c r="AA65" s="64" t="n">
        <v>0.37685881</v>
      </c>
      <c r="AB65" s="64" t="n">
        <v>0.78101385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37.707916</v>
      </c>
      <c r="G66" s="192" t="n">
        <v>41.820721</v>
      </c>
      <c r="H66" s="192" t="n">
        <v>0.99227363</v>
      </c>
      <c r="I66" s="64" t="n">
        <v>0.99525815</v>
      </c>
      <c r="J66" s="64" t="n">
        <v>0.017411407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7.961546</v>
      </c>
      <c r="Y66" s="192" t="n">
        <v>12.783392</v>
      </c>
      <c r="Z66" s="192" t="n">
        <v>0.49493501</v>
      </c>
      <c r="AA66" s="64" t="n">
        <v>0.38090668</v>
      </c>
      <c r="AB66" s="64" t="n">
        <v>0.7805012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27.331708</v>
      </c>
      <c r="G68" s="99" t="n">
        <v>32.507141</v>
      </c>
      <c r="H68" s="99" t="n">
        <v>0.95828665</v>
      </c>
      <c r="I68" s="62" t="n">
        <v>0.95433583</v>
      </c>
      <c r="J68" s="62" t="n">
        <v>0.06427742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7.921361</v>
      </c>
      <c r="Y68" s="99" t="n">
        <v>12.546313</v>
      </c>
      <c r="Z68" s="99" t="n">
        <v>0.49492085</v>
      </c>
      <c r="AA68" s="62" t="n">
        <v>0.38144468</v>
      </c>
      <c r="AB68" s="62" t="n">
        <v>0.79347295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30.849554</v>
      </c>
      <c r="G69" s="192" t="n">
        <v>35.446496</v>
      </c>
      <c r="H69" s="192" t="n">
        <v>0.97521</v>
      </c>
      <c r="I69" s="64" t="n">
        <v>0.9709185299999999</v>
      </c>
      <c r="J69" s="64" t="n">
        <v>0.040489223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7.941335</v>
      </c>
      <c r="Y69" s="192" t="n">
        <v>12.631374</v>
      </c>
      <c r="Z69" s="192" t="n">
        <v>0.49371355</v>
      </c>
      <c r="AA69" s="64" t="n">
        <v>0.38465691</v>
      </c>
      <c r="AB69" s="64" t="n">
        <v>0.7919691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35.23255</v>
      </c>
      <c r="G70" s="192" t="n">
        <v>39.349833</v>
      </c>
      <c r="H70" s="192" t="n">
        <v>0.98786896</v>
      </c>
      <c r="I70" s="64" t="n">
        <v>0.9896754</v>
      </c>
      <c r="J70" s="64" t="n">
        <v>0.023408875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7.933691</v>
      </c>
      <c r="Y70" s="192" t="n">
        <v>12.557532</v>
      </c>
      <c r="Z70" s="192" t="n">
        <v>0.48528755</v>
      </c>
      <c r="AA70" s="64" t="n">
        <v>0.37332927</v>
      </c>
      <c r="AB70" s="64" t="n">
        <v>0.78882587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37.644455</v>
      </c>
      <c r="G71" s="192" t="n">
        <v>41.736614</v>
      </c>
      <c r="H71" s="192" t="n">
        <v>0.99211748</v>
      </c>
      <c r="I71" s="64" t="n">
        <v>0.99504284</v>
      </c>
      <c r="J71" s="64" t="n">
        <v>0.01736308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7.962807</v>
      </c>
      <c r="Y71" s="192" t="n">
        <v>12.586493</v>
      </c>
      <c r="Z71" s="192" t="n">
        <v>0.48492476</v>
      </c>
      <c r="AA71" s="64" t="n">
        <v>0.37720923</v>
      </c>
      <c r="AB71" s="64" t="n">
        <v>0.7889237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27.364538</v>
      </c>
      <c r="G73" s="99" t="n">
        <v>32.512601</v>
      </c>
      <c r="H73" s="99" t="n">
        <v>0.95837853</v>
      </c>
      <c r="I73" s="62" t="n">
        <v>0.95343145</v>
      </c>
      <c r="J73" s="62" t="n">
        <v>0.06444357000000001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7.941153</v>
      </c>
      <c r="Y73" s="99" t="n">
        <v>12.206613</v>
      </c>
      <c r="Z73" s="99" t="n">
        <v>0.49528178</v>
      </c>
      <c r="AA73" s="62" t="n">
        <v>0.39081069</v>
      </c>
      <c r="AB73" s="62" t="n">
        <v>0.79901457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30.842153</v>
      </c>
      <c r="G74" s="192" t="n">
        <v>35.410561</v>
      </c>
      <c r="H74" s="192" t="n">
        <v>0.97501534</v>
      </c>
      <c r="I74" s="64" t="n">
        <v>0.97086283</v>
      </c>
      <c r="J74" s="64" t="n">
        <v>0.040640425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7.974656</v>
      </c>
      <c r="Y74" s="192" t="n">
        <v>12.336973</v>
      </c>
      <c r="Z74" s="192" t="n">
        <v>0.49375786</v>
      </c>
      <c r="AA74" s="64" t="n">
        <v>0.39390336</v>
      </c>
      <c r="AB74" s="64" t="n">
        <v>0.7992963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35.254483</v>
      </c>
      <c r="G75" s="192" t="n">
        <v>39.365322</v>
      </c>
      <c r="H75" s="192" t="n">
        <v>0.98775368</v>
      </c>
      <c r="I75" s="64" t="n">
        <v>0.98964447</v>
      </c>
      <c r="J75" s="64" t="n">
        <v>0.023678798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7.963233</v>
      </c>
      <c r="Y75" s="192" t="n">
        <v>12.263204</v>
      </c>
      <c r="Z75" s="192" t="n">
        <v>0.48505483</v>
      </c>
      <c r="AA75" s="64" t="n">
        <v>0.38266608</v>
      </c>
      <c r="AB75" s="64" t="n">
        <v>0.79419774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37.627288</v>
      </c>
      <c r="G76" s="192" t="n">
        <v>41.707581</v>
      </c>
      <c r="H76" s="192" t="n">
        <v>0.9920052499999999</v>
      </c>
      <c r="I76" s="64" t="n">
        <v>0.99508117</v>
      </c>
      <c r="J76" s="64" t="n">
        <v>0.017650628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7.995352</v>
      </c>
      <c r="Y76" s="192" t="n">
        <v>12.28687</v>
      </c>
      <c r="Z76" s="192" t="n">
        <v>0.48445233</v>
      </c>
      <c r="AA76" s="64" t="n">
        <v>0.38634299</v>
      </c>
      <c r="AB76" s="64" t="n">
        <v>0.7940101000000001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27.405705</v>
      </c>
      <c r="G78" s="99" t="n">
        <v>32.457842</v>
      </c>
      <c r="H78" s="99" t="n">
        <v>0.95638084</v>
      </c>
      <c r="I78" s="62" t="n">
        <v>0.95399014</v>
      </c>
      <c r="J78" s="62" t="n">
        <v>0.06831751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7.899426</v>
      </c>
      <c r="Y78" s="99" t="n">
        <v>11.889829</v>
      </c>
      <c r="Z78" s="99" t="n">
        <v>0.49444511</v>
      </c>
      <c r="AA78" s="62" t="n">
        <v>0.39937888</v>
      </c>
      <c r="AB78" s="62" t="n">
        <v>0.8020624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30.773244</v>
      </c>
      <c r="G79" s="192" t="n">
        <v>35.277866</v>
      </c>
      <c r="H79" s="192" t="n">
        <v>0.97366498</v>
      </c>
      <c r="I79" s="64" t="n">
        <v>0.97176438</v>
      </c>
      <c r="J79" s="64" t="n">
        <v>0.04409409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7.927315</v>
      </c>
      <c r="Y79" s="192" t="n">
        <v>12.02566</v>
      </c>
      <c r="Z79" s="192" t="n">
        <v>0.49244107</v>
      </c>
      <c r="AA79" s="64" t="n">
        <v>0.40146315</v>
      </c>
      <c r="AB79" s="64" t="n">
        <v>0.80074203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35.080211</v>
      </c>
      <c r="G80" s="192" t="n">
        <v>39.169288</v>
      </c>
      <c r="H80" s="192" t="n">
        <v>0.98669482</v>
      </c>
      <c r="I80" s="64" t="n">
        <v>0.9896929800000001</v>
      </c>
      <c r="J80" s="64" t="n">
        <v>0.026203364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7.915036</v>
      </c>
      <c r="Y80" s="192" t="n">
        <v>11.949466</v>
      </c>
      <c r="Z80" s="192" t="n">
        <v>0.48368911</v>
      </c>
      <c r="AA80" s="64" t="n">
        <v>0.38964589</v>
      </c>
      <c r="AB80" s="64" t="n">
        <v>0.7977521400000001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37.360394</v>
      </c>
      <c r="G81" s="192" t="n">
        <v>41.401469</v>
      </c>
      <c r="H81" s="192" t="n">
        <v>0.99109287</v>
      </c>
      <c r="I81" s="64" t="n">
        <v>0.99487777</v>
      </c>
      <c r="J81" s="64" t="n">
        <v>0.019950002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7.94613</v>
      </c>
      <c r="Y81" s="192" t="n">
        <v>11.974444</v>
      </c>
      <c r="Z81" s="192" t="n">
        <v>0.48304884</v>
      </c>
      <c r="AA81" s="64" t="n">
        <v>0.39349105</v>
      </c>
      <c r="AB81" s="64" t="n">
        <v>0.79727554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26.963075</v>
      </c>
      <c r="G83" s="99" t="n">
        <v>32.120189</v>
      </c>
      <c r="H83" s="99" t="n">
        <v>0.9546218</v>
      </c>
      <c r="I83" s="62" t="n">
        <v>0.9548332</v>
      </c>
      <c r="J83" s="62" t="n">
        <v>0.07497454000000001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8.422898999999999</v>
      </c>
      <c r="Y83" s="99" t="n">
        <v>13.461776</v>
      </c>
      <c r="Z83" s="99" t="n">
        <v>0.50376264</v>
      </c>
      <c r="AA83" s="62" t="n">
        <v>0.39228697</v>
      </c>
      <c r="AB83" s="62" t="n">
        <v>0.7673892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30.591603</v>
      </c>
      <c r="G84" s="192" t="n">
        <v>35.207272</v>
      </c>
      <c r="H84" s="192" t="n">
        <v>0.97541928</v>
      </c>
      <c r="I84" s="64" t="n">
        <v>0.97389922</v>
      </c>
      <c r="J84" s="64" t="n">
        <v>0.0436722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8.444616999999999</v>
      </c>
      <c r="Y84" s="192" t="n">
        <v>13.409533</v>
      </c>
      <c r="Z84" s="192" t="n">
        <v>0.5001594</v>
      </c>
      <c r="AA84" s="64" t="n">
        <v>0.3942073</v>
      </c>
      <c r="AB84" s="64" t="n">
        <v>0.7643326499999999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34.832658</v>
      </c>
      <c r="G85" s="192" t="n">
        <v>38.982448</v>
      </c>
      <c r="H85" s="192" t="n">
        <v>0.98804689</v>
      </c>
      <c r="I85" s="64" t="n">
        <v>0.99057287</v>
      </c>
      <c r="J85" s="64" t="n">
        <v>0.024423534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8.401785</v>
      </c>
      <c r="Y85" s="192" t="n">
        <v>13.319145</v>
      </c>
      <c r="Z85" s="192" t="n">
        <v>0.48999447</v>
      </c>
      <c r="AA85" s="64" t="n">
        <v>0.38153962</v>
      </c>
      <c r="AB85" s="64" t="n">
        <v>0.7639011999999999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37.568698</v>
      </c>
      <c r="G86" s="192" t="n">
        <v>41.66063</v>
      </c>
      <c r="H86" s="192" t="n">
        <v>0.99250609</v>
      </c>
      <c r="I86" s="64" t="n">
        <v>0.9954414700000001</v>
      </c>
      <c r="J86" s="64" t="n">
        <v>0.017680546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8.443565</v>
      </c>
      <c r="Y86" s="192" t="n">
        <v>13.33086</v>
      </c>
      <c r="Z86" s="192" t="n">
        <v>0.48988561</v>
      </c>
      <c r="AA86" s="64" t="n">
        <v>0.38591881</v>
      </c>
      <c r="AB86" s="64" t="n">
        <v>0.7628507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27.11455</v>
      </c>
      <c r="G88" s="99" t="n">
        <v>32.27142</v>
      </c>
      <c r="H88" s="99" t="n">
        <v>0.95618983</v>
      </c>
      <c r="I88" s="62" t="n">
        <v>0.95408547</v>
      </c>
      <c r="J88" s="62" t="n">
        <v>0.070601225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8.385152</v>
      </c>
      <c r="Y88" s="99" t="n">
        <v>13.272518</v>
      </c>
      <c r="Z88" s="99" t="n">
        <v>0.5030962</v>
      </c>
      <c r="AA88" s="62" t="n">
        <v>0.39585374</v>
      </c>
      <c r="AB88" s="62" t="n">
        <v>0.77350867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30.671134</v>
      </c>
      <c r="G89" s="192" t="n">
        <v>35.282074</v>
      </c>
      <c r="H89" s="192" t="n">
        <v>0.97538983</v>
      </c>
      <c r="I89" s="64" t="n">
        <v>0.97235013</v>
      </c>
      <c r="J89" s="64" t="n">
        <v>0.042192522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8.410382</v>
      </c>
      <c r="Y89" s="192" t="n">
        <v>13.30891</v>
      </c>
      <c r="Z89" s="192" t="n">
        <v>0.5005123500000001</v>
      </c>
      <c r="AA89" s="64" t="n">
        <v>0.39927978</v>
      </c>
      <c r="AB89" s="64" t="n">
        <v>0.7729507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34.997313</v>
      </c>
      <c r="G90" s="192" t="n">
        <v>39.15041</v>
      </c>
      <c r="H90" s="192" t="n">
        <v>0.98810282</v>
      </c>
      <c r="I90" s="64" t="n">
        <v>0.99037629</v>
      </c>
      <c r="J90" s="64" t="n">
        <v>0.024090877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8.376873</v>
      </c>
      <c r="Y90" s="192" t="n">
        <v>13.229269</v>
      </c>
      <c r="Z90" s="192" t="n">
        <v>0.49128988</v>
      </c>
      <c r="AA90" s="64" t="n">
        <v>0.3857982</v>
      </c>
      <c r="AB90" s="64" t="n">
        <v>0.7708325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37.661011</v>
      </c>
      <c r="G91" s="192" t="n">
        <v>41.763509</v>
      </c>
      <c r="H91" s="192" t="n">
        <v>0.99246386</v>
      </c>
      <c r="I91" s="64" t="n">
        <v>0.99532762</v>
      </c>
      <c r="J91" s="64" t="n">
        <v>0.017785002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8.421844</v>
      </c>
      <c r="Y91" s="192" t="n">
        <v>13.250494</v>
      </c>
      <c r="Z91" s="192" t="n">
        <v>0.49002153</v>
      </c>
      <c r="AA91" s="64" t="n">
        <v>0.39039946</v>
      </c>
      <c r="AB91" s="64" t="n">
        <v>0.7701342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27.202298</v>
      </c>
      <c r="G93" s="99" t="n">
        <v>32.386859</v>
      </c>
      <c r="H93" s="99" t="n">
        <v>0.95735432</v>
      </c>
      <c r="I93" s="62" t="n">
        <v>0.9538488899999999</v>
      </c>
      <c r="J93" s="62" t="n">
        <v>0.06654284000000001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8.246209</v>
      </c>
      <c r="Y93" s="99" t="n">
        <v>12.947213</v>
      </c>
      <c r="Z93" s="99" t="n">
        <v>0.49182641</v>
      </c>
      <c r="AA93" s="62" t="n">
        <v>0.39085407</v>
      </c>
      <c r="AB93" s="62" t="n">
        <v>0.7827458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30.801443</v>
      </c>
      <c r="G94" s="192" t="n">
        <v>35.390521</v>
      </c>
      <c r="H94" s="192" t="n">
        <v>0.9756661599999999</v>
      </c>
      <c r="I94" s="64" t="n">
        <v>0.97055415</v>
      </c>
      <c r="J94" s="64" t="n">
        <v>0.039504092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8.266047</v>
      </c>
      <c r="Y94" s="192" t="n">
        <v>13.010403</v>
      </c>
      <c r="Z94" s="192" t="n">
        <v>0.4898366</v>
      </c>
      <c r="AA94" s="64" t="n">
        <v>0.39542636</v>
      </c>
      <c r="AB94" s="64" t="n">
        <v>0.77944475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35.196045</v>
      </c>
      <c r="G95" s="192" t="n">
        <v>39.323578</v>
      </c>
      <c r="H95" s="192" t="n">
        <v>0.9882005699999999</v>
      </c>
      <c r="I95" s="64" t="n">
        <v>0.98988584</v>
      </c>
      <c r="J95" s="64" t="n">
        <v>0.022761915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8.245592</v>
      </c>
      <c r="Y95" s="192" t="n">
        <v>12.943332</v>
      </c>
      <c r="Z95" s="192" t="n">
        <v>0.48155894</v>
      </c>
      <c r="AA95" s="64" t="n">
        <v>0.38294298</v>
      </c>
      <c r="AB95" s="64" t="n">
        <v>0.7757193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37.755116</v>
      </c>
      <c r="G96" s="192" t="n">
        <v>41.835341</v>
      </c>
      <c r="H96" s="192" t="n">
        <v>0.99243814</v>
      </c>
      <c r="I96" s="64" t="n">
        <v>0.99515463</v>
      </c>
      <c r="J96" s="64" t="n">
        <v>0.01690247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8.28684</v>
      </c>
      <c r="Y96" s="192" t="n">
        <v>12.965483</v>
      </c>
      <c r="Z96" s="192" t="n">
        <v>0.48075016</v>
      </c>
      <c r="AA96" s="64" t="n">
        <v>0.38725449</v>
      </c>
      <c r="AB96" s="64" t="n">
        <v>0.77621484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27.328194</v>
      </c>
      <c r="G98" s="99" t="n">
        <v>32.482353</v>
      </c>
      <c r="H98" s="99" t="n">
        <v>0.95786502</v>
      </c>
      <c r="I98" s="62" t="n">
        <v>0.9542896199999999</v>
      </c>
      <c r="J98" s="62" t="n">
        <v>0.06607363400000001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8.352045</v>
      </c>
      <c r="Y98" s="99" t="n">
        <v>12.632417</v>
      </c>
      <c r="Z98" s="99" t="n">
        <v>0.48978278</v>
      </c>
      <c r="AA98" s="62" t="n">
        <v>0.3969329</v>
      </c>
      <c r="AB98" s="62" t="n">
        <v>0.7894874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30.811927</v>
      </c>
      <c r="G99" s="192" t="n">
        <v>35.39577</v>
      </c>
      <c r="H99" s="192" t="n">
        <v>0.9757072</v>
      </c>
      <c r="I99" s="64" t="n">
        <v>0.97141585</v>
      </c>
      <c r="J99" s="64" t="n">
        <v>0.04015581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8.373782</v>
      </c>
      <c r="Y99" s="192" t="n">
        <v>12.736263</v>
      </c>
      <c r="Z99" s="192" t="n">
        <v>0.48681881</v>
      </c>
      <c r="AA99" s="64" t="n">
        <v>0.39963306</v>
      </c>
      <c r="AB99" s="64" t="n">
        <v>0.7866106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35.137132</v>
      </c>
      <c r="G100" s="192" t="n">
        <v>39.275651</v>
      </c>
      <c r="H100" s="192" t="n">
        <v>0.98814093</v>
      </c>
      <c r="I100" s="64" t="n">
        <v>0.9897816699999999</v>
      </c>
      <c r="J100" s="64" t="n">
        <v>0.023735851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8.361273000000001</v>
      </c>
      <c r="Y100" s="192" t="n">
        <v>12.68045</v>
      </c>
      <c r="Z100" s="192" t="n">
        <v>0.47753516</v>
      </c>
      <c r="AA100" s="64" t="n">
        <v>0.38755712</v>
      </c>
      <c r="AB100" s="64" t="n">
        <v>0.78263485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37.754162</v>
      </c>
      <c r="G101" s="192" t="n">
        <v>41.827858</v>
      </c>
      <c r="H101" s="192" t="n">
        <v>0.99244492</v>
      </c>
      <c r="I101" s="64" t="n">
        <v>0.99522846</v>
      </c>
      <c r="J101" s="64" t="n">
        <v>0.017600419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8.393414999999999</v>
      </c>
      <c r="Y101" s="192" t="n">
        <v>12.697309</v>
      </c>
      <c r="Z101" s="192" t="n">
        <v>0.47696204</v>
      </c>
      <c r="AA101" s="64" t="n">
        <v>0.39186074</v>
      </c>
      <c r="AB101" s="64" t="n">
        <v>0.78294706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27.278325</v>
      </c>
      <c r="G103" s="99" t="n">
        <v>32.252378</v>
      </c>
      <c r="H103" s="99" t="n">
        <v>0.95609766</v>
      </c>
      <c r="I103" s="62" t="n">
        <v>0.95473774</v>
      </c>
      <c r="J103" s="62" t="n">
        <v>0.06834008499999999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8.374314999999999</v>
      </c>
      <c r="Y103" s="99" t="n">
        <v>12.338114</v>
      </c>
      <c r="Z103" s="99" t="n">
        <v>0.48242399</v>
      </c>
      <c r="AA103" s="62" t="n">
        <v>0.4051594</v>
      </c>
      <c r="AB103" s="62" t="n">
        <v>0.79501694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30.613521</v>
      </c>
      <c r="G104" s="192" t="n">
        <v>35.094992</v>
      </c>
      <c r="H104" s="192" t="n">
        <v>0.97476379</v>
      </c>
      <c r="I104" s="64" t="n">
        <v>0.97251279</v>
      </c>
      <c r="J104" s="64" t="n">
        <v>0.041671406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8.386917</v>
      </c>
      <c r="Y104" s="192" t="n">
        <v>12.429992</v>
      </c>
      <c r="Z104" s="192" t="n">
        <v>0.47815402</v>
      </c>
      <c r="AA104" s="64" t="n">
        <v>0.40678402</v>
      </c>
      <c r="AB104" s="64" t="n">
        <v>0.79336184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34.799375</v>
      </c>
      <c r="G105" s="192" t="n">
        <v>38.913462</v>
      </c>
      <c r="H105" s="192" t="n">
        <v>0.98733038</v>
      </c>
      <c r="I105" s="64" t="n">
        <v>0.98957368</v>
      </c>
      <c r="J105" s="64" t="n">
        <v>0.024812326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8.380273000000001</v>
      </c>
      <c r="Y105" s="192" t="n">
        <v>12.378637</v>
      </c>
      <c r="Z105" s="192" t="n">
        <v>0.46915321</v>
      </c>
      <c r="AA105" s="64" t="n">
        <v>0.39547911</v>
      </c>
      <c r="AB105" s="64" t="n">
        <v>0.7889229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37.4802</v>
      </c>
      <c r="G106" s="192" t="n">
        <v>41.513465</v>
      </c>
      <c r="H106" s="192" t="n">
        <v>0.99190234</v>
      </c>
      <c r="I106" s="64" t="n">
        <v>0.9949626499999999</v>
      </c>
      <c r="J106" s="64" t="n">
        <v>0.018384663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8.405949</v>
      </c>
      <c r="Y106" s="192" t="n">
        <v>12.395517</v>
      </c>
      <c r="Z106" s="192" t="n">
        <v>0.46804511</v>
      </c>
      <c r="AA106" s="64" t="n">
        <v>0.3992455</v>
      </c>
      <c r="AB106" s="64" t="n">
        <v>0.79008114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/>
      <c r="G108" s="99" t="n"/>
      <c r="H108" s="99" t="n"/>
      <c r="I108" s="62" t="n"/>
      <c r="J108" s="62" t="n"/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/>
      <c r="Y108" s="99" t="n"/>
      <c r="Z108" s="99" t="n"/>
      <c r="AA108" s="62" t="n"/>
      <c r="AB108" s="62" t="n"/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/>
      <c r="G109" s="192" t="n"/>
      <c r="H109" s="192" t="n"/>
      <c r="I109" s="64" t="n"/>
      <c r="J109" s="64" t="n"/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/>
      <c r="Y109" s="192" t="n"/>
      <c r="Z109" s="192" t="n"/>
      <c r="AA109" s="64" t="n"/>
      <c r="AB109" s="64" t="n"/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/>
      <c r="G110" s="192" t="n"/>
      <c r="H110" s="192" t="n"/>
      <c r="I110" s="64" t="n"/>
      <c r="J110" s="64" t="n"/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/>
      <c r="Y110" s="192" t="n"/>
      <c r="Z110" s="192" t="n"/>
      <c r="AA110" s="64" t="n"/>
      <c r="AB110" s="64" t="n"/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/>
      <c r="G111" s="192" t="n"/>
      <c r="H111" s="192" t="n"/>
      <c r="I111" s="64" t="n"/>
      <c r="J111" s="64" t="n"/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/>
      <c r="Y111" s="192" t="n"/>
      <c r="Z111" s="192" t="n"/>
      <c r="AA111" s="64" t="n"/>
      <c r="AB111" s="64" t="n"/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/>
      <c r="G113" s="99" t="n"/>
      <c r="H113" s="99" t="n"/>
      <c r="I113" s="62" t="n"/>
      <c r="J113" s="62" t="n"/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/>
      <c r="Y113" s="99" t="n"/>
      <c r="Z113" s="99" t="n"/>
      <c r="AA113" s="62" t="n"/>
      <c r="AB113" s="62" t="n"/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/>
      <c r="G114" s="192" t="n"/>
      <c r="H114" s="192" t="n"/>
      <c r="I114" s="64" t="n"/>
      <c r="J114" s="64" t="n"/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/>
      <c r="Y114" s="192" t="n"/>
      <c r="Z114" s="192" t="n"/>
      <c r="AA114" s="64" t="n"/>
      <c r="AB114" s="64" t="n"/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/>
      <c r="G115" s="192" t="n"/>
      <c r="H115" s="192" t="n"/>
      <c r="I115" s="64" t="n"/>
      <c r="J115" s="64" t="n"/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/>
      <c r="Y115" s="192" t="n"/>
      <c r="Z115" s="192" t="n"/>
      <c r="AA115" s="64" t="n"/>
      <c r="AB115" s="64" t="n"/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/>
      <c r="G116" s="192" t="n"/>
      <c r="H116" s="192" t="n"/>
      <c r="I116" s="64" t="n"/>
      <c r="J116" s="64" t="n"/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/>
      <c r="Y116" s="192" t="n"/>
      <c r="Z116" s="192" t="n"/>
      <c r="AA116" s="64" t="n"/>
      <c r="AB116" s="64" t="n"/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/>
      <c r="G118" s="99" t="n"/>
      <c r="H118" s="99" t="n"/>
      <c r="I118" s="62" t="n"/>
      <c r="J118" s="62" t="n"/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/>
      <c r="Y118" s="99" t="n"/>
      <c r="Z118" s="99" t="n"/>
      <c r="AA118" s="62" t="n"/>
      <c r="AB118" s="62" t="n"/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/>
      <c r="G119" s="192" t="n"/>
      <c r="H119" s="192" t="n"/>
      <c r="I119" s="64" t="n"/>
      <c r="J119" s="64" t="n"/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/>
      <c r="Y119" s="192" t="n"/>
      <c r="Z119" s="192" t="n"/>
      <c r="AA119" s="64" t="n"/>
      <c r="AB119" s="64" t="n"/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/>
      <c r="G120" s="192" t="n"/>
      <c r="H120" s="192" t="n"/>
      <c r="I120" s="64" t="n"/>
      <c r="J120" s="64" t="n"/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/>
      <c r="Y120" s="192" t="n"/>
      <c r="Z120" s="192" t="n"/>
      <c r="AA120" s="64" t="n"/>
      <c r="AB120" s="64" t="n"/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/>
      <c r="G121" s="192" t="n"/>
      <c r="H121" s="192" t="n"/>
      <c r="I121" s="64" t="n"/>
      <c r="J121" s="64" t="n"/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/>
      <c r="Y121" s="192" t="n"/>
      <c r="Z121" s="192" t="n"/>
      <c r="AA121" s="64" t="n"/>
      <c r="AB121" s="64" t="n"/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/>
      <c r="G123" s="99" t="n"/>
      <c r="H123" s="99" t="n"/>
      <c r="I123" s="62" t="n"/>
      <c r="J123" s="62" t="n"/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/>
      <c r="Y123" s="99" t="n"/>
      <c r="Z123" s="99" t="n"/>
      <c r="AA123" s="62" t="n"/>
      <c r="AB123" s="62" t="n"/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/>
      <c r="G124" s="192" t="n"/>
      <c r="H124" s="192" t="n"/>
      <c r="I124" s="64" t="n"/>
      <c r="J124" s="64" t="n"/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/>
      <c r="Y124" s="192" t="n"/>
      <c r="Z124" s="192" t="n"/>
      <c r="AA124" s="64" t="n"/>
      <c r="AB124" s="64" t="n"/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/>
      <c r="G125" s="192" t="n"/>
      <c r="H125" s="192" t="n"/>
      <c r="I125" s="64" t="n"/>
      <c r="J125" s="64" t="n"/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/>
      <c r="Y125" s="192" t="n"/>
      <c r="Z125" s="192" t="n"/>
      <c r="AA125" s="64" t="n"/>
      <c r="AB125" s="64" t="n"/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/>
      <c r="G126" s="192" t="n"/>
      <c r="H126" s="192" t="n"/>
      <c r="I126" s="64" t="n"/>
      <c r="J126" s="64" t="n"/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/>
      <c r="Y126" s="192" t="n"/>
      <c r="Z126" s="192" t="n"/>
      <c r="AA126" s="64" t="n"/>
      <c r="AB126" s="64" t="n"/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/>
      <c r="G128" s="99" t="n"/>
      <c r="H128" s="99" t="n"/>
      <c r="I128" s="62" t="n"/>
      <c r="J128" s="62" t="n"/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/>
      <c r="Y128" s="99" t="n"/>
      <c r="Z128" s="99" t="n"/>
      <c r="AA128" s="62" t="n"/>
      <c r="AB128" s="62" t="n"/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/>
      <c r="G129" s="192" t="n"/>
      <c r="H129" s="192" t="n"/>
      <c r="I129" s="64" t="n"/>
      <c r="J129" s="64" t="n"/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/>
      <c r="Y129" s="192" t="n"/>
      <c r="Z129" s="192" t="n"/>
      <c r="AA129" s="64" t="n"/>
      <c r="AB129" s="64" t="n"/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/>
      <c r="G130" s="192" t="n"/>
      <c r="H130" s="192" t="n"/>
      <c r="I130" s="64" t="n"/>
      <c r="J130" s="64" t="n"/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/>
      <c r="Y130" s="192" t="n"/>
      <c r="Z130" s="192" t="n"/>
      <c r="AA130" s="64" t="n"/>
      <c r="AB130" s="64" t="n"/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/>
      <c r="G131" s="192" t="n"/>
      <c r="H131" s="192" t="n"/>
      <c r="I131" s="64" t="n"/>
      <c r="J131" s="64" t="n"/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/>
      <c r="Y131" s="192" t="n"/>
      <c r="Z131" s="192" t="n"/>
      <c r="AA131" s="64" t="n"/>
      <c r="AB131" s="64" t="n"/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/>
      <c r="G133" s="99" t="n"/>
      <c r="H133" s="99" t="n"/>
      <c r="I133" s="62" t="n"/>
      <c r="J133" s="62" t="n"/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/>
      <c r="Y133" s="99" t="n"/>
      <c r="Z133" s="99" t="n"/>
      <c r="AA133" s="62" t="n"/>
      <c r="AB133" s="62" t="n"/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/>
      <c r="G134" s="192" t="n"/>
      <c r="H134" s="192" t="n"/>
      <c r="I134" s="64" t="n"/>
      <c r="J134" s="64" t="n"/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/>
      <c r="Y134" s="192" t="n"/>
      <c r="Z134" s="192" t="n"/>
      <c r="AA134" s="64" t="n"/>
      <c r="AB134" s="64" t="n"/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/>
      <c r="G135" s="192" t="n"/>
      <c r="H135" s="192" t="n"/>
      <c r="I135" s="64" t="n"/>
      <c r="J135" s="64" t="n"/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/>
      <c r="Y135" s="192" t="n"/>
      <c r="Z135" s="192" t="n"/>
      <c r="AA135" s="64" t="n"/>
      <c r="AB135" s="64" t="n"/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/>
      <c r="G136" s="192" t="n"/>
      <c r="H136" s="192" t="n"/>
      <c r="I136" s="64" t="n"/>
      <c r="J136" s="64" t="n"/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/>
      <c r="Y136" s="192" t="n"/>
      <c r="Z136" s="192" t="n"/>
      <c r="AA136" s="64" t="n"/>
      <c r="AB136" s="64" t="n"/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9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tabSelected="1" workbookViewId="0">
      <selection activeCell="U33" sqref="U33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cinema_track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4622.472</v>
      </c>
      <c r="F16" s="169" t="n">
        <v>5835.96</v>
      </c>
      <c r="G16" s="169" t="n">
        <v>1040.24</v>
      </c>
      <c r="H16" s="169" t="n">
        <v>357.512</v>
      </c>
      <c r="I16" s="169" t="n">
        <v>150.144</v>
      </c>
      <c r="J16" s="169" t="n">
        <v>8571.312</v>
      </c>
      <c r="K16" s="62" t="n">
        <v>5024.024</v>
      </c>
      <c r="L16" s="62" t="n">
        <v>1855.632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4622.472</v>
      </c>
      <c r="X16" s="169" t="n">
        <v>5798.52</v>
      </c>
      <c r="Y16" s="169" t="n">
        <v>1154.328</v>
      </c>
      <c r="Z16" s="169" t="n">
        <v>438.048</v>
      </c>
      <c r="AA16" s="169" t="n">
        <v>225.768</v>
      </c>
      <c r="AB16" s="169" t="n">
        <v>8572.567999999999</v>
      </c>
      <c r="AC16" s="62" t="n">
        <v>5024.488</v>
      </c>
      <c r="AD16" s="62" t="n">
        <v>1855.76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4622.472</v>
      </c>
      <c r="F17" s="170" t="n">
        <v>7698.672</v>
      </c>
      <c r="G17" s="170" t="n">
        <v>3755.488</v>
      </c>
      <c r="H17" s="170" t="n">
        <v>1880.176</v>
      </c>
      <c r="I17" s="170" t="n">
        <v>1357.768</v>
      </c>
      <c r="J17" s="170" t="n">
        <v>11094.192</v>
      </c>
      <c r="K17" s="64" t="n">
        <v>6863.848</v>
      </c>
      <c r="L17" s="64" t="n">
        <v>2459.176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4622.472</v>
      </c>
      <c r="X17" s="170" t="n">
        <v>7650.48</v>
      </c>
      <c r="Y17" s="170" t="n">
        <v>3843.32</v>
      </c>
      <c r="Z17" s="170" t="n">
        <v>2040.2</v>
      </c>
      <c r="AA17" s="170" t="n">
        <v>1548.928</v>
      </c>
      <c r="AB17" s="170" t="n">
        <v>11094.952</v>
      </c>
      <c r="AC17" s="64" t="n">
        <v>6864.088</v>
      </c>
      <c r="AD17" s="64" t="n">
        <v>2459.304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4622.472</v>
      </c>
      <c r="F18" s="170" t="n">
        <v>9632.424000000001</v>
      </c>
      <c r="G18" s="170" t="n">
        <v>8173.376</v>
      </c>
      <c r="H18" s="170" t="n">
        <v>5921.192</v>
      </c>
      <c r="I18" s="170" t="n">
        <v>5643.408</v>
      </c>
      <c r="J18" s="170" t="n">
        <v>13694.736</v>
      </c>
      <c r="K18" s="64" t="n">
        <v>8782.888000000001</v>
      </c>
      <c r="L18" s="64" t="n">
        <v>3081.488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4622.472</v>
      </c>
      <c r="X18" s="170" t="n">
        <v>9567.824000000001</v>
      </c>
      <c r="Y18" s="170" t="n">
        <v>8188.104</v>
      </c>
      <c r="Z18" s="170" t="n">
        <v>6032.576</v>
      </c>
      <c r="AA18" s="170" t="n">
        <v>5833.568</v>
      </c>
      <c r="AB18" s="170" t="n">
        <v>13695.496</v>
      </c>
      <c r="AC18" s="64" t="n">
        <v>8783.103999999999</v>
      </c>
      <c r="AD18" s="64" t="n">
        <v>3081.52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4622.472</v>
      </c>
      <c r="F19" s="170" t="n">
        <v>11479.904</v>
      </c>
      <c r="G19" s="170" t="n">
        <v>13301.456</v>
      </c>
      <c r="H19" s="170" t="n">
        <v>12617.896</v>
      </c>
      <c r="I19" s="170" t="n">
        <v>14033.632</v>
      </c>
      <c r="J19" s="170" t="n">
        <v>16403.704</v>
      </c>
      <c r="K19" s="64" t="n">
        <v>10804.576</v>
      </c>
      <c r="L19" s="64" t="n">
        <v>3727.944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4622.472</v>
      </c>
      <c r="X19" s="170" t="n">
        <v>11400.928</v>
      </c>
      <c r="Y19" s="170" t="n">
        <v>13304.488</v>
      </c>
      <c r="Z19" s="170" t="n">
        <v>12668.84</v>
      </c>
      <c r="AA19" s="170" t="n">
        <v>14167.176</v>
      </c>
      <c r="AB19" s="170" t="n">
        <v>16404.848</v>
      </c>
      <c r="AC19" s="64" t="n">
        <v>10805.152</v>
      </c>
      <c r="AD19" s="64" t="n">
        <v>3727.944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26.906856</v>
      </c>
      <c r="G33" s="99" t="n">
        <v>30.367884</v>
      </c>
      <c r="H33" s="99" t="n">
        <v>0.95871066</v>
      </c>
      <c r="I33" s="62" t="n">
        <v>0.96455598</v>
      </c>
      <c r="J33" s="62" t="n">
        <v>0.08272676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5.417525</v>
      </c>
      <c r="Y33" s="99" t="n">
        <v>9.948532</v>
      </c>
      <c r="Z33" s="99" t="n">
        <v>0.76406726</v>
      </c>
      <c r="AA33" s="62" t="n">
        <v>0.58270261</v>
      </c>
      <c r="AB33" s="62" t="n">
        <v>0.8224772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30.790431</v>
      </c>
      <c r="G34" s="192" t="n">
        <v>34.198451</v>
      </c>
      <c r="H34" s="192" t="n">
        <v>0.97776145</v>
      </c>
      <c r="I34" s="64" t="n">
        <v>0.98092376</v>
      </c>
      <c r="J34" s="64" t="n">
        <v>0.05660866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5.374674</v>
      </c>
      <c r="Y34" s="192" t="n">
        <v>9.927292</v>
      </c>
      <c r="Z34" s="192" t="n">
        <v>0.76443469</v>
      </c>
      <c r="AA34" s="64" t="n">
        <v>0.58269458</v>
      </c>
      <c r="AB34" s="64" t="n">
        <v>0.8224515999999999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33.798455</v>
      </c>
      <c r="G35" s="192" t="n">
        <v>37.850261</v>
      </c>
      <c r="H35" s="192" t="n">
        <v>0.98821081</v>
      </c>
      <c r="I35" s="64" t="n">
        <v>0.9911581699999999</v>
      </c>
      <c r="J35" s="64" t="n">
        <v>0.033108838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5.295792</v>
      </c>
      <c r="Y35" s="192" t="n">
        <v>9.905505</v>
      </c>
      <c r="Z35" s="192" t="n">
        <v>0.76525946</v>
      </c>
      <c r="AA35" s="64" t="n">
        <v>0.581391</v>
      </c>
      <c r="AB35" s="64" t="n">
        <v>0.82298845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37.759284</v>
      </c>
      <c r="G36" s="192" t="n">
        <v>42.061575</v>
      </c>
      <c r="H36" s="192" t="n">
        <v>0.99373684</v>
      </c>
      <c r="I36" s="64" t="n">
        <v>0.99582392</v>
      </c>
      <c r="J36" s="64" t="n">
        <v>0.016167026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5.28895</v>
      </c>
      <c r="Y36" s="192" t="n">
        <v>9.903791999999999</v>
      </c>
      <c r="Z36" s="192" t="n">
        <v>0.76427441</v>
      </c>
      <c r="AA36" s="64" t="n">
        <v>0.5804101699999999</v>
      </c>
      <c r="AB36" s="64" t="n">
        <v>0.8208692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27.200422</v>
      </c>
      <c r="G38" s="99" t="n">
        <v>31.087743</v>
      </c>
      <c r="H38" s="99" t="n">
        <v>0.9608584999999999</v>
      </c>
      <c r="I38" s="62" t="n">
        <v>0.96518318</v>
      </c>
      <c r="J38" s="62" t="n">
        <v>0.07469763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5.400415</v>
      </c>
      <c r="Y38" s="99" t="n">
        <v>9.960404</v>
      </c>
      <c r="Z38" s="99" t="n">
        <v>0.76632291</v>
      </c>
      <c r="AA38" s="62" t="n">
        <v>0.59280718</v>
      </c>
      <c r="AB38" s="62" t="n">
        <v>0.82881653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31.362172</v>
      </c>
      <c r="G39" s="192" t="n">
        <v>34.855811</v>
      </c>
      <c r="H39" s="192" t="n">
        <v>0.97830549</v>
      </c>
      <c r="I39" s="64" t="n">
        <v>0.98107862</v>
      </c>
      <c r="J39" s="64" t="n">
        <v>0.05283367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5.376594</v>
      </c>
      <c r="Y39" s="192" t="n">
        <v>9.930510999999999</v>
      </c>
      <c r="Z39" s="192" t="n">
        <v>0.7647853</v>
      </c>
      <c r="AA39" s="64" t="n">
        <v>0.59213976</v>
      </c>
      <c r="AB39" s="64" t="n">
        <v>0.8285085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34.821733</v>
      </c>
      <c r="G40" s="192" t="n">
        <v>38.854044</v>
      </c>
      <c r="H40" s="192" t="n">
        <v>0.98842866</v>
      </c>
      <c r="I40" s="64" t="n">
        <v>0.99141954</v>
      </c>
      <c r="J40" s="64" t="n">
        <v>0.03136353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5.302539</v>
      </c>
      <c r="Y40" s="192" t="n">
        <v>9.916193</v>
      </c>
      <c r="Z40" s="192" t="n">
        <v>0.7663518499999999</v>
      </c>
      <c r="AA40" s="64" t="n">
        <v>0.59084057</v>
      </c>
      <c r="AB40" s="64" t="n">
        <v>0.8272616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37.943614</v>
      </c>
      <c r="G41" s="192" t="n">
        <v>42.295148</v>
      </c>
      <c r="H41" s="192" t="n">
        <v>0.99364968</v>
      </c>
      <c r="I41" s="64" t="n">
        <v>0.99573508</v>
      </c>
      <c r="J41" s="64" t="n">
        <v>0.017374005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5.300343</v>
      </c>
      <c r="Y41" s="192" t="n">
        <v>9.915032</v>
      </c>
      <c r="Z41" s="192" t="n">
        <v>0.76514726</v>
      </c>
      <c r="AA41" s="64" t="n">
        <v>0.589568</v>
      </c>
      <c r="AB41" s="64" t="n">
        <v>0.8279232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28.65916</v>
      </c>
      <c r="G43" s="99" t="n">
        <v>32.37203</v>
      </c>
      <c r="H43" s="99" t="n">
        <v>0.96303813</v>
      </c>
      <c r="I43" s="62" t="n">
        <v>0.96806577</v>
      </c>
      <c r="J43" s="62" t="n">
        <v>0.07212112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5.388275</v>
      </c>
      <c r="Y43" s="99" t="n">
        <v>9.91981</v>
      </c>
      <c r="Z43" s="99" t="n">
        <v>0.76943757</v>
      </c>
      <c r="AA43" s="62" t="n">
        <v>0.59646672</v>
      </c>
      <c r="AB43" s="62" t="n">
        <v>0.83291906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31.796644</v>
      </c>
      <c r="G44" s="192" t="n">
        <v>35.372276</v>
      </c>
      <c r="H44" s="192" t="n">
        <v>0.97867174</v>
      </c>
      <c r="I44" s="64" t="n">
        <v>0.9815695800000001</v>
      </c>
      <c r="J44" s="64" t="n">
        <v>0.049679883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5.35745</v>
      </c>
      <c r="Y44" s="192" t="n">
        <v>9.888456</v>
      </c>
      <c r="Z44" s="192" t="n">
        <v>0.76952767</v>
      </c>
      <c r="AA44" s="64" t="n">
        <v>0.59684059</v>
      </c>
      <c r="AB44" s="64" t="n">
        <v>0.83223903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35.22092</v>
      </c>
      <c r="G45" s="192" t="n">
        <v>39.357385</v>
      </c>
      <c r="H45" s="192" t="n">
        <v>0.98861548</v>
      </c>
      <c r="I45" s="64" t="n">
        <v>0.99154975</v>
      </c>
      <c r="J45" s="64" t="n">
        <v>0.031610448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5.290334</v>
      </c>
      <c r="Y45" s="192" t="n">
        <v>9.876208999999999</v>
      </c>
      <c r="Z45" s="192" t="n">
        <v>0.76900424</v>
      </c>
      <c r="AA45" s="64" t="n">
        <v>0.59406606</v>
      </c>
      <c r="AB45" s="64" t="n">
        <v>0.83099747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38.417346</v>
      </c>
      <c r="G46" s="192" t="n">
        <v>42.767448</v>
      </c>
      <c r="H46" s="192" t="n">
        <v>0.9936703099999999</v>
      </c>
      <c r="I46" s="64" t="n">
        <v>0.99572028</v>
      </c>
      <c r="J46" s="64" t="n">
        <v>0.016581476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5.288927</v>
      </c>
      <c r="Y46" s="192" t="n">
        <v>9.875992999999999</v>
      </c>
      <c r="Z46" s="192" t="n">
        <v>0.76928193</v>
      </c>
      <c r="AA46" s="64" t="n">
        <v>0.59421078</v>
      </c>
      <c r="AB46" s="64" t="n">
        <v>0.8310908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29.745839</v>
      </c>
      <c r="G48" s="99" t="n">
        <v>33.22544</v>
      </c>
      <c r="H48" s="99" t="n">
        <v>0.96386821</v>
      </c>
      <c r="I48" s="62" t="n">
        <v>0.96959517</v>
      </c>
      <c r="J48" s="62" t="n">
        <v>0.063522995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5.237378</v>
      </c>
      <c r="Y48" s="99" t="n">
        <v>9.804595000000001</v>
      </c>
      <c r="Z48" s="99" t="n">
        <v>0.76627497</v>
      </c>
      <c r="AA48" s="62" t="n">
        <v>0.58697956</v>
      </c>
      <c r="AB48" s="62" t="n">
        <v>0.8303693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32.735086</v>
      </c>
      <c r="G49" s="192" t="n">
        <v>36.205341</v>
      </c>
      <c r="H49" s="192" t="n">
        <v>0.97830682</v>
      </c>
      <c r="I49" s="64" t="n">
        <v>0.98237513</v>
      </c>
      <c r="J49" s="64" t="n">
        <v>0.042703565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5.219992</v>
      </c>
      <c r="Y49" s="192" t="n">
        <v>9.781641</v>
      </c>
      <c r="Z49" s="192" t="n">
        <v>0.76640284</v>
      </c>
      <c r="AA49" s="64" t="n">
        <v>0.5876426</v>
      </c>
      <c r="AB49" s="64" t="n">
        <v>0.8308674700000001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35.967501</v>
      </c>
      <c r="G50" s="192" t="n">
        <v>40.04759</v>
      </c>
      <c r="H50" s="192" t="n">
        <v>0.98835807</v>
      </c>
      <c r="I50" s="64" t="n">
        <v>0.99156557</v>
      </c>
      <c r="J50" s="64" t="n">
        <v>0.02797852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5.153406</v>
      </c>
      <c r="Y50" s="192" t="n">
        <v>9.773552</v>
      </c>
      <c r="Z50" s="192" t="n">
        <v>0.76653267</v>
      </c>
      <c r="AA50" s="64" t="n">
        <v>0.58534481</v>
      </c>
      <c r="AB50" s="64" t="n">
        <v>0.8287769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38.88725</v>
      </c>
      <c r="G51" s="192" t="n">
        <v>43.177608</v>
      </c>
      <c r="H51" s="192" t="n">
        <v>0.99349167</v>
      </c>
      <c r="I51" s="64" t="n">
        <v>0.99565447</v>
      </c>
      <c r="J51" s="64" t="n">
        <v>0.014722479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5.154757</v>
      </c>
      <c r="Y51" s="192" t="n">
        <v>9.77464</v>
      </c>
      <c r="Z51" s="192" t="n">
        <v>0.76649036</v>
      </c>
      <c r="AA51" s="64" t="n">
        <v>0.58539567</v>
      </c>
      <c r="AB51" s="64" t="n">
        <v>0.8289209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29.693741</v>
      </c>
      <c r="G53" s="99" t="n">
        <v>33.267111</v>
      </c>
      <c r="H53" s="99" t="n">
        <v>0.96388675</v>
      </c>
      <c r="I53" s="62" t="n">
        <v>0.97028399</v>
      </c>
      <c r="J53" s="62" t="n">
        <v>0.06397533399999999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5.294234</v>
      </c>
      <c r="Y53" s="99" t="n">
        <v>9.835438999999999</v>
      </c>
      <c r="Z53" s="99" t="n">
        <v>0.75660629</v>
      </c>
      <c r="AA53" s="62" t="n">
        <v>0.58502296</v>
      </c>
      <c r="AB53" s="62" t="n">
        <v>0.7935567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32.605066</v>
      </c>
      <c r="G54" s="192" t="n">
        <v>36.147631</v>
      </c>
      <c r="H54" s="192" t="n">
        <v>0.97824115</v>
      </c>
      <c r="I54" s="64" t="n">
        <v>0.98248982</v>
      </c>
      <c r="J54" s="64" t="n">
        <v>0.042394076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5.286966</v>
      </c>
      <c r="Y54" s="192" t="n">
        <v>9.819578</v>
      </c>
      <c r="Z54" s="192" t="n">
        <v>0.75614562</v>
      </c>
      <c r="AA54" s="64" t="n">
        <v>0.58478582</v>
      </c>
      <c r="AB54" s="64" t="n">
        <v>0.7939929999999999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35.849721</v>
      </c>
      <c r="G55" s="192" t="n">
        <v>39.937669</v>
      </c>
      <c r="H55" s="192" t="n">
        <v>0.98815038</v>
      </c>
      <c r="I55" s="64" t="n">
        <v>0.99146029</v>
      </c>
      <c r="J55" s="64" t="n">
        <v>0.028317744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5.227284</v>
      </c>
      <c r="Y55" s="192" t="n">
        <v>9.809697999999999</v>
      </c>
      <c r="Z55" s="192" t="n">
        <v>0.75922573</v>
      </c>
      <c r="AA55" s="64" t="n">
        <v>0.58297384</v>
      </c>
      <c r="AB55" s="64" t="n">
        <v>0.7953549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39.03629</v>
      </c>
      <c r="G56" s="192" t="n">
        <v>43.205053</v>
      </c>
      <c r="H56" s="192" t="n">
        <v>0.99343181</v>
      </c>
      <c r="I56" s="64" t="n">
        <v>0.99556213</v>
      </c>
      <c r="J56" s="64" t="n">
        <v>0.0135627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5.222542</v>
      </c>
      <c r="Y56" s="192" t="n">
        <v>9.80644</v>
      </c>
      <c r="Z56" s="192" t="n">
        <v>0.75652005</v>
      </c>
      <c r="AA56" s="64" t="n">
        <v>0.58165476</v>
      </c>
      <c r="AB56" s="64" t="n">
        <v>0.7911497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29.889362</v>
      </c>
      <c r="G58" s="99" t="n">
        <v>33.44348</v>
      </c>
      <c r="H58" s="99" t="n">
        <v>0.96353847</v>
      </c>
      <c r="I58" s="62" t="n">
        <v>0.97093255</v>
      </c>
      <c r="J58" s="62" t="n">
        <v>0.06483371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5.333835</v>
      </c>
      <c r="Y58" s="99" t="n">
        <v>9.837574999999999</v>
      </c>
      <c r="Z58" s="99" t="n">
        <v>0.72009711</v>
      </c>
      <c r="AA58" s="62" t="n">
        <v>0.55482689</v>
      </c>
      <c r="AB58" s="62" t="n">
        <v>0.7803016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32.757964</v>
      </c>
      <c r="G59" s="192" t="n">
        <v>36.271399</v>
      </c>
      <c r="H59" s="192" t="n">
        <v>0.97812848</v>
      </c>
      <c r="I59" s="64" t="n">
        <v>0.98300647</v>
      </c>
      <c r="J59" s="64" t="n">
        <v>0.042763036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5.316113</v>
      </c>
      <c r="Y59" s="192" t="n">
        <v>9.822735</v>
      </c>
      <c r="Z59" s="192" t="n">
        <v>0.7374733</v>
      </c>
      <c r="AA59" s="64" t="n">
        <v>0.56621282</v>
      </c>
      <c r="AB59" s="64" t="n">
        <v>0.7819755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35.903069</v>
      </c>
      <c r="G60" s="192" t="n">
        <v>39.942721</v>
      </c>
      <c r="H60" s="192" t="n">
        <v>0.98819625</v>
      </c>
      <c r="I60" s="64" t="n">
        <v>0.99141855</v>
      </c>
      <c r="J60" s="64" t="n">
        <v>0.02868761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5.233784</v>
      </c>
      <c r="Y60" s="192" t="n">
        <v>9.791334000000001</v>
      </c>
      <c r="Z60" s="192" t="n">
        <v>0.7353796500000001</v>
      </c>
      <c r="AA60" s="64" t="n">
        <v>0.56264066</v>
      </c>
      <c r="AB60" s="64" t="n">
        <v>0.7823605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39.331584</v>
      </c>
      <c r="G61" s="192" t="n">
        <v>43.395305</v>
      </c>
      <c r="H61" s="192" t="n">
        <v>0.99347155</v>
      </c>
      <c r="I61" s="64" t="n">
        <v>0.99553383</v>
      </c>
      <c r="J61" s="64" t="n">
        <v>0.013033723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5.251799</v>
      </c>
      <c r="Y61" s="192" t="n">
        <v>9.801233</v>
      </c>
      <c r="Z61" s="192" t="n">
        <v>0.72606727</v>
      </c>
      <c r="AA61" s="64" t="n">
        <v>0.5553231199999999</v>
      </c>
      <c r="AB61" s="64" t="n">
        <v>0.7798339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30.192778</v>
      </c>
      <c r="G63" s="99" t="n">
        <v>33.849732</v>
      </c>
      <c r="H63" s="99" t="n">
        <v>0.96250073</v>
      </c>
      <c r="I63" s="62" t="n">
        <v>0.97161415</v>
      </c>
      <c r="J63" s="62" t="n">
        <v>0.06331752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5.273895</v>
      </c>
      <c r="Y63" s="99" t="n">
        <v>9.771032999999999</v>
      </c>
      <c r="Z63" s="99" t="n">
        <v>0.71438559</v>
      </c>
      <c r="AA63" s="62" t="n">
        <v>0.5503415699999999</v>
      </c>
      <c r="AB63" s="62" t="n">
        <v>0.7869097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33.27522</v>
      </c>
      <c r="G64" s="192" t="n">
        <v>36.688637</v>
      </c>
      <c r="H64" s="192" t="n">
        <v>0.97791008</v>
      </c>
      <c r="I64" s="64" t="n">
        <v>0.98319963</v>
      </c>
      <c r="J64" s="64" t="n">
        <v>0.040474117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5.299334</v>
      </c>
      <c r="Y64" s="192" t="n">
        <v>9.780752</v>
      </c>
      <c r="Z64" s="192" t="n">
        <v>0.71082609</v>
      </c>
      <c r="AA64" s="64" t="n">
        <v>0.54912596</v>
      </c>
      <c r="AB64" s="64" t="n">
        <v>0.7918204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36.537549</v>
      </c>
      <c r="G65" s="192" t="n">
        <v>40.389308</v>
      </c>
      <c r="H65" s="192" t="n">
        <v>0.98837861</v>
      </c>
      <c r="I65" s="64" t="n">
        <v>0.99179442</v>
      </c>
      <c r="J65" s="64" t="n">
        <v>0.026841093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5.205628</v>
      </c>
      <c r="Y65" s="192" t="n">
        <v>9.743573</v>
      </c>
      <c r="Z65" s="192" t="n">
        <v>0.72088916</v>
      </c>
      <c r="AA65" s="64" t="n">
        <v>0.55109646</v>
      </c>
      <c r="AB65" s="64" t="n">
        <v>0.79405123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40.025814</v>
      </c>
      <c r="G66" s="192" t="n">
        <v>43.876637</v>
      </c>
      <c r="H66" s="192" t="n">
        <v>0.9936050199999999</v>
      </c>
      <c r="I66" s="64" t="n">
        <v>0.9957475</v>
      </c>
      <c r="J66" s="64" t="n">
        <v>0.012267766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5.217213</v>
      </c>
      <c r="Y66" s="192" t="n">
        <v>9.750228</v>
      </c>
      <c r="Z66" s="192" t="n">
        <v>0.7190393899999999</v>
      </c>
      <c r="AA66" s="64" t="n">
        <v>0.54804808</v>
      </c>
      <c r="AB66" s="64" t="n">
        <v>0.7921243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28.75803</v>
      </c>
      <c r="G68" s="99" t="n">
        <v>32.175871</v>
      </c>
      <c r="H68" s="99" t="n">
        <v>0.9624652</v>
      </c>
      <c r="I68" s="62" t="n">
        <v>0.9685070099999999</v>
      </c>
      <c r="J68" s="62" t="n">
        <v>0.07027593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5.624759</v>
      </c>
      <c r="Y68" s="99" t="n">
        <v>10.071198</v>
      </c>
      <c r="Z68" s="99" t="n">
        <v>0.7558849600000001</v>
      </c>
      <c r="AA68" s="62" t="n">
        <v>0.5803881</v>
      </c>
      <c r="AB68" s="62" t="n">
        <v>0.8219992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31.99453</v>
      </c>
      <c r="G69" s="192" t="n">
        <v>35.559193</v>
      </c>
      <c r="H69" s="192" t="n">
        <v>0.97834413</v>
      </c>
      <c r="I69" s="64" t="n">
        <v>0.98252963</v>
      </c>
      <c r="J69" s="64" t="n">
        <v>0.047107913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5.602259</v>
      </c>
      <c r="Y69" s="192" t="n">
        <v>10.065257</v>
      </c>
      <c r="Z69" s="192" t="n">
        <v>0.75557055</v>
      </c>
      <c r="AA69" s="64" t="n">
        <v>0.58023877</v>
      </c>
      <c r="AB69" s="64" t="n">
        <v>0.8215116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34.84069</v>
      </c>
      <c r="G70" s="192" t="n">
        <v>39.056076</v>
      </c>
      <c r="H70" s="192" t="n">
        <v>0.98872781</v>
      </c>
      <c r="I70" s="64" t="n">
        <v>0.99181106</v>
      </c>
      <c r="J70" s="64" t="n">
        <v>0.029465063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5.569956</v>
      </c>
      <c r="Y70" s="192" t="n">
        <v>10.053447</v>
      </c>
      <c r="Z70" s="192" t="n">
        <v>0.7559541</v>
      </c>
      <c r="AA70" s="64" t="n">
        <v>0.5794461</v>
      </c>
      <c r="AB70" s="64" t="n">
        <v>0.8218522700000001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38.082653</v>
      </c>
      <c r="G71" s="192" t="n">
        <v>42.416034</v>
      </c>
      <c r="H71" s="192" t="n">
        <v>0.99370534</v>
      </c>
      <c r="I71" s="64" t="n">
        <v>0.9957941300000001</v>
      </c>
      <c r="J71" s="64" t="n">
        <v>0.014960887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5.573488</v>
      </c>
      <c r="Y71" s="192" t="n">
        <v>10.056407</v>
      </c>
      <c r="Z71" s="192" t="n">
        <v>0.75576663</v>
      </c>
      <c r="AA71" s="64" t="n">
        <v>0.57950946</v>
      </c>
      <c r="AB71" s="64" t="n">
        <v>0.8212097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29.721825</v>
      </c>
      <c r="G73" s="99" t="n">
        <v>33.441149</v>
      </c>
      <c r="H73" s="99" t="n">
        <v>0.96528582</v>
      </c>
      <c r="I73" s="62" t="n">
        <v>0.96971234</v>
      </c>
      <c r="J73" s="62" t="n">
        <v>0.061627384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5.485187</v>
      </c>
      <c r="Y73" s="99" t="n">
        <v>10.024466</v>
      </c>
      <c r="Z73" s="99" t="n">
        <v>0.75701686</v>
      </c>
      <c r="AA73" s="62" t="n">
        <v>0.58283573</v>
      </c>
      <c r="AB73" s="62" t="n">
        <v>0.8319653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32.559113</v>
      </c>
      <c r="G74" s="192" t="n">
        <v>36.275318</v>
      </c>
      <c r="H74" s="192" t="n">
        <v>0.9791375</v>
      </c>
      <c r="I74" s="64" t="n">
        <v>0.98275505</v>
      </c>
      <c r="J74" s="64" t="n">
        <v>0.04105156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5.454711</v>
      </c>
      <c r="Y74" s="192" t="n">
        <v>10.007495</v>
      </c>
      <c r="Z74" s="192" t="n">
        <v>0.75706359</v>
      </c>
      <c r="AA74" s="64" t="n">
        <v>0.5822953199999999</v>
      </c>
      <c r="AB74" s="64" t="n">
        <v>0.83182293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36.264294</v>
      </c>
      <c r="G75" s="192" t="n">
        <v>40.258662</v>
      </c>
      <c r="H75" s="192" t="n">
        <v>0.98887616</v>
      </c>
      <c r="I75" s="64" t="n">
        <v>0.99184555</v>
      </c>
      <c r="J75" s="64" t="n">
        <v>0.023844426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5.397184</v>
      </c>
      <c r="Y75" s="192" t="n">
        <v>9.991107</v>
      </c>
      <c r="Z75" s="192" t="n">
        <v>0.75751302</v>
      </c>
      <c r="AA75" s="64" t="n">
        <v>0.5812055699999999</v>
      </c>
      <c r="AB75" s="64" t="n">
        <v>0.83201915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38.274569</v>
      </c>
      <c r="G76" s="192" t="n">
        <v>42.696557</v>
      </c>
      <c r="H76" s="192" t="n">
        <v>0.99367722</v>
      </c>
      <c r="I76" s="64" t="n">
        <v>0.99576049</v>
      </c>
      <c r="J76" s="64" t="n">
        <v>0.01624351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5.396944</v>
      </c>
      <c r="Y76" s="192" t="n">
        <v>9.991439</v>
      </c>
      <c r="Z76" s="192" t="n">
        <v>0.75736466</v>
      </c>
      <c r="AA76" s="64" t="n">
        <v>0.58109965</v>
      </c>
      <c r="AB76" s="64" t="n">
        <v>0.8317255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29.816042</v>
      </c>
      <c r="G78" s="99" t="n">
        <v>33.506578</v>
      </c>
      <c r="H78" s="99" t="n">
        <v>0.96681387</v>
      </c>
      <c r="I78" s="62" t="n">
        <v>0.9713811999999999</v>
      </c>
      <c r="J78" s="62" t="n">
        <v>0.06432343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5.338335</v>
      </c>
      <c r="Y78" s="99" t="n">
        <v>9.940969000000001</v>
      </c>
      <c r="Z78" s="99" t="n">
        <v>0.76470047</v>
      </c>
      <c r="AA78" s="62" t="n">
        <v>0.5845449700000001</v>
      </c>
      <c r="AB78" s="62" t="n">
        <v>0.8240559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32.388849</v>
      </c>
      <c r="G79" s="192" t="n">
        <v>36.199632</v>
      </c>
      <c r="H79" s="192" t="n">
        <v>0.97959215</v>
      </c>
      <c r="I79" s="64" t="n">
        <v>0.98290674</v>
      </c>
      <c r="J79" s="64" t="n">
        <v>0.04277979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5.324217</v>
      </c>
      <c r="Y79" s="192" t="n">
        <v>9.927529</v>
      </c>
      <c r="Z79" s="192" t="n">
        <v>0.76496791</v>
      </c>
      <c r="AA79" s="64" t="n">
        <v>0.58466716</v>
      </c>
      <c r="AB79" s="64" t="n">
        <v>0.8258152600000001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35.93259</v>
      </c>
      <c r="G80" s="192" t="n">
        <v>40.137837</v>
      </c>
      <c r="H80" s="192" t="n">
        <v>0.98902134</v>
      </c>
      <c r="I80" s="64" t="n">
        <v>0.99188844</v>
      </c>
      <c r="J80" s="64" t="n">
        <v>0.027310178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5.264369</v>
      </c>
      <c r="Y80" s="192" t="n">
        <v>9.916957999999999</v>
      </c>
      <c r="Z80" s="192" t="n">
        <v>0.76569899</v>
      </c>
      <c r="AA80" s="64" t="n">
        <v>0.58307019</v>
      </c>
      <c r="AB80" s="64" t="n">
        <v>0.82632154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38.68572</v>
      </c>
      <c r="G81" s="192" t="n">
        <v>43.108693</v>
      </c>
      <c r="H81" s="192" t="n">
        <v>0.9937194</v>
      </c>
      <c r="I81" s="64" t="n">
        <v>0.9958113</v>
      </c>
      <c r="J81" s="64" t="n">
        <v>0.01559665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5.267107</v>
      </c>
      <c r="Y81" s="192" t="n">
        <v>9.918139</v>
      </c>
      <c r="Z81" s="192" t="n">
        <v>0.76533627</v>
      </c>
      <c r="AA81" s="64" t="n">
        <v>0.58314877</v>
      </c>
      <c r="AB81" s="64" t="n">
        <v>0.82542497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30.504632</v>
      </c>
      <c r="G83" s="99" t="n">
        <v>33.855039</v>
      </c>
      <c r="H83" s="99" t="n">
        <v>0.96774022</v>
      </c>
      <c r="I83" s="62" t="n">
        <v>0.97337149</v>
      </c>
      <c r="J83" s="62" t="n">
        <v>0.059574284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5.145846</v>
      </c>
      <c r="Y83" s="99" t="n">
        <v>9.791858</v>
      </c>
      <c r="Z83" s="99" t="n">
        <v>0.77073952</v>
      </c>
      <c r="AA83" s="62" t="n">
        <v>0.57608782</v>
      </c>
      <c r="AB83" s="62" t="n">
        <v>0.8217148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33.225603</v>
      </c>
      <c r="G84" s="192" t="n">
        <v>36.723313</v>
      </c>
      <c r="H84" s="192" t="n">
        <v>0.98014717</v>
      </c>
      <c r="I84" s="64" t="n">
        <v>0.98407553</v>
      </c>
      <c r="J84" s="64" t="n">
        <v>0.039376434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5.152615</v>
      </c>
      <c r="Y84" s="192" t="n">
        <v>9.789804999999999</v>
      </c>
      <c r="Z84" s="192" t="n">
        <v>0.77173603</v>
      </c>
      <c r="AA84" s="64" t="n">
        <v>0.57683542</v>
      </c>
      <c r="AB84" s="64" t="n">
        <v>0.8234021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36.298964</v>
      </c>
      <c r="G85" s="192" t="n">
        <v>40.418305</v>
      </c>
      <c r="H85" s="192" t="n">
        <v>0.9888728</v>
      </c>
      <c r="I85" s="64" t="n">
        <v>0.9921947800000001</v>
      </c>
      <c r="J85" s="64" t="n">
        <v>0.025791585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5.083152</v>
      </c>
      <c r="Y85" s="192" t="n">
        <v>9.776685000000001</v>
      </c>
      <c r="Z85" s="192" t="n">
        <v>0.77089842</v>
      </c>
      <c r="AA85" s="64" t="n">
        <v>0.57508232</v>
      </c>
      <c r="AB85" s="64" t="n">
        <v>0.8207248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39.179334</v>
      </c>
      <c r="G86" s="192" t="n">
        <v>43.472153</v>
      </c>
      <c r="H86" s="192" t="n">
        <v>0.9935655799999999</v>
      </c>
      <c r="I86" s="64" t="n">
        <v>0.99577069</v>
      </c>
      <c r="J86" s="64" t="n">
        <v>0.013926926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5.088831</v>
      </c>
      <c r="Y86" s="192" t="n">
        <v>9.779458999999999</v>
      </c>
      <c r="Z86" s="192" t="n">
        <v>0.77190589</v>
      </c>
      <c r="AA86" s="64" t="n">
        <v>0.57517491</v>
      </c>
      <c r="AB86" s="64" t="n">
        <v>0.82305366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30.506453</v>
      </c>
      <c r="G88" s="99" t="n">
        <v>34.065699</v>
      </c>
      <c r="H88" s="99" t="n">
        <v>0.96813229</v>
      </c>
      <c r="I88" s="62" t="n">
        <v>0.9734774</v>
      </c>
      <c r="J88" s="62" t="n">
        <v>0.057891037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5.173997</v>
      </c>
      <c r="Y88" s="99" t="n">
        <v>9.814074</v>
      </c>
      <c r="Z88" s="99" t="n">
        <v>0.76240485</v>
      </c>
      <c r="AA88" s="62" t="n">
        <v>0.57208065</v>
      </c>
      <c r="AB88" s="62" t="n">
        <v>0.79313964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33.477825</v>
      </c>
      <c r="G89" s="192" t="n">
        <v>36.947404</v>
      </c>
      <c r="H89" s="192" t="n">
        <v>0.9806211</v>
      </c>
      <c r="I89" s="64" t="n">
        <v>0.98461038</v>
      </c>
      <c r="J89" s="64" t="n">
        <v>0.037740704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5.191264</v>
      </c>
      <c r="Y89" s="192" t="n">
        <v>9.817990999999999</v>
      </c>
      <c r="Z89" s="192" t="n">
        <v>0.75697576</v>
      </c>
      <c r="AA89" s="64" t="n">
        <v>0.56898348</v>
      </c>
      <c r="AB89" s="64" t="n">
        <v>0.7946134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36.749054</v>
      </c>
      <c r="G90" s="192" t="n">
        <v>40.726501</v>
      </c>
      <c r="H90" s="192" t="n">
        <v>0.98907822</v>
      </c>
      <c r="I90" s="64" t="n">
        <v>0.99218975</v>
      </c>
      <c r="J90" s="64" t="n">
        <v>0.023785336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5.119378</v>
      </c>
      <c r="Y90" s="192" t="n">
        <v>9.805121</v>
      </c>
      <c r="Z90" s="192" t="n">
        <v>0.7639825</v>
      </c>
      <c r="AA90" s="64" t="n">
        <v>0.57265392</v>
      </c>
      <c r="AB90" s="64" t="n">
        <v>0.7949228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39.673329</v>
      </c>
      <c r="G91" s="192" t="n">
        <v>43.851545</v>
      </c>
      <c r="H91" s="192" t="n">
        <v>0.9937733399999999</v>
      </c>
      <c r="I91" s="64" t="n">
        <v>0.99585748</v>
      </c>
      <c r="J91" s="64" t="n">
        <v>0.012670857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5.131762</v>
      </c>
      <c r="Y91" s="192" t="n">
        <v>9.811544</v>
      </c>
      <c r="Z91" s="192" t="n">
        <v>0.76689364</v>
      </c>
      <c r="AA91" s="64" t="n">
        <v>0.5717054499999999</v>
      </c>
      <c r="AB91" s="64" t="n">
        <v>0.7985128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30.692251</v>
      </c>
      <c r="G93" s="99" t="n">
        <v>34.376691</v>
      </c>
      <c r="H93" s="99" t="n">
        <v>0.96842533</v>
      </c>
      <c r="I93" s="62" t="n">
        <v>0.9744452300000001</v>
      </c>
      <c r="J93" s="62" t="n">
        <v>0.059075087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5.196199</v>
      </c>
      <c r="Y93" s="99" t="n">
        <v>9.799628999999999</v>
      </c>
      <c r="Z93" s="99" t="n">
        <v>0.72736201</v>
      </c>
      <c r="AA93" s="62" t="n">
        <v>0.54624135</v>
      </c>
      <c r="AB93" s="62" t="n">
        <v>0.78074753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33.522763</v>
      </c>
      <c r="G94" s="192" t="n">
        <v>37.16864</v>
      </c>
      <c r="H94" s="192" t="n">
        <v>0.98070609</v>
      </c>
      <c r="I94" s="64" t="n">
        <v>0.98510531</v>
      </c>
      <c r="J94" s="64" t="n">
        <v>0.038282968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5.218396</v>
      </c>
      <c r="Y94" s="192" t="n">
        <v>9.814638</v>
      </c>
      <c r="Z94" s="192" t="n">
        <v>0.73270983</v>
      </c>
      <c r="AA94" s="64" t="n">
        <v>0.54872407</v>
      </c>
      <c r="AB94" s="64" t="n">
        <v>0.77794814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36.743402</v>
      </c>
      <c r="G95" s="192" t="n">
        <v>40.670453</v>
      </c>
      <c r="H95" s="192" t="n">
        <v>0.98922787</v>
      </c>
      <c r="I95" s="64" t="n">
        <v>0.99235999</v>
      </c>
      <c r="J95" s="64" t="n">
        <v>0.024386209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5.156776</v>
      </c>
      <c r="Y95" s="192" t="n">
        <v>9.802657999999999</v>
      </c>
      <c r="Z95" s="192" t="n">
        <v>0.73670007</v>
      </c>
      <c r="AA95" s="64" t="n">
        <v>0.54494715</v>
      </c>
      <c r="AB95" s="64" t="n">
        <v>0.77502894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39.985708</v>
      </c>
      <c r="G96" s="192" t="n">
        <v>44.116195</v>
      </c>
      <c r="H96" s="192" t="n">
        <v>0.9938777</v>
      </c>
      <c r="I96" s="64" t="n">
        <v>0.9959366200000001</v>
      </c>
      <c r="J96" s="64" t="n">
        <v>0.012287433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5.176655</v>
      </c>
      <c r="Y96" s="192" t="n">
        <v>9.810183</v>
      </c>
      <c r="Z96" s="192" t="n">
        <v>0.73009127</v>
      </c>
      <c r="AA96" s="64" t="n">
        <v>0.54609664</v>
      </c>
      <c r="AB96" s="64" t="n">
        <v>0.7823479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31.200097</v>
      </c>
      <c r="G98" s="99" t="n">
        <v>35.032725</v>
      </c>
      <c r="H98" s="99" t="n">
        <v>0.967688</v>
      </c>
      <c r="I98" s="62" t="n">
        <v>0.97495797</v>
      </c>
      <c r="J98" s="62" t="n">
        <v>0.05638561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5.185621</v>
      </c>
      <c r="Y98" s="99" t="n">
        <v>9.733765</v>
      </c>
      <c r="Z98" s="99" t="n">
        <v>0.71006408</v>
      </c>
      <c r="AA98" s="62" t="n">
        <v>0.53277945</v>
      </c>
      <c r="AB98" s="62" t="n">
        <v>0.7891963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34.22673</v>
      </c>
      <c r="G99" s="192" t="n">
        <v>37.816426</v>
      </c>
      <c r="H99" s="192" t="n">
        <v>0.98047395</v>
      </c>
      <c r="I99" s="64" t="n">
        <v>0.98535511</v>
      </c>
      <c r="J99" s="64" t="n">
        <v>0.035571985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5.184935</v>
      </c>
      <c r="Y99" s="192" t="n">
        <v>9.735071</v>
      </c>
      <c r="Z99" s="192" t="n">
        <v>0.7184173</v>
      </c>
      <c r="AA99" s="64" t="n">
        <v>0.53774302</v>
      </c>
      <c r="AB99" s="64" t="n">
        <v>0.7918204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37.317254</v>
      </c>
      <c r="G100" s="192" t="n">
        <v>41.04248</v>
      </c>
      <c r="H100" s="192" t="n">
        <v>0.9893003</v>
      </c>
      <c r="I100" s="64" t="n">
        <v>0.99247539</v>
      </c>
      <c r="J100" s="64" t="n">
        <v>0.02281925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5.104771</v>
      </c>
      <c r="Y100" s="192" t="n">
        <v>9.693683999999999</v>
      </c>
      <c r="Z100" s="192" t="n">
        <v>0.69632409</v>
      </c>
      <c r="AA100" s="64" t="n">
        <v>0.52248331</v>
      </c>
      <c r="AB100" s="64" t="n">
        <v>0.792104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40.763637</v>
      </c>
      <c r="G101" s="192" t="n">
        <v>44.629862</v>
      </c>
      <c r="H101" s="192" t="n">
        <v>0.99400851</v>
      </c>
      <c r="I101" s="64" t="n">
        <v>0.99606445</v>
      </c>
      <c r="J101" s="64" t="n">
        <v>0.011500524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5.096248</v>
      </c>
      <c r="Y101" s="192" t="n">
        <v>9.679473</v>
      </c>
      <c r="Z101" s="192" t="n">
        <v>0.69101426</v>
      </c>
      <c r="AA101" s="64" t="n">
        <v>0.5199589100000001</v>
      </c>
      <c r="AB101" s="64" t="n">
        <v>0.7948272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30.891674</v>
      </c>
      <c r="G103" s="99" t="n">
        <v>34.286846</v>
      </c>
      <c r="H103" s="99" t="n">
        <v>0.96876554</v>
      </c>
      <c r="I103" s="62" t="n">
        <v>0.9771779900000001</v>
      </c>
      <c r="J103" s="62" t="n">
        <v>0.07160109000000001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7.47492</v>
      </c>
      <c r="Y103" s="99" t="n">
        <v>11.820349</v>
      </c>
      <c r="Z103" s="99" t="n">
        <v>0.77964418</v>
      </c>
      <c r="AA103" s="62" t="n">
        <v>0.6423704099999999</v>
      </c>
      <c r="AB103" s="62" t="n">
        <v>0.89115286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33.513888</v>
      </c>
      <c r="G104" s="192" t="n">
        <v>36.932179</v>
      </c>
      <c r="H104" s="192" t="n">
        <v>0.98103441</v>
      </c>
      <c r="I104" s="64" t="n">
        <v>0.98645524</v>
      </c>
      <c r="J104" s="64" t="n">
        <v>0.048445635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7.627043</v>
      </c>
      <c r="Y104" s="192" t="n">
        <v>11.992346</v>
      </c>
      <c r="Z104" s="192" t="n">
        <v>0.77972178</v>
      </c>
      <c r="AA104" s="64" t="n">
        <v>0.64493025</v>
      </c>
      <c r="AB104" s="64" t="n">
        <v>0.8996482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36.028989</v>
      </c>
      <c r="G105" s="192" t="n">
        <v>40.189062</v>
      </c>
      <c r="H105" s="192" t="n">
        <v>0.98975291</v>
      </c>
      <c r="I105" s="64" t="n">
        <v>0.99311974</v>
      </c>
      <c r="J105" s="64" t="n">
        <v>0.031016476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7.646243</v>
      </c>
      <c r="Y105" s="192" t="n">
        <v>12.015212</v>
      </c>
      <c r="Z105" s="192" t="n">
        <v>0.78004209</v>
      </c>
      <c r="AA105" s="64" t="n">
        <v>0.64511447</v>
      </c>
      <c r="AB105" s="64" t="n">
        <v>0.90175176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39.088518</v>
      </c>
      <c r="G106" s="192" t="n">
        <v>43.43187</v>
      </c>
      <c r="H106" s="192" t="n">
        <v>0.99384706</v>
      </c>
      <c r="I106" s="64" t="n">
        <v>0.99622751</v>
      </c>
      <c r="J106" s="64" t="n">
        <v>0.016748056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7.674218</v>
      </c>
      <c r="Y106" s="192" t="n">
        <v>12.048201</v>
      </c>
      <c r="Z106" s="192" t="n">
        <v>0.77893085</v>
      </c>
      <c r="AA106" s="64" t="n">
        <v>0.64527762</v>
      </c>
      <c r="AB106" s="64" t="n">
        <v>0.902793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>
        <v>31.290186</v>
      </c>
      <c r="G108" s="99" t="n">
        <v>34.809119</v>
      </c>
      <c r="H108" s="99" t="n">
        <v>0.97069452</v>
      </c>
      <c r="I108" s="62" t="n">
        <v>0.9782809</v>
      </c>
      <c r="J108" s="62" t="n">
        <v>0.06294278</v>
      </c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>
        <v>5.964783</v>
      </c>
      <c r="Y108" s="99" t="n">
        <v>10.133692</v>
      </c>
      <c r="Z108" s="99" t="n">
        <v>0.78083498</v>
      </c>
      <c r="AA108" s="62" t="n">
        <v>0.60523573</v>
      </c>
      <c r="AB108" s="62" t="n">
        <v>0.8312519</v>
      </c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>
        <v>33.972735</v>
      </c>
      <c r="G109" s="192" t="n">
        <v>37.300523</v>
      </c>
      <c r="H109" s="192" t="n">
        <v>0.9815366599999999</v>
      </c>
      <c r="I109" s="64" t="n">
        <v>0.9866672399999999</v>
      </c>
      <c r="J109" s="64" t="n">
        <v>0.04330901</v>
      </c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>
        <v>5.962142</v>
      </c>
      <c r="Y109" s="192" t="n">
        <v>10.132243</v>
      </c>
      <c r="Z109" s="192" t="n">
        <v>0.78340457</v>
      </c>
      <c r="AA109" s="64" t="n">
        <v>0.60663352</v>
      </c>
      <c r="AB109" s="64" t="n">
        <v>0.8351551</v>
      </c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>
        <v>37.349426</v>
      </c>
      <c r="G110" s="192" t="n">
        <v>41.120111</v>
      </c>
      <c r="H110" s="192" t="n">
        <v>0.9896868599999999</v>
      </c>
      <c r="I110" s="64" t="n">
        <v>0.99314919</v>
      </c>
      <c r="J110" s="64" t="n">
        <v>0.02641162</v>
      </c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>
        <v>5.924555</v>
      </c>
      <c r="Y110" s="192" t="n">
        <v>10.108273</v>
      </c>
      <c r="Z110" s="192" t="n">
        <v>0.78428771</v>
      </c>
      <c r="AA110" s="64" t="n">
        <v>0.60609558</v>
      </c>
      <c r="AB110" s="64" t="n">
        <v>0.83531487</v>
      </c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>
        <v>39.20399</v>
      </c>
      <c r="G111" s="192" t="n">
        <v>43.63984</v>
      </c>
      <c r="H111" s="192" t="n">
        <v>0.99384305</v>
      </c>
      <c r="I111" s="64" t="n">
        <v>0.99611203</v>
      </c>
      <c r="J111" s="64" t="n">
        <v>0.018621081</v>
      </c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>
        <v>5.923331</v>
      </c>
      <c r="Y111" s="192" t="n">
        <v>10.107578</v>
      </c>
      <c r="Z111" s="192" t="n">
        <v>0.78272032</v>
      </c>
      <c r="AA111" s="64" t="n">
        <v>0.60606168</v>
      </c>
      <c r="AB111" s="64" t="n">
        <v>0.8330235</v>
      </c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>
        <v>31.307379</v>
      </c>
      <c r="G113" s="99" t="n">
        <v>34.876389</v>
      </c>
      <c r="H113" s="99" t="n">
        <v>0.97152119</v>
      </c>
      <c r="I113" s="62" t="n">
        <v>0.97890671</v>
      </c>
      <c r="J113" s="62" t="n">
        <v>0.06566207</v>
      </c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>
        <v>5.711958</v>
      </c>
      <c r="Y113" s="99" t="n">
        <v>9.980181</v>
      </c>
      <c r="Z113" s="99" t="n">
        <v>0.78090159</v>
      </c>
      <c r="AA113" s="62" t="n">
        <v>0.6017131999999999</v>
      </c>
      <c r="AB113" s="62" t="n">
        <v>0.8138796700000001</v>
      </c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>
        <v>33.510789</v>
      </c>
      <c r="G114" s="192" t="n">
        <v>37.230672</v>
      </c>
      <c r="H114" s="192" t="n">
        <v>0.98188276</v>
      </c>
      <c r="I114" s="64" t="n">
        <v>0.98655721</v>
      </c>
      <c r="J114" s="64" t="n">
        <v>0.04663388</v>
      </c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>
        <v>5.723264</v>
      </c>
      <c r="Y114" s="192" t="n">
        <v>9.985893000000001</v>
      </c>
      <c r="Z114" s="192" t="n">
        <v>0.78402337</v>
      </c>
      <c r="AA114" s="64" t="n">
        <v>0.60294693</v>
      </c>
      <c r="AB114" s="64" t="n">
        <v>0.81696576</v>
      </c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>
        <v>36.542417</v>
      </c>
      <c r="G115" s="192" t="n">
        <v>40.676073</v>
      </c>
      <c r="H115" s="192" t="n">
        <v>0.9896367</v>
      </c>
      <c r="I115" s="64" t="n">
        <v>0.99317382</v>
      </c>
      <c r="J115" s="64" t="n">
        <v>0.03080979</v>
      </c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>
        <v>5.67257</v>
      </c>
      <c r="Y115" s="192" t="n">
        <v>9.954665</v>
      </c>
      <c r="Z115" s="192" t="n">
        <v>0.78376052</v>
      </c>
      <c r="AA115" s="64" t="n">
        <v>0.6022320799999999</v>
      </c>
      <c r="AB115" s="64" t="n">
        <v>0.81804407</v>
      </c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>
        <v>39.554365</v>
      </c>
      <c r="G116" s="192" t="n">
        <v>43.849492</v>
      </c>
      <c r="H116" s="192" t="n">
        <v>0.99387789</v>
      </c>
      <c r="I116" s="64" t="n">
        <v>0.99627236</v>
      </c>
      <c r="J116" s="64" t="n">
        <v>0.016568936</v>
      </c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>
        <v>5.672578</v>
      </c>
      <c r="Y116" s="192" t="n">
        <v>9.955086</v>
      </c>
      <c r="Z116" s="192" t="n">
        <v>0.78214597</v>
      </c>
      <c r="AA116" s="64" t="n">
        <v>0.60212498</v>
      </c>
      <c r="AB116" s="64" t="n">
        <v>0.81370854</v>
      </c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>
        <v>31.977093</v>
      </c>
      <c r="G118" s="99" t="n">
        <v>35.379707</v>
      </c>
      <c r="H118" s="99" t="n">
        <v>0.9723098100000001</v>
      </c>
      <c r="I118" s="62" t="n">
        <v>0.97998803</v>
      </c>
      <c r="J118" s="62" t="n">
        <v>0.058553763</v>
      </c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>
        <v>5.353114</v>
      </c>
      <c r="Y118" s="99" t="n">
        <v>9.726756</v>
      </c>
      <c r="Z118" s="99" t="n">
        <v>0.78088462</v>
      </c>
      <c r="AA118" s="62" t="n">
        <v>0.58389661</v>
      </c>
      <c r="AB118" s="62" t="n">
        <v>0.8042363</v>
      </c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>
        <v>34.003113</v>
      </c>
      <c r="G119" s="192" t="n">
        <v>37.584053</v>
      </c>
      <c r="H119" s="192" t="n">
        <v>0.98210791</v>
      </c>
      <c r="I119" s="64" t="n">
        <v>0.98699572</v>
      </c>
      <c r="J119" s="64" t="n">
        <v>0.04135274</v>
      </c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>
        <v>5.368951</v>
      </c>
      <c r="Y119" s="192" t="n">
        <v>9.733741999999999</v>
      </c>
      <c r="Z119" s="192" t="n">
        <v>0.7683861</v>
      </c>
      <c r="AA119" s="64" t="n">
        <v>0.57685635</v>
      </c>
      <c r="AB119" s="64" t="n">
        <v>0.8076454</v>
      </c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>
        <v>36.893611</v>
      </c>
      <c r="G120" s="192" t="n">
        <v>40.868147</v>
      </c>
      <c r="H120" s="192" t="n">
        <v>0.9894815</v>
      </c>
      <c r="I120" s="64" t="n">
        <v>0.99334912</v>
      </c>
      <c r="J120" s="64" t="n">
        <v>0.02718684</v>
      </c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>
        <v>5.336033</v>
      </c>
      <c r="Y120" s="192" t="n">
        <v>9.710489000000001</v>
      </c>
      <c r="Z120" s="192" t="n">
        <v>0.77116226</v>
      </c>
      <c r="AA120" s="64" t="n">
        <v>0.57598111</v>
      </c>
      <c r="AB120" s="64" t="n">
        <v>0.80435586</v>
      </c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>
        <v>40.228369</v>
      </c>
      <c r="G121" s="192" t="n">
        <v>44.318053</v>
      </c>
      <c r="H121" s="192" t="n">
        <v>0.9937614299999999</v>
      </c>
      <c r="I121" s="64" t="n">
        <v>0.99625306</v>
      </c>
      <c r="J121" s="64" t="n">
        <v>0.014041791</v>
      </c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>
        <v>5.333136</v>
      </c>
      <c r="Y121" s="192" t="n">
        <v>9.710089</v>
      </c>
      <c r="Z121" s="192" t="n">
        <v>0.78021129</v>
      </c>
      <c r="AA121" s="64" t="n">
        <v>0.58453743</v>
      </c>
      <c r="AB121" s="64" t="n">
        <v>0.81226563</v>
      </c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>
        <v>32.061479</v>
      </c>
      <c r="G123" s="99" t="n">
        <v>35.686696</v>
      </c>
      <c r="H123" s="99" t="n">
        <v>0.97253481</v>
      </c>
      <c r="I123" s="62" t="n">
        <v>0.9796861</v>
      </c>
      <c r="J123" s="62" t="n">
        <v>0.057089634</v>
      </c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>
        <v>5.258361</v>
      </c>
      <c r="Y123" s="99" t="n">
        <v>9.645720000000001</v>
      </c>
      <c r="Z123" s="99" t="n">
        <v>0.74996895</v>
      </c>
      <c r="AA123" s="62" t="n">
        <v>0.56110151</v>
      </c>
      <c r="AB123" s="62" t="n">
        <v>0.79328054</v>
      </c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>
        <v>34.271987</v>
      </c>
      <c r="G124" s="192" t="n">
        <v>37.723033</v>
      </c>
      <c r="H124" s="192" t="n">
        <v>0.9822610000000001</v>
      </c>
      <c r="I124" s="64" t="n">
        <v>0.98712575</v>
      </c>
      <c r="J124" s="64" t="n">
        <v>0.040143423</v>
      </c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>
        <v>5.312815</v>
      </c>
      <c r="Y124" s="192" t="n">
        <v>9.679871</v>
      </c>
      <c r="Z124" s="192" t="n">
        <v>0.74480665</v>
      </c>
      <c r="AA124" s="64" t="n">
        <v>0.55353741</v>
      </c>
      <c r="AB124" s="64" t="n">
        <v>0.7915525</v>
      </c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>
        <v>37.606947</v>
      </c>
      <c r="G125" s="192" t="n">
        <v>41.30664</v>
      </c>
      <c r="H125" s="192" t="n">
        <v>0.98966821</v>
      </c>
      <c r="I125" s="64" t="n">
        <v>0.99336618</v>
      </c>
      <c r="J125" s="64" t="n">
        <v>0.024599116</v>
      </c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>
        <v>5.257767</v>
      </c>
      <c r="Y125" s="192" t="n">
        <v>9.639885</v>
      </c>
      <c r="Z125" s="192" t="n">
        <v>0.73220056</v>
      </c>
      <c r="AA125" s="64" t="n">
        <v>0.5503387</v>
      </c>
      <c r="AB125" s="64" t="n">
        <v>0.7884108</v>
      </c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>
        <v>41.030497</v>
      </c>
      <c r="G126" s="192" t="n">
        <v>44.857125</v>
      </c>
      <c r="H126" s="192" t="n">
        <v>0.99390121</v>
      </c>
      <c r="I126" s="64" t="n">
        <v>0.99640275</v>
      </c>
      <c r="J126" s="64" t="n">
        <v>0.01287598</v>
      </c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>
        <v>5.273372</v>
      </c>
      <c r="Y126" s="192" t="n">
        <v>9.650499999999999</v>
      </c>
      <c r="Z126" s="192" t="n">
        <v>0.74498032</v>
      </c>
      <c r="AA126" s="64" t="n">
        <v>0.55653803</v>
      </c>
      <c r="AB126" s="64" t="n">
        <v>0.79430974</v>
      </c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>
        <v>32.031561</v>
      </c>
      <c r="G128" s="99" t="n">
        <v>35.852595</v>
      </c>
      <c r="H128" s="99" t="n">
        <v>0.97304522</v>
      </c>
      <c r="I128" s="62" t="n">
        <v>0.97958461</v>
      </c>
      <c r="J128" s="62" t="n">
        <v>0.057230093</v>
      </c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>
        <v>5.181374</v>
      </c>
      <c r="Y128" s="99" t="n">
        <v>9.575422</v>
      </c>
      <c r="Z128" s="99" t="n">
        <v>0.72212105</v>
      </c>
      <c r="AA128" s="62" t="n">
        <v>0.53486313</v>
      </c>
      <c r="AB128" s="62" t="n">
        <v>0.78455913</v>
      </c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>
        <v>34.099704</v>
      </c>
      <c r="G129" s="192" t="n">
        <v>37.834557</v>
      </c>
      <c r="H129" s="192" t="n">
        <v>0.98252967</v>
      </c>
      <c r="I129" s="64" t="n">
        <v>0.98692392</v>
      </c>
      <c r="J129" s="64" t="n">
        <v>0.039563358</v>
      </c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>
        <v>5.183432</v>
      </c>
      <c r="Y129" s="192" t="n">
        <v>9.58405</v>
      </c>
      <c r="Z129" s="192" t="n">
        <v>0.74366744</v>
      </c>
      <c r="AA129" s="64" t="n">
        <v>0.54957174</v>
      </c>
      <c r="AB129" s="64" t="n">
        <v>0.7749336</v>
      </c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>
        <v>37.463018</v>
      </c>
      <c r="G130" s="192" t="n">
        <v>41.130343</v>
      </c>
      <c r="H130" s="192" t="n">
        <v>0.98992319</v>
      </c>
      <c r="I130" s="64" t="n">
        <v>0.99325134</v>
      </c>
      <c r="J130" s="64" t="n">
        <v>0.023462707</v>
      </c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>
        <v>5.112742</v>
      </c>
      <c r="Y130" s="192" t="n">
        <v>9.537561999999999</v>
      </c>
      <c r="Z130" s="192" t="n">
        <v>0.75298632</v>
      </c>
      <c r="AA130" s="64" t="n">
        <v>0.5556403</v>
      </c>
      <c r="AB130" s="64" t="n">
        <v>0.7730487</v>
      </c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>
        <v>41.309368</v>
      </c>
      <c r="G131" s="192" t="n">
        <v>44.999827</v>
      </c>
      <c r="H131" s="192" t="n">
        <v>0.99404752</v>
      </c>
      <c r="I131" s="64" t="n">
        <v>0.99638675</v>
      </c>
      <c r="J131" s="64" t="n">
        <v>0.011929257</v>
      </c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>
        <v>5.074077</v>
      </c>
      <c r="Y131" s="192" t="n">
        <v>9.504325</v>
      </c>
      <c r="Z131" s="192" t="n">
        <v>0.72599832</v>
      </c>
      <c r="AA131" s="64" t="n">
        <v>0.54186896</v>
      </c>
      <c r="AB131" s="64" t="n">
        <v>0.7735846</v>
      </c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>
        <v>32.124817</v>
      </c>
      <c r="G133" s="99" t="n">
        <v>36.156073</v>
      </c>
      <c r="H133" s="99" t="n">
        <v>0.97189701</v>
      </c>
      <c r="I133" s="62" t="n">
        <v>0.97903805</v>
      </c>
      <c r="J133" s="62" t="n">
        <v>0.05813057</v>
      </c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>
        <v>5.012181</v>
      </c>
      <c r="Y133" s="99" t="n">
        <v>9.429043999999999</v>
      </c>
      <c r="Z133" s="99" t="n">
        <v>0.7152872</v>
      </c>
      <c r="AA133" s="62" t="n">
        <v>0.5253847</v>
      </c>
      <c r="AB133" s="62" t="n">
        <v>0.76820123</v>
      </c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>
        <v>34.436042</v>
      </c>
      <c r="G134" s="192" t="n">
        <v>38.241612</v>
      </c>
      <c r="H134" s="192" t="n">
        <v>0.98232428</v>
      </c>
      <c r="I134" s="64" t="n">
        <v>0.98678677</v>
      </c>
      <c r="J134" s="64" t="n">
        <v>0.038389117</v>
      </c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>
        <v>5.094276</v>
      </c>
      <c r="Y134" s="192" t="n">
        <v>9.492323000000001</v>
      </c>
      <c r="Z134" s="192" t="n">
        <v>0.72995814</v>
      </c>
      <c r="AA134" s="64" t="n">
        <v>0.5347756</v>
      </c>
      <c r="AB134" s="64" t="n">
        <v>0.77592397</v>
      </c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>
        <v>37.784048</v>
      </c>
      <c r="G135" s="192" t="n">
        <v>41.300036</v>
      </c>
      <c r="H135" s="192" t="n">
        <v>0.9901093399999999</v>
      </c>
      <c r="I135" s="64" t="n">
        <v>0.99335648</v>
      </c>
      <c r="J135" s="64" t="n">
        <v>0.023009079</v>
      </c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>
        <v>4.979289</v>
      </c>
      <c r="Y135" s="192" t="n">
        <v>9.413263000000001</v>
      </c>
      <c r="Z135" s="192" t="n">
        <v>0.72102455</v>
      </c>
      <c r="AA135" s="64" t="n">
        <v>0.53031491</v>
      </c>
      <c r="AB135" s="64" t="n">
        <v>0.7740028</v>
      </c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>
        <v>41.704402</v>
      </c>
      <c r="G136" s="192" t="n">
        <v>45.191845</v>
      </c>
      <c r="H136" s="192" t="n">
        <v>0.99412425</v>
      </c>
      <c r="I136" s="64" t="n">
        <v>0.99640761</v>
      </c>
      <c r="J136" s="64" t="n">
        <v>0.011939058</v>
      </c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>
        <v>4.864128</v>
      </c>
      <c r="Y136" s="192" t="n">
        <v>9.336733000000001</v>
      </c>
      <c r="Z136" s="192" t="n">
        <v>0.7347287</v>
      </c>
      <c r="AA136" s="64" t="n">
        <v>0.53473276</v>
      </c>
      <c r="AB136" s="64" t="n">
        <v>0.7771466</v>
      </c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xl/worksheets/sheet10.xml><?xml version="1.0" encoding="utf-8"?>
<worksheet xmlns="http://schemas.openxmlformats.org/spreadsheetml/2006/main">
  <sheetPr codeName="Sheet46">
    <outlinePr summaryBelow="1" summaryRight="1"/>
    <pageSetUpPr/>
  </sheetPr>
  <dimension ref="A1:BF689"/>
  <sheetViews>
    <sheetView workbookViewId="0">
      <selection activeCell="W5" sqref="W5:W8"/>
    </sheetView>
  </sheetViews>
  <sheetFormatPr baseColWidth="8" defaultColWidth="9" defaultRowHeight="12" outlineLevelCol="0"/>
  <cols>
    <col width="2.3984375" bestFit="1" customWidth="1" style="290" min="1" max="1"/>
    <col width="9.8984375" customWidth="1" style="290" min="2" max="2"/>
    <col width="9.5" bestFit="1" customWidth="1" style="8" min="3" max="3"/>
    <col width="2.59765625" bestFit="1" customWidth="1" style="8" min="4" max="4"/>
    <col width="9.19921875" customWidth="1" style="330" min="5" max="5"/>
    <col width="9.19921875" customWidth="1" style="12" min="6" max="8"/>
    <col width="10.09765625" customWidth="1" style="12" min="9" max="9"/>
    <col width="9.19921875" customWidth="1" style="12" min="10" max="10"/>
    <col width="7.8984375" customWidth="1" style="12" min="11" max="11"/>
    <col width="8.59765625" customWidth="1" style="12" min="12" max="12"/>
    <col width="8.69921875" customWidth="1" style="12" min="13" max="13"/>
    <col width="3.69921875" customWidth="1" style="12" min="14" max="14"/>
    <col width="3.69921875" customWidth="1" style="331" min="15" max="15"/>
    <col width="9.3984375" customWidth="1" style="12" min="16" max="16"/>
    <col width="9.19921875" customWidth="1" style="13" min="17" max="18"/>
    <col width="4.19921875" customWidth="1" style="290" min="19" max="19"/>
    <col width="11" customWidth="1" style="290" min="20" max="20"/>
    <col width="9.19921875" customWidth="1" style="290" min="21" max="23"/>
    <col width="9.69921875" customWidth="1" style="290" min="24" max="24"/>
    <col width="9.8984375" customWidth="1" style="290" min="25" max="25"/>
    <col width="8.69921875" customWidth="1" style="290" min="26" max="26"/>
    <col width="10.09765625" bestFit="1" customWidth="1" style="290" min="27" max="27"/>
    <col width="10.09765625" customWidth="1" style="290" min="28" max="28"/>
    <col width="6.3984375" customWidth="1" style="290" min="29" max="29"/>
    <col width="7.69921875" customWidth="1" style="290" min="30" max="30"/>
    <col width="8.19921875" customWidth="1" style="290" min="31" max="31"/>
    <col width="3.69921875" customWidth="1" style="290" min="32" max="32"/>
    <col width="3.69921875" customWidth="1" style="331" min="33" max="33"/>
    <col width="7.09765625" customWidth="1" style="290" min="34" max="34"/>
    <col width="7.8984375" customWidth="1" style="290" min="35" max="35"/>
    <col width="9.09765625" customWidth="1" style="290" min="36" max="36"/>
    <col width="3.69921875" customWidth="1" style="290" min="37" max="37"/>
    <col width="8.3984375" bestFit="1" customWidth="1" style="290" min="38" max="38"/>
    <col width="10.69921875" customWidth="1" style="290" min="39" max="39"/>
    <col width="10.3984375" customWidth="1" style="290" min="40" max="40"/>
    <col width="9.8984375" customWidth="1" style="290" min="41" max="41"/>
    <col width="11.3984375" customWidth="1" style="290" min="42" max="42"/>
    <col width="10.5" customWidth="1" style="290" min="43" max="43"/>
    <col width="7" bestFit="1" customWidth="1" style="290" min="44" max="44"/>
    <col width="7.5" bestFit="1" customWidth="1" style="290" min="45" max="45"/>
    <col width="8.19921875" customWidth="1" style="290" min="46" max="46"/>
    <col width="16.19921875" customWidth="1" style="290" min="47" max="47"/>
    <col width="8.5" bestFit="1" customWidth="1" style="290" min="48" max="49"/>
    <col width="7.3984375" bestFit="1" customWidth="1" style="290" min="50" max="52"/>
    <col width="7.3984375" customWidth="1" style="290" min="53" max="53"/>
    <col width="7.3984375" bestFit="1" customWidth="1" style="290" min="54" max="54"/>
    <col width="2.3984375" customWidth="1" style="290" min="55" max="55"/>
    <col width="9" customWidth="1" style="290" min="56" max="70"/>
    <col width="9" customWidth="1" style="290" min="71" max="16384"/>
  </cols>
  <sheetData>
    <row r="1" ht="12.6" customHeight="1" s="279" thickBot="1">
      <c r="A1" s="1" t="inlineStr"/>
      <c r="S1" s="1" t="inlineStr"/>
      <c r="AK1" s="1" t="inlineStr"/>
      <c r="AL1" s="1" t="n"/>
      <c r="AP1" s="1" t="inlineStr"/>
      <c r="AQ1" s="1" t="n"/>
      <c r="AU1" s="1" t="inlineStr"/>
    </row>
    <row r="2" ht="13.5" customHeight="1" s="279" thickBot="1">
      <c r="B2" s="144" t="inlineStr">
        <is>
          <t>cinema_semitrack</t>
        </is>
      </c>
      <c r="C2" s="308">
        <f>CONCATENATE("Summary [ ",'Summary (auto)'!$C$3," ]")</f>
        <v/>
      </c>
      <c r="D2" s="283" t="n"/>
      <c r="E2" s="283" t="n"/>
      <c r="F2" s="283" t="n"/>
      <c r="G2" s="283" t="n"/>
      <c r="H2" s="283" t="n"/>
      <c r="I2" s="283" t="n"/>
      <c r="J2" s="283" t="n"/>
      <c r="K2" s="283" t="n"/>
      <c r="L2" s="283" t="n"/>
      <c r="M2" s="283" t="n"/>
      <c r="N2" s="283" t="n"/>
      <c r="O2" s="283" t="n"/>
      <c r="P2" s="283" t="n"/>
      <c r="Q2" s="283" t="n"/>
      <c r="R2" s="284" t="n"/>
      <c r="S2" s="301" t="n"/>
      <c r="T2" s="144">
        <f>$B$2</f>
        <v/>
      </c>
      <c r="U2" s="297">
        <f>CONCATENATE("Summary [ ",'Summary (auto)'!$C$4," ]")</f>
        <v/>
      </c>
      <c r="V2" s="273" t="n"/>
      <c r="W2" s="273" t="n"/>
      <c r="X2" s="273" t="n"/>
      <c r="Y2" s="273" t="n"/>
      <c r="Z2" s="273" t="n"/>
      <c r="AA2" s="273" t="n"/>
      <c r="AB2" s="273" t="n"/>
      <c r="AC2" s="273" t="n"/>
      <c r="AD2" s="273" t="n"/>
      <c r="AE2" s="273" t="n"/>
      <c r="AF2" s="273" t="n"/>
      <c r="AG2" s="273" t="n"/>
      <c r="AH2" s="273" t="n"/>
      <c r="AI2" s="273" t="n"/>
      <c r="AJ2" s="298" t="n"/>
      <c r="AK2" s="212" t="n"/>
      <c r="AL2" s="164">
        <f>$B$2</f>
        <v/>
      </c>
      <c r="AM2" s="302" t="inlineStr">
        <is>
          <t>End-to-end BD-rate</t>
        </is>
      </c>
      <c r="AN2" s="273" t="n"/>
      <c r="AO2" s="273" t="n"/>
      <c r="AP2" s="273" t="n"/>
      <c r="AQ2" s="298" t="n"/>
      <c r="AR2" s="39" t="n"/>
      <c r="AS2" s="332" t="n"/>
      <c r="AT2" s="39" t="n"/>
    </row>
    <row r="3" ht="13.5" customHeight="1" s="279">
      <c r="B3" s="158" t="n"/>
      <c r="C3" s="215" t="n"/>
      <c r="D3" s="96" t="n"/>
      <c r="E3" s="333" t="inlineStr">
        <is>
          <t>Total</t>
        </is>
      </c>
      <c r="F3" s="32" t="inlineStr">
        <is>
          <t>Avg.</t>
        </is>
      </c>
      <c r="G3" s="216" t="inlineStr">
        <is>
          <t>Avg.</t>
        </is>
      </c>
      <c r="H3" s="216" t="inlineStr">
        <is>
          <t>Avg.</t>
        </is>
      </c>
      <c r="I3" s="216" t="inlineStr">
        <is>
          <t>Avg.</t>
        </is>
      </c>
      <c r="J3" s="216" t="inlineStr">
        <is>
          <t>Avg.</t>
        </is>
      </c>
      <c r="K3" s="216" t="n"/>
      <c r="L3" s="216" t="n"/>
      <c r="M3" s="216" t="n"/>
      <c r="N3" s="216" t="n"/>
      <c r="O3" s="334" t="n"/>
      <c r="P3" s="304" t="inlineStr">
        <is>
          <t>Enc T [s]</t>
        </is>
      </c>
      <c r="Q3" s="304" t="inlineStr">
        <is>
          <t>Dec T [s]</t>
        </is>
      </c>
      <c r="R3" s="310" t="inlineStr">
        <is>
          <t>Ren T [s]</t>
        </is>
      </c>
      <c r="S3" s="301" t="n"/>
      <c r="T3" s="142" t="n"/>
      <c r="U3" s="215" t="n"/>
      <c r="V3" s="96" t="n"/>
      <c r="W3" s="333" t="inlineStr">
        <is>
          <t>Total</t>
        </is>
      </c>
      <c r="X3" s="32" t="inlineStr">
        <is>
          <t>Avg.</t>
        </is>
      </c>
      <c r="Y3" s="216" t="inlineStr">
        <is>
          <t>Avg.</t>
        </is>
      </c>
      <c r="Z3" s="216" t="inlineStr">
        <is>
          <t>Avg.</t>
        </is>
      </c>
      <c r="AA3" s="216" t="inlineStr">
        <is>
          <t>Avg.</t>
        </is>
      </c>
      <c r="AB3" s="216" t="inlineStr">
        <is>
          <t>Avg.</t>
        </is>
      </c>
      <c r="AC3" s="216" t="n"/>
      <c r="AD3" s="216" t="n"/>
      <c r="AE3" s="216" t="n"/>
      <c r="AF3" s="216" t="n"/>
      <c r="AG3" s="334" t="n"/>
      <c r="AH3" s="304" t="inlineStr">
        <is>
          <t>Enc T [s]</t>
        </is>
      </c>
      <c r="AI3" s="304" t="inlineStr">
        <is>
          <t>Dec T [s]</t>
        </is>
      </c>
      <c r="AJ3" s="310" t="inlineStr">
        <is>
          <t>Ren T [s]</t>
        </is>
      </c>
      <c r="AK3" s="212" t="n"/>
      <c r="AL3" s="142" t="n"/>
      <c r="AM3" s="165" t="n"/>
      <c r="AN3" s="165" t="n"/>
      <c r="AO3" s="165" t="n"/>
      <c r="AP3" s="165" t="n"/>
      <c r="AQ3" s="166" t="n"/>
      <c r="AR3" s="44" t="n"/>
      <c r="AS3" s="52" t="n"/>
      <c r="AT3" s="21" t="inlineStr">
        <is>
          <t xml:space="preserve"> = Calculated / unused</t>
        </is>
      </c>
      <c r="AV3" s="299" t="n"/>
      <c r="BD3" s="289" t="n"/>
    </row>
    <row r="4" ht="13.5" customHeight="1" s="279" thickBot="1">
      <c r="B4" s="143" t="n"/>
      <c r="C4" s="212" t="n"/>
      <c r="D4" s="34" t="n"/>
      <c r="E4" s="335" t="inlineStr">
        <is>
          <t>kbps</t>
        </is>
      </c>
      <c r="F4" s="35" t="inlineStr">
        <is>
          <t>RGB-PSNR</t>
        </is>
      </c>
      <c r="G4" s="336" t="inlineStr">
        <is>
          <t>YUV-PSNR</t>
        </is>
      </c>
      <c r="H4" s="336" t="inlineStr">
        <is>
          <t>YUV-SSIM</t>
        </is>
      </c>
      <c r="I4" s="336" t="inlineStr">
        <is>
          <t>YUV-IVSSIM</t>
        </is>
      </c>
      <c r="J4" s="336" t="inlineStr">
        <is>
          <t>LPIPS</t>
        </is>
      </c>
      <c r="K4" s="336" t="n"/>
      <c r="L4" s="121" t="n"/>
      <c r="M4" s="121" t="n"/>
      <c r="N4" s="94" t="n"/>
      <c r="O4" s="336" t="n"/>
      <c r="P4" s="277" t="n"/>
      <c r="Q4" s="277" t="n"/>
      <c r="R4" s="311" t="n"/>
      <c r="S4" s="301" t="n"/>
      <c r="T4" s="143" t="n"/>
      <c r="U4" s="212" t="n"/>
      <c r="V4" s="34" t="n"/>
      <c r="W4" s="335" t="inlineStr">
        <is>
          <t>kbps</t>
        </is>
      </c>
      <c r="X4" s="35" t="inlineStr">
        <is>
          <t>RGB-PSNR</t>
        </is>
      </c>
      <c r="Y4" s="336" t="inlineStr">
        <is>
          <t>YUV-PSNR</t>
        </is>
      </c>
      <c r="Z4" s="336" t="inlineStr">
        <is>
          <t>YUV-SSIM</t>
        </is>
      </c>
      <c r="AA4" s="336" t="inlineStr">
        <is>
          <t>YUV-IVSSIM</t>
        </is>
      </c>
      <c r="AB4" s="336" t="inlineStr">
        <is>
          <t>LPIPS</t>
        </is>
      </c>
      <c r="AC4" s="336" t="n"/>
      <c r="AD4" s="336" t="n"/>
      <c r="AE4" s="336" t="n"/>
      <c r="AF4" s="94" t="n"/>
      <c r="AG4" s="336" t="n"/>
      <c r="AH4" s="277" t="n"/>
      <c r="AI4" s="277" t="n"/>
      <c r="AJ4" s="311" t="n"/>
      <c r="AK4" s="301" t="n"/>
      <c r="AL4" s="214" t="n"/>
      <c r="AM4" s="93" t="inlineStr">
        <is>
          <t>RGB-PSNR</t>
        </is>
      </c>
      <c r="AN4" s="93" t="inlineStr">
        <is>
          <t>YUV-PSNR</t>
        </is>
      </c>
      <c r="AO4" s="93" t="inlineStr">
        <is>
          <t>YUV-SSIM</t>
        </is>
      </c>
      <c r="AP4" s="93" t="inlineStr">
        <is>
          <t>YUV-IVSSIM</t>
        </is>
      </c>
      <c r="AQ4" s="167" t="inlineStr">
        <is>
          <t>LPIPS</t>
        </is>
      </c>
      <c r="AR4" s="93" t="n"/>
      <c r="AS4" s="93" t="n"/>
      <c r="AT4" s="93" t="n"/>
      <c r="AV4" s="20" t="n"/>
      <c r="AW4" s="20" t="n"/>
      <c r="AX4" s="20" t="n"/>
      <c r="AY4" s="20" t="n"/>
      <c r="AZ4" s="20" t="n"/>
      <c r="BA4" s="20" t="n"/>
      <c r="BB4" s="20" t="n"/>
      <c r="BD4" s="8" t="n"/>
      <c r="BE4" s="8" t="n"/>
      <c r="BF4" s="8" t="n"/>
    </row>
    <row r="5" ht="13.5" customHeight="1" s="279">
      <c r="B5" s="305" t="n"/>
      <c r="C5" s="27" t="inlineStr">
        <is>
          <t>r01</t>
        </is>
      </c>
      <c r="D5" s="28" t="n"/>
      <c r="E5" s="128">
        <f>E23</f>
        <v/>
      </c>
      <c r="F5" s="32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32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32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9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9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57" t="n"/>
      <c r="L5" s="57" t="n"/>
      <c r="M5" s="57" t="n"/>
      <c r="N5" s="28" t="n"/>
      <c r="O5" s="58" t="n"/>
      <c r="P5" s="133">
        <f>P16</f>
        <v/>
      </c>
      <c r="Q5" s="154">
        <f>Q16</f>
        <v/>
      </c>
      <c r="R5" s="136">
        <f>AVERAGE(R33,R38,R43,R48,R53,R58,R63,R68,R73,R78,R83,R88,R93,R98,R103,R108,R113,R118,R123,R128,R133,R138,R143,R148,R153,R158,R163,R168,R173,R178,R183,R188,R193,R198,R203,R208,R213,R218,R223,R228,R233,R238,R243,R248,R253,R258,R263,R268,R273,R278,R283,R288,R293,R298,R303,R308,R313,R318,R323,R328,R333,R338,R343,R348,R353,R358,R363,R368,R373,R378,R383,R388,R393,R398,R403,R408,R413,R418,R423,R428,R433,R438,R443,R448,R453,R458,R463,R468,R473,R478,R483,R488,R493,R498,R503,R508,R513,R518,R523,R528,R533,R538,R543,R548,R553,R558,R563,R568,R573,R578,R583,R588,R593,R598,R603,R608,R613,R618,R623,R628,R633)</f>
        <v/>
      </c>
      <c r="S5" s="301" t="n"/>
      <c r="T5" s="306" t="n"/>
      <c r="U5" s="27" t="inlineStr">
        <is>
          <t>r01</t>
        </is>
      </c>
      <c r="V5" s="28" t="n"/>
      <c r="W5" s="129">
        <f>W23</f>
        <v/>
      </c>
      <c r="X5" s="32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32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32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9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9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57" t="n"/>
      <c r="AD5" s="57" t="n"/>
      <c r="AE5" s="57" t="n"/>
      <c r="AF5" s="28" t="n"/>
      <c r="AG5" s="337" t="n"/>
      <c r="AH5" s="133">
        <f>AH16</f>
        <v/>
      </c>
      <c r="AI5" s="154">
        <f>AI16</f>
        <v/>
      </c>
      <c r="AJ5" s="136">
        <f>AVERAGE(AJ33,AJ38,AJ43,AJ48,AJ53,AJ58,AJ63,AJ68,AJ73,AJ78,AJ83,AJ88,AJ93,AJ98,AJ103,AJ108,AJ113,AJ118,AJ123,AJ128,AJ133,AJ138,AJ143,AJ148,AJ153,AJ158,AJ163,AJ168,AJ173,AJ178,AJ183,AJ188,AJ193,AJ198,AJ203,AJ208,AJ213,AJ218,AJ223,AJ228,AJ233,AJ238,AJ243,AJ248,AJ253,AJ258,AJ263,AJ268,AJ273,AJ278,AJ283,AJ288,AJ293,AJ298,AJ303,AJ308,AJ313,AJ318,AJ323,AJ328,AJ333,AJ338,AJ343,AJ348,AJ353,AJ358,AJ363,AJ368,AJ373,AJ378,AJ383,AJ388,AJ393,AJ398,AJ403,AJ408,AJ413,AJ418,AJ423,AJ428,AJ433,AJ438,AJ443,AJ448,AJ453,AJ458,AJ463,AJ468,AJ473,AJ478,AJ483,AJ488,AJ493,AJ498,AJ503,AJ508,AJ513,AJ518,AJ523,AJ528,AJ533,AJ538,AJ543,AJ548,AJ553,AJ558,AJ563,AJ568,AJ573,AJ578,AJ583,AJ588,AJ593,AJ598,AJ603,AJ608,AJ613,AJ618,AJ623,AJ628,AJ633)</f>
        <v/>
      </c>
      <c r="AK5" s="212" t="n"/>
      <c r="AL5" s="161" t="n"/>
      <c r="AM5" s="338">
        <f>bdrate($E5:$E8,F5:F8,$W5:$W8,X5:X8)</f>
        <v/>
      </c>
      <c r="AN5" s="339">
        <f>bdrate($E5:$E8,G5:G8,$W5:$W8,Y5:Y8)</f>
        <v/>
      </c>
      <c r="AO5" s="339">
        <f>bdrate($E5:$E8,H5:H8,$W5:$W8,Z5:Z8)</f>
        <v/>
      </c>
      <c r="AP5" s="339">
        <f>bdrate($E5:$E8,I5:I8,$W5:$W8,AA5:AA8)</f>
        <v/>
      </c>
      <c r="AQ5" s="340">
        <f>bdrateInverted($E5:$E8,J5:J8,$W5:$W8,AB5:AB8)</f>
        <v/>
      </c>
      <c r="AR5" s="341" t="n"/>
      <c r="AS5" s="53" t="n"/>
      <c r="AT5" s="21" t="inlineStr">
        <is>
          <t xml:space="preserve"> = Required</t>
        </is>
      </c>
      <c r="AV5" s="342" t="n"/>
      <c r="AW5" s="342" t="n"/>
      <c r="AX5" s="342" t="n"/>
      <c r="AY5" s="342" t="n"/>
      <c r="AZ5" s="342" t="n"/>
      <c r="BA5" s="342" t="n"/>
      <c r="BB5" s="342" t="n"/>
      <c r="BF5" s="12" t="n"/>
    </row>
    <row r="6" ht="13.5" customHeight="1" s="279">
      <c r="B6" s="294" t="n"/>
      <c r="C6" s="29" t="inlineStr">
        <is>
          <t>r02</t>
        </is>
      </c>
      <c r="D6" s="30" t="n"/>
      <c r="E6" s="159">
        <f>E24</f>
        <v/>
      </c>
      <c r="F6" s="9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9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9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9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9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58" t="n"/>
      <c r="L6" s="58" t="n"/>
      <c r="M6" s="58" t="n"/>
      <c r="N6" s="30" t="n"/>
      <c r="O6" s="58" t="n"/>
      <c r="P6" s="133">
        <f>P17</f>
        <v/>
      </c>
      <c r="Q6" s="133">
        <f>Q17</f>
        <v/>
      </c>
      <c r="R6" s="136">
        <f>AVERAGE(R34,R39,R44,R49,R54,R59,R64,R69,R74,R79,R84,R89,R94,R99,R104,R109,R114,R119,R124,R129,R134,R139,R144,R149,R154,R159,R164,R169,R174,R179,R184,R189,R194,R199,R204,R209,R214,R219,R224,R229,R234,R239,R244,R249,R254,R259,R264,R269,R274,R279,R284,R289,R294,R299,R304,R309,R314,R319,R324,R329,R334,R339,R344,R349,R354,R359,R364,R369,R374,R379,R384,R389,R394,R399,R404,R409,R414,R419,R424,R429,R434,R439,R444,R449,R454,R459,R464,R469,R474,R479,R484,R489,R494,R499,R504,R509,R514,R519,R524,R529,R534,R539,R544,R549,R554,R559,R564,R569,R574,R579,R584,R589,R594,R599,R604,R609,R614,R619,R624,R629,R634)</f>
        <v/>
      </c>
      <c r="S6" s="301" t="n"/>
      <c r="T6" s="294" t="n"/>
      <c r="U6" s="29" t="inlineStr">
        <is>
          <t>r02</t>
        </is>
      </c>
      <c r="V6" s="30" t="n"/>
      <c r="W6" s="130">
        <f>W24</f>
        <v/>
      </c>
      <c r="X6" s="9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9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9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9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9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58" t="n"/>
      <c r="AD6" s="58" t="n"/>
      <c r="AE6" s="58" t="n"/>
      <c r="AF6" s="30" t="n"/>
      <c r="AG6" s="337" t="n"/>
      <c r="AH6" s="133">
        <f>AH17</f>
        <v/>
      </c>
      <c r="AI6" s="133">
        <f>AI17</f>
        <v/>
      </c>
      <c r="AJ6" s="136">
        <f>AVERAGE(AJ34,AJ39,AJ44,AJ49,AJ54,AJ59,AJ64,AJ69,AJ74,AJ79,AJ84,AJ89,AJ94,AJ99,AJ104,AJ109,AJ114,AJ119,AJ124,AJ129,AJ134,AJ139,AJ144,AJ149,AJ154,AJ159,AJ164,AJ169,AJ174,AJ179,AJ184,AJ189,AJ194,AJ199,AJ204,AJ209,AJ214,AJ219,AJ224,AJ229,AJ234,AJ239,AJ244,AJ249,AJ254,AJ259,AJ264,AJ269,AJ274,AJ279,AJ284,AJ289,AJ294,AJ299,AJ304,AJ309,AJ314,AJ319,AJ324,AJ329,AJ334,AJ339,AJ344,AJ349,AJ354,AJ359,AJ364,AJ369,AJ374,AJ379,AJ384,AJ389,AJ394,AJ399,AJ404,AJ409,AJ414,AJ419,AJ424,AJ429,AJ434,AJ439,AJ444,AJ449,AJ454,AJ459,AJ464,AJ469,AJ474,AJ479,AJ484,AJ489,AJ494,AJ499,AJ504,AJ509,AJ514,AJ519,AJ524,AJ529,AJ534,AJ539,AJ544,AJ549,AJ554,AJ559,AJ564,AJ569,AJ574,AJ579,AJ584,AJ589,AJ594,AJ599,AJ604,AJ609,AJ614,AJ619,AJ624,AJ629,AJ634)</f>
        <v/>
      </c>
      <c r="AK6" s="212" t="n"/>
      <c r="AL6" s="161" t="n"/>
      <c r="AM6" s="343" t="n"/>
      <c r="AN6" s="344" t="n"/>
      <c r="AO6" s="162" t="n"/>
      <c r="AP6" s="162" t="n"/>
      <c r="AQ6" s="45" t="n"/>
      <c r="AR6" s="341" t="n"/>
      <c r="AS6" s="341" t="n"/>
      <c r="AT6" s="38" t="n"/>
      <c r="AV6" s="342" t="n"/>
      <c r="AW6" s="342" t="n"/>
      <c r="AX6" s="9" t="n"/>
      <c r="AY6" s="342" t="n"/>
      <c r="AZ6" s="342" t="n"/>
      <c r="BA6" s="342" t="n"/>
      <c r="BB6" s="9" t="n"/>
      <c r="BF6" s="12" t="n"/>
    </row>
    <row r="7" ht="12.75" customHeight="1" s="279">
      <c r="B7" s="294" t="n"/>
      <c r="C7" s="29" t="inlineStr">
        <is>
          <t>r03</t>
        </is>
      </c>
      <c r="D7" s="30" t="n"/>
      <c r="E7" s="159">
        <f>E25</f>
        <v/>
      </c>
      <c r="F7" s="9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9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9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9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9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58" t="n"/>
      <c r="L7" s="58" t="n"/>
      <c r="M7" s="58" t="n"/>
      <c r="N7" s="30" t="n"/>
      <c r="O7" s="58" t="n"/>
      <c r="P7" s="133">
        <f>P18</f>
        <v/>
      </c>
      <c r="Q7" s="133">
        <f>Q18</f>
        <v/>
      </c>
      <c r="R7" s="136">
        <f>AVERAGE(R35,R40,R45,R50,R55,R60,R65,R70,R75,R80,R85,R90,R95,R100,R105,R110,R115,R120,R125,R130,R135,R140,R145,R150,R155,R160,R165,R170,R175,R180,R185,R190,R195,R200,R205,R210,R215,R220,R225,R230,R235,R240,R245,R250,R255,R260,R265,R270,R275,R280,R285,R290,R295,R300,R305,R310,R315,R320,R325,R330,R335,R340,R345,R350,R355,R360,R365,R370,R375,R380,R385,R390,R395,R400,R405,R410,R415,R420,R425,R430,R435,R440,R445,R450,R455,R460,R465,R470,R475,R480,R485,R490,R495,R500,R505,R510,R515,R520,R525,R530,R535,R540,R545,R550,R555,R560,R565,R570,R575,R580,R585,R590,R595,R600,R605,R610,R615,R620,R625,R630,R635)</f>
        <v/>
      </c>
      <c r="S7" s="301" t="n"/>
      <c r="T7" s="294" t="n"/>
      <c r="U7" s="29" t="inlineStr">
        <is>
          <t>r03</t>
        </is>
      </c>
      <c r="V7" s="30" t="n"/>
      <c r="W7" s="130">
        <f>W25</f>
        <v/>
      </c>
      <c r="X7" s="9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9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9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9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9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58" t="n"/>
      <c r="AD7" s="58" t="n"/>
      <c r="AE7" s="58" t="n"/>
      <c r="AF7" s="30" t="n"/>
      <c r="AG7" s="337" t="n"/>
      <c r="AH7" s="133">
        <f>AH18</f>
        <v/>
      </c>
      <c r="AI7" s="133">
        <f>AI18</f>
        <v/>
      </c>
      <c r="AJ7" s="136">
        <f>AVERAGE(AJ35,AJ40,AJ45,AJ50,AJ55,AJ60,AJ65,AJ70,AJ75,AJ80,AJ85,AJ90,AJ95,AJ100,AJ105,AJ110,AJ115,AJ120,AJ125,AJ130,AJ135,AJ140,AJ145,AJ150,AJ155,AJ160,AJ165,AJ170,AJ175,AJ180,AJ185,AJ190,AJ195,AJ200,AJ205,AJ210,AJ215,AJ220,AJ225,AJ230,AJ235,AJ240,AJ245,AJ250,AJ255,AJ260,AJ265,AJ270,AJ275,AJ280,AJ285,AJ290,AJ295,AJ300,AJ305,AJ310,AJ315,AJ320,AJ325,AJ330,AJ335,AJ340,AJ345,AJ350,AJ355,AJ360,AJ365,AJ370,AJ375,AJ380,AJ385,AJ390,AJ395,AJ400,AJ405,AJ410,AJ415,AJ420,AJ425,AJ430,AJ435,AJ440,AJ445,AJ450,AJ455,AJ460,AJ465,AJ470,AJ475,AJ480,AJ485,AJ490,AJ495,AJ500,AJ505,AJ510,AJ515,AJ520,AJ525,AJ530,AJ535,AJ540,AJ545,AJ550,AJ555,AJ560,AJ565,AJ570,AJ575,AJ580,AJ585,AJ590,AJ595,AJ600,AJ605,AJ610,AJ615,AJ620,AJ625,AJ630,AJ635)</f>
        <v/>
      </c>
      <c r="AK7" s="212" t="n"/>
      <c r="AL7" s="161" t="n"/>
      <c r="AM7" s="343" t="n"/>
      <c r="AN7" s="344" t="n"/>
      <c r="AO7" s="162" t="n"/>
      <c r="AP7" s="162" t="n"/>
      <c r="AQ7" s="45" t="n"/>
      <c r="AR7" s="341" t="n"/>
      <c r="AS7" s="54" t="n"/>
      <c r="AT7" s="21" t="inlineStr">
        <is>
          <t xml:space="preserve"> = Unused</t>
        </is>
      </c>
      <c r="AV7" s="342" t="n"/>
      <c r="AW7" s="342" t="n"/>
      <c r="AX7" s="9" t="n"/>
      <c r="AY7" s="342" t="n"/>
      <c r="AZ7" s="342" t="n"/>
      <c r="BA7" s="342" t="n"/>
      <c r="BB7" s="9" t="n"/>
      <c r="BF7" s="12" t="n"/>
    </row>
    <row r="8" ht="12.75" customHeight="1" s="279">
      <c r="B8" s="294" t="n"/>
      <c r="C8" s="29" t="inlineStr">
        <is>
          <t>r04</t>
        </is>
      </c>
      <c r="D8" s="30" t="n"/>
      <c r="E8" s="159">
        <f>E26</f>
        <v/>
      </c>
      <c r="F8" s="9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9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9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9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9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58" t="n"/>
      <c r="L8" s="58" t="n"/>
      <c r="M8" s="58" t="n"/>
      <c r="N8" s="30" t="n"/>
      <c r="O8" s="58" t="n"/>
      <c r="P8" s="133">
        <f>P19</f>
        <v/>
      </c>
      <c r="Q8" s="133">
        <f>Q19</f>
        <v/>
      </c>
      <c r="R8" s="136">
        <f>AVERAGE(R36,R41,R46,R51,R56,R61,R66,R71,R76,R81,R86,R91,R96,R101,R106,R111,R116,R121,R126,R131,R136,R141,R146,R151,R156,R161,R166,R171,R176,R181,R186,R191,R196,R201,R206,R211,R216,R221,R226,R231,R236,R241,R246,R251,R256,R261,R266,R271,R276,R281,R286,R291,R296,R301,R306,R311,R316,R321,R326,R331,R336,R341,R346,R351,R356,R361,R366,R371,R376,R381,R386,R391,R396,R401,R406,R411,R416,R421,R426,R431,R436,R441,R446,R451,R456,R461,R466,R471,R476,R481,R486,R491,R496,R501,R506,R511,R516,R521,R526,R531,R536,R541,R546,R551,R556,R561,R566,R571,R576,R581,R586,R591,R596,R601,R606,R611,R616,R621,R626,R631,R636)</f>
        <v/>
      </c>
      <c r="S8" s="301" t="n"/>
      <c r="T8" s="294" t="n"/>
      <c r="U8" s="29" t="inlineStr">
        <is>
          <t>r04</t>
        </is>
      </c>
      <c r="V8" s="30" t="n"/>
      <c r="W8" s="130">
        <f>W26</f>
        <v/>
      </c>
      <c r="X8" s="9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9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9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9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9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58" t="n"/>
      <c r="AD8" s="58" t="n"/>
      <c r="AE8" s="58" t="n"/>
      <c r="AF8" s="30" t="n"/>
      <c r="AG8" s="337" t="n"/>
      <c r="AH8" s="133">
        <f>AH19</f>
        <v/>
      </c>
      <c r="AI8" s="133">
        <f>AI19</f>
        <v/>
      </c>
      <c r="AJ8" s="136">
        <f>AVERAGE(AJ36,AJ41,AJ46,AJ51,AJ56,AJ61,AJ66,AJ71,AJ76,AJ81,AJ86,AJ91,AJ96,AJ101,AJ106,AJ111,AJ116,AJ121,AJ126,AJ131,AJ136,AJ141,AJ146,AJ151,AJ156,AJ161,AJ166,AJ171,AJ176,AJ181,AJ186,AJ191,AJ196,AJ201,AJ206,AJ211,AJ216,AJ221,AJ226,AJ231,AJ236,AJ241,AJ246,AJ251,AJ256,AJ261,AJ266,AJ271,AJ276,AJ281,AJ286,AJ291,AJ296,AJ301,AJ306,AJ311,AJ316,AJ321,AJ326,AJ331,AJ336,AJ341,AJ346,AJ351,AJ356,AJ361,AJ366,AJ371,AJ376,AJ381,AJ386,AJ391,AJ396,AJ401,AJ406,AJ411,AJ416,AJ421,AJ426,AJ431,AJ436,AJ441,AJ446,AJ451,AJ456,AJ461,AJ466,AJ471,AJ476,AJ481,AJ486,AJ491,AJ496,AJ501,AJ506,AJ511,AJ516,AJ521,AJ526,AJ531,AJ536,AJ541,AJ546,AJ551,AJ556,AJ561,AJ566,AJ571,AJ576,AJ581,AJ586,AJ591,AJ596,AJ601,AJ606,AJ611,AJ616,AJ621,AJ626,AJ631,AJ636)</f>
        <v/>
      </c>
      <c r="AK8" s="212" t="n"/>
      <c r="AL8" s="161" t="n"/>
      <c r="AM8" s="46" t="n"/>
      <c r="AN8" s="162" t="n"/>
      <c r="AO8" s="162" t="n"/>
      <c r="AP8" s="162" t="n"/>
      <c r="AQ8" s="45" t="n"/>
      <c r="AR8" s="38" t="n"/>
      <c r="AV8" s="9" t="n"/>
      <c r="AW8" s="9" t="n"/>
      <c r="AX8" s="9" t="n"/>
      <c r="AY8" s="9" t="n"/>
      <c r="AZ8" s="9" t="n"/>
      <c r="BA8" s="9" t="n"/>
      <c r="BB8" s="9" t="n"/>
      <c r="BF8" s="12" t="n"/>
    </row>
    <row r="9" ht="12.75" customHeight="1" s="279" thickBot="1">
      <c r="B9" s="295" t="n"/>
      <c r="C9" s="31" t="n"/>
      <c r="D9" s="37" t="n"/>
      <c r="E9" s="184" t="n"/>
      <c r="F9" s="60" t="n"/>
      <c r="G9" s="60" t="n"/>
      <c r="H9" s="60" t="n"/>
      <c r="I9" s="60" t="n"/>
      <c r="J9" s="60" t="n"/>
      <c r="K9" s="60" t="n"/>
      <c r="L9" s="60" t="n"/>
      <c r="M9" s="60" t="n"/>
      <c r="N9" s="37" t="n"/>
      <c r="O9" s="60" t="n"/>
      <c r="P9" s="172" t="n"/>
      <c r="Q9" s="172" t="n"/>
      <c r="R9" s="185" t="n"/>
      <c r="S9" s="301" t="n"/>
      <c r="T9" s="294" t="n"/>
      <c r="U9" s="29" t="n"/>
      <c r="V9" s="30" t="n"/>
      <c r="W9" s="186" t="n"/>
      <c r="X9" s="60" t="n"/>
      <c r="Y9" s="60" t="n"/>
      <c r="Z9" s="60" t="n"/>
      <c r="AA9" s="60" t="n"/>
      <c r="AB9" s="60" t="n"/>
      <c r="AC9" s="58" t="n"/>
      <c r="AD9" s="58" t="n"/>
      <c r="AE9" s="58" t="n"/>
      <c r="AF9" s="30" t="n"/>
      <c r="AG9" s="337" t="n"/>
      <c r="AH9" s="172" t="n"/>
      <c r="AI9" s="172" t="n"/>
      <c r="AJ9" s="185" t="n"/>
      <c r="AK9" s="212" t="n"/>
      <c r="AL9" s="161" t="n"/>
      <c r="AM9" s="47" t="n"/>
      <c r="AN9" s="153" t="n"/>
      <c r="AO9" s="153" t="n"/>
      <c r="AP9" s="153" t="n"/>
      <c r="AQ9" s="48" t="n"/>
      <c r="AR9" s="212" t="n"/>
      <c r="AS9" s="212" t="n"/>
      <c r="AT9" s="212" t="n"/>
      <c r="BF9" s="12" t="n"/>
    </row>
    <row r="10" ht="13.5" customHeight="1" s="279" thickBot="1">
      <c r="B10" s="156" t="inlineStr">
        <is>
          <t>average</t>
        </is>
      </c>
      <c r="C10" s="139" t="n"/>
      <c r="D10" s="139" t="n"/>
      <c r="E10" s="345" t="n"/>
      <c r="F10" s="140" t="n"/>
      <c r="G10" s="140" t="n"/>
      <c r="H10" s="140" t="n"/>
      <c r="I10" s="140" t="n"/>
      <c r="J10" s="140" t="n"/>
      <c r="K10" s="140" t="n"/>
      <c r="L10" s="139" t="n"/>
      <c r="M10" s="141" t="n"/>
      <c r="N10" s="141" t="n"/>
      <c r="O10" s="346" t="n"/>
      <c r="P10" s="157">
        <f>GEOMEAN(P5:P8)</f>
        <v/>
      </c>
      <c r="Q10" s="157">
        <f>GEOMEAN(Q5:Q8)</f>
        <v/>
      </c>
      <c r="R10" s="137">
        <f>AVERAGE(R5:R8)</f>
        <v/>
      </c>
      <c r="S10" s="301" t="n"/>
      <c r="T10" s="156" t="inlineStr">
        <is>
          <t>average</t>
        </is>
      </c>
      <c r="U10" s="139" t="n"/>
      <c r="V10" s="139" t="n"/>
      <c r="W10" s="345" t="n"/>
      <c r="X10" s="140" t="n"/>
      <c r="Y10" s="140" t="n"/>
      <c r="Z10" s="140" t="n"/>
      <c r="AA10" s="140" t="n"/>
      <c r="AB10" s="140" t="n"/>
      <c r="AC10" s="140" t="n"/>
      <c r="AD10" s="139" t="n"/>
      <c r="AE10" s="141" t="n"/>
      <c r="AF10" s="141" t="n"/>
      <c r="AG10" s="346" t="n"/>
      <c r="AH10" s="157">
        <f>GEOMEAN(AH5:AH8)</f>
        <v/>
      </c>
      <c r="AI10" s="157">
        <f>GEOMEAN(AI5:AI8)</f>
        <v/>
      </c>
      <c r="AJ10" s="137">
        <f>AVERAGE(AJ5:AJ8)</f>
        <v/>
      </c>
      <c r="AK10" s="212" t="n"/>
      <c r="AL10" s="163" t="n"/>
      <c r="AM10" s="49" t="n"/>
      <c r="AN10" s="50" t="n"/>
      <c r="AO10" s="50" t="n"/>
      <c r="AP10" s="50" t="n"/>
      <c r="AQ10" s="51" t="n"/>
      <c r="AR10" s="212" t="n"/>
      <c r="AS10" s="212" t="n"/>
      <c r="AT10" s="212" t="n"/>
      <c r="BF10" s="12" t="n"/>
    </row>
    <row r="11" ht="13.5" customHeight="1" s="279">
      <c r="B11" s="301" t="n"/>
      <c r="C11" s="301" t="n"/>
      <c r="D11" s="301" t="n"/>
      <c r="E11" s="347" t="n"/>
      <c r="F11" s="93" t="n"/>
      <c r="G11" s="93" t="n"/>
      <c r="H11" s="93" t="n"/>
      <c r="I11" s="93" t="n"/>
      <c r="J11" s="93" t="n"/>
      <c r="K11" s="93" t="n"/>
      <c r="L11" s="301" t="n"/>
      <c r="M11" s="94" t="n"/>
      <c r="N11" s="94" t="n"/>
      <c r="O11" s="348" t="n"/>
      <c r="P11" s="93" t="n"/>
      <c r="Q11" s="93" t="n"/>
      <c r="R11" s="133" t="n"/>
      <c r="S11" s="301" t="n"/>
      <c r="T11" s="301" t="n"/>
      <c r="U11" s="301" t="n"/>
      <c r="V11" s="301" t="n"/>
      <c r="W11" s="347" t="n"/>
      <c r="X11" s="93" t="n"/>
      <c r="Y11" s="93" t="n"/>
      <c r="Z11" s="93" t="n"/>
      <c r="AA11" s="93" t="n"/>
      <c r="AB11" s="93" t="n"/>
      <c r="AC11" s="93" t="n"/>
      <c r="AD11" s="301" t="n"/>
      <c r="AE11" s="94" t="n"/>
      <c r="AF11" s="94" t="n"/>
      <c r="AG11" s="348" t="n"/>
      <c r="AH11" s="93" t="n"/>
      <c r="AI11" s="93" t="n"/>
      <c r="AJ11" s="133" t="n"/>
      <c r="AK11" s="212" t="n"/>
      <c r="AL11" s="212" t="n"/>
      <c r="AM11" s="212" t="n"/>
      <c r="AN11" s="212" t="n"/>
      <c r="AO11" s="212" t="n"/>
      <c r="AP11" s="212" t="n"/>
      <c r="AQ11" s="212" t="n"/>
      <c r="AR11" s="212" t="n"/>
      <c r="AS11" s="212" t="n"/>
      <c r="AT11" s="212" t="n"/>
      <c r="BF11" s="12" t="n"/>
    </row>
    <row r="12" ht="13.5" customHeight="1" s="279" thickBot="1">
      <c r="B12" s="301" t="n"/>
      <c r="C12" s="301" t="n"/>
      <c r="D12" s="301" t="n"/>
      <c r="E12" s="347" t="n"/>
      <c r="F12" s="93" t="n"/>
      <c r="G12" s="93" t="n"/>
      <c r="H12" s="93" t="n"/>
      <c r="I12" s="93" t="n"/>
      <c r="J12" s="93" t="n"/>
      <c r="K12" s="93" t="n"/>
      <c r="L12" s="301" t="n"/>
      <c r="M12" s="94" t="n"/>
      <c r="N12" s="94" t="n"/>
      <c r="O12" s="348" t="n"/>
      <c r="P12" s="93" t="n"/>
      <c r="Q12" s="93" t="n"/>
      <c r="R12" s="133" t="n"/>
      <c r="S12" s="301" t="n"/>
      <c r="T12" s="301" t="n"/>
      <c r="U12" s="301" t="n"/>
      <c r="V12" s="301" t="n"/>
      <c r="W12" s="347" t="n"/>
      <c r="X12" s="93" t="n"/>
      <c r="Y12" s="93" t="n"/>
      <c r="Z12" s="93" t="n"/>
      <c r="AA12" s="93" t="n"/>
      <c r="AB12" s="93" t="n"/>
      <c r="AC12" s="93" t="n"/>
      <c r="AD12" s="301" t="n"/>
      <c r="AE12" s="94" t="n"/>
      <c r="AF12" s="94" t="n"/>
      <c r="AG12" s="348" t="n"/>
      <c r="AH12" s="93" t="n"/>
      <c r="AI12" s="93" t="n"/>
      <c r="AJ12" s="133" t="n"/>
      <c r="AK12" s="212" t="n"/>
      <c r="AL12" s="212" t="n"/>
      <c r="AM12" s="212" t="n"/>
      <c r="AN12" s="212" t="n"/>
      <c r="AO12" s="212" t="n"/>
      <c r="AP12" s="212" t="n"/>
      <c r="AQ12" s="212" t="n"/>
      <c r="AR12" s="212" t="n"/>
      <c r="AS12" s="212" t="n"/>
      <c r="AT12" s="212" t="n"/>
      <c r="BF12" s="12" t="n"/>
    </row>
    <row r="13" ht="16.2" customHeight="1" s="279" thickBot="1">
      <c r="B13" s="152" t="n"/>
      <c r="C13" s="297">
        <f>CONCATENATE("Encoding/Decoding [ ",'Summary (auto)'!$C$3," ]")</f>
        <v/>
      </c>
      <c r="D13" s="273" t="n"/>
      <c r="E13" s="273" t="n"/>
      <c r="F13" s="273" t="n"/>
      <c r="G13" s="273" t="n"/>
      <c r="H13" s="273" t="n"/>
      <c r="I13" s="273" t="n"/>
      <c r="J13" s="273" t="n"/>
      <c r="K13" s="273" t="n"/>
      <c r="L13" s="273" t="n"/>
      <c r="M13" s="273" t="n"/>
      <c r="N13" s="273" t="n"/>
      <c r="O13" s="273" t="n"/>
      <c r="P13" s="273" t="n"/>
      <c r="Q13" s="273" t="n"/>
      <c r="R13" s="298" t="n"/>
      <c r="T13" s="23" t="n"/>
      <c r="U13" s="297">
        <f>CONCATENATE("Encoding [ ",'Summary (auto)'!$C$4," ]")</f>
        <v/>
      </c>
      <c r="V13" s="273" t="n"/>
      <c r="W13" s="273" t="n"/>
      <c r="X13" s="273" t="n"/>
      <c r="Y13" s="273" t="n"/>
      <c r="Z13" s="273" t="n"/>
      <c r="AA13" s="273" t="n"/>
      <c r="AB13" s="273" t="n"/>
      <c r="AC13" s="273" t="n"/>
      <c r="AD13" s="273" t="n"/>
      <c r="AE13" s="273" t="n"/>
      <c r="AF13" s="273" t="n"/>
      <c r="AG13" s="273" t="n"/>
      <c r="AH13" s="273" t="n"/>
      <c r="AI13" s="273" t="n"/>
      <c r="AJ13" s="298" t="n"/>
    </row>
    <row r="14" ht="15.6" customHeight="1" s="279">
      <c r="B14" s="158" t="n"/>
      <c r="C14" s="104" t="n"/>
      <c r="D14" s="104" t="n"/>
      <c r="E14" s="349" t="inlineStr">
        <is>
          <t>position</t>
        </is>
      </c>
      <c r="F14" s="138" t="inlineStr">
        <is>
          <t>sh0</t>
        </is>
      </c>
      <c r="G14" s="138" t="inlineStr">
        <is>
          <t>sh1</t>
        </is>
      </c>
      <c r="H14" s="138" t="inlineStr">
        <is>
          <t>sh2</t>
        </is>
      </c>
      <c r="I14" s="138" t="inlineStr">
        <is>
          <t>sh3</t>
        </is>
      </c>
      <c r="J14" s="138" t="inlineStr">
        <is>
          <t>rotation</t>
        </is>
      </c>
      <c r="K14" s="138" t="inlineStr">
        <is>
          <t>scaling</t>
        </is>
      </c>
      <c r="L14" s="138" t="inlineStr">
        <is>
          <t>opacity</t>
        </is>
      </c>
      <c r="M14" s="105" t="inlineStr">
        <is>
          <t>metadata</t>
        </is>
      </c>
      <c r="N14" s="105" t="n"/>
      <c r="O14" s="350" t="n"/>
      <c r="P14" s="105" t="n"/>
      <c r="Q14" s="106" t="n"/>
      <c r="R14" s="107" t="n"/>
      <c r="S14" s="212" t="n"/>
      <c r="T14" s="158" t="n"/>
      <c r="U14" s="104" t="n"/>
      <c r="V14" s="104" t="n"/>
      <c r="W14" s="349" t="inlineStr">
        <is>
          <t>position</t>
        </is>
      </c>
      <c r="X14" s="138" t="inlineStr">
        <is>
          <t>sh0</t>
        </is>
      </c>
      <c r="Y14" s="138" t="inlineStr">
        <is>
          <t>sh1</t>
        </is>
      </c>
      <c r="Z14" s="138" t="inlineStr">
        <is>
          <t>sh2</t>
        </is>
      </c>
      <c r="AA14" s="138" t="inlineStr">
        <is>
          <t>sh3</t>
        </is>
      </c>
      <c r="AB14" s="138" t="inlineStr">
        <is>
          <t>rotation</t>
        </is>
      </c>
      <c r="AC14" s="138" t="inlineStr">
        <is>
          <t>scaling</t>
        </is>
      </c>
      <c r="AD14" s="138" t="inlineStr">
        <is>
          <t>opacity</t>
        </is>
      </c>
      <c r="AE14" s="105" t="inlineStr">
        <is>
          <t>metadata</t>
        </is>
      </c>
      <c r="AF14" s="105" t="n"/>
      <c r="AG14" s="350" t="n"/>
      <c r="AH14" s="105" t="n"/>
      <c r="AI14" s="106" t="n"/>
      <c r="AJ14" s="107" t="n"/>
      <c r="AK14" s="212" t="n"/>
      <c r="AL14" s="212" t="n"/>
      <c r="AM14" s="300" t="n"/>
      <c r="AV14" s="289" t="n"/>
      <c r="BB14" s="213" t="n"/>
      <c r="BC14" s="213" t="n"/>
    </row>
    <row r="15" ht="16.2" customFormat="1" customHeight="1" s="8" thickBot="1">
      <c r="B15" s="151" t="n"/>
      <c r="C15" s="34" t="n"/>
      <c r="D15" s="34" t="n"/>
      <c r="E15" s="335" t="inlineStr">
        <is>
          <t>kbps</t>
        </is>
      </c>
      <c r="F15" s="335" t="inlineStr">
        <is>
          <t>kbps</t>
        </is>
      </c>
      <c r="G15" s="335" t="inlineStr">
        <is>
          <t>kbps</t>
        </is>
      </c>
      <c r="H15" s="335" t="inlineStr">
        <is>
          <t>kbps</t>
        </is>
      </c>
      <c r="I15" s="335" t="inlineStr">
        <is>
          <t>kbps</t>
        </is>
      </c>
      <c r="J15" s="335" t="inlineStr">
        <is>
          <t>kbps</t>
        </is>
      </c>
      <c r="K15" s="335" t="inlineStr">
        <is>
          <t>kbps</t>
        </is>
      </c>
      <c r="L15" s="335" t="inlineStr">
        <is>
          <t>kbps</t>
        </is>
      </c>
      <c r="M15" s="335" t="inlineStr">
        <is>
          <t>kbps</t>
        </is>
      </c>
      <c r="N15" s="35" t="n"/>
      <c r="O15" s="336" t="n"/>
      <c r="P15" s="217" t="inlineStr">
        <is>
          <t>Enc T [s]</t>
        </is>
      </c>
      <c r="Q15" s="217" t="inlineStr">
        <is>
          <t>Dec T [s]</t>
        </is>
      </c>
      <c r="R15" s="36" t="n"/>
      <c r="S15" s="301" t="n"/>
      <c r="T15" s="151" t="n"/>
      <c r="U15" s="34" t="n"/>
      <c r="V15" s="34" t="n"/>
      <c r="W15" s="335" t="inlineStr">
        <is>
          <t>kbps</t>
        </is>
      </c>
      <c r="X15" s="335" t="inlineStr">
        <is>
          <t>kbps</t>
        </is>
      </c>
      <c r="Y15" s="335" t="inlineStr">
        <is>
          <t>kbps</t>
        </is>
      </c>
      <c r="Z15" s="335" t="inlineStr">
        <is>
          <t>kbps</t>
        </is>
      </c>
      <c r="AA15" s="335" t="inlineStr">
        <is>
          <t>kbps</t>
        </is>
      </c>
      <c r="AB15" s="335" t="inlineStr">
        <is>
          <t>kbps</t>
        </is>
      </c>
      <c r="AC15" s="335" t="inlineStr">
        <is>
          <t>kbps</t>
        </is>
      </c>
      <c r="AD15" s="335" t="inlineStr">
        <is>
          <t>kbps</t>
        </is>
      </c>
      <c r="AE15" s="335" t="inlineStr">
        <is>
          <t>kbps</t>
        </is>
      </c>
      <c r="AF15" s="35" t="n"/>
      <c r="AG15" s="336" t="n"/>
      <c r="AH15" s="217" t="inlineStr">
        <is>
          <t>Enc T [s]</t>
        </is>
      </c>
      <c r="AI15" s="217" t="inlineStr">
        <is>
          <t>Dec T [s]</t>
        </is>
      </c>
      <c r="AJ15" s="36" t="n"/>
      <c r="AK15" s="301" t="n"/>
      <c r="AL15" s="301" t="n"/>
      <c r="AM15" s="93" t="n"/>
      <c r="AN15" s="93" t="n"/>
      <c r="AO15" s="93" t="n"/>
      <c r="AP15" s="301" t="n"/>
      <c r="AQ15" s="301" t="n"/>
      <c r="AR15" s="301" t="n"/>
      <c r="AS15" s="301" t="n"/>
      <c r="AT15" s="301" t="n"/>
      <c r="AZ15" s="290" t="n"/>
      <c r="BA15" s="290" t="n"/>
      <c r="BB15" s="213" t="n"/>
      <c r="BC15" s="213" t="n"/>
    </row>
    <row r="16" ht="12.75" customHeight="1" s="279">
      <c r="B16" s="307" t="n"/>
      <c r="C16" s="27" t="inlineStr">
        <is>
          <t>r01</t>
        </is>
      </c>
      <c r="D16" s="28" t="n"/>
      <c r="E16" s="131" t="n">
        <v>4688.896</v>
      </c>
      <c r="F16" s="169" t="n">
        <v>6056.208</v>
      </c>
      <c r="G16" s="169" t="n">
        <v>1130.776</v>
      </c>
      <c r="H16" s="169" t="n">
        <v>388.36</v>
      </c>
      <c r="I16" s="169" t="n">
        <v>167.808</v>
      </c>
      <c r="J16" s="169" t="n">
        <v>8771.848</v>
      </c>
      <c r="K16" s="62" t="n">
        <v>5224.8</v>
      </c>
      <c r="L16" s="62" t="n">
        <v>1888.152</v>
      </c>
      <c r="M16" s="62" t="n">
        <v>0</v>
      </c>
      <c r="N16" s="57" t="n"/>
      <c r="O16" s="351" t="n"/>
      <c r="P16" s="132" t="n"/>
      <c r="Q16" s="132" t="n"/>
      <c r="R16" s="145" t="n"/>
      <c r="S16" s="301" t="n"/>
      <c r="T16" s="307" t="n"/>
      <c r="U16" s="27" t="inlineStr">
        <is>
          <t>r01</t>
        </is>
      </c>
      <c r="V16" s="28" t="n"/>
      <c r="W16" s="131" t="n">
        <v>4688.896</v>
      </c>
      <c r="X16" s="169" t="n">
        <v>6016.864</v>
      </c>
      <c r="Y16" s="169" t="n">
        <v>1248.864</v>
      </c>
      <c r="Z16" s="169" t="n">
        <v>472.008</v>
      </c>
      <c r="AA16" s="169" t="n">
        <v>248.688</v>
      </c>
      <c r="AB16" s="169" t="n">
        <v>8773.136</v>
      </c>
      <c r="AC16" s="62" t="n">
        <v>5225.368</v>
      </c>
      <c r="AD16" s="62" t="n">
        <v>1888.36</v>
      </c>
      <c r="AE16" s="62" t="n">
        <v>0</v>
      </c>
      <c r="AF16" s="57" t="n"/>
      <c r="AG16" s="351" t="n"/>
      <c r="AH16" s="132" t="n"/>
      <c r="AI16" s="132" t="n"/>
      <c r="AJ16" s="145" t="n"/>
      <c r="AK16" s="212" t="n"/>
      <c r="AL16" s="212" t="n"/>
      <c r="AP16" s="22" t="n"/>
      <c r="AQ16" s="22" t="n"/>
      <c r="AR16" s="212" t="n"/>
      <c r="AS16" s="212" t="n"/>
      <c r="AT16" s="212" t="n"/>
      <c r="AX16" s="12" t="n"/>
      <c r="AZ16" s="213" t="n"/>
      <c r="BA16" s="56" t="n"/>
      <c r="BB16" s="213" t="n"/>
      <c r="BC16" s="213" t="n"/>
      <c r="BD16" s="9" t="n"/>
    </row>
    <row r="17" ht="12.75" customHeight="1" s="279">
      <c r="B17" s="294" t="n"/>
      <c r="C17" s="29" t="inlineStr">
        <is>
          <t>r02</t>
        </is>
      </c>
      <c r="D17" s="30" t="n"/>
      <c r="E17" s="146" t="n">
        <v>4688.896</v>
      </c>
      <c r="F17" s="170" t="n">
        <v>7941.592</v>
      </c>
      <c r="G17" s="170" t="n">
        <v>4043.28</v>
      </c>
      <c r="H17" s="170" t="n">
        <v>2044.968</v>
      </c>
      <c r="I17" s="170" t="n">
        <v>1498.336</v>
      </c>
      <c r="J17" s="170" t="n">
        <v>11323.12</v>
      </c>
      <c r="K17" s="64" t="n">
        <v>7088.472</v>
      </c>
      <c r="L17" s="64" t="n">
        <v>2497.816</v>
      </c>
      <c r="M17" s="64" t="n">
        <v>0</v>
      </c>
      <c r="N17" s="58" t="n"/>
      <c r="O17" s="337" t="n"/>
      <c r="P17" s="147" t="n"/>
      <c r="Q17" s="147" t="n"/>
      <c r="R17" s="148" t="n"/>
      <c r="S17" s="301" t="n"/>
      <c r="T17" s="294" t="n"/>
      <c r="U17" s="29" t="inlineStr">
        <is>
          <t>r02</t>
        </is>
      </c>
      <c r="V17" s="30" t="n"/>
      <c r="W17" s="146" t="n">
        <v>4688.896</v>
      </c>
      <c r="X17" s="170" t="n">
        <v>7891.152</v>
      </c>
      <c r="Y17" s="170" t="n">
        <v>4130.608</v>
      </c>
      <c r="Z17" s="170" t="n">
        <v>2211.424</v>
      </c>
      <c r="AA17" s="170" t="n">
        <v>1698.2</v>
      </c>
      <c r="AB17" s="170" t="n">
        <v>11323.992</v>
      </c>
      <c r="AC17" s="64" t="n">
        <v>7088.808</v>
      </c>
      <c r="AD17" s="64" t="n">
        <v>2497.88</v>
      </c>
      <c r="AE17" s="64" t="n">
        <v>0</v>
      </c>
      <c r="AF17" s="58" t="n"/>
      <c r="AG17" s="337" t="n"/>
      <c r="AH17" s="147" t="n"/>
      <c r="AI17" s="147" t="n"/>
      <c r="AJ17" s="148" t="n"/>
      <c r="AK17" s="212" t="n"/>
      <c r="AL17" s="212" t="n"/>
      <c r="AN17" s="22" t="n"/>
      <c r="AO17" s="22" t="n"/>
      <c r="AP17" s="22" t="n"/>
      <c r="AQ17" s="22" t="n"/>
      <c r="AR17" s="212" t="n"/>
      <c r="AS17" s="212" t="n"/>
      <c r="AT17" s="212" t="n"/>
      <c r="AX17" s="12" t="n"/>
      <c r="AZ17" s="213" t="n"/>
      <c r="BA17" s="213" t="n"/>
      <c r="BB17" s="213" t="n"/>
      <c r="BC17" s="213" t="n"/>
      <c r="BD17" s="9" t="n"/>
    </row>
    <row r="18" ht="12.75" customHeight="1" s="279">
      <c r="B18" s="294" t="n"/>
      <c r="C18" s="29" t="inlineStr">
        <is>
          <t>r03</t>
        </is>
      </c>
      <c r="D18" s="30" t="n"/>
      <c r="E18" s="146" t="n">
        <v>4688.896</v>
      </c>
      <c r="F18" s="170" t="n">
        <v>9902.32</v>
      </c>
      <c r="G18" s="170" t="n">
        <v>8648.4</v>
      </c>
      <c r="H18" s="170" t="n">
        <v>6395.536</v>
      </c>
      <c r="I18" s="170" t="n">
        <v>6107.936</v>
      </c>
      <c r="J18" s="170" t="n">
        <v>13961.536</v>
      </c>
      <c r="K18" s="64" t="n">
        <v>9035.288</v>
      </c>
      <c r="L18" s="64" t="n">
        <v>3125.128</v>
      </c>
      <c r="M18" s="64" t="n">
        <v>0</v>
      </c>
      <c r="N18" s="58" t="n"/>
      <c r="O18" s="337" t="n"/>
      <c r="P18" s="147" t="n"/>
      <c r="Q18" s="147" t="n"/>
      <c r="R18" s="148" t="n"/>
      <c r="S18" s="301" t="n"/>
      <c r="T18" s="294" t="n"/>
      <c r="U18" s="29" t="inlineStr">
        <is>
          <t>r03</t>
        </is>
      </c>
      <c r="V18" s="30" t="n"/>
      <c r="W18" s="146" t="n">
        <v>4688.896</v>
      </c>
      <c r="X18" s="170" t="n">
        <v>9837.136</v>
      </c>
      <c r="Y18" s="170" t="n">
        <v>8659.248</v>
      </c>
      <c r="Z18" s="170" t="n">
        <v>6505.4</v>
      </c>
      <c r="AA18" s="170" t="n">
        <v>6306.536</v>
      </c>
      <c r="AB18" s="170" t="n">
        <v>13962.568</v>
      </c>
      <c r="AC18" s="64" t="n">
        <v>9035.575999999999</v>
      </c>
      <c r="AD18" s="64" t="n">
        <v>3125.2</v>
      </c>
      <c r="AE18" s="64" t="n">
        <v>0</v>
      </c>
      <c r="AF18" s="58" t="n"/>
      <c r="AG18" s="337" t="n"/>
      <c r="AH18" s="147" t="n"/>
      <c r="AI18" s="147" t="n"/>
      <c r="AJ18" s="148" t="n"/>
      <c r="AK18" s="212" t="n"/>
      <c r="AL18" s="212" t="n"/>
      <c r="AP18" s="22" t="n"/>
      <c r="AQ18" s="22" t="n"/>
      <c r="AR18" s="212" t="n"/>
      <c r="AS18" s="212" t="n"/>
      <c r="AT18" s="212" t="n"/>
      <c r="AX18" s="12" t="n"/>
      <c r="AZ18" s="213" t="n"/>
      <c r="BA18" s="55" t="n"/>
      <c r="BB18" s="213" t="n"/>
      <c r="BC18" s="213" t="n"/>
      <c r="BD18" s="9" t="n"/>
    </row>
    <row r="19" ht="12.75" customHeight="1" s="279">
      <c r="B19" s="294" t="n"/>
      <c r="C19" s="29" t="inlineStr">
        <is>
          <t>r04</t>
        </is>
      </c>
      <c r="D19" s="30" t="n"/>
      <c r="E19" s="146" t="n">
        <v>4688.896</v>
      </c>
      <c r="F19" s="170" t="n">
        <v>11776.416</v>
      </c>
      <c r="G19" s="170" t="n">
        <v>13866.176</v>
      </c>
      <c r="H19" s="170" t="n">
        <v>13459.6</v>
      </c>
      <c r="I19" s="170" t="n">
        <v>15053.32</v>
      </c>
      <c r="J19" s="170" t="n">
        <v>16708.376</v>
      </c>
      <c r="K19" s="64" t="n">
        <v>11084.592</v>
      </c>
      <c r="L19" s="64" t="n">
        <v>3779.384</v>
      </c>
      <c r="M19" s="64" t="n">
        <v>0</v>
      </c>
      <c r="N19" s="58" t="n"/>
      <c r="O19" s="337" t="n"/>
      <c r="P19" s="147" t="n"/>
      <c r="Q19" s="147" t="n"/>
      <c r="R19" s="148" t="n"/>
      <c r="S19" s="301" t="n"/>
      <c r="T19" s="294" t="n"/>
      <c r="U19" s="29" t="inlineStr">
        <is>
          <t>r04</t>
        </is>
      </c>
      <c r="V19" s="30" t="n"/>
      <c r="W19" s="146" t="n">
        <v>4688.896</v>
      </c>
      <c r="X19" s="170" t="n">
        <v>11697.952</v>
      </c>
      <c r="Y19" s="170" t="n">
        <v>13869.04</v>
      </c>
      <c r="Z19" s="170" t="n">
        <v>13502.848</v>
      </c>
      <c r="AA19" s="170" t="n">
        <v>15185.648</v>
      </c>
      <c r="AB19" s="170" t="n">
        <v>16709.936</v>
      </c>
      <c r="AC19" s="64" t="n">
        <v>11085.192</v>
      </c>
      <c r="AD19" s="64" t="n">
        <v>3779.28</v>
      </c>
      <c r="AE19" s="64" t="n">
        <v>0</v>
      </c>
      <c r="AF19" s="58" t="n"/>
      <c r="AG19" s="337" t="n"/>
      <c r="AH19" s="147" t="n"/>
      <c r="AI19" s="147" t="n"/>
      <c r="AJ19" s="148" t="n"/>
      <c r="AK19" s="212" t="n"/>
      <c r="AL19" s="212" t="n"/>
      <c r="AN19" s="22" t="n"/>
      <c r="AO19" s="21" t="n"/>
      <c r="AP19" s="22" t="n"/>
      <c r="AQ19" s="22" t="n"/>
      <c r="AR19" s="212" t="n"/>
      <c r="AS19" s="212" t="n"/>
      <c r="AT19" s="212" t="n"/>
      <c r="AX19" s="12" t="n"/>
      <c r="AZ19" s="213" t="n"/>
      <c r="BA19" s="55" t="n"/>
      <c r="BB19" s="213" t="n"/>
      <c r="BC19" s="213" t="n"/>
      <c r="BD19" s="9" t="n"/>
    </row>
    <row r="20" ht="12.75" customHeight="1" s="279" thickBot="1">
      <c r="B20" s="294" t="n"/>
      <c r="C20" s="31" t="n"/>
      <c r="D20" s="37" t="n"/>
      <c r="E20" s="188" t="n"/>
      <c r="F20" s="187" t="n"/>
      <c r="G20" s="187" t="n"/>
      <c r="H20" s="187" t="n"/>
      <c r="I20" s="187" t="n"/>
      <c r="J20" s="187" t="n"/>
      <c r="K20" s="60" t="n"/>
      <c r="L20" s="60" t="n"/>
      <c r="M20" s="60" t="n"/>
      <c r="N20" s="60" t="n"/>
      <c r="O20" s="352" t="n"/>
      <c r="P20" s="172" t="n"/>
      <c r="Q20" s="172" t="n"/>
      <c r="R20" s="149" t="n"/>
      <c r="S20" s="301" t="n"/>
      <c r="T20" s="294" t="n"/>
      <c r="U20" s="31" t="n"/>
      <c r="V20" s="37" t="n"/>
      <c r="W20" s="188" t="n"/>
      <c r="X20" s="187" t="n"/>
      <c r="Y20" s="187" t="n"/>
      <c r="Z20" s="187" t="n"/>
      <c r="AA20" s="187" t="n"/>
      <c r="AB20" s="187" t="n"/>
      <c r="AC20" s="60" t="n"/>
      <c r="AD20" s="60" t="n"/>
      <c r="AE20" s="60" t="n"/>
      <c r="AF20" s="60" t="n"/>
      <c r="AG20" s="352" t="n"/>
      <c r="AH20" s="172" t="n"/>
      <c r="AI20" s="172" t="n"/>
      <c r="AJ20" s="149" t="n"/>
      <c r="AK20" s="212" t="n"/>
      <c r="AL20" s="212" t="n"/>
      <c r="AN20" s="22" t="n"/>
      <c r="AO20" s="22" t="n"/>
      <c r="AP20" s="22" t="n"/>
      <c r="AQ20" s="22" t="n"/>
      <c r="AR20" s="212" t="n"/>
      <c r="AS20" s="212" t="n"/>
      <c r="AT20" s="212" t="n"/>
      <c r="AX20" s="12" t="n"/>
      <c r="AZ20" s="213" t="n"/>
      <c r="BA20" s="213" t="n"/>
      <c r="BD20" s="9" t="n"/>
    </row>
    <row r="21" ht="13.5" customHeight="1" s="279">
      <c r="B21" s="291" t="n"/>
      <c r="C21" s="96" t="n"/>
      <c r="D21" s="96" t="n"/>
      <c r="E21" s="333" t="inlineStr">
        <is>
          <t>Total</t>
        </is>
      </c>
      <c r="F21" s="32" t="n"/>
      <c r="G21" s="32" t="n"/>
      <c r="H21" s="32" t="n"/>
      <c r="I21" s="32" t="n"/>
      <c r="J21" s="32" t="n"/>
      <c r="K21" s="32" t="n"/>
      <c r="L21" s="32" t="n"/>
      <c r="M21" s="32" t="n"/>
      <c r="N21" s="32" t="n"/>
      <c r="O21" s="334" t="n"/>
      <c r="P21" s="32" t="n"/>
      <c r="Q21" s="216" t="n"/>
      <c r="R21" s="33" t="n"/>
      <c r="S21" s="301" t="n"/>
      <c r="T21" s="291" t="n"/>
      <c r="U21" s="96" t="n"/>
      <c r="V21" s="96" t="n"/>
      <c r="W21" s="353" t="inlineStr">
        <is>
          <t>Total</t>
        </is>
      </c>
      <c r="X21" s="32" t="n"/>
      <c r="Y21" s="32" t="n"/>
      <c r="Z21" s="32" t="n"/>
      <c r="AA21" s="32" t="n"/>
      <c r="AB21" s="32" t="n"/>
      <c r="AC21" s="32" t="n"/>
      <c r="AD21" s="32" t="n"/>
      <c r="AE21" s="32" t="n"/>
      <c r="AF21" s="32" t="n"/>
      <c r="AG21" s="334" t="n"/>
      <c r="AH21" s="32" t="n"/>
      <c r="AI21" s="216" t="n"/>
      <c r="AJ21" s="33" t="n"/>
      <c r="AK21" s="212" t="n"/>
      <c r="AL21" s="212" t="n"/>
      <c r="AP21" s="22" t="n"/>
      <c r="AQ21" s="22" t="n"/>
      <c r="AR21" s="300" t="n"/>
      <c r="AS21" s="300" t="n"/>
      <c r="AT21" s="300" t="n"/>
      <c r="AV21" s="289" t="n"/>
    </row>
    <row r="22" ht="13.5" customFormat="1" customHeight="1" s="8" thickBot="1">
      <c r="B22" s="292" t="n"/>
      <c r="C22" s="34" t="n"/>
      <c r="D22" s="34" t="n"/>
      <c r="E22" s="335" t="inlineStr">
        <is>
          <t>kbps</t>
        </is>
      </c>
      <c r="F22" s="35" t="n"/>
      <c r="G22" s="35" t="n"/>
      <c r="H22" s="35" t="n"/>
      <c r="I22" s="35" t="n"/>
      <c r="J22" s="35" t="n"/>
      <c r="K22" s="35" t="n"/>
      <c r="L22" s="35" t="n"/>
      <c r="M22" s="35" t="n"/>
      <c r="N22" s="35" t="n"/>
      <c r="O22" s="336" t="n"/>
      <c r="P22" s="35" t="n"/>
      <c r="Q22" s="217" t="n"/>
      <c r="R22" s="36" t="n"/>
      <c r="S22" s="301" t="n"/>
      <c r="T22" s="292" t="n"/>
      <c r="U22" s="34" t="n"/>
      <c r="V22" s="34" t="n"/>
      <c r="W22" s="354" t="inlineStr">
        <is>
          <t>kbps</t>
        </is>
      </c>
      <c r="X22" s="35" t="n"/>
      <c r="Y22" s="35" t="n"/>
      <c r="Z22" s="35" t="n"/>
      <c r="AA22" s="35" t="n"/>
      <c r="AB22" s="35" t="n"/>
      <c r="AC22" s="35" t="n"/>
      <c r="AD22" s="35" t="n"/>
      <c r="AE22" s="35" t="n"/>
      <c r="AF22" s="35" t="n"/>
      <c r="AG22" s="336" t="n"/>
      <c r="AH22" s="35" t="n"/>
      <c r="AI22" s="217" t="n"/>
      <c r="AJ22" s="36" t="n"/>
      <c r="AK22" s="301" t="n"/>
      <c r="AL22" s="301" t="n"/>
      <c r="AM22" s="93" t="n"/>
      <c r="AN22" s="93" t="n"/>
      <c r="AO22" s="93" t="n"/>
      <c r="AP22" s="301" t="n"/>
      <c r="AQ22" s="301" t="n"/>
      <c r="AR22" s="301" t="n"/>
      <c r="AS22" s="301" t="n"/>
      <c r="AT22" s="301" t="n"/>
      <c r="AZ22" s="213" t="n"/>
      <c r="BA22" s="56" t="n"/>
    </row>
    <row r="23" ht="13.5" customHeight="1" s="279">
      <c r="B23" s="305" t="n"/>
      <c r="C23" s="27" t="inlineStr">
        <is>
          <t>r01</t>
        </is>
      </c>
      <c r="D23" s="28" t="n"/>
      <c r="E23" s="130">
        <f>SUM(E16:L16)</f>
        <v/>
      </c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337" t="n"/>
      <c r="P23" s="58" t="n"/>
      <c r="Q23" s="171" t="n"/>
      <c r="R23" s="59" t="n"/>
      <c r="S23" s="301" t="n"/>
      <c r="T23" s="305" t="n"/>
      <c r="U23" s="27" t="inlineStr">
        <is>
          <t>r01</t>
        </is>
      </c>
      <c r="V23" s="28" t="n"/>
      <c r="W23" s="130">
        <f>SUM(W16:AD16)</f>
        <v/>
      </c>
      <c r="X23" s="58" t="n"/>
      <c r="Y23" s="58" t="n"/>
      <c r="Z23" s="58" t="n"/>
      <c r="AA23" s="58" t="n"/>
      <c r="AB23" s="58" t="n"/>
      <c r="AC23" s="58" t="n"/>
      <c r="AD23" s="58" t="n"/>
      <c r="AE23" s="58" t="n"/>
      <c r="AF23" s="58" t="n"/>
      <c r="AG23" s="337" t="n"/>
      <c r="AH23" s="58" t="n"/>
      <c r="AI23" s="171" t="n"/>
      <c r="AJ23" s="59" t="n"/>
      <c r="AK23" s="212" t="n"/>
      <c r="AL23" s="212" t="n"/>
      <c r="AM23" s="38" t="n"/>
      <c r="AN23" s="38" t="n"/>
      <c r="AO23" s="38" t="n"/>
      <c r="AP23" s="212" t="n"/>
      <c r="AQ23" s="212" t="n"/>
      <c r="AR23" s="212" t="n"/>
      <c r="AS23" s="212" t="n"/>
      <c r="AT23" s="212" t="n"/>
      <c r="AX23" s="12" t="n"/>
    </row>
    <row r="24">
      <c r="B24" s="294" t="n"/>
      <c r="C24" s="29" t="inlineStr">
        <is>
          <t>r02</t>
        </is>
      </c>
      <c r="D24" s="30" t="n"/>
      <c r="E24" s="130">
        <f>SUM(E17:L17)</f>
        <v/>
      </c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337" t="n"/>
      <c r="P24" s="58" t="n"/>
      <c r="Q24" s="171" t="n"/>
      <c r="R24" s="59" t="n"/>
      <c r="S24" s="301" t="n"/>
      <c r="T24" s="294" t="n"/>
      <c r="U24" s="29" t="inlineStr">
        <is>
          <t>r02</t>
        </is>
      </c>
      <c r="V24" s="30" t="n"/>
      <c r="W24" s="130">
        <f>SUM(W17:AD17)</f>
        <v/>
      </c>
      <c r="X24" s="58" t="n"/>
      <c r="Y24" s="58" t="n"/>
      <c r="Z24" s="58" t="n"/>
      <c r="AA24" s="58" t="n"/>
      <c r="AB24" s="58" t="n"/>
      <c r="AC24" s="58" t="n"/>
      <c r="AD24" s="58" t="n"/>
      <c r="AE24" s="58" t="n"/>
      <c r="AF24" s="58" t="n"/>
      <c r="AG24" s="337" t="n"/>
      <c r="AH24" s="58" t="n"/>
      <c r="AI24" s="171" t="n"/>
      <c r="AJ24" s="59" t="n"/>
      <c r="AK24" s="212" t="n"/>
      <c r="AL24" s="212" t="n"/>
      <c r="AM24" s="38" t="n"/>
      <c r="AN24" s="38" t="n"/>
      <c r="AO24" s="38" t="n"/>
      <c r="AP24" s="212" t="n"/>
      <c r="AQ24" s="212" t="n"/>
      <c r="AR24" s="212" t="n"/>
      <c r="AS24" s="212" t="n"/>
      <c r="AT24" s="212" t="n"/>
      <c r="AX24" s="12" t="n"/>
      <c r="AZ24" s="8" t="n"/>
      <c r="BA24" s="8" t="n"/>
    </row>
    <row r="25">
      <c r="B25" s="294" t="n"/>
      <c r="C25" s="29" t="inlineStr">
        <is>
          <t>r03</t>
        </is>
      </c>
      <c r="D25" s="30" t="n"/>
      <c r="E25" s="130">
        <f>SUM(E18:L18)</f>
        <v/>
      </c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337" t="n"/>
      <c r="P25" s="58" t="n"/>
      <c r="Q25" s="171" t="n"/>
      <c r="R25" s="59" t="n"/>
      <c r="S25" s="301" t="n"/>
      <c r="T25" s="294" t="n"/>
      <c r="U25" s="29" t="inlineStr">
        <is>
          <t>r03</t>
        </is>
      </c>
      <c r="V25" s="30" t="n"/>
      <c r="W25" s="130">
        <f>SUM(W18:AD18)</f>
        <v/>
      </c>
      <c r="X25" s="58" t="n"/>
      <c r="Y25" s="58" t="n"/>
      <c r="Z25" s="58" t="n"/>
      <c r="AA25" s="58" t="n"/>
      <c r="AB25" s="58" t="n"/>
      <c r="AC25" s="58" t="n"/>
      <c r="AD25" s="58" t="n"/>
      <c r="AE25" s="58" t="n"/>
      <c r="AF25" s="58" t="n"/>
      <c r="AG25" s="337" t="n"/>
      <c r="AH25" s="58" t="n"/>
      <c r="AI25" s="171" t="n"/>
      <c r="AJ25" s="59" t="n"/>
      <c r="AK25" s="212" t="n"/>
      <c r="AL25" s="212" t="n"/>
      <c r="AM25" s="212" t="n"/>
      <c r="AN25" s="212" t="n"/>
      <c r="AO25" s="212" t="n"/>
      <c r="AP25" s="212" t="n"/>
      <c r="AQ25" s="212" t="n"/>
      <c r="AR25" s="212" t="n"/>
      <c r="AS25" s="212" t="n"/>
      <c r="AT25" s="212" t="n"/>
      <c r="AX25" s="12" t="n"/>
    </row>
    <row r="26">
      <c r="B26" s="294" t="n"/>
      <c r="C26" s="29" t="inlineStr">
        <is>
          <t>r04</t>
        </is>
      </c>
      <c r="D26" s="30" t="n"/>
      <c r="E26" s="130">
        <f>SUM(E19:L19)</f>
        <v/>
      </c>
      <c r="F26" s="58" t="n"/>
      <c r="G26" s="58" t="n"/>
      <c r="H26" s="58" t="n"/>
      <c r="I26" s="58" t="n"/>
      <c r="J26" s="58" t="n"/>
      <c r="K26" s="58" t="n"/>
      <c r="L26" s="58" t="n"/>
      <c r="M26" s="58" t="n"/>
      <c r="N26" s="58" t="n"/>
      <c r="O26" s="337" t="n"/>
      <c r="P26" s="58" t="n"/>
      <c r="Q26" s="171" t="n"/>
      <c r="R26" s="59" t="n"/>
      <c r="S26" s="301" t="n"/>
      <c r="T26" s="294" t="n"/>
      <c r="U26" s="29" t="inlineStr">
        <is>
          <t>r04</t>
        </is>
      </c>
      <c r="V26" s="30" t="n"/>
      <c r="W26" s="130">
        <f>SUM(W19:AD19)</f>
        <v/>
      </c>
      <c r="X26" s="58" t="n"/>
      <c r="Y26" s="58" t="n"/>
      <c r="Z26" s="58" t="n"/>
      <c r="AA26" s="58" t="n"/>
      <c r="AB26" s="58" t="n"/>
      <c r="AC26" s="58" t="n"/>
      <c r="AD26" s="58" t="n"/>
      <c r="AE26" s="58" t="n"/>
      <c r="AF26" s="58" t="n"/>
      <c r="AG26" s="337" t="n"/>
      <c r="AH26" s="58" t="n"/>
      <c r="AI26" s="171" t="n"/>
      <c r="AJ26" s="59" t="n"/>
      <c r="AK26" s="212" t="n"/>
      <c r="AL26" s="212" t="n"/>
      <c r="AM26" s="212" t="n"/>
      <c r="AN26" s="212" t="n"/>
      <c r="AO26" s="212" t="n"/>
      <c r="AP26" s="212" t="n"/>
      <c r="AQ26" s="212" t="n"/>
      <c r="AR26" s="212" t="n"/>
      <c r="AS26" s="212" t="n"/>
      <c r="AT26" s="212" t="n"/>
      <c r="AX26" s="12" t="n"/>
    </row>
    <row r="27" ht="13.5" customHeight="1" s="279" thickBot="1">
      <c r="B27" s="295" t="n"/>
      <c r="C27" s="31" t="n"/>
      <c r="D27" s="37" t="n"/>
      <c r="E27" s="187" t="n"/>
      <c r="F27" s="60" t="n"/>
      <c r="G27" s="60" t="n"/>
      <c r="H27" s="60" t="n"/>
      <c r="I27" s="60" t="n"/>
      <c r="J27" s="60" t="n"/>
      <c r="K27" s="60" t="n"/>
      <c r="L27" s="60" t="n"/>
      <c r="M27" s="60" t="n"/>
      <c r="N27" s="60" t="n"/>
      <c r="O27" s="352" t="n"/>
      <c r="P27" s="60" t="n"/>
      <c r="Q27" s="172" t="n"/>
      <c r="R27" s="61" t="n"/>
      <c r="S27" s="301" t="n"/>
      <c r="T27" s="295" t="n"/>
      <c r="U27" s="31" t="n"/>
      <c r="V27" s="37" t="n"/>
      <c r="W27" s="187" t="n"/>
      <c r="X27" s="60" t="n"/>
      <c r="Y27" s="60" t="n"/>
      <c r="Z27" s="60" t="n"/>
      <c r="AA27" s="60" t="n"/>
      <c r="AB27" s="60" t="n"/>
      <c r="AC27" s="60" t="n"/>
      <c r="AD27" s="60" t="n"/>
      <c r="AE27" s="60" t="n"/>
      <c r="AF27" s="60" t="n"/>
      <c r="AG27" s="352" t="n"/>
      <c r="AH27" s="60" t="n"/>
      <c r="AI27" s="172" t="n"/>
      <c r="AJ27" s="61" t="n"/>
      <c r="AK27" s="212" t="n"/>
      <c r="AL27" s="212" t="n"/>
      <c r="AM27" s="212" t="n"/>
      <c r="AN27" s="212" t="n"/>
      <c r="AO27" s="212" t="n"/>
      <c r="AP27" s="212" t="n"/>
      <c r="AQ27" s="212" t="n"/>
      <c r="AR27" s="212" t="n"/>
      <c r="AS27" s="212" t="n"/>
      <c r="AT27" s="212" t="n"/>
      <c r="AX27" s="12" t="n"/>
    </row>
    <row r="28">
      <c r="B28" s="301" t="n"/>
      <c r="C28" s="301" t="n"/>
      <c r="D28" s="94" t="n"/>
      <c r="E28" s="347" t="n"/>
      <c r="F28" s="93" t="n"/>
      <c r="G28" s="93" t="n"/>
      <c r="H28" s="93" t="n"/>
      <c r="I28" s="93" t="n"/>
      <c r="J28" s="93" t="n"/>
      <c r="K28" s="93" t="n"/>
      <c r="L28" s="93" t="n"/>
      <c r="M28" s="93" t="n"/>
      <c r="N28" s="93" t="n"/>
      <c r="O28" s="348" t="n"/>
      <c r="P28" s="93" t="n"/>
      <c r="Q28" s="94" t="n"/>
      <c r="R28" s="94" t="n"/>
      <c r="S28" s="301" t="n"/>
      <c r="T28" s="301" t="n"/>
      <c r="U28" s="301" t="n"/>
      <c r="V28" s="94" t="n"/>
      <c r="W28" s="347" t="n"/>
      <c r="X28" s="93" t="n"/>
      <c r="Y28" s="93" t="n"/>
      <c r="Z28" s="93" t="n"/>
      <c r="AA28" s="93" t="n"/>
      <c r="AB28" s="93" t="n"/>
      <c r="AC28" s="93" t="n"/>
      <c r="AD28" s="93" t="n"/>
      <c r="AE28" s="93" t="n"/>
      <c r="AF28" s="93" t="n"/>
      <c r="AG28" s="348" t="n"/>
      <c r="AH28" s="93" t="n"/>
      <c r="AI28" s="94" t="n"/>
      <c r="AJ28" s="94" t="n"/>
      <c r="AK28" s="212" t="n"/>
      <c r="AL28" s="212" t="n"/>
      <c r="AM28" s="212" t="n"/>
      <c r="AN28" s="212" t="n"/>
      <c r="AO28" s="212" t="n"/>
      <c r="AP28" s="212" t="n"/>
      <c r="AQ28" s="212" t="n"/>
      <c r="AR28" s="212" t="n"/>
      <c r="AS28" s="212" t="n"/>
      <c r="AT28" s="212" t="n"/>
      <c r="AX28" s="12" t="n"/>
    </row>
    <row r="29" ht="13.5" customHeight="1" s="279">
      <c r="B29" s="301" t="n"/>
      <c r="C29" s="301" t="n"/>
      <c r="D29" s="301" t="n"/>
      <c r="E29" s="301" t="n"/>
      <c r="F29" s="301" t="n"/>
      <c r="G29" s="301" t="n"/>
      <c r="H29" s="301" t="n"/>
      <c r="I29" s="301" t="n"/>
      <c r="J29" s="301" t="n"/>
      <c r="K29" s="301" t="n"/>
      <c r="L29" s="301" t="n"/>
      <c r="M29" s="301" t="n"/>
      <c r="N29" s="301" t="n"/>
      <c r="O29" s="348" t="n"/>
      <c r="P29" s="301" t="n"/>
      <c r="Q29" s="301" t="n"/>
      <c r="R29" s="301" t="n"/>
      <c r="S29" s="301" t="n"/>
      <c r="T29" s="301" t="n"/>
      <c r="U29" s="301" t="n"/>
      <c r="V29" s="301" t="n"/>
      <c r="W29" s="301" t="n"/>
      <c r="X29" s="301" t="n"/>
      <c r="Y29" s="301" t="n"/>
      <c r="Z29" s="301" t="n"/>
      <c r="AA29" s="301" t="n"/>
      <c r="AB29" s="301" t="n"/>
      <c r="AC29" s="301" t="n"/>
      <c r="AD29" s="301" t="n"/>
      <c r="AE29" s="301" t="n"/>
      <c r="AF29" s="301" t="n"/>
      <c r="AG29" s="348" t="n"/>
      <c r="AH29" s="301" t="n"/>
      <c r="AI29" s="301" t="n"/>
      <c r="AJ29" s="301" t="n"/>
      <c r="AK29" s="212" t="n"/>
      <c r="AL29" s="212" t="n"/>
      <c r="AM29" s="212" t="n"/>
      <c r="AN29" s="212" t="n"/>
      <c r="AO29" s="212" t="n"/>
      <c r="AP29" s="212" t="n"/>
      <c r="AQ29" s="212" t="n"/>
      <c r="AR29" s="212" t="n"/>
      <c r="AS29" s="212" t="n"/>
      <c r="AT29" s="212" t="n"/>
    </row>
    <row r="30" ht="13.5" customHeight="1" s="279" thickBot="1">
      <c r="B30" s="301" t="n"/>
      <c r="C30" s="301" t="n"/>
      <c r="D30" s="301" t="n"/>
      <c r="E30" s="347" t="n"/>
      <c r="F30" s="301" t="n"/>
      <c r="G30" s="301" t="n"/>
      <c r="H30" s="301" t="n"/>
      <c r="I30" s="301" t="n"/>
      <c r="J30" s="301" t="n"/>
      <c r="K30" s="301" t="n"/>
      <c r="L30" s="301" t="n"/>
      <c r="M30" s="301" t="n"/>
      <c r="N30" s="301" t="n"/>
      <c r="O30" s="348" t="n"/>
      <c r="P30" s="301" t="n"/>
      <c r="Q30" s="301" t="n"/>
      <c r="R30" s="301" t="n"/>
      <c r="S30" s="301" t="n"/>
      <c r="T30" s="301" t="n"/>
      <c r="U30" s="301" t="n"/>
      <c r="V30" s="301" t="n"/>
      <c r="W30" s="347" t="n"/>
      <c r="X30" s="301" t="n"/>
      <c r="Y30" s="301" t="n"/>
      <c r="Z30" s="301" t="n"/>
      <c r="AA30" s="301" t="n"/>
      <c r="AB30" s="301" t="n"/>
      <c r="AC30" s="301" t="n"/>
      <c r="AD30" s="301" t="n"/>
      <c r="AE30" s="301" t="n"/>
      <c r="AF30" s="301" t="n"/>
      <c r="AG30" s="348" t="n"/>
      <c r="AH30" s="301" t="n"/>
      <c r="AI30" s="301" t="n"/>
      <c r="AJ30" s="301" t="n"/>
      <c r="AK30" s="212" t="n"/>
      <c r="AL30" s="212" t="n"/>
      <c r="AM30" s="212" t="n"/>
      <c r="AN30" s="212" t="n"/>
      <c r="AO30" s="212" t="n"/>
      <c r="AP30" s="212" t="n"/>
      <c r="AQ30" s="212" t="n"/>
      <c r="AR30" s="212" t="n"/>
      <c r="AS30" s="212" t="n"/>
      <c r="AT30" s="212" t="n"/>
    </row>
    <row r="31" ht="13.5" customHeight="1" s="279" thickBot="1">
      <c r="B31" s="23" t="n"/>
      <c r="C31" s="297">
        <f>CONCATENATE("View Synthesis [ ",'Summary (auto)'!$C$3," ]")</f>
        <v/>
      </c>
      <c r="D31" s="273" t="n"/>
      <c r="E31" s="273" t="n"/>
      <c r="F31" s="273" t="n"/>
      <c r="G31" s="273" t="n"/>
      <c r="H31" s="273" t="n"/>
      <c r="I31" s="273" t="n"/>
      <c r="J31" s="273" t="n"/>
      <c r="K31" s="273" t="n"/>
      <c r="L31" s="273" t="n"/>
      <c r="M31" s="273" t="n"/>
      <c r="N31" s="273" t="n"/>
      <c r="O31" s="273" t="n"/>
      <c r="P31" s="273" t="n"/>
      <c r="Q31" s="273" t="n"/>
      <c r="R31" s="298" t="n"/>
      <c r="S31" s="301" t="n"/>
      <c r="T31" s="23" t="n"/>
      <c r="U31" s="297">
        <f>CONCATENATE("View Synthesis [ ",'Summary (auto)'!$C$4," ]")</f>
        <v/>
      </c>
      <c r="V31" s="273" t="n"/>
      <c r="W31" s="273" t="n"/>
      <c r="X31" s="273" t="n"/>
      <c r="Y31" s="273" t="n"/>
      <c r="Z31" s="273" t="n"/>
      <c r="AA31" s="273" t="n"/>
      <c r="AB31" s="273" t="n"/>
      <c r="AC31" s="273" t="n"/>
      <c r="AD31" s="273" t="n"/>
      <c r="AE31" s="273" t="n"/>
      <c r="AF31" s="273" t="n"/>
      <c r="AG31" s="273" t="n"/>
      <c r="AH31" s="273" t="n"/>
      <c r="AI31" s="273" t="n"/>
      <c r="AJ31" s="298" t="n"/>
      <c r="AK31" s="212" t="n"/>
      <c r="AL31" s="212" t="n"/>
      <c r="AM31" s="309" t="inlineStr">
        <is>
          <t>Deltas</t>
        </is>
      </c>
      <c r="AN31" s="283" t="n"/>
      <c r="AO31" s="283" t="n"/>
      <c r="AP31" s="283" t="n"/>
      <c r="AQ31" s="155" t="n"/>
      <c r="AR31" s="212" t="n"/>
      <c r="AS31" s="212" t="n"/>
      <c r="AT31" s="212" t="n"/>
    </row>
    <row r="32" ht="13.5" customHeight="1" s="279" thickBot="1">
      <c r="B32" s="26" t="inlineStr">
        <is>
          <t>View</t>
        </is>
      </c>
      <c r="C32" s="97" t="n"/>
      <c r="D32" s="97" t="n"/>
      <c r="E32" s="301" t="n"/>
      <c r="F32" s="24" t="inlineStr">
        <is>
          <t>RGB-PSNR</t>
        </is>
      </c>
      <c r="G32" s="24" t="inlineStr">
        <is>
          <t>YUV-PSNR</t>
        </is>
      </c>
      <c r="H32" s="24" t="inlineStr">
        <is>
          <t>YUV-SSIM</t>
        </is>
      </c>
      <c r="I32" s="24" t="inlineStr">
        <is>
          <t>YUV-IVSSIM</t>
        </is>
      </c>
      <c r="J32" s="24" t="inlineStr">
        <is>
          <t>LPIPS</t>
        </is>
      </c>
      <c r="K32" s="24" t="n"/>
      <c r="L32" s="121" t="n"/>
      <c r="M32" s="121" t="n"/>
      <c r="N32" s="24" t="n"/>
      <c r="O32" s="355" t="n"/>
      <c r="P32" s="24" t="n"/>
      <c r="Q32" s="24" t="n"/>
      <c r="R32" s="25" t="inlineStr">
        <is>
          <t>Ren T [s]</t>
        </is>
      </c>
      <c r="S32" s="301" t="n"/>
      <c r="T32" s="26" t="inlineStr">
        <is>
          <t>View</t>
        </is>
      </c>
      <c r="U32" s="97" t="n"/>
      <c r="V32" s="97" t="n"/>
      <c r="W32" s="301" t="n"/>
      <c r="X32" s="24" t="inlineStr">
        <is>
          <t>RGB-PSNR</t>
        </is>
      </c>
      <c r="Y32" s="24" t="inlineStr">
        <is>
          <t>YUV-PSNR</t>
        </is>
      </c>
      <c r="Z32" s="24" t="inlineStr">
        <is>
          <t>YUV-SSIM</t>
        </is>
      </c>
      <c r="AA32" s="24" t="inlineStr">
        <is>
          <t>YUV-IVSSIM</t>
        </is>
      </c>
      <c r="AB32" s="24" t="inlineStr">
        <is>
          <t>LPIPS</t>
        </is>
      </c>
      <c r="AC32" s="24" t="n"/>
      <c r="AD32" s="301" t="n"/>
      <c r="AE32" s="301" t="n"/>
      <c r="AF32" s="24" t="n"/>
      <c r="AG32" s="355" t="n"/>
      <c r="AH32" s="24" t="n"/>
      <c r="AI32" s="24" t="n"/>
      <c r="AJ32" s="25" t="inlineStr">
        <is>
          <t>Ren T [s]</t>
        </is>
      </c>
      <c r="AK32" s="212" t="n"/>
      <c r="AL32" s="26" t="inlineStr">
        <is>
          <t>View</t>
        </is>
      </c>
      <c r="AM32" s="101" t="inlineStr">
        <is>
          <t>RGB-PSNR</t>
        </is>
      </c>
      <c r="AN32" s="32" t="inlineStr">
        <is>
          <t>YUV-PSNR</t>
        </is>
      </c>
      <c r="AO32" s="32" t="inlineStr">
        <is>
          <t>YUV-SSIM</t>
        </is>
      </c>
      <c r="AP32" s="32" t="inlineStr">
        <is>
          <t>YUV-IVSSIM</t>
        </is>
      </c>
      <c r="AQ32" s="100" t="inlineStr">
        <is>
          <t>LPIPS</t>
        </is>
      </c>
      <c r="AR32" s="93" t="n"/>
      <c r="AS32" s="348" t="n"/>
      <c r="AT32" s="93" t="n"/>
    </row>
    <row r="33">
      <c r="B33" s="296" t="inlineStr">
        <is>
          <t>v00</t>
        </is>
      </c>
      <c r="C33" s="27" t="inlineStr">
        <is>
          <t>r01</t>
        </is>
      </c>
      <c r="D33" s="41" t="n"/>
      <c r="E33" s="57" t="n"/>
      <c r="F33" s="99" t="n">
        <v>27.577456</v>
      </c>
      <c r="G33" s="99" t="n">
        <v>31.134187</v>
      </c>
      <c r="H33" s="99" t="n">
        <v>0.95943495</v>
      </c>
      <c r="I33" s="62" t="n">
        <v>0.96601981</v>
      </c>
      <c r="J33" s="62" t="n">
        <v>0.08352416999999999</v>
      </c>
      <c r="K33" s="63" t="n"/>
      <c r="L33" s="356" t="n"/>
      <c r="M33" s="356" t="n"/>
      <c r="N33" s="57" t="n"/>
      <c r="O33" s="28" t="n"/>
      <c r="P33" s="57" t="n"/>
      <c r="Q33" s="28" t="n"/>
      <c r="R33" s="134" t="n"/>
      <c r="S33" s="301" t="n"/>
      <c r="T33" s="296" t="inlineStr">
        <is>
          <t>v00</t>
        </is>
      </c>
      <c r="U33" s="27" t="inlineStr">
        <is>
          <t>r01</t>
        </is>
      </c>
      <c r="V33" s="41" t="n"/>
      <c r="W33" s="57" t="n"/>
      <c r="X33" s="99" t="n">
        <v>4.8452</v>
      </c>
      <c r="Y33" s="99" t="n">
        <v>9.837322</v>
      </c>
      <c r="Z33" s="99" t="n">
        <v>0.7650623</v>
      </c>
      <c r="AA33" s="62" t="n">
        <v>0.5700606</v>
      </c>
      <c r="AB33" s="62" t="n">
        <v>0.81137484</v>
      </c>
      <c r="AC33" s="63" t="n"/>
      <c r="AD33" s="356" t="n"/>
      <c r="AE33" s="356" t="n"/>
      <c r="AF33" s="57" t="n"/>
      <c r="AG33" s="28" t="n"/>
      <c r="AH33" s="57" t="n"/>
      <c r="AI33" s="28" t="n"/>
      <c r="AJ33" s="134" t="n"/>
      <c r="AK33" s="212" t="n"/>
      <c r="AL33" s="296" t="inlineStr">
        <is>
          <t>v00</t>
        </is>
      </c>
      <c r="AM33" s="122">
        <f>IF(OR(X33="",F33=""),"",X33-F33)</f>
        <v/>
      </c>
      <c r="AN33" s="98">
        <f>IF(OR(Y33="",G33=""),"",Y33-G33)</f>
        <v/>
      </c>
      <c r="AO33" s="98">
        <f>IF(OR(Z33="",H33=""),"",Z33-H33)</f>
        <v/>
      </c>
      <c r="AP33" s="98">
        <f>IF(OR(AA33="",I33=""),"",AA33-I33)</f>
        <v/>
      </c>
      <c r="AQ33" s="123">
        <f>IF(OR(AB33="",J33=""),"",AB33-J33)</f>
        <v/>
      </c>
      <c r="AR33" s="42" t="n"/>
      <c r="AS33" s="42">
        <f>IF(OR(AD33="",L33=""),"",AD33-L33)</f>
        <v/>
      </c>
      <c r="AT33" s="42">
        <f>IF(OR(AE33="",M33=""),"",AE33-M33)</f>
        <v/>
      </c>
      <c r="AX33" s="12" t="n"/>
      <c r="AZ33" s="12" t="n"/>
    </row>
    <row r="34" ht="13.5" customHeight="1" s="279">
      <c r="B34" s="294" t="n"/>
      <c r="C34" s="29" t="inlineStr">
        <is>
          <t>r02</t>
        </is>
      </c>
      <c r="D34" s="191" t="n"/>
      <c r="E34" s="58" t="n"/>
      <c r="F34" s="192" t="n">
        <v>30.75906</v>
      </c>
      <c r="G34" s="192" t="n">
        <v>34.076341</v>
      </c>
      <c r="H34" s="192" t="n">
        <v>0.97693961</v>
      </c>
      <c r="I34" s="64" t="n">
        <v>0.98018503</v>
      </c>
      <c r="J34" s="64" t="n">
        <v>0.058090188</v>
      </c>
      <c r="K34" s="193" t="n"/>
      <c r="L34" s="357" t="n"/>
      <c r="M34" s="357" t="n"/>
      <c r="N34" s="58" t="n"/>
      <c r="O34" s="30" t="n"/>
      <c r="P34" s="58" t="n"/>
      <c r="Q34" s="30" t="n"/>
      <c r="R34" s="135" t="n"/>
      <c r="S34" s="301" t="n"/>
      <c r="T34" s="294" t="n"/>
      <c r="U34" s="29" t="inlineStr">
        <is>
          <t>r02</t>
        </is>
      </c>
      <c r="V34" s="191" t="n"/>
      <c r="W34" s="58" t="n"/>
      <c r="X34" s="192" t="n">
        <v>4.960903</v>
      </c>
      <c r="Y34" s="192" t="n">
        <v>9.850588999999999</v>
      </c>
      <c r="Z34" s="192" t="n">
        <v>0.76499214</v>
      </c>
      <c r="AA34" s="64" t="n">
        <v>0.57284713</v>
      </c>
      <c r="AB34" s="64" t="n">
        <v>0.81470203</v>
      </c>
      <c r="AC34" s="193" t="n"/>
      <c r="AD34" s="357" t="n"/>
      <c r="AE34" s="357" t="n"/>
      <c r="AF34" s="58" t="n"/>
      <c r="AG34" s="30" t="n"/>
      <c r="AH34" s="58" t="n"/>
      <c r="AI34" s="30" t="n"/>
      <c r="AJ34" s="135" t="n"/>
      <c r="AK34" s="212" t="n"/>
      <c r="AL34" s="294" t="n"/>
      <c r="AM34" s="89">
        <f>IF(OR(X34="",F34=""),"",X34-F34)</f>
        <v/>
      </c>
      <c r="AN34" s="124">
        <f>IF(OR(Y34="",G34=""),"",Y34-G34)</f>
        <v/>
      </c>
      <c r="AO34" s="124">
        <f>IF(OR(Z34="",H34=""),"",Z34-H34)</f>
        <v/>
      </c>
      <c r="AP34" s="124">
        <f>IF(OR(AA34="",I34=""),"",AA34-I34)</f>
        <v/>
      </c>
      <c r="AQ34" s="90">
        <f>IF(OR(AB34="",J34=""),"",AB34-J34)</f>
        <v/>
      </c>
      <c r="AR34" s="42" t="n"/>
      <c r="AS34" s="42">
        <f>IF(OR(AD34="",L34=""),"",AD34-L34)</f>
        <v/>
      </c>
      <c r="AT34" s="42">
        <f>IF(OR(AE34="",M34=""),"",AE34-M34)</f>
        <v/>
      </c>
      <c r="AX34" s="12" t="n"/>
      <c r="AZ34" s="12" t="n"/>
    </row>
    <row r="35" ht="13.5" customHeight="1" s="279">
      <c r="B35" s="294" t="n"/>
      <c r="C35" s="29" t="inlineStr">
        <is>
          <t>r03</t>
        </is>
      </c>
      <c r="D35" s="191" t="n"/>
      <c r="E35" s="58" t="n"/>
      <c r="F35" s="192" t="n">
        <v>34.701622</v>
      </c>
      <c r="G35" s="192" t="n">
        <v>39.048186</v>
      </c>
      <c r="H35" s="192" t="n">
        <v>0.98871198</v>
      </c>
      <c r="I35" s="64" t="n">
        <v>0.99178216</v>
      </c>
      <c r="J35" s="64" t="n">
        <v>0.033094823</v>
      </c>
      <c r="K35" s="193" t="n"/>
      <c r="L35" s="357" t="n"/>
      <c r="M35" s="357" t="n"/>
      <c r="N35" s="58" t="n"/>
      <c r="O35" s="30" t="n"/>
      <c r="P35" s="58" t="n"/>
      <c r="Q35" s="30" t="n"/>
      <c r="R35" s="135" t="n"/>
      <c r="S35" s="301" t="n"/>
      <c r="T35" s="294" t="n"/>
      <c r="U35" s="29" t="inlineStr">
        <is>
          <t>r03</t>
        </is>
      </c>
      <c r="V35" s="191" t="n"/>
      <c r="W35" s="58" t="n"/>
      <c r="X35" s="192" t="n">
        <v>4.983689</v>
      </c>
      <c r="Y35" s="192" t="n">
        <v>9.854146999999999</v>
      </c>
      <c r="Z35" s="192" t="n">
        <v>0.76501797</v>
      </c>
      <c r="AA35" s="64" t="n">
        <v>0.57344995</v>
      </c>
      <c r="AB35" s="64" t="n">
        <v>0.8154787999999999</v>
      </c>
      <c r="AC35" s="193" t="n"/>
      <c r="AD35" s="357" t="n"/>
      <c r="AE35" s="357" t="n"/>
      <c r="AF35" s="58" t="n"/>
      <c r="AG35" s="30" t="n"/>
      <c r="AH35" s="58" t="n"/>
      <c r="AI35" s="30" t="n"/>
      <c r="AJ35" s="135" t="n"/>
      <c r="AK35" s="212" t="n"/>
      <c r="AL35" s="294" t="n"/>
      <c r="AM35" s="89">
        <f>IF(OR(X35="",F35=""),"",X35-F35)</f>
        <v/>
      </c>
      <c r="AN35" s="124">
        <f>IF(OR(Y35="",G35=""),"",Y35-G35)</f>
        <v/>
      </c>
      <c r="AO35" s="124">
        <f>IF(OR(Z35="",H35=""),"",Z35-H35)</f>
        <v/>
      </c>
      <c r="AP35" s="124">
        <f>IF(OR(AA35="",I35=""),"",AA35-I35)</f>
        <v/>
      </c>
      <c r="AQ35" s="90">
        <f>IF(OR(AB35="",J35=""),"",AB35-J35)</f>
        <v/>
      </c>
      <c r="AR35" s="42" t="n"/>
      <c r="AS35" s="42">
        <f>IF(OR(AD35="",L35=""),"",AD35-L35)</f>
        <v/>
      </c>
      <c r="AT35" s="42">
        <f>IF(OR(AE35="",M35=""),"",AE35-M35)</f>
        <v/>
      </c>
      <c r="AX35" s="12" t="n"/>
      <c r="AZ35" s="12" t="n"/>
    </row>
    <row r="36" ht="13.5" customHeight="1" s="279">
      <c r="B36" s="294" t="n"/>
      <c r="C36" s="29" t="inlineStr">
        <is>
          <t>r04</t>
        </is>
      </c>
      <c r="D36" s="191" t="n"/>
      <c r="E36" s="58" t="n"/>
      <c r="F36" s="192" t="n">
        <v>37.28514</v>
      </c>
      <c r="G36" s="192" t="n">
        <v>41.695649</v>
      </c>
      <c r="H36" s="192" t="n">
        <v>0.99349675</v>
      </c>
      <c r="I36" s="64" t="n">
        <v>0.99566268</v>
      </c>
      <c r="J36" s="64" t="n">
        <v>0.019023346</v>
      </c>
      <c r="K36" s="193" t="n"/>
      <c r="L36" s="357" t="n"/>
      <c r="M36" s="357" t="n"/>
      <c r="N36" s="58" t="n"/>
      <c r="O36" s="30" t="n"/>
      <c r="P36" s="58" t="n"/>
      <c r="Q36" s="30" t="n"/>
      <c r="R36" s="135" t="n"/>
      <c r="S36" s="301" t="n"/>
      <c r="T36" s="294" t="n"/>
      <c r="U36" s="29" t="inlineStr">
        <is>
          <t>r04</t>
        </is>
      </c>
      <c r="V36" s="191" t="n"/>
      <c r="W36" s="58" t="n"/>
      <c r="X36" s="192" t="n">
        <v>5.005444</v>
      </c>
      <c r="Y36" s="192" t="n">
        <v>9.857226000000001</v>
      </c>
      <c r="Z36" s="192" t="n">
        <v>0.76497963</v>
      </c>
      <c r="AA36" s="64" t="n">
        <v>0.57395494</v>
      </c>
      <c r="AB36" s="64" t="n">
        <v>0.8161144</v>
      </c>
      <c r="AC36" s="193" t="n"/>
      <c r="AD36" s="357" t="n"/>
      <c r="AE36" s="357" t="n"/>
      <c r="AF36" s="58" t="n"/>
      <c r="AG36" s="30" t="n"/>
      <c r="AH36" s="58" t="n"/>
      <c r="AI36" s="30" t="n"/>
      <c r="AJ36" s="135" t="n"/>
      <c r="AK36" s="212" t="n"/>
      <c r="AL36" s="294" t="n"/>
      <c r="AM36" s="89">
        <f>IF(OR(X36="",F36=""),"",X36-F36)</f>
        <v/>
      </c>
      <c r="AN36" s="124">
        <f>IF(OR(Y36="",G36=""),"",Y36-G36)</f>
        <v/>
      </c>
      <c r="AO36" s="124">
        <f>IF(OR(Z36="",H36=""),"",Z36-H36)</f>
        <v/>
      </c>
      <c r="AP36" s="124">
        <f>IF(OR(AA36="",I36=""),"",AA36-I36)</f>
        <v/>
      </c>
      <c r="AQ36" s="90">
        <f>IF(OR(AB36="",J36=""),"",AB36-J36)</f>
        <v/>
      </c>
      <c r="AR36" s="42" t="n"/>
      <c r="AS36" s="42">
        <f>IF(OR(AD36="",L36=""),"",AD36-L36)</f>
        <v/>
      </c>
      <c r="AT36" s="42">
        <f>IF(OR(AE36="",M36=""),"",AE36-M36)</f>
        <v/>
      </c>
      <c r="AX36" s="12" t="n"/>
      <c r="AZ36" s="12" t="n"/>
    </row>
    <row r="37" ht="13.5" customHeight="1" s="279" thickBot="1">
      <c r="B37" s="294" t="n"/>
      <c r="C37" s="29" t="n"/>
      <c r="D37" s="191" t="n"/>
      <c r="E37" s="58" t="n"/>
      <c r="F37" s="194" t="n"/>
      <c r="G37" s="194" t="n"/>
      <c r="H37" s="194" t="n"/>
      <c r="I37" s="58" t="n"/>
      <c r="J37" s="58" t="n"/>
      <c r="K37" s="193" t="n"/>
      <c r="L37" s="357" t="n"/>
      <c r="M37" s="357" t="n"/>
      <c r="N37" s="58" t="n"/>
      <c r="O37" s="30" t="n"/>
      <c r="P37" s="58" t="n"/>
      <c r="Q37" s="30" t="n"/>
      <c r="R37" s="189" t="n"/>
      <c r="S37" s="301" t="n"/>
      <c r="T37" s="294" t="n"/>
      <c r="U37" s="29" t="n"/>
      <c r="V37" s="191" t="n"/>
      <c r="W37" s="58" t="n"/>
      <c r="X37" s="194" t="n"/>
      <c r="Y37" s="194" t="n"/>
      <c r="Z37" s="194" t="n"/>
      <c r="AA37" s="58" t="n"/>
      <c r="AB37" s="58" t="n"/>
      <c r="AC37" s="193" t="n"/>
      <c r="AD37" s="357" t="n"/>
      <c r="AE37" s="357" t="n"/>
      <c r="AF37" s="58" t="n"/>
      <c r="AG37" s="30" t="n"/>
      <c r="AH37" s="58" t="n"/>
      <c r="AI37" s="30" t="n"/>
      <c r="AJ37" s="189" t="n"/>
      <c r="AK37" s="212" t="n"/>
      <c r="AL37" s="294" t="n"/>
      <c r="AM37" s="125">
        <f>IF(OR(X37="",F37=""),"",X37-F37)</f>
        <v/>
      </c>
      <c r="AN37" s="126">
        <f>IF(OR(Y37="",G37=""),"",Y37-G37)</f>
        <v/>
      </c>
      <c r="AO37" s="126">
        <f>IF(OR(Z37="",H37=""),"",Z37-H37)</f>
        <v/>
      </c>
      <c r="AP37" s="126">
        <f>IF(OR(AA37="",I37=""),"",AA37-I37)</f>
        <v/>
      </c>
      <c r="AQ37" s="127">
        <f>IF(OR(AB37="",J37=""),"",AB37-J37)</f>
        <v/>
      </c>
      <c r="AR37" s="42" t="n"/>
      <c r="AS37" s="42">
        <f>IF(OR(AD37="",L37=""),"",AD37-L37)</f>
        <v/>
      </c>
      <c r="AT37" s="42">
        <f>IF(OR(AE37="",M37=""),"",AE37-M37)</f>
        <v/>
      </c>
      <c r="AX37" s="12" t="n"/>
      <c r="AZ37" s="12" t="n"/>
    </row>
    <row r="38">
      <c r="B38" s="296" t="inlineStr">
        <is>
          <t>v01</t>
        </is>
      </c>
      <c r="C38" s="27" t="inlineStr">
        <is>
          <t>r01</t>
        </is>
      </c>
      <c r="D38" s="41" t="n"/>
      <c r="E38" s="57" t="n"/>
      <c r="F38" s="99" t="n">
        <v>28.193349</v>
      </c>
      <c r="G38" s="99" t="n">
        <v>31.808422</v>
      </c>
      <c r="H38" s="99" t="n">
        <v>0.96085564</v>
      </c>
      <c r="I38" s="62" t="n">
        <v>0.96608456</v>
      </c>
      <c r="J38" s="62" t="n">
        <v>0.076065704</v>
      </c>
      <c r="K38" s="63" t="n"/>
      <c r="L38" s="356" t="n"/>
      <c r="M38" s="356" t="n"/>
      <c r="N38" s="57" t="n"/>
      <c r="O38" s="28" t="n"/>
      <c r="P38" s="57" t="n"/>
      <c r="Q38" s="28" t="n"/>
      <c r="R38" s="134" t="n"/>
      <c r="S38" s="301" t="n"/>
      <c r="T38" s="296" t="inlineStr">
        <is>
          <t>v01</t>
        </is>
      </c>
      <c r="U38" s="27" t="inlineStr">
        <is>
          <t>r01</t>
        </is>
      </c>
      <c r="V38" s="41" t="n"/>
      <c r="W38" s="57" t="n"/>
      <c r="X38" s="99" t="n">
        <v>4.996248</v>
      </c>
      <c r="Y38" s="99" t="n">
        <v>9.896535</v>
      </c>
      <c r="Z38" s="99" t="n">
        <v>0.76551285</v>
      </c>
      <c r="AA38" s="62" t="n">
        <v>0.58041588</v>
      </c>
      <c r="AB38" s="62" t="n">
        <v>0.8178441</v>
      </c>
      <c r="AC38" s="63" t="n"/>
      <c r="AD38" s="356" t="n"/>
      <c r="AE38" s="356" t="n"/>
      <c r="AF38" s="57" t="n"/>
      <c r="AG38" s="28" t="n"/>
      <c r="AH38" s="57" t="n"/>
      <c r="AI38" s="28" t="n"/>
      <c r="AJ38" s="134" t="n"/>
      <c r="AK38" s="212" t="n"/>
      <c r="AL38" s="296" t="inlineStr">
        <is>
          <t>v01</t>
        </is>
      </c>
      <c r="AM38" s="122">
        <f>IF(OR(X38="",F38=""),"",X38-F38)</f>
        <v/>
      </c>
      <c r="AN38" s="98">
        <f>IF(OR(Y38="",G38=""),"",Y38-G38)</f>
        <v/>
      </c>
      <c r="AO38" s="98">
        <f>IF(OR(Z38="",H38=""),"",Z38-H38)</f>
        <v/>
      </c>
      <c r="AP38" s="98">
        <f>IF(OR(AA38="",I38=""),"",AA38-I38)</f>
        <v/>
      </c>
      <c r="AQ38" s="123">
        <f>IF(OR(AB38="",J38=""),"",AB38-J38)</f>
        <v/>
      </c>
      <c r="AR38" s="42" t="n"/>
      <c r="AS38" s="42">
        <f>IF(OR(AD38="",L38=""),"",AD38-L38)</f>
        <v/>
      </c>
      <c r="AT38" s="42">
        <f>IF(OR(AE38="",M38=""),"",AE38-M38)</f>
        <v/>
      </c>
      <c r="AX38" s="12" t="n"/>
      <c r="AZ38" s="12" t="n"/>
    </row>
    <row r="39" ht="13.5" customHeight="1" s="279">
      <c r="B39" s="294" t="n"/>
      <c r="C39" s="29" t="inlineStr">
        <is>
          <t>r02</t>
        </is>
      </c>
      <c r="D39" s="191" t="n"/>
      <c r="E39" s="58" t="n"/>
      <c r="F39" s="192" t="n">
        <v>31.252689</v>
      </c>
      <c r="G39" s="192" t="n">
        <v>34.732501</v>
      </c>
      <c r="H39" s="192" t="n">
        <v>0.97719151</v>
      </c>
      <c r="I39" s="64" t="n">
        <v>0.98035266</v>
      </c>
      <c r="J39" s="64" t="n">
        <v>0.05401306</v>
      </c>
      <c r="K39" s="193" t="n"/>
      <c r="L39" s="357" t="n"/>
      <c r="M39" s="357" t="n"/>
      <c r="N39" s="58" t="n"/>
      <c r="O39" s="30" t="n"/>
      <c r="P39" s="58" t="n"/>
      <c r="Q39" s="30" t="n"/>
      <c r="R39" s="135" t="n"/>
      <c r="S39" s="301" t="n"/>
      <c r="T39" s="294" t="n"/>
      <c r="U39" s="29" t="inlineStr">
        <is>
          <t>r02</t>
        </is>
      </c>
      <c r="V39" s="191" t="n"/>
      <c r="W39" s="58" t="n"/>
      <c r="X39" s="192" t="n">
        <v>5.109115</v>
      </c>
      <c r="Y39" s="192" t="n">
        <v>9.899576</v>
      </c>
      <c r="Z39" s="192" t="n">
        <v>0.76545429</v>
      </c>
      <c r="AA39" s="64" t="n">
        <v>0.58365272</v>
      </c>
      <c r="AB39" s="64" t="n">
        <v>0.82124805</v>
      </c>
      <c r="AC39" s="193" t="n"/>
      <c r="AD39" s="357" t="n"/>
      <c r="AE39" s="357" t="n"/>
      <c r="AF39" s="58" t="n"/>
      <c r="AG39" s="30" t="n"/>
      <c r="AH39" s="58" t="n"/>
      <c r="AI39" s="30" t="n"/>
      <c r="AJ39" s="135" t="n"/>
      <c r="AK39" s="212" t="n"/>
      <c r="AL39" s="294" t="n"/>
      <c r="AM39" s="89">
        <f>IF(OR(X39="",F39=""),"",X39-F39)</f>
        <v/>
      </c>
      <c r="AN39" s="124">
        <f>IF(OR(Y39="",G39=""),"",Y39-G39)</f>
        <v/>
      </c>
      <c r="AO39" s="124">
        <f>IF(OR(Z39="",H39=""),"",Z39-H39)</f>
        <v/>
      </c>
      <c r="AP39" s="124">
        <f>IF(OR(AA39="",I39=""),"",AA39-I39)</f>
        <v/>
      </c>
      <c r="AQ39" s="90">
        <f>IF(OR(AB39="",J39=""),"",AB39-J39)</f>
        <v/>
      </c>
      <c r="AR39" s="42" t="n"/>
      <c r="AS39" s="42">
        <f>IF(OR(AD39="",L39=""),"",AD39-L39)</f>
        <v/>
      </c>
      <c r="AT39" s="42">
        <f>IF(OR(AE39="",M39=""),"",AE39-M39)</f>
        <v/>
      </c>
      <c r="AX39" s="12" t="n"/>
      <c r="AZ39" s="12" t="n"/>
    </row>
    <row r="40" ht="13.5" customHeight="1" s="279">
      <c r="B40" s="294" t="n"/>
      <c r="C40" s="29" t="inlineStr">
        <is>
          <t>r03</t>
        </is>
      </c>
      <c r="D40" s="191" t="n"/>
      <c r="E40" s="58" t="n"/>
      <c r="F40" s="192" t="n">
        <v>35.001337</v>
      </c>
      <c r="G40" s="192" t="n">
        <v>39.219679</v>
      </c>
      <c r="H40" s="192" t="n">
        <v>0.98841422</v>
      </c>
      <c r="I40" s="64" t="n">
        <v>0.9914191</v>
      </c>
      <c r="J40" s="64" t="n">
        <v>0.031824816</v>
      </c>
      <c r="K40" s="193" t="n"/>
      <c r="L40" s="357" t="n"/>
      <c r="M40" s="357" t="n"/>
      <c r="N40" s="58" t="n"/>
      <c r="O40" s="30" t="n"/>
      <c r="P40" s="58" t="n"/>
      <c r="Q40" s="30" t="n"/>
      <c r="R40" s="135" t="n"/>
      <c r="S40" s="301" t="n"/>
      <c r="T40" s="294" t="n"/>
      <c r="U40" s="29" t="inlineStr">
        <is>
          <t>r03</t>
        </is>
      </c>
      <c r="V40" s="191" t="n"/>
      <c r="W40" s="58" t="n"/>
      <c r="X40" s="192" t="n">
        <v>5.080882</v>
      </c>
      <c r="Y40" s="192" t="n">
        <v>9.896190000000001</v>
      </c>
      <c r="Z40" s="192" t="n">
        <v>0.76520291</v>
      </c>
      <c r="AA40" s="64" t="n">
        <v>0.5829326500000001</v>
      </c>
      <c r="AB40" s="64" t="n">
        <v>0.8202066</v>
      </c>
      <c r="AC40" s="193" t="n"/>
      <c r="AD40" s="357" t="n"/>
      <c r="AE40" s="357" t="n"/>
      <c r="AF40" s="58" t="n"/>
      <c r="AG40" s="30" t="n"/>
      <c r="AH40" s="58" t="n"/>
      <c r="AI40" s="30" t="n"/>
      <c r="AJ40" s="135" t="n"/>
      <c r="AK40" s="212" t="n"/>
      <c r="AL40" s="294" t="n"/>
      <c r="AM40" s="89">
        <f>IF(OR(X40="",F40=""),"",X40-F40)</f>
        <v/>
      </c>
      <c r="AN40" s="124">
        <f>IF(OR(Y40="",G40=""),"",Y40-G40)</f>
        <v/>
      </c>
      <c r="AO40" s="124">
        <f>IF(OR(Z40="",H40=""),"",Z40-H40)</f>
        <v/>
      </c>
      <c r="AP40" s="124">
        <f>IF(OR(AA40="",I40=""),"",AA40-I40)</f>
        <v/>
      </c>
      <c r="AQ40" s="90">
        <f>IF(OR(AB40="",J40=""),"",AB40-J40)</f>
        <v/>
      </c>
      <c r="AR40" s="42" t="n"/>
      <c r="AS40" s="42">
        <f>IF(OR(AD40="",L40=""),"",AD40-L40)</f>
        <v/>
      </c>
      <c r="AT40" s="42">
        <f>IF(OR(AE40="",M40=""),"",AE40-M40)</f>
        <v/>
      </c>
      <c r="AX40" s="12" t="n"/>
      <c r="AZ40" s="12" t="n"/>
    </row>
    <row r="41" ht="13.5" customHeight="1" s="279">
      <c r="B41" s="294" t="n"/>
      <c r="C41" s="29" t="inlineStr">
        <is>
          <t>r04</t>
        </is>
      </c>
      <c r="D41" s="191" t="n"/>
      <c r="E41" s="58" t="n"/>
      <c r="F41" s="192" t="n">
        <v>37.389982</v>
      </c>
      <c r="G41" s="192" t="n">
        <v>41.763351</v>
      </c>
      <c r="H41" s="192" t="n">
        <v>0.99333021</v>
      </c>
      <c r="I41" s="64" t="n">
        <v>0.9955091</v>
      </c>
      <c r="J41" s="64" t="n">
        <v>0.018921694</v>
      </c>
      <c r="K41" s="193" t="n"/>
      <c r="L41" s="357" t="n"/>
      <c r="M41" s="357" t="n"/>
      <c r="N41" s="58" t="n"/>
      <c r="O41" s="30" t="n"/>
      <c r="P41" s="58" t="n"/>
      <c r="Q41" s="30" t="n"/>
      <c r="R41" s="135" t="n"/>
      <c r="S41" s="301" t="n"/>
      <c r="T41" s="294" t="n"/>
      <c r="U41" s="29" t="inlineStr">
        <is>
          <t>r04</t>
        </is>
      </c>
      <c r="V41" s="191" t="n"/>
      <c r="W41" s="58" t="n"/>
      <c r="X41" s="192" t="n">
        <v>5.079813</v>
      </c>
      <c r="Y41" s="192" t="n">
        <v>9.895858</v>
      </c>
      <c r="Z41" s="192" t="n">
        <v>0.76536068</v>
      </c>
      <c r="AA41" s="64" t="n">
        <v>0.58290145</v>
      </c>
      <c r="AB41" s="64" t="n">
        <v>0.82080567</v>
      </c>
      <c r="AC41" s="193" t="n"/>
      <c r="AD41" s="357" t="n"/>
      <c r="AE41" s="357" t="n"/>
      <c r="AF41" s="58" t="n"/>
      <c r="AG41" s="30" t="n"/>
      <c r="AH41" s="58" t="n"/>
      <c r="AI41" s="30" t="n"/>
      <c r="AJ41" s="135" t="n"/>
      <c r="AK41" s="212" t="n"/>
      <c r="AL41" s="294" t="n"/>
      <c r="AM41" s="89">
        <f>IF(OR(X41="",F41=""),"",X41-F41)</f>
        <v/>
      </c>
      <c r="AN41" s="124">
        <f>IF(OR(Y41="",G41=""),"",Y41-G41)</f>
        <v/>
      </c>
      <c r="AO41" s="124">
        <f>IF(OR(Z41="",H41=""),"",Z41-H41)</f>
        <v/>
      </c>
      <c r="AP41" s="124">
        <f>IF(OR(AA41="",I41=""),"",AA41-I41)</f>
        <v/>
      </c>
      <c r="AQ41" s="90">
        <f>IF(OR(AB41="",J41=""),"",AB41-J41)</f>
        <v/>
      </c>
      <c r="AR41" s="42" t="n"/>
      <c r="AS41" s="42">
        <f>IF(OR(AD41="",L41=""),"",AD41-L41)</f>
        <v/>
      </c>
      <c r="AT41" s="42">
        <f>IF(OR(AE41="",M41=""),"",AE41-M41)</f>
        <v/>
      </c>
      <c r="AX41" s="12" t="n"/>
      <c r="AZ41" s="12" t="n"/>
    </row>
    <row r="42" ht="13.5" customHeight="1" s="279" thickBot="1">
      <c r="B42" s="294" t="n"/>
      <c r="C42" s="29" t="n"/>
      <c r="D42" s="191" t="n"/>
      <c r="E42" s="58" t="n"/>
      <c r="F42" s="194" t="n"/>
      <c r="G42" s="194" t="n"/>
      <c r="H42" s="194" t="n"/>
      <c r="I42" s="58" t="n"/>
      <c r="J42" s="58" t="n"/>
      <c r="K42" s="193" t="n"/>
      <c r="L42" s="357" t="n"/>
      <c r="M42" s="357" t="n"/>
      <c r="N42" s="58" t="n"/>
      <c r="O42" s="30" t="n"/>
      <c r="P42" s="58" t="n"/>
      <c r="Q42" s="30" t="n"/>
      <c r="R42" s="189" t="n"/>
      <c r="S42" s="301" t="n"/>
      <c r="T42" s="294" t="n"/>
      <c r="U42" s="29" t="n"/>
      <c r="V42" s="191" t="n"/>
      <c r="W42" s="58" t="n"/>
      <c r="X42" s="194" t="n"/>
      <c r="Y42" s="194" t="n"/>
      <c r="Z42" s="194" t="n"/>
      <c r="AA42" s="58" t="n"/>
      <c r="AB42" s="58" t="n"/>
      <c r="AC42" s="193" t="n"/>
      <c r="AD42" s="357" t="n"/>
      <c r="AE42" s="357" t="n"/>
      <c r="AF42" s="58" t="n"/>
      <c r="AG42" s="30" t="n"/>
      <c r="AH42" s="58" t="n"/>
      <c r="AI42" s="30" t="n"/>
      <c r="AJ42" s="189" t="n"/>
      <c r="AK42" s="212" t="n"/>
      <c r="AL42" s="294" t="n"/>
      <c r="AM42" s="125">
        <f>IF(OR(X42="",F42=""),"",X42-F42)</f>
        <v/>
      </c>
      <c r="AN42" s="126">
        <f>IF(OR(Y42="",G42=""),"",Y42-G42)</f>
        <v/>
      </c>
      <c r="AO42" s="126">
        <f>IF(OR(Z42="",H42=""),"",Z42-H42)</f>
        <v/>
      </c>
      <c r="AP42" s="126">
        <f>IF(OR(AA42="",I42=""),"",AA42-I42)</f>
        <v/>
      </c>
      <c r="AQ42" s="127">
        <f>IF(OR(AB42="",J42=""),"",AB42-J42)</f>
        <v/>
      </c>
      <c r="AR42" s="42" t="n"/>
      <c r="AS42" s="42">
        <f>IF(OR(AD42="",L42=""),"",AD42-L42)</f>
        <v/>
      </c>
      <c r="AT42" s="42">
        <f>IF(OR(AE42="",M42=""),"",AE42-M42)</f>
        <v/>
      </c>
      <c r="AX42" s="12" t="n"/>
      <c r="AZ42" s="12" t="n"/>
    </row>
    <row r="43">
      <c r="B43" s="296" t="inlineStr">
        <is>
          <t>v02</t>
        </is>
      </c>
      <c r="C43" s="27" t="inlineStr">
        <is>
          <t>r01</t>
        </is>
      </c>
      <c r="D43" s="41" t="n"/>
      <c r="E43" s="57" t="n"/>
      <c r="F43" s="99" t="n">
        <v>28.768204</v>
      </c>
      <c r="G43" s="99" t="n">
        <v>32.40965</v>
      </c>
      <c r="H43" s="99" t="n">
        <v>0.96211439</v>
      </c>
      <c r="I43" s="62" t="n">
        <v>0.9677975</v>
      </c>
      <c r="J43" s="62" t="n">
        <v>0.07461022</v>
      </c>
      <c r="K43" s="63" t="n"/>
      <c r="L43" s="356" t="n"/>
      <c r="M43" s="356" t="n"/>
      <c r="N43" s="57" t="n"/>
      <c r="O43" s="28" t="n"/>
      <c r="P43" s="57" t="n"/>
      <c r="Q43" s="28" t="n"/>
      <c r="R43" s="134" t="n"/>
      <c r="S43" s="301" t="n"/>
      <c r="T43" s="296" t="inlineStr">
        <is>
          <t>v02</t>
        </is>
      </c>
      <c r="U43" s="27" t="inlineStr">
        <is>
          <t>r01</t>
        </is>
      </c>
      <c r="V43" s="41" t="n"/>
      <c r="W43" s="57" t="n"/>
      <c r="X43" s="99" t="n">
        <v>5.01939</v>
      </c>
      <c r="Y43" s="99" t="n">
        <v>9.870901999999999</v>
      </c>
      <c r="Z43" s="99" t="n">
        <v>0.76400769</v>
      </c>
      <c r="AA43" s="62" t="n">
        <v>0.58106824</v>
      </c>
      <c r="AB43" s="62" t="n">
        <v>0.82221437</v>
      </c>
      <c r="AC43" s="63" t="n"/>
      <c r="AD43" s="356" t="n"/>
      <c r="AE43" s="356" t="n"/>
      <c r="AF43" s="57" t="n"/>
      <c r="AG43" s="28" t="n"/>
      <c r="AH43" s="57" t="n"/>
      <c r="AI43" s="28" t="n"/>
      <c r="AJ43" s="134" t="n"/>
      <c r="AK43" s="212" t="n"/>
      <c r="AL43" s="296" t="inlineStr">
        <is>
          <t>v02</t>
        </is>
      </c>
      <c r="AM43" s="122">
        <f>IF(OR(X43="",F43=""),"",X43-F43)</f>
        <v/>
      </c>
      <c r="AN43" s="98">
        <f>IF(OR(Y43="",G43=""),"",Y43-G43)</f>
        <v/>
      </c>
      <c r="AO43" s="98">
        <f>IF(OR(Z43="",H43=""),"",Z43-H43)</f>
        <v/>
      </c>
      <c r="AP43" s="98">
        <f>IF(OR(AA43="",I43=""),"",AA43-I43)</f>
        <v/>
      </c>
      <c r="AQ43" s="123">
        <f>IF(OR(AB43="",J43=""),"",AB43-J43)</f>
        <v/>
      </c>
      <c r="AR43" s="42" t="n"/>
      <c r="AS43" s="42">
        <f>IF(OR(AD43="",L43=""),"",AD43-L43)</f>
        <v/>
      </c>
      <c r="AT43" s="42">
        <f>IF(OR(AE43="",M43=""),"",AE43-M43)</f>
        <v/>
      </c>
      <c r="AX43" s="12" t="n"/>
      <c r="AZ43" s="12" t="n"/>
    </row>
    <row r="44" ht="13.5" customHeight="1" s="279">
      <c r="B44" s="294" t="n"/>
      <c r="C44" s="29" t="inlineStr">
        <is>
          <t>r02</t>
        </is>
      </c>
      <c r="D44" s="191" t="n"/>
      <c r="E44" s="58" t="n"/>
      <c r="F44" s="192" t="n">
        <v>31.693357</v>
      </c>
      <c r="G44" s="192" t="n">
        <v>35.252953</v>
      </c>
      <c r="H44" s="192" t="n">
        <v>0.97751455</v>
      </c>
      <c r="I44" s="64" t="n">
        <v>0.98098412</v>
      </c>
      <c r="J44" s="64" t="n">
        <v>0.05005274</v>
      </c>
      <c r="K44" s="193" t="n"/>
      <c r="L44" s="357" t="n"/>
      <c r="M44" s="357" t="n"/>
      <c r="N44" s="58" t="n"/>
      <c r="O44" s="30" t="n"/>
      <c r="P44" s="58" t="n"/>
      <c r="Q44" s="30" t="n"/>
      <c r="R44" s="135" t="n"/>
      <c r="S44" s="301" t="n"/>
      <c r="T44" s="294" t="n"/>
      <c r="U44" s="29" t="inlineStr">
        <is>
          <t>r02</t>
        </is>
      </c>
      <c r="V44" s="191" t="n"/>
      <c r="W44" s="58" t="n"/>
      <c r="X44" s="192" t="n">
        <v>5.130065</v>
      </c>
      <c r="Y44" s="192" t="n">
        <v>9.871359</v>
      </c>
      <c r="Z44" s="192" t="n">
        <v>0.76743067</v>
      </c>
      <c r="AA44" s="64" t="n">
        <v>0.5868072600000001</v>
      </c>
      <c r="AB44" s="64" t="n">
        <v>0.8264428</v>
      </c>
      <c r="AC44" s="193" t="n"/>
      <c r="AD44" s="357" t="n"/>
      <c r="AE44" s="357" t="n"/>
      <c r="AF44" s="58" t="n"/>
      <c r="AG44" s="30" t="n"/>
      <c r="AH44" s="58" t="n"/>
      <c r="AI44" s="30" t="n"/>
      <c r="AJ44" s="135" t="n"/>
      <c r="AK44" s="212" t="n"/>
      <c r="AL44" s="294" t="n"/>
      <c r="AM44" s="89">
        <f>IF(OR(X44="",F44=""),"",X44-F44)</f>
        <v/>
      </c>
      <c r="AN44" s="124">
        <f>IF(OR(Y44="",G44=""),"",Y44-G44)</f>
        <v/>
      </c>
      <c r="AO44" s="124">
        <f>IF(OR(Z44="",H44=""),"",Z44-H44)</f>
        <v/>
      </c>
      <c r="AP44" s="124">
        <f>IF(OR(AA44="",I44=""),"",AA44-I44)</f>
        <v/>
      </c>
      <c r="AQ44" s="90">
        <f>IF(OR(AB44="",J44=""),"",AB44-J44)</f>
        <v/>
      </c>
      <c r="AR44" s="42" t="n"/>
      <c r="AS44" s="42">
        <f>IF(OR(AD44="",L44=""),"",AD44-L44)</f>
        <v/>
      </c>
      <c r="AT44" s="42">
        <f>IF(OR(AE44="",M44=""),"",AE44-M44)</f>
        <v/>
      </c>
      <c r="AX44" s="12" t="n"/>
      <c r="AZ44" s="12" t="n"/>
    </row>
    <row r="45" ht="13.5" customHeight="1" s="279">
      <c r="B45" s="294" t="n"/>
      <c r="C45" s="29" t="inlineStr">
        <is>
          <t>r03</t>
        </is>
      </c>
      <c r="D45" s="191" t="n"/>
      <c r="E45" s="58" t="n"/>
      <c r="F45" s="192" t="n">
        <v>35.019259</v>
      </c>
      <c r="G45" s="192" t="n">
        <v>39.28616</v>
      </c>
      <c r="H45" s="192" t="n">
        <v>0.98840072</v>
      </c>
      <c r="I45" s="64" t="n">
        <v>0.99148995</v>
      </c>
      <c r="J45" s="64" t="n">
        <v>0.0325097</v>
      </c>
      <c r="K45" s="193" t="n"/>
      <c r="L45" s="357" t="n"/>
      <c r="M45" s="357" t="n"/>
      <c r="N45" s="58" t="n"/>
      <c r="O45" s="30" t="n"/>
      <c r="P45" s="58" t="n"/>
      <c r="Q45" s="30" t="n"/>
      <c r="R45" s="135" t="n"/>
      <c r="S45" s="301" t="n"/>
      <c r="T45" s="294" t="n"/>
      <c r="U45" s="29" t="inlineStr">
        <is>
          <t>r03</t>
        </is>
      </c>
      <c r="V45" s="191" t="n"/>
      <c r="W45" s="58" t="n"/>
      <c r="X45" s="192" t="n">
        <v>5.099987</v>
      </c>
      <c r="Y45" s="192" t="n">
        <v>9.866759999999999</v>
      </c>
      <c r="Z45" s="192" t="n">
        <v>0.76711359</v>
      </c>
      <c r="AA45" s="64" t="n">
        <v>0.58547821</v>
      </c>
      <c r="AB45" s="64" t="n">
        <v>0.824538</v>
      </c>
      <c r="AC45" s="193" t="n"/>
      <c r="AD45" s="357" t="n"/>
      <c r="AE45" s="357" t="n"/>
      <c r="AF45" s="58" t="n"/>
      <c r="AG45" s="30" t="n"/>
      <c r="AH45" s="58" t="n"/>
      <c r="AI45" s="30" t="n"/>
      <c r="AJ45" s="135" t="n"/>
      <c r="AK45" s="212" t="n"/>
      <c r="AL45" s="294" t="n"/>
      <c r="AM45" s="89">
        <f>IF(OR(X45="",F45=""),"",X45-F45)</f>
        <v/>
      </c>
      <c r="AN45" s="124">
        <f>IF(OR(Y45="",G45=""),"",Y45-G45)</f>
        <v/>
      </c>
      <c r="AO45" s="124">
        <f>IF(OR(Z45="",H45=""),"",Z45-H45)</f>
        <v/>
      </c>
      <c r="AP45" s="124">
        <f>IF(OR(AA45="",I45=""),"",AA45-I45)</f>
        <v/>
      </c>
      <c r="AQ45" s="90">
        <f>IF(OR(AB45="",J45=""),"",AB45-J45)</f>
        <v/>
      </c>
      <c r="AR45" s="42" t="n"/>
      <c r="AS45" s="42">
        <f>IF(OR(AD45="",L45=""),"",AD45-L45)</f>
        <v/>
      </c>
      <c r="AT45" s="42">
        <f>IF(OR(AE45="",M45=""),"",AE45-M45)</f>
        <v/>
      </c>
      <c r="AX45" s="12" t="n"/>
      <c r="AZ45" s="12" t="n"/>
    </row>
    <row r="46" ht="13.5" customHeight="1" s="279">
      <c r="B46" s="294" t="n"/>
      <c r="C46" s="29" t="inlineStr">
        <is>
          <t>r04</t>
        </is>
      </c>
      <c r="D46" s="191" t="n"/>
      <c r="E46" s="58" t="n"/>
      <c r="F46" s="192" t="n">
        <v>37.792676</v>
      </c>
      <c r="G46" s="192" t="n">
        <v>42.168708</v>
      </c>
      <c r="H46" s="192" t="n">
        <v>0.99332201</v>
      </c>
      <c r="I46" s="64" t="n">
        <v>0.99553945</v>
      </c>
      <c r="J46" s="64" t="n">
        <v>0.018137565</v>
      </c>
      <c r="K46" s="193" t="n"/>
      <c r="L46" s="357" t="n"/>
      <c r="M46" s="357" t="n"/>
      <c r="N46" s="58" t="n"/>
      <c r="O46" s="30" t="n"/>
      <c r="P46" s="58" t="n"/>
      <c r="Q46" s="30" t="n"/>
      <c r="R46" s="135" t="n"/>
      <c r="S46" s="301" t="n"/>
      <c r="T46" s="294" t="n"/>
      <c r="U46" s="29" t="inlineStr">
        <is>
          <t>r04</t>
        </is>
      </c>
      <c r="V46" s="191" t="n"/>
      <c r="W46" s="58" t="n"/>
      <c r="X46" s="192" t="n">
        <v>5.097084</v>
      </c>
      <c r="Y46" s="192" t="n">
        <v>9.867333</v>
      </c>
      <c r="Z46" s="192" t="n">
        <v>0.7653300200000001</v>
      </c>
      <c r="AA46" s="64" t="n">
        <v>0.58437238</v>
      </c>
      <c r="AB46" s="64" t="n">
        <v>0.82259035</v>
      </c>
      <c r="AC46" s="193" t="n"/>
      <c r="AD46" s="357" t="n"/>
      <c r="AE46" s="357" t="n"/>
      <c r="AF46" s="58" t="n"/>
      <c r="AG46" s="30" t="n"/>
      <c r="AH46" s="58" t="n"/>
      <c r="AI46" s="30" t="n"/>
      <c r="AJ46" s="135" t="n"/>
      <c r="AK46" s="212" t="n"/>
      <c r="AL46" s="294" t="n"/>
      <c r="AM46" s="89">
        <f>IF(OR(X46="",F46=""),"",X46-F46)</f>
        <v/>
      </c>
      <c r="AN46" s="124">
        <f>IF(OR(Y46="",G46=""),"",Y46-G46)</f>
        <v/>
      </c>
      <c r="AO46" s="124">
        <f>IF(OR(Z46="",H46=""),"",Z46-H46)</f>
        <v/>
      </c>
      <c r="AP46" s="124">
        <f>IF(OR(AA46="",I46=""),"",AA46-I46)</f>
        <v/>
      </c>
      <c r="AQ46" s="90">
        <f>IF(OR(AB46="",J46=""),"",AB46-J46)</f>
        <v/>
      </c>
      <c r="AR46" s="42" t="n"/>
      <c r="AS46" s="42">
        <f>IF(OR(AD46="",L46=""),"",AD46-L46)</f>
        <v/>
      </c>
      <c r="AT46" s="42">
        <f>IF(OR(AE46="",M46=""),"",AE46-M46)</f>
        <v/>
      </c>
      <c r="AX46" s="12" t="n"/>
      <c r="AZ46" s="12" t="n"/>
    </row>
    <row r="47" ht="13.5" customHeight="1" s="279" thickBot="1">
      <c r="B47" s="294" t="n"/>
      <c r="C47" s="29" t="n"/>
      <c r="D47" s="191" t="n"/>
      <c r="E47" s="58" t="n"/>
      <c r="F47" s="194" t="n"/>
      <c r="G47" s="194" t="n"/>
      <c r="H47" s="194" t="n"/>
      <c r="I47" s="58" t="n"/>
      <c r="J47" s="58" t="n"/>
      <c r="K47" s="193" t="n"/>
      <c r="L47" s="357" t="n"/>
      <c r="M47" s="357" t="n"/>
      <c r="N47" s="58" t="n"/>
      <c r="O47" s="30" t="n"/>
      <c r="P47" s="58" t="n"/>
      <c r="Q47" s="30" t="n"/>
      <c r="R47" s="189" t="n"/>
      <c r="S47" s="301" t="n"/>
      <c r="T47" s="294" t="n"/>
      <c r="U47" s="29" t="n"/>
      <c r="V47" s="191" t="n"/>
      <c r="W47" s="58" t="n"/>
      <c r="X47" s="194" t="n"/>
      <c r="Y47" s="194" t="n"/>
      <c r="Z47" s="194" t="n"/>
      <c r="AA47" s="58" t="n"/>
      <c r="AB47" s="58" t="n"/>
      <c r="AC47" s="193" t="n"/>
      <c r="AD47" s="357" t="n"/>
      <c r="AE47" s="357" t="n"/>
      <c r="AF47" s="58" t="n"/>
      <c r="AG47" s="30" t="n"/>
      <c r="AH47" s="58" t="n"/>
      <c r="AI47" s="30" t="n"/>
      <c r="AJ47" s="189" t="n"/>
      <c r="AK47" s="212" t="n"/>
      <c r="AL47" s="294" t="n"/>
      <c r="AM47" s="125">
        <f>IF(OR(X47="",F47=""),"",X47-F47)</f>
        <v/>
      </c>
      <c r="AN47" s="126">
        <f>IF(OR(Y47="",G47=""),"",Y47-G47)</f>
        <v/>
      </c>
      <c r="AO47" s="126">
        <f>IF(OR(Z47="",H47=""),"",Z47-H47)</f>
        <v/>
      </c>
      <c r="AP47" s="126">
        <f>IF(OR(AA47="",I47=""),"",AA47-I47)</f>
        <v/>
      </c>
      <c r="AQ47" s="127">
        <f>IF(OR(AB47="",J47=""),"",AB47-J47)</f>
        <v/>
      </c>
      <c r="AR47" s="42" t="n"/>
      <c r="AS47" s="42">
        <f>IF(OR(AD47="",L47=""),"",AD47-L47)</f>
        <v/>
      </c>
      <c r="AT47" s="42">
        <f>IF(OR(AE47="",M47=""),"",AE47-M47)</f>
        <v/>
      </c>
      <c r="AX47" s="12" t="n"/>
      <c r="AZ47" s="12" t="n"/>
    </row>
    <row r="48">
      <c r="B48" s="296" t="inlineStr">
        <is>
          <t>v03</t>
        </is>
      </c>
      <c r="C48" s="27" t="inlineStr">
        <is>
          <t>r01</t>
        </is>
      </c>
      <c r="D48" s="41" t="n"/>
      <c r="E48" s="57" t="n"/>
      <c r="F48" s="99" t="n">
        <v>29.646043</v>
      </c>
      <c r="G48" s="99" t="n">
        <v>33.10661</v>
      </c>
      <c r="H48" s="99" t="n">
        <v>0.96270008</v>
      </c>
      <c r="I48" s="62" t="n">
        <v>0.96883208</v>
      </c>
      <c r="J48" s="62" t="n">
        <v>0.06692476</v>
      </c>
      <c r="K48" s="63" t="n"/>
      <c r="L48" s="356" t="n"/>
      <c r="M48" s="356" t="n"/>
      <c r="N48" s="57" t="n"/>
      <c r="O48" s="28" t="n"/>
      <c r="P48" s="57" t="n"/>
      <c r="Q48" s="28" t="n"/>
      <c r="R48" s="134" t="n"/>
      <c r="S48" s="301" t="n"/>
      <c r="T48" s="296" t="inlineStr">
        <is>
          <t>v03</t>
        </is>
      </c>
      <c r="U48" s="27" t="inlineStr">
        <is>
          <t>r01</t>
        </is>
      </c>
      <c r="V48" s="41" t="n"/>
      <c r="W48" s="57" t="n"/>
      <c r="X48" s="99" t="n">
        <v>4.97078</v>
      </c>
      <c r="Y48" s="99" t="n">
        <v>9.797744</v>
      </c>
      <c r="Z48" s="99" t="n">
        <v>0.7468914800000001</v>
      </c>
      <c r="AA48" s="62" t="n">
        <v>0.56481943</v>
      </c>
      <c r="AB48" s="62" t="n">
        <v>0.8139705699999999</v>
      </c>
      <c r="AC48" s="63" t="n"/>
      <c r="AD48" s="356" t="n"/>
      <c r="AE48" s="356" t="n"/>
      <c r="AF48" s="57" t="n"/>
      <c r="AG48" s="28" t="n"/>
      <c r="AH48" s="57" t="n"/>
      <c r="AI48" s="28" t="n"/>
      <c r="AJ48" s="134" t="n"/>
      <c r="AK48" s="212" t="n"/>
      <c r="AL48" s="296" t="inlineStr">
        <is>
          <t>v03</t>
        </is>
      </c>
      <c r="AM48" s="122">
        <f>IF(OR(X48="",F48=""),"",X48-F48)</f>
        <v/>
      </c>
      <c r="AN48" s="98">
        <f>IF(OR(Y48="",G48=""),"",Y48-G48)</f>
        <v/>
      </c>
      <c r="AO48" s="98">
        <f>IF(OR(Z48="",H48=""),"",Z48-H48)</f>
        <v/>
      </c>
      <c r="AP48" s="98">
        <f>IF(OR(AA48="",I48=""),"",AA48-I48)</f>
        <v/>
      </c>
      <c r="AQ48" s="123">
        <f>IF(OR(AB48="",J48=""),"",AB48-J48)</f>
        <v/>
      </c>
      <c r="AR48" s="42">
        <f>IF(OR(AC48="",K48=""),"",AC48-K48)</f>
        <v/>
      </c>
      <c r="AS48" s="42">
        <f>IF(OR(AD48="",L48=""),"",AD48-L48)</f>
        <v/>
      </c>
      <c r="AT48" s="42">
        <f>IF(OR(AE48="",M48=""),"",AE48-M48)</f>
        <v/>
      </c>
      <c r="AX48" s="12" t="n"/>
      <c r="AZ48" s="12" t="n"/>
    </row>
    <row r="49" ht="13.5" customHeight="1" s="279">
      <c r="B49" s="294" t="n"/>
      <c r="C49" s="29" t="inlineStr">
        <is>
          <t>r02</t>
        </is>
      </c>
      <c r="D49" s="191" t="n"/>
      <c r="E49" s="58" t="n"/>
      <c r="F49" s="192" t="n">
        <v>32.635077</v>
      </c>
      <c r="G49" s="192" t="n">
        <v>36.090878</v>
      </c>
      <c r="H49" s="192" t="n">
        <v>0.97698622</v>
      </c>
      <c r="I49" s="64" t="n">
        <v>0.98179988</v>
      </c>
      <c r="J49" s="64" t="n">
        <v>0.044159416</v>
      </c>
      <c r="K49" s="193" t="n"/>
      <c r="L49" s="357" t="n"/>
      <c r="M49" s="357" t="n"/>
      <c r="N49" s="58" t="n"/>
      <c r="O49" s="30" t="n"/>
      <c r="P49" s="58" t="n"/>
      <c r="Q49" s="30" t="n"/>
      <c r="R49" s="135" t="n"/>
      <c r="S49" s="301" t="n"/>
      <c r="T49" s="294" t="n"/>
      <c r="U49" s="29" t="inlineStr">
        <is>
          <t>r02</t>
        </is>
      </c>
      <c r="V49" s="191" t="n"/>
      <c r="W49" s="58" t="n"/>
      <c r="X49" s="192" t="n">
        <v>5.057273</v>
      </c>
      <c r="Y49" s="192" t="n">
        <v>9.791909</v>
      </c>
      <c r="Z49" s="192" t="n">
        <v>0.75257251</v>
      </c>
      <c r="AA49" s="64" t="n">
        <v>0.57090645</v>
      </c>
      <c r="AB49" s="64" t="n">
        <v>0.82179546</v>
      </c>
      <c r="AC49" s="193" t="n"/>
      <c r="AD49" s="357" t="n"/>
      <c r="AE49" s="357" t="n"/>
      <c r="AF49" s="58" t="n"/>
      <c r="AG49" s="30" t="n"/>
      <c r="AH49" s="58" t="n"/>
      <c r="AI49" s="30" t="n"/>
      <c r="AJ49" s="135" t="n"/>
      <c r="AK49" s="212" t="n"/>
      <c r="AL49" s="294" t="n"/>
      <c r="AM49" s="89">
        <f>IF(OR(X49="",F49=""),"",X49-F49)</f>
        <v/>
      </c>
      <c r="AN49" s="124">
        <f>IF(OR(Y49="",G49=""),"",Y49-G49)</f>
        <v/>
      </c>
      <c r="AO49" s="124">
        <f>IF(OR(Z49="",H49=""),"",Z49-H49)</f>
        <v/>
      </c>
      <c r="AP49" s="124">
        <f>IF(OR(AA49="",I49=""),"",AA49-I49)</f>
        <v/>
      </c>
      <c r="AQ49" s="90">
        <f>IF(OR(AB49="",J49=""),"",AB49-J49)</f>
        <v/>
      </c>
      <c r="AR49" s="42">
        <f>IF(OR(AC49="",K49=""),"",AC49-K49)</f>
        <v/>
      </c>
      <c r="AS49" s="42">
        <f>IF(OR(AD49="",L49=""),"",AD49-L49)</f>
        <v/>
      </c>
      <c r="AT49" s="42">
        <f>IF(OR(AE49="",M49=""),"",AE49-M49)</f>
        <v/>
      </c>
      <c r="AX49" s="12" t="n"/>
      <c r="AZ49" s="12" t="n"/>
    </row>
    <row r="50" ht="13.5" customHeight="1" s="279">
      <c r="B50" s="294" t="n"/>
      <c r="C50" s="29" t="inlineStr">
        <is>
          <t>r03</t>
        </is>
      </c>
      <c r="D50" s="191" t="n"/>
      <c r="E50" s="58" t="n"/>
      <c r="F50" s="192" t="n">
        <v>35.634103</v>
      </c>
      <c r="G50" s="192" t="n">
        <v>39.809363</v>
      </c>
      <c r="H50" s="192" t="n">
        <v>0.9879090699999999</v>
      </c>
      <c r="I50" s="64" t="n">
        <v>0.99133843</v>
      </c>
      <c r="J50" s="64" t="n">
        <v>0.029285403</v>
      </c>
      <c r="K50" s="193" t="n"/>
      <c r="L50" s="357" t="n"/>
      <c r="M50" s="357" t="n"/>
      <c r="N50" s="58" t="n"/>
      <c r="O50" s="30" t="n"/>
      <c r="P50" s="58" t="n"/>
      <c r="Q50" s="30" t="n"/>
      <c r="R50" s="135" t="n"/>
      <c r="S50" s="301" t="n"/>
      <c r="T50" s="294" t="n"/>
      <c r="U50" s="29" t="inlineStr">
        <is>
          <t>r03</t>
        </is>
      </c>
      <c r="V50" s="191" t="n"/>
      <c r="W50" s="58" t="n"/>
      <c r="X50" s="192" t="n">
        <v>5.0392</v>
      </c>
      <c r="Y50" s="192" t="n">
        <v>9.792037000000001</v>
      </c>
      <c r="Z50" s="192" t="n">
        <v>0.7542307499999999</v>
      </c>
      <c r="AA50" s="64" t="n">
        <v>0.57168638</v>
      </c>
      <c r="AB50" s="64" t="n">
        <v>0.8186053</v>
      </c>
      <c r="AC50" s="193" t="n"/>
      <c r="AD50" s="357" t="n"/>
      <c r="AE50" s="357" t="n"/>
      <c r="AF50" s="58" t="n"/>
      <c r="AG50" s="30" t="n"/>
      <c r="AH50" s="58" t="n"/>
      <c r="AI50" s="30" t="n"/>
      <c r="AJ50" s="135" t="n"/>
      <c r="AK50" s="212" t="n"/>
      <c r="AL50" s="294" t="n"/>
      <c r="AM50" s="89">
        <f>IF(OR(X50="",F50=""),"",X50-F50)</f>
        <v/>
      </c>
      <c r="AN50" s="124">
        <f>IF(OR(Y50="",G50=""),"",Y50-G50)</f>
        <v/>
      </c>
      <c r="AO50" s="124">
        <f>IF(OR(Z50="",H50=""),"",Z50-H50)</f>
        <v/>
      </c>
      <c r="AP50" s="124">
        <f>IF(OR(AA50="",I50=""),"",AA50-I50)</f>
        <v/>
      </c>
      <c r="AQ50" s="90">
        <f>IF(OR(AB50="",J50=""),"",AB50-J50)</f>
        <v/>
      </c>
      <c r="AR50" s="42">
        <f>IF(OR(AC50="",K50=""),"",AC50-K50)</f>
        <v/>
      </c>
      <c r="AS50" s="42">
        <f>IF(OR(AD50="",L50=""),"",AD50-L50)</f>
        <v/>
      </c>
      <c r="AT50" s="42">
        <f>IF(OR(AE50="",M50=""),"",AE50-M50)</f>
        <v/>
      </c>
      <c r="AX50" s="12" t="n"/>
      <c r="AZ50" s="12" t="n"/>
    </row>
    <row r="51" ht="13.5" customHeight="1" s="279">
      <c r="B51" s="294" t="n"/>
      <c r="C51" s="29" t="inlineStr">
        <is>
          <t>r04</t>
        </is>
      </c>
      <c r="D51" s="191" t="n"/>
      <c r="E51" s="58" t="n"/>
      <c r="F51" s="192" t="n">
        <v>38.367744</v>
      </c>
      <c r="G51" s="192" t="n">
        <v>42.722358</v>
      </c>
      <c r="H51" s="192" t="n">
        <v>0.99321423</v>
      </c>
      <c r="I51" s="64" t="n">
        <v>0.99548629</v>
      </c>
      <c r="J51" s="64" t="n">
        <v>0.016130444</v>
      </c>
      <c r="K51" s="193" t="n"/>
      <c r="L51" s="357" t="n"/>
      <c r="M51" s="357" t="n"/>
      <c r="N51" s="58" t="n"/>
      <c r="O51" s="30" t="n"/>
      <c r="P51" s="58" t="n"/>
      <c r="Q51" s="30" t="n"/>
      <c r="R51" s="135" t="n"/>
      <c r="S51" s="301" t="n"/>
      <c r="T51" s="294" t="n"/>
      <c r="U51" s="29" t="inlineStr">
        <is>
          <t>r04</t>
        </is>
      </c>
      <c r="V51" s="191" t="n"/>
      <c r="W51" s="58" t="n"/>
      <c r="X51" s="192" t="n">
        <v>5.046562</v>
      </c>
      <c r="Y51" s="192" t="n">
        <v>9.784909000000001</v>
      </c>
      <c r="Z51" s="192" t="n">
        <v>0.74934862</v>
      </c>
      <c r="AA51" s="64" t="n">
        <v>0.56943345</v>
      </c>
      <c r="AB51" s="64" t="n">
        <v>0.82234627</v>
      </c>
      <c r="AC51" s="193" t="n"/>
      <c r="AD51" s="357" t="n"/>
      <c r="AE51" s="357" t="n"/>
      <c r="AF51" s="58" t="n"/>
      <c r="AG51" s="30" t="n"/>
      <c r="AH51" s="58" t="n"/>
      <c r="AI51" s="30" t="n"/>
      <c r="AJ51" s="135" t="n"/>
      <c r="AK51" s="212" t="n"/>
      <c r="AL51" s="294" t="n"/>
      <c r="AM51" s="89">
        <f>IF(OR(X51="",F51=""),"",X51-F51)</f>
        <v/>
      </c>
      <c r="AN51" s="124">
        <f>IF(OR(Y51="",G51=""),"",Y51-G51)</f>
        <v/>
      </c>
      <c r="AO51" s="124">
        <f>IF(OR(Z51="",H51=""),"",Z51-H51)</f>
        <v/>
      </c>
      <c r="AP51" s="124">
        <f>IF(OR(AA51="",I51=""),"",AA51-I51)</f>
        <v/>
      </c>
      <c r="AQ51" s="90">
        <f>IF(OR(AB51="",J51=""),"",AB51-J51)</f>
        <v/>
      </c>
      <c r="AR51" s="42">
        <f>IF(OR(AC51="",K51=""),"",AC51-K51)</f>
        <v/>
      </c>
      <c r="AS51" s="42">
        <f>IF(OR(AD51="",L51=""),"",AD51-L51)</f>
        <v/>
      </c>
      <c r="AT51" s="42">
        <f>IF(OR(AE51="",M51=""),"",AE51-M51)</f>
        <v/>
      </c>
      <c r="AX51" s="12" t="n"/>
      <c r="AZ51" s="12" t="n"/>
    </row>
    <row r="52" ht="13.5" customHeight="1" s="279" thickBot="1">
      <c r="B52" s="294" t="n"/>
      <c r="C52" s="29" t="n"/>
      <c r="D52" s="191" t="n"/>
      <c r="E52" s="58" t="n"/>
      <c r="F52" s="194" t="n"/>
      <c r="G52" s="194" t="n"/>
      <c r="H52" s="194" t="n"/>
      <c r="I52" s="58" t="n"/>
      <c r="J52" s="58" t="n"/>
      <c r="K52" s="193" t="n"/>
      <c r="L52" s="357" t="n"/>
      <c r="M52" s="357" t="n"/>
      <c r="N52" s="58" t="n"/>
      <c r="O52" s="30" t="n"/>
      <c r="P52" s="58" t="n"/>
      <c r="Q52" s="30" t="n"/>
      <c r="R52" s="189" t="n"/>
      <c r="S52" s="301" t="n"/>
      <c r="T52" s="294" t="n"/>
      <c r="U52" s="29" t="n"/>
      <c r="V52" s="191" t="n"/>
      <c r="W52" s="58" t="n"/>
      <c r="X52" s="194" t="n"/>
      <c r="Y52" s="194" t="n"/>
      <c r="Z52" s="194" t="n"/>
      <c r="AA52" s="58" t="n"/>
      <c r="AB52" s="58" t="n"/>
      <c r="AC52" s="193" t="n"/>
      <c r="AD52" s="357" t="n"/>
      <c r="AE52" s="357" t="n"/>
      <c r="AF52" s="58" t="n"/>
      <c r="AG52" s="30" t="n"/>
      <c r="AH52" s="58" t="n"/>
      <c r="AI52" s="30" t="n"/>
      <c r="AJ52" s="189" t="n"/>
      <c r="AK52" s="212" t="n"/>
      <c r="AL52" s="294" t="n"/>
      <c r="AM52" s="125">
        <f>IF(OR(X52="",F52=""),"",X52-F52)</f>
        <v/>
      </c>
      <c r="AN52" s="126">
        <f>IF(OR(Y52="",G52=""),"",Y52-G52)</f>
        <v/>
      </c>
      <c r="AO52" s="126">
        <f>IF(OR(Z52="",H52=""),"",Z52-H52)</f>
        <v/>
      </c>
      <c r="AP52" s="126">
        <f>IF(OR(AA52="",I52=""),"",AA52-I52)</f>
        <v/>
      </c>
      <c r="AQ52" s="127">
        <f>IF(OR(AB52="",J52=""),"",AB52-J52)</f>
        <v/>
      </c>
      <c r="AR52" s="42">
        <f>IF(OR(AC52="",K52=""),"",AC52-K52)</f>
        <v/>
      </c>
      <c r="AS52" s="42">
        <f>IF(OR(AD52="",L52=""),"",AD52-L52)</f>
        <v/>
      </c>
      <c r="AT52" s="42">
        <f>IF(OR(AE52="",M52=""),"",AE52-M52)</f>
        <v/>
      </c>
      <c r="AX52" s="12" t="n"/>
      <c r="AZ52" s="12" t="n"/>
    </row>
    <row r="53">
      <c r="B53" s="296" t="inlineStr">
        <is>
          <t>v04</t>
        </is>
      </c>
      <c r="C53" s="27" t="inlineStr">
        <is>
          <t>r01</t>
        </is>
      </c>
      <c r="D53" s="41" t="n"/>
      <c r="E53" s="57" t="n"/>
      <c r="F53" s="99" t="n">
        <v>29.522049</v>
      </c>
      <c r="G53" s="99" t="n">
        <v>33.095426</v>
      </c>
      <c r="H53" s="99" t="n">
        <v>0.9623768700000001</v>
      </c>
      <c r="I53" s="62" t="n">
        <v>0.96936634</v>
      </c>
      <c r="J53" s="62" t="n">
        <v>0.06663136</v>
      </c>
      <c r="K53" s="63" t="n"/>
      <c r="L53" s="356" t="n"/>
      <c r="M53" s="356" t="n"/>
      <c r="N53" s="57" t="n"/>
      <c r="O53" s="28" t="n"/>
      <c r="P53" s="57" t="n"/>
      <c r="Q53" s="28" t="n"/>
      <c r="R53" s="134" t="n"/>
      <c r="S53" s="301" t="n"/>
      <c r="T53" s="296" t="inlineStr">
        <is>
          <t>v04</t>
        </is>
      </c>
      <c r="U53" s="27" t="inlineStr">
        <is>
          <t>r01</t>
        </is>
      </c>
      <c r="V53" s="41" t="n"/>
      <c r="W53" s="57" t="n"/>
      <c r="X53" s="99" t="n">
        <v>5.939893</v>
      </c>
      <c r="Y53" s="99" t="n">
        <v>10.576951</v>
      </c>
      <c r="Z53" s="99" t="n">
        <v>0.75491198</v>
      </c>
      <c r="AA53" s="62" t="n">
        <v>0.62025598</v>
      </c>
      <c r="AB53" s="62" t="n">
        <v>0.81327903</v>
      </c>
      <c r="AC53" s="63" t="n"/>
      <c r="AD53" s="356" t="n"/>
      <c r="AE53" s="356" t="n"/>
      <c r="AF53" s="57" t="n"/>
      <c r="AG53" s="28" t="n"/>
      <c r="AH53" s="57" t="n"/>
      <c r="AI53" s="28" t="n"/>
      <c r="AJ53" s="134" t="n"/>
      <c r="AK53" s="212" t="n"/>
      <c r="AL53" s="296" t="inlineStr">
        <is>
          <t>v04</t>
        </is>
      </c>
      <c r="AM53" s="122">
        <f>IF(OR(X53="",F53=""),"",X53-F53)</f>
        <v/>
      </c>
      <c r="AN53" s="98">
        <f>IF(OR(Y53="",G53=""),"",Y53-G53)</f>
        <v/>
      </c>
      <c r="AO53" s="98">
        <f>IF(OR(Z53="",H53=""),"",Z53-H53)</f>
        <v/>
      </c>
      <c r="AP53" s="98">
        <f>IF(OR(AA53="",I53=""),"",AA53-I53)</f>
        <v/>
      </c>
      <c r="AQ53" s="123">
        <f>IF(OR(AB53="",J53=""),"",AB53-J53)</f>
        <v/>
      </c>
      <c r="AR53" s="42">
        <f>IF(OR(AC53="",K53=""),"",AC53-K53)</f>
        <v/>
      </c>
      <c r="AS53" s="42">
        <f>IF(OR(AD53="",L53=""),"",AD53-L53)</f>
        <v/>
      </c>
      <c r="AT53" s="42">
        <f>IF(OR(AE53="",M53=""),"",AE53-M53)</f>
        <v/>
      </c>
      <c r="AX53" s="12" t="n"/>
      <c r="AZ53" s="12" t="n"/>
    </row>
    <row r="54" ht="13.5" customHeight="1" s="279">
      <c r="B54" s="294" t="n"/>
      <c r="C54" s="29" t="inlineStr">
        <is>
          <t>r02</t>
        </is>
      </c>
      <c r="D54" s="191" t="n"/>
      <c r="E54" s="58" t="n"/>
      <c r="F54" s="192" t="n">
        <v>32.458667</v>
      </c>
      <c r="G54" s="192" t="n">
        <v>35.984918</v>
      </c>
      <c r="H54" s="192" t="n">
        <v>0.97689794</v>
      </c>
      <c r="I54" s="64" t="n">
        <v>0.98175643</v>
      </c>
      <c r="J54" s="64" t="n">
        <v>0.044433028</v>
      </c>
      <c r="K54" s="193" t="n"/>
      <c r="L54" s="357" t="n"/>
      <c r="M54" s="357" t="n"/>
      <c r="N54" s="58" t="n"/>
      <c r="O54" s="30" t="n"/>
      <c r="P54" s="58" t="n"/>
      <c r="Q54" s="30" t="n"/>
      <c r="R54" s="135" t="n"/>
      <c r="S54" s="301" t="n"/>
      <c r="T54" s="294" t="n"/>
      <c r="U54" s="29" t="inlineStr">
        <is>
          <t>r02</t>
        </is>
      </c>
      <c r="V54" s="191" t="n"/>
      <c r="W54" s="58" t="n"/>
      <c r="X54" s="192" t="n">
        <v>5.888122</v>
      </c>
      <c r="Y54" s="192" t="n">
        <v>10.544168</v>
      </c>
      <c r="Z54" s="192" t="n">
        <v>0.75579741</v>
      </c>
      <c r="AA54" s="64" t="n">
        <v>0.62091998</v>
      </c>
      <c r="AB54" s="64" t="n">
        <v>0.8129111</v>
      </c>
      <c r="AC54" s="193" t="n"/>
      <c r="AD54" s="357" t="n"/>
      <c r="AE54" s="357" t="n"/>
      <c r="AF54" s="58" t="n"/>
      <c r="AG54" s="30" t="n"/>
      <c r="AH54" s="58" t="n"/>
      <c r="AI54" s="30" t="n"/>
      <c r="AJ54" s="135" t="n"/>
      <c r="AK54" s="212" t="n"/>
      <c r="AL54" s="294" t="n"/>
      <c r="AM54" s="89">
        <f>IF(OR(X54="",F54=""),"",X54-F54)</f>
        <v/>
      </c>
      <c r="AN54" s="124">
        <f>IF(OR(Y54="",G54=""),"",Y54-G54)</f>
        <v/>
      </c>
      <c r="AO54" s="124">
        <f>IF(OR(Z54="",H54=""),"",Z54-H54)</f>
        <v/>
      </c>
      <c r="AP54" s="124">
        <f>IF(OR(AA54="",I54=""),"",AA54-I54)</f>
        <v/>
      </c>
      <c r="AQ54" s="90">
        <f>IF(OR(AB54="",J54=""),"",AB54-J54)</f>
        <v/>
      </c>
      <c r="AR54" s="42">
        <f>IF(OR(AC54="",K54=""),"",AC54-K54)</f>
        <v/>
      </c>
      <c r="AS54" s="42">
        <f>IF(OR(AD54="",L54=""),"",AD54-L54)</f>
        <v/>
      </c>
      <c r="AT54" s="42">
        <f>IF(OR(AE54="",M54=""),"",AE54-M54)</f>
        <v/>
      </c>
      <c r="AX54" s="12" t="n"/>
      <c r="AZ54" s="12" t="n"/>
    </row>
    <row r="55" ht="13.5" customHeight="1" s="279">
      <c r="B55" s="294" t="n"/>
      <c r="C55" s="29" t="inlineStr">
        <is>
          <t>r03</t>
        </is>
      </c>
      <c r="D55" s="191" t="n"/>
      <c r="E55" s="58" t="n"/>
      <c r="F55" s="192" t="n">
        <v>35.679766</v>
      </c>
      <c r="G55" s="192" t="n">
        <v>39.763469</v>
      </c>
      <c r="H55" s="192" t="n">
        <v>0.98777606</v>
      </c>
      <c r="I55" s="64" t="n">
        <v>0.9911567999999999</v>
      </c>
      <c r="J55" s="64" t="n">
        <v>0.028534828</v>
      </c>
      <c r="K55" s="193" t="n"/>
      <c r="L55" s="357" t="n"/>
      <c r="M55" s="357" t="n"/>
      <c r="N55" s="58" t="n"/>
      <c r="O55" s="30" t="n"/>
      <c r="P55" s="58" t="n"/>
      <c r="Q55" s="30" t="n"/>
      <c r="R55" s="135" t="n"/>
      <c r="S55" s="301" t="n"/>
      <c r="T55" s="294" t="n"/>
      <c r="U55" s="29" t="inlineStr">
        <is>
          <t>r03</t>
        </is>
      </c>
      <c r="V55" s="191" t="n"/>
      <c r="W55" s="58" t="n"/>
      <c r="X55" s="192" t="n">
        <v>5.849833</v>
      </c>
      <c r="Y55" s="192" t="n">
        <v>10.450612</v>
      </c>
      <c r="Z55" s="192" t="n">
        <v>0.75108558</v>
      </c>
      <c r="AA55" s="64" t="n">
        <v>0.61600022</v>
      </c>
      <c r="AB55" s="64" t="n">
        <v>0.8144884999999999</v>
      </c>
      <c r="AC55" s="193" t="n"/>
      <c r="AD55" s="357" t="n"/>
      <c r="AE55" s="357" t="n"/>
      <c r="AF55" s="58" t="n"/>
      <c r="AG55" s="30" t="n"/>
      <c r="AH55" s="58" t="n"/>
      <c r="AI55" s="30" t="n"/>
      <c r="AJ55" s="135" t="n"/>
      <c r="AK55" s="212" t="n"/>
      <c r="AL55" s="294" t="n"/>
      <c r="AM55" s="89">
        <f>IF(OR(X55="",F55=""),"",X55-F55)</f>
        <v/>
      </c>
      <c r="AN55" s="124">
        <f>IF(OR(Y55="",G55=""),"",Y55-G55)</f>
        <v/>
      </c>
      <c r="AO55" s="124">
        <f>IF(OR(Z55="",H55=""),"",Z55-H55)</f>
        <v/>
      </c>
      <c r="AP55" s="124">
        <f>IF(OR(AA55="",I55=""),"",AA55-I55)</f>
        <v/>
      </c>
      <c r="AQ55" s="90">
        <f>IF(OR(AB55="",J55=""),"",AB55-J55)</f>
        <v/>
      </c>
      <c r="AR55" s="42">
        <f>IF(OR(AC55="",K55=""),"",AC55-K55)</f>
        <v/>
      </c>
      <c r="AS55" s="42">
        <f>IF(OR(AD55="",L55=""),"",AD55-L55)</f>
        <v/>
      </c>
      <c r="AT55" s="42">
        <f>IF(OR(AE55="",M55=""),"",AE55-M55)</f>
        <v/>
      </c>
      <c r="AX55" s="12" t="n"/>
      <c r="AZ55" s="12" t="n"/>
    </row>
    <row r="56" ht="13.5" customHeight="1" s="279">
      <c r="B56" s="294" t="n"/>
      <c r="C56" s="29" t="inlineStr">
        <is>
          <t>r04</t>
        </is>
      </c>
      <c r="D56" s="191" t="n"/>
      <c r="E56" s="58" t="n"/>
      <c r="F56" s="192" t="n">
        <v>38.597505</v>
      </c>
      <c r="G56" s="192" t="n">
        <v>42.825227</v>
      </c>
      <c r="H56" s="192" t="n">
        <v>0.99314466</v>
      </c>
      <c r="I56" s="64" t="n">
        <v>0.99536809</v>
      </c>
      <c r="J56" s="64" t="n">
        <v>0.014998801</v>
      </c>
      <c r="K56" s="193" t="n"/>
      <c r="L56" s="357" t="n"/>
      <c r="M56" s="357" t="n"/>
      <c r="N56" s="58" t="n"/>
      <c r="O56" s="30" t="n"/>
      <c r="P56" s="58" t="n"/>
      <c r="Q56" s="30" t="n"/>
      <c r="R56" s="135" t="n"/>
      <c r="S56" s="301" t="n"/>
      <c r="T56" s="294" t="n"/>
      <c r="U56" s="29" t="inlineStr">
        <is>
          <t>r04</t>
        </is>
      </c>
      <c r="V56" s="191" t="n"/>
      <c r="W56" s="58" t="n"/>
      <c r="X56" s="192" t="n">
        <v>5.868321</v>
      </c>
      <c r="Y56" s="192" t="n">
        <v>10.46783</v>
      </c>
      <c r="Z56" s="192" t="n">
        <v>0.7491063</v>
      </c>
      <c r="AA56" s="64" t="n">
        <v>0.61508856</v>
      </c>
      <c r="AB56" s="64" t="n">
        <v>0.8131078</v>
      </c>
      <c r="AC56" s="193" t="n"/>
      <c r="AD56" s="357" t="n"/>
      <c r="AE56" s="357" t="n"/>
      <c r="AF56" s="58" t="n"/>
      <c r="AG56" s="30" t="n"/>
      <c r="AH56" s="58" t="n"/>
      <c r="AI56" s="30" t="n"/>
      <c r="AJ56" s="135" t="n"/>
      <c r="AK56" s="212" t="n"/>
      <c r="AL56" s="294" t="n"/>
      <c r="AM56" s="89">
        <f>IF(OR(X56="",F56=""),"",X56-F56)</f>
        <v/>
      </c>
      <c r="AN56" s="124">
        <f>IF(OR(Y56="",G56=""),"",Y56-G56)</f>
        <v/>
      </c>
      <c r="AO56" s="124">
        <f>IF(OR(Z56="",H56=""),"",Z56-H56)</f>
        <v/>
      </c>
      <c r="AP56" s="124">
        <f>IF(OR(AA56="",I56=""),"",AA56-I56)</f>
        <v/>
      </c>
      <c r="AQ56" s="90">
        <f>IF(OR(AB56="",J56=""),"",AB56-J56)</f>
        <v/>
      </c>
      <c r="AR56" s="42">
        <f>IF(OR(AC56="",K56=""),"",AC56-K56)</f>
        <v/>
      </c>
      <c r="AS56" s="42">
        <f>IF(OR(AD56="",L56=""),"",AD56-L56)</f>
        <v/>
      </c>
      <c r="AT56" s="42">
        <f>IF(OR(AE56="",M56=""),"",AE56-M56)</f>
        <v/>
      </c>
      <c r="AX56" s="12" t="n"/>
      <c r="AZ56" s="12" t="n"/>
    </row>
    <row r="57" ht="13.5" customHeight="1" s="279" thickBot="1">
      <c r="B57" s="294" t="n"/>
      <c r="C57" s="29" t="n"/>
      <c r="D57" s="191" t="n"/>
      <c r="E57" s="58" t="n"/>
      <c r="F57" s="194" t="n"/>
      <c r="G57" s="194" t="n"/>
      <c r="H57" s="194" t="n"/>
      <c r="I57" s="58" t="n"/>
      <c r="J57" s="58" t="n"/>
      <c r="K57" s="193" t="n"/>
      <c r="L57" s="357" t="n"/>
      <c r="M57" s="357" t="n"/>
      <c r="N57" s="58" t="n"/>
      <c r="O57" s="30" t="n"/>
      <c r="P57" s="58" t="n"/>
      <c r="Q57" s="30" t="n"/>
      <c r="R57" s="189" t="n"/>
      <c r="S57" s="301" t="n"/>
      <c r="T57" s="294" t="n"/>
      <c r="U57" s="29" t="n"/>
      <c r="V57" s="191" t="n"/>
      <c r="W57" s="58" t="n"/>
      <c r="X57" s="194" t="n"/>
      <c r="Y57" s="194" t="n"/>
      <c r="Z57" s="194" t="n"/>
      <c r="AA57" s="58" t="n"/>
      <c r="AB57" s="58" t="n"/>
      <c r="AC57" s="193" t="n"/>
      <c r="AD57" s="357" t="n"/>
      <c r="AE57" s="357" t="n"/>
      <c r="AF57" s="58" t="n"/>
      <c r="AG57" s="30" t="n"/>
      <c r="AH57" s="58" t="n"/>
      <c r="AI57" s="30" t="n"/>
      <c r="AJ57" s="189" t="n"/>
      <c r="AK57" s="212" t="n"/>
      <c r="AL57" s="294" t="n"/>
      <c r="AM57" s="125">
        <f>IF(OR(X57="",F57=""),"",X57-F57)</f>
        <v/>
      </c>
      <c r="AN57" s="126">
        <f>IF(OR(Y57="",G57=""),"",Y57-G57)</f>
        <v/>
      </c>
      <c r="AO57" s="126">
        <f>IF(OR(Z57="",H57=""),"",Z57-H57)</f>
        <v/>
      </c>
      <c r="AP57" s="126">
        <f>IF(OR(AA57="",I57=""),"",AA57-I57)</f>
        <v/>
      </c>
      <c r="AQ57" s="127">
        <f>IF(OR(AB57="",J57=""),"",AB57-J57)</f>
        <v/>
      </c>
      <c r="AR57" s="42">
        <f>IF(OR(AC57="",K57=""),"",AC57-K57)</f>
        <v/>
      </c>
      <c r="AS57" s="42">
        <f>IF(OR(AD57="",L57=""),"",AD57-L57)</f>
        <v/>
      </c>
      <c r="AT57" s="42">
        <f>IF(OR(AE57="",M57=""),"",AE57-M57)</f>
        <v/>
      </c>
      <c r="AX57" s="12" t="n"/>
      <c r="AZ57" s="12" t="n"/>
    </row>
    <row r="58">
      <c r="B58" s="296" t="inlineStr">
        <is>
          <t>v05</t>
        </is>
      </c>
      <c r="C58" s="27" t="inlineStr">
        <is>
          <t>r01</t>
        </is>
      </c>
      <c r="D58" s="41" t="n"/>
      <c r="E58" s="57" t="n"/>
      <c r="F58" s="99" t="n">
        <v>29.68233</v>
      </c>
      <c r="G58" s="99" t="n">
        <v>33.258109</v>
      </c>
      <c r="H58" s="99" t="n">
        <v>0.96183009</v>
      </c>
      <c r="I58" s="62" t="n">
        <v>0.96960731</v>
      </c>
      <c r="J58" s="62" t="n">
        <v>0.0673324</v>
      </c>
      <c r="K58" s="63" t="n"/>
      <c r="L58" s="356" t="n"/>
      <c r="M58" s="356" t="n"/>
      <c r="N58" s="57" t="n"/>
      <c r="O58" s="28" t="n"/>
      <c r="P58" s="57" t="n"/>
      <c r="Q58" s="28" t="n"/>
      <c r="R58" s="134" t="n"/>
      <c r="S58" s="301" t="n"/>
      <c r="T58" s="296" t="inlineStr">
        <is>
          <t>v05</t>
        </is>
      </c>
      <c r="U58" s="27" t="inlineStr">
        <is>
          <t>r01</t>
        </is>
      </c>
      <c r="V58" s="41" t="n"/>
      <c r="W58" s="57" t="n"/>
      <c r="X58" s="99" t="n">
        <v>6.131251</v>
      </c>
      <c r="Y58" s="99" t="n">
        <v>10.906509</v>
      </c>
      <c r="Z58" s="99" t="n">
        <v>0.73074101</v>
      </c>
      <c r="AA58" s="62" t="n">
        <v>0.60559437</v>
      </c>
      <c r="AB58" s="62" t="n">
        <v>0.8000938</v>
      </c>
      <c r="AC58" s="63" t="n"/>
      <c r="AD58" s="356" t="n"/>
      <c r="AE58" s="356" t="n"/>
      <c r="AF58" s="57" t="n"/>
      <c r="AG58" s="28" t="n"/>
      <c r="AH58" s="57" t="n"/>
      <c r="AI58" s="28" t="n"/>
      <c r="AJ58" s="134" t="n"/>
      <c r="AK58" s="212" t="n"/>
      <c r="AL58" s="296" t="inlineStr">
        <is>
          <t>v05</t>
        </is>
      </c>
      <c r="AM58" s="122">
        <f>IF(OR(X58="",F58=""),"",X58-F58)</f>
        <v/>
      </c>
      <c r="AN58" s="98">
        <f>IF(OR(Y58="",G58=""),"",Y58-G58)</f>
        <v/>
      </c>
      <c r="AO58" s="98">
        <f>IF(OR(Z58="",H58=""),"",Z58-H58)</f>
        <v/>
      </c>
      <c r="AP58" s="98">
        <f>IF(OR(AA58="",I58=""),"",AA58-I58)</f>
        <v/>
      </c>
      <c r="AQ58" s="123">
        <f>IF(OR(AB58="",J58=""),"",AB58-J58)</f>
        <v/>
      </c>
      <c r="AR58" s="42">
        <f>IF(OR(AC58="",K58=""),"",AC58-K58)</f>
        <v/>
      </c>
      <c r="AS58" s="42">
        <f>IF(OR(AD58="",L58=""),"",AD58-L58)</f>
        <v/>
      </c>
      <c r="AT58" s="42">
        <f>IF(OR(AE58="",M58=""),"",AE58-M58)</f>
        <v/>
      </c>
      <c r="AX58" s="12" t="n"/>
      <c r="AZ58" s="12" t="n"/>
    </row>
    <row r="59" ht="12.75" customHeight="1" s="279">
      <c r="B59" s="294" t="n"/>
      <c r="C59" s="29" t="inlineStr">
        <is>
          <t>r02</t>
        </is>
      </c>
      <c r="D59" s="191" t="n"/>
      <c r="E59" s="58" t="n"/>
      <c r="F59" s="192" t="n">
        <v>32.585792</v>
      </c>
      <c r="G59" s="192" t="n">
        <v>36.097356</v>
      </c>
      <c r="H59" s="192" t="n">
        <v>0.97665292</v>
      </c>
      <c r="I59" s="64" t="n">
        <v>0.9818945100000001</v>
      </c>
      <c r="J59" s="64" t="n">
        <v>0.045003086</v>
      </c>
      <c r="K59" s="193" t="n"/>
      <c r="L59" s="357" t="n"/>
      <c r="M59" s="357" t="n"/>
      <c r="N59" s="58" t="n"/>
      <c r="O59" s="30" t="n"/>
      <c r="P59" s="58" t="n"/>
      <c r="Q59" s="30" t="n"/>
      <c r="R59" s="135" t="n"/>
      <c r="S59" s="301" t="n"/>
      <c r="T59" s="294" t="n"/>
      <c r="U59" s="29" t="inlineStr">
        <is>
          <t>r02</t>
        </is>
      </c>
      <c r="V59" s="191" t="n"/>
      <c r="W59" s="58" t="n"/>
      <c r="X59" s="192" t="n">
        <v>6.156926</v>
      </c>
      <c r="Y59" s="192" t="n">
        <v>10.927756</v>
      </c>
      <c r="Z59" s="192" t="n">
        <v>0.7256357</v>
      </c>
      <c r="AA59" s="64" t="n">
        <v>0.60587018</v>
      </c>
      <c r="AB59" s="64" t="n">
        <v>0.80237806</v>
      </c>
      <c r="AC59" s="193" t="n"/>
      <c r="AD59" s="357" t="n"/>
      <c r="AE59" s="357" t="n"/>
      <c r="AF59" s="58" t="n"/>
      <c r="AG59" s="30" t="n"/>
      <c r="AH59" s="58" t="n"/>
      <c r="AI59" s="30" t="n"/>
      <c r="AJ59" s="135" t="n"/>
      <c r="AK59" s="212" t="n"/>
      <c r="AL59" s="294" t="n"/>
      <c r="AM59" s="89">
        <f>IF(OR(X59="",F59=""),"",X59-F59)</f>
        <v/>
      </c>
      <c r="AN59" s="124">
        <f>IF(OR(Y59="",G59=""),"",Y59-G59)</f>
        <v/>
      </c>
      <c r="AO59" s="124">
        <f>IF(OR(Z59="",H59=""),"",Z59-H59)</f>
        <v/>
      </c>
      <c r="AP59" s="124">
        <f>IF(OR(AA59="",I59=""),"",AA59-I59)</f>
        <v/>
      </c>
      <c r="AQ59" s="90">
        <f>IF(OR(AB59="",J59=""),"",AB59-J59)</f>
        <v/>
      </c>
      <c r="AR59" s="42">
        <f>IF(OR(AC59="",K59=""),"",AC59-K59)</f>
        <v/>
      </c>
      <c r="AS59" s="42">
        <f>IF(OR(AD59="",L59=""),"",AD59-L59)</f>
        <v/>
      </c>
      <c r="AT59" s="42">
        <f>IF(OR(AE59="",M59=""),"",AE59-M59)</f>
        <v/>
      </c>
      <c r="AX59" s="12" t="n"/>
      <c r="AZ59" s="12" t="n"/>
    </row>
    <row r="60" ht="12.75" customHeight="1" s="279">
      <c r="B60" s="294" t="n"/>
      <c r="C60" s="29" t="inlineStr">
        <is>
          <t>r03</t>
        </is>
      </c>
      <c r="D60" s="191" t="n"/>
      <c r="E60" s="58" t="n"/>
      <c r="F60" s="192" t="n">
        <v>35.839658</v>
      </c>
      <c r="G60" s="192" t="n">
        <v>39.831609</v>
      </c>
      <c r="H60" s="192" t="n">
        <v>0.98778858</v>
      </c>
      <c r="I60" s="64" t="n">
        <v>0.99115126</v>
      </c>
      <c r="J60" s="64" t="n">
        <v>0.028406635</v>
      </c>
      <c r="K60" s="193" t="n"/>
      <c r="L60" s="357" t="n"/>
      <c r="M60" s="357" t="n"/>
      <c r="N60" s="58" t="n"/>
      <c r="O60" s="30" t="n"/>
      <c r="P60" s="58" t="n"/>
      <c r="Q60" s="30" t="n"/>
      <c r="R60" s="135" t="n"/>
      <c r="S60" s="301" t="n"/>
      <c r="T60" s="294" t="n"/>
      <c r="U60" s="29" t="inlineStr">
        <is>
          <t>r03</t>
        </is>
      </c>
      <c r="V60" s="191" t="n"/>
      <c r="W60" s="58" t="n"/>
      <c r="X60" s="192" t="n">
        <v>6.071058</v>
      </c>
      <c r="Y60" s="192" t="n">
        <v>10.805883</v>
      </c>
      <c r="Z60" s="192" t="n">
        <v>0.73275145</v>
      </c>
      <c r="AA60" s="64" t="n">
        <v>0.60651115</v>
      </c>
      <c r="AB60" s="64" t="n">
        <v>0.80187386</v>
      </c>
      <c r="AC60" s="193" t="n"/>
      <c r="AD60" s="357" t="n"/>
      <c r="AE60" s="357" t="n"/>
      <c r="AF60" s="58" t="n"/>
      <c r="AG60" s="30" t="n"/>
      <c r="AH60" s="58" t="n"/>
      <c r="AI60" s="30" t="n"/>
      <c r="AJ60" s="135" t="n"/>
      <c r="AK60" s="212" t="n"/>
      <c r="AL60" s="294" t="n"/>
      <c r="AM60" s="89">
        <f>IF(OR(X60="",F60=""),"",X60-F60)</f>
        <v/>
      </c>
      <c r="AN60" s="124">
        <f>IF(OR(Y60="",G60=""),"",Y60-G60)</f>
        <v/>
      </c>
      <c r="AO60" s="124">
        <f>IF(OR(Z60="",H60=""),"",Z60-H60)</f>
        <v/>
      </c>
      <c r="AP60" s="124">
        <f>IF(OR(AA60="",I60=""),"",AA60-I60)</f>
        <v/>
      </c>
      <c r="AQ60" s="90">
        <f>IF(OR(AB60="",J60=""),"",AB60-J60)</f>
        <v/>
      </c>
      <c r="AR60" s="42">
        <f>IF(OR(AC60="",K60=""),"",AC60-K60)</f>
        <v/>
      </c>
      <c r="AS60" s="42">
        <f>IF(OR(AD60="",L60=""),"",AD60-L60)</f>
        <v/>
      </c>
      <c r="AT60" s="42">
        <f>IF(OR(AE60="",M60=""),"",AE60-M60)</f>
        <v/>
      </c>
      <c r="AX60" s="12" t="n"/>
      <c r="AZ60" s="12" t="n"/>
    </row>
    <row r="61" ht="12.75" customHeight="1" s="279">
      <c r="B61" s="294" t="n"/>
      <c r="C61" s="29" t="inlineStr">
        <is>
          <t>r04</t>
        </is>
      </c>
      <c r="D61" s="191" t="n"/>
      <c r="E61" s="58" t="n"/>
      <c r="F61" s="192" t="n">
        <v>39.007764</v>
      </c>
      <c r="G61" s="192" t="n">
        <v>43.125194</v>
      </c>
      <c r="H61" s="192" t="n">
        <v>0.99317886</v>
      </c>
      <c r="I61" s="64" t="n">
        <v>0.99532387</v>
      </c>
      <c r="J61" s="64" t="n">
        <v>0.014320851</v>
      </c>
      <c r="K61" s="193" t="n"/>
      <c r="L61" s="357" t="n"/>
      <c r="M61" s="357" t="n"/>
      <c r="N61" s="58" t="n"/>
      <c r="O61" s="30" t="n"/>
      <c r="P61" s="58" t="n"/>
      <c r="Q61" s="30" t="n"/>
      <c r="R61" s="135" t="n"/>
      <c r="S61" s="301" t="n"/>
      <c r="T61" s="294" t="n"/>
      <c r="U61" s="29" t="inlineStr">
        <is>
          <t>r04</t>
        </is>
      </c>
      <c r="V61" s="191" t="n"/>
      <c r="W61" s="58" t="n"/>
      <c r="X61" s="192" t="n">
        <v>6.101254</v>
      </c>
      <c r="Y61" s="192" t="n">
        <v>10.834103</v>
      </c>
      <c r="Z61" s="192" t="n">
        <v>0.72576412</v>
      </c>
      <c r="AA61" s="64" t="n">
        <v>0.60055395</v>
      </c>
      <c r="AB61" s="64" t="n">
        <v>0.79828984</v>
      </c>
      <c r="AC61" s="193" t="n"/>
      <c r="AD61" s="357" t="n"/>
      <c r="AE61" s="357" t="n"/>
      <c r="AF61" s="58" t="n"/>
      <c r="AG61" s="30" t="n"/>
      <c r="AH61" s="58" t="n"/>
      <c r="AI61" s="30" t="n"/>
      <c r="AJ61" s="135" t="n"/>
      <c r="AK61" s="212" t="n"/>
      <c r="AL61" s="294" t="n"/>
      <c r="AM61" s="89">
        <f>IF(OR(X61="",F61=""),"",X61-F61)</f>
        <v/>
      </c>
      <c r="AN61" s="124">
        <f>IF(OR(Y61="",G61=""),"",Y61-G61)</f>
        <v/>
      </c>
      <c r="AO61" s="124">
        <f>IF(OR(Z61="",H61=""),"",Z61-H61)</f>
        <v/>
      </c>
      <c r="AP61" s="124">
        <f>IF(OR(AA61="",I61=""),"",AA61-I61)</f>
        <v/>
      </c>
      <c r="AQ61" s="90">
        <f>IF(OR(AB61="",J61=""),"",AB61-J61)</f>
        <v/>
      </c>
      <c r="AR61" s="42">
        <f>IF(OR(AC61="",K61=""),"",AC61-K61)</f>
        <v/>
      </c>
      <c r="AS61" s="42">
        <f>IF(OR(AD61="",L61=""),"",AD61-L61)</f>
        <v/>
      </c>
      <c r="AT61" s="42">
        <f>IF(OR(AE61="",M61=""),"",AE61-M61)</f>
        <v/>
      </c>
      <c r="AX61" s="12" t="n"/>
      <c r="AZ61" s="12" t="n"/>
    </row>
    <row r="62" ht="13.5" customHeight="1" s="279" thickBot="1">
      <c r="B62" s="294" t="n"/>
      <c r="C62" s="29" t="n"/>
      <c r="D62" s="191" t="n"/>
      <c r="E62" s="58" t="n"/>
      <c r="F62" s="194" t="n"/>
      <c r="G62" s="194" t="n"/>
      <c r="H62" s="194" t="n"/>
      <c r="I62" s="58" t="n"/>
      <c r="J62" s="58" t="n"/>
      <c r="K62" s="193" t="n"/>
      <c r="L62" s="357" t="n"/>
      <c r="M62" s="357" t="n"/>
      <c r="N62" s="58" t="n"/>
      <c r="O62" s="30" t="n"/>
      <c r="P62" s="58" t="n"/>
      <c r="Q62" s="30" t="n"/>
      <c r="R62" s="189" t="n"/>
      <c r="S62" s="301" t="n"/>
      <c r="T62" s="294" t="n"/>
      <c r="U62" s="29" t="n"/>
      <c r="V62" s="191" t="n"/>
      <c r="W62" s="58" t="n"/>
      <c r="X62" s="194" t="n"/>
      <c r="Y62" s="194" t="n"/>
      <c r="Z62" s="194" t="n"/>
      <c r="AA62" s="58" t="n"/>
      <c r="AB62" s="58" t="n"/>
      <c r="AC62" s="193" t="n"/>
      <c r="AD62" s="357" t="n"/>
      <c r="AE62" s="357" t="n"/>
      <c r="AF62" s="58" t="n"/>
      <c r="AG62" s="30" t="n"/>
      <c r="AH62" s="58" t="n"/>
      <c r="AI62" s="30" t="n"/>
      <c r="AJ62" s="189" t="n"/>
      <c r="AK62" s="212" t="n"/>
      <c r="AL62" s="294" t="n"/>
      <c r="AM62" s="125">
        <f>IF(OR(X62="",F62=""),"",X62-F62)</f>
        <v/>
      </c>
      <c r="AN62" s="126">
        <f>IF(OR(Y62="",G62=""),"",Y62-G62)</f>
        <v/>
      </c>
      <c r="AO62" s="126">
        <f>IF(OR(Z62="",H62=""),"",Z62-H62)</f>
        <v/>
      </c>
      <c r="AP62" s="126">
        <f>IF(OR(AA62="",I62=""),"",AA62-I62)</f>
        <v/>
      </c>
      <c r="AQ62" s="127">
        <f>IF(OR(AB62="",J62=""),"",AB62-J62)</f>
        <v/>
      </c>
      <c r="AR62" s="42">
        <f>IF(OR(AC62="",K62=""),"",AC62-K62)</f>
        <v/>
      </c>
      <c r="AS62" s="42">
        <f>IF(OR(AD62="",L62=""),"",AD62-L62)</f>
        <v/>
      </c>
      <c r="AT62" s="42">
        <f>IF(OR(AE62="",M62=""),"",AE62-M62)</f>
        <v/>
      </c>
      <c r="AX62" s="12" t="n"/>
      <c r="AZ62" s="12" t="n"/>
    </row>
    <row r="63">
      <c r="B63" s="296" t="inlineStr">
        <is>
          <t>v06</t>
        </is>
      </c>
      <c r="C63" s="27" t="inlineStr">
        <is>
          <t>r01</t>
        </is>
      </c>
      <c r="D63" s="41" t="n"/>
      <c r="E63" s="57" t="n"/>
      <c r="F63" s="99" t="n">
        <v>29.997013</v>
      </c>
      <c r="G63" s="99" t="n">
        <v>33.660482</v>
      </c>
      <c r="H63" s="99" t="n">
        <v>0.96114702</v>
      </c>
      <c r="I63" s="62" t="n">
        <v>0.97034968</v>
      </c>
      <c r="J63" s="62" t="n">
        <v>0.065846376</v>
      </c>
      <c r="K63" s="63" t="n"/>
      <c r="L63" s="356" t="n"/>
      <c r="M63" s="356" t="n"/>
      <c r="N63" s="57" t="n"/>
      <c r="O63" s="28" t="n"/>
      <c r="P63" s="57" t="n"/>
      <c r="Q63" s="28" t="n"/>
      <c r="R63" s="134" t="n"/>
      <c r="S63" s="301" t="n"/>
      <c r="T63" s="296" t="inlineStr">
        <is>
          <t>v06</t>
        </is>
      </c>
      <c r="U63" s="27" t="inlineStr">
        <is>
          <t>r01</t>
        </is>
      </c>
      <c r="V63" s="41" t="n"/>
      <c r="W63" s="57" t="n"/>
      <c r="X63" s="99" t="n">
        <v>6.26715</v>
      </c>
      <c r="Y63" s="99" t="n">
        <v>11.194166</v>
      </c>
      <c r="Z63" s="99" t="n">
        <v>0.7316726</v>
      </c>
      <c r="AA63" s="62" t="n">
        <v>0.60261829</v>
      </c>
      <c r="AB63" s="62" t="n">
        <v>0.81152856</v>
      </c>
      <c r="AC63" s="63" t="n"/>
      <c r="AD63" s="356" t="n"/>
      <c r="AE63" s="356" t="n"/>
      <c r="AF63" s="57" t="n"/>
      <c r="AG63" s="28" t="n"/>
      <c r="AH63" s="57" t="n"/>
      <c r="AI63" s="28" t="n"/>
      <c r="AJ63" s="134" t="n"/>
      <c r="AK63" s="212" t="n"/>
      <c r="AL63" s="296" t="inlineStr">
        <is>
          <t>v06</t>
        </is>
      </c>
      <c r="AM63" s="122">
        <f>IF(OR(X63="",F63=""),"",X63-F63)</f>
        <v/>
      </c>
      <c r="AN63" s="98">
        <f>IF(OR(Y63="",G63=""),"",Y63-G63)</f>
        <v/>
      </c>
      <c r="AO63" s="98">
        <f>IF(OR(Z63="",H63=""),"",Z63-H63)</f>
        <v/>
      </c>
      <c r="AP63" s="98">
        <f>IF(OR(AA63="",I63=""),"",AA63-I63)</f>
        <v/>
      </c>
      <c r="AQ63" s="123">
        <f>IF(OR(AB63="",J63=""),"",AB63-J63)</f>
        <v/>
      </c>
      <c r="AR63" s="42">
        <f>IF(OR(AC63="",K63=""),"",AC63-K63)</f>
        <v/>
      </c>
      <c r="AS63" s="42">
        <f>IF(OR(AD63="",L63=""),"",AD63-L63)</f>
        <v/>
      </c>
      <c r="AT63" s="42">
        <f>IF(OR(AE63="",M63=""),"",AE63-M63)</f>
        <v/>
      </c>
      <c r="AX63" s="12" t="n"/>
      <c r="AZ63" s="12" t="n"/>
    </row>
    <row r="64" ht="12.75" customHeight="1" s="279">
      <c r="B64" s="294" t="n"/>
      <c r="C64" s="29" t="inlineStr">
        <is>
          <t>r02</t>
        </is>
      </c>
      <c r="D64" s="191" t="n"/>
      <c r="E64" s="58" t="n"/>
      <c r="F64" s="192" t="n">
        <v>33.14766</v>
      </c>
      <c r="G64" s="192" t="n">
        <v>36.565247</v>
      </c>
      <c r="H64" s="192" t="n">
        <v>0.97660388</v>
      </c>
      <c r="I64" s="64" t="n">
        <v>0.98222423</v>
      </c>
      <c r="J64" s="64" t="n">
        <v>0.041996222</v>
      </c>
      <c r="K64" s="193" t="n"/>
      <c r="L64" s="357" t="n"/>
      <c r="M64" s="357" t="n"/>
      <c r="N64" s="58" t="n"/>
      <c r="O64" s="30" t="n"/>
      <c r="P64" s="58" t="n"/>
      <c r="Q64" s="30" t="n"/>
      <c r="R64" s="135" t="n"/>
      <c r="S64" s="301" t="n"/>
      <c r="T64" s="294" t="n"/>
      <c r="U64" s="29" t="inlineStr">
        <is>
          <t>r02</t>
        </is>
      </c>
      <c r="V64" s="191" t="n"/>
      <c r="W64" s="58" t="n"/>
      <c r="X64" s="192" t="n">
        <v>6.323682</v>
      </c>
      <c r="Y64" s="192" t="n">
        <v>11.271262</v>
      </c>
      <c r="Z64" s="192" t="n">
        <v>0.73654735</v>
      </c>
      <c r="AA64" s="64" t="n">
        <v>0.61097013</v>
      </c>
      <c r="AB64" s="64" t="n">
        <v>0.8100172</v>
      </c>
      <c r="AC64" s="193" t="n"/>
      <c r="AD64" s="357" t="n"/>
      <c r="AE64" s="357" t="n"/>
      <c r="AF64" s="58" t="n"/>
      <c r="AG64" s="30" t="n"/>
      <c r="AH64" s="58" t="n"/>
      <c r="AI64" s="30" t="n"/>
      <c r="AJ64" s="135" t="n"/>
      <c r="AK64" s="212" t="n"/>
      <c r="AL64" s="294" t="n"/>
      <c r="AM64" s="89">
        <f>IF(OR(X64="",F64=""),"",X64-F64)</f>
        <v/>
      </c>
      <c r="AN64" s="124">
        <f>IF(OR(Y64="",G64=""),"",Y64-G64)</f>
        <v/>
      </c>
      <c r="AO64" s="124">
        <f>IF(OR(Z64="",H64=""),"",Z64-H64)</f>
        <v/>
      </c>
      <c r="AP64" s="124">
        <f>IF(OR(AA64="",I64=""),"",AA64-I64)</f>
        <v/>
      </c>
      <c r="AQ64" s="90">
        <f>IF(OR(AB64="",J64=""),"",AB64-J64)</f>
        <v/>
      </c>
      <c r="AR64" s="42">
        <f>IF(OR(AC64="",K64=""),"",AC64-K64)</f>
        <v/>
      </c>
      <c r="AS64" s="42">
        <f>IF(OR(AD64="",L64=""),"",AD64-L64)</f>
        <v/>
      </c>
      <c r="AT64" s="42">
        <f>IF(OR(AE64="",M64=""),"",AE64-M64)</f>
        <v/>
      </c>
      <c r="AX64" s="12" t="n"/>
      <c r="AZ64" s="12" t="n"/>
    </row>
    <row r="65" ht="12.75" customHeight="1" s="279">
      <c r="B65" s="294" t="n"/>
      <c r="C65" s="29" t="inlineStr">
        <is>
          <t>r03</t>
        </is>
      </c>
      <c r="D65" s="191" t="n"/>
      <c r="E65" s="58" t="n"/>
      <c r="F65" s="192" t="n">
        <v>36.391508</v>
      </c>
      <c r="G65" s="192" t="n">
        <v>40.252209</v>
      </c>
      <c r="H65" s="192" t="n">
        <v>0.98797999</v>
      </c>
      <c r="I65" s="64" t="n">
        <v>0.99132962</v>
      </c>
      <c r="J65" s="64" t="n">
        <v>0.026921328</v>
      </c>
      <c r="K65" s="193" t="n"/>
      <c r="L65" s="357" t="n"/>
      <c r="M65" s="357" t="n"/>
      <c r="N65" s="58" t="n"/>
      <c r="O65" s="30" t="n"/>
      <c r="P65" s="58" t="n"/>
      <c r="Q65" s="30" t="n"/>
      <c r="R65" s="135" t="n"/>
      <c r="S65" s="301" t="n"/>
      <c r="T65" s="294" t="n"/>
      <c r="U65" s="29" t="inlineStr">
        <is>
          <t>r03</t>
        </is>
      </c>
      <c r="V65" s="191" t="n"/>
      <c r="W65" s="58" t="n"/>
      <c r="X65" s="192" t="n">
        <v>6.256925</v>
      </c>
      <c r="Y65" s="192" t="n">
        <v>11.176853</v>
      </c>
      <c r="Z65" s="192" t="n">
        <v>0.72069164</v>
      </c>
      <c r="AA65" s="64" t="n">
        <v>0.60176336</v>
      </c>
      <c r="AB65" s="64" t="n">
        <v>0.8110825</v>
      </c>
      <c r="AC65" s="193" t="n"/>
      <c r="AD65" s="357" t="n"/>
      <c r="AE65" s="357" t="n"/>
      <c r="AF65" s="58" t="n"/>
      <c r="AG65" s="30" t="n"/>
      <c r="AH65" s="58" t="n"/>
      <c r="AI65" s="30" t="n"/>
      <c r="AJ65" s="135" t="n"/>
      <c r="AK65" s="212" t="n"/>
      <c r="AL65" s="294" t="n"/>
      <c r="AM65" s="89">
        <f>IF(OR(X65="",F65=""),"",X65-F65)</f>
        <v/>
      </c>
      <c r="AN65" s="124">
        <f>IF(OR(Y65="",G65=""),"",Y65-G65)</f>
        <v/>
      </c>
      <c r="AO65" s="124">
        <f>IF(OR(Z65="",H65=""),"",Z65-H65)</f>
        <v/>
      </c>
      <c r="AP65" s="124">
        <f>IF(OR(AA65="",I65=""),"",AA65-I65)</f>
        <v/>
      </c>
      <c r="AQ65" s="90">
        <f>IF(OR(AB65="",J65=""),"",AB65-J65)</f>
        <v/>
      </c>
      <c r="AR65" s="42">
        <f>IF(OR(AC65="",K65=""),"",AC65-K65)</f>
        <v/>
      </c>
      <c r="AS65" s="42">
        <f>IF(OR(AD65="",L65=""),"",AD65-L65)</f>
        <v/>
      </c>
      <c r="AT65" s="42">
        <f>IF(OR(AE65="",M65=""),"",AE65-M65)</f>
        <v/>
      </c>
      <c r="AX65" s="12" t="n"/>
      <c r="AZ65" s="12" t="n"/>
    </row>
    <row r="66" ht="12.75" customHeight="1" s="279">
      <c r="B66" s="294" t="n"/>
      <c r="C66" s="29" t="inlineStr">
        <is>
          <t>r04</t>
        </is>
      </c>
      <c r="D66" s="191" t="n"/>
      <c r="E66" s="58" t="n"/>
      <c r="F66" s="192" t="n">
        <v>39.687701</v>
      </c>
      <c r="G66" s="192" t="n">
        <v>43.589042</v>
      </c>
      <c r="H66" s="192" t="n">
        <v>0.99332034</v>
      </c>
      <c r="I66" s="64" t="n">
        <v>0.9955522</v>
      </c>
      <c r="J66" s="64" t="n">
        <v>0.013120456</v>
      </c>
      <c r="K66" s="193" t="n"/>
      <c r="L66" s="357" t="n"/>
      <c r="M66" s="357" t="n"/>
      <c r="N66" s="58" t="n"/>
      <c r="O66" s="30" t="n"/>
      <c r="P66" s="58" t="n"/>
      <c r="Q66" s="30" t="n"/>
      <c r="R66" s="135" t="n"/>
      <c r="S66" s="301" t="n"/>
      <c r="T66" s="294" t="n"/>
      <c r="U66" s="29" t="inlineStr">
        <is>
          <t>r04</t>
        </is>
      </c>
      <c r="V66" s="191" t="n"/>
      <c r="W66" s="58" t="n"/>
      <c r="X66" s="192" t="n">
        <v>6.301376</v>
      </c>
      <c r="Y66" s="192" t="n">
        <v>11.217507</v>
      </c>
      <c r="Z66" s="192" t="n">
        <v>0.7233984</v>
      </c>
      <c r="AA66" s="64" t="n">
        <v>0.60576718</v>
      </c>
      <c r="AB66" s="64" t="n">
        <v>0.81334007</v>
      </c>
      <c r="AC66" s="193" t="n"/>
      <c r="AD66" s="357" t="n"/>
      <c r="AE66" s="357" t="n"/>
      <c r="AF66" s="58" t="n"/>
      <c r="AG66" s="30" t="n"/>
      <c r="AH66" s="58" t="n"/>
      <c r="AI66" s="30" t="n"/>
      <c r="AJ66" s="135" t="n"/>
      <c r="AK66" s="212" t="n"/>
      <c r="AL66" s="294" t="n"/>
      <c r="AM66" s="89">
        <f>IF(OR(X66="",F66=""),"",X66-F66)</f>
        <v/>
      </c>
      <c r="AN66" s="124">
        <f>IF(OR(Y66="",G66=""),"",Y66-G66)</f>
        <v/>
      </c>
      <c r="AO66" s="124">
        <f>IF(OR(Z66="",H66=""),"",Z66-H66)</f>
        <v/>
      </c>
      <c r="AP66" s="124">
        <f>IF(OR(AA66="",I66=""),"",AA66-I66)</f>
        <v/>
      </c>
      <c r="AQ66" s="90">
        <f>IF(OR(AB66="",J66=""),"",AB66-J66)</f>
        <v/>
      </c>
      <c r="AR66" s="42">
        <f>IF(OR(AC66="",K66=""),"",AC66-K66)</f>
        <v/>
      </c>
      <c r="AS66" s="42">
        <f>IF(OR(AD66="",L66=""),"",AD66-L66)</f>
        <v/>
      </c>
      <c r="AT66" s="42">
        <f>IF(OR(AE66="",M66=""),"",AE66-M66)</f>
        <v/>
      </c>
      <c r="AX66" s="12" t="n"/>
      <c r="AZ66" s="12" t="n"/>
    </row>
    <row r="67" ht="13.5" customHeight="1" s="279" thickBot="1">
      <c r="B67" s="294" t="n"/>
      <c r="C67" s="29" t="n"/>
      <c r="D67" s="191" t="n"/>
      <c r="E67" s="58" t="n"/>
      <c r="F67" s="194" t="n"/>
      <c r="G67" s="194" t="n"/>
      <c r="H67" s="194" t="n"/>
      <c r="I67" s="58" t="n"/>
      <c r="J67" s="58" t="n"/>
      <c r="K67" s="193" t="n"/>
      <c r="L67" s="357" t="n"/>
      <c r="M67" s="357" t="n"/>
      <c r="N67" s="58" t="n"/>
      <c r="O67" s="30" t="n"/>
      <c r="P67" s="58" t="n"/>
      <c r="Q67" s="30" t="n"/>
      <c r="R67" s="189" t="n"/>
      <c r="S67" s="301" t="n"/>
      <c r="T67" s="294" t="n"/>
      <c r="U67" s="29" t="n"/>
      <c r="V67" s="191" t="n"/>
      <c r="W67" s="58" t="n"/>
      <c r="X67" s="194" t="n"/>
      <c r="Y67" s="194" t="n"/>
      <c r="Z67" s="194" t="n"/>
      <c r="AA67" s="58" t="n"/>
      <c r="AB67" s="58" t="n"/>
      <c r="AC67" s="193" t="n"/>
      <c r="AD67" s="357" t="n"/>
      <c r="AE67" s="357" t="n"/>
      <c r="AF67" s="58" t="n"/>
      <c r="AG67" s="30" t="n"/>
      <c r="AH67" s="58" t="n"/>
      <c r="AI67" s="30" t="n"/>
      <c r="AJ67" s="189" t="n"/>
      <c r="AK67" s="212" t="n"/>
      <c r="AL67" s="294" t="n"/>
      <c r="AM67" s="125">
        <f>IF(OR(X67="",F67=""),"",X67-F67)</f>
        <v/>
      </c>
      <c r="AN67" s="126">
        <f>IF(OR(Y67="",G67=""),"",Y67-G67)</f>
        <v/>
      </c>
      <c r="AO67" s="126">
        <f>IF(OR(Z67="",H67=""),"",Z67-H67)</f>
        <v/>
      </c>
      <c r="AP67" s="126">
        <f>IF(OR(AA67="",I67=""),"",AA67-I67)</f>
        <v/>
      </c>
      <c r="AQ67" s="127">
        <f>IF(OR(AB67="",J67=""),"",AB67-J67)</f>
        <v/>
      </c>
      <c r="AR67" s="42">
        <f>IF(OR(AC67="",K67=""),"",AC67-K67)</f>
        <v/>
      </c>
      <c r="AS67" s="42">
        <f>IF(OR(AD67="",L67=""),"",AD67-L67)</f>
        <v/>
      </c>
      <c r="AT67" s="42">
        <f>IF(OR(AE67="",M67=""),"",AE67-M67)</f>
        <v/>
      </c>
      <c r="AX67" s="12" t="n"/>
      <c r="AZ67" s="12" t="n"/>
    </row>
    <row r="68">
      <c r="B68" s="296" t="inlineStr">
        <is>
          <t>v07</t>
        </is>
      </c>
      <c r="C68" s="27" t="inlineStr">
        <is>
          <t>r01</t>
        </is>
      </c>
      <c r="D68" s="41" t="n"/>
      <c r="E68" s="57" t="n"/>
      <c r="F68" s="99" t="n">
        <v>28.98458</v>
      </c>
      <c r="G68" s="99" t="n">
        <v>32.458784</v>
      </c>
      <c r="H68" s="99" t="n">
        <v>0.96228798</v>
      </c>
      <c r="I68" s="62" t="n">
        <v>0.96817422</v>
      </c>
      <c r="J68" s="62" t="n">
        <v>0.07136704000000001</v>
      </c>
      <c r="K68" s="63" t="n"/>
      <c r="L68" s="356" t="n"/>
      <c r="M68" s="356" t="n"/>
      <c r="N68" s="57" t="n"/>
      <c r="O68" s="28" t="n"/>
      <c r="P68" s="57" t="n"/>
      <c r="Q68" s="28" t="n"/>
      <c r="R68" s="134" t="n"/>
      <c r="S68" s="301" t="n"/>
      <c r="T68" s="296" t="inlineStr">
        <is>
          <t>v07</t>
        </is>
      </c>
      <c r="U68" s="27" t="inlineStr">
        <is>
          <t>r01</t>
        </is>
      </c>
      <c r="V68" s="41" t="n"/>
      <c r="W68" s="57" t="n"/>
      <c r="X68" s="99" t="n">
        <v>5.257309</v>
      </c>
      <c r="Y68" s="99" t="n">
        <v>9.959853000000001</v>
      </c>
      <c r="Z68" s="99" t="n">
        <v>0.75601524</v>
      </c>
      <c r="AA68" s="62" t="n">
        <v>0.57135767</v>
      </c>
      <c r="AB68" s="62" t="n">
        <v>0.82154506</v>
      </c>
      <c r="AC68" s="63" t="n"/>
      <c r="AD68" s="356" t="n"/>
      <c r="AE68" s="356" t="n"/>
      <c r="AF68" s="57" t="n"/>
      <c r="AG68" s="28" t="n"/>
      <c r="AH68" s="57" t="n"/>
      <c r="AI68" s="28" t="n"/>
      <c r="AJ68" s="134" t="n"/>
      <c r="AK68" s="212" t="n"/>
      <c r="AL68" s="296" t="inlineStr">
        <is>
          <t>v07</t>
        </is>
      </c>
      <c r="AM68" s="122">
        <f>IF(OR(X68="",F68=""),"",X68-F68)</f>
        <v/>
      </c>
      <c r="AN68" s="98">
        <f>IF(OR(Y68="",G68=""),"",Y68-G68)</f>
        <v/>
      </c>
      <c r="AO68" s="98">
        <f>IF(OR(Z68="",H68=""),"",Z68-H68)</f>
        <v/>
      </c>
      <c r="AP68" s="98">
        <f>IF(OR(AA68="",I68=""),"",AA68-I68)</f>
        <v/>
      </c>
      <c r="AQ68" s="123">
        <f>IF(OR(AB68="",J68=""),"",AB68-J68)</f>
        <v/>
      </c>
      <c r="AR68" s="42">
        <f>IF(OR(AC68="",K68=""),"",AC68-K68)</f>
        <v/>
      </c>
      <c r="AS68" s="42">
        <f>IF(OR(AD68="",L68=""),"",AD68-L68)</f>
        <v/>
      </c>
      <c r="AT68" s="42">
        <f>IF(OR(AE68="",M68=""),"",AE68-M68)</f>
        <v/>
      </c>
      <c r="AX68" s="12" t="n"/>
      <c r="AZ68" s="12" t="n"/>
    </row>
    <row r="69" ht="12.75" customHeight="1" s="279">
      <c r="B69" s="294" t="n"/>
      <c r="C69" s="29" t="inlineStr">
        <is>
          <t>r02</t>
        </is>
      </c>
      <c r="D69" s="191" t="n"/>
      <c r="E69" s="58" t="n"/>
      <c r="F69" s="192" t="n">
        <v>31.978734</v>
      </c>
      <c r="G69" s="192" t="n">
        <v>35.560954</v>
      </c>
      <c r="H69" s="192" t="n">
        <v>0.97750648</v>
      </c>
      <c r="I69" s="64" t="n">
        <v>0.98177001</v>
      </c>
      <c r="J69" s="64" t="n">
        <v>0.04686639</v>
      </c>
      <c r="K69" s="193" t="n"/>
      <c r="L69" s="357" t="n"/>
      <c r="M69" s="357" t="n"/>
      <c r="N69" s="58" t="n"/>
      <c r="O69" s="30" t="n"/>
      <c r="P69" s="58" t="n"/>
      <c r="Q69" s="30" t="n"/>
      <c r="R69" s="135" t="n"/>
      <c r="S69" s="301" t="n"/>
      <c r="T69" s="294" t="n"/>
      <c r="U69" s="29" t="inlineStr">
        <is>
          <t>r02</t>
        </is>
      </c>
      <c r="V69" s="191" t="n"/>
      <c r="W69" s="58" t="n"/>
      <c r="X69" s="192" t="n">
        <v>5.359481</v>
      </c>
      <c r="Y69" s="192" t="n">
        <v>9.993176</v>
      </c>
      <c r="Z69" s="192" t="n">
        <v>0.75593206</v>
      </c>
      <c r="AA69" s="64" t="n">
        <v>0.57330547</v>
      </c>
      <c r="AB69" s="64" t="n">
        <v>0.82219994</v>
      </c>
      <c r="AC69" s="193" t="n"/>
      <c r="AD69" s="357" t="n"/>
      <c r="AE69" s="357" t="n"/>
      <c r="AF69" s="58" t="n"/>
      <c r="AG69" s="30" t="n"/>
      <c r="AH69" s="58" t="n"/>
      <c r="AI69" s="30" t="n"/>
      <c r="AJ69" s="135" t="n"/>
      <c r="AK69" s="212" t="n"/>
      <c r="AL69" s="294" t="n"/>
      <c r="AM69" s="89">
        <f>IF(OR(X69="",F69=""),"",X69-F69)</f>
        <v/>
      </c>
      <c r="AN69" s="124">
        <f>IF(OR(Y69="",G69=""),"",Y69-G69)</f>
        <v/>
      </c>
      <c r="AO69" s="124">
        <f>IF(OR(Z69="",H69=""),"",Z69-H69)</f>
        <v/>
      </c>
      <c r="AP69" s="124">
        <f>IF(OR(AA69="",I69=""),"",AA69-I69)</f>
        <v/>
      </c>
      <c r="AQ69" s="90">
        <f>IF(OR(AB69="",J69=""),"",AB69-J69)</f>
        <v/>
      </c>
      <c r="AR69" s="42">
        <f>IF(OR(AC69="",K69=""),"",AC69-K69)</f>
        <v/>
      </c>
      <c r="AS69" s="42">
        <f>IF(OR(AD69="",L69=""),"",AD69-L69)</f>
        <v/>
      </c>
      <c r="AT69" s="42">
        <f>IF(OR(AE69="",M69=""),"",AE69-M69)</f>
        <v/>
      </c>
      <c r="AX69" s="12" t="n"/>
      <c r="AZ69" s="12" t="n"/>
    </row>
    <row r="70" ht="12.75" customHeight="1" s="279">
      <c r="B70" s="294" t="n"/>
      <c r="C70" s="29" t="inlineStr">
        <is>
          <t>r03</t>
        </is>
      </c>
      <c r="D70" s="191" t="n"/>
      <c r="E70" s="58" t="n"/>
      <c r="F70" s="192" t="n">
        <v>35.082238</v>
      </c>
      <c r="G70" s="192" t="n">
        <v>39.436193</v>
      </c>
      <c r="H70" s="192" t="n">
        <v>0.98856533</v>
      </c>
      <c r="I70" s="64" t="n">
        <v>0.99181431</v>
      </c>
      <c r="J70" s="64" t="n">
        <v>0.03004592</v>
      </c>
      <c r="K70" s="193" t="n"/>
      <c r="L70" s="357" t="n"/>
      <c r="M70" s="357" t="n"/>
      <c r="N70" s="58" t="n"/>
      <c r="O70" s="30" t="n"/>
      <c r="P70" s="58" t="n"/>
      <c r="Q70" s="30" t="n"/>
      <c r="R70" s="135" t="n"/>
      <c r="S70" s="301" t="n"/>
      <c r="T70" s="294" t="n"/>
      <c r="U70" s="29" t="inlineStr">
        <is>
          <t>r03</t>
        </is>
      </c>
      <c r="V70" s="191" t="n"/>
      <c r="W70" s="58" t="n"/>
      <c r="X70" s="192" t="n">
        <v>5.350422</v>
      </c>
      <c r="Y70" s="192" t="n">
        <v>9.987206</v>
      </c>
      <c r="Z70" s="192" t="n">
        <v>0.75596071</v>
      </c>
      <c r="AA70" s="64" t="n">
        <v>0.57316005</v>
      </c>
      <c r="AB70" s="64" t="n">
        <v>0.8222606</v>
      </c>
      <c r="AC70" s="193" t="n"/>
      <c r="AD70" s="357" t="n"/>
      <c r="AE70" s="357" t="n"/>
      <c r="AF70" s="58" t="n"/>
      <c r="AG70" s="30" t="n"/>
      <c r="AH70" s="58" t="n"/>
      <c r="AI70" s="30" t="n"/>
      <c r="AJ70" s="135" t="n"/>
      <c r="AK70" s="212" t="n"/>
      <c r="AL70" s="294" t="n"/>
      <c r="AM70" s="89">
        <f>IF(OR(X70="",F70=""),"",X70-F70)</f>
        <v/>
      </c>
      <c r="AN70" s="124">
        <f>IF(OR(Y70="",G70=""),"",Y70-G70)</f>
        <v/>
      </c>
      <c r="AO70" s="124">
        <f>IF(OR(Z70="",H70=""),"",Z70-H70)</f>
        <v/>
      </c>
      <c r="AP70" s="124">
        <f>IF(OR(AA70="",I70=""),"",AA70-I70)</f>
        <v/>
      </c>
      <c r="AQ70" s="90">
        <f>IF(OR(AB70="",J70=""),"",AB70-J70)</f>
        <v/>
      </c>
      <c r="AR70" s="42">
        <f>IF(OR(AC70="",K70=""),"",AC70-K70)</f>
        <v/>
      </c>
      <c r="AS70" s="42">
        <f>IF(OR(AD70="",L70=""),"",AD70-L70)</f>
        <v/>
      </c>
      <c r="AT70" s="42">
        <f>IF(OR(AE70="",M70=""),"",AE70-M70)</f>
        <v/>
      </c>
      <c r="AX70" s="12" t="n"/>
      <c r="AZ70" s="12" t="n"/>
    </row>
    <row r="71" ht="12.75" customHeight="1" s="279">
      <c r="B71" s="294" t="n"/>
      <c r="C71" s="29" t="inlineStr">
        <is>
          <t>r04</t>
        </is>
      </c>
      <c r="D71" s="191" t="n"/>
      <c r="E71" s="58" t="n"/>
      <c r="F71" s="192" t="n">
        <v>37.543035</v>
      </c>
      <c r="G71" s="192" t="n">
        <v>41.983272</v>
      </c>
      <c r="H71" s="192" t="n">
        <v>0.99337465</v>
      </c>
      <c r="I71" s="64" t="n">
        <v>0.99564515</v>
      </c>
      <c r="J71" s="64" t="n">
        <v>0.017582048</v>
      </c>
      <c r="K71" s="193" t="n"/>
      <c r="L71" s="357" t="n"/>
      <c r="M71" s="357" t="n"/>
      <c r="N71" s="58" t="n"/>
      <c r="O71" s="30" t="n"/>
      <c r="P71" s="58" t="n"/>
      <c r="Q71" s="30" t="n"/>
      <c r="R71" s="135" t="n"/>
      <c r="S71" s="301" t="n"/>
      <c r="T71" s="294" t="n"/>
      <c r="U71" s="29" t="inlineStr">
        <is>
          <t>r04</t>
        </is>
      </c>
      <c r="V71" s="191" t="n"/>
      <c r="W71" s="58" t="n"/>
      <c r="X71" s="192" t="n">
        <v>5.349368</v>
      </c>
      <c r="Y71" s="192" t="n">
        <v>9.988022000000001</v>
      </c>
      <c r="Z71" s="192" t="n">
        <v>0.75597136</v>
      </c>
      <c r="AA71" s="64" t="n">
        <v>0.57315337</v>
      </c>
      <c r="AB71" s="64" t="n">
        <v>0.82219803</v>
      </c>
      <c r="AC71" s="193" t="n"/>
      <c r="AD71" s="357" t="n"/>
      <c r="AE71" s="357" t="n"/>
      <c r="AF71" s="58" t="n"/>
      <c r="AG71" s="30" t="n"/>
      <c r="AH71" s="58" t="n"/>
      <c r="AI71" s="30" t="n"/>
      <c r="AJ71" s="135" t="n"/>
      <c r="AK71" s="212" t="n"/>
      <c r="AL71" s="294" t="n"/>
      <c r="AM71" s="89">
        <f>IF(OR(X71="",F71=""),"",X71-F71)</f>
        <v/>
      </c>
      <c r="AN71" s="124">
        <f>IF(OR(Y71="",G71=""),"",Y71-G71)</f>
        <v/>
      </c>
      <c r="AO71" s="124">
        <f>IF(OR(Z71="",H71=""),"",Z71-H71)</f>
        <v/>
      </c>
      <c r="AP71" s="124">
        <f>IF(OR(AA71="",I71=""),"",AA71-I71)</f>
        <v/>
      </c>
      <c r="AQ71" s="90">
        <f>IF(OR(AB71="",J71=""),"",AB71-J71)</f>
        <v/>
      </c>
      <c r="AR71" s="42">
        <f>IF(OR(AC71="",K71=""),"",AC71-K71)</f>
        <v/>
      </c>
      <c r="AS71" s="42">
        <f>IF(OR(AD71="",L71=""),"",AD71-L71)</f>
        <v/>
      </c>
      <c r="AT71" s="42">
        <f>IF(OR(AE71="",M71=""),"",AE71-M71)</f>
        <v/>
      </c>
      <c r="AX71" s="12" t="n"/>
      <c r="AZ71" s="12" t="n"/>
    </row>
    <row r="72" ht="13.5" customHeight="1" s="279" thickBot="1">
      <c r="B72" s="294" t="n"/>
      <c r="C72" s="29" t="n"/>
      <c r="D72" s="191" t="n"/>
      <c r="E72" s="58" t="n"/>
      <c r="F72" s="194" t="n"/>
      <c r="G72" s="194" t="n"/>
      <c r="H72" s="194" t="n"/>
      <c r="I72" s="58" t="n"/>
      <c r="J72" s="58" t="n"/>
      <c r="K72" s="193" t="n"/>
      <c r="L72" s="357" t="n"/>
      <c r="M72" s="357" t="n"/>
      <c r="N72" s="58" t="n"/>
      <c r="O72" s="30" t="n"/>
      <c r="P72" s="58" t="n"/>
      <c r="Q72" s="30" t="n"/>
      <c r="R72" s="189" t="n"/>
      <c r="S72" s="301" t="n"/>
      <c r="T72" s="294" t="n"/>
      <c r="U72" s="29" t="n"/>
      <c r="V72" s="191" t="n"/>
      <c r="W72" s="58" t="n"/>
      <c r="X72" s="194" t="n"/>
      <c r="Y72" s="194" t="n"/>
      <c r="Z72" s="194" t="n"/>
      <c r="AA72" s="58" t="n"/>
      <c r="AB72" s="58" t="n"/>
      <c r="AC72" s="193" t="n"/>
      <c r="AD72" s="357" t="n"/>
      <c r="AE72" s="357" t="n"/>
      <c r="AF72" s="58" t="n"/>
      <c r="AG72" s="30" t="n"/>
      <c r="AH72" s="58" t="n"/>
      <c r="AI72" s="30" t="n"/>
      <c r="AJ72" s="189" t="n"/>
      <c r="AK72" s="212" t="n"/>
      <c r="AL72" s="294" t="n"/>
      <c r="AM72" s="125">
        <f>IF(OR(X72="",F72=""),"",X72-F72)</f>
        <v/>
      </c>
      <c r="AN72" s="126">
        <f>IF(OR(Y72="",G72=""),"",Y72-G72)</f>
        <v/>
      </c>
      <c r="AO72" s="126">
        <f>IF(OR(Z72="",H72=""),"",Z72-H72)</f>
        <v/>
      </c>
      <c r="AP72" s="126">
        <f>IF(OR(AA72="",I72=""),"",AA72-I72)</f>
        <v/>
      </c>
      <c r="AQ72" s="127">
        <f>IF(OR(AB72="",J72=""),"",AB72-J72)</f>
        <v/>
      </c>
      <c r="AR72" s="42">
        <f>IF(OR(AC72="",K72=""),"",AC72-K72)</f>
        <v/>
      </c>
      <c r="AS72" s="42">
        <f>IF(OR(AD72="",L72=""),"",AD72-L72)</f>
        <v/>
      </c>
      <c r="AT72" s="42">
        <f>IF(OR(AE72="",M72=""),"",AE72-M72)</f>
        <v/>
      </c>
      <c r="AX72" s="12" t="n"/>
      <c r="AZ72" s="12" t="n"/>
    </row>
    <row r="73">
      <c r="B73" s="296" t="inlineStr">
        <is>
          <t>v08</t>
        </is>
      </c>
      <c r="C73" s="27" t="inlineStr">
        <is>
          <t>r01</t>
        </is>
      </c>
      <c r="D73" s="41" t="n"/>
      <c r="E73" s="57" t="n"/>
      <c r="F73" s="99" t="n">
        <v>29.526973</v>
      </c>
      <c r="G73" s="99" t="n">
        <v>33.266182</v>
      </c>
      <c r="H73" s="99" t="n">
        <v>0.9641694200000001</v>
      </c>
      <c r="I73" s="62" t="n">
        <v>0.96878753</v>
      </c>
      <c r="J73" s="62" t="n">
        <v>0.06400709</v>
      </c>
      <c r="K73" s="63" t="n"/>
      <c r="L73" s="356" t="n"/>
      <c r="M73" s="356" t="n"/>
      <c r="N73" s="57" t="n"/>
      <c r="O73" s="28" t="n"/>
      <c r="P73" s="57" t="n"/>
      <c r="Q73" s="28" t="n"/>
      <c r="R73" s="134" t="n"/>
      <c r="S73" s="301" t="n"/>
      <c r="T73" s="296" t="inlineStr">
        <is>
          <t>v08</t>
        </is>
      </c>
      <c r="U73" s="27" t="inlineStr">
        <is>
          <t>r01</t>
        </is>
      </c>
      <c r="V73" s="41" t="n"/>
      <c r="W73" s="57" t="n"/>
      <c r="X73" s="99" t="n">
        <v>5.170686</v>
      </c>
      <c r="Y73" s="99" t="n">
        <v>9.933372</v>
      </c>
      <c r="Z73" s="99" t="n">
        <v>0.75747381</v>
      </c>
      <c r="AA73" s="62" t="n">
        <v>0.57521089</v>
      </c>
      <c r="AB73" s="62" t="n">
        <v>0.82831687</v>
      </c>
      <c r="AC73" s="63" t="n"/>
      <c r="AD73" s="356" t="n"/>
      <c r="AE73" s="356" t="n"/>
      <c r="AF73" s="57" t="n"/>
      <c r="AG73" s="28" t="n"/>
      <c r="AH73" s="57" t="n"/>
      <c r="AI73" s="28" t="n"/>
      <c r="AJ73" s="134" t="n"/>
      <c r="AK73" s="212" t="n"/>
      <c r="AL73" s="296" t="inlineStr">
        <is>
          <t>v08</t>
        </is>
      </c>
      <c r="AM73" s="122">
        <f>IF(OR(X73="",F73=""),"",X73-F73)</f>
        <v/>
      </c>
      <c r="AN73" s="98">
        <f>IF(OR(Y73="",G73=""),"",Y73-G73)</f>
        <v/>
      </c>
      <c r="AO73" s="98">
        <f>IF(OR(Z73="",H73=""),"",Z73-H73)</f>
        <v/>
      </c>
      <c r="AP73" s="98">
        <f>IF(OR(AA73="",I73=""),"",AA73-I73)</f>
        <v/>
      </c>
      <c r="AQ73" s="123">
        <f>IF(OR(AB73="",J73=""),"",AB73-J73)</f>
        <v/>
      </c>
      <c r="AR73" s="42">
        <f>IF(OR(AC73="",K73=""),"",AC73-K73)</f>
        <v/>
      </c>
      <c r="AS73" s="42">
        <f>IF(OR(AD73="",L73=""),"",AD73-L73)</f>
        <v/>
      </c>
      <c r="AT73" s="42">
        <f>IF(OR(AE73="",M73=""),"",AE73-M73)</f>
        <v/>
      </c>
      <c r="AX73" s="12" t="n"/>
      <c r="AZ73" s="12" t="n"/>
    </row>
    <row r="74" ht="12.75" customHeight="1" s="279">
      <c r="B74" s="294" t="n"/>
      <c r="C74" s="29" t="inlineStr">
        <is>
          <t>r02</t>
        </is>
      </c>
      <c r="D74" s="191" t="n"/>
      <c r="E74" s="58" t="n"/>
      <c r="F74" s="192" t="n">
        <v>32.283003</v>
      </c>
      <c r="G74" s="192" t="n">
        <v>36.011024</v>
      </c>
      <c r="H74" s="192" t="n">
        <v>0.9781137600000001</v>
      </c>
      <c r="I74" s="64" t="n">
        <v>0.9816273</v>
      </c>
      <c r="J74" s="64" t="n">
        <v>0.042279504</v>
      </c>
      <c r="K74" s="193" t="n"/>
      <c r="L74" s="357" t="n"/>
      <c r="M74" s="357" t="n"/>
      <c r="N74" s="58" t="n"/>
      <c r="O74" s="30" t="n"/>
      <c r="P74" s="58" t="n"/>
      <c r="Q74" s="30" t="n"/>
      <c r="R74" s="135" t="n"/>
      <c r="S74" s="301" t="n"/>
      <c r="T74" s="294" t="n"/>
      <c r="U74" s="29" t="inlineStr">
        <is>
          <t>r02</t>
        </is>
      </c>
      <c r="V74" s="191" t="n"/>
      <c r="W74" s="58" t="n"/>
      <c r="X74" s="192" t="n">
        <v>5.232317</v>
      </c>
      <c r="Y74" s="192" t="n">
        <v>9.947343</v>
      </c>
      <c r="Z74" s="192" t="n">
        <v>0.75767895</v>
      </c>
      <c r="AA74" s="64" t="n">
        <v>0.5765755299999999</v>
      </c>
      <c r="AB74" s="64" t="n">
        <v>0.8309687</v>
      </c>
      <c r="AC74" s="193" t="n"/>
      <c r="AD74" s="357" t="n"/>
      <c r="AE74" s="357" t="n"/>
      <c r="AF74" s="58" t="n"/>
      <c r="AG74" s="30" t="n"/>
      <c r="AH74" s="58" t="n"/>
      <c r="AI74" s="30" t="n"/>
      <c r="AJ74" s="135" t="n"/>
      <c r="AK74" s="212" t="n"/>
      <c r="AL74" s="294" t="n"/>
      <c r="AM74" s="89">
        <f>IF(OR(X74="",F74=""),"",X74-F74)</f>
        <v/>
      </c>
      <c r="AN74" s="124">
        <f>IF(OR(Y74="",G74=""),"",Y74-G74)</f>
        <v/>
      </c>
      <c r="AO74" s="124">
        <f>IF(OR(Z74="",H74=""),"",Z74-H74)</f>
        <v/>
      </c>
      <c r="AP74" s="124">
        <f>IF(OR(AA74="",I74=""),"",AA74-I74)</f>
        <v/>
      </c>
      <c r="AQ74" s="90">
        <f>IF(OR(AB74="",J74=""),"",AB74-J74)</f>
        <v/>
      </c>
      <c r="AR74" s="42">
        <f>IF(OR(AC74="",K74=""),"",AC74-K74)</f>
        <v/>
      </c>
      <c r="AS74" s="42">
        <f>IF(OR(AD74="",L74=""),"",AD74-L74)</f>
        <v/>
      </c>
      <c r="AT74" s="42">
        <f>IF(OR(AE74="",M74=""),"",AE74-M74)</f>
        <v/>
      </c>
      <c r="AX74" s="12" t="n"/>
      <c r="AZ74" s="12" t="n"/>
    </row>
    <row r="75" ht="12.75" customHeight="1" s="279">
      <c r="B75" s="294" t="n"/>
      <c r="C75" s="29" t="inlineStr">
        <is>
          <t>r03</t>
        </is>
      </c>
      <c r="D75" s="191" t="n"/>
      <c r="E75" s="58" t="n"/>
      <c r="F75" s="192" t="n">
        <v>35.978337</v>
      </c>
      <c r="G75" s="192" t="n">
        <v>40.064263</v>
      </c>
      <c r="H75" s="192" t="n">
        <v>0.98843514</v>
      </c>
      <c r="I75" s="64" t="n">
        <v>0.99156294</v>
      </c>
      <c r="J75" s="64" t="n">
        <v>0.025514245</v>
      </c>
      <c r="K75" s="193" t="n"/>
      <c r="L75" s="357" t="n"/>
      <c r="M75" s="357" t="n"/>
      <c r="N75" s="58" t="n"/>
      <c r="O75" s="30" t="n"/>
      <c r="P75" s="58" t="n"/>
      <c r="Q75" s="30" t="n"/>
      <c r="R75" s="135" t="n"/>
      <c r="S75" s="301" t="n"/>
      <c r="T75" s="294" t="n"/>
      <c r="U75" s="29" t="inlineStr">
        <is>
          <t>r03</t>
        </is>
      </c>
      <c r="V75" s="191" t="n"/>
      <c r="W75" s="58" t="n"/>
      <c r="X75" s="192" t="n">
        <v>5.22116</v>
      </c>
      <c r="Y75" s="192" t="n">
        <v>9.944951</v>
      </c>
      <c r="Z75" s="192" t="n">
        <v>0.75748749</v>
      </c>
      <c r="AA75" s="64" t="n">
        <v>0.57627944</v>
      </c>
      <c r="AB75" s="64" t="n">
        <v>0.83046097</v>
      </c>
      <c r="AC75" s="193" t="n"/>
      <c r="AD75" s="357" t="n"/>
      <c r="AE75" s="357" t="n"/>
      <c r="AF75" s="58" t="n"/>
      <c r="AG75" s="30" t="n"/>
      <c r="AH75" s="58" t="n"/>
      <c r="AI75" s="30" t="n"/>
      <c r="AJ75" s="135" t="n"/>
      <c r="AK75" s="212" t="n"/>
      <c r="AL75" s="294" t="n"/>
      <c r="AM75" s="89">
        <f>IF(OR(X75="",F75=""),"",X75-F75)</f>
        <v/>
      </c>
      <c r="AN75" s="124">
        <f>IF(OR(Y75="",G75=""),"",Y75-G75)</f>
        <v/>
      </c>
      <c r="AO75" s="124">
        <f>IF(OR(Z75="",H75=""),"",Z75-H75)</f>
        <v/>
      </c>
      <c r="AP75" s="124">
        <f>IF(OR(AA75="",I75=""),"",AA75-I75)</f>
        <v/>
      </c>
      <c r="AQ75" s="90">
        <f>IF(OR(AB75="",J75=""),"",AB75-J75)</f>
        <v/>
      </c>
      <c r="AR75" s="42">
        <f>IF(OR(AC75="",K75=""),"",AC75-K75)</f>
        <v/>
      </c>
      <c r="AS75" s="42">
        <f>IF(OR(AD75="",L75=""),"",AD75-L75)</f>
        <v/>
      </c>
      <c r="AT75" s="42">
        <f>IF(OR(AE75="",M75=""),"",AE75-M75)</f>
        <v/>
      </c>
      <c r="AX75" s="12" t="n"/>
      <c r="AZ75" s="12" t="n"/>
    </row>
    <row r="76" ht="12.75" customHeight="1" s="279">
      <c r="B76" s="294" t="n"/>
      <c r="C76" s="29" t="inlineStr">
        <is>
          <t>r04</t>
        </is>
      </c>
      <c r="D76" s="191" t="n"/>
      <c r="E76" s="58" t="n"/>
      <c r="F76" s="192" t="n">
        <v>37.902993</v>
      </c>
      <c r="G76" s="192" t="n">
        <v>42.288583</v>
      </c>
      <c r="H76" s="192" t="n">
        <v>0.99335714</v>
      </c>
      <c r="I76" s="64" t="n">
        <v>0.99562839</v>
      </c>
      <c r="J76" s="64" t="n">
        <v>0.016562795</v>
      </c>
      <c r="K76" s="193" t="n"/>
      <c r="L76" s="357" t="n"/>
      <c r="M76" s="357" t="n"/>
      <c r="N76" s="58" t="n"/>
      <c r="O76" s="30" t="n"/>
      <c r="P76" s="58" t="n"/>
      <c r="Q76" s="30" t="n"/>
      <c r="R76" s="135" t="n"/>
      <c r="S76" s="301" t="n"/>
      <c r="T76" s="294" t="n"/>
      <c r="U76" s="29" t="inlineStr">
        <is>
          <t>r04</t>
        </is>
      </c>
      <c r="V76" s="191" t="n"/>
      <c r="W76" s="58" t="n"/>
      <c r="X76" s="192" t="n">
        <v>5.221319</v>
      </c>
      <c r="Y76" s="192" t="n">
        <v>9.944842</v>
      </c>
      <c r="Z76" s="192" t="n">
        <v>0.7575439</v>
      </c>
      <c r="AA76" s="64" t="n">
        <v>0.5763682</v>
      </c>
      <c r="AB76" s="64" t="n">
        <v>0.8299288</v>
      </c>
      <c r="AC76" s="193" t="n"/>
      <c r="AD76" s="357" t="n"/>
      <c r="AE76" s="357" t="n"/>
      <c r="AF76" s="58" t="n"/>
      <c r="AG76" s="30" t="n"/>
      <c r="AH76" s="58" t="n"/>
      <c r="AI76" s="30" t="n"/>
      <c r="AJ76" s="135" t="n"/>
      <c r="AK76" s="212" t="n"/>
      <c r="AL76" s="294" t="n"/>
      <c r="AM76" s="89">
        <f>IF(OR(X76="",F76=""),"",X76-F76)</f>
        <v/>
      </c>
      <c r="AN76" s="124">
        <f>IF(OR(Y76="",G76=""),"",Y76-G76)</f>
        <v/>
      </c>
      <c r="AO76" s="124">
        <f>IF(OR(Z76="",H76=""),"",Z76-H76)</f>
        <v/>
      </c>
      <c r="AP76" s="124">
        <f>IF(OR(AA76="",I76=""),"",AA76-I76)</f>
        <v/>
      </c>
      <c r="AQ76" s="90">
        <f>IF(OR(AB76="",J76=""),"",AB76-J76)</f>
        <v/>
      </c>
      <c r="AR76" s="42">
        <f>IF(OR(AC76="",K76=""),"",AC76-K76)</f>
        <v/>
      </c>
      <c r="AS76" s="42">
        <f>IF(OR(AD76="",L76=""),"",AD76-L76)</f>
        <v/>
      </c>
      <c r="AT76" s="42">
        <f>IF(OR(AE76="",M76=""),"",AE76-M76)</f>
        <v/>
      </c>
      <c r="AX76" s="12" t="n"/>
      <c r="AZ76" s="12" t="n"/>
    </row>
    <row r="77" ht="13.5" customHeight="1" s="279" thickBot="1">
      <c r="B77" s="294" t="n"/>
      <c r="C77" s="29" t="n"/>
      <c r="D77" s="191" t="n"/>
      <c r="E77" s="58" t="n"/>
      <c r="F77" s="194" t="n"/>
      <c r="G77" s="194" t="n"/>
      <c r="H77" s="194" t="n"/>
      <c r="I77" s="58" t="n"/>
      <c r="J77" s="58" t="n"/>
      <c r="K77" s="193" t="n"/>
      <c r="L77" s="357" t="n"/>
      <c r="M77" s="357" t="n"/>
      <c r="N77" s="58" t="n"/>
      <c r="O77" s="30" t="n"/>
      <c r="P77" s="58" t="n"/>
      <c r="Q77" s="30" t="n"/>
      <c r="R77" s="189" t="n"/>
      <c r="S77" s="301" t="n"/>
      <c r="T77" s="294" t="n"/>
      <c r="U77" s="29" t="n"/>
      <c r="V77" s="191" t="n"/>
      <c r="W77" s="58" t="n"/>
      <c r="X77" s="194" t="n"/>
      <c r="Y77" s="194" t="n"/>
      <c r="Z77" s="194" t="n"/>
      <c r="AA77" s="58" t="n"/>
      <c r="AB77" s="58" t="n"/>
      <c r="AC77" s="193" t="n"/>
      <c r="AD77" s="357" t="n"/>
      <c r="AE77" s="357" t="n"/>
      <c r="AF77" s="58" t="n"/>
      <c r="AG77" s="30" t="n"/>
      <c r="AH77" s="58" t="n"/>
      <c r="AI77" s="30" t="n"/>
      <c r="AJ77" s="189" t="n"/>
      <c r="AK77" s="212" t="n"/>
      <c r="AL77" s="294" t="n"/>
      <c r="AM77" s="125">
        <f>IF(OR(X77="",F77=""),"",X77-F77)</f>
        <v/>
      </c>
      <c r="AN77" s="126">
        <f>IF(OR(Y77="",G77=""),"",Y77-G77)</f>
        <v/>
      </c>
      <c r="AO77" s="126">
        <f>IF(OR(Z77="",H77=""),"",Z77-H77)</f>
        <v/>
      </c>
      <c r="AP77" s="126">
        <f>IF(OR(AA77="",I77=""),"",AA77-I77)</f>
        <v/>
      </c>
      <c r="AQ77" s="127">
        <f>IF(OR(AB77="",J77=""),"",AB77-J77)</f>
        <v/>
      </c>
      <c r="AR77" s="42">
        <f>IF(OR(AC77="",K77=""),"",AC77-K77)</f>
        <v/>
      </c>
      <c r="AS77" s="42">
        <f>IF(OR(AD77="",L77=""),"",AD77-L77)</f>
        <v/>
      </c>
      <c r="AT77" s="42">
        <f>IF(OR(AE77="",M77=""),"",AE77-M77)</f>
        <v/>
      </c>
      <c r="AX77" s="12" t="n"/>
      <c r="AZ77" s="12" t="n"/>
    </row>
    <row r="78">
      <c r="B78" s="296" t="inlineStr">
        <is>
          <t>v09</t>
        </is>
      </c>
      <c r="C78" s="27" t="inlineStr">
        <is>
          <t>r01</t>
        </is>
      </c>
      <c r="D78" s="41" t="n"/>
      <c r="E78" s="57" t="n"/>
      <c r="F78" s="99" t="n">
        <v>29.636751</v>
      </c>
      <c r="G78" s="99" t="n">
        <v>33.338917</v>
      </c>
      <c r="H78" s="99" t="n">
        <v>0.96574823</v>
      </c>
      <c r="I78" s="62" t="n">
        <v>0.97007438</v>
      </c>
      <c r="J78" s="62" t="n">
        <v>0.066473134</v>
      </c>
      <c r="K78" s="63" t="n"/>
      <c r="L78" s="356" t="n"/>
      <c r="M78" s="356" t="n"/>
      <c r="N78" s="57" t="n"/>
      <c r="O78" s="28" t="n"/>
      <c r="P78" s="57" t="n"/>
      <c r="Q78" s="28" t="n"/>
      <c r="R78" s="134" t="n"/>
      <c r="S78" s="301" t="n"/>
      <c r="T78" s="296" t="inlineStr">
        <is>
          <t>v09</t>
        </is>
      </c>
      <c r="U78" s="27" t="inlineStr">
        <is>
          <t>r01</t>
        </is>
      </c>
      <c r="V78" s="41" t="n"/>
      <c r="W78" s="57" t="n"/>
      <c r="X78" s="99" t="n">
        <v>5.105315</v>
      </c>
      <c r="Y78" s="99" t="n">
        <v>9.899399000000001</v>
      </c>
      <c r="Z78" s="99" t="n">
        <v>0.75502052</v>
      </c>
      <c r="AA78" s="62" t="n">
        <v>0.57164979</v>
      </c>
      <c r="AB78" s="62" t="n">
        <v>0.8187805</v>
      </c>
      <c r="AC78" s="63" t="n"/>
      <c r="AD78" s="356" t="n"/>
      <c r="AE78" s="356" t="n"/>
      <c r="AF78" s="57" t="n"/>
      <c r="AG78" s="28" t="n"/>
      <c r="AH78" s="57" t="n"/>
      <c r="AI78" s="28" t="n"/>
      <c r="AJ78" s="134" t="n"/>
      <c r="AK78" s="212" t="n"/>
      <c r="AL78" s="296" t="inlineStr">
        <is>
          <t>v09</t>
        </is>
      </c>
      <c r="AM78" s="122">
        <f>IF(OR(X78="",F78=""),"",X78-F78)</f>
        <v/>
      </c>
      <c r="AN78" s="98">
        <f>IF(OR(Y78="",G78=""),"",Y78-G78)</f>
        <v/>
      </c>
      <c r="AO78" s="98">
        <f>IF(OR(Z78="",H78=""),"",Z78-H78)</f>
        <v/>
      </c>
      <c r="AP78" s="98">
        <f>IF(OR(AA78="",I78=""),"",AA78-I78)</f>
        <v/>
      </c>
      <c r="AQ78" s="123">
        <f>IF(OR(AB78="",J78=""),"",AB78-J78)</f>
        <v/>
      </c>
      <c r="AR78" s="42">
        <f>IF(OR(AC78="",K78=""),"",AC78-K78)</f>
        <v/>
      </c>
      <c r="AS78" s="42">
        <f>IF(OR(AD78="",L78=""),"",AD78-L78)</f>
        <v/>
      </c>
      <c r="AT78" s="42">
        <f>IF(OR(AE78="",M78=""),"",AE78-M78)</f>
        <v/>
      </c>
      <c r="AX78" s="12" t="n"/>
      <c r="AZ78" s="12" t="n"/>
    </row>
    <row r="79" ht="12.75" customHeight="1" s="279">
      <c r="B79" s="294" t="n"/>
      <c r="C79" s="29" t="inlineStr">
        <is>
          <t>r02</t>
        </is>
      </c>
      <c r="D79" s="191" t="n"/>
      <c r="E79" s="58" t="n"/>
      <c r="F79" s="192" t="n">
        <v>32.240989</v>
      </c>
      <c r="G79" s="192" t="n">
        <v>36.054644</v>
      </c>
      <c r="H79" s="192" t="n">
        <v>0.97868995</v>
      </c>
      <c r="I79" s="64" t="n">
        <v>0.98222352</v>
      </c>
      <c r="J79" s="64" t="n">
        <v>0.044221</v>
      </c>
      <c r="K79" s="193" t="n"/>
      <c r="L79" s="357" t="n"/>
      <c r="M79" s="357" t="n"/>
      <c r="N79" s="58" t="n"/>
      <c r="O79" s="30" t="n"/>
      <c r="P79" s="58" t="n"/>
      <c r="Q79" s="30" t="n"/>
      <c r="R79" s="135" t="n"/>
      <c r="S79" s="301" t="n"/>
      <c r="T79" s="294" t="n"/>
      <c r="U79" s="29" t="inlineStr">
        <is>
          <t>r02</t>
        </is>
      </c>
      <c r="V79" s="191" t="n"/>
      <c r="W79" s="58" t="n"/>
      <c r="X79" s="192" t="n">
        <v>5.15794</v>
      </c>
      <c r="Y79" s="192" t="n">
        <v>9.902825</v>
      </c>
      <c r="Z79" s="192" t="n">
        <v>0.75335101</v>
      </c>
      <c r="AA79" s="64" t="n">
        <v>0.57220953</v>
      </c>
      <c r="AB79" s="64" t="n">
        <v>0.82314277</v>
      </c>
      <c r="AC79" s="193" t="n"/>
      <c r="AD79" s="357" t="n"/>
      <c r="AE79" s="357" t="n"/>
      <c r="AF79" s="58" t="n"/>
      <c r="AG79" s="30" t="n"/>
      <c r="AH79" s="58" t="n"/>
      <c r="AI79" s="30" t="n"/>
      <c r="AJ79" s="135" t="n"/>
      <c r="AK79" s="212" t="n"/>
      <c r="AL79" s="294" t="n"/>
      <c r="AM79" s="89">
        <f>IF(OR(X79="",F79=""),"",X79-F79)</f>
        <v/>
      </c>
      <c r="AN79" s="124">
        <f>IF(OR(Y79="",G79=""),"",Y79-G79)</f>
        <v/>
      </c>
      <c r="AO79" s="124">
        <f>IF(OR(Z79="",H79=""),"",Z79-H79)</f>
        <v/>
      </c>
      <c r="AP79" s="124">
        <f>IF(OR(AA79="",I79=""),"",AA79-I79)</f>
        <v/>
      </c>
      <c r="AQ79" s="90">
        <f>IF(OR(AB79="",J79=""),"",AB79-J79)</f>
        <v/>
      </c>
      <c r="AR79" s="42">
        <f>IF(OR(AC79="",K79=""),"",AC79-K79)</f>
        <v/>
      </c>
      <c r="AS79" s="42">
        <f>IF(OR(AD79="",L79=""),"",AD79-L79)</f>
        <v/>
      </c>
      <c r="AT79" s="42">
        <f>IF(OR(AE79="",M79=""),"",AE79-M79)</f>
        <v/>
      </c>
      <c r="AX79" s="12" t="n"/>
      <c r="AZ79" s="12" t="n"/>
    </row>
    <row r="80" ht="12.75" customHeight="1" s="279">
      <c r="B80" s="294" t="n"/>
      <c r="C80" s="29" t="inlineStr">
        <is>
          <t>r03</t>
        </is>
      </c>
      <c r="D80" s="191" t="n"/>
      <c r="E80" s="58" t="n"/>
      <c r="F80" s="192" t="n">
        <v>35.561172</v>
      </c>
      <c r="G80" s="192" t="n">
        <v>39.869093</v>
      </c>
      <c r="H80" s="192" t="n">
        <v>0.98851942</v>
      </c>
      <c r="I80" s="64" t="n">
        <v>0.99173741</v>
      </c>
      <c r="J80" s="64" t="n">
        <v>0.029034961</v>
      </c>
      <c r="K80" s="193" t="n"/>
      <c r="L80" s="357" t="n"/>
      <c r="M80" s="357" t="n"/>
      <c r="N80" s="58" t="n"/>
      <c r="O80" s="30" t="n"/>
      <c r="P80" s="58" t="n"/>
      <c r="Q80" s="30" t="n"/>
      <c r="R80" s="135" t="n"/>
      <c r="S80" s="301" t="n"/>
      <c r="T80" s="294" t="n"/>
      <c r="U80" s="29" t="inlineStr">
        <is>
          <t>r03</t>
        </is>
      </c>
      <c r="V80" s="191" t="n"/>
      <c r="W80" s="58" t="n"/>
      <c r="X80" s="192" t="n">
        <v>5.133672</v>
      </c>
      <c r="Y80" s="192" t="n">
        <v>9.901228</v>
      </c>
      <c r="Z80" s="192" t="n">
        <v>0.7558913900000001</v>
      </c>
      <c r="AA80" s="64" t="n">
        <v>0.5727191700000001</v>
      </c>
      <c r="AB80" s="64" t="n">
        <v>0.8202206</v>
      </c>
      <c r="AC80" s="193" t="n"/>
      <c r="AD80" s="357" t="n"/>
      <c r="AE80" s="357" t="n"/>
      <c r="AF80" s="58" t="n"/>
      <c r="AG80" s="30" t="n"/>
      <c r="AH80" s="58" t="n"/>
      <c r="AI80" s="30" t="n"/>
      <c r="AJ80" s="135" t="n"/>
      <c r="AK80" s="212" t="n"/>
      <c r="AL80" s="294" t="n"/>
      <c r="AM80" s="89">
        <f>IF(OR(X80="",F80=""),"",X80-F80)</f>
        <v/>
      </c>
      <c r="AN80" s="124">
        <f>IF(OR(Y80="",G80=""),"",Y80-G80)</f>
        <v/>
      </c>
      <c r="AO80" s="124">
        <f>IF(OR(Z80="",H80=""),"",Z80-H80)</f>
        <v/>
      </c>
      <c r="AP80" s="124">
        <f>IF(OR(AA80="",I80=""),"",AA80-I80)</f>
        <v/>
      </c>
      <c r="AQ80" s="90">
        <f>IF(OR(AB80="",J80=""),"",AB80-J80)</f>
        <v/>
      </c>
      <c r="AR80" s="42">
        <f>IF(OR(AC80="",K80=""),"",AC80-K80)</f>
        <v/>
      </c>
      <c r="AS80" s="42">
        <f>IF(OR(AD80="",L80=""),"",AD80-L80)</f>
        <v/>
      </c>
      <c r="AT80" s="42">
        <f>IF(OR(AE80="",M80=""),"",AE80-M80)</f>
        <v/>
      </c>
      <c r="AX80" s="12" t="n"/>
      <c r="AZ80" s="12" t="n"/>
    </row>
    <row r="81" ht="12.75" customHeight="1" s="279">
      <c r="B81" s="294" t="n"/>
      <c r="C81" s="29" t="inlineStr">
        <is>
          <t>r04</t>
        </is>
      </c>
      <c r="D81" s="191" t="n"/>
      <c r="E81" s="58" t="n"/>
      <c r="F81" s="192" t="n">
        <v>38.317522</v>
      </c>
      <c r="G81" s="192" t="n">
        <v>42.70572</v>
      </c>
      <c r="H81" s="192" t="n">
        <v>0.99340107</v>
      </c>
      <c r="I81" s="64" t="n">
        <v>0.99566868</v>
      </c>
      <c r="J81" s="64" t="n">
        <v>0.016119538</v>
      </c>
      <c r="K81" s="193" t="n"/>
      <c r="L81" s="357" t="n"/>
      <c r="M81" s="357" t="n"/>
      <c r="N81" s="58" t="n"/>
      <c r="O81" s="30" t="n"/>
      <c r="P81" s="58" t="n"/>
      <c r="Q81" s="30" t="n"/>
      <c r="R81" s="135" t="n"/>
      <c r="S81" s="301" t="n"/>
      <c r="T81" s="294" t="n"/>
      <c r="U81" s="29" t="inlineStr">
        <is>
          <t>r04</t>
        </is>
      </c>
      <c r="V81" s="191" t="n"/>
      <c r="W81" s="58" t="n"/>
      <c r="X81" s="192" t="n">
        <v>5.137957</v>
      </c>
      <c r="Y81" s="192" t="n">
        <v>9.902089999999999</v>
      </c>
      <c r="Z81" s="192" t="n">
        <v>0.75066402</v>
      </c>
      <c r="AA81" s="64" t="n">
        <v>0.56929042</v>
      </c>
      <c r="AB81" s="64" t="n">
        <v>0.8168672300000001</v>
      </c>
      <c r="AC81" s="193" t="n"/>
      <c r="AD81" s="357" t="n"/>
      <c r="AE81" s="357" t="n"/>
      <c r="AF81" s="58" t="n"/>
      <c r="AG81" s="30" t="n"/>
      <c r="AH81" s="58" t="n"/>
      <c r="AI81" s="30" t="n"/>
      <c r="AJ81" s="135" t="n"/>
      <c r="AK81" s="212" t="n"/>
      <c r="AL81" s="294" t="n"/>
      <c r="AM81" s="89">
        <f>IF(OR(X81="",F81=""),"",X81-F81)</f>
        <v/>
      </c>
      <c r="AN81" s="124">
        <f>IF(OR(Y81="",G81=""),"",Y81-G81)</f>
        <v/>
      </c>
      <c r="AO81" s="124">
        <f>IF(OR(Z81="",H81=""),"",Z81-H81)</f>
        <v/>
      </c>
      <c r="AP81" s="124">
        <f>IF(OR(AA81="",I81=""),"",AA81-I81)</f>
        <v/>
      </c>
      <c r="AQ81" s="90">
        <f>IF(OR(AB81="",J81=""),"",AB81-J81)</f>
        <v/>
      </c>
      <c r="AR81" s="42">
        <f>IF(OR(AC81="",K81=""),"",AC81-K81)</f>
        <v/>
      </c>
      <c r="AS81" s="42">
        <f>IF(OR(AD81="",L81=""),"",AD81-L81)</f>
        <v/>
      </c>
      <c r="AT81" s="42">
        <f>IF(OR(AE81="",M81=""),"",AE81-M81)</f>
        <v/>
      </c>
      <c r="AX81" s="12" t="n"/>
      <c r="AZ81" s="12" t="n"/>
    </row>
    <row r="82" ht="13.5" customHeight="1" s="279" thickBot="1">
      <c r="B82" s="294" t="n"/>
      <c r="C82" s="29" t="n"/>
      <c r="D82" s="191" t="n"/>
      <c r="E82" s="58" t="n"/>
      <c r="F82" s="194" t="n"/>
      <c r="G82" s="194" t="n"/>
      <c r="H82" s="194" t="n"/>
      <c r="I82" s="58" t="n"/>
      <c r="J82" s="58" t="n"/>
      <c r="K82" s="193" t="n"/>
      <c r="L82" s="357" t="n"/>
      <c r="M82" s="357" t="n"/>
      <c r="N82" s="58" t="n"/>
      <c r="O82" s="30" t="n"/>
      <c r="P82" s="58" t="n"/>
      <c r="Q82" s="30" t="n"/>
      <c r="R82" s="189" t="n"/>
      <c r="S82" s="301" t="n"/>
      <c r="T82" s="294" t="n"/>
      <c r="U82" s="29" t="n"/>
      <c r="V82" s="191" t="n"/>
      <c r="W82" s="58" t="n"/>
      <c r="X82" s="194" t="n"/>
      <c r="Y82" s="194" t="n"/>
      <c r="Z82" s="194" t="n"/>
      <c r="AA82" s="58" t="n"/>
      <c r="AB82" s="58" t="n"/>
      <c r="AC82" s="193" t="n"/>
      <c r="AD82" s="357" t="n"/>
      <c r="AE82" s="357" t="n"/>
      <c r="AF82" s="58" t="n"/>
      <c r="AG82" s="30" t="n"/>
      <c r="AH82" s="58" t="n"/>
      <c r="AI82" s="30" t="n"/>
      <c r="AJ82" s="189" t="n"/>
      <c r="AK82" s="212" t="n"/>
      <c r="AL82" s="294" t="n"/>
      <c r="AM82" s="125">
        <f>IF(OR(X82="",F82=""),"",X82-F82)</f>
        <v/>
      </c>
      <c r="AN82" s="126">
        <f>IF(OR(Y82="",G82=""),"",Y82-G82)</f>
        <v/>
      </c>
      <c r="AO82" s="126">
        <f>IF(OR(Z82="",H82=""),"",Z82-H82)</f>
        <v/>
      </c>
      <c r="AP82" s="126">
        <f>IF(OR(AA82="",I82=""),"",AA82-I82)</f>
        <v/>
      </c>
      <c r="AQ82" s="127">
        <f>IF(OR(AB82="",J82=""),"",AB82-J82)</f>
        <v/>
      </c>
      <c r="AR82" s="42">
        <f>IF(OR(AC82="",K82=""),"",AC82-K82)</f>
        <v/>
      </c>
      <c r="AS82" s="42">
        <f>IF(OR(AD82="",L82=""),"",AD82-L82)</f>
        <v/>
      </c>
      <c r="AT82" s="42">
        <f>IF(OR(AE82="",M82=""),"",AE82-M82)</f>
        <v/>
      </c>
      <c r="AX82" s="12" t="n"/>
      <c r="AZ82" s="12" t="n"/>
    </row>
    <row r="83">
      <c r="B83" s="293" t="inlineStr">
        <is>
          <t>v10</t>
        </is>
      </c>
      <c r="C83" s="27" t="inlineStr">
        <is>
          <t>r01</t>
        </is>
      </c>
      <c r="D83" s="41" t="n"/>
      <c r="E83" s="57" t="n"/>
      <c r="F83" s="99" t="n">
        <v>30.346667</v>
      </c>
      <c r="G83" s="99" t="n">
        <v>33.69881</v>
      </c>
      <c r="H83" s="99" t="n">
        <v>0.96659404</v>
      </c>
      <c r="I83" s="62" t="n">
        <v>0.97200212</v>
      </c>
      <c r="J83" s="62" t="n">
        <v>0.061710283</v>
      </c>
      <c r="K83" s="63" t="n"/>
      <c r="L83" s="356" t="n"/>
      <c r="M83" s="356" t="n"/>
      <c r="N83" s="57" t="n"/>
      <c r="O83" s="28" t="n"/>
      <c r="P83" s="57" t="n"/>
      <c r="Q83" s="28" t="n"/>
      <c r="R83" s="134" t="n"/>
      <c r="S83" s="301" t="n"/>
      <c r="T83" s="293" t="inlineStr">
        <is>
          <t>v10</t>
        </is>
      </c>
      <c r="U83" s="27" t="inlineStr">
        <is>
          <t>r01</t>
        </is>
      </c>
      <c r="V83" s="41" t="n"/>
      <c r="W83" s="57" t="n"/>
      <c r="X83" s="99" t="n">
        <v>5.430148</v>
      </c>
      <c r="Y83" s="99" t="n">
        <v>9.869794000000001</v>
      </c>
      <c r="Z83" s="99" t="n">
        <v>0.76055474</v>
      </c>
      <c r="AA83" s="62" t="n">
        <v>0.57763851</v>
      </c>
      <c r="AB83" s="62" t="n">
        <v>0.81861377</v>
      </c>
      <c r="AC83" s="63" t="n"/>
      <c r="AD83" s="356" t="n"/>
      <c r="AE83" s="356" t="n"/>
      <c r="AF83" s="57" t="n"/>
      <c r="AG83" s="28" t="n"/>
      <c r="AH83" s="57" t="n"/>
      <c r="AI83" s="28" t="n"/>
      <c r="AJ83" s="134" t="n"/>
      <c r="AK83" s="212" t="n"/>
      <c r="AL83" s="293" t="inlineStr">
        <is>
          <t>v10</t>
        </is>
      </c>
      <c r="AM83" s="122">
        <f>IF(OR(X83="",F83=""),"",X83-F83)</f>
        <v/>
      </c>
      <c r="AN83" s="98">
        <f>IF(OR(Y83="",G83=""),"",Y83-G83)</f>
        <v/>
      </c>
      <c r="AO83" s="98">
        <f>IF(OR(Z83="",H83=""),"",Z83-H83)</f>
        <v/>
      </c>
      <c r="AP83" s="98">
        <f>IF(OR(AA83="",I83=""),"",AA83-I83)</f>
        <v/>
      </c>
      <c r="AQ83" s="123">
        <f>IF(OR(AB83="",J83=""),"",AB83-J83)</f>
        <v/>
      </c>
      <c r="AR83" s="42">
        <f>IF(OR(AC83="",K83=""),"",AC83-K83)</f>
        <v/>
      </c>
      <c r="AS83" s="42">
        <f>IF(OR(AD83="",L83=""),"",AD83-L83)</f>
        <v/>
      </c>
      <c r="AT83" s="42">
        <f>IF(OR(AE83="",M83=""),"",AE83-M83)</f>
        <v/>
      </c>
      <c r="AX83" s="12" t="n"/>
      <c r="AZ83" s="12" t="n"/>
    </row>
    <row r="84" ht="12.75" customHeight="1" s="279">
      <c r="B84" s="294" t="n"/>
      <c r="C84" s="29" t="inlineStr">
        <is>
          <t>r02</t>
        </is>
      </c>
      <c r="D84" s="191" t="n"/>
      <c r="E84" s="58" t="n"/>
      <c r="F84" s="192" t="n">
        <v>33.197961</v>
      </c>
      <c r="G84" s="192" t="n">
        <v>36.642747</v>
      </c>
      <c r="H84" s="192" t="n">
        <v>0.97917064</v>
      </c>
      <c r="I84" s="64" t="n">
        <v>0.9836246199999999</v>
      </c>
      <c r="J84" s="64" t="n">
        <v>0.04063746</v>
      </c>
      <c r="K84" s="193" t="n"/>
      <c r="L84" s="357" t="n"/>
      <c r="M84" s="357" t="n"/>
      <c r="N84" s="58" t="n"/>
      <c r="O84" s="30" t="n"/>
      <c r="P84" s="58" t="n"/>
      <c r="Q84" s="30" t="n"/>
      <c r="R84" s="135" t="n"/>
      <c r="S84" s="301" t="n"/>
      <c r="T84" s="294" t="n"/>
      <c r="U84" s="29" t="inlineStr">
        <is>
          <t>r02</t>
        </is>
      </c>
      <c r="V84" s="191" t="n"/>
      <c r="W84" s="58" t="n"/>
      <c r="X84" s="192" t="n">
        <v>5.359999</v>
      </c>
      <c r="Y84" s="192" t="n">
        <v>9.816974999999999</v>
      </c>
      <c r="Z84" s="192" t="n">
        <v>0.76025964</v>
      </c>
      <c r="AA84" s="64" t="n">
        <v>0.57653853</v>
      </c>
      <c r="AB84" s="64" t="n">
        <v>0.81727743</v>
      </c>
      <c r="AC84" s="193" t="n"/>
      <c r="AD84" s="357" t="n"/>
      <c r="AE84" s="357" t="n"/>
      <c r="AF84" s="58" t="n"/>
      <c r="AG84" s="30" t="n"/>
      <c r="AH84" s="58" t="n"/>
      <c r="AI84" s="30" t="n"/>
      <c r="AJ84" s="135" t="n"/>
      <c r="AK84" s="212" t="n"/>
      <c r="AL84" s="294" t="n"/>
      <c r="AM84" s="89">
        <f>IF(OR(X84="",F84=""),"",X84-F84)</f>
        <v/>
      </c>
      <c r="AN84" s="124">
        <f>IF(OR(Y84="",G84=""),"",Y84-G84)</f>
        <v/>
      </c>
      <c r="AO84" s="124">
        <f>IF(OR(Z84="",H84=""),"",Z84-H84)</f>
        <v/>
      </c>
      <c r="AP84" s="124">
        <f>IF(OR(AA84="",I84=""),"",AA84-I84)</f>
        <v/>
      </c>
      <c r="AQ84" s="90">
        <f>IF(OR(AB84="",J84=""),"",AB84-J84)</f>
        <v/>
      </c>
      <c r="AR84" s="42">
        <f>IF(OR(AC84="",K84=""),"",AC84-K84)</f>
        <v/>
      </c>
      <c r="AS84" s="42">
        <f>IF(OR(AD84="",L84=""),"",AD84-L84)</f>
        <v/>
      </c>
      <c r="AT84" s="42">
        <f>IF(OR(AE84="",M84=""),"",AE84-M84)</f>
        <v/>
      </c>
      <c r="AX84" s="12" t="n"/>
      <c r="AZ84" s="12" t="n"/>
    </row>
    <row r="85" ht="12.75" customHeight="1" s="279">
      <c r="B85" s="294" t="n"/>
      <c r="C85" s="29" t="inlineStr">
        <is>
          <t>r03</t>
        </is>
      </c>
      <c r="D85" s="191" t="n"/>
      <c r="E85" s="58" t="n"/>
      <c r="F85" s="192" t="n">
        <v>36.323225</v>
      </c>
      <c r="G85" s="192" t="n">
        <v>40.461047</v>
      </c>
      <c r="H85" s="192" t="n">
        <v>0.98836797</v>
      </c>
      <c r="I85" s="64" t="n">
        <v>0.99187792</v>
      </c>
      <c r="J85" s="64" t="n">
        <v>0.025983978</v>
      </c>
      <c r="K85" s="193" t="n"/>
      <c r="L85" s="357" t="n"/>
      <c r="M85" s="357" t="n"/>
      <c r="N85" s="58" t="n"/>
      <c r="O85" s="30" t="n"/>
      <c r="P85" s="58" t="n"/>
      <c r="Q85" s="30" t="n"/>
      <c r="R85" s="135" t="n"/>
      <c r="S85" s="301" t="n"/>
      <c r="T85" s="294" t="n"/>
      <c r="U85" s="29" t="inlineStr">
        <is>
          <t>r03</t>
        </is>
      </c>
      <c r="V85" s="191" t="n"/>
      <c r="W85" s="58" t="n"/>
      <c r="X85" s="192" t="n">
        <v>5.323381</v>
      </c>
      <c r="Y85" s="192" t="n">
        <v>9.814662</v>
      </c>
      <c r="Z85" s="192" t="n">
        <v>0.76095762</v>
      </c>
      <c r="AA85" s="64" t="n">
        <v>0.57567811</v>
      </c>
      <c r="AB85" s="64" t="n">
        <v>0.8180455</v>
      </c>
      <c r="AC85" s="193" t="n"/>
      <c r="AD85" s="357" t="n"/>
      <c r="AE85" s="357" t="n"/>
      <c r="AF85" s="58" t="n"/>
      <c r="AG85" s="30" t="n"/>
      <c r="AH85" s="58" t="n"/>
      <c r="AI85" s="30" t="n"/>
      <c r="AJ85" s="135" t="n"/>
      <c r="AK85" s="212" t="n"/>
      <c r="AL85" s="294" t="n"/>
      <c r="AM85" s="89">
        <f>IF(OR(X85="",F85=""),"",X85-F85)</f>
        <v/>
      </c>
      <c r="AN85" s="124">
        <f>IF(OR(Y85="",G85=""),"",Y85-G85)</f>
        <v/>
      </c>
      <c r="AO85" s="124">
        <f>IF(OR(Z85="",H85=""),"",Z85-H85)</f>
        <v/>
      </c>
      <c r="AP85" s="124">
        <f>IF(OR(AA85="",I85=""),"",AA85-I85)</f>
        <v/>
      </c>
      <c r="AQ85" s="90">
        <f>IF(OR(AB85="",J85=""),"",AB85-J85)</f>
        <v/>
      </c>
      <c r="AR85" s="42">
        <f>IF(OR(AC85="",K85=""),"",AC85-K85)</f>
        <v/>
      </c>
      <c r="AS85" s="42">
        <f>IF(OR(AD85="",L85=""),"",AD85-L85)</f>
        <v/>
      </c>
      <c r="AT85" s="42">
        <f>IF(OR(AE85="",M85=""),"",AE85-M85)</f>
        <v/>
      </c>
      <c r="AX85" s="12" t="n"/>
      <c r="AZ85" s="12" t="n"/>
    </row>
    <row r="86" ht="12.75" customHeight="1" s="279">
      <c r="B86" s="294" t="n"/>
      <c r="C86" s="29" t="inlineStr">
        <is>
          <t>r04</t>
        </is>
      </c>
      <c r="D86" s="191" t="n"/>
      <c r="E86" s="58" t="n"/>
      <c r="F86" s="192" t="n">
        <v>38.604658</v>
      </c>
      <c r="G86" s="192" t="n">
        <v>42.987069</v>
      </c>
      <c r="H86" s="192" t="n">
        <v>0.99325756</v>
      </c>
      <c r="I86" s="64" t="n">
        <v>0.99559223</v>
      </c>
      <c r="J86" s="64" t="n">
        <v>0.015268249</v>
      </c>
      <c r="K86" s="193" t="n"/>
      <c r="L86" s="357" t="n"/>
      <c r="M86" s="357" t="n"/>
      <c r="N86" s="58" t="n"/>
      <c r="O86" s="30" t="n"/>
      <c r="P86" s="58" t="n"/>
      <c r="Q86" s="30" t="n"/>
      <c r="R86" s="135" t="n"/>
      <c r="S86" s="301" t="n"/>
      <c r="T86" s="294" t="n"/>
      <c r="U86" s="29" t="inlineStr">
        <is>
          <t>r04</t>
        </is>
      </c>
      <c r="V86" s="191" t="n"/>
      <c r="W86" s="58" t="n"/>
      <c r="X86" s="192" t="n">
        <v>5.335779</v>
      </c>
      <c r="Y86" s="192" t="n">
        <v>9.820926</v>
      </c>
      <c r="Z86" s="192" t="n">
        <v>0.75673888</v>
      </c>
      <c r="AA86" s="64" t="n">
        <v>0.5739526</v>
      </c>
      <c r="AB86" s="64" t="n">
        <v>0.82041997</v>
      </c>
      <c r="AC86" s="193" t="n"/>
      <c r="AD86" s="357" t="n"/>
      <c r="AE86" s="357" t="n"/>
      <c r="AF86" s="58" t="n"/>
      <c r="AG86" s="30" t="n"/>
      <c r="AH86" s="58" t="n"/>
      <c r="AI86" s="30" t="n"/>
      <c r="AJ86" s="135" t="n"/>
      <c r="AK86" s="212" t="n"/>
      <c r="AL86" s="294" t="n"/>
      <c r="AM86" s="89">
        <f>IF(OR(X86="",F86=""),"",X86-F86)</f>
        <v/>
      </c>
      <c r="AN86" s="124">
        <f>IF(OR(Y86="",G86=""),"",Y86-G86)</f>
        <v/>
      </c>
      <c r="AO86" s="124">
        <f>IF(OR(Z86="",H86=""),"",Z86-H86)</f>
        <v/>
      </c>
      <c r="AP86" s="124">
        <f>IF(OR(AA86="",I86=""),"",AA86-I86)</f>
        <v/>
      </c>
      <c r="AQ86" s="90">
        <f>IF(OR(AB86="",J86=""),"",AB86-J86)</f>
        <v/>
      </c>
      <c r="AR86" s="42">
        <f>IF(OR(AC86="",K86=""),"",AC86-K86)</f>
        <v/>
      </c>
      <c r="AS86" s="42">
        <f>IF(OR(AD86="",L86=""),"",AD86-L86)</f>
        <v/>
      </c>
      <c r="AT86" s="42">
        <f>IF(OR(AE86="",M86=""),"",AE86-M86)</f>
        <v/>
      </c>
      <c r="AX86" s="12" t="n"/>
      <c r="AZ86" s="12" t="n"/>
    </row>
    <row r="87" ht="13.5" customHeight="1" s="279" thickBot="1">
      <c r="B87" s="295" t="n"/>
      <c r="C87" s="29" t="n"/>
      <c r="D87" s="191" t="n"/>
      <c r="E87" s="58" t="n"/>
      <c r="F87" s="194" t="n"/>
      <c r="G87" s="194" t="n"/>
      <c r="H87" s="194" t="n"/>
      <c r="I87" s="58" t="n"/>
      <c r="J87" s="58" t="n"/>
      <c r="K87" s="193" t="n"/>
      <c r="L87" s="357" t="n"/>
      <c r="M87" s="357" t="n"/>
      <c r="N87" s="58" t="n"/>
      <c r="O87" s="30" t="n"/>
      <c r="P87" s="58" t="n"/>
      <c r="Q87" s="30" t="n"/>
      <c r="R87" s="189" t="n"/>
      <c r="S87" s="301" t="n"/>
      <c r="T87" s="295" t="n"/>
      <c r="U87" s="29" t="n"/>
      <c r="V87" s="191" t="n"/>
      <c r="W87" s="58" t="n"/>
      <c r="X87" s="194" t="n"/>
      <c r="Y87" s="194" t="n"/>
      <c r="Z87" s="194" t="n"/>
      <c r="AA87" s="58" t="n"/>
      <c r="AB87" s="58" t="n"/>
      <c r="AC87" s="193" t="n"/>
      <c r="AD87" s="357" t="n"/>
      <c r="AE87" s="357" t="n"/>
      <c r="AF87" s="58" t="n"/>
      <c r="AG87" s="30" t="n"/>
      <c r="AH87" s="58" t="n"/>
      <c r="AI87" s="30" t="n"/>
      <c r="AJ87" s="189" t="n"/>
      <c r="AK87" s="212" t="n"/>
      <c r="AL87" s="295" t="n"/>
      <c r="AM87" s="125">
        <f>IF(OR(X87="",F87=""),"",X87-F87)</f>
        <v/>
      </c>
      <c r="AN87" s="126">
        <f>IF(OR(Y87="",G87=""),"",Y87-G87)</f>
        <v/>
      </c>
      <c r="AO87" s="126">
        <f>IF(OR(Z87="",H87=""),"",Z87-H87)</f>
        <v/>
      </c>
      <c r="AP87" s="126">
        <f>IF(OR(AA87="",I87=""),"",AA87-I87)</f>
        <v/>
      </c>
      <c r="AQ87" s="127">
        <f>IF(OR(AB87="",J87=""),"",AB87-J87)</f>
        <v/>
      </c>
      <c r="AR87" s="42">
        <f>IF(OR(AC87="",K87=""),"",AC87-K87)</f>
        <v/>
      </c>
      <c r="AS87" s="42">
        <f>IF(OR(AD87="",L87=""),"",AD87-L87)</f>
        <v/>
      </c>
      <c r="AT87" s="42">
        <f>IF(OR(AE87="",M87=""),"",AE87-M87)</f>
        <v/>
      </c>
      <c r="AX87" s="12" t="n"/>
      <c r="AZ87" s="12" t="n"/>
    </row>
    <row r="88" ht="13.5" customHeight="1" s="279">
      <c r="B88" s="293" t="inlineStr">
        <is>
          <t>v11</t>
        </is>
      </c>
      <c r="C88" s="27" t="inlineStr">
        <is>
          <t>r01</t>
        </is>
      </c>
      <c r="D88" s="41" t="n"/>
      <c r="E88" s="57" t="n"/>
      <c r="F88" s="99" t="n">
        <v>30.330775</v>
      </c>
      <c r="G88" s="99" t="n">
        <v>33.888913</v>
      </c>
      <c r="H88" s="99" t="n">
        <v>0.96718584</v>
      </c>
      <c r="I88" s="62" t="n">
        <v>0.97233604</v>
      </c>
      <c r="J88" s="62" t="n">
        <v>0.060269896</v>
      </c>
      <c r="K88" s="63" t="n"/>
      <c r="L88" s="356" t="n"/>
      <c r="M88" s="356" t="n"/>
      <c r="N88" s="57" t="n"/>
      <c r="O88" s="28" t="n"/>
      <c r="P88" s="57" t="n"/>
      <c r="Q88" s="28" t="n"/>
      <c r="R88" s="134" t="n"/>
      <c r="S88" s="301" t="n"/>
      <c r="T88" s="293" t="inlineStr">
        <is>
          <t>v11</t>
        </is>
      </c>
      <c r="U88" s="27" t="inlineStr">
        <is>
          <t>r01</t>
        </is>
      </c>
      <c r="V88" s="41" t="n"/>
      <c r="W88" s="57" t="n"/>
      <c r="X88" s="99" t="n">
        <v>6.100726</v>
      </c>
      <c r="Y88" s="99" t="n">
        <v>10.621376</v>
      </c>
      <c r="Z88" s="99" t="n">
        <v>0.75539816</v>
      </c>
      <c r="AA88" s="62" t="n">
        <v>0.6087234</v>
      </c>
      <c r="AB88" s="62" t="n">
        <v>0.80330515</v>
      </c>
      <c r="AC88" s="63" t="n"/>
      <c r="AD88" s="356" t="n"/>
      <c r="AE88" s="356" t="n"/>
      <c r="AF88" s="57" t="n"/>
      <c r="AG88" s="28" t="n"/>
      <c r="AH88" s="57" t="n"/>
      <c r="AI88" s="28" t="n"/>
      <c r="AJ88" s="134" t="n"/>
      <c r="AK88" s="212" t="n"/>
      <c r="AL88" s="293" t="inlineStr">
        <is>
          <t>v11</t>
        </is>
      </c>
      <c r="AM88" s="122">
        <f>IF(OR(X88="",F88=""),"",X88-F88)</f>
        <v/>
      </c>
      <c r="AN88" s="98">
        <f>IF(OR(Y88="",G88=""),"",Y88-G88)</f>
        <v/>
      </c>
      <c r="AO88" s="98">
        <f>IF(OR(Z88="",H88=""),"",Z88-H88)</f>
        <v/>
      </c>
      <c r="AP88" s="98">
        <f>IF(OR(AA88="",I88=""),"",AA88-I88)</f>
        <v/>
      </c>
      <c r="AQ88" s="123">
        <f>IF(OR(AB88="",J88=""),"",AB88-J88)</f>
        <v/>
      </c>
      <c r="AR88" s="39" t="n"/>
      <c r="AS88" s="332" t="n"/>
      <c r="AT88" s="39" t="n"/>
    </row>
    <row r="89" ht="13.5" customHeight="1" s="279">
      <c r="B89" s="294" t="n"/>
      <c r="C89" s="29" t="inlineStr">
        <is>
          <t>r02</t>
        </is>
      </c>
      <c r="D89" s="191" t="n"/>
      <c r="E89" s="58" t="n"/>
      <c r="F89" s="192" t="n">
        <v>33.457308</v>
      </c>
      <c r="G89" s="192" t="n">
        <v>36.880573</v>
      </c>
      <c r="H89" s="192" t="n">
        <v>0.97968539</v>
      </c>
      <c r="I89" s="64" t="n">
        <v>0.98436558</v>
      </c>
      <c r="J89" s="64" t="n">
        <v>0.039441094</v>
      </c>
      <c r="K89" s="193" t="n"/>
      <c r="L89" s="357" t="n"/>
      <c r="M89" s="357" t="n"/>
      <c r="N89" s="58" t="n"/>
      <c r="O89" s="30" t="n"/>
      <c r="P89" s="58" t="n"/>
      <c r="Q89" s="30" t="n"/>
      <c r="R89" s="135" t="n"/>
      <c r="S89" s="301" t="n"/>
      <c r="T89" s="294" t="n"/>
      <c r="U89" s="29" t="inlineStr">
        <is>
          <t>r02</t>
        </is>
      </c>
      <c r="V89" s="191" t="n"/>
      <c r="W89" s="58" t="n"/>
      <c r="X89" s="192" t="n">
        <v>6.044071</v>
      </c>
      <c r="Y89" s="192" t="n">
        <v>10.585517</v>
      </c>
      <c r="Z89" s="192" t="n">
        <v>0.76615882</v>
      </c>
      <c r="AA89" s="64" t="n">
        <v>0.61988276</v>
      </c>
      <c r="AB89" s="64" t="n">
        <v>0.8073446</v>
      </c>
      <c r="AC89" s="193" t="n"/>
      <c r="AD89" s="357" t="n"/>
      <c r="AE89" s="357" t="n"/>
      <c r="AF89" s="58" t="n"/>
      <c r="AG89" s="30" t="n"/>
      <c r="AH89" s="58" t="n"/>
      <c r="AI89" s="30" t="n"/>
      <c r="AJ89" s="135" t="n"/>
      <c r="AK89" s="212" t="n"/>
      <c r="AL89" s="294" t="n"/>
      <c r="AM89" s="89">
        <f>IF(OR(X89="",F89=""),"",X89-F89)</f>
        <v/>
      </c>
      <c r="AN89" s="124">
        <f>IF(OR(Y89="",G89=""),"",Y89-G89)</f>
        <v/>
      </c>
      <c r="AO89" s="124">
        <f>IF(OR(Z89="",H89=""),"",Z89-H89)</f>
        <v/>
      </c>
      <c r="AP89" s="124">
        <f>IF(OR(AA89="",I89=""),"",AA89-I89)</f>
        <v/>
      </c>
      <c r="AQ89" s="90">
        <f>IF(OR(AB89="",J89=""),"",AB89-J89)</f>
        <v/>
      </c>
      <c r="AR89" s="39" t="n"/>
      <c r="AS89" s="332" t="n"/>
      <c r="AT89" s="39" t="n"/>
    </row>
    <row r="90" ht="13.5" customHeight="1" s="279">
      <c r="B90" s="294" t="n"/>
      <c r="C90" s="29" t="inlineStr">
        <is>
          <t>r03</t>
        </is>
      </c>
      <c r="D90" s="191" t="n"/>
      <c r="E90" s="58" t="n"/>
      <c r="F90" s="192" t="n">
        <v>36.753244</v>
      </c>
      <c r="G90" s="192" t="n">
        <v>40.748926</v>
      </c>
      <c r="H90" s="192" t="n">
        <v>0.98862737</v>
      </c>
      <c r="I90" s="64" t="n">
        <v>0.99193087</v>
      </c>
      <c r="J90" s="64" t="n">
        <v>0.02445323</v>
      </c>
      <c r="K90" s="193" t="n"/>
      <c r="L90" s="357" t="n"/>
      <c r="M90" s="357" t="n"/>
      <c r="N90" s="58" t="n"/>
      <c r="O90" s="30" t="n"/>
      <c r="P90" s="58" t="n"/>
      <c r="Q90" s="30" t="n"/>
      <c r="R90" s="135" t="n"/>
      <c r="S90" s="301" t="n"/>
      <c r="T90" s="294" t="n"/>
      <c r="U90" s="29" t="inlineStr">
        <is>
          <t>r03</t>
        </is>
      </c>
      <c r="V90" s="191" t="n"/>
      <c r="W90" s="58" t="n"/>
      <c r="X90" s="192" t="n">
        <v>6.035932</v>
      </c>
      <c r="Y90" s="192" t="n">
        <v>10.512866</v>
      </c>
      <c r="Z90" s="192" t="n">
        <v>0.74988871</v>
      </c>
      <c r="AA90" s="64" t="n">
        <v>0.60128841</v>
      </c>
      <c r="AB90" s="64" t="n">
        <v>0.80417657</v>
      </c>
      <c r="AC90" s="193" t="n"/>
      <c r="AD90" s="357" t="n"/>
      <c r="AE90" s="357" t="n"/>
      <c r="AF90" s="58" t="n"/>
      <c r="AG90" s="30" t="n"/>
      <c r="AH90" s="58" t="n"/>
      <c r="AI90" s="30" t="n"/>
      <c r="AJ90" s="135" t="n"/>
      <c r="AK90" s="212" t="n"/>
      <c r="AL90" s="294" t="n"/>
      <c r="AM90" s="89">
        <f>IF(OR(X90="",F90=""),"",X90-F90)</f>
        <v/>
      </c>
      <c r="AN90" s="124">
        <f>IF(OR(Y90="",G90=""),"",Y90-G90)</f>
        <v/>
      </c>
      <c r="AO90" s="124">
        <f>IF(OR(Z90="",H90=""),"",Z90-H90)</f>
        <v/>
      </c>
      <c r="AP90" s="124">
        <f>IF(OR(AA90="",I90=""),"",AA90-I90)</f>
        <v/>
      </c>
      <c r="AQ90" s="90">
        <f>IF(OR(AB90="",J90=""),"",AB90-J90)</f>
        <v/>
      </c>
      <c r="AR90" s="39" t="n"/>
      <c r="AS90" s="332" t="n"/>
      <c r="AT90" s="39" t="n"/>
    </row>
    <row r="91" ht="13.5" customHeight="1" s="279">
      <c r="B91" s="294" t="n"/>
      <c r="C91" s="29" t="inlineStr">
        <is>
          <t>r04</t>
        </is>
      </c>
      <c r="D91" s="191" t="n"/>
      <c r="E91" s="58" t="n"/>
      <c r="F91" s="192" t="n">
        <v>39.221528</v>
      </c>
      <c r="G91" s="192" t="n">
        <v>43.491195</v>
      </c>
      <c r="H91" s="192" t="n">
        <v>0.99348431</v>
      </c>
      <c r="I91" s="64" t="n">
        <v>0.99572461</v>
      </c>
      <c r="J91" s="64" t="n">
        <v>0.013737254</v>
      </c>
      <c r="K91" s="193" t="n"/>
      <c r="L91" s="357" t="n"/>
      <c r="M91" s="357" t="n"/>
      <c r="N91" s="58" t="n"/>
      <c r="O91" s="30" t="n"/>
      <c r="P91" s="58" t="n"/>
      <c r="Q91" s="30" t="n"/>
      <c r="R91" s="135" t="n"/>
      <c r="S91" s="301" t="n"/>
      <c r="T91" s="294" t="n"/>
      <c r="U91" s="29" t="inlineStr">
        <is>
          <t>r04</t>
        </is>
      </c>
      <c r="V91" s="191" t="n"/>
      <c r="W91" s="58" t="n"/>
      <c r="X91" s="192" t="n">
        <v>6.023555</v>
      </c>
      <c r="Y91" s="192" t="n">
        <v>10.503547</v>
      </c>
      <c r="Z91" s="192" t="n">
        <v>0.75997591</v>
      </c>
      <c r="AA91" s="64" t="n">
        <v>0.61127205</v>
      </c>
      <c r="AB91" s="64" t="n">
        <v>0.81116277</v>
      </c>
      <c r="AC91" s="193" t="n"/>
      <c r="AD91" s="357" t="n"/>
      <c r="AE91" s="357" t="n"/>
      <c r="AF91" s="58" t="n"/>
      <c r="AG91" s="30" t="n"/>
      <c r="AH91" s="58" t="n"/>
      <c r="AI91" s="30" t="n"/>
      <c r="AJ91" s="135" t="n"/>
      <c r="AK91" s="212" t="n"/>
      <c r="AL91" s="294" t="n"/>
      <c r="AM91" s="89">
        <f>IF(OR(X91="",F91=""),"",X91-F91)</f>
        <v/>
      </c>
      <c r="AN91" s="124">
        <f>IF(OR(Y91="",G91=""),"",Y91-G91)</f>
        <v/>
      </c>
      <c r="AO91" s="124">
        <f>IF(OR(Z91="",H91=""),"",Z91-H91)</f>
        <v/>
      </c>
      <c r="AP91" s="124">
        <f>IF(OR(AA91="",I91=""),"",AA91-I91)</f>
        <v/>
      </c>
      <c r="AQ91" s="90">
        <f>IF(OR(AB91="",J91=""),"",AB91-J91)</f>
        <v/>
      </c>
      <c r="AR91" s="39" t="n"/>
      <c r="AS91" s="332" t="n"/>
      <c r="AT91" s="39" t="n"/>
    </row>
    <row r="92" ht="13.5" customHeight="1" s="279" thickBot="1">
      <c r="B92" s="295" t="n"/>
      <c r="C92" s="29" t="n"/>
      <c r="D92" s="191" t="n"/>
      <c r="E92" s="58" t="n"/>
      <c r="F92" s="194" t="n"/>
      <c r="G92" s="194" t="n"/>
      <c r="H92" s="194" t="n"/>
      <c r="I92" s="58" t="n"/>
      <c r="J92" s="58" t="n"/>
      <c r="K92" s="193" t="n"/>
      <c r="L92" s="357" t="n"/>
      <c r="M92" s="357" t="n"/>
      <c r="N92" s="58" t="n"/>
      <c r="O92" s="30" t="n"/>
      <c r="P92" s="58" t="n"/>
      <c r="Q92" s="30" t="n"/>
      <c r="R92" s="189" t="n"/>
      <c r="S92" s="301" t="n"/>
      <c r="T92" s="295" t="n"/>
      <c r="U92" s="29" t="n"/>
      <c r="V92" s="191" t="n"/>
      <c r="W92" s="58" t="n"/>
      <c r="X92" s="194" t="n"/>
      <c r="Y92" s="194" t="n"/>
      <c r="Z92" s="194" t="n"/>
      <c r="AA92" s="58" t="n"/>
      <c r="AB92" s="58" t="n"/>
      <c r="AC92" s="193" t="n"/>
      <c r="AD92" s="357" t="n"/>
      <c r="AE92" s="357" t="n"/>
      <c r="AF92" s="58" t="n"/>
      <c r="AG92" s="30" t="n"/>
      <c r="AH92" s="58" t="n"/>
      <c r="AI92" s="30" t="n"/>
      <c r="AJ92" s="189" t="n"/>
      <c r="AK92" s="212" t="n"/>
      <c r="AL92" s="295" t="n"/>
      <c r="AM92" s="125">
        <f>IF(OR(X92="",F92=""),"",X92-F92)</f>
        <v/>
      </c>
      <c r="AN92" s="126">
        <f>IF(OR(Y92="",G92=""),"",Y92-G92)</f>
        <v/>
      </c>
      <c r="AO92" s="126">
        <f>IF(OR(Z92="",H92=""),"",Z92-H92)</f>
        <v/>
      </c>
      <c r="AP92" s="126">
        <f>IF(OR(AA92="",I92=""),"",AA92-I92)</f>
        <v/>
      </c>
      <c r="AQ92" s="127">
        <f>IF(OR(AB92="",J92=""),"",AB92-J92)</f>
        <v/>
      </c>
      <c r="AR92" s="39" t="n"/>
      <c r="AS92" s="332" t="n"/>
      <c r="AT92" s="39" t="n"/>
    </row>
    <row r="93" ht="13.5" customHeight="1" s="279">
      <c r="B93" s="293" t="inlineStr">
        <is>
          <t>v12</t>
        </is>
      </c>
      <c r="C93" s="27" t="inlineStr">
        <is>
          <t>r01</t>
        </is>
      </c>
      <c r="D93" s="41" t="n"/>
      <c r="E93" s="57" t="n"/>
      <c r="F93" s="99" t="n">
        <v>30.403388</v>
      </c>
      <c r="G93" s="99" t="n">
        <v>34.113942</v>
      </c>
      <c r="H93" s="99" t="n">
        <v>0.96725786</v>
      </c>
      <c r="I93" s="62" t="n">
        <v>0.97287062</v>
      </c>
      <c r="J93" s="62" t="n">
        <v>0.061141808</v>
      </c>
      <c r="K93" s="63" t="n"/>
      <c r="L93" s="356" t="n"/>
      <c r="M93" s="356" t="n"/>
      <c r="N93" s="57" t="n"/>
      <c r="O93" s="28" t="n"/>
      <c r="P93" s="57" t="n"/>
      <c r="Q93" s="28" t="n"/>
      <c r="R93" s="134" t="n"/>
      <c r="S93" s="301" t="n"/>
      <c r="T93" s="293" t="inlineStr">
        <is>
          <t>v12</t>
        </is>
      </c>
      <c r="U93" s="27" t="inlineStr">
        <is>
          <t>r01</t>
        </is>
      </c>
      <c r="V93" s="41" t="n"/>
      <c r="W93" s="57" t="n"/>
      <c r="X93" s="99" t="n">
        <v>6.349001</v>
      </c>
      <c r="Y93" s="99" t="n">
        <v>11.039478</v>
      </c>
      <c r="Z93" s="99" t="n">
        <v>0.73245323</v>
      </c>
      <c r="AA93" s="62" t="n">
        <v>0.6025272</v>
      </c>
      <c r="AB93" s="62" t="n">
        <v>0.79417086</v>
      </c>
      <c r="AC93" s="63" t="n"/>
      <c r="AD93" s="356" t="n"/>
      <c r="AE93" s="356" t="n"/>
      <c r="AF93" s="57" t="n"/>
      <c r="AG93" s="28" t="n"/>
      <c r="AH93" s="57" t="n"/>
      <c r="AI93" s="28" t="n"/>
      <c r="AJ93" s="134" t="n"/>
      <c r="AK93" s="212" t="n"/>
      <c r="AL93" s="293" t="inlineStr">
        <is>
          <t>v12</t>
        </is>
      </c>
      <c r="AM93" s="122">
        <f>IF(OR(X93="",F93=""),"",X93-F93)</f>
        <v/>
      </c>
      <c r="AN93" s="98">
        <f>IF(OR(Y93="",G93=""),"",Y93-G93)</f>
        <v/>
      </c>
      <c r="AO93" s="98">
        <f>IF(OR(Z93="",H93=""),"",Z93-H93)</f>
        <v/>
      </c>
      <c r="AP93" s="98">
        <f>IF(OR(AA93="",I93=""),"",AA93-I93)</f>
        <v/>
      </c>
      <c r="AQ93" s="123">
        <f>IF(OR(AB93="",J93=""),"",AB93-J93)</f>
        <v/>
      </c>
      <c r="AR93" s="39" t="n"/>
      <c r="AS93" s="332" t="n"/>
      <c r="AT93" s="39" t="n"/>
    </row>
    <row r="94" ht="13.5" customHeight="1" s="279">
      <c r="B94" s="294" t="n"/>
      <c r="C94" s="29" t="inlineStr">
        <is>
          <t>r02</t>
        </is>
      </c>
      <c r="D94" s="191" t="n"/>
      <c r="E94" s="58" t="n"/>
      <c r="F94" s="192" t="n">
        <v>33.436641</v>
      </c>
      <c r="G94" s="192" t="n">
        <v>37.069686</v>
      </c>
      <c r="H94" s="192" t="n">
        <v>0.97984364</v>
      </c>
      <c r="I94" s="64" t="n">
        <v>0.98470243</v>
      </c>
      <c r="J94" s="64" t="n">
        <v>0.040614147</v>
      </c>
      <c r="K94" s="193" t="n"/>
      <c r="L94" s="357" t="n"/>
      <c r="M94" s="357" t="n"/>
      <c r="N94" s="58" t="n"/>
      <c r="O94" s="30" t="n"/>
      <c r="P94" s="58" t="n"/>
      <c r="Q94" s="30" t="n"/>
      <c r="R94" s="135" t="n"/>
      <c r="S94" s="301" t="n"/>
      <c r="T94" s="294" t="n"/>
      <c r="U94" s="29" t="inlineStr">
        <is>
          <t>r02</t>
        </is>
      </c>
      <c r="V94" s="191" t="n"/>
      <c r="W94" s="58" t="n"/>
      <c r="X94" s="192" t="n">
        <v>6.295651</v>
      </c>
      <c r="Y94" s="192" t="n">
        <v>11.028398</v>
      </c>
      <c r="Z94" s="192" t="n">
        <v>0.7578999</v>
      </c>
      <c r="AA94" s="64" t="n">
        <v>0.62169255</v>
      </c>
      <c r="AB94" s="64" t="n">
        <v>0.79240537</v>
      </c>
      <c r="AC94" s="193" t="n"/>
      <c r="AD94" s="357" t="n"/>
      <c r="AE94" s="357" t="n"/>
      <c r="AF94" s="58" t="n"/>
      <c r="AG94" s="30" t="n"/>
      <c r="AH94" s="58" t="n"/>
      <c r="AI94" s="30" t="n"/>
      <c r="AJ94" s="135" t="n"/>
      <c r="AK94" s="212" t="n"/>
      <c r="AL94" s="294" t="n"/>
      <c r="AM94" s="89">
        <f>IF(OR(X94="",F94=""),"",X94-F94)</f>
        <v/>
      </c>
      <c r="AN94" s="124">
        <f>IF(OR(Y94="",G94=""),"",Y94-G94)</f>
        <v/>
      </c>
      <c r="AO94" s="124">
        <f>IF(OR(Z94="",H94=""),"",Z94-H94)</f>
        <v/>
      </c>
      <c r="AP94" s="124">
        <f>IF(OR(AA94="",I94=""),"",AA94-I94)</f>
        <v/>
      </c>
      <c r="AQ94" s="90">
        <f>IF(OR(AB94="",J94=""),"",AB94-J94)</f>
        <v/>
      </c>
      <c r="AR94" s="39" t="n"/>
      <c r="AS94" s="332" t="n"/>
      <c r="AT94" s="39" t="n"/>
    </row>
    <row r="95" ht="13.5" customHeight="1" s="279">
      <c r="B95" s="294" t="n"/>
      <c r="C95" s="29" t="inlineStr">
        <is>
          <t>r03</t>
        </is>
      </c>
      <c r="D95" s="191" t="n"/>
      <c r="E95" s="58" t="n"/>
      <c r="F95" s="192" t="n">
        <v>36.790162</v>
      </c>
      <c r="G95" s="192" t="n">
        <v>40.713657</v>
      </c>
      <c r="H95" s="192" t="n">
        <v>0.98878248</v>
      </c>
      <c r="I95" s="64" t="n">
        <v>0.99217165</v>
      </c>
      <c r="J95" s="64" t="n">
        <v>0.024706522</v>
      </c>
      <c r="K95" s="193" t="n"/>
      <c r="L95" s="357" t="n"/>
      <c r="M95" s="357" t="n"/>
      <c r="N95" s="58" t="n"/>
      <c r="O95" s="30" t="n"/>
      <c r="P95" s="58" t="n"/>
      <c r="Q95" s="30" t="n"/>
      <c r="R95" s="135" t="n"/>
      <c r="S95" s="301" t="n"/>
      <c r="T95" s="294" t="n"/>
      <c r="U95" s="29" t="inlineStr">
        <is>
          <t>r03</t>
        </is>
      </c>
      <c r="V95" s="191" t="n"/>
      <c r="W95" s="58" t="n"/>
      <c r="X95" s="192" t="n">
        <v>6.246769</v>
      </c>
      <c r="Y95" s="192" t="n">
        <v>10.915518</v>
      </c>
      <c r="Z95" s="192" t="n">
        <v>0.73984626</v>
      </c>
      <c r="AA95" s="64" t="n">
        <v>0.60611921</v>
      </c>
      <c r="AB95" s="64" t="n">
        <v>0.7955322</v>
      </c>
      <c r="AC95" s="193" t="n"/>
      <c r="AD95" s="357" t="n"/>
      <c r="AE95" s="357" t="n"/>
      <c r="AF95" s="58" t="n"/>
      <c r="AG95" s="30" t="n"/>
      <c r="AH95" s="58" t="n"/>
      <c r="AI95" s="30" t="n"/>
      <c r="AJ95" s="135" t="n"/>
      <c r="AK95" s="212" t="n"/>
      <c r="AL95" s="294" t="n"/>
      <c r="AM95" s="89">
        <f>IF(OR(X95="",F95=""),"",X95-F95)</f>
        <v/>
      </c>
      <c r="AN95" s="124">
        <f>IF(OR(Y95="",G95=""),"",Y95-G95)</f>
        <v/>
      </c>
      <c r="AO95" s="124">
        <f>IF(OR(Z95="",H95=""),"",Z95-H95)</f>
        <v/>
      </c>
      <c r="AP95" s="124">
        <f>IF(OR(AA95="",I95=""),"",AA95-I95)</f>
        <v/>
      </c>
      <c r="AQ95" s="90">
        <f>IF(OR(AB95="",J95=""),"",AB95-J95)</f>
        <v/>
      </c>
      <c r="AR95" s="39" t="n"/>
      <c r="AS95" s="332" t="n"/>
      <c r="AT95" s="39" t="n"/>
    </row>
    <row r="96" ht="13.5" customHeight="1" s="279">
      <c r="B96" s="294" t="n"/>
      <c r="C96" s="29" t="inlineStr">
        <is>
          <t>r04</t>
        </is>
      </c>
      <c r="D96" s="191" t="n"/>
      <c r="E96" s="58" t="n"/>
      <c r="F96" s="192" t="n">
        <v>39.709641</v>
      </c>
      <c r="G96" s="192" t="n">
        <v>43.892923</v>
      </c>
      <c r="H96" s="192" t="n">
        <v>0.99356987</v>
      </c>
      <c r="I96" s="64" t="n">
        <v>0.99571025</v>
      </c>
      <c r="J96" s="64" t="n">
        <v>0.013260409</v>
      </c>
      <c r="K96" s="193" t="n"/>
      <c r="L96" s="357" t="n"/>
      <c r="M96" s="357" t="n"/>
      <c r="N96" s="58" t="n"/>
      <c r="O96" s="30" t="n"/>
      <c r="P96" s="58" t="n"/>
      <c r="Q96" s="30" t="n"/>
      <c r="R96" s="135" t="n"/>
      <c r="S96" s="301" t="n"/>
      <c r="T96" s="294" t="n"/>
      <c r="U96" s="29" t="inlineStr">
        <is>
          <t>r04</t>
        </is>
      </c>
      <c r="V96" s="191" t="n"/>
      <c r="W96" s="58" t="n"/>
      <c r="X96" s="192" t="n">
        <v>6.314533</v>
      </c>
      <c r="Y96" s="192" t="n">
        <v>10.99103</v>
      </c>
      <c r="Z96" s="192" t="n">
        <v>0.72365093</v>
      </c>
      <c r="AA96" s="64" t="n">
        <v>0.59798908</v>
      </c>
      <c r="AB96" s="64" t="n">
        <v>0.79418606</v>
      </c>
      <c r="AC96" s="193" t="n"/>
      <c r="AD96" s="357" t="n"/>
      <c r="AE96" s="357" t="n"/>
      <c r="AF96" s="58" t="n"/>
      <c r="AG96" s="30" t="n"/>
      <c r="AH96" s="58" t="n"/>
      <c r="AI96" s="30" t="n"/>
      <c r="AJ96" s="135" t="n"/>
      <c r="AK96" s="212" t="n"/>
      <c r="AL96" s="294" t="n"/>
      <c r="AM96" s="89">
        <f>IF(OR(X96="",F96=""),"",X96-F96)</f>
        <v/>
      </c>
      <c r="AN96" s="124">
        <f>IF(OR(Y96="",G96=""),"",Y96-G96)</f>
        <v/>
      </c>
      <c r="AO96" s="124">
        <f>IF(OR(Z96="",H96=""),"",Z96-H96)</f>
        <v/>
      </c>
      <c r="AP96" s="124">
        <f>IF(OR(AA96="",I96=""),"",AA96-I96)</f>
        <v/>
      </c>
      <c r="AQ96" s="90">
        <f>IF(OR(AB96="",J96=""),"",AB96-J96)</f>
        <v/>
      </c>
      <c r="AR96" s="39" t="n"/>
      <c r="AS96" s="332" t="n"/>
      <c r="AT96" s="39" t="n"/>
    </row>
    <row r="97" ht="13.5" customHeight="1" s="279" thickBot="1">
      <c r="B97" s="295" t="n"/>
      <c r="C97" s="29" t="n"/>
      <c r="D97" s="191" t="n"/>
      <c r="E97" s="58" t="n"/>
      <c r="F97" s="194" t="n"/>
      <c r="G97" s="194" t="n"/>
      <c r="H97" s="194" t="n"/>
      <c r="I97" s="58" t="n"/>
      <c r="J97" s="58" t="n"/>
      <c r="K97" s="193" t="n"/>
      <c r="L97" s="357" t="n"/>
      <c r="M97" s="357" t="n"/>
      <c r="N97" s="58" t="n"/>
      <c r="O97" s="30" t="n"/>
      <c r="P97" s="58" t="n"/>
      <c r="Q97" s="30" t="n"/>
      <c r="R97" s="189" t="n"/>
      <c r="S97" s="301" t="n"/>
      <c r="T97" s="295" t="n"/>
      <c r="U97" s="29" t="n"/>
      <c r="V97" s="191" t="n"/>
      <c r="W97" s="58" t="n"/>
      <c r="X97" s="194" t="n"/>
      <c r="Y97" s="194" t="n"/>
      <c r="Z97" s="194" t="n"/>
      <c r="AA97" s="58" t="n"/>
      <c r="AB97" s="58" t="n"/>
      <c r="AC97" s="193" t="n"/>
      <c r="AD97" s="357" t="n"/>
      <c r="AE97" s="357" t="n"/>
      <c r="AF97" s="58" t="n"/>
      <c r="AG97" s="30" t="n"/>
      <c r="AH97" s="58" t="n"/>
      <c r="AI97" s="30" t="n"/>
      <c r="AJ97" s="189" t="n"/>
      <c r="AK97" s="212" t="n"/>
      <c r="AL97" s="295" t="n"/>
      <c r="AM97" s="125">
        <f>IF(OR(X97="",F97=""),"",X97-F97)</f>
        <v/>
      </c>
      <c r="AN97" s="126">
        <f>IF(OR(Y97="",G97=""),"",Y97-G97)</f>
        <v/>
      </c>
      <c r="AO97" s="126">
        <f>IF(OR(Z97="",H97=""),"",Z97-H97)</f>
        <v/>
      </c>
      <c r="AP97" s="126">
        <f>IF(OR(AA97="",I97=""),"",AA97-I97)</f>
        <v/>
      </c>
      <c r="AQ97" s="127">
        <f>IF(OR(AB97="",J97=""),"",AB97-J97)</f>
        <v/>
      </c>
      <c r="AR97" s="39" t="n"/>
      <c r="AS97" s="332" t="n"/>
      <c r="AT97" s="39" t="n"/>
    </row>
    <row r="98" ht="13.5" customHeight="1" s="279">
      <c r="B98" s="293" t="inlineStr">
        <is>
          <t>v13</t>
        </is>
      </c>
      <c r="C98" s="27" t="inlineStr">
        <is>
          <t>r01</t>
        </is>
      </c>
      <c r="D98" s="41" t="n"/>
      <c r="E98" s="57" t="n"/>
      <c r="F98" s="99" t="n">
        <v>30.862512</v>
      </c>
      <c r="G98" s="99" t="n">
        <v>34.720915</v>
      </c>
      <c r="H98" s="99" t="n">
        <v>0.96609048</v>
      </c>
      <c r="I98" s="62" t="n">
        <v>0.9731748099999999</v>
      </c>
      <c r="J98" s="62" t="n">
        <v>0.05906491</v>
      </c>
      <c r="K98" s="63" t="n"/>
      <c r="L98" s="356" t="n"/>
      <c r="M98" s="356" t="n"/>
      <c r="N98" s="57" t="n"/>
      <c r="O98" s="28" t="n"/>
      <c r="P98" s="57" t="n"/>
      <c r="Q98" s="28" t="n"/>
      <c r="R98" s="134" t="n"/>
      <c r="S98" s="301" t="n"/>
      <c r="T98" s="293" t="inlineStr">
        <is>
          <t>v13</t>
        </is>
      </c>
      <c r="U98" s="27" t="inlineStr">
        <is>
          <t>r01</t>
        </is>
      </c>
      <c r="V98" s="41" t="n"/>
      <c r="W98" s="57" t="n"/>
      <c r="X98" s="99" t="n">
        <v>6.439413</v>
      </c>
      <c r="Y98" s="99" t="n">
        <v>11.282893</v>
      </c>
      <c r="Z98" s="99" t="n">
        <v>0.74485258</v>
      </c>
      <c r="AA98" s="62" t="n">
        <v>0.61242646</v>
      </c>
      <c r="AB98" s="62" t="n">
        <v>0.8086592</v>
      </c>
      <c r="AC98" s="63" t="n"/>
      <c r="AD98" s="356" t="n"/>
      <c r="AE98" s="356" t="n"/>
      <c r="AF98" s="57" t="n"/>
      <c r="AG98" s="28" t="n"/>
      <c r="AH98" s="57" t="n"/>
      <c r="AI98" s="28" t="n"/>
      <c r="AJ98" s="134" t="n"/>
      <c r="AK98" s="212" t="n"/>
      <c r="AL98" s="293" t="inlineStr">
        <is>
          <t>v13</t>
        </is>
      </c>
      <c r="AM98" s="122">
        <f>IF(OR(X98="",F98=""),"",X98-F98)</f>
        <v/>
      </c>
      <c r="AN98" s="98">
        <f>IF(OR(Y98="",G98=""),"",Y98-G98)</f>
        <v/>
      </c>
      <c r="AO98" s="98">
        <f>IF(OR(Z98="",H98=""),"",Z98-H98)</f>
        <v/>
      </c>
      <c r="AP98" s="98">
        <f>IF(OR(AA98="",I98=""),"",AA98-I98)</f>
        <v/>
      </c>
      <c r="AQ98" s="123">
        <f>IF(OR(AB98="",J98=""),"",AB98-J98)</f>
        <v/>
      </c>
      <c r="AR98" s="39" t="n"/>
      <c r="AS98" s="332" t="n"/>
      <c r="AT98" s="39" t="n"/>
    </row>
    <row r="99" ht="13.5" customHeight="1" s="279">
      <c r="B99" s="294" t="n"/>
      <c r="C99" s="29" t="inlineStr">
        <is>
          <t>r02</t>
        </is>
      </c>
      <c r="D99" s="191" t="n"/>
      <c r="E99" s="58" t="n"/>
      <c r="F99" s="192" t="n">
        <v>34.109064</v>
      </c>
      <c r="G99" s="192" t="n">
        <v>37.640196</v>
      </c>
      <c r="H99" s="192" t="n">
        <v>0.97953049</v>
      </c>
      <c r="I99" s="64" t="n">
        <v>0.98471628</v>
      </c>
      <c r="J99" s="64" t="n">
        <v>0.037864417</v>
      </c>
      <c r="K99" s="193" t="n"/>
      <c r="L99" s="357" t="n"/>
      <c r="M99" s="357" t="n"/>
      <c r="N99" s="58" t="n"/>
      <c r="O99" s="30" t="n"/>
      <c r="P99" s="58" t="n"/>
      <c r="Q99" s="30" t="n"/>
      <c r="R99" s="135" t="n"/>
      <c r="S99" s="301" t="n"/>
      <c r="T99" s="294" t="n"/>
      <c r="U99" s="29" t="inlineStr">
        <is>
          <t>r02</t>
        </is>
      </c>
      <c r="V99" s="191" t="n"/>
      <c r="W99" s="58" t="n"/>
      <c r="X99" s="192" t="n">
        <v>6.464508</v>
      </c>
      <c r="Y99" s="192" t="n">
        <v>11.34127</v>
      </c>
      <c r="Z99" s="192" t="n">
        <v>0.74851542</v>
      </c>
      <c r="AA99" s="64" t="n">
        <v>0.6186356</v>
      </c>
      <c r="AB99" s="64" t="n">
        <v>0.8096543</v>
      </c>
      <c r="AC99" s="193" t="n"/>
      <c r="AD99" s="357" t="n"/>
      <c r="AE99" s="357" t="n"/>
      <c r="AF99" s="58" t="n"/>
      <c r="AG99" s="30" t="n"/>
      <c r="AH99" s="58" t="n"/>
      <c r="AI99" s="30" t="n"/>
      <c r="AJ99" s="135" t="n"/>
      <c r="AK99" s="212" t="n"/>
      <c r="AL99" s="294" t="n"/>
      <c r="AM99" s="89">
        <f>IF(OR(X99="",F99=""),"",X99-F99)</f>
        <v/>
      </c>
      <c r="AN99" s="124">
        <f>IF(OR(Y99="",G99=""),"",Y99-G99)</f>
        <v/>
      </c>
      <c r="AO99" s="124">
        <f>IF(OR(Z99="",H99=""),"",Z99-H99)</f>
        <v/>
      </c>
      <c r="AP99" s="124">
        <f>IF(OR(AA99="",I99=""),"",AA99-I99)</f>
        <v/>
      </c>
      <c r="AQ99" s="90">
        <f>IF(OR(AB99="",J99=""),"",AB99-J99)</f>
        <v/>
      </c>
      <c r="AR99" s="39" t="n"/>
      <c r="AS99" s="332" t="n"/>
      <c r="AT99" s="39" t="n"/>
    </row>
    <row r="100" ht="13.5" customHeight="1" s="279">
      <c r="B100" s="294" t="n"/>
      <c r="C100" s="29" t="inlineStr">
        <is>
          <t>r03</t>
        </is>
      </c>
      <c r="D100" s="191" t="n"/>
      <c r="E100" s="58" t="n"/>
      <c r="F100" s="192" t="n">
        <v>37.27894</v>
      </c>
      <c r="G100" s="192" t="n">
        <v>40.99606</v>
      </c>
      <c r="H100" s="192" t="n">
        <v>0.98883938</v>
      </c>
      <c r="I100" s="64" t="n">
        <v>0.9922719800000001</v>
      </c>
      <c r="J100" s="64" t="n">
        <v>0.023715215</v>
      </c>
      <c r="K100" s="193" t="n"/>
      <c r="L100" s="357" t="n"/>
      <c r="M100" s="357" t="n"/>
      <c r="N100" s="58" t="n"/>
      <c r="O100" s="30" t="n"/>
      <c r="P100" s="58" t="n"/>
      <c r="Q100" s="30" t="n"/>
      <c r="R100" s="135" t="n"/>
      <c r="S100" s="301" t="n"/>
      <c r="T100" s="294" t="n"/>
      <c r="U100" s="29" t="inlineStr">
        <is>
          <t>r03</t>
        </is>
      </c>
      <c r="V100" s="191" t="n"/>
      <c r="W100" s="58" t="n"/>
      <c r="X100" s="192" t="n">
        <v>6.374809</v>
      </c>
      <c r="Y100" s="192" t="n">
        <v>11.21739</v>
      </c>
      <c r="Z100" s="192" t="n">
        <v>0.72795898</v>
      </c>
      <c r="AA100" s="64" t="n">
        <v>0.60515692</v>
      </c>
      <c r="AB100" s="64" t="n">
        <v>0.8121016599999999</v>
      </c>
      <c r="AC100" s="193" t="n"/>
      <c r="AD100" s="357" t="n"/>
      <c r="AE100" s="357" t="n"/>
      <c r="AF100" s="58" t="n"/>
      <c r="AG100" s="30" t="n"/>
      <c r="AH100" s="58" t="n"/>
      <c r="AI100" s="30" t="n"/>
      <c r="AJ100" s="135" t="n"/>
      <c r="AK100" s="212" t="n"/>
      <c r="AL100" s="294" t="n"/>
      <c r="AM100" s="89">
        <f>IF(OR(X100="",F100=""),"",X100-F100)</f>
        <v/>
      </c>
      <c r="AN100" s="124">
        <f>IF(OR(Y100="",G100=""),"",Y100-G100)</f>
        <v/>
      </c>
      <c r="AO100" s="124">
        <f>IF(OR(Z100="",H100=""),"",Z100-H100)</f>
        <v/>
      </c>
      <c r="AP100" s="124">
        <f>IF(OR(AA100="",I100=""),"",AA100-I100)</f>
        <v/>
      </c>
      <c r="AQ100" s="90">
        <f>IF(OR(AB100="",J100=""),"",AB100-J100)</f>
        <v/>
      </c>
      <c r="AR100" s="39" t="n"/>
      <c r="AS100" s="332" t="n"/>
      <c r="AT100" s="39" t="n"/>
    </row>
    <row r="101" ht="13.5" customHeight="1" s="279">
      <c r="B101" s="294" t="n"/>
      <c r="C101" s="29" t="inlineStr">
        <is>
          <t>r04</t>
        </is>
      </c>
      <c r="D101" s="191" t="n"/>
      <c r="E101" s="58" t="n"/>
      <c r="F101" s="192" t="n">
        <v>40.434357</v>
      </c>
      <c r="G101" s="192" t="n">
        <v>44.347916</v>
      </c>
      <c r="H101" s="192" t="n">
        <v>0.99364369</v>
      </c>
      <c r="I101" s="64" t="n">
        <v>0.99585779</v>
      </c>
      <c r="J101" s="64" t="n">
        <v>0.012499241</v>
      </c>
      <c r="K101" s="193" t="n"/>
      <c r="L101" s="357" t="n"/>
      <c r="M101" s="357" t="n"/>
      <c r="N101" s="58" t="n"/>
      <c r="O101" s="30" t="n"/>
      <c r="P101" s="58" t="n"/>
      <c r="Q101" s="30" t="n"/>
      <c r="R101" s="135" t="n"/>
      <c r="S101" s="301" t="n"/>
      <c r="T101" s="294" t="n"/>
      <c r="U101" s="29" t="inlineStr">
        <is>
          <t>r04</t>
        </is>
      </c>
      <c r="V101" s="191" t="n"/>
      <c r="W101" s="58" t="n"/>
      <c r="X101" s="192" t="n">
        <v>6.398678</v>
      </c>
      <c r="Y101" s="192" t="n">
        <v>11.246147</v>
      </c>
      <c r="Z101" s="192" t="n">
        <v>0.73761981</v>
      </c>
      <c r="AA101" s="64" t="n">
        <v>0.61091637</v>
      </c>
      <c r="AB101" s="64" t="n">
        <v>0.8127510999999999</v>
      </c>
      <c r="AC101" s="193" t="n"/>
      <c r="AD101" s="357" t="n"/>
      <c r="AE101" s="357" t="n"/>
      <c r="AF101" s="58" t="n"/>
      <c r="AG101" s="30" t="n"/>
      <c r="AH101" s="58" t="n"/>
      <c r="AI101" s="30" t="n"/>
      <c r="AJ101" s="135" t="n"/>
      <c r="AK101" s="212" t="n"/>
      <c r="AL101" s="294" t="n"/>
      <c r="AM101" s="89">
        <f>IF(OR(X101="",F101=""),"",X101-F101)</f>
        <v/>
      </c>
      <c r="AN101" s="124">
        <f>IF(OR(Y101="",G101=""),"",Y101-G101)</f>
        <v/>
      </c>
      <c r="AO101" s="124">
        <f>IF(OR(Z101="",H101=""),"",Z101-H101)</f>
        <v/>
      </c>
      <c r="AP101" s="124">
        <f>IF(OR(AA101="",I101=""),"",AA101-I101)</f>
        <v/>
      </c>
      <c r="AQ101" s="90">
        <f>IF(OR(AB101="",J101=""),"",AB101-J101)</f>
        <v/>
      </c>
      <c r="AR101" s="39" t="n"/>
      <c r="AS101" s="332" t="n"/>
      <c r="AT101" s="39" t="n"/>
    </row>
    <row r="102" ht="13.5" customHeight="1" s="279" thickBot="1">
      <c r="B102" s="295" t="n"/>
      <c r="C102" s="29" t="n"/>
      <c r="D102" s="191" t="n"/>
      <c r="E102" s="58" t="n"/>
      <c r="F102" s="194" t="n"/>
      <c r="G102" s="194" t="n"/>
      <c r="H102" s="194" t="n"/>
      <c r="I102" s="58" t="n"/>
      <c r="J102" s="58" t="n"/>
      <c r="K102" s="193" t="n"/>
      <c r="L102" s="357" t="n"/>
      <c r="M102" s="357" t="n"/>
      <c r="N102" s="58" t="n"/>
      <c r="O102" s="30" t="n"/>
      <c r="P102" s="58" t="n"/>
      <c r="Q102" s="30" t="n"/>
      <c r="R102" s="189" t="n"/>
      <c r="S102" s="301" t="n"/>
      <c r="T102" s="295" t="n"/>
      <c r="U102" s="29" t="n"/>
      <c r="V102" s="191" t="n"/>
      <c r="W102" s="58" t="n"/>
      <c r="X102" s="194" t="n"/>
      <c r="Y102" s="194" t="n"/>
      <c r="Z102" s="194" t="n"/>
      <c r="AA102" s="58" t="n"/>
      <c r="AB102" s="58" t="n"/>
      <c r="AC102" s="193" t="n"/>
      <c r="AD102" s="357" t="n"/>
      <c r="AE102" s="357" t="n"/>
      <c r="AF102" s="58" t="n"/>
      <c r="AG102" s="30" t="n"/>
      <c r="AH102" s="58" t="n"/>
      <c r="AI102" s="30" t="n"/>
      <c r="AJ102" s="189" t="n"/>
      <c r="AK102" s="212" t="n"/>
      <c r="AL102" s="295" t="n"/>
      <c r="AM102" s="125">
        <f>IF(OR(X102="",F102=""),"",X102-F102)</f>
        <v/>
      </c>
      <c r="AN102" s="126">
        <f>IF(OR(Y102="",G102=""),"",Y102-G102)</f>
        <v/>
      </c>
      <c r="AO102" s="126">
        <f>IF(OR(Z102="",H102=""),"",Z102-H102)</f>
        <v/>
      </c>
      <c r="AP102" s="126">
        <f>IF(OR(AA102="",I102=""),"",AA102-I102)</f>
        <v/>
      </c>
      <c r="AQ102" s="127">
        <f>IF(OR(AB102="",J102=""),"",AB102-J102)</f>
        <v/>
      </c>
      <c r="AR102" s="39" t="n"/>
      <c r="AS102" s="332" t="n"/>
      <c r="AT102" s="39" t="n"/>
    </row>
    <row r="103" ht="13.5" customHeight="1" s="279">
      <c r="B103" s="293" t="inlineStr">
        <is>
          <t>v14</t>
        </is>
      </c>
      <c r="C103" s="27" t="inlineStr">
        <is>
          <t>r01</t>
        </is>
      </c>
      <c r="D103" s="41" t="n"/>
      <c r="E103" s="57" t="n"/>
      <c r="F103" s="99" t="n">
        <v>30.720379</v>
      </c>
      <c r="G103" s="99" t="n">
        <v>34.296075</v>
      </c>
      <c r="H103" s="99" t="n">
        <v>0.96751726</v>
      </c>
      <c r="I103" s="62" t="n">
        <v>0.9757587</v>
      </c>
      <c r="J103" s="62" t="n">
        <v>0.07285215</v>
      </c>
      <c r="K103" s="63" t="n"/>
      <c r="L103" s="356" t="n"/>
      <c r="M103" s="356" t="n"/>
      <c r="N103" s="57" t="n"/>
      <c r="O103" s="28" t="n"/>
      <c r="P103" s="57" t="n"/>
      <c r="Q103" s="28" t="n"/>
      <c r="R103" s="134" t="n"/>
      <c r="S103" s="301" t="n"/>
      <c r="T103" s="293" t="inlineStr">
        <is>
          <t>v14</t>
        </is>
      </c>
      <c r="U103" s="27" t="inlineStr">
        <is>
          <t>r01</t>
        </is>
      </c>
      <c r="V103" s="41" t="n"/>
      <c r="W103" s="57" t="n"/>
      <c r="X103" s="99" t="n">
        <v>13.11512</v>
      </c>
      <c r="Y103" s="99" t="n">
        <v>16.957701</v>
      </c>
      <c r="Z103" s="99" t="n">
        <v>0.78532552</v>
      </c>
      <c r="AA103" s="62" t="n">
        <v>0.71657541</v>
      </c>
      <c r="AB103" s="62" t="n">
        <v>1.0954247</v>
      </c>
      <c r="AC103" s="63" t="n"/>
      <c r="AD103" s="356" t="n"/>
      <c r="AE103" s="356" t="n"/>
      <c r="AF103" s="57" t="n"/>
      <c r="AG103" s="28" t="n"/>
      <c r="AH103" s="57" t="n"/>
      <c r="AI103" s="28" t="n"/>
      <c r="AJ103" s="134" t="n"/>
      <c r="AK103" s="212" t="n"/>
      <c r="AL103" s="293" t="inlineStr">
        <is>
          <t>v14</t>
        </is>
      </c>
      <c r="AM103" s="122">
        <f>IF(OR(X103="",F103=""),"",X103-F103)</f>
        <v/>
      </c>
      <c r="AN103" s="98">
        <f>IF(OR(Y103="",G103=""),"",Y103-G103)</f>
        <v/>
      </c>
      <c r="AO103" s="98">
        <f>IF(OR(Z103="",H103=""),"",Z103-H103)</f>
        <v/>
      </c>
      <c r="AP103" s="98">
        <f>IF(OR(AA103="",I103=""),"",AA103-I103)</f>
        <v/>
      </c>
      <c r="AQ103" s="123">
        <f>IF(OR(AB103="",J103=""),"",AB103-J103)</f>
        <v/>
      </c>
      <c r="AR103" s="39" t="n"/>
      <c r="AS103" s="332" t="n"/>
      <c r="AT103" s="39" t="n"/>
    </row>
    <row r="104" ht="13.5" customHeight="1" s="279">
      <c r="B104" s="294" t="n"/>
      <c r="C104" s="29" t="inlineStr">
        <is>
          <t>r02</t>
        </is>
      </c>
      <c r="D104" s="191" t="n"/>
      <c r="E104" s="58" t="n"/>
      <c r="F104" s="192" t="n">
        <v>33.470007</v>
      </c>
      <c r="G104" s="192" t="n">
        <v>36.901752</v>
      </c>
      <c r="H104" s="192" t="n">
        <v>0.9800636</v>
      </c>
      <c r="I104" s="64" t="n">
        <v>0.9859975600000001</v>
      </c>
      <c r="J104" s="64" t="n">
        <v>0.04793608</v>
      </c>
      <c r="K104" s="193" t="n"/>
      <c r="L104" s="357" t="n"/>
      <c r="M104" s="357" t="n"/>
      <c r="N104" s="58" t="n"/>
      <c r="O104" s="30" t="n"/>
      <c r="P104" s="58" t="n"/>
      <c r="Q104" s="30" t="n"/>
      <c r="R104" s="135" t="n"/>
      <c r="S104" s="301" t="n"/>
      <c r="T104" s="294" t="n"/>
      <c r="U104" s="29" t="inlineStr">
        <is>
          <t>r02</t>
        </is>
      </c>
      <c r="V104" s="191" t="n"/>
      <c r="W104" s="58" t="n"/>
      <c r="X104" s="192" t="n">
        <v>13.361478</v>
      </c>
      <c r="Y104" s="192" t="n">
        <v>17.027861</v>
      </c>
      <c r="Z104" s="192" t="n">
        <v>0.78519455</v>
      </c>
      <c r="AA104" s="64" t="n">
        <v>0.71587053</v>
      </c>
      <c r="AB104" s="64" t="n">
        <v>1.078965</v>
      </c>
      <c r="AC104" s="193" t="n"/>
      <c r="AD104" s="357" t="n"/>
      <c r="AE104" s="357" t="n"/>
      <c r="AF104" s="58" t="n"/>
      <c r="AG104" s="30" t="n"/>
      <c r="AH104" s="58" t="n"/>
      <c r="AI104" s="30" t="n"/>
      <c r="AJ104" s="135" t="n"/>
      <c r="AK104" s="212" t="n"/>
      <c r="AL104" s="294" t="n"/>
      <c r="AM104" s="89">
        <f>IF(OR(X104="",F104=""),"",X104-F104)</f>
        <v/>
      </c>
      <c r="AN104" s="124">
        <f>IF(OR(Y104="",G104=""),"",Y104-G104)</f>
        <v/>
      </c>
      <c r="AO104" s="124">
        <f>IF(OR(Z104="",H104=""),"",Z104-H104)</f>
        <v/>
      </c>
      <c r="AP104" s="124">
        <f>IF(OR(AA104="",I104=""),"",AA104-I104)</f>
        <v/>
      </c>
      <c r="AQ104" s="90">
        <f>IF(OR(AB104="",J104=""),"",AB104-J104)</f>
        <v/>
      </c>
      <c r="AR104" s="39" t="n"/>
      <c r="AS104" s="332" t="n"/>
      <c r="AT104" s="39" t="n"/>
    </row>
    <row r="105" ht="13.5" customHeight="1" s="279">
      <c r="B105" s="294" t="n"/>
      <c r="C105" s="29" t="inlineStr">
        <is>
          <t>r03</t>
        </is>
      </c>
      <c r="D105" s="191" t="n"/>
      <c r="E105" s="58" t="n"/>
      <c r="F105" s="192" t="n">
        <v>35.999311</v>
      </c>
      <c r="G105" s="192" t="n">
        <v>40.200256</v>
      </c>
      <c r="H105" s="192" t="n">
        <v>0.98932509</v>
      </c>
      <c r="I105" s="64" t="n">
        <v>0.99290556</v>
      </c>
      <c r="J105" s="64" t="n">
        <v>0.03177206</v>
      </c>
      <c r="K105" s="193" t="n"/>
      <c r="L105" s="357" t="n"/>
      <c r="M105" s="357" t="n"/>
      <c r="N105" s="58" t="n"/>
      <c r="O105" s="30" t="n"/>
      <c r="P105" s="58" t="n"/>
      <c r="Q105" s="30" t="n"/>
      <c r="R105" s="135" t="n"/>
      <c r="S105" s="301" t="n"/>
      <c r="T105" s="294" t="n"/>
      <c r="U105" s="29" t="inlineStr">
        <is>
          <t>r03</t>
        </is>
      </c>
      <c r="V105" s="191" t="n"/>
      <c r="W105" s="58" t="n"/>
      <c r="X105" s="192" t="n">
        <v>13.579515</v>
      </c>
      <c r="Y105" s="192" t="n">
        <v>17.050897</v>
      </c>
      <c r="Z105" s="192" t="n">
        <v>0.78535714</v>
      </c>
      <c r="AA105" s="64" t="n">
        <v>0.71477967</v>
      </c>
      <c r="AB105" s="64" t="n">
        <v>1.0732207</v>
      </c>
      <c r="AC105" s="193" t="n"/>
      <c r="AD105" s="357" t="n"/>
      <c r="AE105" s="357" t="n"/>
      <c r="AF105" s="58" t="n"/>
      <c r="AG105" s="30" t="n"/>
      <c r="AH105" s="58" t="n"/>
      <c r="AI105" s="30" t="n"/>
      <c r="AJ105" s="135" t="n"/>
      <c r="AK105" s="212" t="n"/>
      <c r="AL105" s="294" t="n"/>
      <c r="AM105" s="89">
        <f>IF(OR(X105="",F105=""),"",X105-F105)</f>
        <v/>
      </c>
      <c r="AN105" s="124">
        <f>IF(OR(Y105="",G105=""),"",Y105-G105)</f>
        <v/>
      </c>
      <c r="AO105" s="124">
        <f>IF(OR(Z105="",H105=""),"",Z105-H105)</f>
        <v/>
      </c>
      <c r="AP105" s="124">
        <f>IF(OR(AA105="",I105=""),"",AA105-I105)</f>
        <v/>
      </c>
      <c r="AQ105" s="90">
        <f>IF(OR(AB105="",J105=""),"",AB105-J105)</f>
        <v/>
      </c>
      <c r="AR105" s="39" t="n"/>
      <c r="AS105" s="332" t="n"/>
      <c r="AT105" s="39" t="n"/>
    </row>
    <row r="106" ht="13.5" customHeight="1" s="279">
      <c r="B106" s="294" t="n"/>
      <c r="C106" s="29" t="inlineStr">
        <is>
          <t>r04</t>
        </is>
      </c>
      <c r="D106" s="191" t="n"/>
      <c r="E106" s="58" t="n"/>
      <c r="F106" s="192" t="n">
        <v>38.535501</v>
      </c>
      <c r="G106" s="192" t="n">
        <v>42.9216</v>
      </c>
      <c r="H106" s="192" t="n">
        <v>0.99352771</v>
      </c>
      <c r="I106" s="64" t="n">
        <v>0.9960445999999999</v>
      </c>
      <c r="J106" s="64" t="n">
        <v>0.019031456</v>
      </c>
      <c r="K106" s="193" t="n"/>
      <c r="L106" s="357" t="n"/>
      <c r="M106" s="357" t="n"/>
      <c r="N106" s="58" t="n"/>
      <c r="O106" s="30" t="n"/>
      <c r="P106" s="58" t="n"/>
      <c r="Q106" s="30" t="n"/>
      <c r="R106" s="135" t="n"/>
      <c r="S106" s="301" t="n"/>
      <c r="T106" s="294" t="n"/>
      <c r="U106" s="29" t="inlineStr">
        <is>
          <t>r04</t>
        </is>
      </c>
      <c r="V106" s="191" t="n"/>
      <c r="W106" s="58" t="n"/>
      <c r="X106" s="192" t="n">
        <v>13.553697</v>
      </c>
      <c r="Y106" s="192" t="n">
        <v>17.04175</v>
      </c>
      <c r="Z106" s="192" t="n">
        <v>0.78537996</v>
      </c>
      <c r="AA106" s="64" t="n">
        <v>0.71469718</v>
      </c>
      <c r="AB106" s="64" t="n">
        <v>1.074302</v>
      </c>
      <c r="AC106" s="193" t="n"/>
      <c r="AD106" s="357" t="n"/>
      <c r="AE106" s="357" t="n"/>
      <c r="AF106" s="58" t="n"/>
      <c r="AG106" s="30" t="n"/>
      <c r="AH106" s="58" t="n"/>
      <c r="AI106" s="30" t="n"/>
      <c r="AJ106" s="135" t="n"/>
      <c r="AK106" s="212" t="n"/>
      <c r="AL106" s="294" t="n"/>
      <c r="AM106" s="89">
        <f>IF(OR(X106="",F106=""),"",X106-F106)</f>
        <v/>
      </c>
      <c r="AN106" s="124">
        <f>IF(OR(Y106="",G106=""),"",Y106-G106)</f>
        <v/>
      </c>
      <c r="AO106" s="124">
        <f>IF(OR(Z106="",H106=""),"",Z106-H106)</f>
        <v/>
      </c>
      <c r="AP106" s="124">
        <f>IF(OR(AA106="",I106=""),"",AA106-I106)</f>
        <v/>
      </c>
      <c r="AQ106" s="90">
        <f>IF(OR(AB106="",J106=""),"",AB106-J106)</f>
        <v/>
      </c>
      <c r="AR106" s="39" t="n"/>
      <c r="AS106" s="332" t="n"/>
      <c r="AT106" s="39" t="n"/>
    </row>
    <row r="107" ht="13.5" customHeight="1" s="279" thickBot="1">
      <c r="B107" s="295" t="n"/>
      <c r="C107" s="29" t="n"/>
      <c r="D107" s="191" t="n"/>
      <c r="E107" s="58" t="n"/>
      <c r="F107" s="194" t="n"/>
      <c r="G107" s="194" t="n"/>
      <c r="H107" s="194" t="n"/>
      <c r="I107" s="58" t="n"/>
      <c r="J107" s="58" t="n"/>
      <c r="K107" s="193" t="n"/>
      <c r="L107" s="357" t="n"/>
      <c r="M107" s="357" t="n"/>
      <c r="N107" s="58" t="n"/>
      <c r="O107" s="30" t="n"/>
      <c r="P107" s="58" t="n"/>
      <c r="Q107" s="30" t="n"/>
      <c r="R107" s="189" t="n"/>
      <c r="S107" s="301" t="n"/>
      <c r="T107" s="295" t="n"/>
      <c r="U107" s="29" t="n"/>
      <c r="V107" s="191" t="n"/>
      <c r="W107" s="58" t="n"/>
      <c r="X107" s="194" t="n"/>
      <c r="Y107" s="194" t="n"/>
      <c r="Z107" s="194" t="n"/>
      <c r="AA107" s="58" t="n"/>
      <c r="AB107" s="58" t="n"/>
      <c r="AC107" s="193" t="n"/>
      <c r="AD107" s="357" t="n"/>
      <c r="AE107" s="357" t="n"/>
      <c r="AF107" s="58" t="n"/>
      <c r="AG107" s="30" t="n"/>
      <c r="AH107" s="58" t="n"/>
      <c r="AI107" s="30" t="n"/>
      <c r="AJ107" s="189" t="n"/>
      <c r="AK107" s="212" t="n"/>
      <c r="AL107" s="295" t="n"/>
      <c r="AM107" s="125">
        <f>IF(OR(X107="",F107=""),"",X107-F107)</f>
        <v/>
      </c>
      <c r="AN107" s="126">
        <f>IF(OR(Y107="",G107=""),"",Y107-G107)</f>
        <v/>
      </c>
      <c r="AO107" s="126">
        <f>IF(OR(Z107="",H107=""),"",Z107-H107)</f>
        <v/>
      </c>
      <c r="AP107" s="126">
        <f>IF(OR(AA107="",I107=""),"",AA107-I107)</f>
        <v/>
      </c>
      <c r="AQ107" s="127">
        <f>IF(OR(AB107="",J107=""),"",AB107-J107)</f>
        <v/>
      </c>
      <c r="AR107" s="39" t="n"/>
      <c r="AS107" s="332" t="n"/>
      <c r="AT107" s="39" t="n"/>
    </row>
    <row r="108" ht="13.5" customHeight="1" s="279">
      <c r="B108" s="293" t="inlineStr">
        <is>
          <t>v15</t>
        </is>
      </c>
      <c r="C108" s="27" t="inlineStr">
        <is>
          <t>r01</t>
        </is>
      </c>
      <c r="D108" s="41" t="n"/>
      <c r="E108" s="57" t="n"/>
      <c r="F108" s="99" t="n">
        <v>31.097268</v>
      </c>
      <c r="G108" s="99" t="n">
        <v>34.729169</v>
      </c>
      <c r="H108" s="99" t="n">
        <v>0.9694431100000001</v>
      </c>
      <c r="I108" s="62" t="n">
        <v>0.9773636999999999</v>
      </c>
      <c r="J108" s="62" t="n">
        <v>0.06454303</v>
      </c>
      <c r="K108" s="63" t="n"/>
      <c r="L108" s="356" t="n"/>
      <c r="M108" s="356" t="n"/>
      <c r="N108" s="57" t="n"/>
      <c r="O108" s="28" t="n"/>
      <c r="P108" s="57" t="n"/>
      <c r="Q108" s="28" t="n"/>
      <c r="R108" s="134" t="n"/>
      <c r="S108" s="301" t="n"/>
      <c r="T108" s="293" t="inlineStr">
        <is>
          <t>v15</t>
        </is>
      </c>
      <c r="U108" s="27" t="inlineStr">
        <is>
          <t>r01</t>
        </is>
      </c>
      <c r="V108" s="41" t="n"/>
      <c r="W108" s="57" t="n"/>
      <c r="X108" s="99" t="n">
        <v>6.195629</v>
      </c>
      <c r="Y108" s="99" t="n">
        <v>10.343103</v>
      </c>
      <c r="Z108" s="99" t="n">
        <v>0.7782823</v>
      </c>
      <c r="AA108" s="62" t="n">
        <v>0.61108247</v>
      </c>
      <c r="AB108" s="62" t="n">
        <v>0.8288101</v>
      </c>
      <c r="AC108" s="63" t="n"/>
      <c r="AD108" s="356" t="n"/>
      <c r="AE108" s="356" t="n"/>
      <c r="AF108" s="57" t="n"/>
      <c r="AG108" s="28" t="n"/>
      <c r="AH108" s="57" t="n"/>
      <c r="AI108" s="28" t="n"/>
      <c r="AJ108" s="134" t="n"/>
      <c r="AK108" s="212" t="n"/>
      <c r="AL108" s="293" t="inlineStr">
        <is>
          <t>v15</t>
        </is>
      </c>
      <c r="AM108" s="122">
        <f>IF(OR(X108="",F108=""),"",X108-F108)</f>
        <v/>
      </c>
      <c r="AN108" s="98">
        <f>IF(OR(Y108="",G108=""),"",Y108-G108)</f>
        <v/>
      </c>
      <c r="AO108" s="98">
        <f>IF(OR(Z108="",H108=""),"",Z108-H108)</f>
        <v/>
      </c>
      <c r="AP108" s="98">
        <f>IF(OR(AA108="",I108=""),"",AA108-I108)</f>
        <v/>
      </c>
      <c r="AQ108" s="123">
        <f>IF(OR(AB108="",J108=""),"",AB108-J108)</f>
        <v/>
      </c>
      <c r="AR108" s="39" t="n"/>
      <c r="AS108" s="332" t="n"/>
      <c r="AT108" s="39" t="n"/>
    </row>
    <row r="109" ht="13.5" customHeight="1" s="279">
      <c r="B109" s="294" t="n"/>
      <c r="C109" s="29" t="inlineStr">
        <is>
          <t>r02</t>
        </is>
      </c>
      <c r="D109" s="191" t="n"/>
      <c r="E109" s="58" t="n"/>
      <c r="F109" s="192" t="n">
        <v>33.926486</v>
      </c>
      <c r="G109" s="192" t="n">
        <v>37.319013</v>
      </c>
      <c r="H109" s="192" t="n">
        <v>0.98074672</v>
      </c>
      <c r="I109" s="64" t="n">
        <v>0.98647187</v>
      </c>
      <c r="J109" s="64" t="n">
        <v>0.043211848</v>
      </c>
      <c r="K109" s="193" t="n"/>
      <c r="L109" s="357" t="n"/>
      <c r="M109" s="357" t="n"/>
      <c r="N109" s="58" t="n"/>
      <c r="O109" s="30" t="n"/>
      <c r="P109" s="58" t="n"/>
      <c r="Q109" s="30" t="n"/>
      <c r="R109" s="135" t="n"/>
      <c r="S109" s="301" t="n"/>
      <c r="T109" s="294" t="n"/>
      <c r="U109" s="29" t="inlineStr">
        <is>
          <t>r02</t>
        </is>
      </c>
      <c r="V109" s="191" t="n"/>
      <c r="W109" s="58" t="n"/>
      <c r="X109" s="192" t="n">
        <v>6.180703</v>
      </c>
      <c r="Y109" s="192" t="n">
        <v>10.350664</v>
      </c>
      <c r="Z109" s="192" t="n">
        <v>0.77890028</v>
      </c>
      <c r="AA109" s="64" t="n">
        <v>0.61256054</v>
      </c>
      <c r="AB109" s="64" t="n">
        <v>0.830245</v>
      </c>
      <c r="AC109" s="193" t="n"/>
      <c r="AD109" s="357" t="n"/>
      <c r="AE109" s="357" t="n"/>
      <c r="AF109" s="58" t="n"/>
      <c r="AG109" s="30" t="n"/>
      <c r="AH109" s="58" t="n"/>
      <c r="AI109" s="30" t="n"/>
      <c r="AJ109" s="135" t="n"/>
      <c r="AK109" s="212" t="n"/>
      <c r="AL109" s="294" t="n"/>
      <c r="AM109" s="89">
        <f>IF(OR(X109="",F109=""),"",X109-F109)</f>
        <v/>
      </c>
      <c r="AN109" s="124">
        <f>IF(OR(Y109="",G109=""),"",Y109-G109)</f>
        <v/>
      </c>
      <c r="AO109" s="124">
        <f>IF(OR(Z109="",H109=""),"",Z109-H109)</f>
        <v/>
      </c>
      <c r="AP109" s="124">
        <f>IF(OR(AA109="",I109=""),"",AA109-I109)</f>
        <v/>
      </c>
      <c r="AQ109" s="90">
        <f>IF(OR(AB109="",J109=""),"",AB109-J109)</f>
        <v/>
      </c>
      <c r="AR109" s="39" t="n"/>
      <c r="AS109" s="332" t="n"/>
      <c r="AT109" s="39" t="n"/>
    </row>
    <row r="110" ht="13.5" customHeight="1" s="279">
      <c r="B110" s="294" t="n"/>
      <c r="C110" s="29" t="inlineStr">
        <is>
          <t>r03</t>
        </is>
      </c>
      <c r="D110" s="191" t="n"/>
      <c r="E110" s="58" t="n"/>
      <c r="F110" s="192" t="n">
        <v>37.230014</v>
      </c>
      <c r="G110" s="192" t="n">
        <v>41.028704</v>
      </c>
      <c r="H110" s="192" t="n">
        <v>0.98925011</v>
      </c>
      <c r="I110" s="64" t="n">
        <v>0.9929085</v>
      </c>
      <c r="J110" s="64" t="n">
        <v>0.026501916</v>
      </c>
      <c r="K110" s="193" t="n"/>
      <c r="L110" s="357" t="n"/>
      <c r="M110" s="357" t="n"/>
      <c r="N110" s="58" t="n"/>
      <c r="O110" s="30" t="n"/>
      <c r="P110" s="58" t="n"/>
      <c r="Q110" s="30" t="n"/>
      <c r="R110" s="135" t="n"/>
      <c r="S110" s="301" t="n"/>
      <c r="T110" s="294" t="n"/>
      <c r="U110" s="29" t="inlineStr">
        <is>
          <t>r03</t>
        </is>
      </c>
      <c r="V110" s="191" t="n"/>
      <c r="W110" s="58" t="n"/>
      <c r="X110" s="192" t="n">
        <v>6.074934</v>
      </c>
      <c r="Y110" s="192" t="n">
        <v>10.248197</v>
      </c>
      <c r="Z110" s="192" t="n">
        <v>0.77869595</v>
      </c>
      <c r="AA110" s="64" t="n">
        <v>0.60918357</v>
      </c>
      <c r="AB110" s="64" t="n">
        <v>0.82849646</v>
      </c>
      <c r="AC110" s="193" t="n"/>
      <c r="AD110" s="357" t="n"/>
      <c r="AE110" s="357" t="n"/>
      <c r="AF110" s="58" t="n"/>
      <c r="AG110" s="30" t="n"/>
      <c r="AH110" s="58" t="n"/>
      <c r="AI110" s="30" t="n"/>
      <c r="AJ110" s="135" t="n"/>
      <c r="AK110" s="212" t="n"/>
      <c r="AL110" s="294" t="n"/>
      <c r="AM110" s="89">
        <f>IF(OR(X110="",F110=""),"",X110-F110)</f>
        <v/>
      </c>
      <c r="AN110" s="124">
        <f>IF(OR(Y110="",G110=""),"",Y110-G110)</f>
        <v/>
      </c>
      <c r="AO110" s="124">
        <f>IF(OR(Z110="",H110=""),"",Z110-H110)</f>
        <v/>
      </c>
      <c r="AP110" s="124">
        <f>IF(OR(AA110="",I110=""),"",AA110-I110)</f>
        <v/>
      </c>
      <c r="AQ110" s="90">
        <f>IF(OR(AB110="",J110=""),"",AB110-J110)</f>
        <v/>
      </c>
      <c r="AR110" s="39" t="n"/>
      <c r="AS110" s="332" t="n"/>
      <c r="AT110" s="39" t="n"/>
    </row>
    <row r="111" ht="13.5" customHeight="1" s="279">
      <c r="B111" s="294" t="n"/>
      <c r="C111" s="29" t="inlineStr">
        <is>
          <t>r04</t>
        </is>
      </c>
      <c r="D111" s="191" t="n"/>
      <c r="E111" s="58" t="n"/>
      <c r="F111" s="192" t="n">
        <v>39.02818</v>
      </c>
      <c r="G111" s="192" t="n">
        <v>43.349167</v>
      </c>
      <c r="H111" s="192" t="n">
        <v>0.99353923</v>
      </c>
      <c r="I111" s="64" t="n">
        <v>0.99602282</v>
      </c>
      <c r="J111" s="64" t="n">
        <v>0.018346012</v>
      </c>
      <c r="K111" s="193" t="n"/>
      <c r="L111" s="357" t="n"/>
      <c r="M111" s="357" t="n"/>
      <c r="N111" s="58" t="n"/>
      <c r="O111" s="30" t="n"/>
      <c r="P111" s="58" t="n"/>
      <c r="Q111" s="30" t="n"/>
      <c r="R111" s="135" t="n"/>
      <c r="S111" s="301" t="n"/>
      <c r="T111" s="294" t="n"/>
      <c r="U111" s="29" t="inlineStr">
        <is>
          <t>r04</t>
        </is>
      </c>
      <c r="V111" s="191" t="n"/>
      <c r="W111" s="58" t="n"/>
      <c r="X111" s="192" t="n">
        <v>6.086236</v>
      </c>
      <c r="Y111" s="192" t="n">
        <v>10.262859</v>
      </c>
      <c r="Z111" s="192" t="n">
        <v>0.78000074</v>
      </c>
      <c r="AA111" s="64" t="n">
        <v>0.6093497</v>
      </c>
      <c r="AB111" s="64" t="n">
        <v>0.8314577</v>
      </c>
      <c r="AC111" s="193" t="n"/>
      <c r="AD111" s="357" t="n"/>
      <c r="AE111" s="357" t="n"/>
      <c r="AF111" s="58" t="n"/>
      <c r="AG111" s="30" t="n"/>
      <c r="AH111" s="58" t="n"/>
      <c r="AI111" s="30" t="n"/>
      <c r="AJ111" s="135" t="n"/>
      <c r="AK111" s="212" t="n"/>
      <c r="AL111" s="294" t="n"/>
      <c r="AM111" s="89">
        <f>IF(OR(X111="",F111=""),"",X111-F111)</f>
        <v/>
      </c>
      <c r="AN111" s="124">
        <f>IF(OR(Y111="",G111=""),"",Y111-G111)</f>
        <v/>
      </c>
      <c r="AO111" s="124">
        <f>IF(OR(Z111="",H111=""),"",Z111-H111)</f>
        <v/>
      </c>
      <c r="AP111" s="124">
        <f>IF(OR(AA111="",I111=""),"",AA111-I111)</f>
        <v/>
      </c>
      <c r="AQ111" s="90">
        <f>IF(OR(AB111="",J111=""),"",AB111-J111)</f>
        <v/>
      </c>
      <c r="AR111" s="39" t="n"/>
      <c r="AS111" s="332" t="n"/>
      <c r="AT111" s="39" t="n"/>
    </row>
    <row r="112" ht="13.5" customHeight="1" s="279" thickBot="1">
      <c r="B112" s="295" t="n"/>
      <c r="C112" s="29" t="n"/>
      <c r="D112" s="191" t="n"/>
      <c r="E112" s="58" t="n"/>
      <c r="F112" s="194" t="n"/>
      <c r="G112" s="194" t="n"/>
      <c r="H112" s="194" t="n"/>
      <c r="I112" s="58" t="n"/>
      <c r="J112" s="58" t="n"/>
      <c r="K112" s="193" t="n"/>
      <c r="L112" s="357" t="n"/>
      <c r="M112" s="357" t="n"/>
      <c r="N112" s="58" t="n"/>
      <c r="O112" s="30" t="n"/>
      <c r="P112" s="58" t="n"/>
      <c r="Q112" s="30" t="n"/>
      <c r="R112" s="189" t="n"/>
      <c r="S112" s="301" t="n"/>
      <c r="T112" s="295" t="n"/>
      <c r="U112" s="29" t="n"/>
      <c r="V112" s="191" t="n"/>
      <c r="W112" s="58" t="n"/>
      <c r="X112" s="194" t="n"/>
      <c r="Y112" s="194" t="n"/>
      <c r="Z112" s="194" t="n"/>
      <c r="AA112" s="58" t="n"/>
      <c r="AB112" s="58" t="n"/>
      <c r="AC112" s="193" t="n"/>
      <c r="AD112" s="357" t="n"/>
      <c r="AE112" s="357" t="n"/>
      <c r="AF112" s="58" t="n"/>
      <c r="AG112" s="30" t="n"/>
      <c r="AH112" s="58" t="n"/>
      <c r="AI112" s="30" t="n"/>
      <c r="AJ112" s="189" t="n"/>
      <c r="AK112" s="212" t="n"/>
      <c r="AL112" s="295" t="n"/>
      <c r="AM112" s="125">
        <f>IF(OR(X112="",F112=""),"",X112-F112)</f>
        <v/>
      </c>
      <c r="AN112" s="126">
        <f>IF(OR(Y112="",G112=""),"",Y112-G112)</f>
        <v/>
      </c>
      <c r="AO112" s="126">
        <f>IF(OR(Z112="",H112=""),"",Z112-H112)</f>
        <v/>
      </c>
      <c r="AP112" s="126">
        <f>IF(OR(AA112="",I112=""),"",AA112-I112)</f>
        <v/>
      </c>
      <c r="AQ112" s="127">
        <f>IF(OR(AB112="",J112=""),"",AB112-J112)</f>
        <v/>
      </c>
      <c r="AR112" s="39" t="n"/>
      <c r="AS112" s="332" t="n"/>
      <c r="AT112" s="39" t="n"/>
    </row>
    <row r="113" ht="13.5" customHeight="1" s="279">
      <c r="B113" s="293" t="inlineStr">
        <is>
          <t>v16</t>
        </is>
      </c>
      <c r="C113" s="27" t="inlineStr">
        <is>
          <t>r01</t>
        </is>
      </c>
      <c r="D113" s="41" t="n"/>
      <c r="E113" s="57" t="n"/>
      <c r="F113" s="99" t="n">
        <v>31.078412</v>
      </c>
      <c r="G113" s="99" t="n">
        <v>34.701806</v>
      </c>
      <c r="H113" s="99" t="n">
        <v>0.970233</v>
      </c>
      <c r="I113" s="62" t="n">
        <v>0.97796879</v>
      </c>
      <c r="J113" s="62" t="n">
        <v>0.06678914</v>
      </c>
      <c r="K113" s="63" t="n"/>
      <c r="L113" s="356" t="n"/>
      <c r="M113" s="356" t="n"/>
      <c r="N113" s="57" t="n"/>
      <c r="O113" s="28" t="n"/>
      <c r="P113" s="57" t="n"/>
      <c r="Q113" s="28" t="n"/>
      <c r="R113" s="134" t="n"/>
      <c r="S113" s="301" t="n"/>
      <c r="T113" s="293" t="inlineStr">
        <is>
          <t>v16</t>
        </is>
      </c>
      <c r="U113" s="27" t="inlineStr">
        <is>
          <t>r01</t>
        </is>
      </c>
      <c r="V113" s="41" t="n"/>
      <c r="W113" s="57" t="n"/>
      <c r="X113" s="99" t="n">
        <v>5.878366</v>
      </c>
      <c r="Y113" s="99" t="n">
        <v>10.084586</v>
      </c>
      <c r="Z113" s="99" t="n">
        <v>0.77997982</v>
      </c>
      <c r="AA113" s="62" t="n">
        <v>0.60416573</v>
      </c>
      <c r="AB113" s="62" t="n">
        <v>0.8174034999999999</v>
      </c>
      <c r="AC113" s="63" t="n"/>
      <c r="AD113" s="356" t="n"/>
      <c r="AE113" s="356" t="n"/>
      <c r="AF113" s="57" t="n"/>
      <c r="AG113" s="28" t="n"/>
      <c r="AH113" s="57" t="n"/>
      <c r="AI113" s="28" t="n"/>
      <c r="AJ113" s="134" t="n"/>
      <c r="AK113" s="212" t="n"/>
      <c r="AL113" s="293" t="inlineStr">
        <is>
          <t>v16</t>
        </is>
      </c>
      <c r="AM113" s="122">
        <f>IF(OR(X113="",F113=""),"",X113-F113)</f>
        <v/>
      </c>
      <c r="AN113" s="98">
        <f>IF(OR(Y113="",G113=""),"",Y113-G113)</f>
        <v/>
      </c>
      <c r="AO113" s="98">
        <f>IF(OR(Z113="",H113=""),"",Z113-H113)</f>
        <v/>
      </c>
      <c r="AP113" s="98">
        <f>IF(OR(AA113="",I113=""),"",AA113-I113)</f>
        <v/>
      </c>
      <c r="AQ113" s="123">
        <f>IF(OR(AB113="",J113=""),"",AB113-J113)</f>
        <v/>
      </c>
      <c r="AR113" s="39" t="n"/>
      <c r="AS113" s="332" t="n"/>
      <c r="AT113" s="39" t="n"/>
    </row>
    <row r="114" ht="13.5" customHeight="1" s="279">
      <c r="B114" s="294" t="n"/>
      <c r="C114" s="29" t="inlineStr">
        <is>
          <t>r02</t>
        </is>
      </c>
      <c r="D114" s="191" t="n"/>
      <c r="E114" s="58" t="n"/>
      <c r="F114" s="192" t="n">
        <v>33.427937</v>
      </c>
      <c r="G114" s="192" t="n">
        <v>37.158971</v>
      </c>
      <c r="H114" s="192" t="n">
        <v>0.98110244</v>
      </c>
      <c r="I114" s="64" t="n">
        <v>0.98644668</v>
      </c>
      <c r="J114" s="64" t="n">
        <v>0.047697417</v>
      </c>
      <c r="K114" s="193" t="n"/>
      <c r="L114" s="357" t="n"/>
      <c r="M114" s="357" t="n"/>
      <c r="N114" s="58" t="n"/>
      <c r="O114" s="30" t="n"/>
      <c r="P114" s="58" t="n"/>
      <c r="Q114" s="30" t="n"/>
      <c r="R114" s="135" t="n"/>
      <c r="S114" s="301" t="n"/>
      <c r="T114" s="294" t="n"/>
      <c r="U114" s="29" t="inlineStr">
        <is>
          <t>r02</t>
        </is>
      </c>
      <c r="V114" s="191" t="n"/>
      <c r="W114" s="58" t="n"/>
      <c r="X114" s="192" t="n">
        <v>5.826639</v>
      </c>
      <c r="Y114" s="192" t="n">
        <v>10.05042</v>
      </c>
      <c r="Z114" s="192" t="n">
        <v>0.78042712</v>
      </c>
      <c r="AA114" s="64" t="n">
        <v>0.60265298</v>
      </c>
      <c r="AB114" s="64" t="n">
        <v>0.81763303</v>
      </c>
      <c r="AC114" s="193" t="n"/>
      <c r="AD114" s="357" t="n"/>
      <c r="AE114" s="357" t="n"/>
      <c r="AF114" s="58" t="n"/>
      <c r="AG114" s="30" t="n"/>
      <c r="AH114" s="58" t="n"/>
      <c r="AI114" s="30" t="n"/>
      <c r="AJ114" s="135" t="n"/>
      <c r="AK114" s="212" t="n"/>
      <c r="AL114" s="294" t="n"/>
      <c r="AM114" s="89">
        <f>IF(OR(X114="",F114=""),"",X114-F114)</f>
        <v/>
      </c>
      <c r="AN114" s="124">
        <f>IF(OR(Y114="",G114=""),"",Y114-G114)</f>
        <v/>
      </c>
      <c r="AO114" s="124">
        <f>IF(OR(Z114="",H114=""),"",Z114-H114)</f>
        <v/>
      </c>
      <c r="AP114" s="124">
        <f>IF(OR(AA114="",I114=""),"",AA114-I114)</f>
        <v/>
      </c>
      <c r="AQ114" s="90">
        <f>IF(OR(AB114="",J114=""),"",AB114-J114)</f>
        <v/>
      </c>
      <c r="AR114" s="39" t="n"/>
      <c r="AS114" s="332" t="n"/>
      <c r="AT114" s="39" t="n"/>
    </row>
    <row r="115" ht="13.5" customHeight="1" s="279">
      <c r="B115" s="294" t="n"/>
      <c r="C115" s="29" t="inlineStr">
        <is>
          <t>r03</t>
        </is>
      </c>
      <c r="D115" s="191" t="n"/>
      <c r="E115" s="58" t="n"/>
      <c r="F115" s="192" t="n">
        <v>36.358765</v>
      </c>
      <c r="G115" s="192" t="n">
        <v>40.509982</v>
      </c>
      <c r="H115" s="192" t="n">
        <v>0.98918984</v>
      </c>
      <c r="I115" s="64" t="n">
        <v>0.99282771</v>
      </c>
      <c r="J115" s="64" t="n">
        <v>0.030637681</v>
      </c>
      <c r="K115" s="193" t="n"/>
      <c r="L115" s="357" t="n"/>
      <c r="M115" s="357" t="n"/>
      <c r="N115" s="58" t="n"/>
      <c r="O115" s="30" t="n"/>
      <c r="P115" s="58" t="n"/>
      <c r="Q115" s="30" t="n"/>
      <c r="R115" s="135" t="n"/>
      <c r="S115" s="301" t="n"/>
      <c r="T115" s="294" t="n"/>
      <c r="U115" s="29" t="inlineStr">
        <is>
          <t>r03</t>
        </is>
      </c>
      <c r="V115" s="191" t="n"/>
      <c r="W115" s="58" t="n"/>
      <c r="X115" s="192" t="n">
        <v>5.771864</v>
      </c>
      <c r="Y115" s="192" t="n">
        <v>10.016408</v>
      </c>
      <c r="Z115" s="192" t="n">
        <v>0.77996933</v>
      </c>
      <c r="AA115" s="64" t="n">
        <v>0.6004037</v>
      </c>
      <c r="AB115" s="64" t="n">
        <v>0.8189174</v>
      </c>
      <c r="AC115" s="193" t="n"/>
      <c r="AD115" s="357" t="n"/>
      <c r="AE115" s="357" t="n"/>
      <c r="AF115" s="58" t="n"/>
      <c r="AG115" s="30" t="n"/>
      <c r="AH115" s="58" t="n"/>
      <c r="AI115" s="30" t="n"/>
      <c r="AJ115" s="135" t="n"/>
      <c r="AK115" s="212" t="n"/>
      <c r="AL115" s="294" t="n"/>
      <c r="AM115" s="89">
        <f>IF(OR(X115="",F115=""),"",X115-F115)</f>
        <v/>
      </c>
      <c r="AN115" s="124">
        <f>IF(OR(Y115="",G115=""),"",Y115-G115)</f>
        <v/>
      </c>
      <c r="AO115" s="124">
        <f>IF(OR(Z115="",H115=""),"",Z115-H115)</f>
        <v/>
      </c>
      <c r="AP115" s="124">
        <f>IF(OR(AA115="",I115=""),"",AA115-I115)</f>
        <v/>
      </c>
      <c r="AQ115" s="90">
        <f>IF(OR(AB115="",J115=""),"",AB115-J115)</f>
        <v/>
      </c>
      <c r="AR115" s="39" t="n"/>
      <c r="AS115" s="332" t="n"/>
      <c r="AT115" s="39" t="n"/>
    </row>
    <row r="116" ht="13.5" customHeight="1" s="279">
      <c r="B116" s="294" t="n"/>
      <c r="C116" s="29" t="inlineStr">
        <is>
          <t>r04</t>
        </is>
      </c>
      <c r="D116" s="191" t="n"/>
      <c r="E116" s="58" t="n"/>
      <c r="F116" s="192" t="n">
        <v>39.288931</v>
      </c>
      <c r="G116" s="192" t="n">
        <v>43.522325</v>
      </c>
      <c r="H116" s="192" t="n">
        <v>0.99352237</v>
      </c>
      <c r="I116" s="64" t="n">
        <v>0.9961222199999999</v>
      </c>
      <c r="J116" s="64" t="n">
        <v>0.016717693</v>
      </c>
      <c r="K116" s="193" t="n"/>
      <c r="L116" s="357" t="n"/>
      <c r="M116" s="357" t="n"/>
      <c r="N116" s="58" t="n"/>
      <c r="O116" s="30" t="n"/>
      <c r="P116" s="58" t="n"/>
      <c r="Q116" s="30" t="n"/>
      <c r="R116" s="135" t="n"/>
      <c r="S116" s="301" t="n"/>
      <c r="T116" s="294" t="n"/>
      <c r="U116" s="29" t="inlineStr">
        <is>
          <t>r04</t>
        </is>
      </c>
      <c r="V116" s="191" t="n"/>
      <c r="W116" s="58" t="n"/>
      <c r="X116" s="192" t="n">
        <v>5.782343</v>
      </c>
      <c r="Y116" s="192" t="n">
        <v>10.022925</v>
      </c>
      <c r="Z116" s="192" t="n">
        <v>0.7772187699999999</v>
      </c>
      <c r="AA116" s="64" t="n">
        <v>0.59960121</v>
      </c>
      <c r="AB116" s="64" t="n">
        <v>0.82442033</v>
      </c>
      <c r="AC116" s="193" t="n"/>
      <c r="AD116" s="357" t="n"/>
      <c r="AE116" s="357" t="n"/>
      <c r="AF116" s="58" t="n"/>
      <c r="AG116" s="30" t="n"/>
      <c r="AH116" s="58" t="n"/>
      <c r="AI116" s="30" t="n"/>
      <c r="AJ116" s="135" t="n"/>
      <c r="AK116" s="212" t="n"/>
      <c r="AL116" s="294" t="n"/>
      <c r="AM116" s="89">
        <f>IF(OR(X116="",F116=""),"",X116-F116)</f>
        <v/>
      </c>
      <c r="AN116" s="124">
        <f>IF(OR(Y116="",G116=""),"",Y116-G116)</f>
        <v/>
      </c>
      <c r="AO116" s="124">
        <f>IF(OR(Z116="",H116=""),"",Z116-H116)</f>
        <v/>
      </c>
      <c r="AP116" s="124">
        <f>IF(OR(AA116="",I116=""),"",AA116-I116)</f>
        <v/>
      </c>
      <c r="AQ116" s="90">
        <f>IF(OR(AB116="",J116=""),"",AB116-J116)</f>
        <v/>
      </c>
      <c r="AR116" s="39" t="n"/>
      <c r="AS116" s="332" t="n"/>
      <c r="AT116" s="39" t="n"/>
    </row>
    <row r="117" ht="13.5" customHeight="1" s="279" thickBot="1">
      <c r="B117" s="295" t="n"/>
      <c r="C117" s="29" t="n"/>
      <c r="D117" s="191" t="n"/>
      <c r="E117" s="58" t="n"/>
      <c r="F117" s="194" t="n"/>
      <c r="G117" s="194" t="n"/>
      <c r="H117" s="194" t="n"/>
      <c r="I117" s="58" t="n"/>
      <c r="J117" s="58" t="n"/>
      <c r="K117" s="193" t="n"/>
      <c r="L117" s="357" t="n"/>
      <c r="M117" s="357" t="n"/>
      <c r="N117" s="58" t="n"/>
      <c r="O117" s="30" t="n"/>
      <c r="P117" s="58" t="n"/>
      <c r="Q117" s="30" t="n"/>
      <c r="R117" s="189" t="n"/>
      <c r="S117" s="301" t="n"/>
      <c r="T117" s="295" t="n"/>
      <c r="U117" s="29" t="n"/>
      <c r="V117" s="191" t="n"/>
      <c r="W117" s="58" t="n"/>
      <c r="X117" s="194" t="n"/>
      <c r="Y117" s="194" t="n"/>
      <c r="Z117" s="194" t="n"/>
      <c r="AA117" s="58" t="n"/>
      <c r="AB117" s="58" t="n"/>
      <c r="AC117" s="193" t="n"/>
      <c r="AD117" s="357" t="n"/>
      <c r="AE117" s="357" t="n"/>
      <c r="AF117" s="58" t="n"/>
      <c r="AG117" s="30" t="n"/>
      <c r="AH117" s="58" t="n"/>
      <c r="AI117" s="30" t="n"/>
      <c r="AJ117" s="189" t="n"/>
      <c r="AK117" s="212" t="n"/>
      <c r="AL117" s="295" t="n"/>
      <c r="AM117" s="125">
        <f>IF(OR(X117="",F117=""),"",X117-F117)</f>
        <v/>
      </c>
      <c r="AN117" s="126">
        <f>IF(OR(Y117="",G117=""),"",Y117-G117)</f>
        <v/>
      </c>
      <c r="AO117" s="126">
        <f>IF(OR(Z117="",H117=""),"",Z117-H117)</f>
        <v/>
      </c>
      <c r="AP117" s="126">
        <f>IF(OR(AA117="",I117=""),"",AA117-I117)</f>
        <v/>
      </c>
      <c r="AQ117" s="127">
        <f>IF(OR(AB117="",J117=""),"",AB117-J117)</f>
        <v/>
      </c>
      <c r="AR117" s="39" t="n"/>
      <c r="AS117" s="332" t="n"/>
      <c r="AT117" s="39" t="n"/>
    </row>
    <row r="118" ht="13.5" customHeight="1" s="279">
      <c r="B118" s="293" t="inlineStr">
        <is>
          <t>v17</t>
        </is>
      </c>
      <c r="C118" s="27" t="inlineStr">
        <is>
          <t>r01</t>
        </is>
      </c>
      <c r="D118" s="41" t="n"/>
      <c r="E118" s="57" t="n"/>
      <c r="F118" s="99" t="n">
        <v>31.888351</v>
      </c>
      <c r="G118" s="99" t="n">
        <v>35.295919</v>
      </c>
      <c r="H118" s="99" t="n">
        <v>0.97137426</v>
      </c>
      <c r="I118" s="62" t="n">
        <v>0.97964785</v>
      </c>
      <c r="J118" s="62" t="n">
        <v>0.06032476</v>
      </c>
      <c r="K118" s="63" t="n"/>
      <c r="L118" s="356" t="n"/>
      <c r="M118" s="356" t="n"/>
      <c r="N118" s="57" t="n"/>
      <c r="O118" s="28" t="n"/>
      <c r="P118" s="57" t="n"/>
      <c r="Q118" s="28" t="n"/>
      <c r="R118" s="134" t="n"/>
      <c r="S118" s="301" t="n"/>
      <c r="T118" s="293" t="inlineStr">
        <is>
          <t>v17</t>
        </is>
      </c>
      <c r="U118" s="27" t="inlineStr">
        <is>
          <t>r01</t>
        </is>
      </c>
      <c r="V118" s="41" t="n"/>
      <c r="W118" s="57" t="n"/>
      <c r="X118" s="99" t="n">
        <v>6.25486</v>
      </c>
      <c r="Y118" s="99" t="n">
        <v>10.435732</v>
      </c>
      <c r="Z118" s="99" t="n">
        <v>0.77828528</v>
      </c>
      <c r="AA118" s="62" t="n">
        <v>0.6150163</v>
      </c>
      <c r="AB118" s="62" t="n">
        <v>0.81089884</v>
      </c>
      <c r="AC118" s="63" t="n"/>
      <c r="AD118" s="356" t="n"/>
      <c r="AE118" s="356" t="n"/>
      <c r="AF118" s="57" t="n"/>
      <c r="AG118" s="28" t="n"/>
      <c r="AH118" s="57" t="n"/>
      <c r="AI118" s="28" t="n"/>
      <c r="AJ118" s="134" t="n"/>
      <c r="AK118" s="212" t="n"/>
      <c r="AL118" s="293" t="inlineStr">
        <is>
          <t>v17</t>
        </is>
      </c>
      <c r="AM118" s="122">
        <f>IF(OR(X118="",F118=""),"",X118-F118)</f>
        <v/>
      </c>
      <c r="AN118" s="98">
        <f>IF(OR(Y118="",G118=""),"",Y118-G118)</f>
        <v/>
      </c>
      <c r="AO118" s="98">
        <f>IF(OR(Z118="",H118=""),"",Z118-H118)</f>
        <v/>
      </c>
      <c r="AP118" s="98">
        <f>IF(OR(AA118="",I118=""),"",AA118-I118)</f>
        <v/>
      </c>
      <c r="AQ118" s="123">
        <f>IF(OR(AB118="",J118=""),"",AB118-J118)</f>
        <v/>
      </c>
      <c r="AR118" s="39" t="n"/>
      <c r="AS118" s="332" t="n"/>
      <c r="AT118" s="39" t="n"/>
    </row>
    <row r="119" ht="13.5" customHeight="1" s="279">
      <c r="B119" s="294" t="n"/>
      <c r="C119" s="29" t="inlineStr">
        <is>
          <t>r02</t>
        </is>
      </c>
      <c r="D119" s="191" t="n"/>
      <c r="E119" s="58" t="n"/>
      <c r="F119" s="192" t="n">
        <v>33.973292</v>
      </c>
      <c r="G119" s="192" t="n">
        <v>37.526771</v>
      </c>
      <c r="H119" s="192" t="n">
        <v>0.9812689</v>
      </c>
      <c r="I119" s="64" t="n">
        <v>0.98713643</v>
      </c>
      <c r="J119" s="64" t="n">
        <v>0.04277359</v>
      </c>
      <c r="K119" s="193" t="n"/>
      <c r="L119" s="357" t="n"/>
      <c r="M119" s="357" t="n"/>
      <c r="N119" s="58" t="n"/>
      <c r="O119" s="30" t="n"/>
      <c r="P119" s="58" t="n"/>
      <c r="Q119" s="30" t="n"/>
      <c r="R119" s="135" t="n"/>
      <c r="S119" s="301" t="n"/>
      <c r="T119" s="294" t="n"/>
      <c r="U119" s="29" t="inlineStr">
        <is>
          <t>r02</t>
        </is>
      </c>
      <c r="V119" s="191" t="n"/>
      <c r="W119" s="58" t="n"/>
      <c r="X119" s="192" t="n">
        <v>6.275619</v>
      </c>
      <c r="Y119" s="192" t="n">
        <v>10.490795</v>
      </c>
      <c r="Z119" s="192" t="n">
        <v>0.77535529</v>
      </c>
      <c r="AA119" s="64" t="n">
        <v>0.61706556</v>
      </c>
      <c r="AB119" s="64" t="n">
        <v>0.81105155</v>
      </c>
      <c r="AC119" s="193" t="n"/>
      <c r="AD119" s="357" t="n"/>
      <c r="AE119" s="357" t="n"/>
      <c r="AF119" s="58" t="n"/>
      <c r="AG119" s="30" t="n"/>
      <c r="AH119" s="58" t="n"/>
      <c r="AI119" s="30" t="n"/>
      <c r="AJ119" s="135" t="n"/>
      <c r="AK119" s="212" t="n"/>
      <c r="AL119" s="294" t="n"/>
      <c r="AM119" s="89">
        <f>IF(OR(X119="",F119=""),"",X119-F119)</f>
        <v/>
      </c>
      <c r="AN119" s="124">
        <f>IF(OR(Y119="",G119=""),"",Y119-G119)</f>
        <v/>
      </c>
      <c r="AO119" s="124">
        <f>IF(OR(Z119="",H119=""),"",Z119-H119)</f>
        <v/>
      </c>
      <c r="AP119" s="124">
        <f>IF(OR(AA119="",I119=""),"",AA119-I119)</f>
        <v/>
      </c>
      <c r="AQ119" s="90">
        <f>IF(OR(AB119="",J119=""),"",AB119-J119)</f>
        <v/>
      </c>
      <c r="AR119" s="39" t="n"/>
      <c r="AS119" s="332" t="n"/>
      <c r="AT119" s="39" t="n"/>
    </row>
    <row r="120" ht="13.5" customHeight="1" s="279">
      <c r="B120" s="294" t="n"/>
      <c r="C120" s="29" t="inlineStr">
        <is>
          <t>r03</t>
        </is>
      </c>
      <c r="D120" s="191" t="n"/>
      <c r="E120" s="58" t="n"/>
      <c r="F120" s="192" t="n">
        <v>36.898999</v>
      </c>
      <c r="G120" s="192" t="n">
        <v>40.855062</v>
      </c>
      <c r="H120" s="192" t="n">
        <v>0.98905574</v>
      </c>
      <c r="I120" s="64" t="n">
        <v>0.99305235</v>
      </c>
      <c r="J120" s="64" t="n">
        <v>0.027011137</v>
      </c>
      <c r="K120" s="193" t="n"/>
      <c r="L120" s="357" t="n"/>
      <c r="M120" s="357" t="n"/>
      <c r="N120" s="58" t="n"/>
      <c r="O120" s="30" t="n"/>
      <c r="P120" s="58" t="n"/>
      <c r="Q120" s="30" t="n"/>
      <c r="R120" s="135" t="n"/>
      <c r="S120" s="301" t="n"/>
      <c r="T120" s="294" t="n"/>
      <c r="U120" s="29" t="inlineStr">
        <is>
          <t>r03</t>
        </is>
      </c>
      <c r="V120" s="191" t="n"/>
      <c r="W120" s="58" t="n"/>
      <c r="X120" s="192" t="n">
        <v>6.190624</v>
      </c>
      <c r="Y120" s="192" t="n">
        <v>10.369584</v>
      </c>
      <c r="Z120" s="192" t="n">
        <v>0.7727986999999999</v>
      </c>
      <c r="AA120" s="64" t="n">
        <v>0.61147429</v>
      </c>
      <c r="AB120" s="64" t="n">
        <v>0.80884296</v>
      </c>
      <c r="AC120" s="193" t="n"/>
      <c r="AD120" s="357" t="n"/>
      <c r="AE120" s="357" t="n"/>
      <c r="AF120" s="58" t="n"/>
      <c r="AG120" s="30" t="n"/>
      <c r="AH120" s="58" t="n"/>
      <c r="AI120" s="30" t="n"/>
      <c r="AJ120" s="135" t="n"/>
      <c r="AK120" s="212" t="n"/>
      <c r="AL120" s="294" t="n"/>
      <c r="AM120" s="89">
        <f>IF(OR(X120="",F120=""),"",X120-F120)</f>
        <v/>
      </c>
      <c r="AN120" s="124">
        <f>IF(OR(Y120="",G120=""),"",Y120-G120)</f>
        <v/>
      </c>
      <c r="AO120" s="124">
        <f>IF(OR(Z120="",H120=""),"",Z120-H120)</f>
        <v/>
      </c>
      <c r="AP120" s="124">
        <f>IF(OR(AA120="",I120=""),"",AA120-I120)</f>
        <v/>
      </c>
      <c r="AQ120" s="90">
        <f>IF(OR(AB120="",J120=""),"",AB120-J120)</f>
        <v/>
      </c>
      <c r="AR120" s="39" t="n"/>
      <c r="AS120" s="332" t="n"/>
      <c r="AT120" s="39" t="n"/>
    </row>
    <row r="121" ht="13.5" customHeight="1" s="279">
      <c r="B121" s="294" t="n"/>
      <c r="C121" s="29" t="inlineStr">
        <is>
          <t>r04</t>
        </is>
      </c>
      <c r="D121" s="191" t="n"/>
      <c r="E121" s="58" t="n"/>
      <c r="F121" s="192" t="n">
        <v>39.838743</v>
      </c>
      <c r="G121" s="192" t="n">
        <v>43.977676</v>
      </c>
      <c r="H121" s="192" t="n">
        <v>0.99347033</v>
      </c>
      <c r="I121" s="64" t="n">
        <v>0.99613098</v>
      </c>
      <c r="J121" s="64" t="n">
        <v>0.014743185</v>
      </c>
      <c r="K121" s="193" t="n"/>
      <c r="L121" s="357" t="n"/>
      <c r="M121" s="357" t="n"/>
      <c r="N121" s="58" t="n"/>
      <c r="O121" s="30" t="n"/>
      <c r="P121" s="58" t="n"/>
      <c r="Q121" s="30" t="n"/>
      <c r="R121" s="135" t="n"/>
      <c r="S121" s="301" t="n"/>
      <c r="T121" s="294" t="n"/>
      <c r="U121" s="29" t="inlineStr">
        <is>
          <t>r04</t>
        </is>
      </c>
      <c r="V121" s="191" t="n"/>
      <c r="W121" s="58" t="n"/>
      <c r="X121" s="192" t="n">
        <v>6.201455</v>
      </c>
      <c r="Y121" s="192" t="n">
        <v>10.386757</v>
      </c>
      <c r="Z121" s="192" t="n">
        <v>0.77227358</v>
      </c>
      <c r="AA121" s="64" t="n">
        <v>0.61201191</v>
      </c>
      <c r="AB121" s="64" t="n">
        <v>0.8094671</v>
      </c>
      <c r="AC121" s="193" t="n"/>
      <c r="AD121" s="357" t="n"/>
      <c r="AE121" s="357" t="n"/>
      <c r="AF121" s="58" t="n"/>
      <c r="AG121" s="30" t="n"/>
      <c r="AH121" s="58" t="n"/>
      <c r="AI121" s="30" t="n"/>
      <c r="AJ121" s="135" t="n"/>
      <c r="AK121" s="212" t="n"/>
      <c r="AL121" s="294" t="n"/>
      <c r="AM121" s="89">
        <f>IF(OR(X121="",F121=""),"",X121-F121)</f>
        <v/>
      </c>
      <c r="AN121" s="124">
        <f>IF(OR(Y121="",G121=""),"",Y121-G121)</f>
        <v/>
      </c>
      <c r="AO121" s="124">
        <f>IF(OR(Z121="",H121=""),"",Z121-H121)</f>
        <v/>
      </c>
      <c r="AP121" s="124">
        <f>IF(OR(AA121="",I121=""),"",AA121-I121)</f>
        <v/>
      </c>
      <c r="AQ121" s="90">
        <f>IF(OR(AB121="",J121=""),"",AB121-J121)</f>
        <v/>
      </c>
      <c r="AR121" s="39" t="n"/>
      <c r="AS121" s="332" t="n"/>
      <c r="AT121" s="39" t="n"/>
    </row>
    <row r="122" ht="13.5" customHeight="1" s="279" thickBot="1">
      <c r="B122" s="295" t="n"/>
      <c r="C122" s="29" t="n"/>
      <c r="D122" s="191" t="n"/>
      <c r="E122" s="58" t="n"/>
      <c r="F122" s="194" t="n"/>
      <c r="G122" s="194" t="n"/>
      <c r="H122" s="194" t="n"/>
      <c r="I122" s="58" t="n"/>
      <c r="J122" s="58" t="n"/>
      <c r="K122" s="193" t="n"/>
      <c r="L122" s="357" t="n"/>
      <c r="M122" s="357" t="n"/>
      <c r="N122" s="58" t="n"/>
      <c r="O122" s="30" t="n"/>
      <c r="P122" s="58" t="n"/>
      <c r="Q122" s="30" t="n"/>
      <c r="R122" s="189" t="n"/>
      <c r="S122" s="301" t="n"/>
      <c r="T122" s="295" t="n"/>
      <c r="U122" s="29" t="n"/>
      <c r="V122" s="191" t="n"/>
      <c r="W122" s="58" t="n"/>
      <c r="X122" s="194" t="n"/>
      <c r="Y122" s="194" t="n"/>
      <c r="Z122" s="194" t="n"/>
      <c r="AA122" s="58" t="n"/>
      <c r="AB122" s="58" t="n"/>
      <c r="AC122" s="193" t="n"/>
      <c r="AD122" s="357" t="n"/>
      <c r="AE122" s="357" t="n"/>
      <c r="AF122" s="58" t="n"/>
      <c r="AG122" s="30" t="n"/>
      <c r="AH122" s="58" t="n"/>
      <c r="AI122" s="30" t="n"/>
      <c r="AJ122" s="189" t="n"/>
      <c r="AK122" s="212" t="n"/>
      <c r="AL122" s="295" t="n"/>
      <c r="AM122" s="125">
        <f>IF(OR(X122="",F122=""),"",X122-F122)</f>
        <v/>
      </c>
      <c r="AN122" s="126">
        <f>IF(OR(Y122="",G122=""),"",Y122-G122)</f>
        <v/>
      </c>
      <c r="AO122" s="126">
        <f>IF(OR(Z122="",H122=""),"",Z122-H122)</f>
        <v/>
      </c>
      <c r="AP122" s="126">
        <f>IF(OR(AA122="",I122=""),"",AA122-I122)</f>
        <v/>
      </c>
      <c r="AQ122" s="127">
        <f>IF(OR(AB122="",J122=""),"",AB122-J122)</f>
        <v/>
      </c>
      <c r="AR122" s="39" t="n"/>
      <c r="AS122" s="332" t="n"/>
      <c r="AT122" s="39" t="n"/>
    </row>
    <row r="123" ht="13.5" customHeight="1" s="279">
      <c r="B123" s="293" t="inlineStr">
        <is>
          <t>v18</t>
        </is>
      </c>
      <c r="C123" s="27" t="inlineStr">
        <is>
          <t>r01</t>
        </is>
      </c>
      <c r="D123" s="41" t="n"/>
      <c r="E123" s="57" t="n"/>
      <c r="F123" s="99" t="n">
        <v>32.029989</v>
      </c>
      <c r="G123" s="99" t="n">
        <v>35.615054</v>
      </c>
      <c r="H123" s="99" t="n">
        <v>0.97161218</v>
      </c>
      <c r="I123" s="62" t="n">
        <v>0.97933577</v>
      </c>
      <c r="J123" s="62" t="n">
        <v>0.058582664</v>
      </c>
      <c r="K123" s="63" t="n"/>
      <c r="L123" s="356" t="n"/>
      <c r="M123" s="356" t="n"/>
      <c r="N123" s="57" t="n"/>
      <c r="O123" s="28" t="n"/>
      <c r="P123" s="57" t="n"/>
      <c r="Q123" s="28" t="n"/>
      <c r="R123" s="134" t="n"/>
      <c r="S123" s="301" t="n"/>
      <c r="T123" s="293" t="inlineStr">
        <is>
          <t>v18</t>
        </is>
      </c>
      <c r="U123" s="27" t="inlineStr">
        <is>
          <t>r01</t>
        </is>
      </c>
      <c r="V123" s="41" t="n"/>
      <c r="W123" s="57" t="n"/>
      <c r="X123" s="99" t="n">
        <v>6.660655</v>
      </c>
      <c r="Y123" s="99" t="n">
        <v>10.939777</v>
      </c>
      <c r="Z123" s="99" t="n">
        <v>0.7644465</v>
      </c>
      <c r="AA123" s="62" t="n">
        <v>0.61943823</v>
      </c>
      <c r="AB123" s="62" t="n">
        <v>0.79944485</v>
      </c>
      <c r="AC123" s="63" t="n"/>
      <c r="AD123" s="356" t="n"/>
      <c r="AE123" s="356" t="n"/>
      <c r="AF123" s="57" t="n"/>
      <c r="AG123" s="28" t="n"/>
      <c r="AH123" s="57" t="n"/>
      <c r="AI123" s="28" t="n"/>
      <c r="AJ123" s="134" t="n"/>
      <c r="AK123" s="212" t="n"/>
      <c r="AL123" s="293" t="inlineStr">
        <is>
          <t>v18</t>
        </is>
      </c>
      <c r="AM123" s="122">
        <f>IF(OR(X123="",F123=""),"",X123-F123)</f>
        <v/>
      </c>
      <c r="AN123" s="98">
        <f>IF(OR(Y123="",G123=""),"",Y123-G123)</f>
        <v/>
      </c>
      <c r="AO123" s="98">
        <f>IF(OR(Z123="",H123=""),"",Z123-H123)</f>
        <v/>
      </c>
      <c r="AP123" s="98">
        <f>IF(OR(AA123="",I123=""),"",AA123-I123)</f>
        <v/>
      </c>
      <c r="AQ123" s="123">
        <f>IF(OR(AB123="",J123=""),"",AB123-J123)</f>
        <v/>
      </c>
      <c r="AR123" s="39" t="n"/>
      <c r="AS123" s="332" t="n"/>
      <c r="AT123" s="39" t="n"/>
    </row>
    <row r="124" ht="13.5" customHeight="1" s="279">
      <c r="B124" s="294" t="n"/>
      <c r="C124" s="29" t="inlineStr">
        <is>
          <t>r02</t>
        </is>
      </c>
      <c r="D124" s="191" t="n"/>
      <c r="E124" s="58" t="n"/>
      <c r="F124" s="192" t="n">
        <v>34.309566</v>
      </c>
      <c r="G124" s="192" t="n">
        <v>37.661876</v>
      </c>
      <c r="H124" s="192" t="n">
        <v>0.98152151</v>
      </c>
      <c r="I124" s="64" t="n">
        <v>0.98719684</v>
      </c>
      <c r="J124" s="64" t="n">
        <v>0.041439183</v>
      </c>
      <c r="K124" s="193" t="n"/>
      <c r="L124" s="357" t="n"/>
      <c r="M124" s="357" t="n"/>
      <c r="N124" s="58" t="n"/>
      <c r="O124" s="30" t="n"/>
      <c r="P124" s="58" t="n"/>
      <c r="Q124" s="30" t="n"/>
      <c r="R124" s="135" t="n"/>
      <c r="S124" s="301" t="n"/>
      <c r="T124" s="294" t="n"/>
      <c r="U124" s="29" t="inlineStr">
        <is>
          <t>r02</t>
        </is>
      </c>
      <c r="V124" s="191" t="n"/>
      <c r="W124" s="58" t="n"/>
      <c r="X124" s="192" t="n">
        <v>6.723961</v>
      </c>
      <c r="Y124" s="192" t="n">
        <v>11.058763</v>
      </c>
      <c r="Z124" s="192" t="n">
        <v>0.7527911900000001</v>
      </c>
      <c r="AA124" s="64" t="n">
        <v>0.61282202</v>
      </c>
      <c r="AB124" s="64" t="n">
        <v>0.78803</v>
      </c>
      <c r="AC124" s="193" t="n"/>
      <c r="AD124" s="357" t="n"/>
      <c r="AE124" s="357" t="n"/>
      <c r="AF124" s="58" t="n"/>
      <c r="AG124" s="30" t="n"/>
      <c r="AH124" s="58" t="n"/>
      <c r="AI124" s="30" t="n"/>
      <c r="AJ124" s="135" t="n"/>
      <c r="AK124" s="212" t="n"/>
      <c r="AL124" s="294" t="n"/>
      <c r="AM124" s="89">
        <f>IF(OR(X124="",F124=""),"",X124-F124)</f>
        <v/>
      </c>
      <c r="AN124" s="124">
        <f>IF(OR(Y124="",G124=""),"",Y124-G124)</f>
        <v/>
      </c>
      <c r="AO124" s="124">
        <f>IF(OR(Z124="",H124=""),"",Z124-H124)</f>
        <v/>
      </c>
      <c r="AP124" s="124">
        <f>IF(OR(AA124="",I124=""),"",AA124-I124)</f>
        <v/>
      </c>
      <c r="AQ124" s="90">
        <f>IF(OR(AB124="",J124=""),"",AB124-J124)</f>
        <v/>
      </c>
      <c r="AR124" s="39" t="n"/>
      <c r="AS124" s="332" t="n"/>
      <c r="AT124" s="39" t="n"/>
    </row>
    <row r="125" ht="13.5" customHeight="1" s="279">
      <c r="B125" s="294" t="n"/>
      <c r="C125" s="29" t="inlineStr">
        <is>
          <t>r03</t>
        </is>
      </c>
      <c r="D125" s="191" t="n"/>
      <c r="E125" s="58" t="n"/>
      <c r="F125" s="192" t="n">
        <v>37.433019</v>
      </c>
      <c r="G125" s="192" t="n">
        <v>41.191781</v>
      </c>
      <c r="H125" s="192" t="n">
        <v>0.98922861</v>
      </c>
      <c r="I125" s="64" t="n">
        <v>0.99310283</v>
      </c>
      <c r="J125" s="64" t="n">
        <v>0.025739506</v>
      </c>
      <c r="K125" s="193" t="n"/>
      <c r="L125" s="357" t="n"/>
      <c r="M125" s="357" t="n"/>
      <c r="N125" s="58" t="n"/>
      <c r="O125" s="30" t="n"/>
      <c r="P125" s="58" t="n"/>
      <c r="Q125" s="30" t="n"/>
      <c r="R125" s="135" t="n"/>
      <c r="S125" s="301" t="n"/>
      <c r="T125" s="294" t="n"/>
      <c r="U125" s="29" t="inlineStr">
        <is>
          <t>r03</t>
        </is>
      </c>
      <c r="V125" s="191" t="n"/>
      <c r="W125" s="58" t="n"/>
      <c r="X125" s="192" t="n">
        <v>6.614092</v>
      </c>
      <c r="Y125" s="192" t="n">
        <v>10.880892</v>
      </c>
      <c r="Z125" s="192" t="n">
        <v>0.7577996</v>
      </c>
      <c r="AA125" s="64" t="n">
        <v>0.61201613</v>
      </c>
      <c r="AB125" s="64" t="n">
        <v>0.8028645</v>
      </c>
      <c r="AC125" s="193" t="n"/>
      <c r="AD125" s="357" t="n"/>
      <c r="AE125" s="357" t="n"/>
      <c r="AF125" s="58" t="n"/>
      <c r="AG125" s="30" t="n"/>
      <c r="AH125" s="58" t="n"/>
      <c r="AI125" s="30" t="n"/>
      <c r="AJ125" s="135" t="n"/>
      <c r="AK125" s="212" t="n"/>
      <c r="AL125" s="294" t="n"/>
      <c r="AM125" s="89">
        <f>IF(OR(X125="",F125=""),"",X125-F125)</f>
        <v/>
      </c>
      <c r="AN125" s="124">
        <f>IF(OR(Y125="",G125=""),"",Y125-G125)</f>
        <v/>
      </c>
      <c r="AO125" s="124">
        <f>IF(OR(Z125="",H125=""),"",Z125-H125)</f>
        <v/>
      </c>
      <c r="AP125" s="124">
        <f>IF(OR(AA125="",I125=""),"",AA125-I125)</f>
        <v/>
      </c>
      <c r="AQ125" s="90">
        <f>IF(OR(AB125="",J125=""),"",AB125-J125)</f>
        <v/>
      </c>
      <c r="AR125" s="39" t="n"/>
      <c r="AS125" s="332" t="n"/>
      <c r="AT125" s="39" t="n"/>
    </row>
    <row r="126" ht="13.5" customHeight="1" s="279">
      <c r="B126" s="294" t="n"/>
      <c r="C126" s="29" t="inlineStr">
        <is>
          <t>r04</t>
        </is>
      </c>
      <c r="D126" s="191" t="n"/>
      <c r="E126" s="58" t="n"/>
      <c r="F126" s="192" t="n">
        <v>40.440899</v>
      </c>
      <c r="G126" s="192" t="n">
        <v>44.429394</v>
      </c>
      <c r="H126" s="192" t="n">
        <v>0.99358753</v>
      </c>
      <c r="I126" s="64" t="n">
        <v>0.99614644</v>
      </c>
      <c r="J126" s="64" t="n">
        <v>0.0138293095</v>
      </c>
      <c r="K126" s="193" t="n"/>
      <c r="L126" s="357" t="n"/>
      <c r="M126" s="357" t="n"/>
      <c r="N126" s="58" t="n"/>
      <c r="O126" s="30" t="n"/>
      <c r="P126" s="58" t="n"/>
      <c r="Q126" s="30" t="n"/>
      <c r="R126" s="135" t="n"/>
      <c r="S126" s="301" t="n"/>
      <c r="T126" s="294" t="n"/>
      <c r="U126" s="29" t="inlineStr">
        <is>
          <t>r04</t>
        </is>
      </c>
      <c r="V126" s="191" t="n"/>
      <c r="W126" s="58" t="n"/>
      <c r="X126" s="192" t="n">
        <v>6.623242</v>
      </c>
      <c r="Y126" s="192" t="n">
        <v>10.904277</v>
      </c>
      <c r="Z126" s="192" t="n">
        <v>0.75557076</v>
      </c>
      <c r="AA126" s="64" t="n">
        <v>0.60743407</v>
      </c>
      <c r="AB126" s="64" t="n">
        <v>0.7931823</v>
      </c>
      <c r="AC126" s="193" t="n"/>
      <c r="AD126" s="357" t="n"/>
      <c r="AE126" s="357" t="n"/>
      <c r="AF126" s="58" t="n"/>
      <c r="AG126" s="30" t="n"/>
      <c r="AH126" s="58" t="n"/>
      <c r="AI126" s="30" t="n"/>
      <c r="AJ126" s="135" t="n"/>
      <c r="AK126" s="212" t="n"/>
      <c r="AL126" s="294" t="n"/>
      <c r="AM126" s="89">
        <f>IF(OR(X126="",F126=""),"",X126-F126)</f>
        <v/>
      </c>
      <c r="AN126" s="124">
        <f>IF(OR(Y126="",G126=""),"",Y126-G126)</f>
        <v/>
      </c>
      <c r="AO126" s="124">
        <f>IF(OR(Z126="",H126=""),"",Z126-H126)</f>
        <v/>
      </c>
      <c r="AP126" s="124">
        <f>IF(OR(AA126="",I126=""),"",AA126-I126)</f>
        <v/>
      </c>
      <c r="AQ126" s="90">
        <f>IF(OR(AB126="",J126=""),"",AB126-J126)</f>
        <v/>
      </c>
      <c r="AR126" s="39" t="n"/>
      <c r="AS126" s="332" t="n"/>
      <c r="AT126" s="39" t="n"/>
    </row>
    <row r="127" ht="13.5" customHeight="1" s="279" thickBot="1">
      <c r="B127" s="295" t="n"/>
      <c r="C127" s="29" t="n"/>
      <c r="D127" s="191" t="n"/>
      <c r="E127" s="58" t="n"/>
      <c r="F127" s="194" t="n"/>
      <c r="G127" s="194" t="n"/>
      <c r="H127" s="194" t="n"/>
      <c r="I127" s="58" t="n"/>
      <c r="J127" s="58" t="n"/>
      <c r="K127" s="193" t="n"/>
      <c r="L127" s="357" t="n"/>
      <c r="M127" s="357" t="n"/>
      <c r="N127" s="58" t="n"/>
      <c r="O127" s="30" t="n"/>
      <c r="P127" s="58" t="n"/>
      <c r="Q127" s="30" t="n"/>
      <c r="R127" s="189" t="n"/>
      <c r="S127" s="301" t="n"/>
      <c r="T127" s="295" t="n"/>
      <c r="U127" s="29" t="n"/>
      <c r="V127" s="191" t="n"/>
      <c r="W127" s="58" t="n"/>
      <c r="X127" s="194" t="n"/>
      <c r="Y127" s="194" t="n"/>
      <c r="Z127" s="194" t="n"/>
      <c r="AA127" s="58" t="n"/>
      <c r="AB127" s="58" t="n"/>
      <c r="AC127" s="193" t="n"/>
      <c r="AD127" s="357" t="n"/>
      <c r="AE127" s="357" t="n"/>
      <c r="AF127" s="58" t="n"/>
      <c r="AG127" s="30" t="n"/>
      <c r="AH127" s="58" t="n"/>
      <c r="AI127" s="30" t="n"/>
      <c r="AJ127" s="189" t="n"/>
      <c r="AK127" s="212" t="n"/>
      <c r="AL127" s="295" t="n"/>
      <c r="AM127" s="125">
        <f>IF(OR(X127="",F127=""),"",X127-F127)</f>
        <v/>
      </c>
      <c r="AN127" s="126">
        <f>IF(OR(Y127="",G127=""),"",Y127-G127)</f>
        <v/>
      </c>
      <c r="AO127" s="126">
        <f>IF(OR(Z127="",H127=""),"",Z127-H127)</f>
        <v/>
      </c>
      <c r="AP127" s="126">
        <f>IF(OR(AA127="",I127=""),"",AA127-I127)</f>
        <v/>
      </c>
      <c r="AQ127" s="127">
        <f>IF(OR(AB127="",J127=""),"",AB127-J127)</f>
        <v/>
      </c>
      <c r="AR127" s="39" t="n"/>
      <c r="AS127" s="332" t="n"/>
      <c r="AT127" s="39" t="n"/>
    </row>
    <row r="128" ht="13.5" customHeight="1" s="279">
      <c r="B128" s="293" t="inlineStr">
        <is>
          <t>v19</t>
        </is>
      </c>
      <c r="C128" s="27" t="inlineStr">
        <is>
          <t>r01</t>
        </is>
      </c>
      <c r="D128" s="41" t="n"/>
      <c r="E128" s="57" t="n"/>
      <c r="F128" s="99" t="n">
        <v>32.028416</v>
      </c>
      <c r="G128" s="99" t="n">
        <v>35.785455</v>
      </c>
      <c r="H128" s="99" t="n">
        <v>0.97201868</v>
      </c>
      <c r="I128" s="62" t="n">
        <v>0.97935953</v>
      </c>
      <c r="J128" s="62" t="n">
        <v>0.058290526</v>
      </c>
      <c r="K128" s="63" t="n"/>
      <c r="L128" s="356" t="n"/>
      <c r="M128" s="356" t="n"/>
      <c r="N128" s="57" t="n"/>
      <c r="O128" s="28" t="n"/>
      <c r="P128" s="57" t="n"/>
      <c r="Q128" s="28" t="n"/>
      <c r="R128" s="134" t="n"/>
      <c r="S128" s="301" t="n"/>
      <c r="T128" s="293" t="inlineStr">
        <is>
          <t>v19</t>
        </is>
      </c>
      <c r="U128" s="27" t="inlineStr">
        <is>
          <t>r01</t>
        </is>
      </c>
      <c r="V128" s="41" t="n"/>
      <c r="W128" s="57" t="n"/>
      <c r="X128" s="99" t="n">
        <v>7.05704</v>
      </c>
      <c r="Y128" s="99" t="n">
        <v>11.732345</v>
      </c>
      <c r="Z128" s="99" t="n">
        <v>0.7703446900000001</v>
      </c>
      <c r="AA128" s="62" t="n">
        <v>0.64291761</v>
      </c>
      <c r="AB128" s="62" t="n">
        <v>0.7788706399999999</v>
      </c>
      <c r="AC128" s="63" t="n"/>
      <c r="AD128" s="356" t="n"/>
      <c r="AE128" s="356" t="n"/>
      <c r="AF128" s="57" t="n"/>
      <c r="AG128" s="28" t="n"/>
      <c r="AH128" s="57" t="n"/>
      <c r="AI128" s="28" t="n"/>
      <c r="AJ128" s="134" t="n"/>
      <c r="AK128" s="212" t="n"/>
      <c r="AL128" s="293" t="inlineStr">
        <is>
          <t>v19</t>
        </is>
      </c>
      <c r="AM128" s="122">
        <f>IF(OR(X128="",F128=""),"",X128-F128)</f>
        <v/>
      </c>
      <c r="AN128" s="98">
        <f>IF(OR(Y128="",G128=""),"",Y128-G128)</f>
        <v/>
      </c>
      <c r="AO128" s="98">
        <f>IF(OR(Z128="",H128=""),"",Z128-H128)</f>
        <v/>
      </c>
      <c r="AP128" s="98">
        <f>IF(OR(AA128="",I128=""),"",AA128-I128)</f>
        <v/>
      </c>
      <c r="AQ128" s="123">
        <f>IF(OR(AB128="",J128=""),"",AB128-J128)</f>
        <v/>
      </c>
      <c r="AR128" s="39" t="n"/>
      <c r="AS128" s="332" t="n"/>
      <c r="AT128" s="39" t="n"/>
    </row>
    <row r="129" ht="13.5" customHeight="1" s="279">
      <c r="B129" s="294" t="n"/>
      <c r="C129" s="29" t="inlineStr">
        <is>
          <t>r02</t>
        </is>
      </c>
      <c r="D129" s="191" t="n"/>
      <c r="E129" s="58" t="n"/>
      <c r="F129" s="192" t="n">
        <v>34.149139</v>
      </c>
      <c r="G129" s="192" t="n">
        <v>37.801473</v>
      </c>
      <c r="H129" s="192" t="n">
        <v>0.9817542</v>
      </c>
      <c r="I129" s="64" t="n">
        <v>0.98691412</v>
      </c>
      <c r="J129" s="64" t="n">
        <v>0.041434042</v>
      </c>
      <c r="K129" s="193" t="n"/>
      <c r="L129" s="357" t="n"/>
      <c r="M129" s="357" t="n"/>
      <c r="N129" s="58" t="n"/>
      <c r="O129" s="30" t="n"/>
      <c r="P129" s="58" t="n"/>
      <c r="Q129" s="30" t="n"/>
      <c r="R129" s="135" t="n"/>
      <c r="S129" s="301" t="n"/>
      <c r="T129" s="294" t="n"/>
      <c r="U129" s="29" t="inlineStr">
        <is>
          <t>r02</t>
        </is>
      </c>
      <c r="V129" s="191" t="n"/>
      <c r="W129" s="58" t="n"/>
      <c r="X129" s="192" t="n">
        <v>7.135797</v>
      </c>
      <c r="Y129" s="192" t="n">
        <v>11.857368</v>
      </c>
      <c r="Z129" s="192" t="n">
        <v>0.7639448</v>
      </c>
      <c r="AA129" s="64" t="n">
        <v>0.64131732</v>
      </c>
      <c r="AB129" s="64" t="n">
        <v>0.7813542</v>
      </c>
      <c r="AC129" s="193" t="n"/>
      <c r="AD129" s="357" t="n"/>
      <c r="AE129" s="357" t="n"/>
      <c r="AF129" s="58" t="n"/>
      <c r="AG129" s="30" t="n"/>
      <c r="AH129" s="58" t="n"/>
      <c r="AI129" s="30" t="n"/>
      <c r="AJ129" s="135" t="n"/>
      <c r="AK129" s="212" t="n"/>
      <c r="AL129" s="294" t="n"/>
      <c r="AM129" s="89">
        <f>IF(OR(X129="",F129=""),"",X129-F129)</f>
        <v/>
      </c>
      <c r="AN129" s="124">
        <f>IF(OR(Y129="",G129=""),"",Y129-G129)</f>
        <v/>
      </c>
      <c r="AO129" s="124">
        <f>IF(OR(Z129="",H129=""),"",Z129-H129)</f>
        <v/>
      </c>
      <c r="AP129" s="124">
        <f>IF(OR(AA129="",I129=""),"",AA129-I129)</f>
        <v/>
      </c>
      <c r="AQ129" s="90">
        <f>IF(OR(AB129="",J129=""),"",AB129-J129)</f>
        <v/>
      </c>
      <c r="AR129" s="39" t="n"/>
      <c r="AS129" s="332" t="n"/>
      <c r="AT129" s="39" t="n"/>
    </row>
    <row r="130" ht="13.5" customHeight="1" s="279">
      <c r="B130" s="294" t="n"/>
      <c r="C130" s="29" t="inlineStr">
        <is>
          <t>r03</t>
        </is>
      </c>
      <c r="D130" s="191" t="n"/>
      <c r="E130" s="58" t="n"/>
      <c r="F130" s="192" t="n">
        <v>37.425135</v>
      </c>
      <c r="G130" s="192" t="n">
        <v>41.14386</v>
      </c>
      <c r="H130" s="192" t="n">
        <v>0.98950945</v>
      </c>
      <c r="I130" s="64" t="n">
        <v>0.99313186</v>
      </c>
      <c r="J130" s="64" t="n">
        <v>0.024756685</v>
      </c>
      <c r="K130" s="193" t="n"/>
      <c r="L130" s="357" t="n"/>
      <c r="M130" s="357" t="n"/>
      <c r="N130" s="58" t="n"/>
      <c r="O130" s="30" t="n"/>
      <c r="P130" s="58" t="n"/>
      <c r="Q130" s="30" t="n"/>
      <c r="R130" s="135" t="n"/>
      <c r="S130" s="301" t="n"/>
      <c r="T130" s="294" t="n"/>
      <c r="U130" s="29" t="inlineStr">
        <is>
          <t>r03</t>
        </is>
      </c>
      <c r="V130" s="191" t="n"/>
      <c r="W130" s="58" t="n"/>
      <c r="X130" s="192" t="n">
        <v>7.007989</v>
      </c>
      <c r="Y130" s="192" t="n">
        <v>11.622374</v>
      </c>
      <c r="Z130" s="192" t="n">
        <v>0.77486635</v>
      </c>
      <c r="AA130" s="64" t="n">
        <v>0.64635437</v>
      </c>
      <c r="AB130" s="64" t="n">
        <v>0.78412354</v>
      </c>
      <c r="AC130" s="193" t="n"/>
      <c r="AD130" s="357" t="n"/>
      <c r="AE130" s="357" t="n"/>
      <c r="AF130" s="58" t="n"/>
      <c r="AG130" s="30" t="n"/>
      <c r="AH130" s="58" t="n"/>
      <c r="AI130" s="30" t="n"/>
      <c r="AJ130" s="135" t="n"/>
      <c r="AK130" s="212" t="n"/>
      <c r="AL130" s="294" t="n"/>
      <c r="AM130" s="89">
        <f>IF(OR(X130="",F130=""),"",X130-F130)</f>
        <v/>
      </c>
      <c r="AN130" s="124">
        <f>IF(OR(Y130="",G130=""),"",Y130-G130)</f>
        <v/>
      </c>
      <c r="AO130" s="124">
        <f>IF(OR(Z130="",H130=""),"",Z130-H130)</f>
        <v/>
      </c>
      <c r="AP130" s="124">
        <f>IF(OR(AA130="",I130=""),"",AA130-I130)</f>
        <v/>
      </c>
      <c r="AQ130" s="90">
        <f>IF(OR(AB130="",J130=""),"",AB130-J130)</f>
        <v/>
      </c>
      <c r="AR130" s="39" t="n"/>
      <c r="AS130" s="332" t="n"/>
      <c r="AT130" s="39" t="n"/>
    </row>
    <row r="131" ht="13.5" customHeight="1" s="279">
      <c r="B131" s="294" t="n"/>
      <c r="C131" s="29" t="inlineStr">
        <is>
          <t>r04</t>
        </is>
      </c>
      <c r="D131" s="191" t="n"/>
      <c r="E131" s="58" t="n"/>
      <c r="F131" s="192" t="n">
        <v>41.002123</v>
      </c>
      <c r="G131" s="192" t="n">
        <v>44.861866</v>
      </c>
      <c r="H131" s="192" t="n">
        <v>0.99376087</v>
      </c>
      <c r="I131" s="64" t="n">
        <v>0.99632466</v>
      </c>
      <c r="J131" s="64" t="n">
        <v>0.012812884</v>
      </c>
      <c r="K131" s="193" t="n"/>
      <c r="L131" s="357" t="n"/>
      <c r="M131" s="357" t="n"/>
      <c r="N131" s="58" t="n"/>
      <c r="O131" s="30" t="n"/>
      <c r="P131" s="58" t="n"/>
      <c r="Q131" s="30" t="n"/>
      <c r="R131" s="135" t="n"/>
      <c r="S131" s="301" t="n"/>
      <c r="T131" s="294" t="n"/>
      <c r="U131" s="29" t="inlineStr">
        <is>
          <t>r04</t>
        </is>
      </c>
      <c r="V131" s="191" t="n"/>
      <c r="W131" s="58" t="n"/>
      <c r="X131" s="192" t="n">
        <v>7.030773</v>
      </c>
      <c r="Y131" s="192" t="n">
        <v>11.677298</v>
      </c>
      <c r="Z131" s="192" t="n">
        <v>0.76414638</v>
      </c>
      <c r="AA131" s="64" t="n">
        <v>0.63905625</v>
      </c>
      <c r="AB131" s="64" t="n">
        <v>0.7755735</v>
      </c>
      <c r="AC131" s="193" t="n"/>
      <c r="AD131" s="357" t="n"/>
      <c r="AE131" s="357" t="n"/>
      <c r="AF131" s="58" t="n"/>
      <c r="AG131" s="30" t="n"/>
      <c r="AH131" s="58" t="n"/>
      <c r="AI131" s="30" t="n"/>
      <c r="AJ131" s="135" t="n"/>
      <c r="AK131" s="212" t="n"/>
      <c r="AL131" s="294" t="n"/>
      <c r="AM131" s="89">
        <f>IF(OR(X131="",F131=""),"",X131-F131)</f>
        <v/>
      </c>
      <c r="AN131" s="124">
        <f>IF(OR(Y131="",G131=""),"",Y131-G131)</f>
        <v/>
      </c>
      <c r="AO131" s="124">
        <f>IF(OR(Z131="",H131=""),"",Z131-H131)</f>
        <v/>
      </c>
      <c r="AP131" s="124">
        <f>IF(OR(AA131="",I131=""),"",AA131-I131)</f>
        <v/>
      </c>
      <c r="AQ131" s="90">
        <f>IF(OR(AB131="",J131=""),"",AB131-J131)</f>
        <v/>
      </c>
      <c r="AR131" s="39" t="n"/>
      <c r="AS131" s="332" t="n"/>
      <c r="AT131" s="39" t="n"/>
    </row>
    <row r="132" ht="13.5" customHeight="1" s="279" thickBot="1">
      <c r="B132" s="295" t="n"/>
      <c r="C132" s="29" t="n"/>
      <c r="D132" s="191" t="n"/>
      <c r="E132" s="58" t="n"/>
      <c r="F132" s="194" t="n"/>
      <c r="G132" s="194" t="n"/>
      <c r="H132" s="194" t="n"/>
      <c r="I132" s="58" t="n"/>
      <c r="J132" s="58" t="n"/>
      <c r="K132" s="193" t="n"/>
      <c r="L132" s="357" t="n"/>
      <c r="M132" s="357" t="n"/>
      <c r="N132" s="58" t="n"/>
      <c r="O132" s="30" t="n"/>
      <c r="P132" s="58" t="n"/>
      <c r="Q132" s="30" t="n"/>
      <c r="R132" s="189" t="n"/>
      <c r="S132" s="301" t="n"/>
      <c r="T132" s="295" t="n"/>
      <c r="U132" s="29" t="n"/>
      <c r="V132" s="191" t="n"/>
      <c r="W132" s="58" t="n"/>
      <c r="X132" s="194" t="n"/>
      <c r="Y132" s="194" t="n"/>
      <c r="Z132" s="194" t="n"/>
      <c r="AA132" s="58" t="n"/>
      <c r="AB132" s="58" t="n"/>
      <c r="AC132" s="193" t="n"/>
      <c r="AD132" s="357" t="n"/>
      <c r="AE132" s="357" t="n"/>
      <c r="AF132" s="58" t="n"/>
      <c r="AG132" s="30" t="n"/>
      <c r="AH132" s="58" t="n"/>
      <c r="AI132" s="30" t="n"/>
      <c r="AJ132" s="189" t="n"/>
      <c r="AK132" s="212" t="n"/>
      <c r="AL132" s="295" t="n"/>
      <c r="AM132" s="125">
        <f>IF(OR(X132="",F132=""),"",X132-F132)</f>
        <v/>
      </c>
      <c r="AN132" s="126">
        <f>IF(OR(Y132="",G132=""),"",Y132-G132)</f>
        <v/>
      </c>
      <c r="AO132" s="126">
        <f>IF(OR(Z132="",H132=""),"",Z132-H132)</f>
        <v/>
      </c>
      <c r="AP132" s="126">
        <f>IF(OR(AA132="",I132=""),"",AA132-I132)</f>
        <v/>
      </c>
      <c r="AQ132" s="127">
        <f>IF(OR(AB132="",J132=""),"",AB132-J132)</f>
        <v/>
      </c>
      <c r="AR132" s="39" t="n"/>
      <c r="AS132" s="332" t="n"/>
      <c r="AT132" s="39" t="n"/>
    </row>
    <row r="133" ht="13.5" customHeight="1" s="279">
      <c r="B133" s="293" t="inlineStr">
        <is>
          <t>v20</t>
        </is>
      </c>
      <c r="C133" s="27" t="inlineStr">
        <is>
          <t>r01</t>
        </is>
      </c>
      <c r="D133" s="41" t="n"/>
      <c r="E133" s="57" t="n"/>
      <c r="F133" s="99" t="n">
        <v>32.175052</v>
      </c>
      <c r="G133" s="99" t="n">
        <v>36.090334</v>
      </c>
      <c r="H133" s="99" t="n">
        <v>0.9704265399999999</v>
      </c>
      <c r="I133" s="62" t="n">
        <v>0.97857804</v>
      </c>
      <c r="J133" s="62" t="n">
        <v>0.0590899</v>
      </c>
      <c r="K133" s="63" t="n"/>
      <c r="L133" s="356" t="n"/>
      <c r="M133" s="356" t="n"/>
      <c r="N133" s="57" t="n"/>
      <c r="O133" s="28" t="n"/>
      <c r="P133" s="57" t="n"/>
      <c r="Q133" s="28" t="n"/>
      <c r="R133" s="134" t="n"/>
      <c r="S133" s="301" t="n"/>
      <c r="T133" s="293" t="inlineStr">
        <is>
          <t>v20</t>
        </is>
      </c>
      <c r="U133" s="27" t="inlineStr">
        <is>
          <t>r01</t>
        </is>
      </c>
      <c r="V133" s="41" t="n"/>
      <c r="W133" s="57" t="n"/>
      <c r="X133" s="99" t="n">
        <v>9.330501999999999</v>
      </c>
      <c r="Y133" s="99" t="n">
        <v>13.57412</v>
      </c>
      <c r="Z133" s="99" t="n">
        <v>0.78307016</v>
      </c>
      <c r="AA133" s="62" t="n">
        <v>0.58318173</v>
      </c>
      <c r="AB133" s="62" t="n">
        <v>0.7888867000000001</v>
      </c>
      <c r="AC133" s="63" t="n"/>
      <c r="AD133" s="356" t="n"/>
      <c r="AE133" s="356" t="n"/>
      <c r="AF133" s="57" t="n"/>
      <c r="AG133" s="28" t="n"/>
      <c r="AH133" s="57" t="n"/>
      <c r="AI133" s="28" t="n"/>
      <c r="AJ133" s="134" t="n"/>
      <c r="AK133" s="212" t="n"/>
      <c r="AL133" s="293" t="inlineStr">
        <is>
          <t>v20</t>
        </is>
      </c>
      <c r="AM133" s="122">
        <f>IF(OR(X133="",F133=""),"",X133-F133)</f>
        <v/>
      </c>
      <c r="AN133" s="98">
        <f>IF(OR(Y133="",G133=""),"",Y133-G133)</f>
        <v/>
      </c>
      <c r="AO133" s="98">
        <f>IF(OR(Z133="",H133=""),"",Z133-H133)</f>
        <v/>
      </c>
      <c r="AP133" s="98">
        <f>IF(OR(AA133="",I133=""),"",AA133-I133)</f>
        <v/>
      </c>
      <c r="AQ133" s="123">
        <f>IF(OR(AB133="",J133=""),"",AB133-J133)</f>
        <v/>
      </c>
      <c r="AR133" s="39" t="n"/>
      <c r="AS133" s="332" t="n"/>
      <c r="AT133" s="39" t="n"/>
    </row>
    <row r="134" ht="13.5" customHeight="1" s="279">
      <c r="B134" s="294" t="n"/>
      <c r="C134" s="29" t="inlineStr">
        <is>
          <t>r02</t>
        </is>
      </c>
      <c r="D134" s="191" t="n"/>
      <c r="E134" s="58" t="n"/>
      <c r="F134" s="192" t="n">
        <v>34.498724</v>
      </c>
      <c r="G134" s="192" t="n">
        <v>38.138582</v>
      </c>
      <c r="H134" s="192" t="n">
        <v>0.9814807800000001</v>
      </c>
      <c r="I134" s="64" t="n">
        <v>0.98666823</v>
      </c>
      <c r="J134" s="64" t="n">
        <v>0.040091112</v>
      </c>
      <c r="K134" s="193" t="n"/>
      <c r="L134" s="357" t="n"/>
      <c r="M134" s="357" t="n"/>
      <c r="N134" s="58" t="n"/>
      <c r="O134" s="30" t="n"/>
      <c r="P134" s="58" t="n"/>
      <c r="Q134" s="30" t="n"/>
      <c r="R134" s="135" t="n"/>
      <c r="S134" s="301" t="n"/>
      <c r="T134" s="294" t="n"/>
      <c r="U134" s="29" t="inlineStr">
        <is>
          <t>r02</t>
        </is>
      </c>
      <c r="V134" s="191" t="n"/>
      <c r="W134" s="58" t="n"/>
      <c r="X134" s="192" t="n">
        <v>9.402278000000001</v>
      </c>
      <c r="Y134" s="192" t="n">
        <v>13.588311</v>
      </c>
      <c r="Z134" s="192" t="n">
        <v>0.78976628</v>
      </c>
      <c r="AA134" s="64" t="n">
        <v>0.58094784</v>
      </c>
      <c r="AB134" s="64" t="n">
        <v>0.79395175</v>
      </c>
      <c r="AC134" s="193" t="n"/>
      <c r="AD134" s="357" t="n"/>
      <c r="AE134" s="357" t="n"/>
      <c r="AF134" s="58" t="n"/>
      <c r="AG134" s="30" t="n"/>
      <c r="AH134" s="58" t="n"/>
      <c r="AI134" s="30" t="n"/>
      <c r="AJ134" s="135" t="n"/>
      <c r="AK134" s="212" t="n"/>
      <c r="AL134" s="294" t="n"/>
      <c r="AM134" s="89">
        <f>IF(OR(X134="",F134=""),"",X134-F134)</f>
        <v/>
      </c>
      <c r="AN134" s="124">
        <f>IF(OR(Y134="",G134=""),"",Y134-G134)</f>
        <v/>
      </c>
      <c r="AO134" s="124">
        <f>IF(OR(Z134="",H134=""),"",Z134-H134)</f>
        <v/>
      </c>
      <c r="AP134" s="124">
        <f>IF(OR(AA134="",I134=""),"",AA134-I134)</f>
        <v/>
      </c>
      <c r="AQ134" s="90">
        <f>IF(OR(AB134="",J134=""),"",AB134-J134)</f>
        <v/>
      </c>
      <c r="AR134" s="39" t="n"/>
      <c r="AS134" s="332" t="n"/>
      <c r="AT134" s="39" t="n"/>
    </row>
    <row r="135" ht="13.5" customHeight="1" s="279">
      <c r="B135" s="294" t="n"/>
      <c r="C135" s="29" t="inlineStr">
        <is>
          <t>r03</t>
        </is>
      </c>
      <c r="D135" s="191" t="n"/>
      <c r="E135" s="58" t="n"/>
      <c r="F135" s="192" t="n">
        <v>37.835389</v>
      </c>
      <c r="G135" s="192" t="n">
        <v>41.376756</v>
      </c>
      <c r="H135" s="192" t="n">
        <v>0.98975252</v>
      </c>
      <c r="I135" s="64" t="n">
        <v>0.99323277</v>
      </c>
      <c r="J135" s="64" t="n">
        <v>0.024406975</v>
      </c>
      <c r="K135" s="193" t="n"/>
      <c r="L135" s="357" t="n"/>
      <c r="M135" s="357" t="n"/>
      <c r="N135" s="58" t="n"/>
      <c r="O135" s="30" t="n"/>
      <c r="P135" s="58" t="n"/>
      <c r="Q135" s="30" t="n"/>
      <c r="R135" s="135" t="n"/>
      <c r="S135" s="301" t="n"/>
      <c r="T135" s="294" t="n"/>
      <c r="U135" s="29" t="inlineStr">
        <is>
          <t>r03</t>
        </is>
      </c>
      <c r="V135" s="191" t="n"/>
      <c r="W135" s="58" t="n"/>
      <c r="X135" s="192" t="n">
        <v>9.542464000000001</v>
      </c>
      <c r="Y135" s="192" t="n">
        <v>13.698696</v>
      </c>
      <c r="Z135" s="192" t="n">
        <v>0.77391784</v>
      </c>
      <c r="AA135" s="64" t="n">
        <v>0.58892424</v>
      </c>
      <c r="AB135" s="64" t="n">
        <v>0.77700174</v>
      </c>
      <c r="AC135" s="193" t="n"/>
      <c r="AD135" s="357" t="n"/>
      <c r="AE135" s="357" t="n"/>
      <c r="AF135" s="58" t="n"/>
      <c r="AG135" s="30" t="n"/>
      <c r="AH135" s="58" t="n"/>
      <c r="AI135" s="30" t="n"/>
      <c r="AJ135" s="135" t="n"/>
      <c r="AK135" s="212" t="n"/>
      <c r="AL135" s="294" t="n"/>
      <c r="AM135" s="89">
        <f>IF(OR(X135="",F135=""),"",X135-F135)</f>
        <v/>
      </c>
      <c r="AN135" s="124">
        <f>IF(OR(Y135="",G135=""),"",Y135-G135)</f>
        <v/>
      </c>
      <c r="AO135" s="124">
        <f>IF(OR(Z135="",H135=""),"",Z135-H135)</f>
        <v/>
      </c>
      <c r="AP135" s="124">
        <f>IF(OR(AA135="",I135=""),"",AA135-I135)</f>
        <v/>
      </c>
      <c r="AQ135" s="90">
        <f>IF(OR(AB135="",J135=""),"",AB135-J135)</f>
        <v/>
      </c>
      <c r="AR135" s="39" t="n"/>
      <c r="AS135" s="332" t="n"/>
      <c r="AT135" s="39" t="n"/>
    </row>
    <row r="136" ht="13.5" customHeight="1" s="279">
      <c r="B136" s="294" t="n"/>
      <c r="C136" s="29" t="inlineStr">
        <is>
          <t>r04</t>
        </is>
      </c>
      <c r="D136" s="191" t="n"/>
      <c r="E136" s="58" t="n"/>
      <c r="F136" s="192" t="n">
        <v>41.595049</v>
      </c>
      <c r="G136" s="192" t="n">
        <v>45.181701</v>
      </c>
      <c r="H136" s="192" t="n">
        <v>0.99381931</v>
      </c>
      <c r="I136" s="64" t="n">
        <v>0.99633837</v>
      </c>
      <c r="J136" s="64" t="n">
        <v>0.012617046</v>
      </c>
      <c r="K136" s="193" t="n"/>
      <c r="L136" s="357" t="n"/>
      <c r="M136" s="357" t="n"/>
      <c r="N136" s="58" t="n"/>
      <c r="O136" s="30" t="n"/>
      <c r="P136" s="58" t="n"/>
      <c r="Q136" s="30" t="n"/>
      <c r="R136" s="135" t="n"/>
      <c r="S136" s="301" t="n"/>
      <c r="T136" s="294" t="n"/>
      <c r="U136" s="29" t="inlineStr">
        <is>
          <t>r04</t>
        </is>
      </c>
      <c r="V136" s="191" t="n"/>
      <c r="W136" s="58" t="n"/>
      <c r="X136" s="192" t="n">
        <v>9.493788</v>
      </c>
      <c r="Y136" s="192" t="n">
        <v>13.696808</v>
      </c>
      <c r="Z136" s="192" t="n">
        <v>0.77509373</v>
      </c>
      <c r="AA136" s="64" t="n">
        <v>0.58993048</v>
      </c>
      <c r="AB136" s="64" t="n">
        <v>0.76665485</v>
      </c>
      <c r="AC136" s="193" t="n"/>
      <c r="AD136" s="357" t="n"/>
      <c r="AE136" s="357" t="n"/>
      <c r="AF136" s="58" t="n"/>
      <c r="AG136" s="30" t="n"/>
      <c r="AH136" s="58" t="n"/>
      <c r="AI136" s="30" t="n"/>
      <c r="AJ136" s="135" t="n"/>
      <c r="AK136" s="212" t="n"/>
      <c r="AL136" s="294" t="n"/>
      <c r="AM136" s="89">
        <f>IF(OR(X136="",F136=""),"",X136-F136)</f>
        <v/>
      </c>
      <c r="AN136" s="124">
        <f>IF(OR(Y136="",G136=""),"",Y136-G136)</f>
        <v/>
      </c>
      <c r="AO136" s="124">
        <f>IF(OR(Z136="",H136=""),"",Z136-H136)</f>
        <v/>
      </c>
      <c r="AP136" s="124">
        <f>IF(OR(AA136="",I136=""),"",AA136-I136)</f>
        <v/>
      </c>
      <c r="AQ136" s="90">
        <f>IF(OR(AB136="",J136=""),"",AB136-J136)</f>
        <v/>
      </c>
      <c r="AR136" s="39" t="n"/>
      <c r="AS136" s="332" t="n"/>
      <c r="AT136" s="39" t="n"/>
    </row>
    <row r="137" ht="13.5" customHeight="1" s="279" thickBot="1">
      <c r="B137" s="295" t="n"/>
      <c r="C137" s="29" t="n"/>
      <c r="D137" s="191" t="n"/>
      <c r="E137" s="58" t="n"/>
      <c r="F137" s="194" t="n"/>
      <c r="G137" s="194" t="n"/>
      <c r="H137" s="194" t="n"/>
      <c r="I137" s="58" t="n"/>
      <c r="J137" s="58" t="n"/>
      <c r="K137" s="193" t="n"/>
      <c r="L137" s="357" t="n"/>
      <c r="M137" s="357" t="n"/>
      <c r="N137" s="58" t="n"/>
      <c r="O137" s="30" t="n"/>
      <c r="P137" s="58" t="n"/>
      <c r="Q137" s="30" t="n"/>
      <c r="R137" s="189" t="n"/>
      <c r="S137" s="301" t="n"/>
      <c r="T137" s="295" t="n"/>
      <c r="U137" s="29" t="n"/>
      <c r="V137" s="191" t="n"/>
      <c r="W137" s="58" t="n"/>
      <c r="X137" s="194" t="n"/>
      <c r="Y137" s="194" t="n"/>
      <c r="Z137" s="194" t="n"/>
      <c r="AA137" s="58" t="n"/>
      <c r="AB137" s="58" t="n"/>
      <c r="AC137" s="193" t="n"/>
      <c r="AD137" s="357" t="n"/>
      <c r="AE137" s="357" t="n"/>
      <c r="AF137" s="58" t="n"/>
      <c r="AG137" s="30" t="n"/>
      <c r="AH137" s="58" t="n"/>
      <c r="AI137" s="30" t="n"/>
      <c r="AJ137" s="189" t="n"/>
      <c r="AK137" s="212" t="n"/>
      <c r="AL137" s="295" t="n"/>
      <c r="AM137" s="125">
        <f>IF(OR(X137="",F137=""),"",X137-F137)</f>
        <v/>
      </c>
      <c r="AN137" s="126">
        <f>IF(OR(Y137="",G137=""),"",Y137-G137)</f>
        <v/>
      </c>
      <c r="AO137" s="126">
        <f>IF(OR(Z137="",H137=""),"",Z137-H137)</f>
        <v/>
      </c>
      <c r="AP137" s="126">
        <f>IF(OR(AA137="",I137=""),"",AA137-I137)</f>
        <v/>
      </c>
      <c r="AQ137" s="127">
        <f>IF(OR(AB137="",J137=""),"",AB137-J137)</f>
        <v/>
      </c>
      <c r="AR137" s="39" t="n"/>
      <c r="AS137" s="332" t="n"/>
      <c r="AT137" s="39" t="n"/>
    </row>
    <row r="138" ht="13.5" customHeight="1" s="279">
      <c r="B138" s="293" t="inlineStr">
        <is>
          <t>v21</t>
        </is>
      </c>
      <c r="C138" s="27" t="inlineStr">
        <is>
          <t>r01</t>
        </is>
      </c>
      <c r="D138" s="41" t="n"/>
      <c r="E138" s="57" t="n"/>
      <c r="F138" s="99" t="n"/>
      <c r="G138" s="99" t="n"/>
      <c r="H138" s="99" t="n"/>
      <c r="I138" s="62" t="n"/>
      <c r="J138" s="62" t="n"/>
      <c r="K138" s="63" t="n"/>
      <c r="L138" s="356" t="n"/>
      <c r="M138" s="356" t="n"/>
      <c r="N138" s="57" t="n"/>
      <c r="O138" s="28" t="n"/>
      <c r="P138" s="57" t="n"/>
      <c r="Q138" s="28" t="n"/>
      <c r="R138" s="134" t="n"/>
      <c r="S138" s="301" t="n"/>
      <c r="T138" s="293" t="inlineStr">
        <is>
          <t>v21</t>
        </is>
      </c>
      <c r="U138" s="27" t="inlineStr">
        <is>
          <t>r01</t>
        </is>
      </c>
      <c r="V138" s="41" t="n"/>
      <c r="W138" s="57" t="n"/>
      <c r="X138" s="99" t="n"/>
      <c r="Y138" s="99" t="n"/>
      <c r="Z138" s="99" t="n"/>
      <c r="AA138" s="62" t="n"/>
      <c r="AB138" s="62" t="n"/>
      <c r="AC138" s="63" t="n"/>
      <c r="AD138" s="356" t="n"/>
      <c r="AE138" s="356" t="n"/>
      <c r="AF138" s="57" t="n"/>
      <c r="AG138" s="28" t="n"/>
      <c r="AH138" s="57" t="n"/>
      <c r="AI138" s="28" t="n"/>
      <c r="AJ138" s="134" t="n"/>
      <c r="AK138" s="212" t="n"/>
      <c r="AL138" s="293" t="inlineStr">
        <is>
          <t>v21</t>
        </is>
      </c>
      <c r="AM138" s="122">
        <f>IF(OR(X138="",F138=""),"",X138-F138)</f>
        <v/>
      </c>
      <c r="AN138" s="98">
        <f>IF(OR(Y138="",G138=""),"",Y138-G138)</f>
        <v/>
      </c>
      <c r="AO138" s="98">
        <f>IF(OR(Z138="",H138=""),"",Z138-H138)</f>
        <v/>
      </c>
      <c r="AP138" s="98">
        <f>IF(OR(AA138="",I138=""),"",AA138-I138)</f>
        <v/>
      </c>
      <c r="AQ138" s="123">
        <f>IF(OR(AB138="",J138=""),"",AB138-J138)</f>
        <v/>
      </c>
      <c r="AR138" s="39" t="n"/>
      <c r="AS138" s="332" t="n"/>
      <c r="AT138" s="39" t="n"/>
    </row>
    <row r="139" ht="13.5" customHeight="1" s="279">
      <c r="B139" s="294" t="n"/>
      <c r="C139" s="29" t="inlineStr">
        <is>
          <t>r02</t>
        </is>
      </c>
      <c r="D139" s="191" t="n"/>
      <c r="E139" s="58" t="n"/>
      <c r="F139" s="192" t="n"/>
      <c r="G139" s="192" t="n"/>
      <c r="H139" s="192" t="n"/>
      <c r="I139" s="64" t="n"/>
      <c r="J139" s="64" t="n"/>
      <c r="K139" s="193" t="n"/>
      <c r="L139" s="357" t="n"/>
      <c r="M139" s="357" t="n"/>
      <c r="N139" s="58" t="n"/>
      <c r="O139" s="30" t="n"/>
      <c r="P139" s="58" t="n"/>
      <c r="Q139" s="30" t="n"/>
      <c r="R139" s="135" t="n"/>
      <c r="S139" s="301" t="n"/>
      <c r="T139" s="294" t="n"/>
      <c r="U139" s="29" t="inlineStr">
        <is>
          <t>r02</t>
        </is>
      </c>
      <c r="V139" s="191" t="n"/>
      <c r="W139" s="58" t="n"/>
      <c r="X139" s="192" t="n"/>
      <c r="Y139" s="192" t="n"/>
      <c r="Z139" s="192" t="n"/>
      <c r="AA139" s="64" t="n"/>
      <c r="AB139" s="64" t="n"/>
      <c r="AC139" s="193" t="n"/>
      <c r="AD139" s="357" t="n"/>
      <c r="AE139" s="357" t="n"/>
      <c r="AF139" s="58" t="n"/>
      <c r="AG139" s="30" t="n"/>
      <c r="AH139" s="58" t="n"/>
      <c r="AI139" s="30" t="n"/>
      <c r="AJ139" s="135" t="n"/>
      <c r="AK139" s="212" t="n"/>
      <c r="AL139" s="294" t="n"/>
      <c r="AM139" s="89">
        <f>IF(OR(X139="",F139=""),"",X139-F139)</f>
        <v/>
      </c>
      <c r="AN139" s="124">
        <f>IF(OR(Y139="",G139=""),"",Y139-G139)</f>
        <v/>
      </c>
      <c r="AO139" s="124">
        <f>IF(OR(Z139="",H139=""),"",Z139-H139)</f>
        <v/>
      </c>
      <c r="AP139" s="124">
        <f>IF(OR(AA139="",I139=""),"",AA139-I139)</f>
        <v/>
      </c>
      <c r="AQ139" s="90">
        <f>IF(OR(AB139="",J139=""),"",AB139-J139)</f>
        <v/>
      </c>
      <c r="AR139" s="39" t="n"/>
      <c r="AS139" s="332" t="n"/>
      <c r="AT139" s="39" t="n"/>
    </row>
    <row r="140" ht="13.5" customHeight="1" s="279">
      <c r="B140" s="294" t="n"/>
      <c r="C140" s="29" t="inlineStr">
        <is>
          <t>r03</t>
        </is>
      </c>
      <c r="D140" s="191" t="n"/>
      <c r="E140" s="58" t="n"/>
      <c r="F140" s="192" t="n"/>
      <c r="G140" s="192" t="n"/>
      <c r="H140" s="192" t="n"/>
      <c r="I140" s="64" t="n"/>
      <c r="J140" s="64" t="n"/>
      <c r="K140" s="193" t="n"/>
      <c r="L140" s="357" t="n"/>
      <c r="M140" s="357" t="n"/>
      <c r="N140" s="58" t="n"/>
      <c r="O140" s="30" t="n"/>
      <c r="P140" s="58" t="n"/>
      <c r="Q140" s="30" t="n"/>
      <c r="R140" s="135" t="n"/>
      <c r="S140" s="301" t="n"/>
      <c r="T140" s="294" t="n"/>
      <c r="U140" s="29" t="inlineStr">
        <is>
          <t>r03</t>
        </is>
      </c>
      <c r="V140" s="191" t="n"/>
      <c r="W140" s="58" t="n"/>
      <c r="X140" s="192" t="n"/>
      <c r="Y140" s="192" t="n"/>
      <c r="Z140" s="192" t="n"/>
      <c r="AA140" s="64" t="n"/>
      <c r="AB140" s="64" t="n"/>
      <c r="AC140" s="193" t="n"/>
      <c r="AD140" s="357" t="n"/>
      <c r="AE140" s="357" t="n"/>
      <c r="AF140" s="58" t="n"/>
      <c r="AG140" s="30" t="n"/>
      <c r="AH140" s="58" t="n"/>
      <c r="AI140" s="30" t="n"/>
      <c r="AJ140" s="135" t="n"/>
      <c r="AK140" s="212" t="n"/>
      <c r="AL140" s="294" t="n"/>
      <c r="AM140" s="89">
        <f>IF(OR(X140="",F140=""),"",X140-F140)</f>
        <v/>
      </c>
      <c r="AN140" s="124">
        <f>IF(OR(Y140="",G140=""),"",Y140-G140)</f>
        <v/>
      </c>
      <c r="AO140" s="124">
        <f>IF(OR(Z140="",H140=""),"",Z140-H140)</f>
        <v/>
      </c>
      <c r="AP140" s="124">
        <f>IF(OR(AA140="",I140=""),"",AA140-I140)</f>
        <v/>
      </c>
      <c r="AQ140" s="90">
        <f>IF(OR(AB140="",J140=""),"",AB140-J140)</f>
        <v/>
      </c>
      <c r="AR140" s="39" t="n"/>
      <c r="AS140" s="332" t="n"/>
      <c r="AT140" s="39" t="n"/>
    </row>
    <row r="141" ht="13.5" customHeight="1" s="279">
      <c r="B141" s="294" t="n"/>
      <c r="C141" s="29" t="inlineStr">
        <is>
          <t>r04</t>
        </is>
      </c>
      <c r="D141" s="191" t="n"/>
      <c r="E141" s="58" t="n"/>
      <c r="F141" s="192" t="n"/>
      <c r="G141" s="192" t="n"/>
      <c r="H141" s="192" t="n"/>
      <c r="I141" s="64" t="n"/>
      <c r="J141" s="64" t="n"/>
      <c r="K141" s="193" t="n"/>
      <c r="L141" s="357" t="n"/>
      <c r="M141" s="357" t="n"/>
      <c r="N141" s="58" t="n"/>
      <c r="O141" s="30" t="n"/>
      <c r="P141" s="58" t="n"/>
      <c r="Q141" s="30" t="n"/>
      <c r="R141" s="135" t="n"/>
      <c r="S141" s="301" t="n"/>
      <c r="T141" s="294" t="n"/>
      <c r="U141" s="29" t="inlineStr">
        <is>
          <t>r04</t>
        </is>
      </c>
      <c r="V141" s="191" t="n"/>
      <c r="W141" s="58" t="n"/>
      <c r="X141" s="192" t="n"/>
      <c r="Y141" s="192" t="n"/>
      <c r="Z141" s="192" t="n"/>
      <c r="AA141" s="64" t="n"/>
      <c r="AB141" s="64" t="n"/>
      <c r="AC141" s="193" t="n"/>
      <c r="AD141" s="357" t="n"/>
      <c r="AE141" s="357" t="n"/>
      <c r="AF141" s="58" t="n"/>
      <c r="AG141" s="30" t="n"/>
      <c r="AH141" s="58" t="n"/>
      <c r="AI141" s="30" t="n"/>
      <c r="AJ141" s="135" t="n"/>
      <c r="AK141" s="212" t="n"/>
      <c r="AL141" s="294" t="n"/>
      <c r="AM141" s="89">
        <f>IF(OR(X141="",F141=""),"",X141-F141)</f>
        <v/>
      </c>
      <c r="AN141" s="124">
        <f>IF(OR(Y141="",G141=""),"",Y141-G141)</f>
        <v/>
      </c>
      <c r="AO141" s="124">
        <f>IF(OR(Z141="",H141=""),"",Z141-H141)</f>
        <v/>
      </c>
      <c r="AP141" s="124">
        <f>IF(OR(AA141="",I141=""),"",AA141-I141)</f>
        <v/>
      </c>
      <c r="AQ141" s="90">
        <f>IF(OR(AB141="",J141=""),"",AB141-J141)</f>
        <v/>
      </c>
      <c r="AR141" s="39" t="n"/>
      <c r="AS141" s="332" t="n"/>
      <c r="AT141" s="39" t="n"/>
    </row>
    <row r="142" ht="13.5" customHeight="1" s="279" thickBot="1">
      <c r="B142" s="295" t="n"/>
      <c r="C142" s="29" t="n"/>
      <c r="D142" s="191" t="n"/>
      <c r="E142" s="58" t="n"/>
      <c r="F142" s="194" t="n"/>
      <c r="G142" s="194" t="n"/>
      <c r="H142" s="194" t="n"/>
      <c r="I142" s="58" t="n"/>
      <c r="J142" s="58" t="n"/>
      <c r="K142" s="193" t="n"/>
      <c r="L142" s="357" t="n"/>
      <c r="M142" s="357" t="n"/>
      <c r="N142" s="58" t="n"/>
      <c r="O142" s="30" t="n"/>
      <c r="P142" s="58" t="n"/>
      <c r="Q142" s="30" t="n"/>
      <c r="R142" s="189" t="n"/>
      <c r="S142" s="301" t="n"/>
      <c r="T142" s="295" t="n"/>
      <c r="U142" s="29" t="n"/>
      <c r="V142" s="191" t="n"/>
      <c r="W142" s="58" t="n"/>
      <c r="X142" s="194" t="n"/>
      <c r="Y142" s="194" t="n"/>
      <c r="Z142" s="194" t="n"/>
      <c r="AA142" s="58" t="n"/>
      <c r="AB142" s="58" t="n"/>
      <c r="AC142" s="193" t="n"/>
      <c r="AD142" s="357" t="n"/>
      <c r="AE142" s="357" t="n"/>
      <c r="AF142" s="58" t="n"/>
      <c r="AG142" s="30" t="n"/>
      <c r="AH142" s="58" t="n"/>
      <c r="AI142" s="30" t="n"/>
      <c r="AJ142" s="189" t="n"/>
      <c r="AK142" s="212" t="n"/>
      <c r="AL142" s="295" t="n"/>
      <c r="AM142" s="125">
        <f>IF(OR(X142="",F142=""),"",X142-F142)</f>
        <v/>
      </c>
      <c r="AN142" s="126">
        <f>IF(OR(Y142="",G142=""),"",Y142-G142)</f>
        <v/>
      </c>
      <c r="AO142" s="126">
        <f>IF(OR(Z142="",H142=""),"",Z142-H142)</f>
        <v/>
      </c>
      <c r="AP142" s="126">
        <f>IF(OR(AA142="",I142=""),"",AA142-I142)</f>
        <v/>
      </c>
      <c r="AQ142" s="127">
        <f>IF(OR(AB142="",J142=""),"",AB142-J142)</f>
        <v/>
      </c>
      <c r="AR142" s="39" t="n"/>
      <c r="AS142" s="332" t="n"/>
      <c r="AT142" s="39" t="n"/>
    </row>
    <row r="143" ht="13.5" customHeight="1" s="279">
      <c r="B143" s="293" t="inlineStr">
        <is>
          <t>v22</t>
        </is>
      </c>
      <c r="C143" s="27" t="inlineStr">
        <is>
          <t>r01</t>
        </is>
      </c>
      <c r="D143" s="41" t="n"/>
      <c r="E143" s="57" t="n"/>
      <c r="F143" s="99" t="n"/>
      <c r="G143" s="99" t="n"/>
      <c r="H143" s="99" t="n"/>
      <c r="I143" s="62" t="n"/>
      <c r="J143" s="62" t="n"/>
      <c r="K143" s="63" t="n"/>
      <c r="L143" s="356" t="n"/>
      <c r="M143" s="356" t="n"/>
      <c r="N143" s="57" t="n"/>
      <c r="O143" s="28" t="n"/>
      <c r="P143" s="57" t="n"/>
      <c r="Q143" s="28" t="n"/>
      <c r="R143" s="134" t="n"/>
      <c r="S143" s="301" t="n"/>
      <c r="T143" s="293" t="inlineStr">
        <is>
          <t>v22</t>
        </is>
      </c>
      <c r="U143" s="27" t="inlineStr">
        <is>
          <t>r01</t>
        </is>
      </c>
      <c r="V143" s="41" t="n"/>
      <c r="W143" s="57" t="n"/>
      <c r="X143" s="99" t="n"/>
      <c r="Y143" s="99" t="n"/>
      <c r="Z143" s="99" t="n"/>
      <c r="AA143" s="62" t="n"/>
      <c r="AB143" s="62" t="n"/>
      <c r="AC143" s="63" t="n"/>
      <c r="AD143" s="356" t="n"/>
      <c r="AE143" s="356" t="n"/>
      <c r="AF143" s="57" t="n"/>
      <c r="AG143" s="28" t="n"/>
      <c r="AH143" s="57" t="n"/>
      <c r="AI143" s="28" t="n"/>
      <c r="AJ143" s="134" t="n"/>
      <c r="AK143" s="212" t="n"/>
      <c r="AL143" s="293" t="inlineStr">
        <is>
          <t>v22</t>
        </is>
      </c>
      <c r="AM143" s="122">
        <f>IF(OR(X143="",F143=""),"",X143-F143)</f>
        <v/>
      </c>
      <c r="AN143" s="98">
        <f>IF(OR(Y143="",G143=""),"",Y143-G143)</f>
        <v/>
      </c>
      <c r="AO143" s="98">
        <f>IF(OR(Z143="",H143=""),"",Z143-H143)</f>
        <v/>
      </c>
      <c r="AP143" s="98">
        <f>IF(OR(AA143="",I143=""),"",AA143-I143)</f>
        <v/>
      </c>
      <c r="AQ143" s="123">
        <f>IF(OR(AB143="",J143=""),"",AB143-J143)</f>
        <v/>
      </c>
      <c r="AR143" s="39" t="n"/>
      <c r="AS143" s="332" t="n"/>
      <c r="AT143" s="39" t="n"/>
    </row>
    <row r="144" ht="13.5" customHeight="1" s="279">
      <c r="B144" s="294" t="n"/>
      <c r="C144" s="29" t="inlineStr">
        <is>
          <t>r02</t>
        </is>
      </c>
      <c r="D144" s="191" t="n"/>
      <c r="E144" s="58" t="n"/>
      <c r="F144" s="192" t="n"/>
      <c r="G144" s="192" t="n"/>
      <c r="H144" s="192" t="n"/>
      <c r="I144" s="64" t="n"/>
      <c r="J144" s="64" t="n"/>
      <c r="K144" s="193" t="n"/>
      <c r="L144" s="357" t="n"/>
      <c r="M144" s="357" t="n"/>
      <c r="N144" s="58" t="n"/>
      <c r="O144" s="30" t="n"/>
      <c r="P144" s="58" t="n"/>
      <c r="Q144" s="30" t="n"/>
      <c r="R144" s="135" t="n"/>
      <c r="S144" s="301" t="n"/>
      <c r="T144" s="294" t="n"/>
      <c r="U144" s="29" t="inlineStr">
        <is>
          <t>r02</t>
        </is>
      </c>
      <c r="V144" s="191" t="n"/>
      <c r="W144" s="58" t="n"/>
      <c r="X144" s="192" t="n"/>
      <c r="Y144" s="192" t="n"/>
      <c r="Z144" s="192" t="n"/>
      <c r="AA144" s="64" t="n"/>
      <c r="AB144" s="64" t="n"/>
      <c r="AC144" s="193" t="n"/>
      <c r="AD144" s="357" t="n"/>
      <c r="AE144" s="357" t="n"/>
      <c r="AF144" s="58" t="n"/>
      <c r="AG144" s="30" t="n"/>
      <c r="AH144" s="58" t="n"/>
      <c r="AI144" s="30" t="n"/>
      <c r="AJ144" s="135" t="n"/>
      <c r="AK144" s="212" t="n"/>
      <c r="AL144" s="294" t="n"/>
      <c r="AM144" s="89">
        <f>IF(OR(X144="",F144=""),"",X144-F144)</f>
        <v/>
      </c>
      <c r="AN144" s="124">
        <f>IF(OR(Y144="",G144=""),"",Y144-G144)</f>
        <v/>
      </c>
      <c r="AO144" s="124">
        <f>IF(OR(Z144="",H144=""),"",Z144-H144)</f>
        <v/>
      </c>
      <c r="AP144" s="124">
        <f>IF(OR(AA144="",I144=""),"",AA144-I144)</f>
        <v/>
      </c>
      <c r="AQ144" s="90">
        <f>IF(OR(AB144="",J144=""),"",AB144-J144)</f>
        <v/>
      </c>
      <c r="AR144" s="39" t="n"/>
      <c r="AS144" s="332" t="n"/>
      <c r="AT144" s="39" t="n"/>
    </row>
    <row r="145" ht="13.5" customHeight="1" s="279">
      <c r="B145" s="294" t="n"/>
      <c r="C145" s="29" t="inlineStr">
        <is>
          <t>r03</t>
        </is>
      </c>
      <c r="D145" s="191" t="n"/>
      <c r="E145" s="58" t="n"/>
      <c r="F145" s="192" t="n"/>
      <c r="G145" s="192" t="n"/>
      <c r="H145" s="192" t="n"/>
      <c r="I145" s="64" t="n"/>
      <c r="J145" s="64" t="n"/>
      <c r="K145" s="193" t="n"/>
      <c r="L145" s="357" t="n"/>
      <c r="M145" s="357" t="n"/>
      <c r="N145" s="58" t="n"/>
      <c r="O145" s="30" t="n"/>
      <c r="P145" s="58" t="n"/>
      <c r="Q145" s="30" t="n"/>
      <c r="R145" s="135" t="n"/>
      <c r="S145" s="301" t="n"/>
      <c r="T145" s="294" t="n"/>
      <c r="U145" s="29" t="inlineStr">
        <is>
          <t>r03</t>
        </is>
      </c>
      <c r="V145" s="191" t="n"/>
      <c r="W145" s="58" t="n"/>
      <c r="X145" s="192" t="n"/>
      <c r="Y145" s="192" t="n"/>
      <c r="Z145" s="192" t="n"/>
      <c r="AA145" s="64" t="n"/>
      <c r="AB145" s="64" t="n"/>
      <c r="AC145" s="193" t="n"/>
      <c r="AD145" s="357" t="n"/>
      <c r="AE145" s="357" t="n"/>
      <c r="AF145" s="58" t="n"/>
      <c r="AG145" s="30" t="n"/>
      <c r="AH145" s="58" t="n"/>
      <c r="AI145" s="30" t="n"/>
      <c r="AJ145" s="135" t="n"/>
      <c r="AK145" s="212" t="n"/>
      <c r="AL145" s="294" t="n"/>
      <c r="AM145" s="89">
        <f>IF(OR(X145="",F145=""),"",X145-F145)</f>
        <v/>
      </c>
      <c r="AN145" s="124">
        <f>IF(OR(Y145="",G145=""),"",Y145-G145)</f>
        <v/>
      </c>
      <c r="AO145" s="124">
        <f>IF(OR(Z145="",H145=""),"",Z145-H145)</f>
        <v/>
      </c>
      <c r="AP145" s="124">
        <f>IF(OR(AA145="",I145=""),"",AA145-I145)</f>
        <v/>
      </c>
      <c r="AQ145" s="90">
        <f>IF(OR(AB145="",J145=""),"",AB145-J145)</f>
        <v/>
      </c>
      <c r="AR145" s="39" t="n"/>
      <c r="AS145" s="332" t="n"/>
      <c r="AT145" s="39" t="n"/>
    </row>
    <row r="146" ht="13.5" customHeight="1" s="279">
      <c r="B146" s="294" t="n"/>
      <c r="C146" s="29" t="inlineStr">
        <is>
          <t>r04</t>
        </is>
      </c>
      <c r="D146" s="191" t="n"/>
      <c r="E146" s="58" t="n"/>
      <c r="F146" s="192" t="n"/>
      <c r="G146" s="192" t="n"/>
      <c r="H146" s="192" t="n"/>
      <c r="I146" s="64" t="n"/>
      <c r="J146" s="64" t="n"/>
      <c r="K146" s="193" t="n"/>
      <c r="L146" s="357" t="n"/>
      <c r="M146" s="357" t="n"/>
      <c r="N146" s="58" t="n"/>
      <c r="O146" s="30" t="n"/>
      <c r="P146" s="58" t="n"/>
      <c r="Q146" s="30" t="n"/>
      <c r="R146" s="135" t="n"/>
      <c r="S146" s="301" t="n"/>
      <c r="T146" s="294" t="n"/>
      <c r="U146" s="29" t="inlineStr">
        <is>
          <t>r04</t>
        </is>
      </c>
      <c r="V146" s="191" t="n"/>
      <c r="W146" s="58" t="n"/>
      <c r="X146" s="192" t="n"/>
      <c r="Y146" s="192" t="n"/>
      <c r="Z146" s="192" t="n"/>
      <c r="AA146" s="64" t="n"/>
      <c r="AB146" s="64" t="n"/>
      <c r="AC146" s="193" t="n"/>
      <c r="AD146" s="357" t="n"/>
      <c r="AE146" s="357" t="n"/>
      <c r="AF146" s="58" t="n"/>
      <c r="AG146" s="30" t="n"/>
      <c r="AH146" s="58" t="n"/>
      <c r="AI146" s="30" t="n"/>
      <c r="AJ146" s="135" t="n"/>
      <c r="AK146" s="212" t="n"/>
      <c r="AL146" s="294" t="n"/>
      <c r="AM146" s="89">
        <f>IF(OR(X146="",F146=""),"",X146-F146)</f>
        <v/>
      </c>
      <c r="AN146" s="124">
        <f>IF(OR(Y146="",G146=""),"",Y146-G146)</f>
        <v/>
      </c>
      <c r="AO146" s="124">
        <f>IF(OR(Z146="",H146=""),"",Z146-H146)</f>
        <v/>
      </c>
      <c r="AP146" s="124">
        <f>IF(OR(AA146="",I146=""),"",AA146-I146)</f>
        <v/>
      </c>
      <c r="AQ146" s="90">
        <f>IF(OR(AB146="",J146=""),"",AB146-J146)</f>
        <v/>
      </c>
      <c r="AR146" s="39" t="n"/>
      <c r="AS146" s="332" t="n"/>
      <c r="AT146" s="39" t="n"/>
    </row>
    <row r="147" ht="13.5" customHeight="1" s="279" thickBot="1">
      <c r="B147" s="295" t="n"/>
      <c r="C147" s="29" t="n"/>
      <c r="D147" s="191" t="n"/>
      <c r="E147" s="58" t="n"/>
      <c r="F147" s="194" t="n"/>
      <c r="G147" s="194" t="n"/>
      <c r="H147" s="194" t="n"/>
      <c r="I147" s="58" t="n"/>
      <c r="J147" s="58" t="n"/>
      <c r="K147" s="193" t="n"/>
      <c r="L147" s="357" t="n"/>
      <c r="M147" s="357" t="n"/>
      <c r="N147" s="58" t="n"/>
      <c r="O147" s="30" t="n"/>
      <c r="P147" s="58" t="n"/>
      <c r="Q147" s="30" t="n"/>
      <c r="R147" s="189" t="n"/>
      <c r="S147" s="301" t="n"/>
      <c r="T147" s="295" t="n"/>
      <c r="U147" s="29" t="n"/>
      <c r="V147" s="191" t="n"/>
      <c r="W147" s="58" t="n"/>
      <c r="X147" s="194" t="n"/>
      <c r="Y147" s="194" t="n"/>
      <c r="Z147" s="194" t="n"/>
      <c r="AA147" s="58" t="n"/>
      <c r="AB147" s="58" t="n"/>
      <c r="AC147" s="193" t="n"/>
      <c r="AD147" s="357" t="n"/>
      <c r="AE147" s="357" t="n"/>
      <c r="AF147" s="58" t="n"/>
      <c r="AG147" s="30" t="n"/>
      <c r="AH147" s="58" t="n"/>
      <c r="AI147" s="30" t="n"/>
      <c r="AJ147" s="189" t="n"/>
      <c r="AK147" s="212" t="n"/>
      <c r="AL147" s="295" t="n"/>
      <c r="AM147" s="125">
        <f>IF(OR(X147="",F147=""),"",X147-F147)</f>
        <v/>
      </c>
      <c r="AN147" s="126">
        <f>IF(OR(Y147="",G147=""),"",Y147-G147)</f>
        <v/>
      </c>
      <c r="AO147" s="126">
        <f>IF(OR(Z147="",H147=""),"",Z147-H147)</f>
        <v/>
      </c>
      <c r="AP147" s="126">
        <f>IF(OR(AA147="",I147=""),"",AA147-I147)</f>
        <v/>
      </c>
      <c r="AQ147" s="127">
        <f>IF(OR(AB147="",J147=""),"",AB147-J147)</f>
        <v/>
      </c>
      <c r="AR147" s="39" t="n"/>
      <c r="AS147" s="332" t="n"/>
      <c r="AT147" s="39" t="n"/>
    </row>
    <row r="148" ht="13.5" customHeight="1" s="279">
      <c r="B148" s="293" t="inlineStr">
        <is>
          <t>v23</t>
        </is>
      </c>
      <c r="C148" s="27" t="inlineStr">
        <is>
          <t>r01</t>
        </is>
      </c>
      <c r="D148" s="41" t="n"/>
      <c r="E148" s="57" t="n"/>
      <c r="F148" s="99" t="n"/>
      <c r="G148" s="99" t="n"/>
      <c r="H148" s="99" t="n"/>
      <c r="I148" s="62" t="n"/>
      <c r="J148" s="62" t="n"/>
      <c r="K148" s="63" t="n"/>
      <c r="L148" s="356" t="n"/>
      <c r="M148" s="356" t="n"/>
      <c r="N148" s="57" t="n"/>
      <c r="O148" s="28" t="n"/>
      <c r="P148" s="57" t="n"/>
      <c r="Q148" s="28" t="n"/>
      <c r="R148" s="134" t="n"/>
      <c r="S148" s="301" t="n"/>
      <c r="T148" s="293" t="inlineStr">
        <is>
          <t>v23</t>
        </is>
      </c>
      <c r="U148" s="27" t="inlineStr">
        <is>
          <t>r01</t>
        </is>
      </c>
      <c r="V148" s="41" t="n"/>
      <c r="W148" s="57" t="n"/>
      <c r="X148" s="99" t="n"/>
      <c r="Y148" s="99" t="n"/>
      <c r="Z148" s="99" t="n"/>
      <c r="AA148" s="62" t="n"/>
      <c r="AB148" s="62" t="n"/>
      <c r="AC148" s="63" t="n"/>
      <c r="AD148" s="356" t="n"/>
      <c r="AE148" s="356" t="n"/>
      <c r="AF148" s="57" t="n"/>
      <c r="AG148" s="28" t="n"/>
      <c r="AH148" s="57" t="n"/>
      <c r="AI148" s="28" t="n"/>
      <c r="AJ148" s="134" t="n"/>
      <c r="AK148" s="212" t="n"/>
      <c r="AL148" s="293" t="inlineStr">
        <is>
          <t>v23</t>
        </is>
      </c>
      <c r="AM148" s="122">
        <f>IF(OR(X148="",F148=""),"",X148-F148)</f>
        <v/>
      </c>
      <c r="AN148" s="98">
        <f>IF(OR(Y148="",G148=""),"",Y148-G148)</f>
        <v/>
      </c>
      <c r="AO148" s="98">
        <f>IF(OR(Z148="",H148=""),"",Z148-H148)</f>
        <v/>
      </c>
      <c r="AP148" s="98">
        <f>IF(OR(AA148="",I148=""),"",AA148-I148)</f>
        <v/>
      </c>
      <c r="AQ148" s="123">
        <f>IF(OR(AB148="",J148=""),"",AB148-J148)</f>
        <v/>
      </c>
      <c r="AR148" s="39" t="n"/>
      <c r="AS148" s="332" t="n"/>
      <c r="AT148" s="39" t="n"/>
    </row>
    <row r="149" ht="13.5" customHeight="1" s="279">
      <c r="B149" s="294" t="n"/>
      <c r="C149" s="29" t="inlineStr">
        <is>
          <t>r02</t>
        </is>
      </c>
      <c r="D149" s="191" t="n"/>
      <c r="E149" s="58" t="n"/>
      <c r="F149" s="192" t="n"/>
      <c r="G149" s="192" t="n"/>
      <c r="H149" s="192" t="n"/>
      <c r="I149" s="64" t="n"/>
      <c r="J149" s="64" t="n"/>
      <c r="K149" s="193" t="n"/>
      <c r="L149" s="357" t="n"/>
      <c r="M149" s="357" t="n"/>
      <c r="N149" s="58" t="n"/>
      <c r="O149" s="30" t="n"/>
      <c r="P149" s="58" t="n"/>
      <c r="Q149" s="30" t="n"/>
      <c r="R149" s="135" t="n"/>
      <c r="S149" s="301" t="n"/>
      <c r="T149" s="294" t="n"/>
      <c r="U149" s="29" t="inlineStr">
        <is>
          <t>r02</t>
        </is>
      </c>
      <c r="V149" s="191" t="n"/>
      <c r="W149" s="58" t="n"/>
      <c r="X149" s="192" t="n"/>
      <c r="Y149" s="192" t="n"/>
      <c r="Z149" s="192" t="n"/>
      <c r="AA149" s="64" t="n"/>
      <c r="AB149" s="64" t="n"/>
      <c r="AC149" s="193" t="n"/>
      <c r="AD149" s="357" t="n"/>
      <c r="AE149" s="357" t="n"/>
      <c r="AF149" s="58" t="n"/>
      <c r="AG149" s="30" t="n"/>
      <c r="AH149" s="58" t="n"/>
      <c r="AI149" s="30" t="n"/>
      <c r="AJ149" s="135" t="n"/>
      <c r="AK149" s="212" t="n"/>
      <c r="AL149" s="294" t="n"/>
      <c r="AM149" s="89">
        <f>IF(OR(X149="",F149=""),"",X149-F149)</f>
        <v/>
      </c>
      <c r="AN149" s="124">
        <f>IF(OR(Y149="",G149=""),"",Y149-G149)</f>
        <v/>
      </c>
      <c r="AO149" s="124">
        <f>IF(OR(Z149="",H149=""),"",Z149-H149)</f>
        <v/>
      </c>
      <c r="AP149" s="124">
        <f>IF(OR(AA149="",I149=""),"",AA149-I149)</f>
        <v/>
      </c>
      <c r="AQ149" s="90">
        <f>IF(OR(AB149="",J149=""),"",AB149-J149)</f>
        <v/>
      </c>
      <c r="AR149" s="39" t="n"/>
      <c r="AS149" s="332" t="n"/>
      <c r="AT149" s="39" t="n"/>
    </row>
    <row r="150" ht="13.5" customHeight="1" s="279">
      <c r="B150" s="294" t="n"/>
      <c r="C150" s="29" t="inlineStr">
        <is>
          <t>r03</t>
        </is>
      </c>
      <c r="D150" s="191" t="n"/>
      <c r="E150" s="58" t="n"/>
      <c r="F150" s="192" t="n"/>
      <c r="G150" s="192" t="n"/>
      <c r="H150" s="192" t="n"/>
      <c r="I150" s="64" t="n"/>
      <c r="J150" s="64" t="n"/>
      <c r="K150" s="193" t="n"/>
      <c r="L150" s="357" t="n"/>
      <c r="M150" s="357" t="n"/>
      <c r="N150" s="58" t="n"/>
      <c r="O150" s="30" t="n"/>
      <c r="P150" s="58" t="n"/>
      <c r="Q150" s="30" t="n"/>
      <c r="R150" s="135" t="n"/>
      <c r="S150" s="301" t="n"/>
      <c r="T150" s="294" t="n"/>
      <c r="U150" s="29" t="inlineStr">
        <is>
          <t>r03</t>
        </is>
      </c>
      <c r="V150" s="191" t="n"/>
      <c r="W150" s="58" t="n"/>
      <c r="X150" s="192" t="n"/>
      <c r="Y150" s="192" t="n"/>
      <c r="Z150" s="192" t="n"/>
      <c r="AA150" s="64" t="n"/>
      <c r="AB150" s="64" t="n"/>
      <c r="AC150" s="193" t="n"/>
      <c r="AD150" s="357" t="n"/>
      <c r="AE150" s="357" t="n"/>
      <c r="AF150" s="58" t="n"/>
      <c r="AG150" s="30" t="n"/>
      <c r="AH150" s="58" t="n"/>
      <c r="AI150" s="30" t="n"/>
      <c r="AJ150" s="135" t="n"/>
      <c r="AK150" s="212" t="n"/>
      <c r="AL150" s="294" t="n"/>
      <c r="AM150" s="89">
        <f>IF(OR(X150="",F150=""),"",X150-F150)</f>
        <v/>
      </c>
      <c r="AN150" s="124">
        <f>IF(OR(Y150="",G150=""),"",Y150-G150)</f>
        <v/>
      </c>
      <c r="AO150" s="124">
        <f>IF(OR(Z150="",H150=""),"",Z150-H150)</f>
        <v/>
      </c>
      <c r="AP150" s="124">
        <f>IF(OR(AA150="",I150=""),"",AA150-I150)</f>
        <v/>
      </c>
      <c r="AQ150" s="90">
        <f>IF(OR(AB150="",J150=""),"",AB150-J150)</f>
        <v/>
      </c>
      <c r="AR150" s="39" t="n"/>
      <c r="AS150" s="332" t="n"/>
      <c r="AT150" s="39" t="n"/>
    </row>
    <row r="151" ht="13.5" customHeight="1" s="279">
      <c r="B151" s="294" t="n"/>
      <c r="C151" s="29" t="inlineStr">
        <is>
          <t>r04</t>
        </is>
      </c>
      <c r="D151" s="191" t="n"/>
      <c r="E151" s="58" t="n"/>
      <c r="F151" s="192" t="n"/>
      <c r="G151" s="192" t="n"/>
      <c r="H151" s="192" t="n"/>
      <c r="I151" s="64" t="n"/>
      <c r="J151" s="64" t="n"/>
      <c r="K151" s="193" t="n"/>
      <c r="L151" s="357" t="n"/>
      <c r="M151" s="357" t="n"/>
      <c r="N151" s="58" t="n"/>
      <c r="O151" s="30" t="n"/>
      <c r="P151" s="58" t="n"/>
      <c r="Q151" s="30" t="n"/>
      <c r="R151" s="135" t="n"/>
      <c r="S151" s="301" t="n"/>
      <c r="T151" s="294" t="n"/>
      <c r="U151" s="29" t="inlineStr">
        <is>
          <t>r04</t>
        </is>
      </c>
      <c r="V151" s="191" t="n"/>
      <c r="W151" s="58" t="n"/>
      <c r="X151" s="192" t="n"/>
      <c r="Y151" s="192" t="n"/>
      <c r="Z151" s="192" t="n"/>
      <c r="AA151" s="64" t="n"/>
      <c r="AB151" s="64" t="n"/>
      <c r="AC151" s="193" t="n"/>
      <c r="AD151" s="357" t="n"/>
      <c r="AE151" s="357" t="n"/>
      <c r="AF151" s="58" t="n"/>
      <c r="AG151" s="30" t="n"/>
      <c r="AH151" s="58" t="n"/>
      <c r="AI151" s="30" t="n"/>
      <c r="AJ151" s="135" t="n"/>
      <c r="AK151" s="212" t="n"/>
      <c r="AL151" s="294" t="n"/>
      <c r="AM151" s="89">
        <f>IF(OR(X151="",F151=""),"",X151-F151)</f>
        <v/>
      </c>
      <c r="AN151" s="124">
        <f>IF(OR(Y151="",G151=""),"",Y151-G151)</f>
        <v/>
      </c>
      <c r="AO151" s="124">
        <f>IF(OR(Z151="",H151=""),"",Z151-H151)</f>
        <v/>
      </c>
      <c r="AP151" s="124">
        <f>IF(OR(AA151="",I151=""),"",AA151-I151)</f>
        <v/>
      </c>
      <c r="AQ151" s="90">
        <f>IF(OR(AB151="",J151=""),"",AB151-J151)</f>
        <v/>
      </c>
      <c r="AR151" s="39" t="n"/>
      <c r="AS151" s="332" t="n"/>
      <c r="AT151" s="39" t="n"/>
    </row>
    <row r="152" ht="13.5" customHeight="1" s="279" thickBot="1">
      <c r="B152" s="295" t="n"/>
      <c r="C152" s="29" t="n"/>
      <c r="D152" s="191" t="n"/>
      <c r="E152" s="58" t="n"/>
      <c r="F152" s="194" t="n"/>
      <c r="G152" s="194" t="n"/>
      <c r="H152" s="194" t="n"/>
      <c r="I152" s="58" t="n"/>
      <c r="J152" s="58" t="n"/>
      <c r="K152" s="193" t="n"/>
      <c r="L152" s="357" t="n"/>
      <c r="M152" s="357" t="n"/>
      <c r="N152" s="58" t="n"/>
      <c r="O152" s="30" t="n"/>
      <c r="P152" s="58" t="n"/>
      <c r="Q152" s="30" t="n"/>
      <c r="R152" s="189" t="n"/>
      <c r="S152" s="301" t="n"/>
      <c r="T152" s="295" t="n"/>
      <c r="U152" s="29" t="n"/>
      <c r="V152" s="191" t="n"/>
      <c r="W152" s="58" t="n"/>
      <c r="X152" s="194" t="n"/>
      <c r="Y152" s="194" t="n"/>
      <c r="Z152" s="194" t="n"/>
      <c r="AA152" s="58" t="n"/>
      <c r="AB152" s="58" t="n"/>
      <c r="AC152" s="193" t="n"/>
      <c r="AD152" s="357" t="n"/>
      <c r="AE152" s="357" t="n"/>
      <c r="AF152" s="58" t="n"/>
      <c r="AG152" s="30" t="n"/>
      <c r="AH152" s="58" t="n"/>
      <c r="AI152" s="30" t="n"/>
      <c r="AJ152" s="189" t="n"/>
      <c r="AK152" s="212" t="n"/>
      <c r="AL152" s="295" t="n"/>
      <c r="AM152" s="125">
        <f>IF(OR(X152="",F152=""),"",X152-F152)</f>
        <v/>
      </c>
      <c r="AN152" s="126">
        <f>IF(OR(Y152="",G152=""),"",Y152-G152)</f>
        <v/>
      </c>
      <c r="AO152" s="126">
        <f>IF(OR(Z152="",H152=""),"",Z152-H152)</f>
        <v/>
      </c>
      <c r="AP152" s="126">
        <f>IF(OR(AA152="",I152=""),"",AA152-I152)</f>
        <v/>
      </c>
      <c r="AQ152" s="127">
        <f>IF(OR(AB152="",J152=""),"",AB152-J152)</f>
        <v/>
      </c>
      <c r="AR152" s="39" t="n"/>
      <c r="AS152" s="332" t="n"/>
      <c r="AT152" s="39" t="n"/>
    </row>
    <row r="153" ht="13.5" customHeight="1" s="279">
      <c r="B153" s="293" t="inlineStr">
        <is>
          <t>v24</t>
        </is>
      </c>
      <c r="C153" s="27" t="inlineStr">
        <is>
          <t>r01</t>
        </is>
      </c>
      <c r="D153" s="41" t="n"/>
      <c r="E153" s="57" t="n"/>
      <c r="F153" s="99" t="n"/>
      <c r="G153" s="99" t="n"/>
      <c r="H153" s="99" t="n"/>
      <c r="I153" s="62" t="n"/>
      <c r="J153" s="62" t="n"/>
      <c r="K153" s="63" t="n"/>
      <c r="L153" s="356" t="n"/>
      <c r="M153" s="356" t="n"/>
      <c r="N153" s="57" t="n"/>
      <c r="O153" s="28" t="n"/>
      <c r="P153" s="57" t="n"/>
      <c r="Q153" s="28" t="n"/>
      <c r="R153" s="134" t="n"/>
      <c r="S153" s="301" t="n"/>
      <c r="T153" s="293" t="inlineStr">
        <is>
          <t>v24</t>
        </is>
      </c>
      <c r="U153" s="27" t="inlineStr">
        <is>
          <t>r01</t>
        </is>
      </c>
      <c r="V153" s="41" t="n"/>
      <c r="W153" s="57" t="n"/>
      <c r="X153" s="99" t="n"/>
      <c r="Y153" s="99" t="n"/>
      <c r="Z153" s="99" t="n"/>
      <c r="AA153" s="62" t="n"/>
      <c r="AB153" s="62" t="n"/>
      <c r="AC153" s="63" t="n"/>
      <c r="AD153" s="356" t="n"/>
      <c r="AE153" s="356" t="n"/>
      <c r="AF153" s="57" t="n"/>
      <c r="AG153" s="28" t="n"/>
      <c r="AH153" s="57" t="n"/>
      <c r="AI153" s="28" t="n"/>
      <c r="AJ153" s="134" t="n"/>
      <c r="AK153" s="212" t="n"/>
      <c r="AL153" s="293" t="inlineStr">
        <is>
          <t>v24</t>
        </is>
      </c>
      <c r="AM153" s="122">
        <f>IF(OR(X153="",F153=""),"",X153-F153)</f>
        <v/>
      </c>
      <c r="AN153" s="98">
        <f>IF(OR(Y153="",G153=""),"",Y153-G153)</f>
        <v/>
      </c>
      <c r="AO153" s="98">
        <f>IF(OR(Z153="",H153=""),"",Z153-H153)</f>
        <v/>
      </c>
      <c r="AP153" s="98">
        <f>IF(OR(AA153="",I153=""),"",AA153-I153)</f>
        <v/>
      </c>
      <c r="AQ153" s="123">
        <f>IF(OR(AB153="",J153=""),"",AB153-J153)</f>
        <v/>
      </c>
      <c r="AR153" s="39" t="n"/>
      <c r="AS153" s="332" t="n"/>
      <c r="AT153" s="39" t="n"/>
    </row>
    <row r="154" ht="13.5" customHeight="1" s="279">
      <c r="B154" s="294" t="n"/>
      <c r="C154" s="29" t="inlineStr">
        <is>
          <t>r02</t>
        </is>
      </c>
      <c r="D154" s="191" t="n"/>
      <c r="E154" s="58" t="n"/>
      <c r="F154" s="192" t="n"/>
      <c r="G154" s="192" t="n"/>
      <c r="H154" s="192" t="n"/>
      <c r="I154" s="64" t="n"/>
      <c r="J154" s="64" t="n"/>
      <c r="K154" s="193" t="n"/>
      <c r="L154" s="357" t="n"/>
      <c r="M154" s="357" t="n"/>
      <c r="N154" s="58" t="n"/>
      <c r="O154" s="30" t="n"/>
      <c r="P154" s="58" t="n"/>
      <c r="Q154" s="30" t="n"/>
      <c r="R154" s="135" t="n"/>
      <c r="S154" s="301" t="n"/>
      <c r="T154" s="294" t="n"/>
      <c r="U154" s="29" t="inlineStr">
        <is>
          <t>r02</t>
        </is>
      </c>
      <c r="V154" s="191" t="n"/>
      <c r="W154" s="58" t="n"/>
      <c r="X154" s="192" t="n"/>
      <c r="Y154" s="192" t="n"/>
      <c r="Z154" s="192" t="n"/>
      <c r="AA154" s="64" t="n"/>
      <c r="AB154" s="64" t="n"/>
      <c r="AC154" s="193" t="n"/>
      <c r="AD154" s="357" t="n"/>
      <c r="AE154" s="357" t="n"/>
      <c r="AF154" s="58" t="n"/>
      <c r="AG154" s="30" t="n"/>
      <c r="AH154" s="58" t="n"/>
      <c r="AI154" s="30" t="n"/>
      <c r="AJ154" s="135" t="n"/>
      <c r="AK154" s="212" t="n"/>
      <c r="AL154" s="294" t="n"/>
      <c r="AM154" s="89">
        <f>IF(OR(X154="",F154=""),"",X154-F154)</f>
        <v/>
      </c>
      <c r="AN154" s="124">
        <f>IF(OR(Y154="",G154=""),"",Y154-G154)</f>
        <v/>
      </c>
      <c r="AO154" s="124">
        <f>IF(OR(Z154="",H154=""),"",Z154-H154)</f>
        <v/>
      </c>
      <c r="AP154" s="124">
        <f>IF(OR(AA154="",I154=""),"",AA154-I154)</f>
        <v/>
      </c>
      <c r="AQ154" s="90">
        <f>IF(OR(AB154="",J154=""),"",AB154-J154)</f>
        <v/>
      </c>
      <c r="AR154" s="39" t="n"/>
      <c r="AS154" s="332" t="n"/>
      <c r="AT154" s="39" t="n"/>
    </row>
    <row r="155" ht="13.5" customHeight="1" s="279">
      <c r="B155" s="294" t="n"/>
      <c r="C155" s="29" t="inlineStr">
        <is>
          <t>r03</t>
        </is>
      </c>
      <c r="D155" s="191" t="n"/>
      <c r="E155" s="58" t="n"/>
      <c r="F155" s="192" t="n"/>
      <c r="G155" s="192" t="n"/>
      <c r="H155" s="192" t="n"/>
      <c r="I155" s="64" t="n"/>
      <c r="J155" s="64" t="n"/>
      <c r="K155" s="193" t="n"/>
      <c r="L155" s="357" t="n"/>
      <c r="M155" s="357" t="n"/>
      <c r="N155" s="58" t="n"/>
      <c r="O155" s="30" t="n"/>
      <c r="P155" s="58" t="n"/>
      <c r="Q155" s="30" t="n"/>
      <c r="R155" s="135" t="n"/>
      <c r="S155" s="301" t="n"/>
      <c r="T155" s="294" t="n"/>
      <c r="U155" s="29" t="inlineStr">
        <is>
          <t>r03</t>
        </is>
      </c>
      <c r="V155" s="191" t="n"/>
      <c r="W155" s="58" t="n"/>
      <c r="X155" s="192" t="n"/>
      <c r="Y155" s="192" t="n"/>
      <c r="Z155" s="192" t="n"/>
      <c r="AA155" s="64" t="n"/>
      <c r="AB155" s="64" t="n"/>
      <c r="AC155" s="193" t="n"/>
      <c r="AD155" s="357" t="n"/>
      <c r="AE155" s="357" t="n"/>
      <c r="AF155" s="58" t="n"/>
      <c r="AG155" s="30" t="n"/>
      <c r="AH155" s="58" t="n"/>
      <c r="AI155" s="30" t="n"/>
      <c r="AJ155" s="135" t="n"/>
      <c r="AK155" s="212" t="n"/>
      <c r="AL155" s="294" t="n"/>
      <c r="AM155" s="89">
        <f>IF(OR(X155="",F155=""),"",X155-F155)</f>
        <v/>
      </c>
      <c r="AN155" s="124">
        <f>IF(OR(Y155="",G155=""),"",Y155-G155)</f>
        <v/>
      </c>
      <c r="AO155" s="124">
        <f>IF(OR(Z155="",H155=""),"",Z155-H155)</f>
        <v/>
      </c>
      <c r="AP155" s="124">
        <f>IF(OR(AA155="",I155=""),"",AA155-I155)</f>
        <v/>
      </c>
      <c r="AQ155" s="90">
        <f>IF(OR(AB155="",J155=""),"",AB155-J155)</f>
        <v/>
      </c>
      <c r="AR155" s="39" t="n"/>
      <c r="AS155" s="332" t="n"/>
      <c r="AT155" s="39" t="n"/>
    </row>
    <row r="156" ht="13.5" customHeight="1" s="279">
      <c r="B156" s="294" t="n"/>
      <c r="C156" s="29" t="inlineStr">
        <is>
          <t>r04</t>
        </is>
      </c>
      <c r="D156" s="191" t="n"/>
      <c r="E156" s="58" t="n"/>
      <c r="F156" s="192" t="n"/>
      <c r="G156" s="192" t="n"/>
      <c r="H156" s="192" t="n"/>
      <c r="I156" s="64" t="n"/>
      <c r="J156" s="64" t="n"/>
      <c r="K156" s="193" t="n"/>
      <c r="L156" s="357" t="n"/>
      <c r="M156" s="357" t="n"/>
      <c r="N156" s="58" t="n"/>
      <c r="O156" s="30" t="n"/>
      <c r="P156" s="58" t="n"/>
      <c r="Q156" s="30" t="n"/>
      <c r="R156" s="135" t="n"/>
      <c r="S156" s="301" t="n"/>
      <c r="T156" s="294" t="n"/>
      <c r="U156" s="29" t="inlineStr">
        <is>
          <t>r04</t>
        </is>
      </c>
      <c r="V156" s="191" t="n"/>
      <c r="W156" s="58" t="n"/>
      <c r="X156" s="192" t="n"/>
      <c r="Y156" s="192" t="n"/>
      <c r="Z156" s="192" t="n"/>
      <c r="AA156" s="64" t="n"/>
      <c r="AB156" s="64" t="n"/>
      <c r="AC156" s="193" t="n"/>
      <c r="AD156" s="357" t="n"/>
      <c r="AE156" s="357" t="n"/>
      <c r="AF156" s="58" t="n"/>
      <c r="AG156" s="30" t="n"/>
      <c r="AH156" s="58" t="n"/>
      <c r="AI156" s="30" t="n"/>
      <c r="AJ156" s="135" t="n"/>
      <c r="AK156" s="212" t="n"/>
      <c r="AL156" s="294" t="n"/>
      <c r="AM156" s="89">
        <f>IF(OR(X156="",F156=""),"",X156-F156)</f>
        <v/>
      </c>
      <c r="AN156" s="124">
        <f>IF(OR(Y156="",G156=""),"",Y156-G156)</f>
        <v/>
      </c>
      <c r="AO156" s="124">
        <f>IF(OR(Z156="",H156=""),"",Z156-H156)</f>
        <v/>
      </c>
      <c r="AP156" s="124">
        <f>IF(OR(AA156="",I156=""),"",AA156-I156)</f>
        <v/>
      </c>
      <c r="AQ156" s="90">
        <f>IF(OR(AB156="",J156=""),"",AB156-J156)</f>
        <v/>
      </c>
      <c r="AR156" s="39" t="n"/>
      <c r="AS156" s="332" t="n"/>
      <c r="AT156" s="39" t="n"/>
    </row>
    <row r="157" ht="13.5" customHeight="1" s="279" thickBot="1">
      <c r="B157" s="295" t="n"/>
      <c r="C157" s="29" t="n"/>
      <c r="D157" s="191" t="n"/>
      <c r="E157" s="58" t="n"/>
      <c r="F157" s="194" t="n"/>
      <c r="G157" s="194" t="n"/>
      <c r="H157" s="194" t="n"/>
      <c r="I157" s="58" t="n"/>
      <c r="J157" s="58" t="n"/>
      <c r="K157" s="193" t="n"/>
      <c r="L157" s="357" t="n"/>
      <c r="M157" s="357" t="n"/>
      <c r="N157" s="58" t="n"/>
      <c r="O157" s="30" t="n"/>
      <c r="P157" s="58" t="n"/>
      <c r="Q157" s="30" t="n"/>
      <c r="R157" s="189" t="n"/>
      <c r="S157" s="301" t="n"/>
      <c r="T157" s="295" t="n"/>
      <c r="U157" s="29" t="n"/>
      <c r="V157" s="191" t="n"/>
      <c r="W157" s="58" t="n"/>
      <c r="X157" s="194" t="n"/>
      <c r="Y157" s="194" t="n"/>
      <c r="Z157" s="194" t="n"/>
      <c r="AA157" s="58" t="n"/>
      <c r="AB157" s="58" t="n"/>
      <c r="AC157" s="193" t="n"/>
      <c r="AD157" s="357" t="n"/>
      <c r="AE157" s="357" t="n"/>
      <c r="AF157" s="58" t="n"/>
      <c r="AG157" s="30" t="n"/>
      <c r="AH157" s="58" t="n"/>
      <c r="AI157" s="30" t="n"/>
      <c r="AJ157" s="189" t="n"/>
      <c r="AK157" s="212" t="n"/>
      <c r="AL157" s="295" t="n"/>
      <c r="AM157" s="125">
        <f>IF(OR(X157="",F157=""),"",X157-F157)</f>
        <v/>
      </c>
      <c r="AN157" s="126">
        <f>IF(OR(Y157="",G157=""),"",Y157-G157)</f>
        <v/>
      </c>
      <c r="AO157" s="126">
        <f>IF(OR(Z157="",H157=""),"",Z157-H157)</f>
        <v/>
      </c>
      <c r="AP157" s="126">
        <f>IF(OR(AA157="",I157=""),"",AA157-I157)</f>
        <v/>
      </c>
      <c r="AQ157" s="127">
        <f>IF(OR(AB157="",J157=""),"",AB157-J157)</f>
        <v/>
      </c>
      <c r="AR157" s="39" t="n"/>
      <c r="AS157" s="332" t="n"/>
      <c r="AT157" s="39" t="n"/>
    </row>
    <row r="158" ht="13.5" customHeight="1" s="279">
      <c r="B158" s="293" t="inlineStr">
        <is>
          <t>v25</t>
        </is>
      </c>
      <c r="C158" s="27" t="inlineStr">
        <is>
          <t>r01</t>
        </is>
      </c>
      <c r="D158" s="41" t="n"/>
      <c r="E158" s="57" t="n"/>
      <c r="F158" s="99" t="n"/>
      <c r="G158" s="99" t="n"/>
      <c r="H158" s="99" t="n"/>
      <c r="I158" s="62" t="n"/>
      <c r="J158" s="62" t="n"/>
      <c r="K158" s="63" t="n"/>
      <c r="L158" s="356" t="n"/>
      <c r="M158" s="356" t="n"/>
      <c r="N158" s="57" t="n"/>
      <c r="O158" s="28" t="n"/>
      <c r="P158" s="57" t="n"/>
      <c r="Q158" s="28" t="n"/>
      <c r="R158" s="134" t="n"/>
      <c r="S158" s="301" t="n"/>
      <c r="T158" s="293" t="inlineStr">
        <is>
          <t>v25</t>
        </is>
      </c>
      <c r="U158" s="27" t="inlineStr">
        <is>
          <t>r01</t>
        </is>
      </c>
      <c r="V158" s="41" t="n"/>
      <c r="W158" s="57" t="n"/>
      <c r="X158" s="99" t="n"/>
      <c r="Y158" s="99" t="n"/>
      <c r="Z158" s="99" t="n"/>
      <c r="AA158" s="62" t="n"/>
      <c r="AB158" s="62" t="n"/>
      <c r="AC158" s="63" t="n"/>
      <c r="AD158" s="356" t="n"/>
      <c r="AE158" s="356" t="n"/>
      <c r="AF158" s="57" t="n"/>
      <c r="AG158" s="28" t="n"/>
      <c r="AH158" s="57" t="n"/>
      <c r="AI158" s="28" t="n"/>
      <c r="AJ158" s="134" t="n"/>
      <c r="AK158" s="212" t="n"/>
      <c r="AL158" s="293" t="inlineStr">
        <is>
          <t>v25</t>
        </is>
      </c>
      <c r="AM158" s="122">
        <f>IF(OR(X158="",F158=""),"",X158-F158)</f>
        <v/>
      </c>
      <c r="AN158" s="98">
        <f>IF(OR(Y158="",G158=""),"",Y158-G158)</f>
        <v/>
      </c>
      <c r="AO158" s="98">
        <f>IF(OR(Z158="",H158=""),"",Z158-H158)</f>
        <v/>
      </c>
      <c r="AP158" s="98">
        <f>IF(OR(AA158="",I158=""),"",AA158-I158)</f>
        <v/>
      </c>
      <c r="AQ158" s="123">
        <f>IF(OR(AB158="",J158=""),"",AB158-J158)</f>
        <v/>
      </c>
      <c r="AR158" s="39" t="n"/>
      <c r="AS158" s="332" t="n"/>
      <c r="AT158" s="39" t="n"/>
    </row>
    <row r="159" ht="13.5" customHeight="1" s="279">
      <c r="B159" s="294" t="n"/>
      <c r="C159" s="29" t="inlineStr">
        <is>
          <t>r02</t>
        </is>
      </c>
      <c r="D159" s="191" t="n"/>
      <c r="E159" s="58" t="n"/>
      <c r="F159" s="192" t="n"/>
      <c r="G159" s="192" t="n"/>
      <c r="H159" s="192" t="n"/>
      <c r="I159" s="64" t="n"/>
      <c r="J159" s="64" t="n"/>
      <c r="K159" s="193" t="n"/>
      <c r="L159" s="357" t="n"/>
      <c r="M159" s="357" t="n"/>
      <c r="N159" s="58" t="n"/>
      <c r="O159" s="30" t="n"/>
      <c r="P159" s="58" t="n"/>
      <c r="Q159" s="30" t="n"/>
      <c r="R159" s="135" t="n"/>
      <c r="S159" s="301" t="n"/>
      <c r="T159" s="294" t="n"/>
      <c r="U159" s="29" t="inlineStr">
        <is>
          <t>r02</t>
        </is>
      </c>
      <c r="V159" s="191" t="n"/>
      <c r="W159" s="58" t="n"/>
      <c r="X159" s="192" t="n"/>
      <c r="Y159" s="192" t="n"/>
      <c r="Z159" s="192" t="n"/>
      <c r="AA159" s="64" t="n"/>
      <c r="AB159" s="64" t="n"/>
      <c r="AC159" s="193" t="n"/>
      <c r="AD159" s="357" t="n"/>
      <c r="AE159" s="357" t="n"/>
      <c r="AF159" s="58" t="n"/>
      <c r="AG159" s="30" t="n"/>
      <c r="AH159" s="58" t="n"/>
      <c r="AI159" s="30" t="n"/>
      <c r="AJ159" s="135" t="n"/>
      <c r="AK159" s="212" t="n"/>
      <c r="AL159" s="294" t="n"/>
      <c r="AM159" s="89">
        <f>IF(OR(X159="",F159=""),"",X159-F159)</f>
        <v/>
      </c>
      <c r="AN159" s="124">
        <f>IF(OR(Y159="",G159=""),"",Y159-G159)</f>
        <v/>
      </c>
      <c r="AO159" s="124">
        <f>IF(OR(Z159="",H159=""),"",Z159-H159)</f>
        <v/>
      </c>
      <c r="AP159" s="124">
        <f>IF(OR(AA159="",I159=""),"",AA159-I159)</f>
        <v/>
      </c>
      <c r="AQ159" s="90">
        <f>IF(OR(AB159="",J159=""),"",AB159-J159)</f>
        <v/>
      </c>
      <c r="AR159" s="39" t="n"/>
      <c r="AS159" s="332" t="n"/>
      <c r="AT159" s="39" t="n"/>
    </row>
    <row r="160" ht="13.5" customHeight="1" s="279">
      <c r="B160" s="294" t="n"/>
      <c r="C160" s="29" t="inlineStr">
        <is>
          <t>r03</t>
        </is>
      </c>
      <c r="D160" s="191" t="n"/>
      <c r="E160" s="58" t="n"/>
      <c r="F160" s="192" t="n"/>
      <c r="G160" s="192" t="n"/>
      <c r="H160" s="192" t="n"/>
      <c r="I160" s="64" t="n"/>
      <c r="J160" s="64" t="n"/>
      <c r="K160" s="193" t="n"/>
      <c r="L160" s="357" t="n"/>
      <c r="M160" s="357" t="n"/>
      <c r="N160" s="58" t="n"/>
      <c r="O160" s="30" t="n"/>
      <c r="P160" s="58" t="n"/>
      <c r="Q160" s="30" t="n"/>
      <c r="R160" s="135" t="n"/>
      <c r="S160" s="301" t="n"/>
      <c r="T160" s="294" t="n"/>
      <c r="U160" s="29" t="inlineStr">
        <is>
          <t>r03</t>
        </is>
      </c>
      <c r="V160" s="191" t="n"/>
      <c r="W160" s="58" t="n"/>
      <c r="X160" s="192" t="n"/>
      <c r="Y160" s="192" t="n"/>
      <c r="Z160" s="192" t="n"/>
      <c r="AA160" s="64" t="n"/>
      <c r="AB160" s="64" t="n"/>
      <c r="AC160" s="193" t="n"/>
      <c r="AD160" s="357" t="n"/>
      <c r="AE160" s="357" t="n"/>
      <c r="AF160" s="58" t="n"/>
      <c r="AG160" s="30" t="n"/>
      <c r="AH160" s="58" t="n"/>
      <c r="AI160" s="30" t="n"/>
      <c r="AJ160" s="135" t="n"/>
      <c r="AK160" s="212" t="n"/>
      <c r="AL160" s="294" t="n"/>
      <c r="AM160" s="89">
        <f>IF(OR(X160="",F160=""),"",X160-F160)</f>
        <v/>
      </c>
      <c r="AN160" s="124">
        <f>IF(OR(Y160="",G160=""),"",Y160-G160)</f>
        <v/>
      </c>
      <c r="AO160" s="124">
        <f>IF(OR(Z160="",H160=""),"",Z160-H160)</f>
        <v/>
      </c>
      <c r="AP160" s="124">
        <f>IF(OR(AA160="",I160=""),"",AA160-I160)</f>
        <v/>
      </c>
      <c r="AQ160" s="90">
        <f>IF(OR(AB160="",J160=""),"",AB160-J160)</f>
        <v/>
      </c>
      <c r="AR160" s="39" t="n"/>
      <c r="AS160" s="332" t="n"/>
      <c r="AT160" s="39" t="n"/>
    </row>
    <row r="161" ht="13.5" customHeight="1" s="279">
      <c r="B161" s="294" t="n"/>
      <c r="C161" s="29" t="inlineStr">
        <is>
          <t>r04</t>
        </is>
      </c>
      <c r="D161" s="191" t="n"/>
      <c r="E161" s="58" t="n"/>
      <c r="F161" s="192" t="n"/>
      <c r="G161" s="192" t="n"/>
      <c r="H161" s="192" t="n"/>
      <c r="I161" s="64" t="n"/>
      <c r="J161" s="64" t="n"/>
      <c r="K161" s="193" t="n"/>
      <c r="L161" s="357" t="n"/>
      <c r="M161" s="357" t="n"/>
      <c r="N161" s="58" t="n"/>
      <c r="O161" s="30" t="n"/>
      <c r="P161" s="58" t="n"/>
      <c r="Q161" s="30" t="n"/>
      <c r="R161" s="135" t="n"/>
      <c r="S161" s="301" t="n"/>
      <c r="T161" s="294" t="n"/>
      <c r="U161" s="29" t="inlineStr">
        <is>
          <t>r04</t>
        </is>
      </c>
      <c r="V161" s="191" t="n"/>
      <c r="W161" s="58" t="n"/>
      <c r="X161" s="192" t="n"/>
      <c r="Y161" s="192" t="n"/>
      <c r="Z161" s="192" t="n"/>
      <c r="AA161" s="64" t="n"/>
      <c r="AB161" s="64" t="n"/>
      <c r="AC161" s="193" t="n"/>
      <c r="AD161" s="357" t="n"/>
      <c r="AE161" s="357" t="n"/>
      <c r="AF161" s="58" t="n"/>
      <c r="AG161" s="30" t="n"/>
      <c r="AH161" s="58" t="n"/>
      <c r="AI161" s="30" t="n"/>
      <c r="AJ161" s="135" t="n"/>
      <c r="AK161" s="212" t="n"/>
      <c r="AL161" s="294" t="n"/>
      <c r="AM161" s="89">
        <f>IF(OR(X161="",F161=""),"",X161-F161)</f>
        <v/>
      </c>
      <c r="AN161" s="124">
        <f>IF(OR(Y161="",G161=""),"",Y161-G161)</f>
        <v/>
      </c>
      <c r="AO161" s="124">
        <f>IF(OR(Z161="",H161=""),"",Z161-H161)</f>
        <v/>
      </c>
      <c r="AP161" s="124">
        <f>IF(OR(AA161="",I161=""),"",AA161-I161)</f>
        <v/>
      </c>
      <c r="AQ161" s="90">
        <f>IF(OR(AB161="",J161=""),"",AB161-J161)</f>
        <v/>
      </c>
      <c r="AR161" s="39" t="n"/>
      <c r="AS161" s="332" t="n"/>
      <c r="AT161" s="39" t="n"/>
    </row>
    <row r="162" ht="13.5" customHeight="1" s="279" thickBot="1">
      <c r="B162" s="295" t="n"/>
      <c r="C162" s="29" t="n"/>
      <c r="D162" s="191" t="n"/>
      <c r="E162" s="58" t="n"/>
      <c r="F162" s="194" t="n"/>
      <c r="G162" s="194" t="n"/>
      <c r="H162" s="194" t="n"/>
      <c r="I162" s="58" t="n"/>
      <c r="J162" s="58" t="n"/>
      <c r="K162" s="193" t="n"/>
      <c r="L162" s="357" t="n"/>
      <c r="M162" s="357" t="n"/>
      <c r="N162" s="58" t="n"/>
      <c r="O162" s="30" t="n"/>
      <c r="P162" s="58" t="n"/>
      <c r="Q162" s="30" t="n"/>
      <c r="R162" s="189" t="n"/>
      <c r="S162" s="301" t="n"/>
      <c r="T162" s="295" t="n"/>
      <c r="U162" s="29" t="n"/>
      <c r="V162" s="191" t="n"/>
      <c r="W162" s="58" t="n"/>
      <c r="X162" s="194" t="n"/>
      <c r="Y162" s="194" t="n"/>
      <c r="Z162" s="194" t="n"/>
      <c r="AA162" s="58" t="n"/>
      <c r="AB162" s="58" t="n"/>
      <c r="AC162" s="193" t="n"/>
      <c r="AD162" s="357" t="n"/>
      <c r="AE162" s="357" t="n"/>
      <c r="AF162" s="58" t="n"/>
      <c r="AG162" s="30" t="n"/>
      <c r="AH162" s="58" t="n"/>
      <c r="AI162" s="30" t="n"/>
      <c r="AJ162" s="189" t="n"/>
      <c r="AK162" s="212" t="n"/>
      <c r="AL162" s="295" t="n"/>
      <c r="AM162" s="125">
        <f>IF(OR(X162="",F162=""),"",X162-F162)</f>
        <v/>
      </c>
      <c r="AN162" s="126">
        <f>IF(OR(Y162="",G162=""),"",Y162-G162)</f>
        <v/>
      </c>
      <c r="AO162" s="126">
        <f>IF(OR(Z162="",H162=""),"",Z162-H162)</f>
        <v/>
      </c>
      <c r="AP162" s="126">
        <f>IF(OR(AA162="",I162=""),"",AA162-I162)</f>
        <v/>
      </c>
      <c r="AQ162" s="127">
        <f>IF(OR(AB162="",J162=""),"",AB162-J162)</f>
        <v/>
      </c>
      <c r="AR162" s="39" t="n"/>
      <c r="AS162" s="332" t="n"/>
      <c r="AT162" s="39" t="n"/>
    </row>
    <row r="163" ht="13.5" customHeight="1" s="279">
      <c r="B163" s="293" t="inlineStr">
        <is>
          <t>v26</t>
        </is>
      </c>
      <c r="C163" s="27" t="inlineStr">
        <is>
          <t>r01</t>
        </is>
      </c>
      <c r="D163" s="41" t="n"/>
      <c r="E163" s="57" t="n"/>
      <c r="F163" s="99" t="n"/>
      <c r="G163" s="99" t="n"/>
      <c r="H163" s="99" t="n"/>
      <c r="I163" s="62" t="n"/>
      <c r="J163" s="62" t="n"/>
      <c r="K163" s="63" t="n"/>
      <c r="L163" s="356" t="n"/>
      <c r="M163" s="356" t="n"/>
      <c r="N163" s="57" t="n"/>
      <c r="O163" s="28" t="n"/>
      <c r="P163" s="57" t="n"/>
      <c r="Q163" s="28" t="n"/>
      <c r="R163" s="134" t="n"/>
      <c r="S163" s="301" t="n"/>
      <c r="T163" s="293" t="inlineStr">
        <is>
          <t>v26</t>
        </is>
      </c>
      <c r="U163" s="27" t="inlineStr">
        <is>
          <t>r01</t>
        </is>
      </c>
      <c r="V163" s="41" t="n"/>
      <c r="W163" s="57" t="n"/>
      <c r="X163" s="99" t="n"/>
      <c r="Y163" s="99" t="n"/>
      <c r="Z163" s="99" t="n"/>
      <c r="AA163" s="62" t="n"/>
      <c r="AB163" s="62" t="n"/>
      <c r="AC163" s="63" t="n"/>
      <c r="AD163" s="356" t="n"/>
      <c r="AE163" s="356" t="n"/>
      <c r="AF163" s="57" t="n"/>
      <c r="AG163" s="28" t="n"/>
      <c r="AH163" s="57" t="n"/>
      <c r="AI163" s="28" t="n"/>
      <c r="AJ163" s="134" t="n"/>
      <c r="AK163" s="212" t="n"/>
      <c r="AL163" s="293" t="inlineStr">
        <is>
          <t>v26</t>
        </is>
      </c>
      <c r="AM163" s="122">
        <f>IF(OR(X163="",F163=""),"",X163-F163)</f>
        <v/>
      </c>
      <c r="AN163" s="98">
        <f>IF(OR(Y163="",G163=""),"",Y163-G163)</f>
        <v/>
      </c>
      <c r="AO163" s="98">
        <f>IF(OR(Z163="",H163=""),"",Z163-H163)</f>
        <v/>
      </c>
      <c r="AP163" s="98">
        <f>IF(OR(AA163="",I163=""),"",AA163-I163)</f>
        <v/>
      </c>
      <c r="AQ163" s="123">
        <f>IF(OR(AB163="",J163=""),"",AB163-J163)</f>
        <v/>
      </c>
      <c r="AR163" s="39" t="n"/>
      <c r="AS163" s="332" t="n"/>
      <c r="AT163" s="39" t="n"/>
    </row>
    <row r="164" ht="13.5" customHeight="1" s="279">
      <c r="B164" s="294" t="n"/>
      <c r="C164" s="29" t="inlineStr">
        <is>
          <t>r02</t>
        </is>
      </c>
      <c r="D164" s="191" t="n"/>
      <c r="E164" s="58" t="n"/>
      <c r="F164" s="192" t="n"/>
      <c r="G164" s="192" t="n"/>
      <c r="H164" s="192" t="n"/>
      <c r="I164" s="64" t="n"/>
      <c r="J164" s="64" t="n"/>
      <c r="K164" s="193" t="n"/>
      <c r="L164" s="357" t="n"/>
      <c r="M164" s="357" t="n"/>
      <c r="N164" s="58" t="n"/>
      <c r="O164" s="30" t="n"/>
      <c r="P164" s="58" t="n"/>
      <c r="Q164" s="30" t="n"/>
      <c r="R164" s="135" t="n"/>
      <c r="S164" s="301" t="n"/>
      <c r="T164" s="294" t="n"/>
      <c r="U164" s="29" t="inlineStr">
        <is>
          <t>r02</t>
        </is>
      </c>
      <c r="V164" s="191" t="n"/>
      <c r="W164" s="58" t="n"/>
      <c r="X164" s="192" t="n"/>
      <c r="Y164" s="192" t="n"/>
      <c r="Z164" s="192" t="n"/>
      <c r="AA164" s="64" t="n"/>
      <c r="AB164" s="64" t="n"/>
      <c r="AC164" s="193" t="n"/>
      <c r="AD164" s="357" t="n"/>
      <c r="AE164" s="357" t="n"/>
      <c r="AF164" s="58" t="n"/>
      <c r="AG164" s="30" t="n"/>
      <c r="AH164" s="58" t="n"/>
      <c r="AI164" s="30" t="n"/>
      <c r="AJ164" s="135" t="n"/>
      <c r="AK164" s="212" t="n"/>
      <c r="AL164" s="294" t="n"/>
      <c r="AM164" s="89">
        <f>IF(OR(X164="",F164=""),"",X164-F164)</f>
        <v/>
      </c>
      <c r="AN164" s="124">
        <f>IF(OR(Y164="",G164=""),"",Y164-G164)</f>
        <v/>
      </c>
      <c r="AO164" s="124">
        <f>IF(OR(Z164="",H164=""),"",Z164-H164)</f>
        <v/>
      </c>
      <c r="AP164" s="124">
        <f>IF(OR(AA164="",I164=""),"",AA164-I164)</f>
        <v/>
      </c>
      <c r="AQ164" s="90">
        <f>IF(OR(AB164="",J164=""),"",AB164-J164)</f>
        <v/>
      </c>
      <c r="AR164" s="39" t="n"/>
      <c r="AS164" s="332" t="n"/>
      <c r="AT164" s="39" t="n"/>
    </row>
    <row r="165" ht="13.5" customHeight="1" s="279">
      <c r="B165" s="294" t="n"/>
      <c r="C165" s="29" t="inlineStr">
        <is>
          <t>r03</t>
        </is>
      </c>
      <c r="D165" s="191" t="n"/>
      <c r="E165" s="58" t="n"/>
      <c r="F165" s="192" t="n"/>
      <c r="G165" s="192" t="n"/>
      <c r="H165" s="192" t="n"/>
      <c r="I165" s="64" t="n"/>
      <c r="J165" s="64" t="n"/>
      <c r="K165" s="193" t="n"/>
      <c r="L165" s="357" t="n"/>
      <c r="M165" s="357" t="n"/>
      <c r="N165" s="58" t="n"/>
      <c r="O165" s="30" t="n"/>
      <c r="P165" s="58" t="n"/>
      <c r="Q165" s="30" t="n"/>
      <c r="R165" s="135" t="n"/>
      <c r="S165" s="301" t="n"/>
      <c r="T165" s="294" t="n"/>
      <c r="U165" s="29" t="inlineStr">
        <is>
          <t>r03</t>
        </is>
      </c>
      <c r="V165" s="191" t="n"/>
      <c r="W165" s="58" t="n"/>
      <c r="X165" s="192" t="n"/>
      <c r="Y165" s="192" t="n"/>
      <c r="Z165" s="192" t="n"/>
      <c r="AA165" s="64" t="n"/>
      <c r="AB165" s="64" t="n"/>
      <c r="AC165" s="193" t="n"/>
      <c r="AD165" s="357" t="n"/>
      <c r="AE165" s="357" t="n"/>
      <c r="AF165" s="58" t="n"/>
      <c r="AG165" s="30" t="n"/>
      <c r="AH165" s="58" t="n"/>
      <c r="AI165" s="30" t="n"/>
      <c r="AJ165" s="135" t="n"/>
      <c r="AK165" s="212" t="n"/>
      <c r="AL165" s="294" t="n"/>
      <c r="AM165" s="89">
        <f>IF(OR(X165="",F165=""),"",X165-F165)</f>
        <v/>
      </c>
      <c r="AN165" s="124">
        <f>IF(OR(Y165="",G165=""),"",Y165-G165)</f>
        <v/>
      </c>
      <c r="AO165" s="124">
        <f>IF(OR(Z165="",H165=""),"",Z165-H165)</f>
        <v/>
      </c>
      <c r="AP165" s="124">
        <f>IF(OR(AA165="",I165=""),"",AA165-I165)</f>
        <v/>
      </c>
      <c r="AQ165" s="90">
        <f>IF(OR(AB165="",J165=""),"",AB165-J165)</f>
        <v/>
      </c>
      <c r="AR165" s="39" t="n"/>
      <c r="AS165" s="332" t="n"/>
      <c r="AT165" s="39" t="n"/>
    </row>
    <row r="166" ht="13.5" customHeight="1" s="279">
      <c r="B166" s="294" t="n"/>
      <c r="C166" s="29" t="inlineStr">
        <is>
          <t>r04</t>
        </is>
      </c>
      <c r="D166" s="191" t="n"/>
      <c r="E166" s="58" t="n"/>
      <c r="F166" s="192" t="n"/>
      <c r="G166" s="192" t="n"/>
      <c r="H166" s="192" t="n"/>
      <c r="I166" s="64" t="n"/>
      <c r="J166" s="64" t="n"/>
      <c r="K166" s="193" t="n"/>
      <c r="L166" s="357" t="n"/>
      <c r="M166" s="357" t="n"/>
      <c r="N166" s="58" t="n"/>
      <c r="O166" s="30" t="n"/>
      <c r="P166" s="58" t="n"/>
      <c r="Q166" s="30" t="n"/>
      <c r="R166" s="135" t="n"/>
      <c r="S166" s="301" t="n"/>
      <c r="T166" s="294" t="n"/>
      <c r="U166" s="29" t="inlineStr">
        <is>
          <t>r04</t>
        </is>
      </c>
      <c r="V166" s="191" t="n"/>
      <c r="W166" s="58" t="n"/>
      <c r="X166" s="192" t="n"/>
      <c r="Y166" s="192" t="n"/>
      <c r="Z166" s="192" t="n"/>
      <c r="AA166" s="64" t="n"/>
      <c r="AB166" s="64" t="n"/>
      <c r="AC166" s="193" t="n"/>
      <c r="AD166" s="357" t="n"/>
      <c r="AE166" s="357" t="n"/>
      <c r="AF166" s="58" t="n"/>
      <c r="AG166" s="30" t="n"/>
      <c r="AH166" s="58" t="n"/>
      <c r="AI166" s="30" t="n"/>
      <c r="AJ166" s="135" t="n"/>
      <c r="AK166" s="212" t="n"/>
      <c r="AL166" s="294" t="n"/>
      <c r="AM166" s="89">
        <f>IF(OR(X166="",F166=""),"",X166-F166)</f>
        <v/>
      </c>
      <c r="AN166" s="124">
        <f>IF(OR(Y166="",G166=""),"",Y166-G166)</f>
        <v/>
      </c>
      <c r="AO166" s="124">
        <f>IF(OR(Z166="",H166=""),"",Z166-H166)</f>
        <v/>
      </c>
      <c r="AP166" s="124">
        <f>IF(OR(AA166="",I166=""),"",AA166-I166)</f>
        <v/>
      </c>
      <c r="AQ166" s="90">
        <f>IF(OR(AB166="",J166=""),"",AB166-J166)</f>
        <v/>
      </c>
      <c r="AR166" s="39" t="n"/>
      <c r="AS166" s="332" t="n"/>
      <c r="AT166" s="39" t="n"/>
    </row>
    <row r="167" ht="13.5" customHeight="1" s="279" thickBot="1">
      <c r="B167" s="295" t="n"/>
      <c r="C167" s="29" t="n"/>
      <c r="D167" s="191" t="n"/>
      <c r="E167" s="58" t="n"/>
      <c r="F167" s="194" t="n"/>
      <c r="G167" s="194" t="n"/>
      <c r="H167" s="194" t="n"/>
      <c r="I167" s="58" t="n"/>
      <c r="J167" s="58" t="n"/>
      <c r="K167" s="193" t="n"/>
      <c r="L167" s="357" t="n"/>
      <c r="M167" s="357" t="n"/>
      <c r="N167" s="58" t="n"/>
      <c r="O167" s="30" t="n"/>
      <c r="P167" s="58" t="n"/>
      <c r="Q167" s="30" t="n"/>
      <c r="R167" s="189" t="n"/>
      <c r="S167" s="301" t="n"/>
      <c r="T167" s="295" t="n"/>
      <c r="U167" s="29" t="n"/>
      <c r="V167" s="191" t="n"/>
      <c r="W167" s="58" t="n"/>
      <c r="X167" s="194" t="n"/>
      <c r="Y167" s="194" t="n"/>
      <c r="Z167" s="194" t="n"/>
      <c r="AA167" s="58" t="n"/>
      <c r="AB167" s="58" t="n"/>
      <c r="AC167" s="193" t="n"/>
      <c r="AD167" s="357" t="n"/>
      <c r="AE167" s="357" t="n"/>
      <c r="AF167" s="58" t="n"/>
      <c r="AG167" s="30" t="n"/>
      <c r="AH167" s="58" t="n"/>
      <c r="AI167" s="30" t="n"/>
      <c r="AJ167" s="189" t="n"/>
      <c r="AK167" s="212" t="n"/>
      <c r="AL167" s="295" t="n"/>
      <c r="AM167" s="125">
        <f>IF(OR(X167="",F167=""),"",X167-F167)</f>
        <v/>
      </c>
      <c r="AN167" s="126">
        <f>IF(OR(Y167="",G167=""),"",Y167-G167)</f>
        <v/>
      </c>
      <c r="AO167" s="126">
        <f>IF(OR(Z167="",H167=""),"",Z167-H167)</f>
        <v/>
      </c>
      <c r="AP167" s="126">
        <f>IF(OR(AA167="",I167=""),"",AA167-I167)</f>
        <v/>
      </c>
      <c r="AQ167" s="127">
        <f>IF(OR(AB167="",J167=""),"",AB167-J167)</f>
        <v/>
      </c>
      <c r="AR167" s="39" t="n"/>
      <c r="AS167" s="332" t="n"/>
      <c r="AT167" s="39" t="n"/>
    </row>
    <row r="168" ht="13.5" customHeight="1" s="279">
      <c r="B168" s="293" t="inlineStr">
        <is>
          <t>v27</t>
        </is>
      </c>
      <c r="C168" s="27" t="inlineStr">
        <is>
          <t>r01</t>
        </is>
      </c>
      <c r="D168" s="41" t="n"/>
      <c r="E168" s="57" t="n"/>
      <c r="F168" s="99" t="n"/>
      <c r="G168" s="99" t="n"/>
      <c r="H168" s="99" t="n"/>
      <c r="I168" s="62" t="n"/>
      <c r="J168" s="62" t="n"/>
      <c r="K168" s="63" t="n"/>
      <c r="L168" s="356" t="n"/>
      <c r="M168" s="356" t="n"/>
      <c r="N168" s="57" t="n"/>
      <c r="O168" s="28" t="n"/>
      <c r="P168" s="57" t="n"/>
      <c r="Q168" s="28" t="n"/>
      <c r="R168" s="134" t="n"/>
      <c r="S168" s="301" t="n"/>
      <c r="T168" s="293" t="inlineStr">
        <is>
          <t>v27</t>
        </is>
      </c>
      <c r="U168" s="27" t="inlineStr">
        <is>
          <t>r01</t>
        </is>
      </c>
      <c r="V168" s="41" t="n"/>
      <c r="W168" s="57" t="n"/>
      <c r="X168" s="99" t="n"/>
      <c r="Y168" s="99" t="n"/>
      <c r="Z168" s="99" t="n"/>
      <c r="AA168" s="62" t="n"/>
      <c r="AB168" s="62" t="n"/>
      <c r="AC168" s="63" t="n"/>
      <c r="AD168" s="356" t="n"/>
      <c r="AE168" s="356" t="n"/>
      <c r="AF168" s="57" t="n"/>
      <c r="AG168" s="28" t="n"/>
      <c r="AH168" s="57" t="n"/>
      <c r="AI168" s="28" t="n"/>
      <c r="AJ168" s="134" t="n"/>
      <c r="AK168" s="212" t="n"/>
      <c r="AL168" s="293" t="inlineStr">
        <is>
          <t>v27</t>
        </is>
      </c>
      <c r="AM168" s="122">
        <f>IF(OR(X168="",F168=""),"",X168-F168)</f>
        <v/>
      </c>
      <c r="AN168" s="98">
        <f>IF(OR(Y168="",G168=""),"",Y168-G168)</f>
        <v/>
      </c>
      <c r="AO168" s="98">
        <f>IF(OR(Z168="",H168=""),"",Z168-H168)</f>
        <v/>
      </c>
      <c r="AP168" s="98">
        <f>IF(OR(AA168="",I168=""),"",AA168-I168)</f>
        <v/>
      </c>
      <c r="AQ168" s="123">
        <f>IF(OR(AB168="",J168=""),"",AB168-J168)</f>
        <v/>
      </c>
      <c r="AR168" s="39" t="n"/>
      <c r="AS168" s="332" t="n"/>
      <c r="AT168" s="39" t="n"/>
    </row>
    <row r="169" ht="13.5" customHeight="1" s="279">
      <c r="B169" s="294" t="n"/>
      <c r="C169" s="29" t="inlineStr">
        <is>
          <t>r02</t>
        </is>
      </c>
      <c r="D169" s="191" t="n"/>
      <c r="E169" s="58" t="n"/>
      <c r="F169" s="192" t="n"/>
      <c r="G169" s="192" t="n"/>
      <c r="H169" s="192" t="n"/>
      <c r="I169" s="64" t="n"/>
      <c r="J169" s="64" t="n"/>
      <c r="K169" s="193" t="n"/>
      <c r="L169" s="357" t="n"/>
      <c r="M169" s="357" t="n"/>
      <c r="N169" s="58" t="n"/>
      <c r="O169" s="30" t="n"/>
      <c r="P169" s="58" t="n"/>
      <c r="Q169" s="30" t="n"/>
      <c r="R169" s="135" t="n"/>
      <c r="S169" s="301" t="n"/>
      <c r="T169" s="294" t="n"/>
      <c r="U169" s="29" t="inlineStr">
        <is>
          <t>r02</t>
        </is>
      </c>
      <c r="V169" s="191" t="n"/>
      <c r="W169" s="58" t="n"/>
      <c r="X169" s="192" t="n"/>
      <c r="Y169" s="192" t="n"/>
      <c r="Z169" s="192" t="n"/>
      <c r="AA169" s="64" t="n"/>
      <c r="AB169" s="64" t="n"/>
      <c r="AC169" s="193" t="n"/>
      <c r="AD169" s="357" t="n"/>
      <c r="AE169" s="357" t="n"/>
      <c r="AF169" s="58" t="n"/>
      <c r="AG169" s="30" t="n"/>
      <c r="AH169" s="58" t="n"/>
      <c r="AI169" s="30" t="n"/>
      <c r="AJ169" s="135" t="n"/>
      <c r="AK169" s="212" t="n"/>
      <c r="AL169" s="294" t="n"/>
      <c r="AM169" s="89">
        <f>IF(OR(X169="",F169=""),"",X169-F169)</f>
        <v/>
      </c>
      <c r="AN169" s="124">
        <f>IF(OR(Y169="",G169=""),"",Y169-G169)</f>
        <v/>
      </c>
      <c r="AO169" s="124">
        <f>IF(OR(Z169="",H169=""),"",Z169-H169)</f>
        <v/>
      </c>
      <c r="AP169" s="124">
        <f>IF(OR(AA169="",I169=""),"",AA169-I169)</f>
        <v/>
      </c>
      <c r="AQ169" s="90">
        <f>IF(OR(AB169="",J169=""),"",AB169-J169)</f>
        <v/>
      </c>
      <c r="AR169" s="39" t="n"/>
      <c r="AS169" s="332" t="n"/>
      <c r="AT169" s="39" t="n"/>
    </row>
    <row r="170" ht="13.5" customHeight="1" s="279">
      <c r="B170" s="294" t="n"/>
      <c r="C170" s="29" t="inlineStr">
        <is>
          <t>r03</t>
        </is>
      </c>
      <c r="D170" s="191" t="n"/>
      <c r="E170" s="58" t="n"/>
      <c r="F170" s="192" t="n"/>
      <c r="G170" s="192" t="n"/>
      <c r="H170" s="192" t="n"/>
      <c r="I170" s="64" t="n"/>
      <c r="J170" s="64" t="n"/>
      <c r="K170" s="193" t="n"/>
      <c r="L170" s="357" t="n"/>
      <c r="M170" s="357" t="n"/>
      <c r="N170" s="58" t="n"/>
      <c r="O170" s="30" t="n"/>
      <c r="P170" s="58" t="n"/>
      <c r="Q170" s="30" t="n"/>
      <c r="R170" s="135" t="n"/>
      <c r="S170" s="301" t="n"/>
      <c r="T170" s="294" t="n"/>
      <c r="U170" s="29" t="inlineStr">
        <is>
          <t>r03</t>
        </is>
      </c>
      <c r="V170" s="191" t="n"/>
      <c r="W170" s="58" t="n"/>
      <c r="X170" s="192" t="n"/>
      <c r="Y170" s="192" t="n"/>
      <c r="Z170" s="192" t="n"/>
      <c r="AA170" s="64" t="n"/>
      <c r="AB170" s="64" t="n"/>
      <c r="AC170" s="193" t="n"/>
      <c r="AD170" s="357" t="n"/>
      <c r="AE170" s="357" t="n"/>
      <c r="AF170" s="58" t="n"/>
      <c r="AG170" s="30" t="n"/>
      <c r="AH170" s="58" t="n"/>
      <c r="AI170" s="30" t="n"/>
      <c r="AJ170" s="135" t="n"/>
      <c r="AK170" s="212" t="n"/>
      <c r="AL170" s="294" t="n"/>
      <c r="AM170" s="89">
        <f>IF(OR(X170="",F170=""),"",X170-F170)</f>
        <v/>
      </c>
      <c r="AN170" s="124">
        <f>IF(OR(Y170="",G170=""),"",Y170-G170)</f>
        <v/>
      </c>
      <c r="AO170" s="124">
        <f>IF(OR(Z170="",H170=""),"",Z170-H170)</f>
        <v/>
      </c>
      <c r="AP170" s="124">
        <f>IF(OR(AA170="",I170=""),"",AA170-I170)</f>
        <v/>
      </c>
      <c r="AQ170" s="90">
        <f>IF(OR(AB170="",J170=""),"",AB170-J170)</f>
        <v/>
      </c>
      <c r="AR170" s="39" t="n"/>
      <c r="AS170" s="332" t="n"/>
      <c r="AT170" s="39" t="n"/>
    </row>
    <row r="171" ht="13.5" customHeight="1" s="279">
      <c r="B171" s="294" t="n"/>
      <c r="C171" s="29" t="inlineStr">
        <is>
          <t>r04</t>
        </is>
      </c>
      <c r="D171" s="191" t="n"/>
      <c r="E171" s="58" t="n"/>
      <c r="F171" s="192" t="n"/>
      <c r="G171" s="192" t="n"/>
      <c r="H171" s="192" t="n"/>
      <c r="I171" s="64" t="n"/>
      <c r="J171" s="64" t="n"/>
      <c r="K171" s="193" t="n"/>
      <c r="L171" s="357" t="n"/>
      <c r="M171" s="357" t="n"/>
      <c r="N171" s="58" t="n"/>
      <c r="O171" s="30" t="n"/>
      <c r="P171" s="58" t="n"/>
      <c r="Q171" s="30" t="n"/>
      <c r="R171" s="135" t="n"/>
      <c r="S171" s="301" t="n"/>
      <c r="T171" s="294" t="n"/>
      <c r="U171" s="29" t="inlineStr">
        <is>
          <t>r04</t>
        </is>
      </c>
      <c r="V171" s="191" t="n"/>
      <c r="W171" s="58" t="n"/>
      <c r="X171" s="192" t="n"/>
      <c r="Y171" s="192" t="n"/>
      <c r="Z171" s="192" t="n"/>
      <c r="AA171" s="64" t="n"/>
      <c r="AB171" s="64" t="n"/>
      <c r="AC171" s="193" t="n"/>
      <c r="AD171" s="357" t="n"/>
      <c r="AE171" s="357" t="n"/>
      <c r="AF171" s="58" t="n"/>
      <c r="AG171" s="30" t="n"/>
      <c r="AH171" s="58" t="n"/>
      <c r="AI171" s="30" t="n"/>
      <c r="AJ171" s="135" t="n"/>
      <c r="AK171" s="212" t="n"/>
      <c r="AL171" s="294" t="n"/>
      <c r="AM171" s="89">
        <f>IF(OR(X171="",F171=""),"",X171-F171)</f>
        <v/>
      </c>
      <c r="AN171" s="124">
        <f>IF(OR(Y171="",G171=""),"",Y171-G171)</f>
        <v/>
      </c>
      <c r="AO171" s="124">
        <f>IF(OR(Z171="",H171=""),"",Z171-H171)</f>
        <v/>
      </c>
      <c r="AP171" s="124">
        <f>IF(OR(AA171="",I171=""),"",AA171-I171)</f>
        <v/>
      </c>
      <c r="AQ171" s="90">
        <f>IF(OR(AB171="",J171=""),"",AB171-J171)</f>
        <v/>
      </c>
      <c r="AR171" s="39" t="n"/>
      <c r="AS171" s="332" t="n"/>
      <c r="AT171" s="39" t="n"/>
    </row>
    <row r="172" ht="13.5" customHeight="1" s="279" thickBot="1">
      <c r="B172" s="295" t="n"/>
      <c r="C172" s="29" t="n"/>
      <c r="D172" s="191" t="n"/>
      <c r="E172" s="58" t="n"/>
      <c r="F172" s="194" t="n"/>
      <c r="G172" s="194" t="n"/>
      <c r="H172" s="194" t="n"/>
      <c r="I172" s="58" t="n"/>
      <c r="J172" s="58" t="n"/>
      <c r="K172" s="193" t="n"/>
      <c r="L172" s="357" t="n"/>
      <c r="M172" s="357" t="n"/>
      <c r="N172" s="58" t="n"/>
      <c r="O172" s="30" t="n"/>
      <c r="P172" s="58" t="n"/>
      <c r="Q172" s="30" t="n"/>
      <c r="R172" s="189" t="n"/>
      <c r="S172" s="301" t="n"/>
      <c r="T172" s="295" t="n"/>
      <c r="U172" s="29" t="n"/>
      <c r="V172" s="191" t="n"/>
      <c r="W172" s="58" t="n"/>
      <c r="X172" s="194" t="n"/>
      <c r="Y172" s="194" t="n"/>
      <c r="Z172" s="194" t="n"/>
      <c r="AA172" s="58" t="n"/>
      <c r="AB172" s="58" t="n"/>
      <c r="AC172" s="193" t="n"/>
      <c r="AD172" s="357" t="n"/>
      <c r="AE172" s="357" t="n"/>
      <c r="AF172" s="58" t="n"/>
      <c r="AG172" s="30" t="n"/>
      <c r="AH172" s="58" t="n"/>
      <c r="AI172" s="30" t="n"/>
      <c r="AJ172" s="189" t="n"/>
      <c r="AK172" s="212" t="n"/>
      <c r="AL172" s="295" t="n"/>
      <c r="AM172" s="125">
        <f>IF(OR(X172="",F172=""),"",X172-F172)</f>
        <v/>
      </c>
      <c r="AN172" s="126">
        <f>IF(OR(Y172="",G172=""),"",Y172-G172)</f>
        <v/>
      </c>
      <c r="AO172" s="126">
        <f>IF(OR(Z172="",H172=""),"",Z172-H172)</f>
        <v/>
      </c>
      <c r="AP172" s="126">
        <f>IF(OR(AA172="",I172=""),"",AA172-I172)</f>
        <v/>
      </c>
      <c r="AQ172" s="127">
        <f>IF(OR(AB172="",J172=""),"",AB172-J172)</f>
        <v/>
      </c>
      <c r="AR172" s="39" t="n"/>
      <c r="AS172" s="332" t="n"/>
      <c r="AT172" s="39" t="n"/>
    </row>
    <row r="173" ht="13.5" customHeight="1" s="279">
      <c r="B173" s="293" t="inlineStr">
        <is>
          <t>v28</t>
        </is>
      </c>
      <c r="C173" s="27" t="inlineStr">
        <is>
          <t>r01</t>
        </is>
      </c>
      <c r="D173" s="41" t="n"/>
      <c r="E173" s="57" t="n"/>
      <c r="F173" s="99" t="n"/>
      <c r="G173" s="99" t="n"/>
      <c r="H173" s="99" t="n"/>
      <c r="I173" s="62" t="n"/>
      <c r="J173" s="62" t="n"/>
      <c r="K173" s="63" t="n"/>
      <c r="L173" s="356" t="n"/>
      <c r="M173" s="356" t="n"/>
      <c r="N173" s="57" t="n"/>
      <c r="O173" s="28" t="n"/>
      <c r="P173" s="57" t="n"/>
      <c r="Q173" s="28" t="n"/>
      <c r="R173" s="134" t="n"/>
      <c r="S173" s="301" t="n"/>
      <c r="T173" s="293" t="inlineStr">
        <is>
          <t>v28</t>
        </is>
      </c>
      <c r="U173" s="27" t="inlineStr">
        <is>
          <t>r01</t>
        </is>
      </c>
      <c r="V173" s="41" t="n"/>
      <c r="W173" s="57" t="n"/>
      <c r="X173" s="99" t="n"/>
      <c r="Y173" s="99" t="n"/>
      <c r="Z173" s="99" t="n"/>
      <c r="AA173" s="62" t="n"/>
      <c r="AB173" s="62" t="n"/>
      <c r="AC173" s="63" t="n"/>
      <c r="AD173" s="356" t="n"/>
      <c r="AE173" s="356" t="n"/>
      <c r="AF173" s="57" t="n"/>
      <c r="AG173" s="28" t="n"/>
      <c r="AH173" s="57" t="n"/>
      <c r="AI173" s="28" t="n"/>
      <c r="AJ173" s="134" t="n"/>
      <c r="AK173" s="212" t="n"/>
      <c r="AL173" s="293" t="inlineStr">
        <is>
          <t>v28</t>
        </is>
      </c>
      <c r="AM173" s="122">
        <f>IF(OR(X173="",F173=""),"",X173-F173)</f>
        <v/>
      </c>
      <c r="AN173" s="98">
        <f>IF(OR(Y173="",G173=""),"",Y173-G173)</f>
        <v/>
      </c>
      <c r="AO173" s="98">
        <f>IF(OR(Z173="",H173=""),"",Z173-H173)</f>
        <v/>
      </c>
      <c r="AP173" s="98">
        <f>IF(OR(AA173="",I173=""),"",AA173-I173)</f>
        <v/>
      </c>
      <c r="AQ173" s="123">
        <f>IF(OR(AB173="",J173=""),"",AB173-J173)</f>
        <v/>
      </c>
      <c r="AR173" s="39" t="n"/>
      <c r="AS173" s="332" t="n"/>
      <c r="AT173" s="39" t="n"/>
    </row>
    <row r="174" ht="13.5" customHeight="1" s="279">
      <c r="B174" s="294" t="n"/>
      <c r="C174" s="29" t="inlineStr">
        <is>
          <t>r02</t>
        </is>
      </c>
      <c r="D174" s="191" t="n"/>
      <c r="E174" s="58" t="n"/>
      <c r="F174" s="192" t="n"/>
      <c r="G174" s="192" t="n"/>
      <c r="H174" s="192" t="n"/>
      <c r="I174" s="64" t="n"/>
      <c r="J174" s="64" t="n"/>
      <c r="K174" s="193" t="n"/>
      <c r="L174" s="357" t="n"/>
      <c r="M174" s="357" t="n"/>
      <c r="N174" s="58" t="n"/>
      <c r="O174" s="30" t="n"/>
      <c r="P174" s="58" t="n"/>
      <c r="Q174" s="30" t="n"/>
      <c r="R174" s="135" t="n"/>
      <c r="S174" s="301" t="n"/>
      <c r="T174" s="294" t="n"/>
      <c r="U174" s="29" t="inlineStr">
        <is>
          <t>r02</t>
        </is>
      </c>
      <c r="V174" s="191" t="n"/>
      <c r="W174" s="58" t="n"/>
      <c r="X174" s="192" t="n"/>
      <c r="Y174" s="192" t="n"/>
      <c r="Z174" s="192" t="n"/>
      <c r="AA174" s="64" t="n"/>
      <c r="AB174" s="64" t="n"/>
      <c r="AC174" s="193" t="n"/>
      <c r="AD174" s="357" t="n"/>
      <c r="AE174" s="357" t="n"/>
      <c r="AF174" s="58" t="n"/>
      <c r="AG174" s="30" t="n"/>
      <c r="AH174" s="58" t="n"/>
      <c r="AI174" s="30" t="n"/>
      <c r="AJ174" s="135" t="n"/>
      <c r="AK174" s="212" t="n"/>
      <c r="AL174" s="294" t="n"/>
      <c r="AM174" s="89">
        <f>IF(OR(X174="",F174=""),"",X174-F174)</f>
        <v/>
      </c>
      <c r="AN174" s="124">
        <f>IF(OR(Y174="",G174=""),"",Y174-G174)</f>
        <v/>
      </c>
      <c r="AO174" s="124">
        <f>IF(OR(Z174="",H174=""),"",Z174-H174)</f>
        <v/>
      </c>
      <c r="AP174" s="124">
        <f>IF(OR(AA174="",I174=""),"",AA174-I174)</f>
        <v/>
      </c>
      <c r="AQ174" s="90">
        <f>IF(OR(AB174="",J174=""),"",AB174-J174)</f>
        <v/>
      </c>
      <c r="AR174" s="39" t="n"/>
      <c r="AS174" s="332" t="n"/>
      <c r="AT174" s="39" t="n"/>
    </row>
    <row r="175" ht="13.5" customHeight="1" s="279">
      <c r="B175" s="294" t="n"/>
      <c r="C175" s="29" t="inlineStr">
        <is>
          <t>r03</t>
        </is>
      </c>
      <c r="D175" s="191" t="n"/>
      <c r="E175" s="58" t="n"/>
      <c r="F175" s="192" t="n"/>
      <c r="G175" s="192" t="n"/>
      <c r="H175" s="192" t="n"/>
      <c r="I175" s="64" t="n"/>
      <c r="J175" s="64" t="n"/>
      <c r="K175" s="193" t="n"/>
      <c r="L175" s="357" t="n"/>
      <c r="M175" s="357" t="n"/>
      <c r="N175" s="58" t="n"/>
      <c r="O175" s="30" t="n"/>
      <c r="P175" s="58" t="n"/>
      <c r="Q175" s="30" t="n"/>
      <c r="R175" s="135" t="n"/>
      <c r="S175" s="301" t="n"/>
      <c r="T175" s="294" t="n"/>
      <c r="U175" s="29" t="inlineStr">
        <is>
          <t>r03</t>
        </is>
      </c>
      <c r="V175" s="191" t="n"/>
      <c r="W175" s="58" t="n"/>
      <c r="X175" s="192" t="n"/>
      <c r="Y175" s="192" t="n"/>
      <c r="Z175" s="192" t="n"/>
      <c r="AA175" s="64" t="n"/>
      <c r="AB175" s="64" t="n"/>
      <c r="AC175" s="193" t="n"/>
      <c r="AD175" s="357" t="n"/>
      <c r="AE175" s="357" t="n"/>
      <c r="AF175" s="58" t="n"/>
      <c r="AG175" s="30" t="n"/>
      <c r="AH175" s="58" t="n"/>
      <c r="AI175" s="30" t="n"/>
      <c r="AJ175" s="135" t="n"/>
      <c r="AK175" s="212" t="n"/>
      <c r="AL175" s="294" t="n"/>
      <c r="AM175" s="89">
        <f>IF(OR(X175="",F175=""),"",X175-F175)</f>
        <v/>
      </c>
      <c r="AN175" s="124">
        <f>IF(OR(Y175="",G175=""),"",Y175-G175)</f>
        <v/>
      </c>
      <c r="AO175" s="124">
        <f>IF(OR(Z175="",H175=""),"",Z175-H175)</f>
        <v/>
      </c>
      <c r="AP175" s="124">
        <f>IF(OR(AA175="",I175=""),"",AA175-I175)</f>
        <v/>
      </c>
      <c r="AQ175" s="90">
        <f>IF(OR(AB175="",J175=""),"",AB175-J175)</f>
        <v/>
      </c>
      <c r="AR175" s="39" t="n"/>
      <c r="AS175" s="332" t="n"/>
      <c r="AT175" s="39" t="n"/>
    </row>
    <row r="176" ht="13.5" customHeight="1" s="279">
      <c r="B176" s="294" t="n"/>
      <c r="C176" s="29" t="inlineStr">
        <is>
          <t>r04</t>
        </is>
      </c>
      <c r="D176" s="191" t="n"/>
      <c r="E176" s="58" t="n"/>
      <c r="F176" s="192" t="n"/>
      <c r="G176" s="192" t="n"/>
      <c r="H176" s="192" t="n"/>
      <c r="I176" s="64" t="n"/>
      <c r="J176" s="64" t="n"/>
      <c r="K176" s="193" t="n"/>
      <c r="L176" s="357" t="n"/>
      <c r="M176" s="357" t="n"/>
      <c r="N176" s="58" t="n"/>
      <c r="O176" s="30" t="n"/>
      <c r="P176" s="58" t="n"/>
      <c r="Q176" s="30" t="n"/>
      <c r="R176" s="135" t="n"/>
      <c r="S176" s="301" t="n"/>
      <c r="T176" s="294" t="n"/>
      <c r="U176" s="29" t="inlineStr">
        <is>
          <t>r04</t>
        </is>
      </c>
      <c r="V176" s="191" t="n"/>
      <c r="W176" s="58" t="n"/>
      <c r="X176" s="192" t="n"/>
      <c r="Y176" s="192" t="n"/>
      <c r="Z176" s="192" t="n"/>
      <c r="AA176" s="64" t="n"/>
      <c r="AB176" s="64" t="n"/>
      <c r="AC176" s="193" t="n"/>
      <c r="AD176" s="357" t="n"/>
      <c r="AE176" s="357" t="n"/>
      <c r="AF176" s="58" t="n"/>
      <c r="AG176" s="30" t="n"/>
      <c r="AH176" s="58" t="n"/>
      <c r="AI176" s="30" t="n"/>
      <c r="AJ176" s="135" t="n"/>
      <c r="AK176" s="212" t="n"/>
      <c r="AL176" s="294" t="n"/>
      <c r="AM176" s="89">
        <f>IF(OR(X176="",F176=""),"",X176-F176)</f>
        <v/>
      </c>
      <c r="AN176" s="124">
        <f>IF(OR(Y176="",G176=""),"",Y176-G176)</f>
        <v/>
      </c>
      <c r="AO176" s="124">
        <f>IF(OR(Z176="",H176=""),"",Z176-H176)</f>
        <v/>
      </c>
      <c r="AP176" s="124">
        <f>IF(OR(AA176="",I176=""),"",AA176-I176)</f>
        <v/>
      </c>
      <c r="AQ176" s="90">
        <f>IF(OR(AB176="",J176=""),"",AB176-J176)</f>
        <v/>
      </c>
      <c r="AR176" s="39" t="n"/>
      <c r="AS176" s="332" t="n"/>
      <c r="AT176" s="39" t="n"/>
    </row>
    <row r="177" ht="13.5" customHeight="1" s="279" thickBot="1">
      <c r="B177" s="295" t="n"/>
      <c r="C177" s="29" t="n"/>
      <c r="D177" s="191" t="n"/>
      <c r="E177" s="58" t="n"/>
      <c r="F177" s="194" t="n"/>
      <c r="G177" s="194" t="n"/>
      <c r="H177" s="194" t="n"/>
      <c r="I177" s="58" t="n"/>
      <c r="J177" s="58" t="n"/>
      <c r="K177" s="193" t="n"/>
      <c r="L177" s="357" t="n"/>
      <c r="M177" s="357" t="n"/>
      <c r="N177" s="58" t="n"/>
      <c r="O177" s="30" t="n"/>
      <c r="P177" s="58" t="n"/>
      <c r="Q177" s="30" t="n"/>
      <c r="R177" s="189" t="n"/>
      <c r="S177" s="301" t="n"/>
      <c r="T177" s="295" t="n"/>
      <c r="U177" s="29" t="n"/>
      <c r="V177" s="191" t="n"/>
      <c r="W177" s="58" t="n"/>
      <c r="X177" s="194" t="n"/>
      <c r="Y177" s="194" t="n"/>
      <c r="Z177" s="194" t="n"/>
      <c r="AA177" s="58" t="n"/>
      <c r="AB177" s="58" t="n"/>
      <c r="AC177" s="193" t="n"/>
      <c r="AD177" s="357" t="n"/>
      <c r="AE177" s="357" t="n"/>
      <c r="AF177" s="58" t="n"/>
      <c r="AG177" s="30" t="n"/>
      <c r="AH177" s="58" t="n"/>
      <c r="AI177" s="30" t="n"/>
      <c r="AJ177" s="189" t="n"/>
      <c r="AK177" s="212" t="n"/>
      <c r="AL177" s="295" t="n"/>
      <c r="AM177" s="125">
        <f>IF(OR(X177="",F177=""),"",X177-F177)</f>
        <v/>
      </c>
      <c r="AN177" s="126">
        <f>IF(OR(Y177="",G177=""),"",Y177-G177)</f>
        <v/>
      </c>
      <c r="AO177" s="126">
        <f>IF(OR(Z177="",H177=""),"",Z177-H177)</f>
        <v/>
      </c>
      <c r="AP177" s="126">
        <f>IF(OR(AA177="",I177=""),"",AA177-I177)</f>
        <v/>
      </c>
      <c r="AQ177" s="127">
        <f>IF(OR(AB177="",J177=""),"",AB177-J177)</f>
        <v/>
      </c>
      <c r="AR177" s="39" t="n"/>
      <c r="AS177" s="332" t="n"/>
      <c r="AT177" s="39" t="n"/>
    </row>
    <row r="178" ht="13.5" customHeight="1" s="279">
      <c r="B178" s="293" t="inlineStr">
        <is>
          <t>v29</t>
        </is>
      </c>
      <c r="C178" s="27" t="inlineStr">
        <is>
          <t>r01</t>
        </is>
      </c>
      <c r="D178" s="41" t="n"/>
      <c r="E178" s="57" t="n"/>
      <c r="F178" s="99" t="n"/>
      <c r="G178" s="99" t="n"/>
      <c r="H178" s="99" t="n"/>
      <c r="I178" s="62" t="n"/>
      <c r="J178" s="62" t="n"/>
      <c r="K178" s="63" t="n"/>
      <c r="L178" s="356" t="n"/>
      <c r="M178" s="356" t="n"/>
      <c r="N178" s="57" t="n"/>
      <c r="O178" s="28" t="n"/>
      <c r="P178" s="57" t="n"/>
      <c r="Q178" s="28" t="n"/>
      <c r="R178" s="134" t="n"/>
      <c r="S178" s="301" t="n"/>
      <c r="T178" s="293" t="inlineStr">
        <is>
          <t>v29</t>
        </is>
      </c>
      <c r="U178" s="27" t="inlineStr">
        <is>
          <t>r01</t>
        </is>
      </c>
      <c r="V178" s="41" t="n"/>
      <c r="W178" s="57" t="n"/>
      <c r="X178" s="99" t="n"/>
      <c r="Y178" s="99" t="n"/>
      <c r="Z178" s="99" t="n"/>
      <c r="AA178" s="62" t="n"/>
      <c r="AB178" s="62" t="n"/>
      <c r="AC178" s="63" t="n"/>
      <c r="AD178" s="356" t="n"/>
      <c r="AE178" s="356" t="n"/>
      <c r="AF178" s="57" t="n"/>
      <c r="AG178" s="28" t="n"/>
      <c r="AH178" s="57" t="n"/>
      <c r="AI178" s="28" t="n"/>
      <c r="AJ178" s="134" t="n"/>
      <c r="AK178" s="212" t="n"/>
      <c r="AL178" s="293" t="inlineStr">
        <is>
          <t>v29</t>
        </is>
      </c>
      <c r="AM178" s="122">
        <f>IF(OR(X178="",F178=""),"",X178-F178)</f>
        <v/>
      </c>
      <c r="AN178" s="98">
        <f>IF(OR(Y178="",G178=""),"",Y178-G178)</f>
        <v/>
      </c>
      <c r="AO178" s="98">
        <f>IF(OR(Z178="",H178=""),"",Z178-H178)</f>
        <v/>
      </c>
      <c r="AP178" s="98">
        <f>IF(OR(AA178="",I178=""),"",AA178-I178)</f>
        <v/>
      </c>
      <c r="AQ178" s="123">
        <f>IF(OR(AB178="",J178=""),"",AB178-J178)</f>
        <v/>
      </c>
      <c r="AR178" s="39" t="n"/>
      <c r="AS178" s="332" t="n"/>
      <c r="AT178" s="39" t="n"/>
    </row>
    <row r="179" ht="13.5" customHeight="1" s="279">
      <c r="B179" s="294" t="n"/>
      <c r="C179" s="29" t="inlineStr">
        <is>
          <t>r02</t>
        </is>
      </c>
      <c r="D179" s="191" t="n"/>
      <c r="E179" s="58" t="n"/>
      <c r="F179" s="192" t="n"/>
      <c r="G179" s="192" t="n"/>
      <c r="H179" s="192" t="n"/>
      <c r="I179" s="64" t="n"/>
      <c r="J179" s="64" t="n"/>
      <c r="K179" s="193" t="n"/>
      <c r="L179" s="357" t="n"/>
      <c r="M179" s="357" t="n"/>
      <c r="N179" s="58" t="n"/>
      <c r="O179" s="30" t="n"/>
      <c r="P179" s="58" t="n"/>
      <c r="Q179" s="30" t="n"/>
      <c r="R179" s="135" t="n"/>
      <c r="S179" s="301" t="n"/>
      <c r="T179" s="294" t="n"/>
      <c r="U179" s="29" t="inlineStr">
        <is>
          <t>r02</t>
        </is>
      </c>
      <c r="V179" s="191" t="n"/>
      <c r="W179" s="58" t="n"/>
      <c r="X179" s="192" t="n"/>
      <c r="Y179" s="192" t="n"/>
      <c r="Z179" s="192" t="n"/>
      <c r="AA179" s="64" t="n"/>
      <c r="AB179" s="64" t="n"/>
      <c r="AC179" s="193" t="n"/>
      <c r="AD179" s="357" t="n"/>
      <c r="AE179" s="357" t="n"/>
      <c r="AF179" s="58" t="n"/>
      <c r="AG179" s="30" t="n"/>
      <c r="AH179" s="58" t="n"/>
      <c r="AI179" s="30" t="n"/>
      <c r="AJ179" s="135" t="n"/>
      <c r="AK179" s="212" t="n"/>
      <c r="AL179" s="294" t="n"/>
      <c r="AM179" s="89">
        <f>IF(OR(X179="",F179=""),"",X179-F179)</f>
        <v/>
      </c>
      <c r="AN179" s="124">
        <f>IF(OR(Y179="",G179=""),"",Y179-G179)</f>
        <v/>
      </c>
      <c r="AO179" s="124">
        <f>IF(OR(Z179="",H179=""),"",Z179-H179)</f>
        <v/>
      </c>
      <c r="AP179" s="124">
        <f>IF(OR(AA179="",I179=""),"",AA179-I179)</f>
        <v/>
      </c>
      <c r="AQ179" s="90">
        <f>IF(OR(AB179="",J179=""),"",AB179-J179)</f>
        <v/>
      </c>
      <c r="AR179" s="39" t="n"/>
      <c r="AS179" s="332" t="n"/>
      <c r="AT179" s="39" t="n"/>
    </row>
    <row r="180" ht="13.5" customHeight="1" s="279">
      <c r="B180" s="294" t="n"/>
      <c r="C180" s="29" t="inlineStr">
        <is>
          <t>r03</t>
        </is>
      </c>
      <c r="D180" s="191" t="n"/>
      <c r="E180" s="58" t="n"/>
      <c r="F180" s="192" t="n"/>
      <c r="G180" s="192" t="n"/>
      <c r="H180" s="192" t="n"/>
      <c r="I180" s="64" t="n"/>
      <c r="J180" s="64" t="n"/>
      <c r="K180" s="193" t="n"/>
      <c r="L180" s="357" t="n"/>
      <c r="M180" s="357" t="n"/>
      <c r="N180" s="58" t="n"/>
      <c r="O180" s="30" t="n"/>
      <c r="P180" s="58" t="n"/>
      <c r="Q180" s="30" t="n"/>
      <c r="R180" s="135" t="n"/>
      <c r="S180" s="301" t="n"/>
      <c r="T180" s="294" t="n"/>
      <c r="U180" s="29" t="inlineStr">
        <is>
          <t>r03</t>
        </is>
      </c>
      <c r="V180" s="191" t="n"/>
      <c r="W180" s="58" t="n"/>
      <c r="X180" s="192" t="n"/>
      <c r="Y180" s="192" t="n"/>
      <c r="Z180" s="192" t="n"/>
      <c r="AA180" s="64" t="n"/>
      <c r="AB180" s="64" t="n"/>
      <c r="AC180" s="193" t="n"/>
      <c r="AD180" s="357" t="n"/>
      <c r="AE180" s="357" t="n"/>
      <c r="AF180" s="58" t="n"/>
      <c r="AG180" s="30" t="n"/>
      <c r="AH180" s="58" t="n"/>
      <c r="AI180" s="30" t="n"/>
      <c r="AJ180" s="135" t="n"/>
      <c r="AK180" s="212" t="n"/>
      <c r="AL180" s="294" t="n"/>
      <c r="AM180" s="89">
        <f>IF(OR(X180="",F180=""),"",X180-F180)</f>
        <v/>
      </c>
      <c r="AN180" s="124">
        <f>IF(OR(Y180="",G180=""),"",Y180-G180)</f>
        <v/>
      </c>
      <c r="AO180" s="124">
        <f>IF(OR(Z180="",H180=""),"",Z180-H180)</f>
        <v/>
      </c>
      <c r="AP180" s="124">
        <f>IF(OR(AA180="",I180=""),"",AA180-I180)</f>
        <v/>
      </c>
      <c r="AQ180" s="90">
        <f>IF(OR(AB180="",J180=""),"",AB180-J180)</f>
        <v/>
      </c>
      <c r="AR180" s="39" t="n"/>
      <c r="AS180" s="332" t="n"/>
      <c r="AT180" s="39" t="n"/>
    </row>
    <row r="181" ht="13.5" customHeight="1" s="279">
      <c r="B181" s="294" t="n"/>
      <c r="C181" s="29" t="inlineStr">
        <is>
          <t>r04</t>
        </is>
      </c>
      <c r="D181" s="191" t="n"/>
      <c r="E181" s="58" t="n"/>
      <c r="F181" s="192" t="n"/>
      <c r="G181" s="192" t="n"/>
      <c r="H181" s="192" t="n"/>
      <c r="I181" s="64" t="n"/>
      <c r="J181" s="64" t="n"/>
      <c r="K181" s="193" t="n"/>
      <c r="L181" s="357" t="n"/>
      <c r="M181" s="357" t="n"/>
      <c r="N181" s="58" t="n"/>
      <c r="O181" s="30" t="n"/>
      <c r="P181" s="58" t="n"/>
      <c r="Q181" s="30" t="n"/>
      <c r="R181" s="135" t="n"/>
      <c r="S181" s="301" t="n"/>
      <c r="T181" s="294" t="n"/>
      <c r="U181" s="29" t="inlineStr">
        <is>
          <t>r04</t>
        </is>
      </c>
      <c r="V181" s="191" t="n"/>
      <c r="W181" s="58" t="n"/>
      <c r="X181" s="192" t="n"/>
      <c r="Y181" s="192" t="n"/>
      <c r="Z181" s="192" t="n"/>
      <c r="AA181" s="64" t="n"/>
      <c r="AB181" s="64" t="n"/>
      <c r="AC181" s="193" t="n"/>
      <c r="AD181" s="357" t="n"/>
      <c r="AE181" s="357" t="n"/>
      <c r="AF181" s="58" t="n"/>
      <c r="AG181" s="30" t="n"/>
      <c r="AH181" s="58" t="n"/>
      <c r="AI181" s="30" t="n"/>
      <c r="AJ181" s="135" t="n"/>
      <c r="AK181" s="212" t="n"/>
      <c r="AL181" s="294" t="n"/>
      <c r="AM181" s="89">
        <f>IF(OR(X181="",F181=""),"",X181-F181)</f>
        <v/>
      </c>
      <c r="AN181" s="124">
        <f>IF(OR(Y181="",G181=""),"",Y181-G181)</f>
        <v/>
      </c>
      <c r="AO181" s="124">
        <f>IF(OR(Z181="",H181=""),"",Z181-H181)</f>
        <v/>
      </c>
      <c r="AP181" s="124">
        <f>IF(OR(AA181="",I181=""),"",AA181-I181)</f>
        <v/>
      </c>
      <c r="AQ181" s="90">
        <f>IF(OR(AB181="",J181=""),"",AB181-J181)</f>
        <v/>
      </c>
      <c r="AR181" s="39" t="n"/>
      <c r="AS181" s="332" t="n"/>
      <c r="AT181" s="39" t="n"/>
    </row>
    <row r="182" ht="13.5" customHeight="1" s="279" thickBot="1">
      <c r="B182" s="295" t="n"/>
      <c r="C182" s="29" t="n"/>
      <c r="D182" s="191" t="n"/>
      <c r="E182" s="58" t="n"/>
      <c r="F182" s="194" t="n"/>
      <c r="G182" s="194" t="n"/>
      <c r="H182" s="194" t="n"/>
      <c r="I182" s="58" t="n"/>
      <c r="J182" s="58" t="n"/>
      <c r="K182" s="193" t="n"/>
      <c r="L182" s="357" t="n"/>
      <c r="M182" s="357" t="n"/>
      <c r="N182" s="58" t="n"/>
      <c r="O182" s="30" t="n"/>
      <c r="P182" s="58" t="n"/>
      <c r="Q182" s="30" t="n"/>
      <c r="R182" s="189" t="n"/>
      <c r="S182" s="301" t="n"/>
      <c r="T182" s="295" t="n"/>
      <c r="U182" s="29" t="n"/>
      <c r="V182" s="191" t="n"/>
      <c r="W182" s="58" t="n"/>
      <c r="X182" s="194" t="n"/>
      <c r="Y182" s="194" t="n"/>
      <c r="Z182" s="194" t="n"/>
      <c r="AA182" s="58" t="n"/>
      <c r="AB182" s="58" t="n"/>
      <c r="AC182" s="193" t="n"/>
      <c r="AD182" s="357" t="n"/>
      <c r="AE182" s="357" t="n"/>
      <c r="AF182" s="58" t="n"/>
      <c r="AG182" s="30" t="n"/>
      <c r="AH182" s="58" t="n"/>
      <c r="AI182" s="30" t="n"/>
      <c r="AJ182" s="189" t="n"/>
      <c r="AK182" s="212" t="n"/>
      <c r="AL182" s="295" t="n"/>
      <c r="AM182" s="125">
        <f>IF(OR(X182="",F182=""),"",X182-F182)</f>
        <v/>
      </c>
      <c r="AN182" s="126">
        <f>IF(OR(Y182="",G182=""),"",Y182-G182)</f>
        <v/>
      </c>
      <c r="AO182" s="126">
        <f>IF(OR(Z182="",H182=""),"",Z182-H182)</f>
        <v/>
      </c>
      <c r="AP182" s="126">
        <f>IF(OR(AA182="",I182=""),"",AA182-I182)</f>
        <v/>
      </c>
      <c r="AQ182" s="127">
        <f>IF(OR(AB182="",J182=""),"",AB182-J182)</f>
        <v/>
      </c>
      <c r="AR182" s="39" t="n"/>
      <c r="AS182" s="332" t="n"/>
      <c r="AT182" s="39" t="n"/>
    </row>
    <row r="183" ht="13.5" customHeight="1" s="279">
      <c r="B183" s="293" t="inlineStr">
        <is>
          <t>v30</t>
        </is>
      </c>
      <c r="C183" s="27" t="inlineStr">
        <is>
          <t>r01</t>
        </is>
      </c>
      <c r="D183" s="41" t="n"/>
      <c r="E183" s="57" t="n"/>
      <c r="F183" s="99" t="n"/>
      <c r="G183" s="99" t="n"/>
      <c r="H183" s="99" t="n"/>
      <c r="I183" s="62" t="n"/>
      <c r="J183" s="62" t="n"/>
      <c r="K183" s="63" t="n"/>
      <c r="L183" s="356" t="n"/>
      <c r="M183" s="356" t="n"/>
      <c r="N183" s="57" t="n"/>
      <c r="O183" s="28" t="n"/>
      <c r="P183" s="57" t="n"/>
      <c r="Q183" s="28" t="n"/>
      <c r="R183" s="134" t="n"/>
      <c r="S183" s="301" t="n"/>
      <c r="T183" s="293" t="inlineStr">
        <is>
          <t>v30</t>
        </is>
      </c>
      <c r="U183" s="27" t="inlineStr">
        <is>
          <t>r01</t>
        </is>
      </c>
      <c r="V183" s="41" t="n"/>
      <c r="W183" s="57" t="n"/>
      <c r="X183" s="99" t="n"/>
      <c r="Y183" s="99" t="n"/>
      <c r="Z183" s="99" t="n"/>
      <c r="AA183" s="62" t="n"/>
      <c r="AB183" s="62" t="n"/>
      <c r="AC183" s="63" t="n"/>
      <c r="AD183" s="356" t="n"/>
      <c r="AE183" s="356" t="n"/>
      <c r="AF183" s="57" t="n"/>
      <c r="AG183" s="28" t="n"/>
      <c r="AH183" s="57" t="n"/>
      <c r="AI183" s="28" t="n"/>
      <c r="AJ183" s="134" t="n"/>
      <c r="AK183" s="212" t="n"/>
      <c r="AL183" s="293" t="inlineStr">
        <is>
          <t>v30</t>
        </is>
      </c>
      <c r="AM183" s="122">
        <f>IF(OR(X183="",F183=""),"",X183-F183)</f>
        <v/>
      </c>
      <c r="AN183" s="98">
        <f>IF(OR(Y183="",G183=""),"",Y183-G183)</f>
        <v/>
      </c>
      <c r="AO183" s="98">
        <f>IF(OR(Z183="",H183=""),"",Z183-H183)</f>
        <v/>
      </c>
      <c r="AP183" s="98">
        <f>IF(OR(AA183="",I183=""),"",AA183-I183)</f>
        <v/>
      </c>
      <c r="AQ183" s="123">
        <f>IF(OR(AB183="",J183=""),"",AB183-J183)</f>
        <v/>
      </c>
      <c r="AR183" s="39" t="n"/>
      <c r="AS183" s="332" t="n"/>
      <c r="AT183" s="39" t="n"/>
    </row>
    <row r="184" ht="13.5" customHeight="1" s="279">
      <c r="B184" s="294" t="n"/>
      <c r="C184" s="29" t="inlineStr">
        <is>
          <t>r02</t>
        </is>
      </c>
      <c r="D184" s="191" t="n"/>
      <c r="E184" s="58" t="n"/>
      <c r="F184" s="192" t="n"/>
      <c r="G184" s="192" t="n"/>
      <c r="H184" s="192" t="n"/>
      <c r="I184" s="64" t="n"/>
      <c r="J184" s="64" t="n"/>
      <c r="K184" s="193" t="n"/>
      <c r="L184" s="357" t="n"/>
      <c r="M184" s="357" t="n"/>
      <c r="N184" s="58" t="n"/>
      <c r="O184" s="30" t="n"/>
      <c r="P184" s="58" t="n"/>
      <c r="Q184" s="30" t="n"/>
      <c r="R184" s="135" t="n"/>
      <c r="S184" s="301" t="n"/>
      <c r="T184" s="294" t="n"/>
      <c r="U184" s="29" t="inlineStr">
        <is>
          <t>r02</t>
        </is>
      </c>
      <c r="V184" s="191" t="n"/>
      <c r="W184" s="58" t="n"/>
      <c r="X184" s="192" t="n"/>
      <c r="Y184" s="192" t="n"/>
      <c r="Z184" s="192" t="n"/>
      <c r="AA184" s="64" t="n"/>
      <c r="AB184" s="64" t="n"/>
      <c r="AC184" s="193" t="n"/>
      <c r="AD184" s="357" t="n"/>
      <c r="AE184" s="357" t="n"/>
      <c r="AF184" s="58" t="n"/>
      <c r="AG184" s="30" t="n"/>
      <c r="AH184" s="58" t="n"/>
      <c r="AI184" s="30" t="n"/>
      <c r="AJ184" s="135" t="n"/>
      <c r="AK184" s="212" t="n"/>
      <c r="AL184" s="294" t="n"/>
      <c r="AM184" s="89">
        <f>IF(OR(X184="",F184=""),"",X184-F184)</f>
        <v/>
      </c>
      <c r="AN184" s="124">
        <f>IF(OR(Y184="",G184=""),"",Y184-G184)</f>
        <v/>
      </c>
      <c r="AO184" s="124">
        <f>IF(OR(Z184="",H184=""),"",Z184-H184)</f>
        <v/>
      </c>
      <c r="AP184" s="124">
        <f>IF(OR(AA184="",I184=""),"",AA184-I184)</f>
        <v/>
      </c>
      <c r="AQ184" s="90">
        <f>IF(OR(AB184="",J184=""),"",AB184-J184)</f>
        <v/>
      </c>
      <c r="AR184" s="39" t="n"/>
      <c r="AS184" s="332" t="n"/>
      <c r="AT184" s="39" t="n"/>
    </row>
    <row r="185" ht="13.5" customHeight="1" s="279">
      <c r="B185" s="294" t="n"/>
      <c r="C185" s="29" t="inlineStr">
        <is>
          <t>r03</t>
        </is>
      </c>
      <c r="D185" s="191" t="n"/>
      <c r="E185" s="58" t="n"/>
      <c r="F185" s="192" t="n"/>
      <c r="G185" s="192" t="n"/>
      <c r="H185" s="192" t="n"/>
      <c r="I185" s="64" t="n"/>
      <c r="J185" s="64" t="n"/>
      <c r="K185" s="193" t="n"/>
      <c r="L185" s="357" t="n"/>
      <c r="M185" s="357" t="n"/>
      <c r="N185" s="58" t="n"/>
      <c r="O185" s="30" t="n"/>
      <c r="P185" s="58" t="n"/>
      <c r="Q185" s="30" t="n"/>
      <c r="R185" s="135" t="n"/>
      <c r="S185" s="301" t="n"/>
      <c r="T185" s="294" t="n"/>
      <c r="U185" s="29" t="inlineStr">
        <is>
          <t>r03</t>
        </is>
      </c>
      <c r="V185" s="191" t="n"/>
      <c r="W185" s="58" t="n"/>
      <c r="X185" s="192" t="n"/>
      <c r="Y185" s="192" t="n"/>
      <c r="Z185" s="192" t="n"/>
      <c r="AA185" s="64" t="n"/>
      <c r="AB185" s="64" t="n"/>
      <c r="AC185" s="193" t="n"/>
      <c r="AD185" s="357" t="n"/>
      <c r="AE185" s="357" t="n"/>
      <c r="AF185" s="58" t="n"/>
      <c r="AG185" s="30" t="n"/>
      <c r="AH185" s="58" t="n"/>
      <c r="AI185" s="30" t="n"/>
      <c r="AJ185" s="135" t="n"/>
      <c r="AK185" s="212" t="n"/>
      <c r="AL185" s="294" t="n"/>
      <c r="AM185" s="89">
        <f>IF(OR(X185="",F185=""),"",X185-F185)</f>
        <v/>
      </c>
      <c r="AN185" s="124">
        <f>IF(OR(Y185="",G185=""),"",Y185-G185)</f>
        <v/>
      </c>
      <c r="AO185" s="124">
        <f>IF(OR(Z185="",H185=""),"",Z185-H185)</f>
        <v/>
      </c>
      <c r="AP185" s="124">
        <f>IF(OR(AA185="",I185=""),"",AA185-I185)</f>
        <v/>
      </c>
      <c r="AQ185" s="90">
        <f>IF(OR(AB185="",J185=""),"",AB185-J185)</f>
        <v/>
      </c>
      <c r="AR185" s="39" t="n"/>
      <c r="AS185" s="332" t="n"/>
      <c r="AT185" s="39" t="n"/>
    </row>
    <row r="186" ht="13.5" customHeight="1" s="279">
      <c r="B186" s="294" t="n"/>
      <c r="C186" s="29" t="inlineStr">
        <is>
          <t>r04</t>
        </is>
      </c>
      <c r="D186" s="191" t="n"/>
      <c r="E186" s="58" t="n"/>
      <c r="F186" s="192" t="n"/>
      <c r="G186" s="192" t="n"/>
      <c r="H186" s="192" t="n"/>
      <c r="I186" s="64" t="n"/>
      <c r="J186" s="64" t="n"/>
      <c r="K186" s="193" t="n"/>
      <c r="L186" s="357" t="n"/>
      <c r="M186" s="357" t="n"/>
      <c r="N186" s="58" t="n"/>
      <c r="O186" s="30" t="n"/>
      <c r="P186" s="58" t="n"/>
      <c r="Q186" s="30" t="n"/>
      <c r="R186" s="135" t="n"/>
      <c r="S186" s="301" t="n"/>
      <c r="T186" s="294" t="n"/>
      <c r="U186" s="29" t="inlineStr">
        <is>
          <t>r04</t>
        </is>
      </c>
      <c r="V186" s="191" t="n"/>
      <c r="W186" s="58" t="n"/>
      <c r="X186" s="192" t="n"/>
      <c r="Y186" s="192" t="n"/>
      <c r="Z186" s="192" t="n"/>
      <c r="AA186" s="64" t="n"/>
      <c r="AB186" s="64" t="n"/>
      <c r="AC186" s="193" t="n"/>
      <c r="AD186" s="357" t="n"/>
      <c r="AE186" s="357" t="n"/>
      <c r="AF186" s="58" t="n"/>
      <c r="AG186" s="30" t="n"/>
      <c r="AH186" s="58" t="n"/>
      <c r="AI186" s="30" t="n"/>
      <c r="AJ186" s="135" t="n"/>
      <c r="AK186" s="212" t="n"/>
      <c r="AL186" s="294" t="n"/>
      <c r="AM186" s="89">
        <f>IF(OR(X186="",F186=""),"",X186-F186)</f>
        <v/>
      </c>
      <c r="AN186" s="124">
        <f>IF(OR(Y186="",G186=""),"",Y186-G186)</f>
        <v/>
      </c>
      <c r="AO186" s="124">
        <f>IF(OR(Z186="",H186=""),"",Z186-H186)</f>
        <v/>
      </c>
      <c r="AP186" s="124">
        <f>IF(OR(AA186="",I186=""),"",AA186-I186)</f>
        <v/>
      </c>
      <c r="AQ186" s="90">
        <f>IF(OR(AB186="",J186=""),"",AB186-J186)</f>
        <v/>
      </c>
      <c r="AR186" s="39" t="n"/>
      <c r="AS186" s="332" t="n"/>
      <c r="AT186" s="39" t="n"/>
    </row>
    <row r="187" ht="13.5" customHeight="1" s="279" thickBot="1">
      <c r="B187" s="295" t="n"/>
      <c r="C187" s="29" t="n"/>
      <c r="D187" s="191" t="n"/>
      <c r="E187" s="58" t="n"/>
      <c r="F187" s="194" t="n"/>
      <c r="G187" s="194" t="n"/>
      <c r="H187" s="194" t="n"/>
      <c r="I187" s="58" t="n"/>
      <c r="J187" s="58" t="n"/>
      <c r="K187" s="193" t="n"/>
      <c r="L187" s="357" t="n"/>
      <c r="M187" s="357" t="n"/>
      <c r="N187" s="58" t="n"/>
      <c r="O187" s="30" t="n"/>
      <c r="P187" s="58" t="n"/>
      <c r="Q187" s="30" t="n"/>
      <c r="R187" s="189" t="n"/>
      <c r="S187" s="301" t="n"/>
      <c r="T187" s="295" t="n"/>
      <c r="U187" s="29" t="n"/>
      <c r="V187" s="191" t="n"/>
      <c r="W187" s="58" t="n"/>
      <c r="X187" s="194" t="n"/>
      <c r="Y187" s="194" t="n"/>
      <c r="Z187" s="194" t="n"/>
      <c r="AA187" s="58" t="n"/>
      <c r="AB187" s="58" t="n"/>
      <c r="AC187" s="193" t="n"/>
      <c r="AD187" s="357" t="n"/>
      <c r="AE187" s="357" t="n"/>
      <c r="AF187" s="58" t="n"/>
      <c r="AG187" s="30" t="n"/>
      <c r="AH187" s="58" t="n"/>
      <c r="AI187" s="30" t="n"/>
      <c r="AJ187" s="189" t="n"/>
      <c r="AK187" s="212" t="n"/>
      <c r="AL187" s="295" t="n"/>
      <c r="AM187" s="125">
        <f>IF(OR(X187="",F187=""),"",X187-F187)</f>
        <v/>
      </c>
      <c r="AN187" s="126">
        <f>IF(OR(Y187="",G187=""),"",Y187-G187)</f>
        <v/>
      </c>
      <c r="AO187" s="126">
        <f>IF(OR(Z187="",H187=""),"",Z187-H187)</f>
        <v/>
      </c>
      <c r="AP187" s="126">
        <f>IF(OR(AA187="",I187=""),"",AA187-I187)</f>
        <v/>
      </c>
      <c r="AQ187" s="127">
        <f>IF(OR(AB187="",J187=""),"",AB187-J187)</f>
        <v/>
      </c>
      <c r="AR187" s="39" t="n"/>
      <c r="AS187" s="332" t="n"/>
      <c r="AT187" s="39" t="n"/>
    </row>
    <row r="188" ht="13.5" customHeight="1" s="279">
      <c r="B188" s="293" t="inlineStr">
        <is>
          <t>v31</t>
        </is>
      </c>
      <c r="C188" s="27" t="inlineStr">
        <is>
          <t>r01</t>
        </is>
      </c>
      <c r="D188" s="41" t="n"/>
      <c r="E188" s="57" t="n"/>
      <c r="F188" s="99" t="n"/>
      <c r="G188" s="99" t="n"/>
      <c r="H188" s="99" t="n"/>
      <c r="I188" s="62" t="n"/>
      <c r="J188" s="62" t="n"/>
      <c r="K188" s="63" t="n"/>
      <c r="L188" s="356" t="n"/>
      <c r="M188" s="356" t="n"/>
      <c r="N188" s="57" t="n"/>
      <c r="O188" s="28" t="n"/>
      <c r="P188" s="57" t="n"/>
      <c r="Q188" s="28" t="n"/>
      <c r="R188" s="134" t="n"/>
      <c r="S188" s="301" t="n"/>
      <c r="T188" s="293" t="inlineStr">
        <is>
          <t>v31</t>
        </is>
      </c>
      <c r="U188" s="27" t="inlineStr">
        <is>
          <t>r01</t>
        </is>
      </c>
      <c r="V188" s="41" t="n"/>
      <c r="W188" s="57" t="n"/>
      <c r="X188" s="99" t="n"/>
      <c r="Y188" s="99" t="n"/>
      <c r="Z188" s="99" t="n"/>
      <c r="AA188" s="62" t="n"/>
      <c r="AB188" s="62" t="n"/>
      <c r="AC188" s="63" t="n"/>
      <c r="AD188" s="356" t="n"/>
      <c r="AE188" s="356" t="n"/>
      <c r="AF188" s="57" t="n"/>
      <c r="AG188" s="28" t="n"/>
      <c r="AH188" s="57" t="n"/>
      <c r="AI188" s="28" t="n"/>
      <c r="AJ188" s="134" t="n"/>
      <c r="AK188" s="212" t="n"/>
      <c r="AL188" s="293" t="inlineStr">
        <is>
          <t>v31</t>
        </is>
      </c>
      <c r="AM188" s="122">
        <f>IF(OR(X188="",F188=""),"",X188-F188)</f>
        <v/>
      </c>
      <c r="AN188" s="98">
        <f>IF(OR(Y188="",G188=""),"",Y188-G188)</f>
        <v/>
      </c>
      <c r="AO188" s="98">
        <f>IF(OR(Z188="",H188=""),"",Z188-H188)</f>
        <v/>
      </c>
      <c r="AP188" s="98">
        <f>IF(OR(AA188="",I188=""),"",AA188-I188)</f>
        <v/>
      </c>
      <c r="AQ188" s="123">
        <f>IF(OR(AB188="",J188=""),"",AB188-J188)</f>
        <v/>
      </c>
      <c r="AR188" s="39" t="n"/>
      <c r="AS188" s="332" t="n"/>
      <c r="AT188" s="39" t="n"/>
    </row>
    <row r="189" ht="13.5" customHeight="1" s="279">
      <c r="B189" s="294" t="n"/>
      <c r="C189" s="29" t="inlineStr">
        <is>
          <t>r02</t>
        </is>
      </c>
      <c r="D189" s="191" t="n"/>
      <c r="E189" s="58" t="n"/>
      <c r="F189" s="192" t="n"/>
      <c r="G189" s="192" t="n"/>
      <c r="H189" s="192" t="n"/>
      <c r="I189" s="64" t="n"/>
      <c r="J189" s="64" t="n"/>
      <c r="K189" s="193" t="n"/>
      <c r="L189" s="357" t="n"/>
      <c r="M189" s="357" t="n"/>
      <c r="N189" s="58" t="n"/>
      <c r="O189" s="30" t="n"/>
      <c r="P189" s="58" t="n"/>
      <c r="Q189" s="30" t="n"/>
      <c r="R189" s="135" t="n"/>
      <c r="S189" s="301" t="n"/>
      <c r="T189" s="294" t="n"/>
      <c r="U189" s="29" t="inlineStr">
        <is>
          <t>r02</t>
        </is>
      </c>
      <c r="V189" s="191" t="n"/>
      <c r="W189" s="58" t="n"/>
      <c r="X189" s="192" t="n"/>
      <c r="Y189" s="192" t="n"/>
      <c r="Z189" s="192" t="n"/>
      <c r="AA189" s="64" t="n"/>
      <c r="AB189" s="64" t="n"/>
      <c r="AC189" s="193" t="n"/>
      <c r="AD189" s="357" t="n"/>
      <c r="AE189" s="357" t="n"/>
      <c r="AF189" s="58" t="n"/>
      <c r="AG189" s="30" t="n"/>
      <c r="AH189" s="58" t="n"/>
      <c r="AI189" s="30" t="n"/>
      <c r="AJ189" s="135" t="n"/>
      <c r="AK189" s="212" t="n"/>
      <c r="AL189" s="294" t="n"/>
      <c r="AM189" s="89">
        <f>IF(OR(X189="",F189=""),"",X189-F189)</f>
        <v/>
      </c>
      <c r="AN189" s="124">
        <f>IF(OR(Y189="",G189=""),"",Y189-G189)</f>
        <v/>
      </c>
      <c r="AO189" s="124">
        <f>IF(OR(Z189="",H189=""),"",Z189-H189)</f>
        <v/>
      </c>
      <c r="AP189" s="124">
        <f>IF(OR(AA189="",I189=""),"",AA189-I189)</f>
        <v/>
      </c>
      <c r="AQ189" s="90">
        <f>IF(OR(AB189="",J189=""),"",AB189-J189)</f>
        <v/>
      </c>
      <c r="AR189" s="39" t="n"/>
      <c r="AS189" s="332" t="n"/>
      <c r="AT189" s="39" t="n"/>
    </row>
    <row r="190" ht="13.5" customHeight="1" s="279">
      <c r="B190" s="294" t="n"/>
      <c r="C190" s="29" t="inlineStr">
        <is>
          <t>r03</t>
        </is>
      </c>
      <c r="D190" s="191" t="n"/>
      <c r="E190" s="58" t="n"/>
      <c r="F190" s="192" t="n"/>
      <c r="G190" s="192" t="n"/>
      <c r="H190" s="192" t="n"/>
      <c r="I190" s="64" t="n"/>
      <c r="J190" s="64" t="n"/>
      <c r="K190" s="193" t="n"/>
      <c r="L190" s="357" t="n"/>
      <c r="M190" s="357" t="n"/>
      <c r="N190" s="58" t="n"/>
      <c r="O190" s="30" t="n"/>
      <c r="P190" s="58" t="n"/>
      <c r="Q190" s="30" t="n"/>
      <c r="R190" s="135" t="n"/>
      <c r="S190" s="301" t="n"/>
      <c r="T190" s="294" t="n"/>
      <c r="U190" s="29" t="inlineStr">
        <is>
          <t>r03</t>
        </is>
      </c>
      <c r="V190" s="191" t="n"/>
      <c r="W190" s="58" t="n"/>
      <c r="X190" s="192" t="n"/>
      <c r="Y190" s="192" t="n"/>
      <c r="Z190" s="192" t="n"/>
      <c r="AA190" s="64" t="n"/>
      <c r="AB190" s="64" t="n"/>
      <c r="AC190" s="193" t="n"/>
      <c r="AD190" s="357" t="n"/>
      <c r="AE190" s="357" t="n"/>
      <c r="AF190" s="58" t="n"/>
      <c r="AG190" s="30" t="n"/>
      <c r="AH190" s="58" t="n"/>
      <c r="AI190" s="30" t="n"/>
      <c r="AJ190" s="135" t="n"/>
      <c r="AK190" s="212" t="n"/>
      <c r="AL190" s="294" t="n"/>
      <c r="AM190" s="89">
        <f>IF(OR(X190="",F190=""),"",X190-F190)</f>
        <v/>
      </c>
      <c r="AN190" s="124">
        <f>IF(OR(Y190="",G190=""),"",Y190-G190)</f>
        <v/>
      </c>
      <c r="AO190" s="124">
        <f>IF(OR(Z190="",H190=""),"",Z190-H190)</f>
        <v/>
      </c>
      <c r="AP190" s="124">
        <f>IF(OR(AA190="",I190=""),"",AA190-I190)</f>
        <v/>
      </c>
      <c r="AQ190" s="90">
        <f>IF(OR(AB190="",J190=""),"",AB190-J190)</f>
        <v/>
      </c>
      <c r="AR190" s="39" t="n"/>
      <c r="AS190" s="332" t="n"/>
      <c r="AT190" s="39" t="n"/>
    </row>
    <row r="191" ht="13.5" customHeight="1" s="279">
      <c r="B191" s="294" t="n"/>
      <c r="C191" s="29" t="inlineStr">
        <is>
          <t>r04</t>
        </is>
      </c>
      <c r="D191" s="191" t="n"/>
      <c r="E191" s="58" t="n"/>
      <c r="F191" s="192" t="n"/>
      <c r="G191" s="192" t="n"/>
      <c r="H191" s="192" t="n"/>
      <c r="I191" s="64" t="n"/>
      <c r="J191" s="64" t="n"/>
      <c r="K191" s="193" t="n"/>
      <c r="L191" s="357" t="n"/>
      <c r="M191" s="357" t="n"/>
      <c r="N191" s="58" t="n"/>
      <c r="O191" s="30" t="n"/>
      <c r="P191" s="58" t="n"/>
      <c r="Q191" s="30" t="n"/>
      <c r="R191" s="135" t="n"/>
      <c r="S191" s="301" t="n"/>
      <c r="T191" s="294" t="n"/>
      <c r="U191" s="29" t="inlineStr">
        <is>
          <t>r04</t>
        </is>
      </c>
      <c r="V191" s="191" t="n"/>
      <c r="W191" s="58" t="n"/>
      <c r="X191" s="192" t="n"/>
      <c r="Y191" s="192" t="n"/>
      <c r="Z191" s="192" t="n"/>
      <c r="AA191" s="64" t="n"/>
      <c r="AB191" s="64" t="n"/>
      <c r="AC191" s="193" t="n"/>
      <c r="AD191" s="357" t="n"/>
      <c r="AE191" s="357" t="n"/>
      <c r="AF191" s="58" t="n"/>
      <c r="AG191" s="30" t="n"/>
      <c r="AH191" s="58" t="n"/>
      <c r="AI191" s="30" t="n"/>
      <c r="AJ191" s="135" t="n"/>
      <c r="AK191" s="212" t="n"/>
      <c r="AL191" s="294" t="n"/>
      <c r="AM191" s="89">
        <f>IF(OR(X191="",F191=""),"",X191-F191)</f>
        <v/>
      </c>
      <c r="AN191" s="124">
        <f>IF(OR(Y191="",G191=""),"",Y191-G191)</f>
        <v/>
      </c>
      <c r="AO191" s="124">
        <f>IF(OR(Z191="",H191=""),"",Z191-H191)</f>
        <v/>
      </c>
      <c r="AP191" s="124">
        <f>IF(OR(AA191="",I191=""),"",AA191-I191)</f>
        <v/>
      </c>
      <c r="AQ191" s="90">
        <f>IF(OR(AB191="",J191=""),"",AB191-J191)</f>
        <v/>
      </c>
      <c r="AR191" s="39" t="n"/>
      <c r="AS191" s="332" t="n"/>
      <c r="AT191" s="39" t="n"/>
    </row>
    <row r="192" ht="13.5" customHeight="1" s="279" thickBot="1">
      <c r="B192" s="295" t="n"/>
      <c r="C192" s="29" t="n"/>
      <c r="D192" s="191" t="n"/>
      <c r="E192" s="58" t="n"/>
      <c r="F192" s="194" t="n"/>
      <c r="G192" s="194" t="n"/>
      <c r="H192" s="194" t="n"/>
      <c r="I192" s="58" t="n"/>
      <c r="J192" s="58" t="n"/>
      <c r="K192" s="193" t="n"/>
      <c r="L192" s="357" t="n"/>
      <c r="M192" s="357" t="n"/>
      <c r="N192" s="58" t="n"/>
      <c r="O192" s="30" t="n"/>
      <c r="P192" s="58" t="n"/>
      <c r="Q192" s="30" t="n"/>
      <c r="R192" s="189" t="n"/>
      <c r="S192" s="301" t="n"/>
      <c r="T192" s="295" t="n"/>
      <c r="U192" s="29" t="n"/>
      <c r="V192" s="191" t="n"/>
      <c r="W192" s="58" t="n"/>
      <c r="X192" s="194" t="n"/>
      <c r="Y192" s="194" t="n"/>
      <c r="Z192" s="194" t="n"/>
      <c r="AA192" s="58" t="n"/>
      <c r="AB192" s="58" t="n"/>
      <c r="AC192" s="193" t="n"/>
      <c r="AD192" s="357" t="n"/>
      <c r="AE192" s="357" t="n"/>
      <c r="AF192" s="58" t="n"/>
      <c r="AG192" s="30" t="n"/>
      <c r="AH192" s="58" t="n"/>
      <c r="AI192" s="30" t="n"/>
      <c r="AJ192" s="189" t="n"/>
      <c r="AK192" s="212" t="n"/>
      <c r="AL192" s="295" t="n"/>
      <c r="AM192" s="125">
        <f>IF(OR(X192="",F192=""),"",X192-F192)</f>
        <v/>
      </c>
      <c r="AN192" s="126">
        <f>IF(OR(Y192="",G192=""),"",Y192-G192)</f>
        <v/>
      </c>
      <c r="AO192" s="126">
        <f>IF(OR(Z192="",H192=""),"",Z192-H192)</f>
        <v/>
      </c>
      <c r="AP192" s="126">
        <f>IF(OR(AA192="",I192=""),"",AA192-I192)</f>
        <v/>
      </c>
      <c r="AQ192" s="127">
        <f>IF(OR(AB192="",J192=""),"",AB192-J192)</f>
        <v/>
      </c>
      <c r="AR192" s="39" t="n"/>
      <c r="AS192" s="332" t="n"/>
      <c r="AT192" s="39" t="n"/>
    </row>
    <row r="193" ht="13.5" customHeight="1" s="279">
      <c r="B193" s="293" t="inlineStr">
        <is>
          <t>v32</t>
        </is>
      </c>
      <c r="C193" s="27" t="inlineStr">
        <is>
          <t>r01</t>
        </is>
      </c>
      <c r="D193" s="41" t="n"/>
      <c r="E193" s="57" t="n"/>
      <c r="F193" s="99" t="n"/>
      <c r="G193" s="99" t="n"/>
      <c r="H193" s="99" t="n"/>
      <c r="I193" s="62" t="n"/>
      <c r="J193" s="62" t="n"/>
      <c r="K193" s="63" t="n"/>
      <c r="L193" s="356" t="n"/>
      <c r="M193" s="356" t="n"/>
      <c r="N193" s="57" t="n"/>
      <c r="O193" s="28" t="n"/>
      <c r="P193" s="57" t="n"/>
      <c r="Q193" s="28" t="n"/>
      <c r="R193" s="134" t="n"/>
      <c r="S193" s="301" t="n"/>
      <c r="T193" s="293" t="inlineStr">
        <is>
          <t>v32</t>
        </is>
      </c>
      <c r="U193" s="27" t="inlineStr">
        <is>
          <t>r01</t>
        </is>
      </c>
      <c r="V193" s="41" t="n"/>
      <c r="W193" s="57" t="n"/>
      <c r="X193" s="99" t="n"/>
      <c r="Y193" s="99" t="n"/>
      <c r="Z193" s="99" t="n"/>
      <c r="AA193" s="62" t="n"/>
      <c r="AB193" s="62" t="n"/>
      <c r="AC193" s="63" t="n"/>
      <c r="AD193" s="356" t="n"/>
      <c r="AE193" s="356" t="n"/>
      <c r="AF193" s="57" t="n"/>
      <c r="AG193" s="28" t="n"/>
      <c r="AH193" s="57" t="n"/>
      <c r="AI193" s="28" t="n"/>
      <c r="AJ193" s="134" t="n"/>
      <c r="AK193" s="212" t="n"/>
      <c r="AL193" s="293" t="inlineStr">
        <is>
          <t>v32</t>
        </is>
      </c>
      <c r="AM193" s="122">
        <f>IF(OR(X193="",F193=""),"",X193-F193)</f>
        <v/>
      </c>
      <c r="AN193" s="98">
        <f>IF(OR(Y193="",G193=""),"",Y193-G193)</f>
        <v/>
      </c>
      <c r="AO193" s="98">
        <f>IF(OR(Z193="",H193=""),"",Z193-H193)</f>
        <v/>
      </c>
      <c r="AP193" s="98">
        <f>IF(OR(AA193="",I193=""),"",AA193-I193)</f>
        <v/>
      </c>
      <c r="AQ193" s="123">
        <f>IF(OR(AB193="",J193=""),"",AB193-J193)</f>
        <v/>
      </c>
      <c r="AR193" s="39" t="n"/>
      <c r="AS193" s="332" t="n"/>
      <c r="AT193" s="39" t="n"/>
    </row>
    <row r="194" ht="13.5" customHeight="1" s="279">
      <c r="B194" s="294" t="n"/>
      <c r="C194" s="29" t="inlineStr">
        <is>
          <t>r02</t>
        </is>
      </c>
      <c r="D194" s="191" t="n"/>
      <c r="E194" s="58" t="n"/>
      <c r="F194" s="192" t="n"/>
      <c r="G194" s="192" t="n"/>
      <c r="H194" s="192" t="n"/>
      <c r="I194" s="64" t="n"/>
      <c r="J194" s="64" t="n"/>
      <c r="K194" s="193" t="n"/>
      <c r="L194" s="357" t="n"/>
      <c r="M194" s="357" t="n"/>
      <c r="N194" s="58" t="n"/>
      <c r="O194" s="30" t="n"/>
      <c r="P194" s="58" t="n"/>
      <c r="Q194" s="30" t="n"/>
      <c r="R194" s="135" t="n"/>
      <c r="S194" s="301" t="n"/>
      <c r="T194" s="294" t="n"/>
      <c r="U194" s="29" t="inlineStr">
        <is>
          <t>r02</t>
        </is>
      </c>
      <c r="V194" s="191" t="n"/>
      <c r="W194" s="58" t="n"/>
      <c r="X194" s="192" t="n"/>
      <c r="Y194" s="192" t="n"/>
      <c r="Z194" s="192" t="n"/>
      <c r="AA194" s="64" t="n"/>
      <c r="AB194" s="64" t="n"/>
      <c r="AC194" s="193" t="n"/>
      <c r="AD194" s="357" t="n"/>
      <c r="AE194" s="357" t="n"/>
      <c r="AF194" s="58" t="n"/>
      <c r="AG194" s="30" t="n"/>
      <c r="AH194" s="58" t="n"/>
      <c r="AI194" s="30" t="n"/>
      <c r="AJ194" s="135" t="n"/>
      <c r="AK194" s="212" t="n"/>
      <c r="AL194" s="294" t="n"/>
      <c r="AM194" s="89">
        <f>IF(OR(X194="",F194=""),"",X194-F194)</f>
        <v/>
      </c>
      <c r="AN194" s="124">
        <f>IF(OR(Y194="",G194=""),"",Y194-G194)</f>
        <v/>
      </c>
      <c r="AO194" s="124">
        <f>IF(OR(Z194="",H194=""),"",Z194-H194)</f>
        <v/>
      </c>
      <c r="AP194" s="124">
        <f>IF(OR(AA194="",I194=""),"",AA194-I194)</f>
        <v/>
      </c>
      <c r="AQ194" s="90">
        <f>IF(OR(AB194="",J194=""),"",AB194-J194)</f>
        <v/>
      </c>
      <c r="AR194" s="39" t="n"/>
      <c r="AS194" s="332" t="n"/>
      <c r="AT194" s="39" t="n"/>
    </row>
    <row r="195" ht="13.5" customHeight="1" s="279">
      <c r="B195" s="294" t="n"/>
      <c r="C195" s="29" t="inlineStr">
        <is>
          <t>r03</t>
        </is>
      </c>
      <c r="D195" s="191" t="n"/>
      <c r="E195" s="58" t="n"/>
      <c r="F195" s="192" t="n"/>
      <c r="G195" s="192" t="n"/>
      <c r="H195" s="192" t="n"/>
      <c r="I195" s="64" t="n"/>
      <c r="J195" s="64" t="n"/>
      <c r="K195" s="193" t="n"/>
      <c r="L195" s="357" t="n"/>
      <c r="M195" s="357" t="n"/>
      <c r="N195" s="58" t="n"/>
      <c r="O195" s="30" t="n"/>
      <c r="P195" s="58" t="n"/>
      <c r="Q195" s="30" t="n"/>
      <c r="R195" s="135" t="n"/>
      <c r="S195" s="301" t="n"/>
      <c r="T195" s="294" t="n"/>
      <c r="U195" s="29" t="inlineStr">
        <is>
          <t>r03</t>
        </is>
      </c>
      <c r="V195" s="191" t="n"/>
      <c r="W195" s="58" t="n"/>
      <c r="X195" s="192" t="n"/>
      <c r="Y195" s="192" t="n"/>
      <c r="Z195" s="192" t="n"/>
      <c r="AA195" s="64" t="n"/>
      <c r="AB195" s="64" t="n"/>
      <c r="AC195" s="193" t="n"/>
      <c r="AD195" s="357" t="n"/>
      <c r="AE195" s="357" t="n"/>
      <c r="AF195" s="58" t="n"/>
      <c r="AG195" s="30" t="n"/>
      <c r="AH195" s="58" t="n"/>
      <c r="AI195" s="30" t="n"/>
      <c r="AJ195" s="135" t="n"/>
      <c r="AK195" s="212" t="n"/>
      <c r="AL195" s="294" t="n"/>
      <c r="AM195" s="89">
        <f>IF(OR(X195="",F195=""),"",X195-F195)</f>
        <v/>
      </c>
      <c r="AN195" s="124">
        <f>IF(OR(Y195="",G195=""),"",Y195-G195)</f>
        <v/>
      </c>
      <c r="AO195" s="124">
        <f>IF(OR(Z195="",H195=""),"",Z195-H195)</f>
        <v/>
      </c>
      <c r="AP195" s="124">
        <f>IF(OR(AA195="",I195=""),"",AA195-I195)</f>
        <v/>
      </c>
      <c r="AQ195" s="90">
        <f>IF(OR(AB195="",J195=""),"",AB195-J195)</f>
        <v/>
      </c>
      <c r="AR195" s="39" t="n"/>
      <c r="AS195" s="332" t="n"/>
      <c r="AT195" s="39" t="n"/>
    </row>
    <row r="196" ht="13.5" customHeight="1" s="279">
      <c r="B196" s="294" t="n"/>
      <c r="C196" s="29" t="inlineStr">
        <is>
          <t>r04</t>
        </is>
      </c>
      <c r="D196" s="191" t="n"/>
      <c r="E196" s="58" t="n"/>
      <c r="F196" s="192" t="n"/>
      <c r="G196" s="192" t="n"/>
      <c r="H196" s="192" t="n"/>
      <c r="I196" s="64" t="n"/>
      <c r="J196" s="64" t="n"/>
      <c r="K196" s="193" t="n"/>
      <c r="L196" s="357" t="n"/>
      <c r="M196" s="357" t="n"/>
      <c r="N196" s="58" t="n"/>
      <c r="O196" s="30" t="n"/>
      <c r="P196" s="58" t="n"/>
      <c r="Q196" s="30" t="n"/>
      <c r="R196" s="135" t="n"/>
      <c r="S196" s="301" t="n"/>
      <c r="T196" s="294" t="n"/>
      <c r="U196" s="29" t="inlineStr">
        <is>
          <t>r04</t>
        </is>
      </c>
      <c r="V196" s="191" t="n"/>
      <c r="W196" s="58" t="n"/>
      <c r="X196" s="192" t="n"/>
      <c r="Y196" s="192" t="n"/>
      <c r="Z196" s="192" t="n"/>
      <c r="AA196" s="64" t="n"/>
      <c r="AB196" s="64" t="n"/>
      <c r="AC196" s="193" t="n"/>
      <c r="AD196" s="357" t="n"/>
      <c r="AE196" s="357" t="n"/>
      <c r="AF196" s="58" t="n"/>
      <c r="AG196" s="30" t="n"/>
      <c r="AH196" s="58" t="n"/>
      <c r="AI196" s="30" t="n"/>
      <c r="AJ196" s="135" t="n"/>
      <c r="AK196" s="212" t="n"/>
      <c r="AL196" s="294" t="n"/>
      <c r="AM196" s="89">
        <f>IF(OR(X196="",F196=""),"",X196-F196)</f>
        <v/>
      </c>
      <c r="AN196" s="124">
        <f>IF(OR(Y196="",G196=""),"",Y196-G196)</f>
        <v/>
      </c>
      <c r="AO196" s="124">
        <f>IF(OR(Z196="",H196=""),"",Z196-H196)</f>
        <v/>
      </c>
      <c r="AP196" s="124">
        <f>IF(OR(AA196="",I196=""),"",AA196-I196)</f>
        <v/>
      </c>
      <c r="AQ196" s="90">
        <f>IF(OR(AB196="",J196=""),"",AB196-J196)</f>
        <v/>
      </c>
      <c r="AR196" s="39" t="n"/>
      <c r="AS196" s="332" t="n"/>
      <c r="AT196" s="39" t="n"/>
    </row>
    <row r="197" ht="13.5" customHeight="1" s="279" thickBot="1">
      <c r="B197" s="295" t="n"/>
      <c r="C197" s="29" t="n"/>
      <c r="D197" s="191" t="n"/>
      <c r="E197" s="58" t="n"/>
      <c r="F197" s="194" t="n"/>
      <c r="G197" s="194" t="n"/>
      <c r="H197" s="194" t="n"/>
      <c r="I197" s="58" t="n"/>
      <c r="J197" s="58" t="n"/>
      <c r="K197" s="193" t="n"/>
      <c r="L197" s="357" t="n"/>
      <c r="M197" s="357" t="n"/>
      <c r="N197" s="58" t="n"/>
      <c r="O197" s="30" t="n"/>
      <c r="P197" s="58" t="n"/>
      <c r="Q197" s="30" t="n"/>
      <c r="R197" s="189" t="n"/>
      <c r="S197" s="301" t="n"/>
      <c r="T197" s="295" t="n"/>
      <c r="U197" s="29" t="n"/>
      <c r="V197" s="191" t="n"/>
      <c r="W197" s="58" t="n"/>
      <c r="X197" s="194" t="n"/>
      <c r="Y197" s="194" t="n"/>
      <c r="Z197" s="194" t="n"/>
      <c r="AA197" s="58" t="n"/>
      <c r="AB197" s="58" t="n"/>
      <c r="AC197" s="193" t="n"/>
      <c r="AD197" s="357" t="n"/>
      <c r="AE197" s="357" t="n"/>
      <c r="AF197" s="58" t="n"/>
      <c r="AG197" s="30" t="n"/>
      <c r="AH197" s="58" t="n"/>
      <c r="AI197" s="30" t="n"/>
      <c r="AJ197" s="189" t="n"/>
      <c r="AK197" s="212" t="n"/>
      <c r="AL197" s="295" t="n"/>
      <c r="AM197" s="125">
        <f>IF(OR(X197="",F197=""),"",X197-F197)</f>
        <v/>
      </c>
      <c r="AN197" s="126">
        <f>IF(OR(Y197="",G197=""),"",Y197-G197)</f>
        <v/>
      </c>
      <c r="AO197" s="126">
        <f>IF(OR(Z197="",H197=""),"",Z197-H197)</f>
        <v/>
      </c>
      <c r="AP197" s="126">
        <f>IF(OR(AA197="",I197=""),"",AA197-I197)</f>
        <v/>
      </c>
      <c r="AQ197" s="127">
        <f>IF(OR(AB197="",J197=""),"",AB197-J197)</f>
        <v/>
      </c>
      <c r="AR197" s="39" t="n"/>
      <c r="AS197" s="332" t="n"/>
      <c r="AT197" s="39" t="n"/>
    </row>
    <row r="198" ht="13.5" customHeight="1" s="279">
      <c r="B198" s="293" t="inlineStr">
        <is>
          <t>v33</t>
        </is>
      </c>
      <c r="C198" s="27" t="inlineStr">
        <is>
          <t>r01</t>
        </is>
      </c>
      <c r="D198" s="41" t="n"/>
      <c r="E198" s="57" t="n"/>
      <c r="F198" s="99" t="n"/>
      <c r="G198" s="99" t="n"/>
      <c r="H198" s="99" t="n"/>
      <c r="I198" s="62" t="n"/>
      <c r="J198" s="62" t="n"/>
      <c r="K198" s="63" t="n"/>
      <c r="L198" s="356" t="n"/>
      <c r="M198" s="356" t="n"/>
      <c r="N198" s="57" t="n"/>
      <c r="O198" s="28" t="n"/>
      <c r="P198" s="57" t="n"/>
      <c r="Q198" s="28" t="n"/>
      <c r="R198" s="134" t="n"/>
      <c r="S198" s="301" t="n"/>
      <c r="T198" s="293" t="inlineStr">
        <is>
          <t>v33</t>
        </is>
      </c>
      <c r="U198" s="27" t="inlineStr">
        <is>
          <t>r01</t>
        </is>
      </c>
      <c r="V198" s="41" t="n"/>
      <c r="W198" s="57" t="n"/>
      <c r="X198" s="99" t="n"/>
      <c r="Y198" s="99" t="n"/>
      <c r="Z198" s="99" t="n"/>
      <c r="AA198" s="62" t="n"/>
      <c r="AB198" s="62" t="n"/>
      <c r="AC198" s="63" t="n"/>
      <c r="AD198" s="356" t="n"/>
      <c r="AE198" s="356" t="n"/>
      <c r="AF198" s="57" t="n"/>
      <c r="AG198" s="28" t="n"/>
      <c r="AH198" s="57" t="n"/>
      <c r="AI198" s="28" t="n"/>
      <c r="AJ198" s="134" t="n"/>
      <c r="AK198" s="212" t="n"/>
      <c r="AL198" s="293" t="inlineStr">
        <is>
          <t>v33</t>
        </is>
      </c>
      <c r="AM198" s="122">
        <f>IF(OR(X198="",F198=""),"",X198-F198)</f>
        <v/>
      </c>
      <c r="AN198" s="98">
        <f>IF(OR(Y198="",G198=""),"",Y198-G198)</f>
        <v/>
      </c>
      <c r="AO198" s="98">
        <f>IF(OR(Z198="",H198=""),"",Z198-H198)</f>
        <v/>
      </c>
      <c r="AP198" s="98">
        <f>IF(OR(AA198="",I198=""),"",AA198-I198)</f>
        <v/>
      </c>
      <c r="AQ198" s="123">
        <f>IF(OR(AB198="",J198=""),"",AB198-J198)</f>
        <v/>
      </c>
      <c r="AR198" s="39" t="n"/>
      <c r="AS198" s="332" t="n"/>
      <c r="AT198" s="39" t="n"/>
    </row>
    <row r="199" ht="13.5" customHeight="1" s="279">
      <c r="B199" s="294" t="n"/>
      <c r="C199" s="29" t="inlineStr">
        <is>
          <t>r02</t>
        </is>
      </c>
      <c r="D199" s="191" t="n"/>
      <c r="E199" s="58" t="n"/>
      <c r="F199" s="192" t="n"/>
      <c r="G199" s="192" t="n"/>
      <c r="H199" s="192" t="n"/>
      <c r="I199" s="64" t="n"/>
      <c r="J199" s="64" t="n"/>
      <c r="K199" s="193" t="n"/>
      <c r="L199" s="357" t="n"/>
      <c r="M199" s="357" t="n"/>
      <c r="N199" s="58" t="n"/>
      <c r="O199" s="30" t="n"/>
      <c r="P199" s="58" t="n"/>
      <c r="Q199" s="30" t="n"/>
      <c r="R199" s="135" t="n"/>
      <c r="S199" s="301" t="n"/>
      <c r="T199" s="294" t="n"/>
      <c r="U199" s="29" t="inlineStr">
        <is>
          <t>r02</t>
        </is>
      </c>
      <c r="V199" s="191" t="n"/>
      <c r="W199" s="58" t="n"/>
      <c r="X199" s="192" t="n"/>
      <c r="Y199" s="192" t="n"/>
      <c r="Z199" s="192" t="n"/>
      <c r="AA199" s="64" t="n"/>
      <c r="AB199" s="64" t="n"/>
      <c r="AC199" s="193" t="n"/>
      <c r="AD199" s="357" t="n"/>
      <c r="AE199" s="357" t="n"/>
      <c r="AF199" s="58" t="n"/>
      <c r="AG199" s="30" t="n"/>
      <c r="AH199" s="58" t="n"/>
      <c r="AI199" s="30" t="n"/>
      <c r="AJ199" s="135" t="n"/>
      <c r="AK199" s="212" t="n"/>
      <c r="AL199" s="294" t="n"/>
      <c r="AM199" s="89">
        <f>IF(OR(X199="",F199=""),"",X199-F199)</f>
        <v/>
      </c>
      <c r="AN199" s="124">
        <f>IF(OR(Y199="",G199=""),"",Y199-G199)</f>
        <v/>
      </c>
      <c r="AO199" s="124">
        <f>IF(OR(Z199="",H199=""),"",Z199-H199)</f>
        <v/>
      </c>
      <c r="AP199" s="124">
        <f>IF(OR(AA199="",I199=""),"",AA199-I199)</f>
        <v/>
      </c>
      <c r="AQ199" s="90">
        <f>IF(OR(AB199="",J199=""),"",AB199-J199)</f>
        <v/>
      </c>
      <c r="AR199" s="39" t="n"/>
      <c r="AS199" s="332" t="n"/>
      <c r="AT199" s="39" t="n"/>
    </row>
    <row r="200" ht="13.5" customHeight="1" s="279">
      <c r="B200" s="294" t="n"/>
      <c r="C200" s="29" t="inlineStr">
        <is>
          <t>r03</t>
        </is>
      </c>
      <c r="D200" s="191" t="n"/>
      <c r="E200" s="58" t="n"/>
      <c r="F200" s="192" t="n"/>
      <c r="G200" s="192" t="n"/>
      <c r="H200" s="192" t="n"/>
      <c r="I200" s="64" t="n"/>
      <c r="J200" s="64" t="n"/>
      <c r="K200" s="193" t="n"/>
      <c r="L200" s="357" t="n"/>
      <c r="M200" s="357" t="n"/>
      <c r="N200" s="58" t="n"/>
      <c r="O200" s="30" t="n"/>
      <c r="P200" s="58" t="n"/>
      <c r="Q200" s="30" t="n"/>
      <c r="R200" s="135" t="n"/>
      <c r="S200" s="301" t="n"/>
      <c r="T200" s="294" t="n"/>
      <c r="U200" s="29" t="inlineStr">
        <is>
          <t>r03</t>
        </is>
      </c>
      <c r="V200" s="191" t="n"/>
      <c r="W200" s="58" t="n"/>
      <c r="X200" s="192" t="n"/>
      <c r="Y200" s="192" t="n"/>
      <c r="Z200" s="192" t="n"/>
      <c r="AA200" s="64" t="n"/>
      <c r="AB200" s="64" t="n"/>
      <c r="AC200" s="193" t="n"/>
      <c r="AD200" s="357" t="n"/>
      <c r="AE200" s="357" t="n"/>
      <c r="AF200" s="58" t="n"/>
      <c r="AG200" s="30" t="n"/>
      <c r="AH200" s="58" t="n"/>
      <c r="AI200" s="30" t="n"/>
      <c r="AJ200" s="135" t="n"/>
      <c r="AK200" s="212" t="n"/>
      <c r="AL200" s="294" t="n"/>
      <c r="AM200" s="89">
        <f>IF(OR(X200="",F200=""),"",X200-F200)</f>
        <v/>
      </c>
      <c r="AN200" s="124">
        <f>IF(OR(Y200="",G200=""),"",Y200-G200)</f>
        <v/>
      </c>
      <c r="AO200" s="124">
        <f>IF(OR(Z200="",H200=""),"",Z200-H200)</f>
        <v/>
      </c>
      <c r="AP200" s="124">
        <f>IF(OR(AA200="",I200=""),"",AA200-I200)</f>
        <v/>
      </c>
      <c r="AQ200" s="90">
        <f>IF(OR(AB200="",J200=""),"",AB200-J200)</f>
        <v/>
      </c>
      <c r="AR200" s="39" t="n"/>
      <c r="AS200" s="332" t="n"/>
      <c r="AT200" s="39" t="n"/>
    </row>
    <row r="201" ht="13.5" customHeight="1" s="279">
      <c r="B201" s="294" t="n"/>
      <c r="C201" s="29" t="inlineStr">
        <is>
          <t>r04</t>
        </is>
      </c>
      <c r="D201" s="191" t="n"/>
      <c r="E201" s="58" t="n"/>
      <c r="F201" s="192" t="n"/>
      <c r="G201" s="192" t="n"/>
      <c r="H201" s="192" t="n"/>
      <c r="I201" s="64" t="n"/>
      <c r="J201" s="64" t="n"/>
      <c r="K201" s="193" t="n"/>
      <c r="L201" s="357" t="n"/>
      <c r="M201" s="357" t="n"/>
      <c r="N201" s="58" t="n"/>
      <c r="O201" s="30" t="n"/>
      <c r="P201" s="58" t="n"/>
      <c r="Q201" s="30" t="n"/>
      <c r="R201" s="135" t="n"/>
      <c r="S201" s="301" t="n"/>
      <c r="T201" s="294" t="n"/>
      <c r="U201" s="29" t="inlineStr">
        <is>
          <t>r04</t>
        </is>
      </c>
      <c r="V201" s="191" t="n"/>
      <c r="W201" s="58" t="n"/>
      <c r="X201" s="192" t="n"/>
      <c r="Y201" s="192" t="n"/>
      <c r="Z201" s="192" t="n"/>
      <c r="AA201" s="64" t="n"/>
      <c r="AB201" s="64" t="n"/>
      <c r="AC201" s="193" t="n"/>
      <c r="AD201" s="357" t="n"/>
      <c r="AE201" s="357" t="n"/>
      <c r="AF201" s="58" t="n"/>
      <c r="AG201" s="30" t="n"/>
      <c r="AH201" s="58" t="n"/>
      <c r="AI201" s="30" t="n"/>
      <c r="AJ201" s="135" t="n"/>
      <c r="AK201" s="212" t="n"/>
      <c r="AL201" s="294" t="n"/>
      <c r="AM201" s="89">
        <f>IF(OR(X201="",F201=""),"",X201-F201)</f>
        <v/>
      </c>
      <c r="AN201" s="124">
        <f>IF(OR(Y201="",G201=""),"",Y201-G201)</f>
        <v/>
      </c>
      <c r="AO201" s="124">
        <f>IF(OR(Z201="",H201=""),"",Z201-H201)</f>
        <v/>
      </c>
      <c r="AP201" s="124">
        <f>IF(OR(AA201="",I201=""),"",AA201-I201)</f>
        <v/>
      </c>
      <c r="AQ201" s="90">
        <f>IF(OR(AB201="",J201=""),"",AB201-J201)</f>
        <v/>
      </c>
      <c r="AR201" s="39" t="n"/>
      <c r="AS201" s="332" t="n"/>
      <c r="AT201" s="39" t="n"/>
    </row>
    <row r="202" ht="13.5" customHeight="1" s="279" thickBot="1">
      <c r="B202" s="295" t="n"/>
      <c r="C202" s="29" t="n"/>
      <c r="D202" s="191" t="n"/>
      <c r="E202" s="58" t="n"/>
      <c r="F202" s="194" t="n"/>
      <c r="G202" s="194" t="n"/>
      <c r="H202" s="194" t="n"/>
      <c r="I202" s="58" t="n"/>
      <c r="J202" s="58" t="n"/>
      <c r="K202" s="193" t="n"/>
      <c r="L202" s="357" t="n"/>
      <c r="M202" s="357" t="n"/>
      <c r="N202" s="58" t="n"/>
      <c r="O202" s="30" t="n"/>
      <c r="P202" s="58" t="n"/>
      <c r="Q202" s="30" t="n"/>
      <c r="R202" s="189" t="n"/>
      <c r="S202" s="301" t="n"/>
      <c r="T202" s="295" t="n"/>
      <c r="U202" s="29" t="n"/>
      <c r="V202" s="191" t="n"/>
      <c r="W202" s="58" t="n"/>
      <c r="X202" s="194" t="n"/>
      <c r="Y202" s="194" t="n"/>
      <c r="Z202" s="194" t="n"/>
      <c r="AA202" s="58" t="n"/>
      <c r="AB202" s="58" t="n"/>
      <c r="AC202" s="193" t="n"/>
      <c r="AD202" s="357" t="n"/>
      <c r="AE202" s="357" t="n"/>
      <c r="AF202" s="58" t="n"/>
      <c r="AG202" s="30" t="n"/>
      <c r="AH202" s="58" t="n"/>
      <c r="AI202" s="30" t="n"/>
      <c r="AJ202" s="189" t="n"/>
      <c r="AK202" s="212" t="n"/>
      <c r="AL202" s="295" t="n"/>
      <c r="AM202" s="125">
        <f>IF(OR(X202="",F202=""),"",X202-F202)</f>
        <v/>
      </c>
      <c r="AN202" s="126">
        <f>IF(OR(Y202="",G202=""),"",Y202-G202)</f>
        <v/>
      </c>
      <c r="AO202" s="126">
        <f>IF(OR(Z202="",H202=""),"",Z202-H202)</f>
        <v/>
      </c>
      <c r="AP202" s="126">
        <f>IF(OR(AA202="",I202=""),"",AA202-I202)</f>
        <v/>
      </c>
      <c r="AQ202" s="127">
        <f>IF(OR(AB202="",J202=""),"",AB202-J202)</f>
        <v/>
      </c>
      <c r="AR202" s="39" t="n"/>
      <c r="AS202" s="332" t="n"/>
      <c r="AT202" s="39" t="n"/>
    </row>
    <row r="203" ht="13.5" customHeight="1" s="279">
      <c r="B203" s="293" t="inlineStr">
        <is>
          <t>v34</t>
        </is>
      </c>
      <c r="C203" s="27" t="inlineStr">
        <is>
          <t>r01</t>
        </is>
      </c>
      <c r="D203" s="41" t="n"/>
      <c r="E203" s="57" t="n"/>
      <c r="F203" s="99" t="n"/>
      <c r="G203" s="99" t="n"/>
      <c r="H203" s="99" t="n"/>
      <c r="I203" s="62" t="n"/>
      <c r="J203" s="62" t="n"/>
      <c r="K203" s="63" t="n"/>
      <c r="L203" s="356" t="n"/>
      <c r="M203" s="356" t="n"/>
      <c r="N203" s="57" t="n"/>
      <c r="O203" s="28" t="n"/>
      <c r="P203" s="57" t="n"/>
      <c r="Q203" s="28" t="n"/>
      <c r="R203" s="134" t="n"/>
      <c r="S203" s="301" t="n"/>
      <c r="T203" s="293" t="inlineStr">
        <is>
          <t>v34</t>
        </is>
      </c>
      <c r="U203" s="27" t="inlineStr">
        <is>
          <t>r01</t>
        </is>
      </c>
      <c r="V203" s="41" t="n"/>
      <c r="W203" s="57" t="n"/>
      <c r="X203" s="99" t="n"/>
      <c r="Y203" s="99" t="n"/>
      <c r="Z203" s="99" t="n"/>
      <c r="AA203" s="62" t="n"/>
      <c r="AB203" s="62" t="n"/>
      <c r="AC203" s="63" t="n"/>
      <c r="AD203" s="356" t="n"/>
      <c r="AE203" s="356" t="n"/>
      <c r="AF203" s="57" t="n"/>
      <c r="AG203" s="28" t="n"/>
      <c r="AH203" s="57" t="n"/>
      <c r="AI203" s="28" t="n"/>
      <c r="AJ203" s="134" t="n"/>
      <c r="AK203" s="212" t="n"/>
      <c r="AL203" s="293" t="inlineStr">
        <is>
          <t>v34</t>
        </is>
      </c>
      <c r="AM203" s="122">
        <f>IF(OR(X203="",F203=""),"",X203-F203)</f>
        <v/>
      </c>
      <c r="AN203" s="98">
        <f>IF(OR(Y203="",G203=""),"",Y203-G203)</f>
        <v/>
      </c>
      <c r="AO203" s="98">
        <f>IF(OR(Z203="",H203=""),"",Z203-H203)</f>
        <v/>
      </c>
      <c r="AP203" s="98">
        <f>IF(OR(AA203="",I203=""),"",AA203-I203)</f>
        <v/>
      </c>
      <c r="AQ203" s="123">
        <f>IF(OR(AB203="",J203=""),"",AB203-J203)</f>
        <v/>
      </c>
      <c r="AR203" s="39" t="n"/>
      <c r="AS203" s="332" t="n"/>
      <c r="AT203" s="39" t="n"/>
    </row>
    <row r="204" ht="13.5" customHeight="1" s="279">
      <c r="B204" s="294" t="n"/>
      <c r="C204" s="29" t="inlineStr">
        <is>
          <t>r02</t>
        </is>
      </c>
      <c r="D204" s="191" t="n"/>
      <c r="E204" s="58" t="n"/>
      <c r="F204" s="192" t="n"/>
      <c r="G204" s="192" t="n"/>
      <c r="H204" s="192" t="n"/>
      <c r="I204" s="64" t="n"/>
      <c r="J204" s="64" t="n"/>
      <c r="K204" s="193" t="n"/>
      <c r="L204" s="357" t="n"/>
      <c r="M204" s="357" t="n"/>
      <c r="N204" s="58" t="n"/>
      <c r="O204" s="30" t="n"/>
      <c r="P204" s="58" t="n"/>
      <c r="Q204" s="30" t="n"/>
      <c r="R204" s="135" t="n"/>
      <c r="S204" s="301" t="n"/>
      <c r="T204" s="294" t="n"/>
      <c r="U204" s="29" t="inlineStr">
        <is>
          <t>r02</t>
        </is>
      </c>
      <c r="V204" s="191" t="n"/>
      <c r="W204" s="58" t="n"/>
      <c r="X204" s="192" t="n"/>
      <c r="Y204" s="192" t="n"/>
      <c r="Z204" s="192" t="n"/>
      <c r="AA204" s="64" t="n"/>
      <c r="AB204" s="64" t="n"/>
      <c r="AC204" s="193" t="n"/>
      <c r="AD204" s="357" t="n"/>
      <c r="AE204" s="357" t="n"/>
      <c r="AF204" s="58" t="n"/>
      <c r="AG204" s="30" t="n"/>
      <c r="AH204" s="58" t="n"/>
      <c r="AI204" s="30" t="n"/>
      <c r="AJ204" s="135" t="n"/>
      <c r="AK204" s="212" t="n"/>
      <c r="AL204" s="294" t="n"/>
      <c r="AM204" s="89">
        <f>IF(OR(X204="",F204=""),"",X204-F204)</f>
        <v/>
      </c>
      <c r="AN204" s="124">
        <f>IF(OR(Y204="",G204=""),"",Y204-G204)</f>
        <v/>
      </c>
      <c r="AO204" s="124">
        <f>IF(OR(Z204="",H204=""),"",Z204-H204)</f>
        <v/>
      </c>
      <c r="AP204" s="124">
        <f>IF(OR(AA204="",I204=""),"",AA204-I204)</f>
        <v/>
      </c>
      <c r="AQ204" s="90">
        <f>IF(OR(AB204="",J204=""),"",AB204-J204)</f>
        <v/>
      </c>
      <c r="AR204" s="39" t="n"/>
      <c r="AS204" s="332" t="n"/>
      <c r="AT204" s="39" t="n"/>
    </row>
    <row r="205" ht="13.5" customHeight="1" s="279">
      <c r="B205" s="294" t="n"/>
      <c r="C205" s="29" t="inlineStr">
        <is>
          <t>r03</t>
        </is>
      </c>
      <c r="D205" s="191" t="n"/>
      <c r="E205" s="58" t="n"/>
      <c r="F205" s="192" t="n"/>
      <c r="G205" s="192" t="n"/>
      <c r="H205" s="192" t="n"/>
      <c r="I205" s="64" t="n"/>
      <c r="J205" s="64" t="n"/>
      <c r="K205" s="193" t="n"/>
      <c r="L205" s="357" t="n"/>
      <c r="M205" s="357" t="n"/>
      <c r="N205" s="58" t="n"/>
      <c r="O205" s="30" t="n"/>
      <c r="P205" s="58" t="n"/>
      <c r="Q205" s="30" t="n"/>
      <c r="R205" s="135" t="n"/>
      <c r="S205" s="301" t="n"/>
      <c r="T205" s="294" t="n"/>
      <c r="U205" s="29" t="inlineStr">
        <is>
          <t>r03</t>
        </is>
      </c>
      <c r="V205" s="191" t="n"/>
      <c r="W205" s="58" t="n"/>
      <c r="X205" s="192" t="n"/>
      <c r="Y205" s="192" t="n"/>
      <c r="Z205" s="192" t="n"/>
      <c r="AA205" s="64" t="n"/>
      <c r="AB205" s="64" t="n"/>
      <c r="AC205" s="193" t="n"/>
      <c r="AD205" s="357" t="n"/>
      <c r="AE205" s="357" t="n"/>
      <c r="AF205" s="58" t="n"/>
      <c r="AG205" s="30" t="n"/>
      <c r="AH205" s="58" t="n"/>
      <c r="AI205" s="30" t="n"/>
      <c r="AJ205" s="135" t="n"/>
      <c r="AK205" s="212" t="n"/>
      <c r="AL205" s="294" t="n"/>
      <c r="AM205" s="89">
        <f>IF(OR(X205="",F205=""),"",X205-F205)</f>
        <v/>
      </c>
      <c r="AN205" s="124">
        <f>IF(OR(Y205="",G205=""),"",Y205-G205)</f>
        <v/>
      </c>
      <c r="AO205" s="124">
        <f>IF(OR(Z205="",H205=""),"",Z205-H205)</f>
        <v/>
      </c>
      <c r="AP205" s="124">
        <f>IF(OR(AA205="",I205=""),"",AA205-I205)</f>
        <v/>
      </c>
      <c r="AQ205" s="90">
        <f>IF(OR(AB205="",J205=""),"",AB205-J205)</f>
        <v/>
      </c>
      <c r="AR205" s="39" t="n"/>
      <c r="AS205" s="332" t="n"/>
      <c r="AT205" s="39" t="n"/>
    </row>
    <row r="206" ht="13.5" customHeight="1" s="279">
      <c r="B206" s="294" t="n"/>
      <c r="C206" s="29" t="inlineStr">
        <is>
          <t>r04</t>
        </is>
      </c>
      <c r="D206" s="191" t="n"/>
      <c r="E206" s="58" t="n"/>
      <c r="F206" s="192" t="n"/>
      <c r="G206" s="192" t="n"/>
      <c r="H206" s="192" t="n"/>
      <c r="I206" s="64" t="n"/>
      <c r="J206" s="64" t="n"/>
      <c r="K206" s="193" t="n"/>
      <c r="L206" s="357" t="n"/>
      <c r="M206" s="357" t="n"/>
      <c r="N206" s="58" t="n"/>
      <c r="O206" s="30" t="n"/>
      <c r="P206" s="58" t="n"/>
      <c r="Q206" s="30" t="n"/>
      <c r="R206" s="135" t="n"/>
      <c r="S206" s="301" t="n"/>
      <c r="T206" s="294" t="n"/>
      <c r="U206" s="29" t="inlineStr">
        <is>
          <t>r04</t>
        </is>
      </c>
      <c r="V206" s="191" t="n"/>
      <c r="W206" s="58" t="n"/>
      <c r="X206" s="192" t="n"/>
      <c r="Y206" s="192" t="n"/>
      <c r="Z206" s="192" t="n"/>
      <c r="AA206" s="64" t="n"/>
      <c r="AB206" s="64" t="n"/>
      <c r="AC206" s="193" t="n"/>
      <c r="AD206" s="357" t="n"/>
      <c r="AE206" s="357" t="n"/>
      <c r="AF206" s="58" t="n"/>
      <c r="AG206" s="30" t="n"/>
      <c r="AH206" s="58" t="n"/>
      <c r="AI206" s="30" t="n"/>
      <c r="AJ206" s="135" t="n"/>
      <c r="AK206" s="212" t="n"/>
      <c r="AL206" s="294" t="n"/>
      <c r="AM206" s="89">
        <f>IF(OR(X206="",F206=""),"",X206-F206)</f>
        <v/>
      </c>
      <c r="AN206" s="124">
        <f>IF(OR(Y206="",G206=""),"",Y206-G206)</f>
        <v/>
      </c>
      <c r="AO206" s="124">
        <f>IF(OR(Z206="",H206=""),"",Z206-H206)</f>
        <v/>
      </c>
      <c r="AP206" s="124">
        <f>IF(OR(AA206="",I206=""),"",AA206-I206)</f>
        <v/>
      </c>
      <c r="AQ206" s="90">
        <f>IF(OR(AB206="",J206=""),"",AB206-J206)</f>
        <v/>
      </c>
      <c r="AR206" s="39" t="n"/>
      <c r="AS206" s="332" t="n"/>
      <c r="AT206" s="39" t="n"/>
    </row>
    <row r="207" ht="13.5" customHeight="1" s="279" thickBot="1">
      <c r="B207" s="295" t="n"/>
      <c r="C207" s="29" t="n"/>
      <c r="D207" s="191" t="n"/>
      <c r="E207" s="58" t="n"/>
      <c r="F207" s="194" t="n"/>
      <c r="G207" s="194" t="n"/>
      <c r="H207" s="194" t="n"/>
      <c r="I207" s="58" t="n"/>
      <c r="J207" s="58" t="n"/>
      <c r="K207" s="193" t="n"/>
      <c r="L207" s="357" t="n"/>
      <c r="M207" s="357" t="n"/>
      <c r="N207" s="58" t="n"/>
      <c r="O207" s="30" t="n"/>
      <c r="P207" s="58" t="n"/>
      <c r="Q207" s="30" t="n"/>
      <c r="R207" s="189" t="n"/>
      <c r="S207" s="301" t="n"/>
      <c r="T207" s="295" t="n"/>
      <c r="U207" s="29" t="n"/>
      <c r="V207" s="191" t="n"/>
      <c r="W207" s="58" t="n"/>
      <c r="X207" s="194" t="n"/>
      <c r="Y207" s="194" t="n"/>
      <c r="Z207" s="194" t="n"/>
      <c r="AA207" s="58" t="n"/>
      <c r="AB207" s="58" t="n"/>
      <c r="AC207" s="193" t="n"/>
      <c r="AD207" s="357" t="n"/>
      <c r="AE207" s="357" t="n"/>
      <c r="AF207" s="58" t="n"/>
      <c r="AG207" s="30" t="n"/>
      <c r="AH207" s="58" t="n"/>
      <c r="AI207" s="30" t="n"/>
      <c r="AJ207" s="189" t="n"/>
      <c r="AK207" s="212" t="n"/>
      <c r="AL207" s="295" t="n"/>
      <c r="AM207" s="125">
        <f>IF(OR(X207="",F207=""),"",X207-F207)</f>
        <v/>
      </c>
      <c r="AN207" s="126">
        <f>IF(OR(Y207="",G207=""),"",Y207-G207)</f>
        <v/>
      </c>
      <c r="AO207" s="126">
        <f>IF(OR(Z207="",H207=""),"",Z207-H207)</f>
        <v/>
      </c>
      <c r="AP207" s="126">
        <f>IF(OR(AA207="",I207=""),"",AA207-I207)</f>
        <v/>
      </c>
      <c r="AQ207" s="127">
        <f>IF(OR(AB207="",J207=""),"",AB207-J207)</f>
        <v/>
      </c>
      <c r="AR207" s="39" t="n"/>
      <c r="AS207" s="332" t="n"/>
      <c r="AT207" s="39" t="n"/>
    </row>
    <row r="208" ht="13.5" customHeight="1" s="279">
      <c r="B208" s="293" t="inlineStr">
        <is>
          <t>v35</t>
        </is>
      </c>
      <c r="C208" s="27" t="inlineStr">
        <is>
          <t>r01</t>
        </is>
      </c>
      <c r="D208" s="41" t="n"/>
      <c r="E208" s="57" t="n"/>
      <c r="F208" s="99" t="n"/>
      <c r="G208" s="99" t="n"/>
      <c r="H208" s="99" t="n"/>
      <c r="I208" s="62" t="n"/>
      <c r="J208" s="62" t="n"/>
      <c r="K208" s="63" t="n"/>
      <c r="L208" s="356" t="n"/>
      <c r="M208" s="356" t="n"/>
      <c r="N208" s="57" t="n"/>
      <c r="O208" s="28" t="n"/>
      <c r="P208" s="57" t="n"/>
      <c r="Q208" s="28" t="n"/>
      <c r="R208" s="134" t="n"/>
      <c r="S208" s="301" t="n"/>
      <c r="T208" s="293" t="inlineStr">
        <is>
          <t>v35</t>
        </is>
      </c>
      <c r="U208" s="27" t="inlineStr">
        <is>
          <t>r01</t>
        </is>
      </c>
      <c r="V208" s="41" t="n"/>
      <c r="W208" s="57" t="n"/>
      <c r="X208" s="99" t="n"/>
      <c r="Y208" s="99" t="n"/>
      <c r="Z208" s="99" t="n"/>
      <c r="AA208" s="62" t="n"/>
      <c r="AB208" s="62" t="n"/>
      <c r="AC208" s="63" t="n"/>
      <c r="AD208" s="356" t="n"/>
      <c r="AE208" s="356" t="n"/>
      <c r="AF208" s="57" t="n"/>
      <c r="AG208" s="28" t="n"/>
      <c r="AH208" s="57" t="n"/>
      <c r="AI208" s="28" t="n"/>
      <c r="AJ208" s="134" t="n"/>
      <c r="AK208" s="212" t="n"/>
      <c r="AL208" s="293" t="inlineStr">
        <is>
          <t>v35</t>
        </is>
      </c>
      <c r="AM208" s="122">
        <f>IF(OR(X208="",F208=""),"",X208-F208)</f>
        <v/>
      </c>
      <c r="AN208" s="98">
        <f>IF(OR(Y208="",G208=""),"",Y208-G208)</f>
        <v/>
      </c>
      <c r="AO208" s="98">
        <f>IF(OR(Z208="",H208=""),"",Z208-H208)</f>
        <v/>
      </c>
      <c r="AP208" s="98">
        <f>IF(OR(AA208="",I208=""),"",AA208-I208)</f>
        <v/>
      </c>
      <c r="AQ208" s="123">
        <f>IF(OR(AB208="",J208=""),"",AB208-J208)</f>
        <v/>
      </c>
      <c r="AR208" s="39" t="n"/>
      <c r="AS208" s="332" t="n"/>
      <c r="AT208" s="39" t="n"/>
    </row>
    <row r="209" ht="13.5" customHeight="1" s="279">
      <c r="B209" s="294" t="n"/>
      <c r="C209" s="29" t="inlineStr">
        <is>
          <t>r02</t>
        </is>
      </c>
      <c r="D209" s="191" t="n"/>
      <c r="E209" s="58" t="n"/>
      <c r="F209" s="192" t="n"/>
      <c r="G209" s="192" t="n"/>
      <c r="H209" s="192" t="n"/>
      <c r="I209" s="64" t="n"/>
      <c r="J209" s="64" t="n"/>
      <c r="K209" s="193" t="n"/>
      <c r="L209" s="357" t="n"/>
      <c r="M209" s="357" t="n"/>
      <c r="N209" s="58" t="n"/>
      <c r="O209" s="30" t="n"/>
      <c r="P209" s="58" t="n"/>
      <c r="Q209" s="30" t="n"/>
      <c r="R209" s="135" t="n"/>
      <c r="S209" s="301" t="n"/>
      <c r="T209" s="294" t="n"/>
      <c r="U209" s="29" t="inlineStr">
        <is>
          <t>r02</t>
        </is>
      </c>
      <c r="V209" s="191" t="n"/>
      <c r="W209" s="58" t="n"/>
      <c r="X209" s="192" t="n"/>
      <c r="Y209" s="192" t="n"/>
      <c r="Z209" s="192" t="n"/>
      <c r="AA209" s="64" t="n"/>
      <c r="AB209" s="64" t="n"/>
      <c r="AC209" s="193" t="n"/>
      <c r="AD209" s="357" t="n"/>
      <c r="AE209" s="357" t="n"/>
      <c r="AF209" s="58" t="n"/>
      <c r="AG209" s="30" t="n"/>
      <c r="AH209" s="58" t="n"/>
      <c r="AI209" s="30" t="n"/>
      <c r="AJ209" s="135" t="n"/>
      <c r="AK209" s="212" t="n"/>
      <c r="AL209" s="294" t="n"/>
      <c r="AM209" s="89">
        <f>IF(OR(X209="",F209=""),"",X209-F209)</f>
        <v/>
      </c>
      <c r="AN209" s="124">
        <f>IF(OR(Y209="",G209=""),"",Y209-G209)</f>
        <v/>
      </c>
      <c r="AO209" s="124">
        <f>IF(OR(Z209="",H209=""),"",Z209-H209)</f>
        <v/>
      </c>
      <c r="AP209" s="124">
        <f>IF(OR(AA209="",I209=""),"",AA209-I209)</f>
        <v/>
      </c>
      <c r="AQ209" s="90">
        <f>IF(OR(AB209="",J209=""),"",AB209-J209)</f>
        <v/>
      </c>
      <c r="AR209" s="39" t="n"/>
      <c r="AS209" s="332" t="n"/>
      <c r="AT209" s="39" t="n"/>
    </row>
    <row r="210" ht="13.5" customHeight="1" s="279">
      <c r="B210" s="294" t="n"/>
      <c r="C210" s="29" t="inlineStr">
        <is>
          <t>r03</t>
        </is>
      </c>
      <c r="D210" s="191" t="n"/>
      <c r="E210" s="58" t="n"/>
      <c r="F210" s="192" t="n"/>
      <c r="G210" s="192" t="n"/>
      <c r="H210" s="192" t="n"/>
      <c r="I210" s="64" t="n"/>
      <c r="J210" s="64" t="n"/>
      <c r="K210" s="193" t="n"/>
      <c r="L210" s="357" t="n"/>
      <c r="M210" s="357" t="n"/>
      <c r="N210" s="58" t="n"/>
      <c r="O210" s="30" t="n"/>
      <c r="P210" s="58" t="n"/>
      <c r="Q210" s="30" t="n"/>
      <c r="R210" s="135" t="n"/>
      <c r="S210" s="301" t="n"/>
      <c r="T210" s="294" t="n"/>
      <c r="U210" s="29" t="inlineStr">
        <is>
          <t>r03</t>
        </is>
      </c>
      <c r="V210" s="191" t="n"/>
      <c r="W210" s="58" t="n"/>
      <c r="X210" s="192" t="n"/>
      <c r="Y210" s="192" t="n"/>
      <c r="Z210" s="192" t="n"/>
      <c r="AA210" s="64" t="n"/>
      <c r="AB210" s="64" t="n"/>
      <c r="AC210" s="193" t="n"/>
      <c r="AD210" s="357" t="n"/>
      <c r="AE210" s="357" t="n"/>
      <c r="AF210" s="58" t="n"/>
      <c r="AG210" s="30" t="n"/>
      <c r="AH210" s="58" t="n"/>
      <c r="AI210" s="30" t="n"/>
      <c r="AJ210" s="135" t="n"/>
      <c r="AK210" s="212" t="n"/>
      <c r="AL210" s="294" t="n"/>
      <c r="AM210" s="89">
        <f>IF(OR(X210="",F210=""),"",X210-F210)</f>
        <v/>
      </c>
      <c r="AN210" s="124">
        <f>IF(OR(Y210="",G210=""),"",Y210-G210)</f>
        <v/>
      </c>
      <c r="AO210" s="124">
        <f>IF(OR(Z210="",H210=""),"",Z210-H210)</f>
        <v/>
      </c>
      <c r="AP210" s="124">
        <f>IF(OR(AA210="",I210=""),"",AA210-I210)</f>
        <v/>
      </c>
      <c r="AQ210" s="90">
        <f>IF(OR(AB210="",J210=""),"",AB210-J210)</f>
        <v/>
      </c>
      <c r="AR210" s="39" t="n"/>
      <c r="AS210" s="332" t="n"/>
      <c r="AT210" s="39" t="n"/>
    </row>
    <row r="211" ht="13.5" customHeight="1" s="279">
      <c r="B211" s="294" t="n"/>
      <c r="C211" s="29" t="inlineStr">
        <is>
          <t>r04</t>
        </is>
      </c>
      <c r="D211" s="191" t="n"/>
      <c r="E211" s="58" t="n"/>
      <c r="F211" s="192" t="n"/>
      <c r="G211" s="192" t="n"/>
      <c r="H211" s="192" t="n"/>
      <c r="I211" s="64" t="n"/>
      <c r="J211" s="64" t="n"/>
      <c r="K211" s="193" t="n"/>
      <c r="L211" s="357" t="n"/>
      <c r="M211" s="357" t="n"/>
      <c r="N211" s="58" t="n"/>
      <c r="O211" s="30" t="n"/>
      <c r="P211" s="58" t="n"/>
      <c r="Q211" s="30" t="n"/>
      <c r="R211" s="135" t="n"/>
      <c r="S211" s="301" t="n"/>
      <c r="T211" s="294" t="n"/>
      <c r="U211" s="29" t="inlineStr">
        <is>
          <t>r04</t>
        </is>
      </c>
      <c r="V211" s="191" t="n"/>
      <c r="W211" s="58" t="n"/>
      <c r="X211" s="192" t="n"/>
      <c r="Y211" s="192" t="n"/>
      <c r="Z211" s="192" t="n"/>
      <c r="AA211" s="64" t="n"/>
      <c r="AB211" s="64" t="n"/>
      <c r="AC211" s="193" t="n"/>
      <c r="AD211" s="357" t="n"/>
      <c r="AE211" s="357" t="n"/>
      <c r="AF211" s="58" t="n"/>
      <c r="AG211" s="30" t="n"/>
      <c r="AH211" s="58" t="n"/>
      <c r="AI211" s="30" t="n"/>
      <c r="AJ211" s="135" t="n"/>
      <c r="AK211" s="212" t="n"/>
      <c r="AL211" s="294" t="n"/>
      <c r="AM211" s="89">
        <f>IF(OR(X211="",F211=""),"",X211-F211)</f>
        <v/>
      </c>
      <c r="AN211" s="124">
        <f>IF(OR(Y211="",G211=""),"",Y211-G211)</f>
        <v/>
      </c>
      <c r="AO211" s="124">
        <f>IF(OR(Z211="",H211=""),"",Z211-H211)</f>
        <v/>
      </c>
      <c r="AP211" s="124">
        <f>IF(OR(AA211="",I211=""),"",AA211-I211)</f>
        <v/>
      </c>
      <c r="AQ211" s="90">
        <f>IF(OR(AB211="",J211=""),"",AB211-J211)</f>
        <v/>
      </c>
      <c r="AR211" s="39" t="n"/>
      <c r="AS211" s="332" t="n"/>
      <c r="AT211" s="39" t="n"/>
    </row>
    <row r="212" ht="13.5" customHeight="1" s="279" thickBot="1">
      <c r="B212" s="295" t="n"/>
      <c r="C212" s="29" t="n"/>
      <c r="D212" s="191" t="n"/>
      <c r="E212" s="58" t="n"/>
      <c r="F212" s="194" t="n"/>
      <c r="G212" s="194" t="n"/>
      <c r="H212" s="194" t="n"/>
      <c r="I212" s="58" t="n"/>
      <c r="J212" s="58" t="n"/>
      <c r="K212" s="193" t="n"/>
      <c r="L212" s="357" t="n"/>
      <c r="M212" s="357" t="n"/>
      <c r="N212" s="58" t="n"/>
      <c r="O212" s="30" t="n"/>
      <c r="P212" s="58" t="n"/>
      <c r="Q212" s="30" t="n"/>
      <c r="R212" s="189" t="n"/>
      <c r="S212" s="301" t="n"/>
      <c r="T212" s="295" t="n"/>
      <c r="U212" s="29" t="n"/>
      <c r="V212" s="191" t="n"/>
      <c r="W212" s="58" t="n"/>
      <c r="X212" s="194" t="n"/>
      <c r="Y212" s="194" t="n"/>
      <c r="Z212" s="194" t="n"/>
      <c r="AA212" s="58" t="n"/>
      <c r="AB212" s="58" t="n"/>
      <c r="AC212" s="193" t="n"/>
      <c r="AD212" s="357" t="n"/>
      <c r="AE212" s="357" t="n"/>
      <c r="AF212" s="58" t="n"/>
      <c r="AG212" s="30" t="n"/>
      <c r="AH212" s="58" t="n"/>
      <c r="AI212" s="30" t="n"/>
      <c r="AJ212" s="189" t="n"/>
      <c r="AK212" s="212" t="n"/>
      <c r="AL212" s="295" t="n"/>
      <c r="AM212" s="125">
        <f>IF(OR(X212="",F212=""),"",X212-F212)</f>
        <v/>
      </c>
      <c r="AN212" s="126">
        <f>IF(OR(Y212="",G212=""),"",Y212-G212)</f>
        <v/>
      </c>
      <c r="AO212" s="126">
        <f>IF(OR(Z212="",H212=""),"",Z212-H212)</f>
        <v/>
      </c>
      <c r="AP212" s="126">
        <f>IF(OR(AA212="",I212=""),"",AA212-I212)</f>
        <v/>
      </c>
      <c r="AQ212" s="127">
        <f>IF(OR(AB212="",J212=""),"",AB212-J212)</f>
        <v/>
      </c>
      <c r="AR212" s="39" t="n"/>
      <c r="AS212" s="332" t="n"/>
      <c r="AT212" s="39" t="n"/>
    </row>
    <row r="213" ht="13.5" customHeight="1" s="279">
      <c r="B213" s="293" t="inlineStr">
        <is>
          <t>v36</t>
        </is>
      </c>
      <c r="C213" s="27" t="inlineStr">
        <is>
          <t>r01</t>
        </is>
      </c>
      <c r="D213" s="41" t="n"/>
      <c r="E213" s="57" t="n"/>
      <c r="F213" s="99" t="n"/>
      <c r="G213" s="99" t="n"/>
      <c r="H213" s="99" t="n"/>
      <c r="I213" s="62" t="n"/>
      <c r="J213" s="62" t="n"/>
      <c r="K213" s="63" t="n"/>
      <c r="L213" s="356" t="n"/>
      <c r="M213" s="356" t="n"/>
      <c r="N213" s="57" t="n"/>
      <c r="O213" s="28" t="n"/>
      <c r="P213" s="57" t="n"/>
      <c r="Q213" s="28" t="n"/>
      <c r="R213" s="134" t="n"/>
      <c r="S213" s="301" t="n"/>
      <c r="T213" s="293" t="inlineStr">
        <is>
          <t>v36</t>
        </is>
      </c>
      <c r="U213" s="27" t="inlineStr">
        <is>
          <t>r01</t>
        </is>
      </c>
      <c r="V213" s="41" t="n"/>
      <c r="W213" s="57" t="n"/>
      <c r="X213" s="99" t="n"/>
      <c r="Y213" s="99" t="n"/>
      <c r="Z213" s="99" t="n"/>
      <c r="AA213" s="62" t="n"/>
      <c r="AB213" s="62" t="n"/>
      <c r="AC213" s="63" t="n"/>
      <c r="AD213" s="356" t="n"/>
      <c r="AE213" s="356" t="n"/>
      <c r="AF213" s="57" t="n"/>
      <c r="AG213" s="28" t="n"/>
      <c r="AH213" s="57" t="n"/>
      <c r="AI213" s="28" t="n"/>
      <c r="AJ213" s="134" t="n"/>
      <c r="AK213" s="212" t="n"/>
      <c r="AL213" s="293" t="inlineStr">
        <is>
          <t>v36</t>
        </is>
      </c>
      <c r="AM213" s="122">
        <f>IF(OR(X213="",F213=""),"",X213-F213)</f>
        <v/>
      </c>
      <c r="AN213" s="98">
        <f>IF(OR(Y213="",G213=""),"",Y213-G213)</f>
        <v/>
      </c>
      <c r="AO213" s="98">
        <f>IF(OR(Z213="",H213=""),"",Z213-H213)</f>
        <v/>
      </c>
      <c r="AP213" s="98">
        <f>IF(OR(AA213="",I213=""),"",AA213-I213)</f>
        <v/>
      </c>
      <c r="AQ213" s="123">
        <f>IF(OR(AB213="",J213=""),"",AB213-J213)</f>
        <v/>
      </c>
      <c r="AR213" s="39" t="n"/>
      <c r="AS213" s="332" t="n"/>
      <c r="AT213" s="39" t="n"/>
    </row>
    <row r="214" ht="13.5" customHeight="1" s="279">
      <c r="B214" s="294" t="n"/>
      <c r="C214" s="29" t="inlineStr">
        <is>
          <t>r02</t>
        </is>
      </c>
      <c r="D214" s="191" t="n"/>
      <c r="E214" s="58" t="n"/>
      <c r="F214" s="192" t="n"/>
      <c r="G214" s="192" t="n"/>
      <c r="H214" s="192" t="n"/>
      <c r="I214" s="64" t="n"/>
      <c r="J214" s="64" t="n"/>
      <c r="K214" s="193" t="n"/>
      <c r="L214" s="357" t="n"/>
      <c r="M214" s="357" t="n"/>
      <c r="N214" s="58" t="n"/>
      <c r="O214" s="30" t="n"/>
      <c r="P214" s="58" t="n"/>
      <c r="Q214" s="30" t="n"/>
      <c r="R214" s="135" t="n"/>
      <c r="S214" s="301" t="n"/>
      <c r="T214" s="294" t="n"/>
      <c r="U214" s="29" t="inlineStr">
        <is>
          <t>r02</t>
        </is>
      </c>
      <c r="V214" s="191" t="n"/>
      <c r="W214" s="58" t="n"/>
      <c r="X214" s="192" t="n"/>
      <c r="Y214" s="192" t="n"/>
      <c r="Z214" s="192" t="n"/>
      <c r="AA214" s="64" t="n"/>
      <c r="AB214" s="64" t="n"/>
      <c r="AC214" s="193" t="n"/>
      <c r="AD214" s="357" t="n"/>
      <c r="AE214" s="357" t="n"/>
      <c r="AF214" s="58" t="n"/>
      <c r="AG214" s="30" t="n"/>
      <c r="AH214" s="58" t="n"/>
      <c r="AI214" s="30" t="n"/>
      <c r="AJ214" s="135" t="n"/>
      <c r="AK214" s="212" t="n"/>
      <c r="AL214" s="294" t="n"/>
      <c r="AM214" s="89">
        <f>IF(OR(X214="",F214=""),"",X214-F214)</f>
        <v/>
      </c>
      <c r="AN214" s="124">
        <f>IF(OR(Y214="",G214=""),"",Y214-G214)</f>
        <v/>
      </c>
      <c r="AO214" s="124">
        <f>IF(OR(Z214="",H214=""),"",Z214-H214)</f>
        <v/>
      </c>
      <c r="AP214" s="124">
        <f>IF(OR(AA214="",I214=""),"",AA214-I214)</f>
        <v/>
      </c>
      <c r="AQ214" s="90">
        <f>IF(OR(AB214="",J214=""),"",AB214-J214)</f>
        <v/>
      </c>
      <c r="AR214" s="39" t="n"/>
      <c r="AS214" s="332" t="n"/>
      <c r="AT214" s="39" t="n"/>
    </row>
    <row r="215" ht="13.5" customHeight="1" s="279">
      <c r="B215" s="294" t="n"/>
      <c r="C215" s="29" t="inlineStr">
        <is>
          <t>r03</t>
        </is>
      </c>
      <c r="D215" s="191" t="n"/>
      <c r="E215" s="58" t="n"/>
      <c r="F215" s="192" t="n"/>
      <c r="G215" s="192" t="n"/>
      <c r="H215" s="192" t="n"/>
      <c r="I215" s="64" t="n"/>
      <c r="J215" s="64" t="n"/>
      <c r="K215" s="193" t="n"/>
      <c r="L215" s="357" t="n"/>
      <c r="M215" s="357" t="n"/>
      <c r="N215" s="58" t="n"/>
      <c r="O215" s="30" t="n"/>
      <c r="P215" s="58" t="n"/>
      <c r="Q215" s="30" t="n"/>
      <c r="R215" s="135" t="n"/>
      <c r="S215" s="301" t="n"/>
      <c r="T215" s="294" t="n"/>
      <c r="U215" s="29" t="inlineStr">
        <is>
          <t>r03</t>
        </is>
      </c>
      <c r="V215" s="191" t="n"/>
      <c r="W215" s="58" t="n"/>
      <c r="X215" s="192" t="n"/>
      <c r="Y215" s="192" t="n"/>
      <c r="Z215" s="192" t="n"/>
      <c r="AA215" s="64" t="n"/>
      <c r="AB215" s="64" t="n"/>
      <c r="AC215" s="193" t="n"/>
      <c r="AD215" s="357" t="n"/>
      <c r="AE215" s="357" t="n"/>
      <c r="AF215" s="58" t="n"/>
      <c r="AG215" s="30" t="n"/>
      <c r="AH215" s="58" t="n"/>
      <c r="AI215" s="30" t="n"/>
      <c r="AJ215" s="135" t="n"/>
      <c r="AK215" s="212" t="n"/>
      <c r="AL215" s="294" t="n"/>
      <c r="AM215" s="89">
        <f>IF(OR(X215="",F215=""),"",X215-F215)</f>
        <v/>
      </c>
      <c r="AN215" s="124">
        <f>IF(OR(Y215="",G215=""),"",Y215-G215)</f>
        <v/>
      </c>
      <c r="AO215" s="124">
        <f>IF(OR(Z215="",H215=""),"",Z215-H215)</f>
        <v/>
      </c>
      <c r="AP215" s="124">
        <f>IF(OR(AA215="",I215=""),"",AA215-I215)</f>
        <v/>
      </c>
      <c r="AQ215" s="90">
        <f>IF(OR(AB215="",J215=""),"",AB215-J215)</f>
        <v/>
      </c>
      <c r="AR215" s="39" t="n"/>
      <c r="AS215" s="332" t="n"/>
      <c r="AT215" s="39" t="n"/>
    </row>
    <row r="216" ht="13.5" customHeight="1" s="279">
      <c r="B216" s="294" t="n"/>
      <c r="C216" s="29" t="inlineStr">
        <is>
          <t>r04</t>
        </is>
      </c>
      <c r="D216" s="191" t="n"/>
      <c r="E216" s="58" t="n"/>
      <c r="F216" s="192" t="n"/>
      <c r="G216" s="192" t="n"/>
      <c r="H216" s="192" t="n"/>
      <c r="I216" s="64" t="n"/>
      <c r="J216" s="64" t="n"/>
      <c r="K216" s="193" t="n"/>
      <c r="L216" s="357" t="n"/>
      <c r="M216" s="357" t="n"/>
      <c r="N216" s="58" t="n"/>
      <c r="O216" s="30" t="n"/>
      <c r="P216" s="58" t="n"/>
      <c r="Q216" s="30" t="n"/>
      <c r="R216" s="135" t="n"/>
      <c r="S216" s="301" t="n"/>
      <c r="T216" s="294" t="n"/>
      <c r="U216" s="29" t="inlineStr">
        <is>
          <t>r04</t>
        </is>
      </c>
      <c r="V216" s="191" t="n"/>
      <c r="W216" s="58" t="n"/>
      <c r="X216" s="192" t="n"/>
      <c r="Y216" s="192" t="n"/>
      <c r="Z216" s="192" t="n"/>
      <c r="AA216" s="64" t="n"/>
      <c r="AB216" s="64" t="n"/>
      <c r="AC216" s="193" t="n"/>
      <c r="AD216" s="357" t="n"/>
      <c r="AE216" s="357" t="n"/>
      <c r="AF216" s="58" t="n"/>
      <c r="AG216" s="30" t="n"/>
      <c r="AH216" s="58" t="n"/>
      <c r="AI216" s="30" t="n"/>
      <c r="AJ216" s="135" t="n"/>
      <c r="AK216" s="212" t="n"/>
      <c r="AL216" s="294" t="n"/>
      <c r="AM216" s="89">
        <f>IF(OR(X216="",F216=""),"",X216-F216)</f>
        <v/>
      </c>
      <c r="AN216" s="124">
        <f>IF(OR(Y216="",G216=""),"",Y216-G216)</f>
        <v/>
      </c>
      <c r="AO216" s="124">
        <f>IF(OR(Z216="",H216=""),"",Z216-H216)</f>
        <v/>
      </c>
      <c r="AP216" s="124">
        <f>IF(OR(AA216="",I216=""),"",AA216-I216)</f>
        <v/>
      </c>
      <c r="AQ216" s="90">
        <f>IF(OR(AB216="",J216=""),"",AB216-J216)</f>
        <v/>
      </c>
      <c r="AR216" s="39" t="n"/>
      <c r="AS216" s="332" t="n"/>
      <c r="AT216" s="39" t="n"/>
    </row>
    <row r="217" ht="13.5" customHeight="1" s="279" thickBot="1">
      <c r="B217" s="295" t="n"/>
      <c r="C217" s="29" t="n"/>
      <c r="D217" s="191" t="n"/>
      <c r="E217" s="58" t="n"/>
      <c r="F217" s="194" t="n"/>
      <c r="G217" s="194" t="n"/>
      <c r="H217" s="194" t="n"/>
      <c r="I217" s="58" t="n"/>
      <c r="J217" s="58" t="n"/>
      <c r="K217" s="193" t="n"/>
      <c r="L217" s="357" t="n"/>
      <c r="M217" s="357" t="n"/>
      <c r="N217" s="58" t="n"/>
      <c r="O217" s="30" t="n"/>
      <c r="P217" s="58" t="n"/>
      <c r="Q217" s="30" t="n"/>
      <c r="R217" s="189" t="n"/>
      <c r="S217" s="301" t="n"/>
      <c r="T217" s="295" t="n"/>
      <c r="U217" s="29" t="n"/>
      <c r="V217" s="191" t="n"/>
      <c r="W217" s="58" t="n"/>
      <c r="X217" s="194" t="n"/>
      <c r="Y217" s="194" t="n"/>
      <c r="Z217" s="194" t="n"/>
      <c r="AA217" s="58" t="n"/>
      <c r="AB217" s="58" t="n"/>
      <c r="AC217" s="193" t="n"/>
      <c r="AD217" s="357" t="n"/>
      <c r="AE217" s="357" t="n"/>
      <c r="AF217" s="58" t="n"/>
      <c r="AG217" s="30" t="n"/>
      <c r="AH217" s="58" t="n"/>
      <c r="AI217" s="30" t="n"/>
      <c r="AJ217" s="189" t="n"/>
      <c r="AK217" s="212" t="n"/>
      <c r="AL217" s="295" t="n"/>
      <c r="AM217" s="125">
        <f>IF(OR(X217="",F217=""),"",X217-F217)</f>
        <v/>
      </c>
      <c r="AN217" s="126">
        <f>IF(OR(Y217="",G217=""),"",Y217-G217)</f>
        <v/>
      </c>
      <c r="AO217" s="126">
        <f>IF(OR(Z217="",H217=""),"",Z217-H217)</f>
        <v/>
      </c>
      <c r="AP217" s="126">
        <f>IF(OR(AA217="",I217=""),"",AA217-I217)</f>
        <v/>
      </c>
      <c r="AQ217" s="127">
        <f>IF(OR(AB217="",J217=""),"",AB217-J217)</f>
        <v/>
      </c>
      <c r="AR217" s="39" t="n"/>
      <c r="AS217" s="332" t="n"/>
      <c r="AT217" s="39" t="n"/>
    </row>
    <row r="218" ht="13.5" customHeight="1" s="279">
      <c r="B218" s="293" t="inlineStr">
        <is>
          <t>v37</t>
        </is>
      </c>
      <c r="C218" s="27" t="inlineStr">
        <is>
          <t>r01</t>
        </is>
      </c>
      <c r="D218" s="41" t="n"/>
      <c r="E218" s="57" t="n"/>
      <c r="F218" s="99" t="n"/>
      <c r="G218" s="99" t="n"/>
      <c r="H218" s="99" t="n"/>
      <c r="I218" s="62" t="n"/>
      <c r="J218" s="62" t="n"/>
      <c r="K218" s="63" t="n"/>
      <c r="L218" s="356" t="n"/>
      <c r="M218" s="356" t="n"/>
      <c r="N218" s="57" t="n"/>
      <c r="O218" s="28" t="n"/>
      <c r="P218" s="57" t="n"/>
      <c r="Q218" s="28" t="n"/>
      <c r="R218" s="134" t="n"/>
      <c r="S218" s="301" t="n"/>
      <c r="T218" s="293" t="inlineStr">
        <is>
          <t>v37</t>
        </is>
      </c>
      <c r="U218" s="27" t="inlineStr">
        <is>
          <t>r01</t>
        </is>
      </c>
      <c r="V218" s="41" t="n"/>
      <c r="W218" s="57" t="n"/>
      <c r="X218" s="99" t="n"/>
      <c r="Y218" s="99" t="n"/>
      <c r="Z218" s="99" t="n"/>
      <c r="AA218" s="62" t="n"/>
      <c r="AB218" s="62" t="n"/>
      <c r="AC218" s="63" t="n"/>
      <c r="AD218" s="356" t="n"/>
      <c r="AE218" s="356" t="n"/>
      <c r="AF218" s="57" t="n"/>
      <c r="AG218" s="28" t="n"/>
      <c r="AH218" s="57" t="n"/>
      <c r="AI218" s="28" t="n"/>
      <c r="AJ218" s="134" t="n"/>
      <c r="AK218" s="212" t="n"/>
      <c r="AL218" s="293" t="inlineStr">
        <is>
          <t>v37</t>
        </is>
      </c>
      <c r="AM218" s="122">
        <f>IF(OR(X218="",F218=""),"",X218-F218)</f>
        <v/>
      </c>
      <c r="AN218" s="98">
        <f>IF(OR(Y218="",G218=""),"",Y218-G218)</f>
        <v/>
      </c>
      <c r="AO218" s="98">
        <f>IF(OR(Z218="",H218=""),"",Z218-H218)</f>
        <v/>
      </c>
      <c r="AP218" s="98">
        <f>IF(OR(AA218="",I218=""),"",AA218-I218)</f>
        <v/>
      </c>
      <c r="AQ218" s="123">
        <f>IF(OR(AB218="",J218=""),"",AB218-J218)</f>
        <v/>
      </c>
      <c r="AR218" s="39" t="n"/>
      <c r="AS218" s="332" t="n"/>
      <c r="AT218" s="39" t="n"/>
    </row>
    <row r="219" ht="13.5" customHeight="1" s="279">
      <c r="B219" s="294" t="n"/>
      <c r="C219" s="29" t="inlineStr">
        <is>
          <t>r02</t>
        </is>
      </c>
      <c r="D219" s="191" t="n"/>
      <c r="E219" s="58" t="n"/>
      <c r="F219" s="192" t="n"/>
      <c r="G219" s="192" t="n"/>
      <c r="H219" s="192" t="n"/>
      <c r="I219" s="64" t="n"/>
      <c r="J219" s="64" t="n"/>
      <c r="K219" s="193" t="n"/>
      <c r="L219" s="357" t="n"/>
      <c r="M219" s="357" t="n"/>
      <c r="N219" s="58" t="n"/>
      <c r="O219" s="30" t="n"/>
      <c r="P219" s="58" t="n"/>
      <c r="Q219" s="30" t="n"/>
      <c r="R219" s="135" t="n"/>
      <c r="S219" s="301" t="n"/>
      <c r="T219" s="294" t="n"/>
      <c r="U219" s="29" t="inlineStr">
        <is>
          <t>r02</t>
        </is>
      </c>
      <c r="V219" s="191" t="n"/>
      <c r="W219" s="58" t="n"/>
      <c r="X219" s="192" t="n"/>
      <c r="Y219" s="192" t="n"/>
      <c r="Z219" s="192" t="n"/>
      <c r="AA219" s="64" t="n"/>
      <c r="AB219" s="64" t="n"/>
      <c r="AC219" s="193" t="n"/>
      <c r="AD219" s="357" t="n"/>
      <c r="AE219" s="357" t="n"/>
      <c r="AF219" s="58" t="n"/>
      <c r="AG219" s="30" t="n"/>
      <c r="AH219" s="58" t="n"/>
      <c r="AI219" s="30" t="n"/>
      <c r="AJ219" s="135" t="n"/>
      <c r="AK219" s="212" t="n"/>
      <c r="AL219" s="294" t="n"/>
      <c r="AM219" s="89">
        <f>IF(OR(X219="",F219=""),"",X219-F219)</f>
        <v/>
      </c>
      <c r="AN219" s="124">
        <f>IF(OR(Y219="",G219=""),"",Y219-G219)</f>
        <v/>
      </c>
      <c r="AO219" s="124">
        <f>IF(OR(Z219="",H219=""),"",Z219-H219)</f>
        <v/>
      </c>
      <c r="AP219" s="124">
        <f>IF(OR(AA219="",I219=""),"",AA219-I219)</f>
        <v/>
      </c>
      <c r="AQ219" s="90">
        <f>IF(OR(AB219="",J219=""),"",AB219-J219)</f>
        <v/>
      </c>
      <c r="AR219" s="39" t="n"/>
      <c r="AS219" s="332" t="n"/>
      <c r="AT219" s="39" t="n"/>
    </row>
    <row r="220" ht="13.5" customHeight="1" s="279">
      <c r="B220" s="294" t="n"/>
      <c r="C220" s="29" t="inlineStr">
        <is>
          <t>r03</t>
        </is>
      </c>
      <c r="D220" s="191" t="n"/>
      <c r="E220" s="58" t="n"/>
      <c r="F220" s="192" t="n"/>
      <c r="G220" s="192" t="n"/>
      <c r="H220" s="192" t="n"/>
      <c r="I220" s="64" t="n"/>
      <c r="J220" s="64" t="n"/>
      <c r="K220" s="193" t="n"/>
      <c r="L220" s="357" t="n"/>
      <c r="M220" s="357" t="n"/>
      <c r="N220" s="58" t="n"/>
      <c r="O220" s="30" t="n"/>
      <c r="P220" s="58" t="n"/>
      <c r="Q220" s="30" t="n"/>
      <c r="R220" s="135" t="n"/>
      <c r="S220" s="301" t="n"/>
      <c r="T220" s="294" t="n"/>
      <c r="U220" s="29" t="inlineStr">
        <is>
          <t>r03</t>
        </is>
      </c>
      <c r="V220" s="191" t="n"/>
      <c r="W220" s="58" t="n"/>
      <c r="X220" s="192" t="n"/>
      <c r="Y220" s="192" t="n"/>
      <c r="Z220" s="192" t="n"/>
      <c r="AA220" s="64" t="n"/>
      <c r="AB220" s="64" t="n"/>
      <c r="AC220" s="193" t="n"/>
      <c r="AD220" s="357" t="n"/>
      <c r="AE220" s="357" t="n"/>
      <c r="AF220" s="58" t="n"/>
      <c r="AG220" s="30" t="n"/>
      <c r="AH220" s="58" t="n"/>
      <c r="AI220" s="30" t="n"/>
      <c r="AJ220" s="135" t="n"/>
      <c r="AK220" s="212" t="n"/>
      <c r="AL220" s="294" t="n"/>
      <c r="AM220" s="89">
        <f>IF(OR(X220="",F220=""),"",X220-F220)</f>
        <v/>
      </c>
      <c r="AN220" s="124">
        <f>IF(OR(Y220="",G220=""),"",Y220-G220)</f>
        <v/>
      </c>
      <c r="AO220" s="124">
        <f>IF(OR(Z220="",H220=""),"",Z220-H220)</f>
        <v/>
      </c>
      <c r="AP220" s="124">
        <f>IF(OR(AA220="",I220=""),"",AA220-I220)</f>
        <v/>
      </c>
      <c r="AQ220" s="90">
        <f>IF(OR(AB220="",J220=""),"",AB220-J220)</f>
        <v/>
      </c>
      <c r="AR220" s="39" t="n"/>
      <c r="AS220" s="332" t="n"/>
      <c r="AT220" s="39" t="n"/>
    </row>
    <row r="221" ht="13.5" customHeight="1" s="279">
      <c r="B221" s="294" t="n"/>
      <c r="C221" s="29" t="inlineStr">
        <is>
          <t>r04</t>
        </is>
      </c>
      <c r="D221" s="191" t="n"/>
      <c r="E221" s="58" t="n"/>
      <c r="F221" s="192" t="n"/>
      <c r="G221" s="192" t="n"/>
      <c r="H221" s="192" t="n"/>
      <c r="I221" s="64" t="n"/>
      <c r="J221" s="64" t="n"/>
      <c r="K221" s="193" t="n"/>
      <c r="L221" s="357" t="n"/>
      <c r="M221" s="357" t="n"/>
      <c r="N221" s="58" t="n"/>
      <c r="O221" s="30" t="n"/>
      <c r="P221" s="58" t="n"/>
      <c r="Q221" s="30" t="n"/>
      <c r="R221" s="135" t="n"/>
      <c r="S221" s="301" t="n"/>
      <c r="T221" s="294" t="n"/>
      <c r="U221" s="29" t="inlineStr">
        <is>
          <t>r04</t>
        </is>
      </c>
      <c r="V221" s="191" t="n"/>
      <c r="W221" s="58" t="n"/>
      <c r="X221" s="192" t="n"/>
      <c r="Y221" s="192" t="n"/>
      <c r="Z221" s="192" t="n"/>
      <c r="AA221" s="64" t="n"/>
      <c r="AB221" s="64" t="n"/>
      <c r="AC221" s="193" t="n"/>
      <c r="AD221" s="357" t="n"/>
      <c r="AE221" s="357" t="n"/>
      <c r="AF221" s="58" t="n"/>
      <c r="AG221" s="30" t="n"/>
      <c r="AH221" s="58" t="n"/>
      <c r="AI221" s="30" t="n"/>
      <c r="AJ221" s="135" t="n"/>
      <c r="AK221" s="212" t="n"/>
      <c r="AL221" s="294" t="n"/>
      <c r="AM221" s="89">
        <f>IF(OR(X221="",F221=""),"",X221-F221)</f>
        <v/>
      </c>
      <c r="AN221" s="124">
        <f>IF(OR(Y221="",G221=""),"",Y221-G221)</f>
        <v/>
      </c>
      <c r="AO221" s="124">
        <f>IF(OR(Z221="",H221=""),"",Z221-H221)</f>
        <v/>
      </c>
      <c r="AP221" s="124">
        <f>IF(OR(AA221="",I221=""),"",AA221-I221)</f>
        <v/>
      </c>
      <c r="AQ221" s="90">
        <f>IF(OR(AB221="",J221=""),"",AB221-J221)</f>
        <v/>
      </c>
      <c r="AR221" s="39" t="n"/>
      <c r="AS221" s="332" t="n"/>
      <c r="AT221" s="39" t="n"/>
    </row>
    <row r="222" ht="13.5" customHeight="1" s="279" thickBot="1">
      <c r="B222" s="295" t="n"/>
      <c r="C222" s="29" t="n"/>
      <c r="D222" s="191" t="n"/>
      <c r="E222" s="58" t="n"/>
      <c r="F222" s="194" t="n"/>
      <c r="G222" s="194" t="n"/>
      <c r="H222" s="194" t="n"/>
      <c r="I222" s="58" t="n"/>
      <c r="J222" s="58" t="n"/>
      <c r="K222" s="193" t="n"/>
      <c r="L222" s="357" t="n"/>
      <c r="M222" s="357" t="n"/>
      <c r="N222" s="58" t="n"/>
      <c r="O222" s="30" t="n"/>
      <c r="P222" s="58" t="n"/>
      <c r="Q222" s="30" t="n"/>
      <c r="R222" s="189" t="n"/>
      <c r="S222" s="301" t="n"/>
      <c r="T222" s="295" t="n"/>
      <c r="U222" s="29" t="n"/>
      <c r="V222" s="191" t="n"/>
      <c r="W222" s="58" t="n"/>
      <c r="X222" s="194" t="n"/>
      <c r="Y222" s="194" t="n"/>
      <c r="Z222" s="194" t="n"/>
      <c r="AA222" s="58" t="n"/>
      <c r="AB222" s="58" t="n"/>
      <c r="AC222" s="193" t="n"/>
      <c r="AD222" s="357" t="n"/>
      <c r="AE222" s="357" t="n"/>
      <c r="AF222" s="58" t="n"/>
      <c r="AG222" s="30" t="n"/>
      <c r="AH222" s="58" t="n"/>
      <c r="AI222" s="30" t="n"/>
      <c r="AJ222" s="189" t="n"/>
      <c r="AK222" s="212" t="n"/>
      <c r="AL222" s="295" t="n"/>
      <c r="AM222" s="125">
        <f>IF(OR(X222="",F222=""),"",X222-F222)</f>
        <v/>
      </c>
      <c r="AN222" s="126">
        <f>IF(OR(Y222="",G222=""),"",Y222-G222)</f>
        <v/>
      </c>
      <c r="AO222" s="126">
        <f>IF(OR(Z222="",H222=""),"",Z222-H222)</f>
        <v/>
      </c>
      <c r="AP222" s="126">
        <f>IF(OR(AA222="",I222=""),"",AA222-I222)</f>
        <v/>
      </c>
      <c r="AQ222" s="127">
        <f>IF(OR(AB222="",J222=""),"",AB222-J222)</f>
        <v/>
      </c>
      <c r="AR222" s="39" t="n"/>
      <c r="AS222" s="332" t="n"/>
      <c r="AT222" s="39" t="n"/>
    </row>
    <row r="223" ht="13.5" customHeight="1" s="279">
      <c r="B223" s="293" t="inlineStr">
        <is>
          <t>v38</t>
        </is>
      </c>
      <c r="C223" s="27" t="inlineStr">
        <is>
          <t>r01</t>
        </is>
      </c>
      <c r="D223" s="41" t="n"/>
      <c r="E223" s="57" t="n"/>
      <c r="F223" s="99" t="n"/>
      <c r="G223" s="99" t="n"/>
      <c r="H223" s="99" t="n"/>
      <c r="I223" s="62" t="n"/>
      <c r="J223" s="62" t="n"/>
      <c r="K223" s="63" t="n"/>
      <c r="L223" s="356" t="n"/>
      <c r="M223" s="356" t="n"/>
      <c r="N223" s="57" t="n"/>
      <c r="O223" s="28" t="n"/>
      <c r="P223" s="57" t="n"/>
      <c r="Q223" s="28" t="n"/>
      <c r="R223" s="134" t="n"/>
      <c r="S223" s="301" t="n"/>
      <c r="T223" s="293" t="inlineStr">
        <is>
          <t>v38</t>
        </is>
      </c>
      <c r="U223" s="27" t="inlineStr">
        <is>
          <t>r01</t>
        </is>
      </c>
      <c r="V223" s="41" t="n"/>
      <c r="W223" s="57" t="n"/>
      <c r="X223" s="99" t="n"/>
      <c r="Y223" s="99" t="n"/>
      <c r="Z223" s="99" t="n"/>
      <c r="AA223" s="62" t="n"/>
      <c r="AB223" s="62" t="n"/>
      <c r="AC223" s="63" t="n"/>
      <c r="AD223" s="356" t="n"/>
      <c r="AE223" s="356" t="n"/>
      <c r="AF223" s="57" t="n"/>
      <c r="AG223" s="28" t="n"/>
      <c r="AH223" s="57" t="n"/>
      <c r="AI223" s="28" t="n"/>
      <c r="AJ223" s="134" t="n"/>
      <c r="AK223" s="212" t="n"/>
      <c r="AL223" s="293" t="inlineStr">
        <is>
          <t>v38</t>
        </is>
      </c>
      <c r="AM223" s="122">
        <f>IF(OR(X223="",F223=""),"",X223-F223)</f>
        <v/>
      </c>
      <c r="AN223" s="98">
        <f>IF(OR(Y223="",G223=""),"",Y223-G223)</f>
        <v/>
      </c>
      <c r="AO223" s="98">
        <f>IF(OR(Z223="",H223=""),"",Z223-H223)</f>
        <v/>
      </c>
      <c r="AP223" s="98">
        <f>IF(OR(AA223="",I223=""),"",AA223-I223)</f>
        <v/>
      </c>
      <c r="AQ223" s="123">
        <f>IF(OR(AB223="",J223=""),"",AB223-J223)</f>
        <v/>
      </c>
      <c r="AR223" s="39" t="n"/>
      <c r="AS223" s="332" t="n"/>
      <c r="AT223" s="39" t="n"/>
    </row>
    <row r="224" ht="13.5" customHeight="1" s="279">
      <c r="B224" s="294" t="n"/>
      <c r="C224" s="29" t="inlineStr">
        <is>
          <t>r02</t>
        </is>
      </c>
      <c r="D224" s="191" t="n"/>
      <c r="E224" s="58" t="n"/>
      <c r="F224" s="192" t="n"/>
      <c r="G224" s="192" t="n"/>
      <c r="H224" s="192" t="n"/>
      <c r="I224" s="64" t="n"/>
      <c r="J224" s="64" t="n"/>
      <c r="K224" s="193" t="n"/>
      <c r="L224" s="357" t="n"/>
      <c r="M224" s="357" t="n"/>
      <c r="N224" s="58" t="n"/>
      <c r="O224" s="30" t="n"/>
      <c r="P224" s="58" t="n"/>
      <c r="Q224" s="30" t="n"/>
      <c r="R224" s="135" t="n"/>
      <c r="S224" s="301" t="n"/>
      <c r="T224" s="294" t="n"/>
      <c r="U224" s="29" t="inlineStr">
        <is>
          <t>r02</t>
        </is>
      </c>
      <c r="V224" s="191" t="n"/>
      <c r="W224" s="58" t="n"/>
      <c r="X224" s="192" t="n"/>
      <c r="Y224" s="192" t="n"/>
      <c r="Z224" s="192" t="n"/>
      <c r="AA224" s="64" t="n"/>
      <c r="AB224" s="64" t="n"/>
      <c r="AC224" s="193" t="n"/>
      <c r="AD224" s="357" t="n"/>
      <c r="AE224" s="357" t="n"/>
      <c r="AF224" s="58" t="n"/>
      <c r="AG224" s="30" t="n"/>
      <c r="AH224" s="58" t="n"/>
      <c r="AI224" s="30" t="n"/>
      <c r="AJ224" s="135" t="n"/>
      <c r="AK224" s="212" t="n"/>
      <c r="AL224" s="294" t="n"/>
      <c r="AM224" s="89">
        <f>IF(OR(X224="",F224=""),"",X224-F224)</f>
        <v/>
      </c>
      <c r="AN224" s="124">
        <f>IF(OR(Y224="",G224=""),"",Y224-G224)</f>
        <v/>
      </c>
      <c r="AO224" s="124">
        <f>IF(OR(Z224="",H224=""),"",Z224-H224)</f>
        <v/>
      </c>
      <c r="AP224" s="124">
        <f>IF(OR(AA224="",I224=""),"",AA224-I224)</f>
        <v/>
      </c>
      <c r="AQ224" s="90">
        <f>IF(OR(AB224="",J224=""),"",AB224-J224)</f>
        <v/>
      </c>
      <c r="AR224" s="39" t="n"/>
      <c r="AS224" s="332" t="n"/>
      <c r="AT224" s="39" t="n"/>
    </row>
    <row r="225" ht="13.5" customHeight="1" s="279">
      <c r="B225" s="294" t="n"/>
      <c r="C225" s="29" t="inlineStr">
        <is>
          <t>r03</t>
        </is>
      </c>
      <c r="D225" s="191" t="n"/>
      <c r="E225" s="58" t="n"/>
      <c r="F225" s="192" t="n"/>
      <c r="G225" s="192" t="n"/>
      <c r="H225" s="192" t="n"/>
      <c r="I225" s="64" t="n"/>
      <c r="J225" s="64" t="n"/>
      <c r="K225" s="193" t="n"/>
      <c r="L225" s="357" t="n"/>
      <c r="M225" s="357" t="n"/>
      <c r="N225" s="58" t="n"/>
      <c r="O225" s="30" t="n"/>
      <c r="P225" s="58" t="n"/>
      <c r="Q225" s="30" t="n"/>
      <c r="R225" s="135" t="n"/>
      <c r="S225" s="301" t="n"/>
      <c r="T225" s="294" t="n"/>
      <c r="U225" s="29" t="inlineStr">
        <is>
          <t>r03</t>
        </is>
      </c>
      <c r="V225" s="191" t="n"/>
      <c r="W225" s="58" t="n"/>
      <c r="X225" s="192" t="n"/>
      <c r="Y225" s="192" t="n"/>
      <c r="Z225" s="192" t="n"/>
      <c r="AA225" s="64" t="n"/>
      <c r="AB225" s="64" t="n"/>
      <c r="AC225" s="193" t="n"/>
      <c r="AD225" s="357" t="n"/>
      <c r="AE225" s="357" t="n"/>
      <c r="AF225" s="58" t="n"/>
      <c r="AG225" s="30" t="n"/>
      <c r="AH225" s="58" t="n"/>
      <c r="AI225" s="30" t="n"/>
      <c r="AJ225" s="135" t="n"/>
      <c r="AK225" s="212" t="n"/>
      <c r="AL225" s="294" t="n"/>
      <c r="AM225" s="89">
        <f>IF(OR(X225="",F225=""),"",X225-F225)</f>
        <v/>
      </c>
      <c r="AN225" s="124">
        <f>IF(OR(Y225="",G225=""),"",Y225-G225)</f>
        <v/>
      </c>
      <c r="AO225" s="124">
        <f>IF(OR(Z225="",H225=""),"",Z225-H225)</f>
        <v/>
      </c>
      <c r="AP225" s="124">
        <f>IF(OR(AA225="",I225=""),"",AA225-I225)</f>
        <v/>
      </c>
      <c r="AQ225" s="90">
        <f>IF(OR(AB225="",J225=""),"",AB225-J225)</f>
        <v/>
      </c>
      <c r="AR225" s="39" t="n"/>
      <c r="AS225" s="332" t="n"/>
      <c r="AT225" s="39" t="n"/>
    </row>
    <row r="226" ht="13.5" customHeight="1" s="279">
      <c r="B226" s="294" t="n"/>
      <c r="C226" s="29" t="inlineStr">
        <is>
          <t>r04</t>
        </is>
      </c>
      <c r="D226" s="191" t="n"/>
      <c r="E226" s="58" t="n"/>
      <c r="F226" s="192" t="n"/>
      <c r="G226" s="192" t="n"/>
      <c r="H226" s="192" t="n"/>
      <c r="I226" s="64" t="n"/>
      <c r="J226" s="64" t="n"/>
      <c r="K226" s="193" t="n"/>
      <c r="L226" s="357" t="n"/>
      <c r="M226" s="357" t="n"/>
      <c r="N226" s="58" t="n"/>
      <c r="O226" s="30" t="n"/>
      <c r="P226" s="58" t="n"/>
      <c r="Q226" s="30" t="n"/>
      <c r="R226" s="135" t="n"/>
      <c r="S226" s="301" t="n"/>
      <c r="T226" s="294" t="n"/>
      <c r="U226" s="29" t="inlineStr">
        <is>
          <t>r04</t>
        </is>
      </c>
      <c r="V226" s="191" t="n"/>
      <c r="W226" s="58" t="n"/>
      <c r="X226" s="192" t="n"/>
      <c r="Y226" s="192" t="n"/>
      <c r="Z226" s="192" t="n"/>
      <c r="AA226" s="64" t="n"/>
      <c r="AB226" s="64" t="n"/>
      <c r="AC226" s="193" t="n"/>
      <c r="AD226" s="357" t="n"/>
      <c r="AE226" s="357" t="n"/>
      <c r="AF226" s="58" t="n"/>
      <c r="AG226" s="30" t="n"/>
      <c r="AH226" s="58" t="n"/>
      <c r="AI226" s="30" t="n"/>
      <c r="AJ226" s="135" t="n"/>
      <c r="AK226" s="212" t="n"/>
      <c r="AL226" s="294" t="n"/>
      <c r="AM226" s="89">
        <f>IF(OR(X226="",F226=""),"",X226-F226)</f>
        <v/>
      </c>
      <c r="AN226" s="124">
        <f>IF(OR(Y226="",G226=""),"",Y226-G226)</f>
        <v/>
      </c>
      <c r="AO226" s="124">
        <f>IF(OR(Z226="",H226=""),"",Z226-H226)</f>
        <v/>
      </c>
      <c r="AP226" s="124">
        <f>IF(OR(AA226="",I226=""),"",AA226-I226)</f>
        <v/>
      </c>
      <c r="AQ226" s="90">
        <f>IF(OR(AB226="",J226=""),"",AB226-J226)</f>
        <v/>
      </c>
      <c r="AR226" s="39" t="n"/>
      <c r="AS226" s="332" t="n"/>
      <c r="AT226" s="39" t="n"/>
    </row>
    <row r="227" ht="13.5" customHeight="1" s="279" thickBot="1">
      <c r="B227" s="295" t="n"/>
      <c r="C227" s="29" t="n"/>
      <c r="D227" s="191" t="n"/>
      <c r="E227" s="58" t="n"/>
      <c r="F227" s="194" t="n"/>
      <c r="G227" s="194" t="n"/>
      <c r="H227" s="194" t="n"/>
      <c r="I227" s="58" t="n"/>
      <c r="J227" s="58" t="n"/>
      <c r="K227" s="193" t="n"/>
      <c r="L227" s="357" t="n"/>
      <c r="M227" s="357" t="n"/>
      <c r="N227" s="58" t="n"/>
      <c r="O227" s="30" t="n"/>
      <c r="P227" s="58" t="n"/>
      <c r="Q227" s="30" t="n"/>
      <c r="R227" s="189" t="n"/>
      <c r="S227" s="301" t="n"/>
      <c r="T227" s="295" t="n"/>
      <c r="U227" s="29" t="n"/>
      <c r="V227" s="191" t="n"/>
      <c r="W227" s="58" t="n"/>
      <c r="X227" s="194" t="n"/>
      <c r="Y227" s="194" t="n"/>
      <c r="Z227" s="194" t="n"/>
      <c r="AA227" s="58" t="n"/>
      <c r="AB227" s="58" t="n"/>
      <c r="AC227" s="193" t="n"/>
      <c r="AD227" s="357" t="n"/>
      <c r="AE227" s="357" t="n"/>
      <c r="AF227" s="58" t="n"/>
      <c r="AG227" s="30" t="n"/>
      <c r="AH227" s="58" t="n"/>
      <c r="AI227" s="30" t="n"/>
      <c r="AJ227" s="189" t="n"/>
      <c r="AK227" s="212" t="n"/>
      <c r="AL227" s="295" t="n"/>
      <c r="AM227" s="125">
        <f>IF(OR(X227="",F227=""),"",X227-F227)</f>
        <v/>
      </c>
      <c r="AN227" s="126">
        <f>IF(OR(Y227="",G227=""),"",Y227-G227)</f>
        <v/>
      </c>
      <c r="AO227" s="126">
        <f>IF(OR(Z227="",H227=""),"",Z227-H227)</f>
        <v/>
      </c>
      <c r="AP227" s="126">
        <f>IF(OR(AA227="",I227=""),"",AA227-I227)</f>
        <v/>
      </c>
      <c r="AQ227" s="127">
        <f>IF(OR(AB227="",J227=""),"",AB227-J227)</f>
        <v/>
      </c>
      <c r="AR227" s="39" t="n"/>
      <c r="AS227" s="332" t="n"/>
      <c r="AT227" s="39" t="n"/>
    </row>
    <row r="228" ht="13.5" customHeight="1" s="279">
      <c r="B228" s="293" t="inlineStr">
        <is>
          <t>v39</t>
        </is>
      </c>
      <c r="C228" s="27" t="inlineStr">
        <is>
          <t>r01</t>
        </is>
      </c>
      <c r="D228" s="41" t="n"/>
      <c r="E228" s="57" t="n"/>
      <c r="F228" s="99" t="n"/>
      <c r="G228" s="99" t="n"/>
      <c r="H228" s="99" t="n"/>
      <c r="I228" s="62" t="n"/>
      <c r="J228" s="62" t="n"/>
      <c r="K228" s="63" t="n"/>
      <c r="L228" s="356" t="n"/>
      <c r="M228" s="356" t="n"/>
      <c r="N228" s="57" t="n"/>
      <c r="O228" s="28" t="n"/>
      <c r="P228" s="57" t="n"/>
      <c r="Q228" s="28" t="n"/>
      <c r="R228" s="134" t="n"/>
      <c r="S228" s="301" t="n"/>
      <c r="T228" s="293" t="inlineStr">
        <is>
          <t>v39</t>
        </is>
      </c>
      <c r="U228" s="27" t="inlineStr">
        <is>
          <t>r01</t>
        </is>
      </c>
      <c r="V228" s="41" t="n"/>
      <c r="W228" s="57" t="n"/>
      <c r="X228" s="99" t="n"/>
      <c r="Y228" s="99" t="n"/>
      <c r="Z228" s="99" t="n"/>
      <c r="AA228" s="62" t="n"/>
      <c r="AB228" s="62" t="n"/>
      <c r="AC228" s="63" t="n"/>
      <c r="AD228" s="356" t="n"/>
      <c r="AE228" s="356" t="n"/>
      <c r="AF228" s="57" t="n"/>
      <c r="AG228" s="28" t="n"/>
      <c r="AH228" s="57" t="n"/>
      <c r="AI228" s="28" t="n"/>
      <c r="AJ228" s="134" t="n"/>
      <c r="AK228" s="212" t="n"/>
      <c r="AL228" s="293" t="inlineStr">
        <is>
          <t>v39</t>
        </is>
      </c>
      <c r="AM228" s="122">
        <f>IF(OR(X228="",F228=""),"",X228-F228)</f>
        <v/>
      </c>
      <c r="AN228" s="98">
        <f>IF(OR(Y228="",G228=""),"",Y228-G228)</f>
        <v/>
      </c>
      <c r="AO228" s="98">
        <f>IF(OR(Z228="",H228=""),"",Z228-H228)</f>
        <v/>
      </c>
      <c r="AP228" s="98">
        <f>IF(OR(AA228="",I228=""),"",AA228-I228)</f>
        <v/>
      </c>
      <c r="AQ228" s="123">
        <f>IF(OR(AB228="",J228=""),"",AB228-J228)</f>
        <v/>
      </c>
      <c r="AR228" s="39" t="n"/>
      <c r="AS228" s="332" t="n"/>
      <c r="AT228" s="39" t="n"/>
    </row>
    <row r="229" ht="13.5" customHeight="1" s="279">
      <c r="B229" s="294" t="n"/>
      <c r="C229" s="29" t="inlineStr">
        <is>
          <t>r02</t>
        </is>
      </c>
      <c r="D229" s="191" t="n"/>
      <c r="E229" s="58" t="n"/>
      <c r="F229" s="192" t="n"/>
      <c r="G229" s="192" t="n"/>
      <c r="H229" s="192" t="n"/>
      <c r="I229" s="64" t="n"/>
      <c r="J229" s="64" t="n"/>
      <c r="K229" s="193" t="n"/>
      <c r="L229" s="357" t="n"/>
      <c r="M229" s="357" t="n"/>
      <c r="N229" s="58" t="n"/>
      <c r="O229" s="30" t="n"/>
      <c r="P229" s="58" t="n"/>
      <c r="Q229" s="30" t="n"/>
      <c r="R229" s="135" t="n"/>
      <c r="S229" s="301" t="n"/>
      <c r="T229" s="294" t="n"/>
      <c r="U229" s="29" t="inlineStr">
        <is>
          <t>r02</t>
        </is>
      </c>
      <c r="V229" s="191" t="n"/>
      <c r="W229" s="58" t="n"/>
      <c r="X229" s="192" t="n"/>
      <c r="Y229" s="192" t="n"/>
      <c r="Z229" s="192" t="n"/>
      <c r="AA229" s="64" t="n"/>
      <c r="AB229" s="64" t="n"/>
      <c r="AC229" s="193" t="n"/>
      <c r="AD229" s="357" t="n"/>
      <c r="AE229" s="357" t="n"/>
      <c r="AF229" s="58" t="n"/>
      <c r="AG229" s="30" t="n"/>
      <c r="AH229" s="58" t="n"/>
      <c r="AI229" s="30" t="n"/>
      <c r="AJ229" s="135" t="n"/>
      <c r="AK229" s="212" t="n"/>
      <c r="AL229" s="294" t="n"/>
      <c r="AM229" s="89">
        <f>IF(OR(X229="",F229=""),"",X229-F229)</f>
        <v/>
      </c>
      <c r="AN229" s="124">
        <f>IF(OR(Y229="",G229=""),"",Y229-G229)</f>
        <v/>
      </c>
      <c r="AO229" s="124">
        <f>IF(OR(Z229="",H229=""),"",Z229-H229)</f>
        <v/>
      </c>
      <c r="AP229" s="124">
        <f>IF(OR(AA229="",I229=""),"",AA229-I229)</f>
        <v/>
      </c>
      <c r="AQ229" s="90">
        <f>IF(OR(AB229="",J229=""),"",AB229-J229)</f>
        <v/>
      </c>
      <c r="AR229" s="39" t="n"/>
      <c r="AS229" s="332" t="n"/>
      <c r="AT229" s="39" t="n"/>
    </row>
    <row r="230" ht="13.5" customHeight="1" s="279">
      <c r="B230" s="294" t="n"/>
      <c r="C230" s="29" t="inlineStr">
        <is>
          <t>r03</t>
        </is>
      </c>
      <c r="D230" s="191" t="n"/>
      <c r="E230" s="58" t="n"/>
      <c r="F230" s="192" t="n"/>
      <c r="G230" s="192" t="n"/>
      <c r="H230" s="192" t="n"/>
      <c r="I230" s="64" t="n"/>
      <c r="J230" s="64" t="n"/>
      <c r="K230" s="193" t="n"/>
      <c r="L230" s="357" t="n"/>
      <c r="M230" s="357" t="n"/>
      <c r="N230" s="58" t="n"/>
      <c r="O230" s="30" t="n"/>
      <c r="P230" s="58" t="n"/>
      <c r="Q230" s="30" t="n"/>
      <c r="R230" s="135" t="n"/>
      <c r="S230" s="301" t="n"/>
      <c r="T230" s="294" t="n"/>
      <c r="U230" s="29" t="inlineStr">
        <is>
          <t>r03</t>
        </is>
      </c>
      <c r="V230" s="191" t="n"/>
      <c r="W230" s="58" t="n"/>
      <c r="X230" s="192" t="n"/>
      <c r="Y230" s="192" t="n"/>
      <c r="Z230" s="192" t="n"/>
      <c r="AA230" s="64" t="n"/>
      <c r="AB230" s="64" t="n"/>
      <c r="AC230" s="193" t="n"/>
      <c r="AD230" s="357" t="n"/>
      <c r="AE230" s="357" t="n"/>
      <c r="AF230" s="58" t="n"/>
      <c r="AG230" s="30" t="n"/>
      <c r="AH230" s="58" t="n"/>
      <c r="AI230" s="30" t="n"/>
      <c r="AJ230" s="135" t="n"/>
      <c r="AK230" s="212" t="n"/>
      <c r="AL230" s="294" t="n"/>
      <c r="AM230" s="89">
        <f>IF(OR(X230="",F230=""),"",X230-F230)</f>
        <v/>
      </c>
      <c r="AN230" s="124">
        <f>IF(OR(Y230="",G230=""),"",Y230-G230)</f>
        <v/>
      </c>
      <c r="AO230" s="124">
        <f>IF(OR(Z230="",H230=""),"",Z230-H230)</f>
        <v/>
      </c>
      <c r="AP230" s="124">
        <f>IF(OR(AA230="",I230=""),"",AA230-I230)</f>
        <v/>
      </c>
      <c r="AQ230" s="90">
        <f>IF(OR(AB230="",J230=""),"",AB230-J230)</f>
        <v/>
      </c>
      <c r="AR230" s="39" t="n"/>
      <c r="AS230" s="332" t="n"/>
      <c r="AT230" s="39" t="n"/>
    </row>
    <row r="231" ht="13.5" customHeight="1" s="279">
      <c r="B231" s="294" t="n"/>
      <c r="C231" s="29" t="inlineStr">
        <is>
          <t>r04</t>
        </is>
      </c>
      <c r="D231" s="191" t="n"/>
      <c r="E231" s="58" t="n"/>
      <c r="F231" s="192" t="n"/>
      <c r="G231" s="192" t="n"/>
      <c r="H231" s="192" t="n"/>
      <c r="I231" s="64" t="n"/>
      <c r="J231" s="64" t="n"/>
      <c r="K231" s="193" t="n"/>
      <c r="L231" s="357" t="n"/>
      <c r="M231" s="357" t="n"/>
      <c r="N231" s="58" t="n"/>
      <c r="O231" s="30" t="n"/>
      <c r="P231" s="58" t="n"/>
      <c r="Q231" s="30" t="n"/>
      <c r="R231" s="135" t="n"/>
      <c r="S231" s="301" t="n"/>
      <c r="T231" s="294" t="n"/>
      <c r="U231" s="29" t="inlineStr">
        <is>
          <t>r04</t>
        </is>
      </c>
      <c r="V231" s="191" t="n"/>
      <c r="W231" s="58" t="n"/>
      <c r="X231" s="192" t="n"/>
      <c r="Y231" s="192" t="n"/>
      <c r="Z231" s="192" t="n"/>
      <c r="AA231" s="64" t="n"/>
      <c r="AB231" s="64" t="n"/>
      <c r="AC231" s="193" t="n"/>
      <c r="AD231" s="357" t="n"/>
      <c r="AE231" s="357" t="n"/>
      <c r="AF231" s="58" t="n"/>
      <c r="AG231" s="30" t="n"/>
      <c r="AH231" s="58" t="n"/>
      <c r="AI231" s="30" t="n"/>
      <c r="AJ231" s="135" t="n"/>
      <c r="AK231" s="212" t="n"/>
      <c r="AL231" s="294" t="n"/>
      <c r="AM231" s="89">
        <f>IF(OR(X231="",F231=""),"",X231-F231)</f>
        <v/>
      </c>
      <c r="AN231" s="124">
        <f>IF(OR(Y231="",G231=""),"",Y231-G231)</f>
        <v/>
      </c>
      <c r="AO231" s="124">
        <f>IF(OR(Z231="",H231=""),"",Z231-H231)</f>
        <v/>
      </c>
      <c r="AP231" s="124">
        <f>IF(OR(AA231="",I231=""),"",AA231-I231)</f>
        <v/>
      </c>
      <c r="AQ231" s="90">
        <f>IF(OR(AB231="",J231=""),"",AB231-J231)</f>
        <v/>
      </c>
      <c r="AR231" s="39" t="n"/>
      <c r="AS231" s="332" t="n"/>
      <c r="AT231" s="39" t="n"/>
    </row>
    <row r="232" ht="13.5" customHeight="1" s="279" thickBot="1">
      <c r="B232" s="295" t="n"/>
      <c r="C232" s="29" t="n"/>
      <c r="D232" s="191" t="n"/>
      <c r="E232" s="58" t="n"/>
      <c r="F232" s="194" t="n"/>
      <c r="G232" s="194" t="n"/>
      <c r="H232" s="194" t="n"/>
      <c r="I232" s="58" t="n"/>
      <c r="J232" s="58" t="n"/>
      <c r="K232" s="193" t="n"/>
      <c r="L232" s="357" t="n"/>
      <c r="M232" s="357" t="n"/>
      <c r="N232" s="58" t="n"/>
      <c r="O232" s="30" t="n"/>
      <c r="P232" s="58" t="n"/>
      <c r="Q232" s="30" t="n"/>
      <c r="R232" s="189" t="n"/>
      <c r="S232" s="301" t="n"/>
      <c r="T232" s="295" t="n"/>
      <c r="U232" s="29" t="n"/>
      <c r="V232" s="191" t="n"/>
      <c r="W232" s="58" t="n"/>
      <c r="X232" s="194" t="n"/>
      <c r="Y232" s="194" t="n"/>
      <c r="Z232" s="194" t="n"/>
      <c r="AA232" s="58" t="n"/>
      <c r="AB232" s="58" t="n"/>
      <c r="AC232" s="193" t="n"/>
      <c r="AD232" s="357" t="n"/>
      <c r="AE232" s="357" t="n"/>
      <c r="AF232" s="58" t="n"/>
      <c r="AG232" s="30" t="n"/>
      <c r="AH232" s="58" t="n"/>
      <c r="AI232" s="30" t="n"/>
      <c r="AJ232" s="189" t="n"/>
      <c r="AK232" s="212" t="n"/>
      <c r="AL232" s="295" t="n"/>
      <c r="AM232" s="125">
        <f>IF(OR(X232="",F232=""),"",X232-F232)</f>
        <v/>
      </c>
      <c r="AN232" s="126">
        <f>IF(OR(Y232="",G232=""),"",Y232-G232)</f>
        <v/>
      </c>
      <c r="AO232" s="126">
        <f>IF(OR(Z232="",H232=""),"",Z232-H232)</f>
        <v/>
      </c>
      <c r="AP232" s="126">
        <f>IF(OR(AA232="",I232=""),"",AA232-I232)</f>
        <v/>
      </c>
      <c r="AQ232" s="127">
        <f>IF(OR(AB232="",J232=""),"",AB232-J232)</f>
        <v/>
      </c>
      <c r="AR232" s="39" t="n"/>
      <c r="AS232" s="332" t="n"/>
      <c r="AT232" s="39" t="n"/>
    </row>
    <row r="233" ht="13.5" customHeight="1" s="279">
      <c r="B233" s="293" t="inlineStr">
        <is>
          <t>v40</t>
        </is>
      </c>
      <c r="C233" s="27" t="inlineStr">
        <is>
          <t>r01</t>
        </is>
      </c>
      <c r="D233" s="41" t="n"/>
      <c r="E233" s="57" t="n"/>
      <c r="F233" s="99" t="n"/>
      <c r="G233" s="99" t="n"/>
      <c r="H233" s="99" t="n"/>
      <c r="I233" s="62" t="n"/>
      <c r="J233" s="62" t="n"/>
      <c r="K233" s="63" t="n"/>
      <c r="L233" s="356" t="n"/>
      <c r="M233" s="356" t="n"/>
      <c r="N233" s="57" t="n"/>
      <c r="O233" s="28" t="n"/>
      <c r="P233" s="57" t="n"/>
      <c r="Q233" s="28" t="n"/>
      <c r="R233" s="134" t="n"/>
      <c r="S233" s="301" t="n"/>
      <c r="T233" s="293" t="inlineStr">
        <is>
          <t>v40</t>
        </is>
      </c>
      <c r="U233" s="27" t="inlineStr">
        <is>
          <t>r01</t>
        </is>
      </c>
      <c r="V233" s="41" t="n"/>
      <c r="W233" s="57" t="n"/>
      <c r="X233" s="99" t="n"/>
      <c r="Y233" s="99" t="n"/>
      <c r="Z233" s="99" t="n"/>
      <c r="AA233" s="62" t="n"/>
      <c r="AB233" s="62" t="n"/>
      <c r="AC233" s="63" t="n"/>
      <c r="AD233" s="356" t="n"/>
      <c r="AE233" s="356" t="n"/>
      <c r="AF233" s="57" t="n"/>
      <c r="AG233" s="28" t="n"/>
      <c r="AH233" s="57" t="n"/>
      <c r="AI233" s="28" t="n"/>
      <c r="AJ233" s="134" t="n"/>
      <c r="AK233" s="212" t="n"/>
      <c r="AL233" s="293" t="inlineStr">
        <is>
          <t>v40</t>
        </is>
      </c>
      <c r="AM233" s="122">
        <f>IF(OR(X233="",F233=""),"",X233-F233)</f>
        <v/>
      </c>
      <c r="AN233" s="98">
        <f>IF(OR(Y233="",G233=""),"",Y233-G233)</f>
        <v/>
      </c>
      <c r="AO233" s="98">
        <f>IF(OR(Z233="",H233=""),"",Z233-H233)</f>
        <v/>
      </c>
      <c r="AP233" s="98">
        <f>IF(OR(AA233="",I233=""),"",AA233-I233)</f>
        <v/>
      </c>
      <c r="AQ233" s="123">
        <f>IF(OR(AB233="",J233=""),"",AB233-J233)</f>
        <v/>
      </c>
      <c r="AR233" s="39" t="n"/>
      <c r="AS233" s="332" t="n"/>
      <c r="AT233" s="39" t="n"/>
    </row>
    <row r="234" ht="13.5" customHeight="1" s="279">
      <c r="B234" s="294" t="n"/>
      <c r="C234" s="29" t="inlineStr">
        <is>
          <t>r02</t>
        </is>
      </c>
      <c r="D234" s="191" t="n"/>
      <c r="E234" s="58" t="n"/>
      <c r="F234" s="192" t="n"/>
      <c r="G234" s="192" t="n"/>
      <c r="H234" s="192" t="n"/>
      <c r="I234" s="64" t="n"/>
      <c r="J234" s="64" t="n"/>
      <c r="K234" s="193" t="n"/>
      <c r="L234" s="357" t="n"/>
      <c r="M234" s="357" t="n"/>
      <c r="N234" s="58" t="n"/>
      <c r="O234" s="30" t="n"/>
      <c r="P234" s="58" t="n"/>
      <c r="Q234" s="30" t="n"/>
      <c r="R234" s="135" t="n"/>
      <c r="S234" s="301" t="n"/>
      <c r="T234" s="294" t="n"/>
      <c r="U234" s="29" t="inlineStr">
        <is>
          <t>r02</t>
        </is>
      </c>
      <c r="V234" s="191" t="n"/>
      <c r="W234" s="58" t="n"/>
      <c r="X234" s="192" t="n"/>
      <c r="Y234" s="192" t="n"/>
      <c r="Z234" s="192" t="n"/>
      <c r="AA234" s="64" t="n"/>
      <c r="AB234" s="64" t="n"/>
      <c r="AC234" s="193" t="n"/>
      <c r="AD234" s="357" t="n"/>
      <c r="AE234" s="357" t="n"/>
      <c r="AF234" s="58" t="n"/>
      <c r="AG234" s="30" t="n"/>
      <c r="AH234" s="58" t="n"/>
      <c r="AI234" s="30" t="n"/>
      <c r="AJ234" s="135" t="n"/>
      <c r="AK234" s="212" t="n"/>
      <c r="AL234" s="294" t="n"/>
      <c r="AM234" s="89">
        <f>IF(OR(X234="",F234=""),"",X234-F234)</f>
        <v/>
      </c>
      <c r="AN234" s="124">
        <f>IF(OR(Y234="",G234=""),"",Y234-G234)</f>
        <v/>
      </c>
      <c r="AO234" s="124">
        <f>IF(OR(Z234="",H234=""),"",Z234-H234)</f>
        <v/>
      </c>
      <c r="AP234" s="124">
        <f>IF(OR(AA234="",I234=""),"",AA234-I234)</f>
        <v/>
      </c>
      <c r="AQ234" s="90">
        <f>IF(OR(AB234="",J234=""),"",AB234-J234)</f>
        <v/>
      </c>
      <c r="AR234" s="39" t="n"/>
      <c r="AS234" s="332" t="n"/>
      <c r="AT234" s="39" t="n"/>
    </row>
    <row r="235" ht="13.5" customHeight="1" s="279">
      <c r="B235" s="294" t="n"/>
      <c r="C235" s="29" t="inlineStr">
        <is>
          <t>r03</t>
        </is>
      </c>
      <c r="D235" s="191" t="n"/>
      <c r="E235" s="58" t="n"/>
      <c r="F235" s="192" t="n"/>
      <c r="G235" s="192" t="n"/>
      <c r="H235" s="192" t="n"/>
      <c r="I235" s="64" t="n"/>
      <c r="J235" s="64" t="n"/>
      <c r="K235" s="193" t="n"/>
      <c r="L235" s="357" t="n"/>
      <c r="M235" s="357" t="n"/>
      <c r="N235" s="58" t="n"/>
      <c r="O235" s="30" t="n"/>
      <c r="P235" s="58" t="n"/>
      <c r="Q235" s="30" t="n"/>
      <c r="R235" s="135" t="n"/>
      <c r="S235" s="301" t="n"/>
      <c r="T235" s="294" t="n"/>
      <c r="U235" s="29" t="inlineStr">
        <is>
          <t>r03</t>
        </is>
      </c>
      <c r="V235" s="191" t="n"/>
      <c r="W235" s="58" t="n"/>
      <c r="X235" s="192" t="n"/>
      <c r="Y235" s="192" t="n"/>
      <c r="Z235" s="192" t="n"/>
      <c r="AA235" s="64" t="n"/>
      <c r="AB235" s="64" t="n"/>
      <c r="AC235" s="193" t="n"/>
      <c r="AD235" s="357" t="n"/>
      <c r="AE235" s="357" t="n"/>
      <c r="AF235" s="58" t="n"/>
      <c r="AG235" s="30" t="n"/>
      <c r="AH235" s="58" t="n"/>
      <c r="AI235" s="30" t="n"/>
      <c r="AJ235" s="135" t="n"/>
      <c r="AK235" s="212" t="n"/>
      <c r="AL235" s="294" t="n"/>
      <c r="AM235" s="89">
        <f>IF(OR(X235="",F235=""),"",X235-F235)</f>
        <v/>
      </c>
      <c r="AN235" s="124">
        <f>IF(OR(Y235="",G235=""),"",Y235-G235)</f>
        <v/>
      </c>
      <c r="AO235" s="124">
        <f>IF(OR(Z235="",H235=""),"",Z235-H235)</f>
        <v/>
      </c>
      <c r="AP235" s="124">
        <f>IF(OR(AA235="",I235=""),"",AA235-I235)</f>
        <v/>
      </c>
      <c r="AQ235" s="90">
        <f>IF(OR(AB235="",J235=""),"",AB235-J235)</f>
        <v/>
      </c>
      <c r="AR235" s="39" t="n"/>
      <c r="AS235" s="332" t="n"/>
      <c r="AT235" s="39" t="n"/>
    </row>
    <row r="236" ht="13.5" customHeight="1" s="279">
      <c r="B236" s="294" t="n"/>
      <c r="C236" s="29" t="inlineStr">
        <is>
          <t>r04</t>
        </is>
      </c>
      <c r="D236" s="191" t="n"/>
      <c r="E236" s="58" t="n"/>
      <c r="F236" s="192" t="n"/>
      <c r="G236" s="192" t="n"/>
      <c r="H236" s="192" t="n"/>
      <c r="I236" s="64" t="n"/>
      <c r="J236" s="64" t="n"/>
      <c r="K236" s="193" t="n"/>
      <c r="L236" s="357" t="n"/>
      <c r="M236" s="357" t="n"/>
      <c r="N236" s="58" t="n"/>
      <c r="O236" s="30" t="n"/>
      <c r="P236" s="58" t="n"/>
      <c r="Q236" s="30" t="n"/>
      <c r="R236" s="135" t="n"/>
      <c r="S236" s="301" t="n"/>
      <c r="T236" s="294" t="n"/>
      <c r="U236" s="29" t="inlineStr">
        <is>
          <t>r04</t>
        </is>
      </c>
      <c r="V236" s="191" t="n"/>
      <c r="W236" s="58" t="n"/>
      <c r="X236" s="192" t="n"/>
      <c r="Y236" s="192" t="n"/>
      <c r="Z236" s="192" t="n"/>
      <c r="AA236" s="64" t="n"/>
      <c r="AB236" s="64" t="n"/>
      <c r="AC236" s="193" t="n"/>
      <c r="AD236" s="357" t="n"/>
      <c r="AE236" s="357" t="n"/>
      <c r="AF236" s="58" t="n"/>
      <c r="AG236" s="30" t="n"/>
      <c r="AH236" s="58" t="n"/>
      <c r="AI236" s="30" t="n"/>
      <c r="AJ236" s="135" t="n"/>
      <c r="AK236" s="212" t="n"/>
      <c r="AL236" s="294" t="n"/>
      <c r="AM236" s="89">
        <f>IF(OR(X236="",F236=""),"",X236-F236)</f>
        <v/>
      </c>
      <c r="AN236" s="124">
        <f>IF(OR(Y236="",G236=""),"",Y236-G236)</f>
        <v/>
      </c>
      <c r="AO236" s="124">
        <f>IF(OR(Z236="",H236=""),"",Z236-H236)</f>
        <v/>
      </c>
      <c r="AP236" s="124">
        <f>IF(OR(AA236="",I236=""),"",AA236-I236)</f>
        <v/>
      </c>
      <c r="AQ236" s="90">
        <f>IF(OR(AB236="",J236=""),"",AB236-J236)</f>
        <v/>
      </c>
      <c r="AR236" s="39" t="n"/>
      <c r="AS236" s="332" t="n"/>
      <c r="AT236" s="39" t="n"/>
    </row>
    <row r="237" ht="13.5" customHeight="1" s="279" thickBot="1">
      <c r="B237" s="295" t="n"/>
      <c r="C237" s="29" t="n"/>
      <c r="D237" s="191" t="n"/>
      <c r="E237" s="58" t="n"/>
      <c r="F237" s="194" t="n"/>
      <c r="G237" s="194" t="n"/>
      <c r="H237" s="194" t="n"/>
      <c r="I237" s="58" t="n"/>
      <c r="J237" s="58" t="n"/>
      <c r="K237" s="193" t="n"/>
      <c r="L237" s="357" t="n"/>
      <c r="M237" s="357" t="n"/>
      <c r="N237" s="58" t="n"/>
      <c r="O237" s="30" t="n"/>
      <c r="P237" s="58" t="n"/>
      <c r="Q237" s="30" t="n"/>
      <c r="R237" s="189" t="n"/>
      <c r="S237" s="301" t="n"/>
      <c r="T237" s="295" t="n"/>
      <c r="U237" s="29" t="n"/>
      <c r="V237" s="191" t="n"/>
      <c r="W237" s="58" t="n"/>
      <c r="X237" s="194" t="n"/>
      <c r="Y237" s="194" t="n"/>
      <c r="Z237" s="194" t="n"/>
      <c r="AA237" s="58" t="n"/>
      <c r="AB237" s="58" t="n"/>
      <c r="AC237" s="193" t="n"/>
      <c r="AD237" s="357" t="n"/>
      <c r="AE237" s="357" t="n"/>
      <c r="AF237" s="58" t="n"/>
      <c r="AG237" s="30" t="n"/>
      <c r="AH237" s="58" t="n"/>
      <c r="AI237" s="30" t="n"/>
      <c r="AJ237" s="189" t="n"/>
      <c r="AK237" s="212" t="n"/>
      <c r="AL237" s="295" t="n"/>
      <c r="AM237" s="125">
        <f>IF(OR(X237="",F237=""),"",X237-F237)</f>
        <v/>
      </c>
      <c r="AN237" s="126">
        <f>IF(OR(Y237="",G237=""),"",Y237-G237)</f>
        <v/>
      </c>
      <c r="AO237" s="126">
        <f>IF(OR(Z237="",H237=""),"",Z237-H237)</f>
        <v/>
      </c>
      <c r="AP237" s="126">
        <f>IF(OR(AA237="",I237=""),"",AA237-I237)</f>
        <v/>
      </c>
      <c r="AQ237" s="127">
        <f>IF(OR(AB237="",J237=""),"",AB237-J237)</f>
        <v/>
      </c>
      <c r="AR237" s="39" t="n"/>
      <c r="AS237" s="332" t="n"/>
      <c r="AT237" s="39" t="n"/>
    </row>
    <row r="238" ht="13.5" customHeight="1" s="279">
      <c r="B238" s="293" t="inlineStr">
        <is>
          <t>v41</t>
        </is>
      </c>
      <c r="C238" s="27" t="inlineStr">
        <is>
          <t>r01</t>
        </is>
      </c>
      <c r="D238" s="41" t="n"/>
      <c r="E238" s="57" t="n"/>
      <c r="F238" s="99" t="n"/>
      <c r="G238" s="99" t="n"/>
      <c r="H238" s="99" t="n"/>
      <c r="I238" s="62" t="n"/>
      <c r="J238" s="62" t="n"/>
      <c r="K238" s="63" t="n"/>
      <c r="L238" s="356" t="n"/>
      <c r="M238" s="356" t="n"/>
      <c r="N238" s="57" t="n"/>
      <c r="O238" s="28" t="n"/>
      <c r="P238" s="57" t="n"/>
      <c r="Q238" s="28" t="n"/>
      <c r="R238" s="134" t="n"/>
      <c r="S238" s="301" t="n"/>
      <c r="T238" s="293" t="inlineStr">
        <is>
          <t>v41</t>
        </is>
      </c>
      <c r="U238" s="27" t="inlineStr">
        <is>
          <t>r01</t>
        </is>
      </c>
      <c r="V238" s="41" t="n"/>
      <c r="W238" s="57" t="n"/>
      <c r="X238" s="99" t="n"/>
      <c r="Y238" s="99" t="n"/>
      <c r="Z238" s="99" t="n"/>
      <c r="AA238" s="62" t="n"/>
      <c r="AB238" s="62" t="n"/>
      <c r="AC238" s="63" t="n"/>
      <c r="AD238" s="356" t="n"/>
      <c r="AE238" s="356" t="n"/>
      <c r="AF238" s="57" t="n"/>
      <c r="AG238" s="28" t="n"/>
      <c r="AH238" s="57" t="n"/>
      <c r="AI238" s="28" t="n"/>
      <c r="AJ238" s="134" t="n"/>
      <c r="AK238" s="212" t="n"/>
      <c r="AL238" s="293" t="inlineStr">
        <is>
          <t>v41</t>
        </is>
      </c>
      <c r="AM238" s="122">
        <f>IF(OR(X238="",F238=""),"",X238-F238)</f>
        <v/>
      </c>
      <c r="AN238" s="98">
        <f>IF(OR(Y238="",G238=""),"",Y238-G238)</f>
        <v/>
      </c>
      <c r="AO238" s="98">
        <f>IF(OR(Z238="",H238=""),"",Z238-H238)</f>
        <v/>
      </c>
      <c r="AP238" s="98">
        <f>IF(OR(AA238="",I238=""),"",AA238-I238)</f>
        <v/>
      </c>
      <c r="AQ238" s="123">
        <f>IF(OR(AB238="",J238=""),"",AB238-J238)</f>
        <v/>
      </c>
      <c r="AR238" s="39" t="n"/>
      <c r="AS238" s="332" t="n"/>
      <c r="AT238" s="39" t="n"/>
    </row>
    <row r="239" ht="13.5" customHeight="1" s="279">
      <c r="B239" s="294" t="n"/>
      <c r="C239" s="29" t="inlineStr">
        <is>
          <t>r02</t>
        </is>
      </c>
      <c r="D239" s="191" t="n"/>
      <c r="E239" s="58" t="n"/>
      <c r="F239" s="192" t="n"/>
      <c r="G239" s="192" t="n"/>
      <c r="H239" s="192" t="n"/>
      <c r="I239" s="64" t="n"/>
      <c r="J239" s="64" t="n"/>
      <c r="K239" s="193" t="n"/>
      <c r="L239" s="357" t="n"/>
      <c r="M239" s="357" t="n"/>
      <c r="N239" s="58" t="n"/>
      <c r="O239" s="30" t="n"/>
      <c r="P239" s="58" t="n"/>
      <c r="Q239" s="30" t="n"/>
      <c r="R239" s="135" t="n"/>
      <c r="S239" s="301" t="n"/>
      <c r="T239" s="294" t="n"/>
      <c r="U239" s="29" t="inlineStr">
        <is>
          <t>r02</t>
        </is>
      </c>
      <c r="V239" s="191" t="n"/>
      <c r="W239" s="58" t="n"/>
      <c r="X239" s="192" t="n"/>
      <c r="Y239" s="192" t="n"/>
      <c r="Z239" s="192" t="n"/>
      <c r="AA239" s="64" t="n"/>
      <c r="AB239" s="64" t="n"/>
      <c r="AC239" s="193" t="n"/>
      <c r="AD239" s="357" t="n"/>
      <c r="AE239" s="357" t="n"/>
      <c r="AF239" s="58" t="n"/>
      <c r="AG239" s="30" t="n"/>
      <c r="AH239" s="58" t="n"/>
      <c r="AI239" s="30" t="n"/>
      <c r="AJ239" s="135" t="n"/>
      <c r="AK239" s="212" t="n"/>
      <c r="AL239" s="294" t="n"/>
      <c r="AM239" s="89">
        <f>IF(OR(X239="",F239=""),"",X239-F239)</f>
        <v/>
      </c>
      <c r="AN239" s="124">
        <f>IF(OR(Y239="",G239=""),"",Y239-G239)</f>
        <v/>
      </c>
      <c r="AO239" s="124">
        <f>IF(OR(Z239="",H239=""),"",Z239-H239)</f>
        <v/>
      </c>
      <c r="AP239" s="124">
        <f>IF(OR(AA239="",I239=""),"",AA239-I239)</f>
        <v/>
      </c>
      <c r="AQ239" s="90">
        <f>IF(OR(AB239="",J239=""),"",AB239-J239)</f>
        <v/>
      </c>
      <c r="AR239" s="39" t="n"/>
      <c r="AS239" s="332" t="n"/>
      <c r="AT239" s="39" t="n"/>
    </row>
    <row r="240" ht="13.5" customHeight="1" s="279">
      <c r="B240" s="294" t="n"/>
      <c r="C240" s="29" t="inlineStr">
        <is>
          <t>r03</t>
        </is>
      </c>
      <c r="D240" s="191" t="n"/>
      <c r="E240" s="58" t="n"/>
      <c r="F240" s="192" t="n"/>
      <c r="G240" s="192" t="n"/>
      <c r="H240" s="192" t="n"/>
      <c r="I240" s="64" t="n"/>
      <c r="J240" s="64" t="n"/>
      <c r="K240" s="193" t="n"/>
      <c r="L240" s="357" t="n"/>
      <c r="M240" s="357" t="n"/>
      <c r="N240" s="58" t="n"/>
      <c r="O240" s="30" t="n"/>
      <c r="P240" s="58" t="n"/>
      <c r="Q240" s="30" t="n"/>
      <c r="R240" s="135" t="n"/>
      <c r="S240" s="301" t="n"/>
      <c r="T240" s="294" t="n"/>
      <c r="U240" s="29" t="inlineStr">
        <is>
          <t>r03</t>
        </is>
      </c>
      <c r="V240" s="191" t="n"/>
      <c r="W240" s="58" t="n"/>
      <c r="X240" s="192" t="n"/>
      <c r="Y240" s="192" t="n"/>
      <c r="Z240" s="192" t="n"/>
      <c r="AA240" s="64" t="n"/>
      <c r="AB240" s="64" t="n"/>
      <c r="AC240" s="193" t="n"/>
      <c r="AD240" s="357" t="n"/>
      <c r="AE240" s="357" t="n"/>
      <c r="AF240" s="58" t="n"/>
      <c r="AG240" s="30" t="n"/>
      <c r="AH240" s="58" t="n"/>
      <c r="AI240" s="30" t="n"/>
      <c r="AJ240" s="135" t="n"/>
      <c r="AK240" s="212" t="n"/>
      <c r="AL240" s="294" t="n"/>
      <c r="AM240" s="89">
        <f>IF(OR(X240="",F240=""),"",X240-F240)</f>
        <v/>
      </c>
      <c r="AN240" s="124">
        <f>IF(OR(Y240="",G240=""),"",Y240-G240)</f>
        <v/>
      </c>
      <c r="AO240" s="124">
        <f>IF(OR(Z240="",H240=""),"",Z240-H240)</f>
        <v/>
      </c>
      <c r="AP240" s="124">
        <f>IF(OR(AA240="",I240=""),"",AA240-I240)</f>
        <v/>
      </c>
      <c r="AQ240" s="90">
        <f>IF(OR(AB240="",J240=""),"",AB240-J240)</f>
        <v/>
      </c>
      <c r="AR240" s="39" t="n"/>
      <c r="AS240" s="332" t="n"/>
      <c r="AT240" s="39" t="n"/>
    </row>
    <row r="241" ht="13.5" customHeight="1" s="279">
      <c r="B241" s="294" t="n"/>
      <c r="C241" s="29" t="inlineStr">
        <is>
          <t>r04</t>
        </is>
      </c>
      <c r="D241" s="191" t="n"/>
      <c r="E241" s="58" t="n"/>
      <c r="F241" s="192" t="n"/>
      <c r="G241" s="192" t="n"/>
      <c r="H241" s="192" t="n"/>
      <c r="I241" s="64" t="n"/>
      <c r="J241" s="64" t="n"/>
      <c r="K241" s="193" t="n"/>
      <c r="L241" s="357" t="n"/>
      <c r="M241" s="357" t="n"/>
      <c r="N241" s="58" t="n"/>
      <c r="O241" s="30" t="n"/>
      <c r="P241" s="58" t="n"/>
      <c r="Q241" s="30" t="n"/>
      <c r="R241" s="135" t="n"/>
      <c r="S241" s="301" t="n"/>
      <c r="T241" s="294" t="n"/>
      <c r="U241" s="29" t="inlineStr">
        <is>
          <t>r04</t>
        </is>
      </c>
      <c r="V241" s="191" t="n"/>
      <c r="W241" s="58" t="n"/>
      <c r="X241" s="192" t="n"/>
      <c r="Y241" s="192" t="n"/>
      <c r="Z241" s="192" t="n"/>
      <c r="AA241" s="64" t="n"/>
      <c r="AB241" s="64" t="n"/>
      <c r="AC241" s="193" t="n"/>
      <c r="AD241" s="357" t="n"/>
      <c r="AE241" s="357" t="n"/>
      <c r="AF241" s="58" t="n"/>
      <c r="AG241" s="30" t="n"/>
      <c r="AH241" s="58" t="n"/>
      <c r="AI241" s="30" t="n"/>
      <c r="AJ241" s="135" t="n"/>
      <c r="AK241" s="212" t="n"/>
      <c r="AL241" s="294" t="n"/>
      <c r="AM241" s="89">
        <f>IF(OR(X241="",F241=""),"",X241-F241)</f>
        <v/>
      </c>
      <c r="AN241" s="124">
        <f>IF(OR(Y241="",G241=""),"",Y241-G241)</f>
        <v/>
      </c>
      <c r="AO241" s="124">
        <f>IF(OR(Z241="",H241=""),"",Z241-H241)</f>
        <v/>
      </c>
      <c r="AP241" s="124">
        <f>IF(OR(AA241="",I241=""),"",AA241-I241)</f>
        <v/>
      </c>
      <c r="AQ241" s="90">
        <f>IF(OR(AB241="",J241=""),"",AB241-J241)</f>
        <v/>
      </c>
      <c r="AR241" s="39" t="n"/>
      <c r="AS241" s="332" t="n"/>
      <c r="AT241" s="39" t="n"/>
    </row>
    <row r="242" ht="13.5" customHeight="1" s="279" thickBot="1">
      <c r="B242" s="295" t="n"/>
      <c r="C242" s="29" t="n"/>
      <c r="D242" s="191" t="n"/>
      <c r="E242" s="58" t="n"/>
      <c r="F242" s="194" t="n"/>
      <c r="G242" s="194" t="n"/>
      <c r="H242" s="194" t="n"/>
      <c r="I242" s="58" t="n"/>
      <c r="J242" s="58" t="n"/>
      <c r="K242" s="193" t="n"/>
      <c r="L242" s="357" t="n"/>
      <c r="M242" s="357" t="n"/>
      <c r="N242" s="58" t="n"/>
      <c r="O242" s="30" t="n"/>
      <c r="P242" s="58" t="n"/>
      <c r="Q242" s="30" t="n"/>
      <c r="R242" s="189" t="n"/>
      <c r="S242" s="301" t="n"/>
      <c r="T242" s="295" t="n"/>
      <c r="U242" s="29" t="n"/>
      <c r="V242" s="191" t="n"/>
      <c r="W242" s="58" t="n"/>
      <c r="X242" s="194" t="n"/>
      <c r="Y242" s="194" t="n"/>
      <c r="Z242" s="194" t="n"/>
      <c r="AA242" s="58" t="n"/>
      <c r="AB242" s="58" t="n"/>
      <c r="AC242" s="193" t="n"/>
      <c r="AD242" s="357" t="n"/>
      <c r="AE242" s="357" t="n"/>
      <c r="AF242" s="58" t="n"/>
      <c r="AG242" s="30" t="n"/>
      <c r="AH242" s="58" t="n"/>
      <c r="AI242" s="30" t="n"/>
      <c r="AJ242" s="189" t="n"/>
      <c r="AK242" s="212" t="n"/>
      <c r="AL242" s="295" t="n"/>
      <c r="AM242" s="125">
        <f>IF(OR(X242="",F242=""),"",X242-F242)</f>
        <v/>
      </c>
      <c r="AN242" s="126">
        <f>IF(OR(Y242="",G242=""),"",Y242-G242)</f>
        <v/>
      </c>
      <c r="AO242" s="126">
        <f>IF(OR(Z242="",H242=""),"",Z242-H242)</f>
        <v/>
      </c>
      <c r="AP242" s="126">
        <f>IF(OR(AA242="",I242=""),"",AA242-I242)</f>
        <v/>
      </c>
      <c r="AQ242" s="127">
        <f>IF(OR(AB242="",J242=""),"",AB242-J242)</f>
        <v/>
      </c>
      <c r="AR242" s="39" t="n"/>
      <c r="AS242" s="332" t="n"/>
      <c r="AT242" s="39" t="n"/>
    </row>
    <row r="243" ht="13.5" customHeight="1" s="279">
      <c r="B243" s="293" t="inlineStr">
        <is>
          <t>v42</t>
        </is>
      </c>
      <c r="C243" s="27" t="inlineStr">
        <is>
          <t>r01</t>
        </is>
      </c>
      <c r="D243" s="41" t="n"/>
      <c r="E243" s="57" t="n"/>
      <c r="F243" s="99" t="n"/>
      <c r="G243" s="99" t="n"/>
      <c r="H243" s="99" t="n"/>
      <c r="I243" s="62" t="n"/>
      <c r="J243" s="62" t="n"/>
      <c r="K243" s="63" t="n"/>
      <c r="L243" s="356" t="n"/>
      <c r="M243" s="356" t="n"/>
      <c r="N243" s="57" t="n"/>
      <c r="O243" s="28" t="n"/>
      <c r="P243" s="57" t="n"/>
      <c r="Q243" s="28" t="n"/>
      <c r="R243" s="134" t="n"/>
      <c r="S243" s="301" t="n"/>
      <c r="T243" s="293" t="inlineStr">
        <is>
          <t>v42</t>
        </is>
      </c>
      <c r="U243" s="27" t="inlineStr">
        <is>
          <t>r01</t>
        </is>
      </c>
      <c r="V243" s="41" t="n"/>
      <c r="W243" s="57" t="n"/>
      <c r="X243" s="99" t="n"/>
      <c r="Y243" s="99" t="n"/>
      <c r="Z243" s="99" t="n"/>
      <c r="AA243" s="62" t="n"/>
      <c r="AB243" s="62" t="n"/>
      <c r="AC243" s="63" t="n"/>
      <c r="AD243" s="356" t="n"/>
      <c r="AE243" s="356" t="n"/>
      <c r="AF243" s="57" t="n"/>
      <c r="AG243" s="28" t="n"/>
      <c r="AH243" s="57" t="n"/>
      <c r="AI243" s="28" t="n"/>
      <c r="AJ243" s="134" t="n"/>
      <c r="AK243" s="212" t="n"/>
      <c r="AL243" s="293" t="inlineStr">
        <is>
          <t>v42</t>
        </is>
      </c>
      <c r="AM243" s="122">
        <f>IF(OR(X243="",F243=""),"",X243-F243)</f>
        <v/>
      </c>
      <c r="AN243" s="98">
        <f>IF(OR(Y243="",G243=""),"",Y243-G243)</f>
        <v/>
      </c>
      <c r="AO243" s="98">
        <f>IF(OR(Z243="",H243=""),"",Z243-H243)</f>
        <v/>
      </c>
      <c r="AP243" s="98">
        <f>IF(OR(AA243="",I243=""),"",AA243-I243)</f>
        <v/>
      </c>
      <c r="AQ243" s="123">
        <f>IF(OR(AB243="",J243=""),"",AB243-J243)</f>
        <v/>
      </c>
      <c r="AR243" s="39" t="n"/>
      <c r="AS243" s="332" t="n"/>
      <c r="AT243" s="39" t="n"/>
    </row>
    <row r="244" ht="13.5" customHeight="1" s="279">
      <c r="B244" s="294" t="n"/>
      <c r="C244" s="29" t="inlineStr">
        <is>
          <t>r02</t>
        </is>
      </c>
      <c r="D244" s="191" t="n"/>
      <c r="E244" s="58" t="n"/>
      <c r="F244" s="192" t="n"/>
      <c r="G244" s="192" t="n"/>
      <c r="H244" s="192" t="n"/>
      <c r="I244" s="64" t="n"/>
      <c r="J244" s="64" t="n"/>
      <c r="K244" s="193" t="n"/>
      <c r="L244" s="357" t="n"/>
      <c r="M244" s="357" t="n"/>
      <c r="N244" s="58" t="n"/>
      <c r="O244" s="30" t="n"/>
      <c r="P244" s="58" t="n"/>
      <c r="Q244" s="30" t="n"/>
      <c r="R244" s="135" t="n"/>
      <c r="S244" s="301" t="n"/>
      <c r="T244" s="294" t="n"/>
      <c r="U244" s="29" t="inlineStr">
        <is>
          <t>r02</t>
        </is>
      </c>
      <c r="V244" s="191" t="n"/>
      <c r="W244" s="58" t="n"/>
      <c r="X244" s="192" t="n"/>
      <c r="Y244" s="192" t="n"/>
      <c r="Z244" s="192" t="n"/>
      <c r="AA244" s="64" t="n"/>
      <c r="AB244" s="64" t="n"/>
      <c r="AC244" s="193" t="n"/>
      <c r="AD244" s="357" t="n"/>
      <c r="AE244" s="357" t="n"/>
      <c r="AF244" s="58" t="n"/>
      <c r="AG244" s="30" t="n"/>
      <c r="AH244" s="58" t="n"/>
      <c r="AI244" s="30" t="n"/>
      <c r="AJ244" s="135" t="n"/>
      <c r="AK244" s="212" t="n"/>
      <c r="AL244" s="294" t="n"/>
      <c r="AM244" s="89">
        <f>IF(OR(X244="",F244=""),"",X244-F244)</f>
        <v/>
      </c>
      <c r="AN244" s="124">
        <f>IF(OR(Y244="",G244=""),"",Y244-G244)</f>
        <v/>
      </c>
      <c r="AO244" s="124">
        <f>IF(OR(Z244="",H244=""),"",Z244-H244)</f>
        <v/>
      </c>
      <c r="AP244" s="124">
        <f>IF(OR(AA244="",I244=""),"",AA244-I244)</f>
        <v/>
      </c>
      <c r="AQ244" s="90">
        <f>IF(OR(AB244="",J244=""),"",AB244-J244)</f>
        <v/>
      </c>
      <c r="AR244" s="39" t="n"/>
      <c r="AS244" s="332" t="n"/>
      <c r="AT244" s="39" t="n"/>
    </row>
    <row r="245" ht="13.5" customHeight="1" s="279">
      <c r="B245" s="294" t="n"/>
      <c r="C245" s="29" t="inlineStr">
        <is>
          <t>r03</t>
        </is>
      </c>
      <c r="D245" s="191" t="n"/>
      <c r="E245" s="58" t="n"/>
      <c r="F245" s="192" t="n"/>
      <c r="G245" s="192" t="n"/>
      <c r="H245" s="192" t="n"/>
      <c r="I245" s="64" t="n"/>
      <c r="J245" s="64" t="n"/>
      <c r="K245" s="193" t="n"/>
      <c r="L245" s="357" t="n"/>
      <c r="M245" s="357" t="n"/>
      <c r="N245" s="58" t="n"/>
      <c r="O245" s="30" t="n"/>
      <c r="P245" s="58" t="n"/>
      <c r="Q245" s="30" t="n"/>
      <c r="R245" s="135" t="n"/>
      <c r="S245" s="301" t="n"/>
      <c r="T245" s="294" t="n"/>
      <c r="U245" s="29" t="inlineStr">
        <is>
          <t>r03</t>
        </is>
      </c>
      <c r="V245" s="191" t="n"/>
      <c r="W245" s="58" t="n"/>
      <c r="X245" s="192" t="n"/>
      <c r="Y245" s="192" t="n"/>
      <c r="Z245" s="192" t="n"/>
      <c r="AA245" s="64" t="n"/>
      <c r="AB245" s="64" t="n"/>
      <c r="AC245" s="193" t="n"/>
      <c r="AD245" s="357" t="n"/>
      <c r="AE245" s="357" t="n"/>
      <c r="AF245" s="58" t="n"/>
      <c r="AG245" s="30" t="n"/>
      <c r="AH245" s="58" t="n"/>
      <c r="AI245" s="30" t="n"/>
      <c r="AJ245" s="135" t="n"/>
      <c r="AK245" s="212" t="n"/>
      <c r="AL245" s="294" t="n"/>
      <c r="AM245" s="89">
        <f>IF(OR(X245="",F245=""),"",X245-F245)</f>
        <v/>
      </c>
      <c r="AN245" s="124">
        <f>IF(OR(Y245="",G245=""),"",Y245-G245)</f>
        <v/>
      </c>
      <c r="AO245" s="124">
        <f>IF(OR(Z245="",H245=""),"",Z245-H245)</f>
        <v/>
      </c>
      <c r="AP245" s="124">
        <f>IF(OR(AA245="",I245=""),"",AA245-I245)</f>
        <v/>
      </c>
      <c r="AQ245" s="90">
        <f>IF(OR(AB245="",J245=""),"",AB245-J245)</f>
        <v/>
      </c>
      <c r="AR245" s="39" t="n"/>
      <c r="AS245" s="332" t="n"/>
      <c r="AT245" s="39" t="n"/>
    </row>
    <row r="246" ht="13.5" customHeight="1" s="279">
      <c r="B246" s="294" t="n"/>
      <c r="C246" s="29" t="inlineStr">
        <is>
          <t>r04</t>
        </is>
      </c>
      <c r="D246" s="191" t="n"/>
      <c r="E246" s="58" t="n"/>
      <c r="F246" s="192" t="n"/>
      <c r="G246" s="192" t="n"/>
      <c r="H246" s="192" t="n"/>
      <c r="I246" s="64" t="n"/>
      <c r="J246" s="64" t="n"/>
      <c r="K246" s="193" t="n"/>
      <c r="L246" s="357" t="n"/>
      <c r="M246" s="357" t="n"/>
      <c r="N246" s="58" t="n"/>
      <c r="O246" s="30" t="n"/>
      <c r="P246" s="58" t="n"/>
      <c r="Q246" s="30" t="n"/>
      <c r="R246" s="135" t="n"/>
      <c r="S246" s="301" t="n"/>
      <c r="T246" s="294" t="n"/>
      <c r="U246" s="29" t="inlineStr">
        <is>
          <t>r04</t>
        </is>
      </c>
      <c r="V246" s="191" t="n"/>
      <c r="W246" s="58" t="n"/>
      <c r="X246" s="192" t="n"/>
      <c r="Y246" s="192" t="n"/>
      <c r="Z246" s="192" t="n"/>
      <c r="AA246" s="64" t="n"/>
      <c r="AB246" s="64" t="n"/>
      <c r="AC246" s="193" t="n"/>
      <c r="AD246" s="357" t="n"/>
      <c r="AE246" s="357" t="n"/>
      <c r="AF246" s="58" t="n"/>
      <c r="AG246" s="30" t="n"/>
      <c r="AH246" s="58" t="n"/>
      <c r="AI246" s="30" t="n"/>
      <c r="AJ246" s="135" t="n"/>
      <c r="AK246" s="212" t="n"/>
      <c r="AL246" s="294" t="n"/>
      <c r="AM246" s="89">
        <f>IF(OR(X246="",F246=""),"",X246-F246)</f>
        <v/>
      </c>
      <c r="AN246" s="124">
        <f>IF(OR(Y246="",G246=""),"",Y246-G246)</f>
        <v/>
      </c>
      <c r="AO246" s="124">
        <f>IF(OR(Z246="",H246=""),"",Z246-H246)</f>
        <v/>
      </c>
      <c r="AP246" s="124">
        <f>IF(OR(AA246="",I246=""),"",AA246-I246)</f>
        <v/>
      </c>
      <c r="AQ246" s="90">
        <f>IF(OR(AB246="",J246=""),"",AB246-J246)</f>
        <v/>
      </c>
      <c r="AR246" s="39" t="n"/>
      <c r="AS246" s="332" t="n"/>
      <c r="AT246" s="39" t="n"/>
    </row>
    <row r="247" ht="13.5" customHeight="1" s="279" thickBot="1">
      <c r="B247" s="295" t="n"/>
      <c r="C247" s="29" t="n"/>
      <c r="D247" s="191" t="n"/>
      <c r="E247" s="58" t="n"/>
      <c r="F247" s="194" t="n"/>
      <c r="G247" s="194" t="n"/>
      <c r="H247" s="194" t="n"/>
      <c r="I247" s="58" t="n"/>
      <c r="J247" s="58" t="n"/>
      <c r="K247" s="193" t="n"/>
      <c r="L247" s="357" t="n"/>
      <c r="M247" s="357" t="n"/>
      <c r="N247" s="58" t="n"/>
      <c r="O247" s="30" t="n"/>
      <c r="P247" s="58" t="n"/>
      <c r="Q247" s="30" t="n"/>
      <c r="R247" s="189" t="n"/>
      <c r="S247" s="301" t="n"/>
      <c r="T247" s="295" t="n"/>
      <c r="U247" s="29" t="n"/>
      <c r="V247" s="191" t="n"/>
      <c r="W247" s="58" t="n"/>
      <c r="X247" s="194" t="n"/>
      <c r="Y247" s="194" t="n"/>
      <c r="Z247" s="194" t="n"/>
      <c r="AA247" s="58" t="n"/>
      <c r="AB247" s="58" t="n"/>
      <c r="AC247" s="193" t="n"/>
      <c r="AD247" s="357" t="n"/>
      <c r="AE247" s="357" t="n"/>
      <c r="AF247" s="58" t="n"/>
      <c r="AG247" s="30" t="n"/>
      <c r="AH247" s="58" t="n"/>
      <c r="AI247" s="30" t="n"/>
      <c r="AJ247" s="189" t="n"/>
      <c r="AK247" s="212" t="n"/>
      <c r="AL247" s="295" t="n"/>
      <c r="AM247" s="125">
        <f>IF(OR(X247="",F247=""),"",X247-F247)</f>
        <v/>
      </c>
      <c r="AN247" s="126">
        <f>IF(OR(Y247="",G247=""),"",Y247-G247)</f>
        <v/>
      </c>
      <c r="AO247" s="126">
        <f>IF(OR(Z247="",H247=""),"",Z247-H247)</f>
        <v/>
      </c>
      <c r="AP247" s="126">
        <f>IF(OR(AA247="",I247=""),"",AA247-I247)</f>
        <v/>
      </c>
      <c r="AQ247" s="127">
        <f>IF(OR(AB247="",J247=""),"",AB247-J247)</f>
        <v/>
      </c>
      <c r="AR247" s="39" t="n"/>
      <c r="AS247" s="332" t="n"/>
      <c r="AT247" s="39" t="n"/>
    </row>
    <row r="248" ht="13.5" customHeight="1" s="279">
      <c r="B248" s="293" t="inlineStr">
        <is>
          <t>v43</t>
        </is>
      </c>
      <c r="C248" s="27" t="inlineStr">
        <is>
          <t>r01</t>
        </is>
      </c>
      <c r="D248" s="41" t="n"/>
      <c r="E248" s="57" t="n"/>
      <c r="F248" s="99" t="n"/>
      <c r="G248" s="99" t="n"/>
      <c r="H248" s="99" t="n"/>
      <c r="I248" s="62" t="n"/>
      <c r="J248" s="62" t="n"/>
      <c r="K248" s="63" t="n"/>
      <c r="L248" s="356" t="n"/>
      <c r="M248" s="356" t="n"/>
      <c r="N248" s="57" t="n"/>
      <c r="O248" s="28" t="n"/>
      <c r="P248" s="57" t="n"/>
      <c r="Q248" s="28" t="n"/>
      <c r="R248" s="134" t="n"/>
      <c r="S248" s="301" t="n"/>
      <c r="T248" s="293" t="inlineStr">
        <is>
          <t>v43</t>
        </is>
      </c>
      <c r="U248" s="27" t="inlineStr">
        <is>
          <t>r01</t>
        </is>
      </c>
      <c r="V248" s="41" t="n"/>
      <c r="W248" s="57" t="n"/>
      <c r="X248" s="99" t="n"/>
      <c r="Y248" s="99" t="n"/>
      <c r="Z248" s="99" t="n"/>
      <c r="AA248" s="62" t="n"/>
      <c r="AB248" s="62" t="n"/>
      <c r="AC248" s="63" t="n"/>
      <c r="AD248" s="356" t="n"/>
      <c r="AE248" s="356" t="n"/>
      <c r="AF248" s="57" t="n"/>
      <c r="AG248" s="28" t="n"/>
      <c r="AH248" s="57" t="n"/>
      <c r="AI248" s="28" t="n"/>
      <c r="AJ248" s="134" t="n"/>
      <c r="AK248" s="212" t="n"/>
      <c r="AL248" s="293" t="inlineStr">
        <is>
          <t>v43</t>
        </is>
      </c>
      <c r="AM248" s="122">
        <f>IF(OR(X248="",F248=""),"",X248-F248)</f>
        <v/>
      </c>
      <c r="AN248" s="98">
        <f>IF(OR(Y248="",G248=""),"",Y248-G248)</f>
        <v/>
      </c>
      <c r="AO248" s="98">
        <f>IF(OR(Z248="",H248=""),"",Z248-H248)</f>
        <v/>
      </c>
      <c r="AP248" s="98">
        <f>IF(OR(AA248="",I248=""),"",AA248-I248)</f>
        <v/>
      </c>
      <c r="AQ248" s="123">
        <f>IF(OR(AB248="",J248=""),"",AB248-J248)</f>
        <v/>
      </c>
      <c r="AR248" s="39" t="n"/>
      <c r="AS248" s="332" t="n"/>
      <c r="AT248" s="39" t="n"/>
    </row>
    <row r="249" ht="13.5" customHeight="1" s="279">
      <c r="B249" s="294" t="n"/>
      <c r="C249" s="29" t="inlineStr">
        <is>
          <t>r02</t>
        </is>
      </c>
      <c r="D249" s="191" t="n"/>
      <c r="E249" s="58" t="n"/>
      <c r="F249" s="192" t="n"/>
      <c r="G249" s="192" t="n"/>
      <c r="H249" s="192" t="n"/>
      <c r="I249" s="64" t="n"/>
      <c r="J249" s="64" t="n"/>
      <c r="K249" s="193" t="n"/>
      <c r="L249" s="357" t="n"/>
      <c r="M249" s="357" t="n"/>
      <c r="N249" s="58" t="n"/>
      <c r="O249" s="30" t="n"/>
      <c r="P249" s="58" t="n"/>
      <c r="Q249" s="30" t="n"/>
      <c r="R249" s="135" t="n"/>
      <c r="S249" s="301" t="n"/>
      <c r="T249" s="294" t="n"/>
      <c r="U249" s="29" t="inlineStr">
        <is>
          <t>r02</t>
        </is>
      </c>
      <c r="V249" s="191" t="n"/>
      <c r="W249" s="58" t="n"/>
      <c r="X249" s="192" t="n"/>
      <c r="Y249" s="192" t="n"/>
      <c r="Z249" s="192" t="n"/>
      <c r="AA249" s="64" t="n"/>
      <c r="AB249" s="64" t="n"/>
      <c r="AC249" s="193" t="n"/>
      <c r="AD249" s="357" t="n"/>
      <c r="AE249" s="357" t="n"/>
      <c r="AF249" s="58" t="n"/>
      <c r="AG249" s="30" t="n"/>
      <c r="AH249" s="58" t="n"/>
      <c r="AI249" s="30" t="n"/>
      <c r="AJ249" s="135" t="n"/>
      <c r="AK249" s="212" t="n"/>
      <c r="AL249" s="294" t="n"/>
      <c r="AM249" s="89">
        <f>IF(OR(X249="",F249=""),"",X249-F249)</f>
        <v/>
      </c>
      <c r="AN249" s="124">
        <f>IF(OR(Y249="",G249=""),"",Y249-G249)</f>
        <v/>
      </c>
      <c r="AO249" s="124">
        <f>IF(OR(Z249="",H249=""),"",Z249-H249)</f>
        <v/>
      </c>
      <c r="AP249" s="124">
        <f>IF(OR(AA249="",I249=""),"",AA249-I249)</f>
        <v/>
      </c>
      <c r="AQ249" s="90">
        <f>IF(OR(AB249="",J249=""),"",AB249-J249)</f>
        <v/>
      </c>
      <c r="AR249" s="39" t="n"/>
      <c r="AS249" s="332" t="n"/>
      <c r="AT249" s="39" t="n"/>
    </row>
    <row r="250" ht="13.5" customHeight="1" s="279">
      <c r="B250" s="294" t="n"/>
      <c r="C250" s="29" t="inlineStr">
        <is>
          <t>r03</t>
        </is>
      </c>
      <c r="D250" s="191" t="n"/>
      <c r="E250" s="58" t="n"/>
      <c r="F250" s="192" t="n"/>
      <c r="G250" s="192" t="n"/>
      <c r="H250" s="192" t="n"/>
      <c r="I250" s="64" t="n"/>
      <c r="J250" s="64" t="n"/>
      <c r="K250" s="193" t="n"/>
      <c r="L250" s="357" t="n"/>
      <c r="M250" s="357" t="n"/>
      <c r="N250" s="58" t="n"/>
      <c r="O250" s="30" t="n"/>
      <c r="P250" s="58" t="n"/>
      <c r="Q250" s="30" t="n"/>
      <c r="R250" s="135" t="n"/>
      <c r="S250" s="301" t="n"/>
      <c r="T250" s="294" t="n"/>
      <c r="U250" s="29" t="inlineStr">
        <is>
          <t>r03</t>
        </is>
      </c>
      <c r="V250" s="191" t="n"/>
      <c r="W250" s="58" t="n"/>
      <c r="X250" s="192" t="n"/>
      <c r="Y250" s="192" t="n"/>
      <c r="Z250" s="192" t="n"/>
      <c r="AA250" s="64" t="n"/>
      <c r="AB250" s="64" t="n"/>
      <c r="AC250" s="193" t="n"/>
      <c r="AD250" s="357" t="n"/>
      <c r="AE250" s="357" t="n"/>
      <c r="AF250" s="58" t="n"/>
      <c r="AG250" s="30" t="n"/>
      <c r="AH250" s="58" t="n"/>
      <c r="AI250" s="30" t="n"/>
      <c r="AJ250" s="135" t="n"/>
      <c r="AK250" s="212" t="n"/>
      <c r="AL250" s="294" t="n"/>
      <c r="AM250" s="89">
        <f>IF(OR(X250="",F250=""),"",X250-F250)</f>
        <v/>
      </c>
      <c r="AN250" s="124">
        <f>IF(OR(Y250="",G250=""),"",Y250-G250)</f>
        <v/>
      </c>
      <c r="AO250" s="124">
        <f>IF(OR(Z250="",H250=""),"",Z250-H250)</f>
        <v/>
      </c>
      <c r="AP250" s="124">
        <f>IF(OR(AA250="",I250=""),"",AA250-I250)</f>
        <v/>
      </c>
      <c r="AQ250" s="90">
        <f>IF(OR(AB250="",J250=""),"",AB250-J250)</f>
        <v/>
      </c>
      <c r="AR250" s="39" t="n"/>
      <c r="AS250" s="332" t="n"/>
      <c r="AT250" s="39" t="n"/>
    </row>
    <row r="251" ht="13.5" customHeight="1" s="279">
      <c r="B251" s="294" t="n"/>
      <c r="C251" s="29" t="inlineStr">
        <is>
          <t>r04</t>
        </is>
      </c>
      <c r="D251" s="191" t="n"/>
      <c r="E251" s="58" t="n"/>
      <c r="F251" s="192" t="n"/>
      <c r="G251" s="192" t="n"/>
      <c r="H251" s="192" t="n"/>
      <c r="I251" s="64" t="n"/>
      <c r="J251" s="64" t="n"/>
      <c r="K251" s="193" t="n"/>
      <c r="L251" s="357" t="n"/>
      <c r="M251" s="357" t="n"/>
      <c r="N251" s="58" t="n"/>
      <c r="O251" s="30" t="n"/>
      <c r="P251" s="58" t="n"/>
      <c r="Q251" s="30" t="n"/>
      <c r="R251" s="135" t="n"/>
      <c r="S251" s="301" t="n"/>
      <c r="T251" s="294" t="n"/>
      <c r="U251" s="29" t="inlineStr">
        <is>
          <t>r04</t>
        </is>
      </c>
      <c r="V251" s="191" t="n"/>
      <c r="W251" s="58" t="n"/>
      <c r="X251" s="192" t="n"/>
      <c r="Y251" s="192" t="n"/>
      <c r="Z251" s="192" t="n"/>
      <c r="AA251" s="64" t="n"/>
      <c r="AB251" s="64" t="n"/>
      <c r="AC251" s="193" t="n"/>
      <c r="AD251" s="357" t="n"/>
      <c r="AE251" s="357" t="n"/>
      <c r="AF251" s="58" t="n"/>
      <c r="AG251" s="30" t="n"/>
      <c r="AH251" s="58" t="n"/>
      <c r="AI251" s="30" t="n"/>
      <c r="AJ251" s="135" t="n"/>
      <c r="AK251" s="212" t="n"/>
      <c r="AL251" s="294" t="n"/>
      <c r="AM251" s="89">
        <f>IF(OR(X251="",F251=""),"",X251-F251)</f>
        <v/>
      </c>
      <c r="AN251" s="124">
        <f>IF(OR(Y251="",G251=""),"",Y251-G251)</f>
        <v/>
      </c>
      <c r="AO251" s="124">
        <f>IF(OR(Z251="",H251=""),"",Z251-H251)</f>
        <v/>
      </c>
      <c r="AP251" s="124">
        <f>IF(OR(AA251="",I251=""),"",AA251-I251)</f>
        <v/>
      </c>
      <c r="AQ251" s="90">
        <f>IF(OR(AB251="",J251=""),"",AB251-J251)</f>
        <v/>
      </c>
      <c r="AR251" s="39" t="n"/>
      <c r="AS251" s="332" t="n"/>
      <c r="AT251" s="39" t="n"/>
    </row>
    <row r="252" ht="13.5" customHeight="1" s="279" thickBot="1">
      <c r="B252" s="295" t="n"/>
      <c r="C252" s="29" t="n"/>
      <c r="D252" s="191" t="n"/>
      <c r="E252" s="58" t="n"/>
      <c r="F252" s="194" t="n"/>
      <c r="G252" s="194" t="n"/>
      <c r="H252" s="194" t="n"/>
      <c r="I252" s="58" t="n"/>
      <c r="J252" s="58" t="n"/>
      <c r="K252" s="193" t="n"/>
      <c r="L252" s="357" t="n"/>
      <c r="M252" s="357" t="n"/>
      <c r="N252" s="58" t="n"/>
      <c r="O252" s="30" t="n"/>
      <c r="P252" s="58" t="n"/>
      <c r="Q252" s="30" t="n"/>
      <c r="R252" s="189" t="n"/>
      <c r="S252" s="301" t="n"/>
      <c r="T252" s="295" t="n"/>
      <c r="U252" s="29" t="n"/>
      <c r="V252" s="191" t="n"/>
      <c r="W252" s="58" t="n"/>
      <c r="X252" s="194" t="n"/>
      <c r="Y252" s="194" t="n"/>
      <c r="Z252" s="194" t="n"/>
      <c r="AA252" s="58" t="n"/>
      <c r="AB252" s="58" t="n"/>
      <c r="AC252" s="193" t="n"/>
      <c r="AD252" s="357" t="n"/>
      <c r="AE252" s="357" t="n"/>
      <c r="AF252" s="58" t="n"/>
      <c r="AG252" s="30" t="n"/>
      <c r="AH252" s="58" t="n"/>
      <c r="AI252" s="30" t="n"/>
      <c r="AJ252" s="189" t="n"/>
      <c r="AK252" s="212" t="n"/>
      <c r="AL252" s="295" t="n"/>
      <c r="AM252" s="125">
        <f>IF(OR(X252="",F252=""),"",X252-F252)</f>
        <v/>
      </c>
      <c r="AN252" s="126">
        <f>IF(OR(Y252="",G252=""),"",Y252-G252)</f>
        <v/>
      </c>
      <c r="AO252" s="126">
        <f>IF(OR(Z252="",H252=""),"",Z252-H252)</f>
        <v/>
      </c>
      <c r="AP252" s="126">
        <f>IF(OR(AA252="",I252=""),"",AA252-I252)</f>
        <v/>
      </c>
      <c r="AQ252" s="127">
        <f>IF(OR(AB252="",J252=""),"",AB252-J252)</f>
        <v/>
      </c>
      <c r="AR252" s="39" t="n"/>
      <c r="AS252" s="332" t="n"/>
      <c r="AT252" s="39" t="n"/>
    </row>
    <row r="253" ht="13.5" customHeight="1" s="279">
      <c r="B253" s="293" t="inlineStr">
        <is>
          <t>v44</t>
        </is>
      </c>
      <c r="C253" s="27" t="inlineStr">
        <is>
          <t>r01</t>
        </is>
      </c>
      <c r="D253" s="41" t="n"/>
      <c r="E253" s="57" t="n"/>
      <c r="F253" s="99" t="n"/>
      <c r="G253" s="99" t="n"/>
      <c r="H253" s="99" t="n"/>
      <c r="I253" s="62" t="n"/>
      <c r="J253" s="62" t="n"/>
      <c r="K253" s="63" t="n"/>
      <c r="L253" s="356" t="n"/>
      <c r="M253" s="356" t="n"/>
      <c r="N253" s="57" t="n"/>
      <c r="O253" s="28" t="n"/>
      <c r="P253" s="57" t="n"/>
      <c r="Q253" s="28" t="n"/>
      <c r="R253" s="134" t="n"/>
      <c r="S253" s="301" t="n"/>
      <c r="T253" s="293" t="inlineStr">
        <is>
          <t>v44</t>
        </is>
      </c>
      <c r="U253" s="27" t="inlineStr">
        <is>
          <t>r01</t>
        </is>
      </c>
      <c r="V253" s="41" t="n"/>
      <c r="W253" s="57" t="n"/>
      <c r="X253" s="99" t="n"/>
      <c r="Y253" s="99" t="n"/>
      <c r="Z253" s="99" t="n"/>
      <c r="AA253" s="62" t="n"/>
      <c r="AB253" s="62" t="n"/>
      <c r="AC253" s="63" t="n"/>
      <c r="AD253" s="356" t="n"/>
      <c r="AE253" s="356" t="n"/>
      <c r="AF253" s="57" t="n"/>
      <c r="AG253" s="28" t="n"/>
      <c r="AH253" s="57" t="n"/>
      <c r="AI253" s="28" t="n"/>
      <c r="AJ253" s="134" t="n"/>
      <c r="AK253" s="212" t="n"/>
      <c r="AL253" s="293" t="inlineStr">
        <is>
          <t>v44</t>
        </is>
      </c>
      <c r="AM253" s="122">
        <f>IF(OR(X253="",F253=""),"",X253-F253)</f>
        <v/>
      </c>
      <c r="AN253" s="98">
        <f>IF(OR(Y253="",G253=""),"",Y253-G253)</f>
        <v/>
      </c>
      <c r="AO253" s="98">
        <f>IF(OR(Z253="",H253=""),"",Z253-H253)</f>
        <v/>
      </c>
      <c r="AP253" s="98">
        <f>IF(OR(AA253="",I253=""),"",AA253-I253)</f>
        <v/>
      </c>
      <c r="AQ253" s="123">
        <f>IF(OR(AB253="",J253=""),"",AB253-J253)</f>
        <v/>
      </c>
      <c r="AR253" s="39" t="n"/>
      <c r="AS253" s="332" t="n"/>
      <c r="AT253" s="39" t="n"/>
    </row>
    <row r="254" ht="13.5" customHeight="1" s="279">
      <c r="B254" s="294" t="n"/>
      <c r="C254" s="29" t="inlineStr">
        <is>
          <t>r02</t>
        </is>
      </c>
      <c r="D254" s="191" t="n"/>
      <c r="E254" s="58" t="n"/>
      <c r="F254" s="192" t="n"/>
      <c r="G254" s="192" t="n"/>
      <c r="H254" s="192" t="n"/>
      <c r="I254" s="64" t="n"/>
      <c r="J254" s="64" t="n"/>
      <c r="K254" s="193" t="n"/>
      <c r="L254" s="357" t="n"/>
      <c r="M254" s="357" t="n"/>
      <c r="N254" s="58" t="n"/>
      <c r="O254" s="30" t="n"/>
      <c r="P254" s="58" t="n"/>
      <c r="Q254" s="30" t="n"/>
      <c r="R254" s="135" t="n"/>
      <c r="S254" s="301" t="n"/>
      <c r="T254" s="294" t="n"/>
      <c r="U254" s="29" t="inlineStr">
        <is>
          <t>r02</t>
        </is>
      </c>
      <c r="V254" s="191" t="n"/>
      <c r="W254" s="58" t="n"/>
      <c r="X254" s="192" t="n"/>
      <c r="Y254" s="192" t="n"/>
      <c r="Z254" s="192" t="n"/>
      <c r="AA254" s="64" t="n"/>
      <c r="AB254" s="64" t="n"/>
      <c r="AC254" s="193" t="n"/>
      <c r="AD254" s="357" t="n"/>
      <c r="AE254" s="357" t="n"/>
      <c r="AF254" s="58" t="n"/>
      <c r="AG254" s="30" t="n"/>
      <c r="AH254" s="58" t="n"/>
      <c r="AI254" s="30" t="n"/>
      <c r="AJ254" s="135" t="n"/>
      <c r="AK254" s="212" t="n"/>
      <c r="AL254" s="294" t="n"/>
      <c r="AM254" s="89">
        <f>IF(OR(X254="",F254=""),"",X254-F254)</f>
        <v/>
      </c>
      <c r="AN254" s="124">
        <f>IF(OR(Y254="",G254=""),"",Y254-G254)</f>
        <v/>
      </c>
      <c r="AO254" s="124">
        <f>IF(OR(Z254="",H254=""),"",Z254-H254)</f>
        <v/>
      </c>
      <c r="AP254" s="124">
        <f>IF(OR(AA254="",I254=""),"",AA254-I254)</f>
        <v/>
      </c>
      <c r="AQ254" s="90">
        <f>IF(OR(AB254="",J254=""),"",AB254-J254)</f>
        <v/>
      </c>
      <c r="AR254" s="39" t="n"/>
      <c r="AS254" s="332" t="n"/>
      <c r="AT254" s="39" t="n"/>
    </row>
    <row r="255" ht="13.5" customHeight="1" s="279">
      <c r="B255" s="294" t="n"/>
      <c r="C255" s="29" t="inlineStr">
        <is>
          <t>r03</t>
        </is>
      </c>
      <c r="D255" s="191" t="n"/>
      <c r="E255" s="58" t="n"/>
      <c r="F255" s="192" t="n"/>
      <c r="G255" s="192" t="n"/>
      <c r="H255" s="192" t="n"/>
      <c r="I255" s="64" t="n"/>
      <c r="J255" s="64" t="n"/>
      <c r="K255" s="193" t="n"/>
      <c r="L255" s="357" t="n"/>
      <c r="M255" s="357" t="n"/>
      <c r="N255" s="58" t="n"/>
      <c r="O255" s="30" t="n"/>
      <c r="P255" s="58" t="n"/>
      <c r="Q255" s="30" t="n"/>
      <c r="R255" s="135" t="n"/>
      <c r="S255" s="301" t="n"/>
      <c r="T255" s="294" t="n"/>
      <c r="U255" s="29" t="inlineStr">
        <is>
          <t>r03</t>
        </is>
      </c>
      <c r="V255" s="191" t="n"/>
      <c r="W255" s="58" t="n"/>
      <c r="X255" s="192" t="n"/>
      <c r="Y255" s="192" t="n"/>
      <c r="Z255" s="192" t="n"/>
      <c r="AA255" s="64" t="n"/>
      <c r="AB255" s="64" t="n"/>
      <c r="AC255" s="193" t="n"/>
      <c r="AD255" s="357" t="n"/>
      <c r="AE255" s="357" t="n"/>
      <c r="AF255" s="58" t="n"/>
      <c r="AG255" s="30" t="n"/>
      <c r="AH255" s="58" t="n"/>
      <c r="AI255" s="30" t="n"/>
      <c r="AJ255" s="135" t="n"/>
      <c r="AK255" s="212" t="n"/>
      <c r="AL255" s="294" t="n"/>
      <c r="AM255" s="89">
        <f>IF(OR(X255="",F255=""),"",X255-F255)</f>
        <v/>
      </c>
      <c r="AN255" s="124">
        <f>IF(OR(Y255="",G255=""),"",Y255-G255)</f>
        <v/>
      </c>
      <c r="AO255" s="124">
        <f>IF(OR(Z255="",H255=""),"",Z255-H255)</f>
        <v/>
      </c>
      <c r="AP255" s="124">
        <f>IF(OR(AA255="",I255=""),"",AA255-I255)</f>
        <v/>
      </c>
      <c r="AQ255" s="90">
        <f>IF(OR(AB255="",J255=""),"",AB255-J255)</f>
        <v/>
      </c>
      <c r="AR255" s="39" t="n"/>
      <c r="AS255" s="332" t="n"/>
      <c r="AT255" s="39" t="n"/>
    </row>
    <row r="256" ht="13.5" customHeight="1" s="279">
      <c r="B256" s="294" t="n"/>
      <c r="C256" s="29" t="inlineStr">
        <is>
          <t>r04</t>
        </is>
      </c>
      <c r="D256" s="191" t="n"/>
      <c r="E256" s="58" t="n"/>
      <c r="F256" s="192" t="n"/>
      <c r="G256" s="192" t="n"/>
      <c r="H256" s="192" t="n"/>
      <c r="I256" s="64" t="n"/>
      <c r="J256" s="64" t="n"/>
      <c r="K256" s="193" t="n"/>
      <c r="L256" s="357" t="n"/>
      <c r="M256" s="357" t="n"/>
      <c r="N256" s="58" t="n"/>
      <c r="O256" s="30" t="n"/>
      <c r="P256" s="58" t="n"/>
      <c r="Q256" s="30" t="n"/>
      <c r="R256" s="135" t="n"/>
      <c r="S256" s="301" t="n"/>
      <c r="T256" s="294" t="n"/>
      <c r="U256" s="29" t="inlineStr">
        <is>
          <t>r04</t>
        </is>
      </c>
      <c r="V256" s="191" t="n"/>
      <c r="W256" s="58" t="n"/>
      <c r="X256" s="192" t="n"/>
      <c r="Y256" s="192" t="n"/>
      <c r="Z256" s="192" t="n"/>
      <c r="AA256" s="64" t="n"/>
      <c r="AB256" s="64" t="n"/>
      <c r="AC256" s="193" t="n"/>
      <c r="AD256" s="357" t="n"/>
      <c r="AE256" s="357" t="n"/>
      <c r="AF256" s="58" t="n"/>
      <c r="AG256" s="30" t="n"/>
      <c r="AH256" s="58" t="n"/>
      <c r="AI256" s="30" t="n"/>
      <c r="AJ256" s="135" t="n"/>
      <c r="AK256" s="212" t="n"/>
      <c r="AL256" s="294" t="n"/>
      <c r="AM256" s="89">
        <f>IF(OR(X256="",F256=""),"",X256-F256)</f>
        <v/>
      </c>
      <c r="AN256" s="124">
        <f>IF(OR(Y256="",G256=""),"",Y256-G256)</f>
        <v/>
      </c>
      <c r="AO256" s="124">
        <f>IF(OR(Z256="",H256=""),"",Z256-H256)</f>
        <v/>
      </c>
      <c r="AP256" s="124">
        <f>IF(OR(AA256="",I256=""),"",AA256-I256)</f>
        <v/>
      </c>
      <c r="AQ256" s="90">
        <f>IF(OR(AB256="",J256=""),"",AB256-J256)</f>
        <v/>
      </c>
      <c r="AR256" s="39" t="n"/>
      <c r="AS256" s="332" t="n"/>
      <c r="AT256" s="39" t="n"/>
    </row>
    <row r="257" ht="13.5" customHeight="1" s="279" thickBot="1">
      <c r="B257" s="295" t="n"/>
      <c r="C257" s="29" t="n"/>
      <c r="D257" s="191" t="n"/>
      <c r="E257" s="58" t="n"/>
      <c r="F257" s="194" t="n"/>
      <c r="G257" s="194" t="n"/>
      <c r="H257" s="194" t="n"/>
      <c r="I257" s="58" t="n"/>
      <c r="J257" s="58" t="n"/>
      <c r="K257" s="193" t="n"/>
      <c r="L257" s="357" t="n"/>
      <c r="M257" s="357" t="n"/>
      <c r="N257" s="58" t="n"/>
      <c r="O257" s="30" t="n"/>
      <c r="P257" s="58" t="n"/>
      <c r="Q257" s="30" t="n"/>
      <c r="R257" s="189" t="n"/>
      <c r="S257" s="301" t="n"/>
      <c r="T257" s="295" t="n"/>
      <c r="U257" s="29" t="n"/>
      <c r="V257" s="191" t="n"/>
      <c r="W257" s="58" t="n"/>
      <c r="X257" s="194" t="n"/>
      <c r="Y257" s="194" t="n"/>
      <c r="Z257" s="194" t="n"/>
      <c r="AA257" s="58" t="n"/>
      <c r="AB257" s="58" t="n"/>
      <c r="AC257" s="193" t="n"/>
      <c r="AD257" s="357" t="n"/>
      <c r="AE257" s="357" t="n"/>
      <c r="AF257" s="58" t="n"/>
      <c r="AG257" s="30" t="n"/>
      <c r="AH257" s="58" t="n"/>
      <c r="AI257" s="30" t="n"/>
      <c r="AJ257" s="189" t="n"/>
      <c r="AK257" s="212" t="n"/>
      <c r="AL257" s="295" t="n"/>
      <c r="AM257" s="125">
        <f>IF(OR(X257="",F257=""),"",X257-F257)</f>
        <v/>
      </c>
      <c r="AN257" s="126">
        <f>IF(OR(Y257="",G257=""),"",Y257-G257)</f>
        <v/>
      </c>
      <c r="AO257" s="126">
        <f>IF(OR(Z257="",H257=""),"",Z257-H257)</f>
        <v/>
      </c>
      <c r="AP257" s="126">
        <f>IF(OR(AA257="",I257=""),"",AA257-I257)</f>
        <v/>
      </c>
      <c r="AQ257" s="127">
        <f>IF(OR(AB257="",J257=""),"",AB257-J257)</f>
        <v/>
      </c>
      <c r="AR257" s="39" t="n"/>
      <c r="AS257" s="332" t="n"/>
      <c r="AT257" s="39" t="n"/>
    </row>
    <row r="258" ht="13.5" customHeight="1" s="279">
      <c r="B258" s="293" t="inlineStr">
        <is>
          <t>v45</t>
        </is>
      </c>
      <c r="C258" s="27" t="inlineStr">
        <is>
          <t>r01</t>
        </is>
      </c>
      <c r="D258" s="41" t="n"/>
      <c r="E258" s="57" t="n"/>
      <c r="F258" s="99" t="n"/>
      <c r="G258" s="99" t="n"/>
      <c r="H258" s="99" t="n"/>
      <c r="I258" s="62" t="n"/>
      <c r="J258" s="62" t="n"/>
      <c r="K258" s="63" t="n"/>
      <c r="L258" s="356" t="n"/>
      <c r="M258" s="356" t="n"/>
      <c r="N258" s="57" t="n"/>
      <c r="O258" s="28" t="n"/>
      <c r="P258" s="57" t="n"/>
      <c r="Q258" s="28" t="n"/>
      <c r="R258" s="134" t="n"/>
      <c r="S258" s="301" t="n"/>
      <c r="T258" s="293" t="inlineStr">
        <is>
          <t>v45</t>
        </is>
      </c>
      <c r="U258" s="27" t="inlineStr">
        <is>
          <t>r01</t>
        </is>
      </c>
      <c r="V258" s="41" t="n"/>
      <c r="W258" s="57" t="n"/>
      <c r="X258" s="99" t="n"/>
      <c r="Y258" s="99" t="n"/>
      <c r="Z258" s="99" t="n"/>
      <c r="AA258" s="62" t="n"/>
      <c r="AB258" s="62" t="n"/>
      <c r="AC258" s="63" t="n"/>
      <c r="AD258" s="356" t="n"/>
      <c r="AE258" s="356" t="n"/>
      <c r="AF258" s="57" t="n"/>
      <c r="AG258" s="28" t="n"/>
      <c r="AH258" s="57" t="n"/>
      <c r="AI258" s="28" t="n"/>
      <c r="AJ258" s="134" t="n"/>
      <c r="AK258" s="212" t="n"/>
      <c r="AL258" s="293" t="inlineStr">
        <is>
          <t>v45</t>
        </is>
      </c>
      <c r="AM258" s="122">
        <f>IF(OR(X258="",F258=""),"",X258-F258)</f>
        <v/>
      </c>
      <c r="AN258" s="98">
        <f>IF(OR(Y258="",G258=""),"",Y258-G258)</f>
        <v/>
      </c>
      <c r="AO258" s="98">
        <f>IF(OR(Z258="",H258=""),"",Z258-H258)</f>
        <v/>
      </c>
      <c r="AP258" s="98">
        <f>IF(OR(AA258="",I258=""),"",AA258-I258)</f>
        <v/>
      </c>
      <c r="AQ258" s="123">
        <f>IF(OR(AB258="",J258=""),"",AB258-J258)</f>
        <v/>
      </c>
      <c r="AR258" s="39" t="n"/>
      <c r="AS258" s="332" t="n"/>
      <c r="AT258" s="39" t="n"/>
    </row>
    <row r="259" ht="13.5" customHeight="1" s="279">
      <c r="B259" s="294" t="n"/>
      <c r="C259" s="29" t="inlineStr">
        <is>
          <t>r02</t>
        </is>
      </c>
      <c r="D259" s="191" t="n"/>
      <c r="E259" s="58" t="n"/>
      <c r="F259" s="192" t="n"/>
      <c r="G259" s="192" t="n"/>
      <c r="H259" s="192" t="n"/>
      <c r="I259" s="64" t="n"/>
      <c r="J259" s="64" t="n"/>
      <c r="K259" s="193" t="n"/>
      <c r="L259" s="357" t="n"/>
      <c r="M259" s="357" t="n"/>
      <c r="N259" s="58" t="n"/>
      <c r="O259" s="30" t="n"/>
      <c r="P259" s="58" t="n"/>
      <c r="Q259" s="30" t="n"/>
      <c r="R259" s="135" t="n"/>
      <c r="S259" s="301" t="n"/>
      <c r="T259" s="294" t="n"/>
      <c r="U259" s="29" t="inlineStr">
        <is>
          <t>r02</t>
        </is>
      </c>
      <c r="V259" s="191" t="n"/>
      <c r="W259" s="58" t="n"/>
      <c r="X259" s="192" t="n"/>
      <c r="Y259" s="192" t="n"/>
      <c r="Z259" s="192" t="n"/>
      <c r="AA259" s="64" t="n"/>
      <c r="AB259" s="64" t="n"/>
      <c r="AC259" s="193" t="n"/>
      <c r="AD259" s="357" t="n"/>
      <c r="AE259" s="357" t="n"/>
      <c r="AF259" s="58" t="n"/>
      <c r="AG259" s="30" t="n"/>
      <c r="AH259" s="58" t="n"/>
      <c r="AI259" s="30" t="n"/>
      <c r="AJ259" s="135" t="n"/>
      <c r="AK259" s="212" t="n"/>
      <c r="AL259" s="294" t="n"/>
      <c r="AM259" s="89">
        <f>IF(OR(X259="",F259=""),"",X259-F259)</f>
        <v/>
      </c>
      <c r="AN259" s="124">
        <f>IF(OR(Y259="",G259=""),"",Y259-G259)</f>
        <v/>
      </c>
      <c r="AO259" s="124">
        <f>IF(OR(Z259="",H259=""),"",Z259-H259)</f>
        <v/>
      </c>
      <c r="AP259" s="124">
        <f>IF(OR(AA259="",I259=""),"",AA259-I259)</f>
        <v/>
      </c>
      <c r="AQ259" s="90">
        <f>IF(OR(AB259="",J259=""),"",AB259-J259)</f>
        <v/>
      </c>
      <c r="AR259" s="39" t="n"/>
      <c r="AS259" s="332" t="n"/>
      <c r="AT259" s="39" t="n"/>
    </row>
    <row r="260" ht="13.5" customHeight="1" s="279">
      <c r="B260" s="294" t="n"/>
      <c r="C260" s="29" t="inlineStr">
        <is>
          <t>r03</t>
        </is>
      </c>
      <c r="D260" s="191" t="n"/>
      <c r="E260" s="58" t="n"/>
      <c r="F260" s="192" t="n"/>
      <c r="G260" s="192" t="n"/>
      <c r="H260" s="192" t="n"/>
      <c r="I260" s="64" t="n"/>
      <c r="J260" s="64" t="n"/>
      <c r="K260" s="193" t="n"/>
      <c r="L260" s="357" t="n"/>
      <c r="M260" s="357" t="n"/>
      <c r="N260" s="58" t="n"/>
      <c r="O260" s="30" t="n"/>
      <c r="P260" s="58" t="n"/>
      <c r="Q260" s="30" t="n"/>
      <c r="R260" s="135" t="n"/>
      <c r="S260" s="301" t="n"/>
      <c r="T260" s="294" t="n"/>
      <c r="U260" s="29" t="inlineStr">
        <is>
          <t>r03</t>
        </is>
      </c>
      <c r="V260" s="191" t="n"/>
      <c r="W260" s="58" t="n"/>
      <c r="X260" s="192" t="n"/>
      <c r="Y260" s="192" t="n"/>
      <c r="Z260" s="192" t="n"/>
      <c r="AA260" s="64" t="n"/>
      <c r="AB260" s="64" t="n"/>
      <c r="AC260" s="193" t="n"/>
      <c r="AD260" s="357" t="n"/>
      <c r="AE260" s="357" t="n"/>
      <c r="AF260" s="58" t="n"/>
      <c r="AG260" s="30" t="n"/>
      <c r="AH260" s="58" t="n"/>
      <c r="AI260" s="30" t="n"/>
      <c r="AJ260" s="135" t="n"/>
      <c r="AK260" s="212" t="n"/>
      <c r="AL260" s="294" t="n"/>
      <c r="AM260" s="89">
        <f>IF(OR(X260="",F260=""),"",X260-F260)</f>
        <v/>
      </c>
      <c r="AN260" s="124">
        <f>IF(OR(Y260="",G260=""),"",Y260-G260)</f>
        <v/>
      </c>
      <c r="AO260" s="124">
        <f>IF(OR(Z260="",H260=""),"",Z260-H260)</f>
        <v/>
      </c>
      <c r="AP260" s="124">
        <f>IF(OR(AA260="",I260=""),"",AA260-I260)</f>
        <v/>
      </c>
      <c r="AQ260" s="90">
        <f>IF(OR(AB260="",J260=""),"",AB260-J260)</f>
        <v/>
      </c>
      <c r="AR260" s="39" t="n"/>
      <c r="AS260" s="332" t="n"/>
      <c r="AT260" s="39" t="n"/>
    </row>
    <row r="261" ht="13.5" customHeight="1" s="279">
      <c r="B261" s="294" t="n"/>
      <c r="C261" s="29" t="inlineStr">
        <is>
          <t>r04</t>
        </is>
      </c>
      <c r="D261" s="191" t="n"/>
      <c r="E261" s="58" t="n"/>
      <c r="F261" s="192" t="n"/>
      <c r="G261" s="192" t="n"/>
      <c r="H261" s="192" t="n"/>
      <c r="I261" s="64" t="n"/>
      <c r="J261" s="64" t="n"/>
      <c r="K261" s="193" t="n"/>
      <c r="L261" s="357" t="n"/>
      <c r="M261" s="357" t="n"/>
      <c r="N261" s="58" t="n"/>
      <c r="O261" s="30" t="n"/>
      <c r="P261" s="58" t="n"/>
      <c r="Q261" s="30" t="n"/>
      <c r="R261" s="135" t="n"/>
      <c r="S261" s="301" t="n"/>
      <c r="T261" s="294" t="n"/>
      <c r="U261" s="29" t="inlineStr">
        <is>
          <t>r04</t>
        </is>
      </c>
      <c r="V261" s="191" t="n"/>
      <c r="W261" s="58" t="n"/>
      <c r="X261" s="192" t="n"/>
      <c r="Y261" s="192" t="n"/>
      <c r="Z261" s="192" t="n"/>
      <c r="AA261" s="64" t="n"/>
      <c r="AB261" s="64" t="n"/>
      <c r="AC261" s="193" t="n"/>
      <c r="AD261" s="357" t="n"/>
      <c r="AE261" s="357" t="n"/>
      <c r="AF261" s="58" t="n"/>
      <c r="AG261" s="30" t="n"/>
      <c r="AH261" s="58" t="n"/>
      <c r="AI261" s="30" t="n"/>
      <c r="AJ261" s="135" t="n"/>
      <c r="AK261" s="212" t="n"/>
      <c r="AL261" s="294" t="n"/>
      <c r="AM261" s="89">
        <f>IF(OR(X261="",F261=""),"",X261-F261)</f>
        <v/>
      </c>
      <c r="AN261" s="124">
        <f>IF(OR(Y261="",G261=""),"",Y261-G261)</f>
        <v/>
      </c>
      <c r="AO261" s="124">
        <f>IF(OR(Z261="",H261=""),"",Z261-H261)</f>
        <v/>
      </c>
      <c r="AP261" s="124">
        <f>IF(OR(AA261="",I261=""),"",AA261-I261)</f>
        <v/>
      </c>
      <c r="AQ261" s="90">
        <f>IF(OR(AB261="",J261=""),"",AB261-J261)</f>
        <v/>
      </c>
      <c r="AR261" s="39" t="n"/>
      <c r="AS261" s="332" t="n"/>
      <c r="AT261" s="39" t="n"/>
    </row>
    <row r="262" ht="13.5" customHeight="1" s="279" thickBot="1">
      <c r="B262" s="295" t="n"/>
      <c r="C262" s="29" t="n"/>
      <c r="D262" s="191" t="n"/>
      <c r="E262" s="58" t="n"/>
      <c r="F262" s="194" t="n"/>
      <c r="G262" s="194" t="n"/>
      <c r="H262" s="194" t="n"/>
      <c r="I262" s="58" t="n"/>
      <c r="J262" s="58" t="n"/>
      <c r="K262" s="193" t="n"/>
      <c r="L262" s="357" t="n"/>
      <c r="M262" s="357" t="n"/>
      <c r="N262" s="58" t="n"/>
      <c r="O262" s="30" t="n"/>
      <c r="P262" s="58" t="n"/>
      <c r="Q262" s="30" t="n"/>
      <c r="R262" s="189" t="n"/>
      <c r="S262" s="301" t="n"/>
      <c r="T262" s="295" t="n"/>
      <c r="U262" s="29" t="n"/>
      <c r="V262" s="191" t="n"/>
      <c r="W262" s="58" t="n"/>
      <c r="X262" s="194" t="n"/>
      <c r="Y262" s="194" t="n"/>
      <c r="Z262" s="194" t="n"/>
      <c r="AA262" s="58" t="n"/>
      <c r="AB262" s="58" t="n"/>
      <c r="AC262" s="193" t="n"/>
      <c r="AD262" s="357" t="n"/>
      <c r="AE262" s="357" t="n"/>
      <c r="AF262" s="58" t="n"/>
      <c r="AG262" s="30" t="n"/>
      <c r="AH262" s="58" t="n"/>
      <c r="AI262" s="30" t="n"/>
      <c r="AJ262" s="189" t="n"/>
      <c r="AK262" s="212" t="n"/>
      <c r="AL262" s="295" t="n"/>
      <c r="AM262" s="125">
        <f>IF(OR(X262="",F262=""),"",X262-F262)</f>
        <v/>
      </c>
      <c r="AN262" s="126">
        <f>IF(OR(Y262="",G262=""),"",Y262-G262)</f>
        <v/>
      </c>
      <c r="AO262" s="126">
        <f>IF(OR(Z262="",H262=""),"",Z262-H262)</f>
        <v/>
      </c>
      <c r="AP262" s="126">
        <f>IF(OR(AA262="",I262=""),"",AA262-I262)</f>
        <v/>
      </c>
      <c r="AQ262" s="127">
        <f>IF(OR(AB262="",J262=""),"",AB262-J262)</f>
        <v/>
      </c>
      <c r="AR262" s="39" t="n"/>
      <c r="AS262" s="332" t="n"/>
      <c r="AT262" s="39" t="n"/>
    </row>
    <row r="263" ht="13.5" customHeight="1" s="279">
      <c r="B263" s="293" t="inlineStr">
        <is>
          <t>v46</t>
        </is>
      </c>
      <c r="C263" s="27" t="inlineStr">
        <is>
          <t>r01</t>
        </is>
      </c>
      <c r="D263" s="41" t="n"/>
      <c r="E263" s="57" t="n"/>
      <c r="F263" s="99" t="n"/>
      <c r="G263" s="99" t="n"/>
      <c r="H263" s="99" t="n"/>
      <c r="I263" s="62" t="n"/>
      <c r="J263" s="62" t="n"/>
      <c r="K263" s="63" t="n"/>
      <c r="L263" s="356" t="n"/>
      <c r="M263" s="356" t="n"/>
      <c r="N263" s="57" t="n"/>
      <c r="O263" s="28" t="n"/>
      <c r="P263" s="57" t="n"/>
      <c r="Q263" s="28" t="n"/>
      <c r="R263" s="134" t="n"/>
      <c r="S263" s="301" t="n"/>
      <c r="T263" s="293" t="inlineStr">
        <is>
          <t>v46</t>
        </is>
      </c>
      <c r="U263" s="27" t="inlineStr">
        <is>
          <t>r01</t>
        </is>
      </c>
      <c r="V263" s="41" t="n"/>
      <c r="W263" s="57" t="n"/>
      <c r="X263" s="99" t="n"/>
      <c r="Y263" s="99" t="n"/>
      <c r="Z263" s="99" t="n"/>
      <c r="AA263" s="62" t="n"/>
      <c r="AB263" s="62" t="n"/>
      <c r="AC263" s="63" t="n"/>
      <c r="AD263" s="356" t="n"/>
      <c r="AE263" s="356" t="n"/>
      <c r="AF263" s="57" t="n"/>
      <c r="AG263" s="28" t="n"/>
      <c r="AH263" s="57" t="n"/>
      <c r="AI263" s="28" t="n"/>
      <c r="AJ263" s="134" t="n"/>
      <c r="AK263" s="212" t="n"/>
      <c r="AL263" s="293" t="inlineStr">
        <is>
          <t>v46</t>
        </is>
      </c>
      <c r="AM263" s="122">
        <f>IF(OR(X263="",F263=""),"",X263-F263)</f>
        <v/>
      </c>
      <c r="AN263" s="98">
        <f>IF(OR(Y263="",G263=""),"",Y263-G263)</f>
        <v/>
      </c>
      <c r="AO263" s="98">
        <f>IF(OR(Z263="",H263=""),"",Z263-H263)</f>
        <v/>
      </c>
      <c r="AP263" s="98">
        <f>IF(OR(AA263="",I263=""),"",AA263-I263)</f>
        <v/>
      </c>
      <c r="AQ263" s="123">
        <f>IF(OR(AB263="",J263=""),"",AB263-J263)</f>
        <v/>
      </c>
      <c r="AR263" s="39" t="n"/>
      <c r="AS263" s="332" t="n"/>
      <c r="AT263" s="39" t="n"/>
    </row>
    <row r="264" ht="13.5" customHeight="1" s="279">
      <c r="B264" s="294" t="n"/>
      <c r="C264" s="29" t="inlineStr">
        <is>
          <t>r02</t>
        </is>
      </c>
      <c r="D264" s="191" t="n"/>
      <c r="E264" s="58" t="n"/>
      <c r="F264" s="192" t="n"/>
      <c r="G264" s="192" t="n"/>
      <c r="H264" s="192" t="n"/>
      <c r="I264" s="64" t="n"/>
      <c r="J264" s="64" t="n"/>
      <c r="K264" s="193" t="n"/>
      <c r="L264" s="357" t="n"/>
      <c r="M264" s="357" t="n"/>
      <c r="N264" s="58" t="n"/>
      <c r="O264" s="30" t="n"/>
      <c r="P264" s="58" t="n"/>
      <c r="Q264" s="30" t="n"/>
      <c r="R264" s="135" t="n"/>
      <c r="S264" s="301" t="n"/>
      <c r="T264" s="294" t="n"/>
      <c r="U264" s="29" t="inlineStr">
        <is>
          <t>r02</t>
        </is>
      </c>
      <c r="V264" s="191" t="n"/>
      <c r="W264" s="58" t="n"/>
      <c r="X264" s="192" t="n"/>
      <c r="Y264" s="192" t="n"/>
      <c r="Z264" s="192" t="n"/>
      <c r="AA264" s="64" t="n"/>
      <c r="AB264" s="64" t="n"/>
      <c r="AC264" s="193" t="n"/>
      <c r="AD264" s="357" t="n"/>
      <c r="AE264" s="357" t="n"/>
      <c r="AF264" s="58" t="n"/>
      <c r="AG264" s="30" t="n"/>
      <c r="AH264" s="58" t="n"/>
      <c r="AI264" s="30" t="n"/>
      <c r="AJ264" s="135" t="n"/>
      <c r="AK264" s="212" t="n"/>
      <c r="AL264" s="294" t="n"/>
      <c r="AM264" s="89">
        <f>IF(OR(X264="",F264=""),"",X264-F264)</f>
        <v/>
      </c>
      <c r="AN264" s="124">
        <f>IF(OR(Y264="",G264=""),"",Y264-G264)</f>
        <v/>
      </c>
      <c r="AO264" s="124">
        <f>IF(OR(Z264="",H264=""),"",Z264-H264)</f>
        <v/>
      </c>
      <c r="AP264" s="124">
        <f>IF(OR(AA264="",I264=""),"",AA264-I264)</f>
        <v/>
      </c>
      <c r="AQ264" s="90">
        <f>IF(OR(AB264="",J264=""),"",AB264-J264)</f>
        <v/>
      </c>
      <c r="AR264" s="39" t="n"/>
      <c r="AS264" s="332" t="n"/>
      <c r="AT264" s="39" t="n"/>
    </row>
    <row r="265" ht="13.5" customHeight="1" s="279">
      <c r="B265" s="294" t="n"/>
      <c r="C265" s="29" t="inlineStr">
        <is>
          <t>r03</t>
        </is>
      </c>
      <c r="D265" s="191" t="n"/>
      <c r="E265" s="58" t="n"/>
      <c r="F265" s="192" t="n"/>
      <c r="G265" s="192" t="n"/>
      <c r="H265" s="192" t="n"/>
      <c r="I265" s="64" t="n"/>
      <c r="J265" s="64" t="n"/>
      <c r="K265" s="193" t="n"/>
      <c r="L265" s="357" t="n"/>
      <c r="M265" s="357" t="n"/>
      <c r="N265" s="58" t="n"/>
      <c r="O265" s="30" t="n"/>
      <c r="P265" s="58" t="n"/>
      <c r="Q265" s="30" t="n"/>
      <c r="R265" s="135" t="n"/>
      <c r="S265" s="301" t="n"/>
      <c r="T265" s="294" t="n"/>
      <c r="U265" s="29" t="inlineStr">
        <is>
          <t>r03</t>
        </is>
      </c>
      <c r="V265" s="191" t="n"/>
      <c r="W265" s="58" t="n"/>
      <c r="X265" s="192" t="n"/>
      <c r="Y265" s="192" t="n"/>
      <c r="Z265" s="192" t="n"/>
      <c r="AA265" s="64" t="n"/>
      <c r="AB265" s="64" t="n"/>
      <c r="AC265" s="193" t="n"/>
      <c r="AD265" s="357" t="n"/>
      <c r="AE265" s="357" t="n"/>
      <c r="AF265" s="58" t="n"/>
      <c r="AG265" s="30" t="n"/>
      <c r="AH265" s="58" t="n"/>
      <c r="AI265" s="30" t="n"/>
      <c r="AJ265" s="135" t="n"/>
      <c r="AK265" s="212" t="n"/>
      <c r="AL265" s="294" t="n"/>
      <c r="AM265" s="89">
        <f>IF(OR(X265="",F265=""),"",X265-F265)</f>
        <v/>
      </c>
      <c r="AN265" s="124">
        <f>IF(OR(Y265="",G265=""),"",Y265-G265)</f>
        <v/>
      </c>
      <c r="AO265" s="124">
        <f>IF(OR(Z265="",H265=""),"",Z265-H265)</f>
        <v/>
      </c>
      <c r="AP265" s="124">
        <f>IF(OR(AA265="",I265=""),"",AA265-I265)</f>
        <v/>
      </c>
      <c r="AQ265" s="90">
        <f>IF(OR(AB265="",J265=""),"",AB265-J265)</f>
        <v/>
      </c>
      <c r="AR265" s="39" t="n"/>
      <c r="AS265" s="332" t="n"/>
      <c r="AT265" s="39" t="n"/>
    </row>
    <row r="266" ht="13.5" customHeight="1" s="279">
      <c r="B266" s="294" t="n"/>
      <c r="C266" s="29" t="inlineStr">
        <is>
          <t>r04</t>
        </is>
      </c>
      <c r="D266" s="191" t="n"/>
      <c r="E266" s="58" t="n"/>
      <c r="F266" s="192" t="n"/>
      <c r="G266" s="192" t="n"/>
      <c r="H266" s="192" t="n"/>
      <c r="I266" s="64" t="n"/>
      <c r="J266" s="64" t="n"/>
      <c r="K266" s="193" t="n"/>
      <c r="L266" s="357" t="n"/>
      <c r="M266" s="357" t="n"/>
      <c r="N266" s="58" t="n"/>
      <c r="O266" s="30" t="n"/>
      <c r="P266" s="58" t="n"/>
      <c r="Q266" s="30" t="n"/>
      <c r="R266" s="135" t="n"/>
      <c r="S266" s="301" t="n"/>
      <c r="T266" s="294" t="n"/>
      <c r="U266" s="29" t="inlineStr">
        <is>
          <t>r04</t>
        </is>
      </c>
      <c r="V266" s="191" t="n"/>
      <c r="W266" s="58" t="n"/>
      <c r="X266" s="192" t="n"/>
      <c r="Y266" s="192" t="n"/>
      <c r="Z266" s="192" t="n"/>
      <c r="AA266" s="64" t="n"/>
      <c r="AB266" s="64" t="n"/>
      <c r="AC266" s="193" t="n"/>
      <c r="AD266" s="357" t="n"/>
      <c r="AE266" s="357" t="n"/>
      <c r="AF266" s="58" t="n"/>
      <c r="AG266" s="30" t="n"/>
      <c r="AH266" s="58" t="n"/>
      <c r="AI266" s="30" t="n"/>
      <c r="AJ266" s="135" t="n"/>
      <c r="AK266" s="212" t="n"/>
      <c r="AL266" s="294" t="n"/>
      <c r="AM266" s="89">
        <f>IF(OR(X266="",F266=""),"",X266-F266)</f>
        <v/>
      </c>
      <c r="AN266" s="124">
        <f>IF(OR(Y266="",G266=""),"",Y266-G266)</f>
        <v/>
      </c>
      <c r="AO266" s="124">
        <f>IF(OR(Z266="",H266=""),"",Z266-H266)</f>
        <v/>
      </c>
      <c r="AP266" s="124">
        <f>IF(OR(AA266="",I266=""),"",AA266-I266)</f>
        <v/>
      </c>
      <c r="AQ266" s="90">
        <f>IF(OR(AB266="",J266=""),"",AB266-J266)</f>
        <v/>
      </c>
      <c r="AR266" s="39" t="n"/>
      <c r="AS266" s="332" t="n"/>
      <c r="AT266" s="39" t="n"/>
    </row>
    <row r="267" ht="13.5" customHeight="1" s="279" thickBot="1">
      <c r="B267" s="295" t="n"/>
      <c r="C267" s="29" t="n"/>
      <c r="D267" s="191" t="n"/>
      <c r="E267" s="58" t="n"/>
      <c r="F267" s="194" t="n"/>
      <c r="G267" s="194" t="n"/>
      <c r="H267" s="194" t="n"/>
      <c r="I267" s="58" t="n"/>
      <c r="J267" s="58" t="n"/>
      <c r="K267" s="193" t="n"/>
      <c r="L267" s="357" t="n"/>
      <c r="M267" s="357" t="n"/>
      <c r="N267" s="58" t="n"/>
      <c r="O267" s="30" t="n"/>
      <c r="P267" s="58" t="n"/>
      <c r="Q267" s="30" t="n"/>
      <c r="R267" s="189" t="n"/>
      <c r="S267" s="301" t="n"/>
      <c r="T267" s="295" t="n"/>
      <c r="U267" s="29" t="n"/>
      <c r="V267" s="191" t="n"/>
      <c r="W267" s="58" t="n"/>
      <c r="X267" s="194" t="n"/>
      <c r="Y267" s="194" t="n"/>
      <c r="Z267" s="194" t="n"/>
      <c r="AA267" s="58" t="n"/>
      <c r="AB267" s="58" t="n"/>
      <c r="AC267" s="193" t="n"/>
      <c r="AD267" s="357" t="n"/>
      <c r="AE267" s="357" t="n"/>
      <c r="AF267" s="58" t="n"/>
      <c r="AG267" s="30" t="n"/>
      <c r="AH267" s="58" t="n"/>
      <c r="AI267" s="30" t="n"/>
      <c r="AJ267" s="189" t="n"/>
      <c r="AK267" s="212" t="n"/>
      <c r="AL267" s="295" t="n"/>
      <c r="AM267" s="125">
        <f>IF(OR(X267="",F267=""),"",X267-F267)</f>
        <v/>
      </c>
      <c r="AN267" s="126">
        <f>IF(OR(Y267="",G267=""),"",Y267-G267)</f>
        <v/>
      </c>
      <c r="AO267" s="126">
        <f>IF(OR(Z267="",H267=""),"",Z267-H267)</f>
        <v/>
      </c>
      <c r="AP267" s="126">
        <f>IF(OR(AA267="",I267=""),"",AA267-I267)</f>
        <v/>
      </c>
      <c r="AQ267" s="127">
        <f>IF(OR(AB267="",J267=""),"",AB267-J267)</f>
        <v/>
      </c>
      <c r="AR267" s="39" t="n"/>
      <c r="AS267" s="332" t="n"/>
      <c r="AT267" s="39" t="n"/>
    </row>
    <row r="268" ht="13.5" customHeight="1" s="279">
      <c r="B268" s="293" t="inlineStr">
        <is>
          <t>v47</t>
        </is>
      </c>
      <c r="C268" s="27" t="inlineStr">
        <is>
          <t>r01</t>
        </is>
      </c>
      <c r="D268" s="41" t="n"/>
      <c r="E268" s="57" t="n"/>
      <c r="F268" s="99" t="n"/>
      <c r="G268" s="99" t="n"/>
      <c r="H268" s="99" t="n"/>
      <c r="I268" s="62" t="n"/>
      <c r="J268" s="62" t="n"/>
      <c r="K268" s="63" t="n"/>
      <c r="L268" s="356" t="n"/>
      <c r="M268" s="356" t="n"/>
      <c r="N268" s="57" t="n"/>
      <c r="O268" s="28" t="n"/>
      <c r="P268" s="57" t="n"/>
      <c r="Q268" s="28" t="n"/>
      <c r="R268" s="134" t="n"/>
      <c r="S268" s="301" t="n"/>
      <c r="T268" s="293" t="inlineStr">
        <is>
          <t>v47</t>
        </is>
      </c>
      <c r="U268" s="27" t="inlineStr">
        <is>
          <t>r01</t>
        </is>
      </c>
      <c r="V268" s="41" t="n"/>
      <c r="W268" s="57" t="n"/>
      <c r="X268" s="99" t="n"/>
      <c r="Y268" s="99" t="n"/>
      <c r="Z268" s="99" t="n"/>
      <c r="AA268" s="62" t="n"/>
      <c r="AB268" s="62" t="n"/>
      <c r="AC268" s="63" t="n"/>
      <c r="AD268" s="356" t="n"/>
      <c r="AE268" s="356" t="n"/>
      <c r="AF268" s="57" t="n"/>
      <c r="AG268" s="28" t="n"/>
      <c r="AH268" s="57" t="n"/>
      <c r="AI268" s="28" t="n"/>
      <c r="AJ268" s="134" t="n"/>
      <c r="AK268" s="212" t="n"/>
      <c r="AL268" s="293" t="inlineStr">
        <is>
          <t>v47</t>
        </is>
      </c>
      <c r="AM268" s="122">
        <f>IF(OR(X268="",F268=""),"",X268-F268)</f>
        <v/>
      </c>
      <c r="AN268" s="98">
        <f>IF(OR(Y268="",G268=""),"",Y268-G268)</f>
        <v/>
      </c>
      <c r="AO268" s="98">
        <f>IF(OR(Z268="",H268=""),"",Z268-H268)</f>
        <v/>
      </c>
      <c r="AP268" s="98">
        <f>IF(OR(AA268="",I268=""),"",AA268-I268)</f>
        <v/>
      </c>
      <c r="AQ268" s="123">
        <f>IF(OR(AB268="",J268=""),"",AB268-J268)</f>
        <v/>
      </c>
      <c r="AR268" s="39" t="n"/>
      <c r="AS268" s="332" t="n"/>
      <c r="AT268" s="39" t="n"/>
    </row>
    <row r="269" ht="13.5" customHeight="1" s="279">
      <c r="B269" s="294" t="n"/>
      <c r="C269" s="29" t="inlineStr">
        <is>
          <t>r02</t>
        </is>
      </c>
      <c r="D269" s="191" t="n"/>
      <c r="E269" s="58" t="n"/>
      <c r="F269" s="192" t="n"/>
      <c r="G269" s="192" t="n"/>
      <c r="H269" s="192" t="n"/>
      <c r="I269" s="64" t="n"/>
      <c r="J269" s="64" t="n"/>
      <c r="K269" s="193" t="n"/>
      <c r="L269" s="357" t="n"/>
      <c r="M269" s="357" t="n"/>
      <c r="N269" s="58" t="n"/>
      <c r="O269" s="30" t="n"/>
      <c r="P269" s="58" t="n"/>
      <c r="Q269" s="30" t="n"/>
      <c r="R269" s="135" t="n"/>
      <c r="S269" s="301" t="n"/>
      <c r="T269" s="294" t="n"/>
      <c r="U269" s="29" t="inlineStr">
        <is>
          <t>r02</t>
        </is>
      </c>
      <c r="V269" s="191" t="n"/>
      <c r="W269" s="58" t="n"/>
      <c r="X269" s="192" t="n"/>
      <c r="Y269" s="192" t="n"/>
      <c r="Z269" s="192" t="n"/>
      <c r="AA269" s="64" t="n"/>
      <c r="AB269" s="64" t="n"/>
      <c r="AC269" s="193" t="n"/>
      <c r="AD269" s="357" t="n"/>
      <c r="AE269" s="357" t="n"/>
      <c r="AF269" s="58" t="n"/>
      <c r="AG269" s="30" t="n"/>
      <c r="AH269" s="58" t="n"/>
      <c r="AI269" s="30" t="n"/>
      <c r="AJ269" s="135" t="n"/>
      <c r="AK269" s="212" t="n"/>
      <c r="AL269" s="294" t="n"/>
      <c r="AM269" s="89">
        <f>IF(OR(X269="",F269=""),"",X269-F269)</f>
        <v/>
      </c>
      <c r="AN269" s="124">
        <f>IF(OR(Y269="",G269=""),"",Y269-G269)</f>
        <v/>
      </c>
      <c r="AO269" s="124">
        <f>IF(OR(Z269="",H269=""),"",Z269-H269)</f>
        <v/>
      </c>
      <c r="AP269" s="124">
        <f>IF(OR(AA269="",I269=""),"",AA269-I269)</f>
        <v/>
      </c>
      <c r="AQ269" s="90">
        <f>IF(OR(AB269="",J269=""),"",AB269-J269)</f>
        <v/>
      </c>
      <c r="AR269" s="39" t="n"/>
      <c r="AS269" s="332" t="n"/>
      <c r="AT269" s="39" t="n"/>
    </row>
    <row r="270" ht="13.5" customHeight="1" s="279">
      <c r="B270" s="294" t="n"/>
      <c r="C270" s="29" t="inlineStr">
        <is>
          <t>r03</t>
        </is>
      </c>
      <c r="D270" s="191" t="n"/>
      <c r="E270" s="58" t="n"/>
      <c r="F270" s="192" t="n"/>
      <c r="G270" s="192" t="n"/>
      <c r="H270" s="192" t="n"/>
      <c r="I270" s="64" t="n"/>
      <c r="J270" s="64" t="n"/>
      <c r="K270" s="193" t="n"/>
      <c r="L270" s="357" t="n"/>
      <c r="M270" s="357" t="n"/>
      <c r="N270" s="58" t="n"/>
      <c r="O270" s="30" t="n"/>
      <c r="P270" s="58" t="n"/>
      <c r="Q270" s="30" t="n"/>
      <c r="R270" s="135" t="n"/>
      <c r="S270" s="301" t="n"/>
      <c r="T270" s="294" t="n"/>
      <c r="U270" s="29" t="inlineStr">
        <is>
          <t>r03</t>
        </is>
      </c>
      <c r="V270" s="191" t="n"/>
      <c r="W270" s="58" t="n"/>
      <c r="X270" s="192" t="n"/>
      <c r="Y270" s="192" t="n"/>
      <c r="Z270" s="192" t="n"/>
      <c r="AA270" s="64" t="n"/>
      <c r="AB270" s="64" t="n"/>
      <c r="AC270" s="193" t="n"/>
      <c r="AD270" s="357" t="n"/>
      <c r="AE270" s="357" t="n"/>
      <c r="AF270" s="58" t="n"/>
      <c r="AG270" s="30" t="n"/>
      <c r="AH270" s="58" t="n"/>
      <c r="AI270" s="30" t="n"/>
      <c r="AJ270" s="135" t="n"/>
      <c r="AK270" s="212" t="n"/>
      <c r="AL270" s="294" t="n"/>
      <c r="AM270" s="89">
        <f>IF(OR(X270="",F270=""),"",X270-F270)</f>
        <v/>
      </c>
      <c r="AN270" s="124">
        <f>IF(OR(Y270="",G270=""),"",Y270-G270)</f>
        <v/>
      </c>
      <c r="AO270" s="124">
        <f>IF(OR(Z270="",H270=""),"",Z270-H270)</f>
        <v/>
      </c>
      <c r="AP270" s="124">
        <f>IF(OR(AA270="",I270=""),"",AA270-I270)</f>
        <v/>
      </c>
      <c r="AQ270" s="90">
        <f>IF(OR(AB270="",J270=""),"",AB270-J270)</f>
        <v/>
      </c>
      <c r="AR270" s="39" t="n"/>
      <c r="AS270" s="332" t="n"/>
      <c r="AT270" s="39" t="n"/>
    </row>
    <row r="271" ht="13.5" customHeight="1" s="279">
      <c r="B271" s="294" t="n"/>
      <c r="C271" s="29" t="inlineStr">
        <is>
          <t>r04</t>
        </is>
      </c>
      <c r="D271" s="191" t="n"/>
      <c r="E271" s="58" t="n"/>
      <c r="F271" s="192" t="n"/>
      <c r="G271" s="192" t="n"/>
      <c r="H271" s="192" t="n"/>
      <c r="I271" s="64" t="n"/>
      <c r="J271" s="64" t="n"/>
      <c r="K271" s="193" t="n"/>
      <c r="L271" s="357" t="n"/>
      <c r="M271" s="357" t="n"/>
      <c r="N271" s="58" t="n"/>
      <c r="O271" s="30" t="n"/>
      <c r="P271" s="58" t="n"/>
      <c r="Q271" s="30" t="n"/>
      <c r="R271" s="135" t="n"/>
      <c r="S271" s="301" t="n"/>
      <c r="T271" s="294" t="n"/>
      <c r="U271" s="29" t="inlineStr">
        <is>
          <t>r04</t>
        </is>
      </c>
      <c r="V271" s="191" t="n"/>
      <c r="W271" s="58" t="n"/>
      <c r="X271" s="192" t="n"/>
      <c r="Y271" s="192" t="n"/>
      <c r="Z271" s="192" t="n"/>
      <c r="AA271" s="64" t="n"/>
      <c r="AB271" s="64" t="n"/>
      <c r="AC271" s="193" t="n"/>
      <c r="AD271" s="357" t="n"/>
      <c r="AE271" s="357" t="n"/>
      <c r="AF271" s="58" t="n"/>
      <c r="AG271" s="30" t="n"/>
      <c r="AH271" s="58" t="n"/>
      <c r="AI271" s="30" t="n"/>
      <c r="AJ271" s="135" t="n"/>
      <c r="AK271" s="212" t="n"/>
      <c r="AL271" s="294" t="n"/>
      <c r="AM271" s="89">
        <f>IF(OR(X271="",F271=""),"",X271-F271)</f>
        <v/>
      </c>
      <c r="AN271" s="124">
        <f>IF(OR(Y271="",G271=""),"",Y271-G271)</f>
        <v/>
      </c>
      <c r="AO271" s="124">
        <f>IF(OR(Z271="",H271=""),"",Z271-H271)</f>
        <v/>
      </c>
      <c r="AP271" s="124">
        <f>IF(OR(AA271="",I271=""),"",AA271-I271)</f>
        <v/>
      </c>
      <c r="AQ271" s="90">
        <f>IF(OR(AB271="",J271=""),"",AB271-J271)</f>
        <v/>
      </c>
      <c r="AR271" s="39" t="n"/>
      <c r="AS271" s="332" t="n"/>
      <c r="AT271" s="39" t="n"/>
    </row>
    <row r="272" ht="13.5" customHeight="1" s="279" thickBot="1">
      <c r="B272" s="295" t="n"/>
      <c r="C272" s="29" t="n"/>
      <c r="D272" s="191" t="n"/>
      <c r="E272" s="58" t="n"/>
      <c r="F272" s="194" t="n"/>
      <c r="G272" s="194" t="n"/>
      <c r="H272" s="194" t="n"/>
      <c r="I272" s="58" t="n"/>
      <c r="J272" s="58" t="n"/>
      <c r="K272" s="193" t="n"/>
      <c r="L272" s="357" t="n"/>
      <c r="M272" s="357" t="n"/>
      <c r="N272" s="58" t="n"/>
      <c r="O272" s="30" t="n"/>
      <c r="P272" s="58" t="n"/>
      <c r="Q272" s="30" t="n"/>
      <c r="R272" s="189" t="n"/>
      <c r="S272" s="301" t="n"/>
      <c r="T272" s="295" t="n"/>
      <c r="U272" s="29" t="n"/>
      <c r="V272" s="191" t="n"/>
      <c r="W272" s="58" t="n"/>
      <c r="X272" s="194" t="n"/>
      <c r="Y272" s="194" t="n"/>
      <c r="Z272" s="194" t="n"/>
      <c r="AA272" s="58" t="n"/>
      <c r="AB272" s="58" t="n"/>
      <c r="AC272" s="193" t="n"/>
      <c r="AD272" s="357" t="n"/>
      <c r="AE272" s="357" t="n"/>
      <c r="AF272" s="58" t="n"/>
      <c r="AG272" s="30" t="n"/>
      <c r="AH272" s="58" t="n"/>
      <c r="AI272" s="30" t="n"/>
      <c r="AJ272" s="189" t="n"/>
      <c r="AK272" s="212" t="n"/>
      <c r="AL272" s="295" t="n"/>
      <c r="AM272" s="125">
        <f>IF(OR(X272="",F272=""),"",X272-F272)</f>
        <v/>
      </c>
      <c r="AN272" s="126">
        <f>IF(OR(Y272="",G272=""),"",Y272-G272)</f>
        <v/>
      </c>
      <c r="AO272" s="126">
        <f>IF(OR(Z272="",H272=""),"",Z272-H272)</f>
        <v/>
      </c>
      <c r="AP272" s="126">
        <f>IF(OR(AA272="",I272=""),"",AA272-I272)</f>
        <v/>
      </c>
      <c r="AQ272" s="127">
        <f>IF(OR(AB272="",J272=""),"",AB272-J272)</f>
        <v/>
      </c>
      <c r="AR272" s="39" t="n"/>
      <c r="AS272" s="332" t="n"/>
      <c r="AT272" s="39" t="n"/>
    </row>
    <row r="273" ht="13.5" customHeight="1" s="279">
      <c r="B273" s="293" t="inlineStr">
        <is>
          <t>v48</t>
        </is>
      </c>
      <c r="C273" s="27" t="inlineStr">
        <is>
          <t>r01</t>
        </is>
      </c>
      <c r="D273" s="41" t="n"/>
      <c r="E273" s="57" t="n"/>
      <c r="F273" s="99" t="n"/>
      <c r="G273" s="99" t="n"/>
      <c r="H273" s="99" t="n"/>
      <c r="I273" s="62" t="n"/>
      <c r="J273" s="62" t="n"/>
      <c r="K273" s="63" t="n"/>
      <c r="L273" s="356" t="n"/>
      <c r="M273" s="356" t="n"/>
      <c r="N273" s="57" t="n"/>
      <c r="O273" s="28" t="n"/>
      <c r="P273" s="57" t="n"/>
      <c r="Q273" s="28" t="n"/>
      <c r="R273" s="134" t="n"/>
      <c r="S273" s="301" t="n"/>
      <c r="T273" s="293" t="inlineStr">
        <is>
          <t>v48</t>
        </is>
      </c>
      <c r="U273" s="27" t="inlineStr">
        <is>
          <t>r01</t>
        </is>
      </c>
      <c r="V273" s="41" t="n"/>
      <c r="W273" s="57" t="n"/>
      <c r="X273" s="99" t="n"/>
      <c r="Y273" s="99" t="n"/>
      <c r="Z273" s="99" t="n"/>
      <c r="AA273" s="62" t="n"/>
      <c r="AB273" s="62" t="n"/>
      <c r="AC273" s="63" t="n"/>
      <c r="AD273" s="356" t="n"/>
      <c r="AE273" s="356" t="n"/>
      <c r="AF273" s="57" t="n"/>
      <c r="AG273" s="28" t="n"/>
      <c r="AH273" s="57" t="n"/>
      <c r="AI273" s="28" t="n"/>
      <c r="AJ273" s="134" t="n"/>
      <c r="AK273" s="212" t="n"/>
      <c r="AL273" s="293" t="inlineStr">
        <is>
          <t>v48</t>
        </is>
      </c>
      <c r="AM273" s="122">
        <f>IF(OR(X273="",F273=""),"",X273-F273)</f>
        <v/>
      </c>
      <c r="AN273" s="98">
        <f>IF(OR(Y273="",G273=""),"",Y273-G273)</f>
        <v/>
      </c>
      <c r="AO273" s="98">
        <f>IF(OR(Z273="",H273=""),"",Z273-H273)</f>
        <v/>
      </c>
      <c r="AP273" s="98">
        <f>IF(OR(AA273="",I273=""),"",AA273-I273)</f>
        <v/>
      </c>
      <c r="AQ273" s="123">
        <f>IF(OR(AB273="",J273=""),"",AB273-J273)</f>
        <v/>
      </c>
      <c r="AR273" s="39" t="n"/>
      <c r="AS273" s="332" t="n"/>
      <c r="AT273" s="39" t="n"/>
    </row>
    <row r="274" ht="13.5" customHeight="1" s="279">
      <c r="B274" s="294" t="n"/>
      <c r="C274" s="29" t="inlineStr">
        <is>
          <t>r02</t>
        </is>
      </c>
      <c r="D274" s="191" t="n"/>
      <c r="E274" s="58" t="n"/>
      <c r="F274" s="192" t="n"/>
      <c r="G274" s="192" t="n"/>
      <c r="H274" s="192" t="n"/>
      <c r="I274" s="64" t="n"/>
      <c r="J274" s="64" t="n"/>
      <c r="K274" s="193" t="n"/>
      <c r="L274" s="357" t="n"/>
      <c r="M274" s="357" t="n"/>
      <c r="N274" s="58" t="n"/>
      <c r="O274" s="30" t="n"/>
      <c r="P274" s="58" t="n"/>
      <c r="Q274" s="30" t="n"/>
      <c r="R274" s="135" t="n"/>
      <c r="S274" s="301" t="n"/>
      <c r="T274" s="294" t="n"/>
      <c r="U274" s="29" t="inlineStr">
        <is>
          <t>r02</t>
        </is>
      </c>
      <c r="V274" s="191" t="n"/>
      <c r="W274" s="58" t="n"/>
      <c r="X274" s="192" t="n"/>
      <c r="Y274" s="192" t="n"/>
      <c r="Z274" s="192" t="n"/>
      <c r="AA274" s="64" t="n"/>
      <c r="AB274" s="64" t="n"/>
      <c r="AC274" s="193" t="n"/>
      <c r="AD274" s="357" t="n"/>
      <c r="AE274" s="357" t="n"/>
      <c r="AF274" s="58" t="n"/>
      <c r="AG274" s="30" t="n"/>
      <c r="AH274" s="58" t="n"/>
      <c r="AI274" s="30" t="n"/>
      <c r="AJ274" s="135" t="n"/>
      <c r="AK274" s="212" t="n"/>
      <c r="AL274" s="294" t="n"/>
      <c r="AM274" s="89">
        <f>IF(OR(X274="",F274=""),"",X274-F274)</f>
        <v/>
      </c>
      <c r="AN274" s="124">
        <f>IF(OR(Y274="",G274=""),"",Y274-G274)</f>
        <v/>
      </c>
      <c r="AO274" s="124">
        <f>IF(OR(Z274="",H274=""),"",Z274-H274)</f>
        <v/>
      </c>
      <c r="AP274" s="124">
        <f>IF(OR(AA274="",I274=""),"",AA274-I274)</f>
        <v/>
      </c>
      <c r="AQ274" s="90">
        <f>IF(OR(AB274="",J274=""),"",AB274-J274)</f>
        <v/>
      </c>
      <c r="AR274" s="39" t="n"/>
      <c r="AS274" s="332" t="n"/>
      <c r="AT274" s="39" t="n"/>
    </row>
    <row r="275" ht="13.5" customHeight="1" s="279">
      <c r="B275" s="294" t="n"/>
      <c r="C275" s="29" t="inlineStr">
        <is>
          <t>r03</t>
        </is>
      </c>
      <c r="D275" s="191" t="n"/>
      <c r="E275" s="58" t="n"/>
      <c r="F275" s="192" t="n"/>
      <c r="G275" s="192" t="n"/>
      <c r="H275" s="192" t="n"/>
      <c r="I275" s="64" t="n"/>
      <c r="J275" s="64" t="n"/>
      <c r="K275" s="193" t="n"/>
      <c r="L275" s="357" t="n"/>
      <c r="M275" s="357" t="n"/>
      <c r="N275" s="58" t="n"/>
      <c r="O275" s="30" t="n"/>
      <c r="P275" s="58" t="n"/>
      <c r="Q275" s="30" t="n"/>
      <c r="R275" s="135" t="n"/>
      <c r="S275" s="301" t="n"/>
      <c r="T275" s="294" t="n"/>
      <c r="U275" s="29" t="inlineStr">
        <is>
          <t>r03</t>
        </is>
      </c>
      <c r="V275" s="191" t="n"/>
      <c r="W275" s="58" t="n"/>
      <c r="X275" s="192" t="n"/>
      <c r="Y275" s="192" t="n"/>
      <c r="Z275" s="192" t="n"/>
      <c r="AA275" s="64" t="n"/>
      <c r="AB275" s="64" t="n"/>
      <c r="AC275" s="193" t="n"/>
      <c r="AD275" s="357" t="n"/>
      <c r="AE275" s="357" t="n"/>
      <c r="AF275" s="58" t="n"/>
      <c r="AG275" s="30" t="n"/>
      <c r="AH275" s="58" t="n"/>
      <c r="AI275" s="30" t="n"/>
      <c r="AJ275" s="135" t="n"/>
      <c r="AK275" s="212" t="n"/>
      <c r="AL275" s="294" t="n"/>
      <c r="AM275" s="89">
        <f>IF(OR(X275="",F275=""),"",X275-F275)</f>
        <v/>
      </c>
      <c r="AN275" s="124">
        <f>IF(OR(Y275="",G275=""),"",Y275-G275)</f>
        <v/>
      </c>
      <c r="AO275" s="124">
        <f>IF(OR(Z275="",H275=""),"",Z275-H275)</f>
        <v/>
      </c>
      <c r="AP275" s="124">
        <f>IF(OR(AA275="",I275=""),"",AA275-I275)</f>
        <v/>
      </c>
      <c r="AQ275" s="90">
        <f>IF(OR(AB275="",J275=""),"",AB275-J275)</f>
        <v/>
      </c>
      <c r="AR275" s="39" t="n"/>
      <c r="AS275" s="332" t="n"/>
      <c r="AT275" s="39" t="n"/>
    </row>
    <row r="276" ht="13.5" customHeight="1" s="279">
      <c r="B276" s="294" t="n"/>
      <c r="C276" s="29" t="inlineStr">
        <is>
          <t>r04</t>
        </is>
      </c>
      <c r="D276" s="191" t="n"/>
      <c r="E276" s="58" t="n"/>
      <c r="F276" s="192" t="n"/>
      <c r="G276" s="192" t="n"/>
      <c r="H276" s="192" t="n"/>
      <c r="I276" s="64" t="n"/>
      <c r="J276" s="64" t="n"/>
      <c r="K276" s="193" t="n"/>
      <c r="L276" s="357" t="n"/>
      <c r="M276" s="357" t="n"/>
      <c r="N276" s="58" t="n"/>
      <c r="O276" s="30" t="n"/>
      <c r="P276" s="58" t="n"/>
      <c r="Q276" s="30" t="n"/>
      <c r="R276" s="135" t="n"/>
      <c r="S276" s="301" t="n"/>
      <c r="T276" s="294" t="n"/>
      <c r="U276" s="29" t="inlineStr">
        <is>
          <t>r04</t>
        </is>
      </c>
      <c r="V276" s="191" t="n"/>
      <c r="W276" s="58" t="n"/>
      <c r="X276" s="192" t="n"/>
      <c r="Y276" s="192" t="n"/>
      <c r="Z276" s="192" t="n"/>
      <c r="AA276" s="64" t="n"/>
      <c r="AB276" s="64" t="n"/>
      <c r="AC276" s="193" t="n"/>
      <c r="AD276" s="357" t="n"/>
      <c r="AE276" s="357" t="n"/>
      <c r="AF276" s="58" t="n"/>
      <c r="AG276" s="30" t="n"/>
      <c r="AH276" s="58" t="n"/>
      <c r="AI276" s="30" t="n"/>
      <c r="AJ276" s="135" t="n"/>
      <c r="AK276" s="212" t="n"/>
      <c r="AL276" s="294" t="n"/>
      <c r="AM276" s="89">
        <f>IF(OR(X276="",F276=""),"",X276-F276)</f>
        <v/>
      </c>
      <c r="AN276" s="124">
        <f>IF(OR(Y276="",G276=""),"",Y276-G276)</f>
        <v/>
      </c>
      <c r="AO276" s="124">
        <f>IF(OR(Z276="",H276=""),"",Z276-H276)</f>
        <v/>
      </c>
      <c r="AP276" s="124">
        <f>IF(OR(AA276="",I276=""),"",AA276-I276)</f>
        <v/>
      </c>
      <c r="AQ276" s="90">
        <f>IF(OR(AB276="",J276=""),"",AB276-J276)</f>
        <v/>
      </c>
      <c r="AR276" s="39" t="n"/>
      <c r="AS276" s="332" t="n"/>
      <c r="AT276" s="39" t="n"/>
    </row>
    <row r="277" ht="13.5" customHeight="1" s="279" thickBot="1">
      <c r="B277" s="295" t="n"/>
      <c r="C277" s="29" t="n"/>
      <c r="D277" s="191" t="n"/>
      <c r="E277" s="58" t="n"/>
      <c r="F277" s="194" t="n"/>
      <c r="G277" s="194" t="n"/>
      <c r="H277" s="194" t="n"/>
      <c r="I277" s="58" t="n"/>
      <c r="J277" s="58" t="n"/>
      <c r="K277" s="193" t="n"/>
      <c r="L277" s="357" t="n"/>
      <c r="M277" s="357" t="n"/>
      <c r="N277" s="58" t="n"/>
      <c r="O277" s="30" t="n"/>
      <c r="P277" s="58" t="n"/>
      <c r="Q277" s="30" t="n"/>
      <c r="R277" s="189" t="n"/>
      <c r="S277" s="301" t="n"/>
      <c r="T277" s="295" t="n"/>
      <c r="U277" s="29" t="n"/>
      <c r="V277" s="191" t="n"/>
      <c r="W277" s="58" t="n"/>
      <c r="X277" s="194" t="n"/>
      <c r="Y277" s="194" t="n"/>
      <c r="Z277" s="194" t="n"/>
      <c r="AA277" s="58" t="n"/>
      <c r="AB277" s="58" t="n"/>
      <c r="AC277" s="193" t="n"/>
      <c r="AD277" s="357" t="n"/>
      <c r="AE277" s="357" t="n"/>
      <c r="AF277" s="58" t="n"/>
      <c r="AG277" s="30" t="n"/>
      <c r="AH277" s="58" t="n"/>
      <c r="AI277" s="30" t="n"/>
      <c r="AJ277" s="189" t="n"/>
      <c r="AK277" s="212" t="n"/>
      <c r="AL277" s="295" t="n"/>
      <c r="AM277" s="125">
        <f>IF(OR(X277="",F277=""),"",X277-F277)</f>
        <v/>
      </c>
      <c r="AN277" s="126">
        <f>IF(OR(Y277="",G277=""),"",Y277-G277)</f>
        <v/>
      </c>
      <c r="AO277" s="126">
        <f>IF(OR(Z277="",H277=""),"",Z277-H277)</f>
        <v/>
      </c>
      <c r="AP277" s="126">
        <f>IF(OR(AA277="",I277=""),"",AA277-I277)</f>
        <v/>
      </c>
      <c r="AQ277" s="127">
        <f>IF(OR(AB277="",J277=""),"",AB277-J277)</f>
        <v/>
      </c>
      <c r="AR277" s="39" t="n"/>
      <c r="AS277" s="332" t="n"/>
      <c r="AT277" s="39" t="n"/>
    </row>
    <row r="278" ht="13.5" customHeight="1" s="279">
      <c r="B278" s="293" t="inlineStr">
        <is>
          <t>v49</t>
        </is>
      </c>
      <c r="C278" s="27" t="inlineStr">
        <is>
          <t>r01</t>
        </is>
      </c>
      <c r="D278" s="41" t="n"/>
      <c r="E278" s="57" t="n"/>
      <c r="F278" s="99" t="n"/>
      <c r="G278" s="99" t="n"/>
      <c r="H278" s="99" t="n"/>
      <c r="I278" s="62" t="n"/>
      <c r="J278" s="62" t="n"/>
      <c r="K278" s="63" t="n"/>
      <c r="L278" s="356" t="n"/>
      <c r="M278" s="356" t="n"/>
      <c r="N278" s="57" t="n"/>
      <c r="O278" s="28" t="n"/>
      <c r="P278" s="57" t="n"/>
      <c r="Q278" s="28" t="n"/>
      <c r="R278" s="134" t="n"/>
      <c r="S278" s="301" t="n"/>
      <c r="T278" s="293" t="inlineStr">
        <is>
          <t>v49</t>
        </is>
      </c>
      <c r="U278" s="27" t="inlineStr">
        <is>
          <t>r01</t>
        </is>
      </c>
      <c r="V278" s="41" t="n"/>
      <c r="W278" s="57" t="n"/>
      <c r="X278" s="99" t="n"/>
      <c r="Y278" s="99" t="n"/>
      <c r="Z278" s="99" t="n"/>
      <c r="AA278" s="62" t="n"/>
      <c r="AB278" s="62" t="n"/>
      <c r="AC278" s="63" t="n"/>
      <c r="AD278" s="356" t="n"/>
      <c r="AE278" s="356" t="n"/>
      <c r="AF278" s="57" t="n"/>
      <c r="AG278" s="28" t="n"/>
      <c r="AH278" s="57" t="n"/>
      <c r="AI278" s="28" t="n"/>
      <c r="AJ278" s="134" t="n"/>
      <c r="AK278" s="212" t="n"/>
      <c r="AL278" s="293" t="inlineStr">
        <is>
          <t>v49</t>
        </is>
      </c>
      <c r="AM278" s="122">
        <f>IF(OR(X278="",F278=""),"",X278-F278)</f>
        <v/>
      </c>
      <c r="AN278" s="98">
        <f>IF(OR(Y278="",G278=""),"",Y278-G278)</f>
        <v/>
      </c>
      <c r="AO278" s="98">
        <f>IF(OR(Z278="",H278=""),"",Z278-H278)</f>
        <v/>
      </c>
      <c r="AP278" s="98">
        <f>IF(OR(AA278="",I278=""),"",AA278-I278)</f>
        <v/>
      </c>
      <c r="AQ278" s="123">
        <f>IF(OR(AB278="",J278=""),"",AB278-J278)</f>
        <v/>
      </c>
      <c r="AR278" s="39" t="n"/>
      <c r="AS278" s="332" t="n"/>
      <c r="AT278" s="39" t="n"/>
    </row>
    <row r="279" ht="13.5" customHeight="1" s="279">
      <c r="B279" s="294" t="n"/>
      <c r="C279" s="29" t="inlineStr">
        <is>
          <t>r02</t>
        </is>
      </c>
      <c r="D279" s="191" t="n"/>
      <c r="E279" s="58" t="n"/>
      <c r="F279" s="192" t="n"/>
      <c r="G279" s="192" t="n"/>
      <c r="H279" s="192" t="n"/>
      <c r="I279" s="64" t="n"/>
      <c r="J279" s="64" t="n"/>
      <c r="K279" s="193" t="n"/>
      <c r="L279" s="357" t="n"/>
      <c r="M279" s="357" t="n"/>
      <c r="N279" s="58" t="n"/>
      <c r="O279" s="30" t="n"/>
      <c r="P279" s="58" t="n"/>
      <c r="Q279" s="30" t="n"/>
      <c r="R279" s="135" t="n"/>
      <c r="S279" s="301" t="n"/>
      <c r="T279" s="294" t="n"/>
      <c r="U279" s="29" t="inlineStr">
        <is>
          <t>r02</t>
        </is>
      </c>
      <c r="V279" s="191" t="n"/>
      <c r="W279" s="58" t="n"/>
      <c r="X279" s="192" t="n"/>
      <c r="Y279" s="192" t="n"/>
      <c r="Z279" s="192" t="n"/>
      <c r="AA279" s="64" t="n"/>
      <c r="AB279" s="64" t="n"/>
      <c r="AC279" s="193" t="n"/>
      <c r="AD279" s="357" t="n"/>
      <c r="AE279" s="357" t="n"/>
      <c r="AF279" s="58" t="n"/>
      <c r="AG279" s="30" t="n"/>
      <c r="AH279" s="58" t="n"/>
      <c r="AI279" s="30" t="n"/>
      <c r="AJ279" s="135" t="n"/>
      <c r="AK279" s="212" t="n"/>
      <c r="AL279" s="294" t="n"/>
      <c r="AM279" s="89">
        <f>IF(OR(X279="",F279=""),"",X279-F279)</f>
        <v/>
      </c>
      <c r="AN279" s="124">
        <f>IF(OR(Y279="",G279=""),"",Y279-G279)</f>
        <v/>
      </c>
      <c r="AO279" s="124">
        <f>IF(OR(Z279="",H279=""),"",Z279-H279)</f>
        <v/>
      </c>
      <c r="AP279" s="124">
        <f>IF(OR(AA279="",I279=""),"",AA279-I279)</f>
        <v/>
      </c>
      <c r="AQ279" s="90">
        <f>IF(OR(AB279="",J279=""),"",AB279-J279)</f>
        <v/>
      </c>
      <c r="AR279" s="39" t="n"/>
      <c r="AS279" s="332" t="n"/>
      <c r="AT279" s="39" t="n"/>
    </row>
    <row r="280" ht="13.5" customHeight="1" s="279">
      <c r="B280" s="294" t="n"/>
      <c r="C280" s="29" t="inlineStr">
        <is>
          <t>r03</t>
        </is>
      </c>
      <c r="D280" s="191" t="n"/>
      <c r="E280" s="58" t="n"/>
      <c r="F280" s="192" t="n"/>
      <c r="G280" s="192" t="n"/>
      <c r="H280" s="192" t="n"/>
      <c r="I280" s="64" t="n"/>
      <c r="J280" s="64" t="n"/>
      <c r="K280" s="193" t="n"/>
      <c r="L280" s="357" t="n"/>
      <c r="M280" s="357" t="n"/>
      <c r="N280" s="58" t="n"/>
      <c r="O280" s="30" t="n"/>
      <c r="P280" s="58" t="n"/>
      <c r="Q280" s="30" t="n"/>
      <c r="R280" s="135" t="n"/>
      <c r="S280" s="301" t="n"/>
      <c r="T280" s="294" t="n"/>
      <c r="U280" s="29" t="inlineStr">
        <is>
          <t>r03</t>
        </is>
      </c>
      <c r="V280" s="191" t="n"/>
      <c r="W280" s="58" t="n"/>
      <c r="X280" s="192" t="n"/>
      <c r="Y280" s="192" t="n"/>
      <c r="Z280" s="192" t="n"/>
      <c r="AA280" s="64" t="n"/>
      <c r="AB280" s="64" t="n"/>
      <c r="AC280" s="193" t="n"/>
      <c r="AD280" s="357" t="n"/>
      <c r="AE280" s="357" t="n"/>
      <c r="AF280" s="58" t="n"/>
      <c r="AG280" s="30" t="n"/>
      <c r="AH280" s="58" t="n"/>
      <c r="AI280" s="30" t="n"/>
      <c r="AJ280" s="135" t="n"/>
      <c r="AK280" s="212" t="n"/>
      <c r="AL280" s="294" t="n"/>
      <c r="AM280" s="89">
        <f>IF(OR(X280="",F280=""),"",X280-F280)</f>
        <v/>
      </c>
      <c r="AN280" s="124">
        <f>IF(OR(Y280="",G280=""),"",Y280-G280)</f>
        <v/>
      </c>
      <c r="AO280" s="124">
        <f>IF(OR(Z280="",H280=""),"",Z280-H280)</f>
        <v/>
      </c>
      <c r="AP280" s="124">
        <f>IF(OR(AA280="",I280=""),"",AA280-I280)</f>
        <v/>
      </c>
      <c r="AQ280" s="90">
        <f>IF(OR(AB280="",J280=""),"",AB280-J280)</f>
        <v/>
      </c>
      <c r="AR280" s="39" t="n"/>
      <c r="AS280" s="332" t="n"/>
      <c r="AT280" s="39" t="n"/>
    </row>
    <row r="281" ht="13.5" customHeight="1" s="279">
      <c r="B281" s="294" t="n"/>
      <c r="C281" s="29" t="inlineStr">
        <is>
          <t>r04</t>
        </is>
      </c>
      <c r="D281" s="191" t="n"/>
      <c r="E281" s="58" t="n"/>
      <c r="F281" s="192" t="n"/>
      <c r="G281" s="192" t="n"/>
      <c r="H281" s="192" t="n"/>
      <c r="I281" s="64" t="n"/>
      <c r="J281" s="64" t="n"/>
      <c r="K281" s="193" t="n"/>
      <c r="L281" s="357" t="n"/>
      <c r="M281" s="357" t="n"/>
      <c r="N281" s="58" t="n"/>
      <c r="O281" s="30" t="n"/>
      <c r="P281" s="58" t="n"/>
      <c r="Q281" s="30" t="n"/>
      <c r="R281" s="135" t="n"/>
      <c r="S281" s="301" t="n"/>
      <c r="T281" s="294" t="n"/>
      <c r="U281" s="29" t="inlineStr">
        <is>
          <t>r04</t>
        </is>
      </c>
      <c r="V281" s="191" t="n"/>
      <c r="W281" s="58" t="n"/>
      <c r="X281" s="192" t="n"/>
      <c r="Y281" s="192" t="n"/>
      <c r="Z281" s="192" t="n"/>
      <c r="AA281" s="64" t="n"/>
      <c r="AB281" s="64" t="n"/>
      <c r="AC281" s="193" t="n"/>
      <c r="AD281" s="357" t="n"/>
      <c r="AE281" s="357" t="n"/>
      <c r="AF281" s="58" t="n"/>
      <c r="AG281" s="30" t="n"/>
      <c r="AH281" s="58" t="n"/>
      <c r="AI281" s="30" t="n"/>
      <c r="AJ281" s="135" t="n"/>
      <c r="AK281" s="212" t="n"/>
      <c r="AL281" s="294" t="n"/>
      <c r="AM281" s="89">
        <f>IF(OR(X281="",F281=""),"",X281-F281)</f>
        <v/>
      </c>
      <c r="AN281" s="124">
        <f>IF(OR(Y281="",G281=""),"",Y281-G281)</f>
        <v/>
      </c>
      <c r="AO281" s="124">
        <f>IF(OR(Z281="",H281=""),"",Z281-H281)</f>
        <v/>
      </c>
      <c r="AP281" s="124">
        <f>IF(OR(AA281="",I281=""),"",AA281-I281)</f>
        <v/>
      </c>
      <c r="AQ281" s="90">
        <f>IF(OR(AB281="",J281=""),"",AB281-J281)</f>
        <v/>
      </c>
      <c r="AR281" s="39" t="n"/>
      <c r="AS281" s="332" t="n"/>
      <c r="AT281" s="39" t="n"/>
    </row>
    <row r="282" ht="13.5" customHeight="1" s="279" thickBot="1">
      <c r="B282" s="295" t="n"/>
      <c r="C282" s="29" t="n"/>
      <c r="D282" s="191" t="n"/>
      <c r="E282" s="58" t="n"/>
      <c r="F282" s="194" t="n"/>
      <c r="G282" s="194" t="n"/>
      <c r="H282" s="194" t="n"/>
      <c r="I282" s="58" t="n"/>
      <c r="J282" s="58" t="n"/>
      <c r="K282" s="193" t="n"/>
      <c r="L282" s="357" t="n"/>
      <c r="M282" s="357" t="n"/>
      <c r="N282" s="58" t="n"/>
      <c r="O282" s="30" t="n"/>
      <c r="P282" s="58" t="n"/>
      <c r="Q282" s="30" t="n"/>
      <c r="R282" s="189" t="n"/>
      <c r="S282" s="301" t="n"/>
      <c r="T282" s="295" t="n"/>
      <c r="U282" s="29" t="n"/>
      <c r="V282" s="191" t="n"/>
      <c r="W282" s="58" t="n"/>
      <c r="X282" s="194" t="n"/>
      <c r="Y282" s="194" t="n"/>
      <c r="Z282" s="194" t="n"/>
      <c r="AA282" s="58" t="n"/>
      <c r="AB282" s="58" t="n"/>
      <c r="AC282" s="193" t="n"/>
      <c r="AD282" s="357" t="n"/>
      <c r="AE282" s="357" t="n"/>
      <c r="AF282" s="58" t="n"/>
      <c r="AG282" s="30" t="n"/>
      <c r="AH282" s="58" t="n"/>
      <c r="AI282" s="30" t="n"/>
      <c r="AJ282" s="189" t="n"/>
      <c r="AK282" s="212" t="n"/>
      <c r="AL282" s="295" t="n"/>
      <c r="AM282" s="125">
        <f>IF(OR(X282="",F282=""),"",X282-F282)</f>
        <v/>
      </c>
      <c r="AN282" s="126">
        <f>IF(OR(Y282="",G282=""),"",Y282-G282)</f>
        <v/>
      </c>
      <c r="AO282" s="126">
        <f>IF(OR(Z282="",H282=""),"",Z282-H282)</f>
        <v/>
      </c>
      <c r="AP282" s="126">
        <f>IF(OR(AA282="",I282=""),"",AA282-I282)</f>
        <v/>
      </c>
      <c r="AQ282" s="127">
        <f>IF(OR(AB282="",J282=""),"",AB282-J282)</f>
        <v/>
      </c>
      <c r="AR282" s="39" t="n"/>
      <c r="AS282" s="332" t="n"/>
      <c r="AT282" s="39" t="n"/>
    </row>
    <row r="283" ht="13.5" customHeight="1" s="279">
      <c r="B283" s="293" t="inlineStr">
        <is>
          <t>v50</t>
        </is>
      </c>
      <c r="C283" s="27" t="inlineStr">
        <is>
          <t>r01</t>
        </is>
      </c>
      <c r="D283" s="41" t="n"/>
      <c r="E283" s="57" t="n"/>
      <c r="F283" s="99" t="n"/>
      <c r="G283" s="99" t="n"/>
      <c r="H283" s="99" t="n"/>
      <c r="I283" s="62" t="n"/>
      <c r="J283" s="62" t="n"/>
      <c r="K283" s="63" t="n"/>
      <c r="L283" s="356" t="n"/>
      <c r="M283" s="356" t="n"/>
      <c r="N283" s="57" t="n"/>
      <c r="O283" s="28" t="n"/>
      <c r="P283" s="57" t="n"/>
      <c r="Q283" s="28" t="n"/>
      <c r="R283" s="134" t="n"/>
      <c r="S283" s="301" t="n"/>
      <c r="T283" s="293" t="inlineStr">
        <is>
          <t>v50</t>
        </is>
      </c>
      <c r="U283" s="27" t="inlineStr">
        <is>
          <t>r01</t>
        </is>
      </c>
      <c r="V283" s="41" t="n"/>
      <c r="W283" s="57" t="n"/>
      <c r="X283" s="99" t="n"/>
      <c r="Y283" s="99" t="n"/>
      <c r="Z283" s="99" t="n"/>
      <c r="AA283" s="62" t="n"/>
      <c r="AB283" s="62" t="n"/>
      <c r="AC283" s="63" t="n"/>
      <c r="AD283" s="356" t="n"/>
      <c r="AE283" s="356" t="n"/>
      <c r="AF283" s="57" t="n"/>
      <c r="AG283" s="28" t="n"/>
      <c r="AH283" s="57" t="n"/>
      <c r="AI283" s="28" t="n"/>
      <c r="AJ283" s="134" t="n"/>
      <c r="AK283" s="212" t="n"/>
      <c r="AL283" s="293" t="inlineStr">
        <is>
          <t>v50</t>
        </is>
      </c>
      <c r="AM283" s="122">
        <f>IF(OR(X283="",F283=""),"",X283-F283)</f>
        <v/>
      </c>
      <c r="AN283" s="98">
        <f>IF(OR(Y283="",G283=""),"",Y283-G283)</f>
        <v/>
      </c>
      <c r="AO283" s="98">
        <f>IF(OR(Z283="",H283=""),"",Z283-H283)</f>
        <v/>
      </c>
      <c r="AP283" s="98">
        <f>IF(OR(AA283="",I283=""),"",AA283-I283)</f>
        <v/>
      </c>
      <c r="AQ283" s="123">
        <f>IF(OR(AB283="",J283=""),"",AB283-J283)</f>
        <v/>
      </c>
      <c r="AR283" s="39" t="n"/>
      <c r="AS283" s="332" t="n"/>
      <c r="AT283" s="39" t="n"/>
    </row>
    <row r="284" ht="13.5" customHeight="1" s="279">
      <c r="B284" s="294" t="n"/>
      <c r="C284" s="29" t="inlineStr">
        <is>
          <t>r02</t>
        </is>
      </c>
      <c r="D284" s="191" t="n"/>
      <c r="E284" s="58" t="n"/>
      <c r="F284" s="192" t="n"/>
      <c r="G284" s="192" t="n"/>
      <c r="H284" s="192" t="n"/>
      <c r="I284" s="64" t="n"/>
      <c r="J284" s="64" t="n"/>
      <c r="K284" s="193" t="n"/>
      <c r="L284" s="357" t="n"/>
      <c r="M284" s="357" t="n"/>
      <c r="N284" s="58" t="n"/>
      <c r="O284" s="30" t="n"/>
      <c r="P284" s="58" t="n"/>
      <c r="Q284" s="30" t="n"/>
      <c r="R284" s="135" t="n"/>
      <c r="S284" s="301" t="n"/>
      <c r="T284" s="294" t="n"/>
      <c r="U284" s="29" t="inlineStr">
        <is>
          <t>r02</t>
        </is>
      </c>
      <c r="V284" s="191" t="n"/>
      <c r="W284" s="58" t="n"/>
      <c r="X284" s="192" t="n"/>
      <c r="Y284" s="192" t="n"/>
      <c r="Z284" s="192" t="n"/>
      <c r="AA284" s="64" t="n"/>
      <c r="AB284" s="64" t="n"/>
      <c r="AC284" s="193" t="n"/>
      <c r="AD284" s="357" t="n"/>
      <c r="AE284" s="357" t="n"/>
      <c r="AF284" s="58" t="n"/>
      <c r="AG284" s="30" t="n"/>
      <c r="AH284" s="58" t="n"/>
      <c r="AI284" s="30" t="n"/>
      <c r="AJ284" s="135" t="n"/>
      <c r="AK284" s="212" t="n"/>
      <c r="AL284" s="294" t="n"/>
      <c r="AM284" s="89">
        <f>IF(OR(X284="",F284=""),"",X284-F284)</f>
        <v/>
      </c>
      <c r="AN284" s="124">
        <f>IF(OR(Y284="",G284=""),"",Y284-G284)</f>
        <v/>
      </c>
      <c r="AO284" s="124">
        <f>IF(OR(Z284="",H284=""),"",Z284-H284)</f>
        <v/>
      </c>
      <c r="AP284" s="124">
        <f>IF(OR(AA284="",I284=""),"",AA284-I284)</f>
        <v/>
      </c>
      <c r="AQ284" s="90">
        <f>IF(OR(AB284="",J284=""),"",AB284-J284)</f>
        <v/>
      </c>
      <c r="AR284" s="39" t="n"/>
      <c r="AS284" s="332" t="n"/>
      <c r="AT284" s="39" t="n"/>
    </row>
    <row r="285" ht="13.5" customHeight="1" s="279">
      <c r="B285" s="294" t="n"/>
      <c r="C285" s="29" t="inlineStr">
        <is>
          <t>r03</t>
        </is>
      </c>
      <c r="D285" s="191" t="n"/>
      <c r="E285" s="58" t="n"/>
      <c r="F285" s="192" t="n"/>
      <c r="G285" s="192" t="n"/>
      <c r="H285" s="192" t="n"/>
      <c r="I285" s="64" t="n"/>
      <c r="J285" s="64" t="n"/>
      <c r="K285" s="193" t="n"/>
      <c r="L285" s="357" t="n"/>
      <c r="M285" s="357" t="n"/>
      <c r="N285" s="58" t="n"/>
      <c r="O285" s="30" t="n"/>
      <c r="P285" s="58" t="n"/>
      <c r="Q285" s="30" t="n"/>
      <c r="R285" s="135" t="n"/>
      <c r="S285" s="301" t="n"/>
      <c r="T285" s="294" t="n"/>
      <c r="U285" s="29" t="inlineStr">
        <is>
          <t>r03</t>
        </is>
      </c>
      <c r="V285" s="191" t="n"/>
      <c r="W285" s="58" t="n"/>
      <c r="X285" s="192" t="n"/>
      <c r="Y285" s="192" t="n"/>
      <c r="Z285" s="192" t="n"/>
      <c r="AA285" s="64" t="n"/>
      <c r="AB285" s="64" t="n"/>
      <c r="AC285" s="193" t="n"/>
      <c r="AD285" s="357" t="n"/>
      <c r="AE285" s="357" t="n"/>
      <c r="AF285" s="58" t="n"/>
      <c r="AG285" s="30" t="n"/>
      <c r="AH285" s="58" t="n"/>
      <c r="AI285" s="30" t="n"/>
      <c r="AJ285" s="135" t="n"/>
      <c r="AK285" s="212" t="n"/>
      <c r="AL285" s="294" t="n"/>
      <c r="AM285" s="89">
        <f>IF(OR(X285="",F285=""),"",X285-F285)</f>
        <v/>
      </c>
      <c r="AN285" s="124">
        <f>IF(OR(Y285="",G285=""),"",Y285-G285)</f>
        <v/>
      </c>
      <c r="AO285" s="124">
        <f>IF(OR(Z285="",H285=""),"",Z285-H285)</f>
        <v/>
      </c>
      <c r="AP285" s="124">
        <f>IF(OR(AA285="",I285=""),"",AA285-I285)</f>
        <v/>
      </c>
      <c r="AQ285" s="90">
        <f>IF(OR(AB285="",J285=""),"",AB285-J285)</f>
        <v/>
      </c>
      <c r="AR285" s="39" t="n"/>
      <c r="AS285" s="332" t="n"/>
      <c r="AT285" s="39" t="n"/>
    </row>
    <row r="286" ht="13.5" customHeight="1" s="279">
      <c r="B286" s="294" t="n"/>
      <c r="C286" s="29" t="inlineStr">
        <is>
          <t>r04</t>
        </is>
      </c>
      <c r="D286" s="191" t="n"/>
      <c r="E286" s="58" t="n"/>
      <c r="F286" s="192" t="n"/>
      <c r="G286" s="192" t="n"/>
      <c r="H286" s="192" t="n"/>
      <c r="I286" s="64" t="n"/>
      <c r="J286" s="64" t="n"/>
      <c r="K286" s="193" t="n"/>
      <c r="L286" s="357" t="n"/>
      <c r="M286" s="357" t="n"/>
      <c r="N286" s="58" t="n"/>
      <c r="O286" s="30" t="n"/>
      <c r="P286" s="58" t="n"/>
      <c r="Q286" s="30" t="n"/>
      <c r="R286" s="135" t="n"/>
      <c r="S286" s="301" t="n"/>
      <c r="T286" s="294" t="n"/>
      <c r="U286" s="29" t="inlineStr">
        <is>
          <t>r04</t>
        </is>
      </c>
      <c r="V286" s="191" t="n"/>
      <c r="W286" s="58" t="n"/>
      <c r="X286" s="192" t="n"/>
      <c r="Y286" s="192" t="n"/>
      <c r="Z286" s="192" t="n"/>
      <c r="AA286" s="64" t="n"/>
      <c r="AB286" s="64" t="n"/>
      <c r="AC286" s="193" t="n"/>
      <c r="AD286" s="357" t="n"/>
      <c r="AE286" s="357" t="n"/>
      <c r="AF286" s="58" t="n"/>
      <c r="AG286" s="30" t="n"/>
      <c r="AH286" s="58" t="n"/>
      <c r="AI286" s="30" t="n"/>
      <c r="AJ286" s="135" t="n"/>
      <c r="AK286" s="212" t="n"/>
      <c r="AL286" s="294" t="n"/>
      <c r="AM286" s="89">
        <f>IF(OR(X286="",F286=""),"",X286-F286)</f>
        <v/>
      </c>
      <c r="AN286" s="124">
        <f>IF(OR(Y286="",G286=""),"",Y286-G286)</f>
        <v/>
      </c>
      <c r="AO286" s="124">
        <f>IF(OR(Z286="",H286=""),"",Z286-H286)</f>
        <v/>
      </c>
      <c r="AP286" s="124">
        <f>IF(OR(AA286="",I286=""),"",AA286-I286)</f>
        <v/>
      </c>
      <c r="AQ286" s="90">
        <f>IF(OR(AB286="",J286=""),"",AB286-J286)</f>
        <v/>
      </c>
      <c r="AR286" s="39" t="n"/>
      <c r="AS286" s="332" t="n"/>
      <c r="AT286" s="39" t="n"/>
    </row>
    <row r="287" ht="13.5" customHeight="1" s="279" thickBot="1">
      <c r="B287" s="295" t="n"/>
      <c r="C287" s="29" t="n"/>
      <c r="D287" s="191" t="n"/>
      <c r="E287" s="58" t="n"/>
      <c r="F287" s="194" t="n"/>
      <c r="G287" s="194" t="n"/>
      <c r="H287" s="194" t="n"/>
      <c r="I287" s="58" t="n"/>
      <c r="J287" s="58" t="n"/>
      <c r="K287" s="193" t="n"/>
      <c r="L287" s="357" t="n"/>
      <c r="M287" s="357" t="n"/>
      <c r="N287" s="58" t="n"/>
      <c r="O287" s="30" t="n"/>
      <c r="P287" s="58" t="n"/>
      <c r="Q287" s="30" t="n"/>
      <c r="R287" s="189" t="n"/>
      <c r="S287" s="301" t="n"/>
      <c r="T287" s="295" t="n"/>
      <c r="U287" s="29" t="n"/>
      <c r="V287" s="191" t="n"/>
      <c r="W287" s="58" t="n"/>
      <c r="X287" s="194" t="n"/>
      <c r="Y287" s="194" t="n"/>
      <c r="Z287" s="194" t="n"/>
      <c r="AA287" s="58" t="n"/>
      <c r="AB287" s="58" t="n"/>
      <c r="AC287" s="193" t="n"/>
      <c r="AD287" s="357" t="n"/>
      <c r="AE287" s="357" t="n"/>
      <c r="AF287" s="58" t="n"/>
      <c r="AG287" s="30" t="n"/>
      <c r="AH287" s="58" t="n"/>
      <c r="AI287" s="30" t="n"/>
      <c r="AJ287" s="189" t="n"/>
      <c r="AK287" s="212" t="n"/>
      <c r="AL287" s="295" t="n"/>
      <c r="AM287" s="125">
        <f>IF(OR(X287="",F287=""),"",X287-F287)</f>
        <v/>
      </c>
      <c r="AN287" s="126">
        <f>IF(OR(Y287="",G287=""),"",Y287-G287)</f>
        <v/>
      </c>
      <c r="AO287" s="126">
        <f>IF(OR(Z287="",H287=""),"",Z287-H287)</f>
        <v/>
      </c>
      <c r="AP287" s="126">
        <f>IF(OR(AA287="",I287=""),"",AA287-I287)</f>
        <v/>
      </c>
      <c r="AQ287" s="127">
        <f>IF(OR(AB287="",J287=""),"",AB287-J287)</f>
        <v/>
      </c>
      <c r="AR287" s="39" t="n"/>
      <c r="AS287" s="332" t="n"/>
      <c r="AT287" s="39" t="n"/>
    </row>
    <row r="288" ht="13.5" customHeight="1" s="279">
      <c r="B288" s="293" t="inlineStr">
        <is>
          <t>v51</t>
        </is>
      </c>
      <c r="C288" s="27" t="inlineStr">
        <is>
          <t>r01</t>
        </is>
      </c>
      <c r="D288" s="41" t="n"/>
      <c r="E288" s="57" t="n"/>
      <c r="F288" s="99" t="n"/>
      <c r="G288" s="99" t="n"/>
      <c r="H288" s="99" t="n"/>
      <c r="I288" s="62" t="n"/>
      <c r="J288" s="62" t="n"/>
      <c r="K288" s="63" t="n"/>
      <c r="L288" s="356" t="n"/>
      <c r="M288" s="356" t="n"/>
      <c r="N288" s="57" t="n"/>
      <c r="O288" s="28" t="n"/>
      <c r="P288" s="57" t="n"/>
      <c r="Q288" s="28" t="n"/>
      <c r="R288" s="134" t="n"/>
      <c r="S288" s="301" t="n"/>
      <c r="T288" s="293" t="inlineStr">
        <is>
          <t>v51</t>
        </is>
      </c>
      <c r="U288" s="27" t="inlineStr">
        <is>
          <t>r01</t>
        </is>
      </c>
      <c r="V288" s="41" t="n"/>
      <c r="W288" s="57" t="n"/>
      <c r="X288" s="99" t="n"/>
      <c r="Y288" s="99" t="n"/>
      <c r="Z288" s="99" t="n"/>
      <c r="AA288" s="62" t="n"/>
      <c r="AB288" s="62" t="n"/>
      <c r="AC288" s="63" t="n"/>
      <c r="AD288" s="356" t="n"/>
      <c r="AE288" s="356" t="n"/>
      <c r="AF288" s="57" t="n"/>
      <c r="AG288" s="28" t="n"/>
      <c r="AH288" s="57" t="n"/>
      <c r="AI288" s="28" t="n"/>
      <c r="AJ288" s="134" t="n"/>
      <c r="AK288" s="212" t="n"/>
      <c r="AL288" s="293" t="inlineStr">
        <is>
          <t>v51</t>
        </is>
      </c>
      <c r="AM288" s="122">
        <f>IF(OR(X288="",F288=""),"",X288-F288)</f>
        <v/>
      </c>
      <c r="AN288" s="98">
        <f>IF(OR(Y288="",G288=""),"",Y288-G288)</f>
        <v/>
      </c>
      <c r="AO288" s="98">
        <f>IF(OR(Z288="",H288=""),"",Z288-H288)</f>
        <v/>
      </c>
      <c r="AP288" s="98">
        <f>IF(OR(AA288="",I288=""),"",AA288-I288)</f>
        <v/>
      </c>
      <c r="AQ288" s="123">
        <f>IF(OR(AB288="",J288=""),"",AB288-J288)</f>
        <v/>
      </c>
      <c r="AR288" s="39" t="n"/>
      <c r="AS288" s="332" t="n"/>
      <c r="AT288" s="39" t="n"/>
    </row>
    <row r="289" ht="13.5" customHeight="1" s="279">
      <c r="B289" s="294" t="n"/>
      <c r="C289" s="29" t="inlineStr">
        <is>
          <t>r02</t>
        </is>
      </c>
      <c r="D289" s="191" t="n"/>
      <c r="E289" s="58" t="n"/>
      <c r="F289" s="192" t="n"/>
      <c r="G289" s="192" t="n"/>
      <c r="H289" s="192" t="n"/>
      <c r="I289" s="64" t="n"/>
      <c r="J289" s="64" t="n"/>
      <c r="K289" s="193" t="n"/>
      <c r="L289" s="357" t="n"/>
      <c r="M289" s="357" t="n"/>
      <c r="N289" s="58" t="n"/>
      <c r="O289" s="30" t="n"/>
      <c r="P289" s="58" t="n"/>
      <c r="Q289" s="30" t="n"/>
      <c r="R289" s="135" t="n"/>
      <c r="S289" s="301" t="n"/>
      <c r="T289" s="294" t="n"/>
      <c r="U289" s="29" t="inlineStr">
        <is>
          <t>r02</t>
        </is>
      </c>
      <c r="V289" s="191" t="n"/>
      <c r="W289" s="58" t="n"/>
      <c r="X289" s="192" t="n"/>
      <c r="Y289" s="192" t="n"/>
      <c r="Z289" s="192" t="n"/>
      <c r="AA289" s="64" t="n"/>
      <c r="AB289" s="64" t="n"/>
      <c r="AC289" s="193" t="n"/>
      <c r="AD289" s="357" t="n"/>
      <c r="AE289" s="357" t="n"/>
      <c r="AF289" s="58" t="n"/>
      <c r="AG289" s="30" t="n"/>
      <c r="AH289" s="58" t="n"/>
      <c r="AI289" s="30" t="n"/>
      <c r="AJ289" s="135" t="n"/>
      <c r="AK289" s="212" t="n"/>
      <c r="AL289" s="294" t="n"/>
      <c r="AM289" s="89">
        <f>IF(OR(X289="",F289=""),"",X289-F289)</f>
        <v/>
      </c>
      <c r="AN289" s="124">
        <f>IF(OR(Y289="",G289=""),"",Y289-G289)</f>
        <v/>
      </c>
      <c r="AO289" s="124">
        <f>IF(OR(Z289="",H289=""),"",Z289-H289)</f>
        <v/>
      </c>
      <c r="AP289" s="124">
        <f>IF(OR(AA289="",I289=""),"",AA289-I289)</f>
        <v/>
      </c>
      <c r="AQ289" s="90">
        <f>IF(OR(AB289="",J289=""),"",AB289-J289)</f>
        <v/>
      </c>
      <c r="AR289" s="39" t="n"/>
      <c r="AS289" s="332" t="n"/>
      <c r="AT289" s="39" t="n"/>
    </row>
    <row r="290" ht="13.5" customHeight="1" s="279">
      <c r="B290" s="294" t="n"/>
      <c r="C290" s="29" t="inlineStr">
        <is>
          <t>r03</t>
        </is>
      </c>
      <c r="D290" s="191" t="n"/>
      <c r="E290" s="58" t="n"/>
      <c r="F290" s="192" t="n"/>
      <c r="G290" s="192" t="n"/>
      <c r="H290" s="192" t="n"/>
      <c r="I290" s="64" t="n"/>
      <c r="J290" s="64" t="n"/>
      <c r="K290" s="193" t="n"/>
      <c r="L290" s="357" t="n"/>
      <c r="M290" s="357" t="n"/>
      <c r="N290" s="58" t="n"/>
      <c r="O290" s="30" t="n"/>
      <c r="P290" s="58" t="n"/>
      <c r="Q290" s="30" t="n"/>
      <c r="R290" s="135" t="n"/>
      <c r="S290" s="301" t="n"/>
      <c r="T290" s="294" t="n"/>
      <c r="U290" s="29" t="inlineStr">
        <is>
          <t>r03</t>
        </is>
      </c>
      <c r="V290" s="191" t="n"/>
      <c r="W290" s="58" t="n"/>
      <c r="X290" s="192" t="n"/>
      <c r="Y290" s="192" t="n"/>
      <c r="Z290" s="192" t="n"/>
      <c r="AA290" s="64" t="n"/>
      <c r="AB290" s="64" t="n"/>
      <c r="AC290" s="193" t="n"/>
      <c r="AD290" s="357" t="n"/>
      <c r="AE290" s="357" t="n"/>
      <c r="AF290" s="58" t="n"/>
      <c r="AG290" s="30" t="n"/>
      <c r="AH290" s="58" t="n"/>
      <c r="AI290" s="30" t="n"/>
      <c r="AJ290" s="135" t="n"/>
      <c r="AK290" s="212" t="n"/>
      <c r="AL290" s="294" t="n"/>
      <c r="AM290" s="89">
        <f>IF(OR(X290="",F290=""),"",X290-F290)</f>
        <v/>
      </c>
      <c r="AN290" s="124">
        <f>IF(OR(Y290="",G290=""),"",Y290-G290)</f>
        <v/>
      </c>
      <c r="AO290" s="124">
        <f>IF(OR(Z290="",H290=""),"",Z290-H290)</f>
        <v/>
      </c>
      <c r="AP290" s="124">
        <f>IF(OR(AA290="",I290=""),"",AA290-I290)</f>
        <v/>
      </c>
      <c r="AQ290" s="90">
        <f>IF(OR(AB290="",J290=""),"",AB290-J290)</f>
        <v/>
      </c>
      <c r="AR290" s="39" t="n"/>
      <c r="AS290" s="332" t="n"/>
      <c r="AT290" s="39" t="n"/>
    </row>
    <row r="291" ht="13.5" customHeight="1" s="279">
      <c r="B291" s="294" t="n"/>
      <c r="C291" s="29" t="inlineStr">
        <is>
          <t>r04</t>
        </is>
      </c>
      <c r="D291" s="191" t="n"/>
      <c r="E291" s="58" t="n"/>
      <c r="F291" s="192" t="n"/>
      <c r="G291" s="192" t="n"/>
      <c r="H291" s="192" t="n"/>
      <c r="I291" s="64" t="n"/>
      <c r="J291" s="64" t="n"/>
      <c r="K291" s="193" t="n"/>
      <c r="L291" s="357" t="n"/>
      <c r="M291" s="357" t="n"/>
      <c r="N291" s="58" t="n"/>
      <c r="O291" s="30" t="n"/>
      <c r="P291" s="58" t="n"/>
      <c r="Q291" s="30" t="n"/>
      <c r="R291" s="135" t="n"/>
      <c r="S291" s="301" t="n"/>
      <c r="T291" s="294" t="n"/>
      <c r="U291" s="29" t="inlineStr">
        <is>
          <t>r04</t>
        </is>
      </c>
      <c r="V291" s="191" t="n"/>
      <c r="W291" s="58" t="n"/>
      <c r="X291" s="192" t="n"/>
      <c r="Y291" s="192" t="n"/>
      <c r="Z291" s="192" t="n"/>
      <c r="AA291" s="64" t="n"/>
      <c r="AB291" s="64" t="n"/>
      <c r="AC291" s="193" t="n"/>
      <c r="AD291" s="357" t="n"/>
      <c r="AE291" s="357" t="n"/>
      <c r="AF291" s="58" t="n"/>
      <c r="AG291" s="30" t="n"/>
      <c r="AH291" s="58" t="n"/>
      <c r="AI291" s="30" t="n"/>
      <c r="AJ291" s="135" t="n"/>
      <c r="AK291" s="212" t="n"/>
      <c r="AL291" s="294" t="n"/>
      <c r="AM291" s="89">
        <f>IF(OR(X291="",F291=""),"",X291-F291)</f>
        <v/>
      </c>
      <c r="AN291" s="124">
        <f>IF(OR(Y291="",G291=""),"",Y291-G291)</f>
        <v/>
      </c>
      <c r="AO291" s="124">
        <f>IF(OR(Z291="",H291=""),"",Z291-H291)</f>
        <v/>
      </c>
      <c r="AP291" s="124">
        <f>IF(OR(AA291="",I291=""),"",AA291-I291)</f>
        <v/>
      </c>
      <c r="AQ291" s="90">
        <f>IF(OR(AB291="",J291=""),"",AB291-J291)</f>
        <v/>
      </c>
      <c r="AR291" s="39" t="n"/>
      <c r="AS291" s="332" t="n"/>
      <c r="AT291" s="39" t="n"/>
    </row>
    <row r="292" ht="13.5" customHeight="1" s="279" thickBot="1">
      <c r="B292" s="295" t="n"/>
      <c r="C292" s="29" t="n"/>
      <c r="D292" s="191" t="n"/>
      <c r="E292" s="58" t="n"/>
      <c r="F292" s="194" t="n"/>
      <c r="G292" s="194" t="n"/>
      <c r="H292" s="194" t="n"/>
      <c r="I292" s="58" t="n"/>
      <c r="J292" s="58" t="n"/>
      <c r="K292" s="193" t="n"/>
      <c r="L292" s="357" t="n"/>
      <c r="M292" s="357" t="n"/>
      <c r="N292" s="58" t="n"/>
      <c r="O292" s="30" t="n"/>
      <c r="P292" s="58" t="n"/>
      <c r="Q292" s="30" t="n"/>
      <c r="R292" s="189" t="n"/>
      <c r="S292" s="301" t="n"/>
      <c r="T292" s="295" t="n"/>
      <c r="U292" s="29" t="n"/>
      <c r="V292" s="191" t="n"/>
      <c r="W292" s="58" t="n"/>
      <c r="X292" s="194" t="n"/>
      <c r="Y292" s="194" t="n"/>
      <c r="Z292" s="194" t="n"/>
      <c r="AA292" s="58" t="n"/>
      <c r="AB292" s="58" t="n"/>
      <c r="AC292" s="193" t="n"/>
      <c r="AD292" s="357" t="n"/>
      <c r="AE292" s="357" t="n"/>
      <c r="AF292" s="58" t="n"/>
      <c r="AG292" s="30" t="n"/>
      <c r="AH292" s="58" t="n"/>
      <c r="AI292" s="30" t="n"/>
      <c r="AJ292" s="189" t="n"/>
      <c r="AK292" s="212" t="n"/>
      <c r="AL292" s="295" t="n"/>
      <c r="AM292" s="125">
        <f>IF(OR(X292="",F292=""),"",X292-F292)</f>
        <v/>
      </c>
      <c r="AN292" s="126">
        <f>IF(OR(Y292="",G292=""),"",Y292-G292)</f>
        <v/>
      </c>
      <c r="AO292" s="126">
        <f>IF(OR(Z292="",H292=""),"",Z292-H292)</f>
        <v/>
      </c>
      <c r="AP292" s="126">
        <f>IF(OR(AA292="",I292=""),"",AA292-I292)</f>
        <v/>
      </c>
      <c r="AQ292" s="127">
        <f>IF(OR(AB292="",J292=""),"",AB292-J292)</f>
        <v/>
      </c>
      <c r="AR292" s="39" t="n"/>
      <c r="AS292" s="332" t="n"/>
      <c r="AT292" s="39" t="n"/>
    </row>
    <row r="293" ht="13.5" customHeight="1" s="279">
      <c r="B293" s="293" t="inlineStr">
        <is>
          <t>v52</t>
        </is>
      </c>
      <c r="C293" s="27" t="inlineStr">
        <is>
          <t>r01</t>
        </is>
      </c>
      <c r="D293" s="41" t="n"/>
      <c r="E293" s="57" t="n"/>
      <c r="F293" s="99" t="n"/>
      <c r="G293" s="99" t="n"/>
      <c r="H293" s="99" t="n"/>
      <c r="I293" s="62" t="n"/>
      <c r="J293" s="62" t="n"/>
      <c r="K293" s="63" t="n"/>
      <c r="L293" s="356" t="n"/>
      <c r="M293" s="356" t="n"/>
      <c r="N293" s="57" t="n"/>
      <c r="O293" s="28" t="n"/>
      <c r="P293" s="57" t="n"/>
      <c r="Q293" s="28" t="n"/>
      <c r="R293" s="134" t="n"/>
      <c r="S293" s="301" t="n"/>
      <c r="T293" s="293" t="inlineStr">
        <is>
          <t>v52</t>
        </is>
      </c>
      <c r="U293" s="27" t="inlineStr">
        <is>
          <t>r01</t>
        </is>
      </c>
      <c r="V293" s="41" t="n"/>
      <c r="W293" s="57" t="n"/>
      <c r="X293" s="99" t="n"/>
      <c r="Y293" s="99" t="n"/>
      <c r="Z293" s="99" t="n"/>
      <c r="AA293" s="62" t="n"/>
      <c r="AB293" s="62" t="n"/>
      <c r="AC293" s="63" t="n"/>
      <c r="AD293" s="356" t="n"/>
      <c r="AE293" s="356" t="n"/>
      <c r="AF293" s="57" t="n"/>
      <c r="AG293" s="28" t="n"/>
      <c r="AH293" s="57" t="n"/>
      <c r="AI293" s="28" t="n"/>
      <c r="AJ293" s="134" t="n"/>
      <c r="AK293" s="212" t="n"/>
      <c r="AL293" s="293" t="inlineStr">
        <is>
          <t>v52</t>
        </is>
      </c>
      <c r="AM293" s="122">
        <f>IF(OR(X293="",F293=""),"",X293-F293)</f>
        <v/>
      </c>
      <c r="AN293" s="98">
        <f>IF(OR(Y293="",G293=""),"",Y293-G293)</f>
        <v/>
      </c>
      <c r="AO293" s="98">
        <f>IF(OR(Z293="",H293=""),"",Z293-H293)</f>
        <v/>
      </c>
      <c r="AP293" s="98">
        <f>IF(OR(AA293="",I293=""),"",AA293-I293)</f>
        <v/>
      </c>
      <c r="AQ293" s="123">
        <f>IF(OR(AB293="",J293=""),"",AB293-J293)</f>
        <v/>
      </c>
      <c r="AR293" s="39" t="n"/>
      <c r="AS293" s="332" t="n"/>
      <c r="AT293" s="39" t="n"/>
    </row>
    <row r="294" ht="13.5" customHeight="1" s="279">
      <c r="B294" s="294" t="n"/>
      <c r="C294" s="29" t="inlineStr">
        <is>
          <t>r02</t>
        </is>
      </c>
      <c r="D294" s="191" t="n"/>
      <c r="E294" s="58" t="n"/>
      <c r="F294" s="192" t="n"/>
      <c r="G294" s="192" t="n"/>
      <c r="H294" s="192" t="n"/>
      <c r="I294" s="64" t="n"/>
      <c r="J294" s="64" t="n"/>
      <c r="K294" s="193" t="n"/>
      <c r="L294" s="357" t="n"/>
      <c r="M294" s="357" t="n"/>
      <c r="N294" s="58" t="n"/>
      <c r="O294" s="30" t="n"/>
      <c r="P294" s="58" t="n"/>
      <c r="Q294" s="30" t="n"/>
      <c r="R294" s="135" t="n"/>
      <c r="S294" s="301" t="n"/>
      <c r="T294" s="294" t="n"/>
      <c r="U294" s="29" t="inlineStr">
        <is>
          <t>r02</t>
        </is>
      </c>
      <c r="V294" s="191" t="n"/>
      <c r="W294" s="58" t="n"/>
      <c r="X294" s="192" t="n"/>
      <c r="Y294" s="192" t="n"/>
      <c r="Z294" s="192" t="n"/>
      <c r="AA294" s="64" t="n"/>
      <c r="AB294" s="64" t="n"/>
      <c r="AC294" s="193" t="n"/>
      <c r="AD294" s="357" t="n"/>
      <c r="AE294" s="357" t="n"/>
      <c r="AF294" s="58" t="n"/>
      <c r="AG294" s="30" t="n"/>
      <c r="AH294" s="58" t="n"/>
      <c r="AI294" s="30" t="n"/>
      <c r="AJ294" s="135" t="n"/>
      <c r="AK294" s="212" t="n"/>
      <c r="AL294" s="294" t="n"/>
      <c r="AM294" s="89">
        <f>IF(OR(X294="",F294=""),"",X294-F294)</f>
        <v/>
      </c>
      <c r="AN294" s="124">
        <f>IF(OR(Y294="",G294=""),"",Y294-G294)</f>
        <v/>
      </c>
      <c r="AO294" s="124">
        <f>IF(OR(Z294="",H294=""),"",Z294-H294)</f>
        <v/>
      </c>
      <c r="AP294" s="124">
        <f>IF(OR(AA294="",I294=""),"",AA294-I294)</f>
        <v/>
      </c>
      <c r="AQ294" s="90">
        <f>IF(OR(AB294="",J294=""),"",AB294-J294)</f>
        <v/>
      </c>
      <c r="AR294" s="39" t="n"/>
      <c r="AS294" s="332" t="n"/>
      <c r="AT294" s="39" t="n"/>
    </row>
    <row r="295" ht="13.5" customHeight="1" s="279">
      <c r="B295" s="294" t="n"/>
      <c r="C295" s="29" t="inlineStr">
        <is>
          <t>r03</t>
        </is>
      </c>
      <c r="D295" s="191" t="n"/>
      <c r="E295" s="58" t="n"/>
      <c r="F295" s="192" t="n"/>
      <c r="G295" s="192" t="n"/>
      <c r="H295" s="192" t="n"/>
      <c r="I295" s="64" t="n"/>
      <c r="J295" s="64" t="n"/>
      <c r="K295" s="193" t="n"/>
      <c r="L295" s="357" t="n"/>
      <c r="M295" s="357" t="n"/>
      <c r="N295" s="58" t="n"/>
      <c r="O295" s="30" t="n"/>
      <c r="P295" s="58" t="n"/>
      <c r="Q295" s="30" t="n"/>
      <c r="R295" s="135" t="n"/>
      <c r="S295" s="301" t="n"/>
      <c r="T295" s="294" t="n"/>
      <c r="U295" s="29" t="inlineStr">
        <is>
          <t>r03</t>
        </is>
      </c>
      <c r="V295" s="191" t="n"/>
      <c r="W295" s="58" t="n"/>
      <c r="X295" s="192" t="n"/>
      <c r="Y295" s="192" t="n"/>
      <c r="Z295" s="192" t="n"/>
      <c r="AA295" s="64" t="n"/>
      <c r="AB295" s="64" t="n"/>
      <c r="AC295" s="193" t="n"/>
      <c r="AD295" s="357" t="n"/>
      <c r="AE295" s="357" t="n"/>
      <c r="AF295" s="58" t="n"/>
      <c r="AG295" s="30" t="n"/>
      <c r="AH295" s="58" t="n"/>
      <c r="AI295" s="30" t="n"/>
      <c r="AJ295" s="135" t="n"/>
      <c r="AK295" s="212" t="n"/>
      <c r="AL295" s="294" t="n"/>
      <c r="AM295" s="89">
        <f>IF(OR(X295="",F295=""),"",X295-F295)</f>
        <v/>
      </c>
      <c r="AN295" s="124">
        <f>IF(OR(Y295="",G295=""),"",Y295-G295)</f>
        <v/>
      </c>
      <c r="AO295" s="124">
        <f>IF(OR(Z295="",H295=""),"",Z295-H295)</f>
        <v/>
      </c>
      <c r="AP295" s="124">
        <f>IF(OR(AA295="",I295=""),"",AA295-I295)</f>
        <v/>
      </c>
      <c r="AQ295" s="90">
        <f>IF(OR(AB295="",J295=""),"",AB295-J295)</f>
        <v/>
      </c>
      <c r="AR295" s="39" t="n"/>
      <c r="AS295" s="332" t="n"/>
      <c r="AT295" s="39" t="n"/>
    </row>
    <row r="296" ht="13.5" customHeight="1" s="279">
      <c r="B296" s="294" t="n"/>
      <c r="C296" s="29" t="inlineStr">
        <is>
          <t>r04</t>
        </is>
      </c>
      <c r="D296" s="191" t="n"/>
      <c r="E296" s="58" t="n"/>
      <c r="F296" s="192" t="n"/>
      <c r="G296" s="192" t="n"/>
      <c r="H296" s="192" t="n"/>
      <c r="I296" s="64" t="n"/>
      <c r="J296" s="64" t="n"/>
      <c r="K296" s="193" t="n"/>
      <c r="L296" s="357" t="n"/>
      <c r="M296" s="357" t="n"/>
      <c r="N296" s="58" t="n"/>
      <c r="O296" s="30" t="n"/>
      <c r="P296" s="58" t="n"/>
      <c r="Q296" s="30" t="n"/>
      <c r="R296" s="135" t="n"/>
      <c r="S296" s="301" t="n"/>
      <c r="T296" s="294" t="n"/>
      <c r="U296" s="29" t="inlineStr">
        <is>
          <t>r04</t>
        </is>
      </c>
      <c r="V296" s="191" t="n"/>
      <c r="W296" s="58" t="n"/>
      <c r="X296" s="192" t="n"/>
      <c r="Y296" s="192" t="n"/>
      <c r="Z296" s="192" t="n"/>
      <c r="AA296" s="64" t="n"/>
      <c r="AB296" s="64" t="n"/>
      <c r="AC296" s="193" t="n"/>
      <c r="AD296" s="357" t="n"/>
      <c r="AE296" s="357" t="n"/>
      <c r="AF296" s="58" t="n"/>
      <c r="AG296" s="30" t="n"/>
      <c r="AH296" s="58" t="n"/>
      <c r="AI296" s="30" t="n"/>
      <c r="AJ296" s="135" t="n"/>
      <c r="AK296" s="212" t="n"/>
      <c r="AL296" s="294" t="n"/>
      <c r="AM296" s="89">
        <f>IF(OR(X296="",F296=""),"",X296-F296)</f>
        <v/>
      </c>
      <c r="AN296" s="124">
        <f>IF(OR(Y296="",G296=""),"",Y296-G296)</f>
        <v/>
      </c>
      <c r="AO296" s="124">
        <f>IF(OR(Z296="",H296=""),"",Z296-H296)</f>
        <v/>
      </c>
      <c r="AP296" s="124">
        <f>IF(OR(AA296="",I296=""),"",AA296-I296)</f>
        <v/>
      </c>
      <c r="AQ296" s="90">
        <f>IF(OR(AB296="",J296=""),"",AB296-J296)</f>
        <v/>
      </c>
      <c r="AR296" s="39" t="n"/>
      <c r="AS296" s="332" t="n"/>
      <c r="AT296" s="39" t="n"/>
    </row>
    <row r="297" ht="13.5" customHeight="1" s="279" thickBot="1">
      <c r="B297" s="295" t="n"/>
      <c r="C297" s="29" t="n"/>
      <c r="D297" s="191" t="n"/>
      <c r="E297" s="58" t="n"/>
      <c r="F297" s="194" t="n"/>
      <c r="G297" s="194" t="n"/>
      <c r="H297" s="194" t="n"/>
      <c r="I297" s="58" t="n"/>
      <c r="J297" s="58" t="n"/>
      <c r="K297" s="193" t="n"/>
      <c r="L297" s="357" t="n"/>
      <c r="M297" s="357" t="n"/>
      <c r="N297" s="58" t="n"/>
      <c r="O297" s="30" t="n"/>
      <c r="P297" s="58" t="n"/>
      <c r="Q297" s="30" t="n"/>
      <c r="R297" s="189" t="n"/>
      <c r="S297" s="301" t="n"/>
      <c r="T297" s="295" t="n"/>
      <c r="U297" s="29" t="n"/>
      <c r="V297" s="191" t="n"/>
      <c r="W297" s="58" t="n"/>
      <c r="X297" s="194" t="n"/>
      <c r="Y297" s="194" t="n"/>
      <c r="Z297" s="194" t="n"/>
      <c r="AA297" s="58" t="n"/>
      <c r="AB297" s="58" t="n"/>
      <c r="AC297" s="193" t="n"/>
      <c r="AD297" s="357" t="n"/>
      <c r="AE297" s="357" t="n"/>
      <c r="AF297" s="58" t="n"/>
      <c r="AG297" s="30" t="n"/>
      <c r="AH297" s="58" t="n"/>
      <c r="AI297" s="30" t="n"/>
      <c r="AJ297" s="189" t="n"/>
      <c r="AK297" s="212" t="n"/>
      <c r="AL297" s="295" t="n"/>
      <c r="AM297" s="125">
        <f>IF(OR(X297="",F297=""),"",X297-F297)</f>
        <v/>
      </c>
      <c r="AN297" s="126">
        <f>IF(OR(Y297="",G297=""),"",Y297-G297)</f>
        <v/>
      </c>
      <c r="AO297" s="126">
        <f>IF(OR(Z297="",H297=""),"",Z297-H297)</f>
        <v/>
      </c>
      <c r="AP297" s="126">
        <f>IF(OR(AA297="",I297=""),"",AA297-I297)</f>
        <v/>
      </c>
      <c r="AQ297" s="127">
        <f>IF(OR(AB297="",J297=""),"",AB297-J297)</f>
        <v/>
      </c>
      <c r="AR297" s="39" t="n"/>
      <c r="AS297" s="332" t="n"/>
      <c r="AT297" s="39" t="n"/>
    </row>
    <row r="298" ht="13.5" customHeight="1" s="279">
      <c r="B298" s="293" t="inlineStr">
        <is>
          <t>v53</t>
        </is>
      </c>
      <c r="C298" s="27" t="inlineStr">
        <is>
          <t>r01</t>
        </is>
      </c>
      <c r="D298" s="41" t="n"/>
      <c r="E298" s="57" t="n"/>
      <c r="F298" s="99" t="n"/>
      <c r="G298" s="99" t="n"/>
      <c r="H298" s="99" t="n"/>
      <c r="I298" s="62" t="n"/>
      <c r="J298" s="62" t="n"/>
      <c r="K298" s="63" t="n"/>
      <c r="L298" s="356" t="n"/>
      <c r="M298" s="356" t="n"/>
      <c r="N298" s="57" t="n"/>
      <c r="O298" s="28" t="n"/>
      <c r="P298" s="57" t="n"/>
      <c r="Q298" s="28" t="n"/>
      <c r="R298" s="134" t="n"/>
      <c r="S298" s="301" t="n"/>
      <c r="T298" s="293" t="inlineStr">
        <is>
          <t>v53</t>
        </is>
      </c>
      <c r="U298" s="27" t="inlineStr">
        <is>
          <t>r01</t>
        </is>
      </c>
      <c r="V298" s="41" t="n"/>
      <c r="W298" s="57" t="n"/>
      <c r="X298" s="99" t="n"/>
      <c r="Y298" s="99" t="n"/>
      <c r="Z298" s="99" t="n"/>
      <c r="AA298" s="62" t="n"/>
      <c r="AB298" s="62" t="n"/>
      <c r="AC298" s="63" t="n"/>
      <c r="AD298" s="356" t="n"/>
      <c r="AE298" s="356" t="n"/>
      <c r="AF298" s="57" t="n"/>
      <c r="AG298" s="28" t="n"/>
      <c r="AH298" s="57" t="n"/>
      <c r="AI298" s="28" t="n"/>
      <c r="AJ298" s="134" t="n"/>
      <c r="AK298" s="212" t="n"/>
      <c r="AL298" s="293" t="inlineStr">
        <is>
          <t>v53</t>
        </is>
      </c>
      <c r="AM298" s="122">
        <f>IF(OR(X298="",F298=""),"",X298-F298)</f>
        <v/>
      </c>
      <c r="AN298" s="98">
        <f>IF(OR(Y298="",G298=""),"",Y298-G298)</f>
        <v/>
      </c>
      <c r="AO298" s="98">
        <f>IF(OR(Z298="",H298=""),"",Z298-H298)</f>
        <v/>
      </c>
      <c r="AP298" s="98">
        <f>IF(OR(AA298="",I298=""),"",AA298-I298)</f>
        <v/>
      </c>
      <c r="AQ298" s="123">
        <f>IF(OR(AB298="",J298=""),"",AB298-J298)</f>
        <v/>
      </c>
      <c r="AR298" s="39" t="n"/>
      <c r="AS298" s="332" t="n"/>
      <c r="AT298" s="39" t="n"/>
    </row>
    <row r="299" ht="13.5" customHeight="1" s="279">
      <c r="B299" s="294" t="n"/>
      <c r="C299" s="29" t="inlineStr">
        <is>
          <t>r02</t>
        </is>
      </c>
      <c r="D299" s="191" t="n"/>
      <c r="E299" s="58" t="n"/>
      <c r="F299" s="192" t="n"/>
      <c r="G299" s="192" t="n"/>
      <c r="H299" s="192" t="n"/>
      <c r="I299" s="64" t="n"/>
      <c r="J299" s="64" t="n"/>
      <c r="K299" s="193" t="n"/>
      <c r="L299" s="357" t="n"/>
      <c r="M299" s="357" t="n"/>
      <c r="N299" s="58" t="n"/>
      <c r="O299" s="30" t="n"/>
      <c r="P299" s="58" t="n"/>
      <c r="Q299" s="30" t="n"/>
      <c r="R299" s="135" t="n"/>
      <c r="S299" s="301" t="n"/>
      <c r="T299" s="294" t="n"/>
      <c r="U299" s="29" t="inlineStr">
        <is>
          <t>r02</t>
        </is>
      </c>
      <c r="V299" s="191" t="n"/>
      <c r="W299" s="58" t="n"/>
      <c r="X299" s="192" t="n"/>
      <c r="Y299" s="192" t="n"/>
      <c r="Z299" s="192" t="n"/>
      <c r="AA299" s="64" t="n"/>
      <c r="AB299" s="64" t="n"/>
      <c r="AC299" s="193" t="n"/>
      <c r="AD299" s="357" t="n"/>
      <c r="AE299" s="357" t="n"/>
      <c r="AF299" s="58" t="n"/>
      <c r="AG299" s="30" t="n"/>
      <c r="AH299" s="58" t="n"/>
      <c r="AI299" s="30" t="n"/>
      <c r="AJ299" s="135" t="n"/>
      <c r="AK299" s="212" t="n"/>
      <c r="AL299" s="294" t="n"/>
      <c r="AM299" s="89">
        <f>IF(OR(X299="",F299=""),"",X299-F299)</f>
        <v/>
      </c>
      <c r="AN299" s="124">
        <f>IF(OR(Y299="",G299=""),"",Y299-G299)</f>
        <v/>
      </c>
      <c r="AO299" s="124">
        <f>IF(OR(Z299="",H299=""),"",Z299-H299)</f>
        <v/>
      </c>
      <c r="AP299" s="124">
        <f>IF(OR(AA299="",I299=""),"",AA299-I299)</f>
        <v/>
      </c>
      <c r="AQ299" s="90">
        <f>IF(OR(AB299="",J299=""),"",AB299-J299)</f>
        <v/>
      </c>
      <c r="AR299" s="39" t="n"/>
      <c r="AS299" s="332" t="n"/>
      <c r="AT299" s="39" t="n"/>
    </row>
    <row r="300" ht="13.5" customHeight="1" s="279">
      <c r="B300" s="294" t="n"/>
      <c r="C300" s="29" t="inlineStr">
        <is>
          <t>r03</t>
        </is>
      </c>
      <c r="D300" s="191" t="n"/>
      <c r="E300" s="58" t="n"/>
      <c r="F300" s="192" t="n"/>
      <c r="G300" s="192" t="n"/>
      <c r="H300" s="192" t="n"/>
      <c r="I300" s="64" t="n"/>
      <c r="J300" s="64" t="n"/>
      <c r="K300" s="193" t="n"/>
      <c r="L300" s="357" t="n"/>
      <c r="M300" s="357" t="n"/>
      <c r="N300" s="58" t="n"/>
      <c r="O300" s="30" t="n"/>
      <c r="P300" s="58" t="n"/>
      <c r="Q300" s="30" t="n"/>
      <c r="R300" s="135" t="n"/>
      <c r="S300" s="301" t="n"/>
      <c r="T300" s="294" t="n"/>
      <c r="U300" s="29" t="inlineStr">
        <is>
          <t>r03</t>
        </is>
      </c>
      <c r="V300" s="191" t="n"/>
      <c r="W300" s="58" t="n"/>
      <c r="X300" s="192" t="n"/>
      <c r="Y300" s="192" t="n"/>
      <c r="Z300" s="192" t="n"/>
      <c r="AA300" s="64" t="n"/>
      <c r="AB300" s="64" t="n"/>
      <c r="AC300" s="193" t="n"/>
      <c r="AD300" s="357" t="n"/>
      <c r="AE300" s="357" t="n"/>
      <c r="AF300" s="58" t="n"/>
      <c r="AG300" s="30" t="n"/>
      <c r="AH300" s="58" t="n"/>
      <c r="AI300" s="30" t="n"/>
      <c r="AJ300" s="135" t="n"/>
      <c r="AK300" s="212" t="n"/>
      <c r="AL300" s="294" t="n"/>
      <c r="AM300" s="89">
        <f>IF(OR(X300="",F300=""),"",X300-F300)</f>
        <v/>
      </c>
      <c r="AN300" s="124">
        <f>IF(OR(Y300="",G300=""),"",Y300-G300)</f>
        <v/>
      </c>
      <c r="AO300" s="124">
        <f>IF(OR(Z300="",H300=""),"",Z300-H300)</f>
        <v/>
      </c>
      <c r="AP300" s="124">
        <f>IF(OR(AA300="",I300=""),"",AA300-I300)</f>
        <v/>
      </c>
      <c r="AQ300" s="90">
        <f>IF(OR(AB300="",J300=""),"",AB300-J300)</f>
        <v/>
      </c>
      <c r="AR300" s="39" t="n"/>
      <c r="AS300" s="332" t="n"/>
      <c r="AT300" s="39" t="n"/>
    </row>
    <row r="301" ht="13.5" customHeight="1" s="279">
      <c r="B301" s="294" t="n"/>
      <c r="C301" s="29" t="inlineStr">
        <is>
          <t>r04</t>
        </is>
      </c>
      <c r="D301" s="191" t="n"/>
      <c r="E301" s="58" t="n"/>
      <c r="F301" s="192" t="n"/>
      <c r="G301" s="192" t="n"/>
      <c r="H301" s="192" t="n"/>
      <c r="I301" s="64" t="n"/>
      <c r="J301" s="64" t="n"/>
      <c r="K301" s="193" t="n"/>
      <c r="L301" s="357" t="n"/>
      <c r="M301" s="357" t="n"/>
      <c r="N301" s="58" t="n"/>
      <c r="O301" s="30" t="n"/>
      <c r="P301" s="58" t="n"/>
      <c r="Q301" s="30" t="n"/>
      <c r="R301" s="135" t="n"/>
      <c r="S301" s="301" t="n"/>
      <c r="T301" s="294" t="n"/>
      <c r="U301" s="29" t="inlineStr">
        <is>
          <t>r04</t>
        </is>
      </c>
      <c r="V301" s="191" t="n"/>
      <c r="W301" s="58" t="n"/>
      <c r="X301" s="192" t="n"/>
      <c r="Y301" s="192" t="n"/>
      <c r="Z301" s="192" t="n"/>
      <c r="AA301" s="64" t="n"/>
      <c r="AB301" s="64" t="n"/>
      <c r="AC301" s="193" t="n"/>
      <c r="AD301" s="357" t="n"/>
      <c r="AE301" s="357" t="n"/>
      <c r="AF301" s="58" t="n"/>
      <c r="AG301" s="30" t="n"/>
      <c r="AH301" s="58" t="n"/>
      <c r="AI301" s="30" t="n"/>
      <c r="AJ301" s="135" t="n"/>
      <c r="AK301" s="212" t="n"/>
      <c r="AL301" s="294" t="n"/>
      <c r="AM301" s="89">
        <f>IF(OR(X301="",F301=""),"",X301-F301)</f>
        <v/>
      </c>
      <c r="AN301" s="124">
        <f>IF(OR(Y301="",G301=""),"",Y301-G301)</f>
        <v/>
      </c>
      <c r="AO301" s="124">
        <f>IF(OR(Z301="",H301=""),"",Z301-H301)</f>
        <v/>
      </c>
      <c r="AP301" s="124">
        <f>IF(OR(AA301="",I301=""),"",AA301-I301)</f>
        <v/>
      </c>
      <c r="AQ301" s="90">
        <f>IF(OR(AB301="",J301=""),"",AB301-J301)</f>
        <v/>
      </c>
      <c r="AR301" s="39" t="n"/>
      <c r="AS301" s="332" t="n"/>
      <c r="AT301" s="39" t="n"/>
    </row>
    <row r="302" ht="13.5" customHeight="1" s="279" thickBot="1">
      <c r="B302" s="295" t="n"/>
      <c r="C302" s="29" t="n"/>
      <c r="D302" s="191" t="n"/>
      <c r="E302" s="58" t="n"/>
      <c r="F302" s="194" t="n"/>
      <c r="G302" s="194" t="n"/>
      <c r="H302" s="194" t="n"/>
      <c r="I302" s="58" t="n"/>
      <c r="J302" s="58" t="n"/>
      <c r="K302" s="193" t="n"/>
      <c r="L302" s="357" t="n"/>
      <c r="M302" s="357" t="n"/>
      <c r="N302" s="58" t="n"/>
      <c r="O302" s="30" t="n"/>
      <c r="P302" s="58" t="n"/>
      <c r="Q302" s="30" t="n"/>
      <c r="R302" s="189" t="n"/>
      <c r="S302" s="301" t="n"/>
      <c r="T302" s="295" t="n"/>
      <c r="U302" s="29" t="n"/>
      <c r="V302" s="191" t="n"/>
      <c r="W302" s="58" t="n"/>
      <c r="X302" s="194" t="n"/>
      <c r="Y302" s="194" t="n"/>
      <c r="Z302" s="194" t="n"/>
      <c r="AA302" s="58" t="n"/>
      <c r="AB302" s="58" t="n"/>
      <c r="AC302" s="193" t="n"/>
      <c r="AD302" s="357" t="n"/>
      <c r="AE302" s="357" t="n"/>
      <c r="AF302" s="58" t="n"/>
      <c r="AG302" s="30" t="n"/>
      <c r="AH302" s="58" t="n"/>
      <c r="AI302" s="30" t="n"/>
      <c r="AJ302" s="189" t="n"/>
      <c r="AK302" s="212" t="n"/>
      <c r="AL302" s="295" t="n"/>
      <c r="AM302" s="125">
        <f>IF(OR(X302="",F302=""),"",X302-F302)</f>
        <v/>
      </c>
      <c r="AN302" s="126">
        <f>IF(OR(Y302="",G302=""),"",Y302-G302)</f>
        <v/>
      </c>
      <c r="AO302" s="126">
        <f>IF(OR(Z302="",H302=""),"",Z302-H302)</f>
        <v/>
      </c>
      <c r="AP302" s="126">
        <f>IF(OR(AA302="",I302=""),"",AA302-I302)</f>
        <v/>
      </c>
      <c r="AQ302" s="127">
        <f>IF(OR(AB302="",J302=""),"",AB302-J302)</f>
        <v/>
      </c>
      <c r="AR302" s="39" t="n"/>
      <c r="AS302" s="332" t="n"/>
      <c r="AT302" s="39" t="n"/>
    </row>
    <row r="303" ht="13.5" customHeight="1" s="279">
      <c r="B303" s="293" t="inlineStr">
        <is>
          <t>v54</t>
        </is>
      </c>
      <c r="C303" s="27" t="inlineStr">
        <is>
          <t>r01</t>
        </is>
      </c>
      <c r="D303" s="41" t="n"/>
      <c r="E303" s="57" t="n"/>
      <c r="F303" s="99" t="n"/>
      <c r="G303" s="99" t="n"/>
      <c r="H303" s="99" t="n"/>
      <c r="I303" s="62" t="n"/>
      <c r="J303" s="62" t="n"/>
      <c r="K303" s="63" t="n"/>
      <c r="L303" s="356" t="n"/>
      <c r="M303" s="356" t="n"/>
      <c r="N303" s="57" t="n"/>
      <c r="O303" s="28" t="n"/>
      <c r="P303" s="57" t="n"/>
      <c r="Q303" s="28" t="n"/>
      <c r="R303" s="134" t="n"/>
      <c r="S303" s="301" t="n"/>
      <c r="T303" s="293" t="inlineStr">
        <is>
          <t>v54</t>
        </is>
      </c>
      <c r="U303" s="27" t="inlineStr">
        <is>
          <t>r01</t>
        </is>
      </c>
      <c r="V303" s="41" t="n"/>
      <c r="W303" s="57" t="n"/>
      <c r="X303" s="99" t="n"/>
      <c r="Y303" s="99" t="n"/>
      <c r="Z303" s="99" t="n"/>
      <c r="AA303" s="62" t="n"/>
      <c r="AB303" s="62" t="n"/>
      <c r="AC303" s="63" t="n"/>
      <c r="AD303" s="356" t="n"/>
      <c r="AE303" s="356" t="n"/>
      <c r="AF303" s="57" t="n"/>
      <c r="AG303" s="28" t="n"/>
      <c r="AH303" s="57" t="n"/>
      <c r="AI303" s="28" t="n"/>
      <c r="AJ303" s="134" t="n"/>
      <c r="AK303" s="212" t="n"/>
      <c r="AL303" s="293" t="inlineStr">
        <is>
          <t>v54</t>
        </is>
      </c>
      <c r="AM303" s="122">
        <f>IF(OR(X303="",F303=""),"",X303-F303)</f>
        <v/>
      </c>
      <c r="AN303" s="98">
        <f>IF(OR(Y303="",G303=""),"",Y303-G303)</f>
        <v/>
      </c>
      <c r="AO303" s="98">
        <f>IF(OR(Z303="",H303=""),"",Z303-H303)</f>
        <v/>
      </c>
      <c r="AP303" s="98">
        <f>IF(OR(AA303="",I303=""),"",AA303-I303)</f>
        <v/>
      </c>
      <c r="AQ303" s="123">
        <f>IF(OR(AB303="",J303=""),"",AB303-J303)</f>
        <v/>
      </c>
      <c r="AR303" s="39" t="n"/>
      <c r="AS303" s="332" t="n"/>
      <c r="AT303" s="39" t="n"/>
    </row>
    <row r="304" ht="13.5" customHeight="1" s="279">
      <c r="B304" s="294" t="n"/>
      <c r="C304" s="29" t="inlineStr">
        <is>
          <t>r02</t>
        </is>
      </c>
      <c r="D304" s="191" t="n"/>
      <c r="E304" s="58" t="n"/>
      <c r="F304" s="192" t="n"/>
      <c r="G304" s="192" t="n"/>
      <c r="H304" s="192" t="n"/>
      <c r="I304" s="64" t="n"/>
      <c r="J304" s="64" t="n"/>
      <c r="K304" s="193" t="n"/>
      <c r="L304" s="357" t="n"/>
      <c r="M304" s="357" t="n"/>
      <c r="N304" s="58" t="n"/>
      <c r="O304" s="30" t="n"/>
      <c r="P304" s="58" t="n"/>
      <c r="Q304" s="30" t="n"/>
      <c r="R304" s="135" t="n"/>
      <c r="S304" s="301" t="n"/>
      <c r="T304" s="294" t="n"/>
      <c r="U304" s="29" t="inlineStr">
        <is>
          <t>r02</t>
        </is>
      </c>
      <c r="V304" s="191" t="n"/>
      <c r="W304" s="58" t="n"/>
      <c r="X304" s="192" t="n"/>
      <c r="Y304" s="192" t="n"/>
      <c r="Z304" s="192" t="n"/>
      <c r="AA304" s="64" t="n"/>
      <c r="AB304" s="64" t="n"/>
      <c r="AC304" s="193" t="n"/>
      <c r="AD304" s="357" t="n"/>
      <c r="AE304" s="357" t="n"/>
      <c r="AF304" s="58" t="n"/>
      <c r="AG304" s="30" t="n"/>
      <c r="AH304" s="58" t="n"/>
      <c r="AI304" s="30" t="n"/>
      <c r="AJ304" s="135" t="n"/>
      <c r="AK304" s="212" t="n"/>
      <c r="AL304" s="294" t="n"/>
      <c r="AM304" s="89">
        <f>IF(OR(X304="",F304=""),"",X304-F304)</f>
        <v/>
      </c>
      <c r="AN304" s="124">
        <f>IF(OR(Y304="",G304=""),"",Y304-G304)</f>
        <v/>
      </c>
      <c r="AO304" s="124">
        <f>IF(OR(Z304="",H304=""),"",Z304-H304)</f>
        <v/>
      </c>
      <c r="AP304" s="124">
        <f>IF(OR(AA304="",I304=""),"",AA304-I304)</f>
        <v/>
      </c>
      <c r="AQ304" s="90">
        <f>IF(OR(AB304="",J304=""),"",AB304-J304)</f>
        <v/>
      </c>
      <c r="AR304" s="39" t="n"/>
      <c r="AS304" s="332" t="n"/>
      <c r="AT304" s="39" t="n"/>
    </row>
    <row r="305" ht="13.5" customHeight="1" s="279">
      <c r="B305" s="294" t="n"/>
      <c r="C305" s="29" t="inlineStr">
        <is>
          <t>r03</t>
        </is>
      </c>
      <c r="D305" s="191" t="n"/>
      <c r="E305" s="58" t="n"/>
      <c r="F305" s="192" t="n"/>
      <c r="G305" s="192" t="n"/>
      <c r="H305" s="192" t="n"/>
      <c r="I305" s="64" t="n"/>
      <c r="J305" s="64" t="n"/>
      <c r="K305" s="193" t="n"/>
      <c r="L305" s="357" t="n"/>
      <c r="M305" s="357" t="n"/>
      <c r="N305" s="58" t="n"/>
      <c r="O305" s="30" t="n"/>
      <c r="P305" s="58" t="n"/>
      <c r="Q305" s="30" t="n"/>
      <c r="R305" s="135" t="n"/>
      <c r="S305" s="301" t="n"/>
      <c r="T305" s="294" t="n"/>
      <c r="U305" s="29" t="inlineStr">
        <is>
          <t>r03</t>
        </is>
      </c>
      <c r="V305" s="191" t="n"/>
      <c r="W305" s="58" t="n"/>
      <c r="X305" s="192" t="n"/>
      <c r="Y305" s="192" t="n"/>
      <c r="Z305" s="192" t="n"/>
      <c r="AA305" s="64" t="n"/>
      <c r="AB305" s="64" t="n"/>
      <c r="AC305" s="193" t="n"/>
      <c r="AD305" s="357" t="n"/>
      <c r="AE305" s="357" t="n"/>
      <c r="AF305" s="58" t="n"/>
      <c r="AG305" s="30" t="n"/>
      <c r="AH305" s="58" t="n"/>
      <c r="AI305" s="30" t="n"/>
      <c r="AJ305" s="135" t="n"/>
      <c r="AK305" s="212" t="n"/>
      <c r="AL305" s="294" t="n"/>
      <c r="AM305" s="89">
        <f>IF(OR(X305="",F305=""),"",X305-F305)</f>
        <v/>
      </c>
      <c r="AN305" s="124">
        <f>IF(OR(Y305="",G305=""),"",Y305-G305)</f>
        <v/>
      </c>
      <c r="AO305" s="124">
        <f>IF(OR(Z305="",H305=""),"",Z305-H305)</f>
        <v/>
      </c>
      <c r="AP305" s="124">
        <f>IF(OR(AA305="",I305=""),"",AA305-I305)</f>
        <v/>
      </c>
      <c r="AQ305" s="90">
        <f>IF(OR(AB305="",J305=""),"",AB305-J305)</f>
        <v/>
      </c>
      <c r="AR305" s="39" t="n"/>
      <c r="AS305" s="332" t="n"/>
      <c r="AT305" s="39" t="n"/>
    </row>
    <row r="306" ht="13.5" customHeight="1" s="279">
      <c r="B306" s="294" t="n"/>
      <c r="C306" s="29" t="inlineStr">
        <is>
          <t>r04</t>
        </is>
      </c>
      <c r="D306" s="191" t="n"/>
      <c r="E306" s="58" t="n"/>
      <c r="F306" s="192" t="n"/>
      <c r="G306" s="192" t="n"/>
      <c r="H306" s="192" t="n"/>
      <c r="I306" s="64" t="n"/>
      <c r="J306" s="64" t="n"/>
      <c r="K306" s="193" t="n"/>
      <c r="L306" s="357" t="n"/>
      <c r="M306" s="357" t="n"/>
      <c r="N306" s="58" t="n"/>
      <c r="O306" s="30" t="n"/>
      <c r="P306" s="58" t="n"/>
      <c r="Q306" s="30" t="n"/>
      <c r="R306" s="135" t="n"/>
      <c r="S306" s="301" t="n"/>
      <c r="T306" s="294" t="n"/>
      <c r="U306" s="29" t="inlineStr">
        <is>
          <t>r04</t>
        </is>
      </c>
      <c r="V306" s="191" t="n"/>
      <c r="W306" s="58" t="n"/>
      <c r="X306" s="192" t="n"/>
      <c r="Y306" s="192" t="n"/>
      <c r="Z306" s="192" t="n"/>
      <c r="AA306" s="64" t="n"/>
      <c r="AB306" s="64" t="n"/>
      <c r="AC306" s="193" t="n"/>
      <c r="AD306" s="357" t="n"/>
      <c r="AE306" s="357" t="n"/>
      <c r="AF306" s="58" t="n"/>
      <c r="AG306" s="30" t="n"/>
      <c r="AH306" s="58" t="n"/>
      <c r="AI306" s="30" t="n"/>
      <c r="AJ306" s="135" t="n"/>
      <c r="AK306" s="212" t="n"/>
      <c r="AL306" s="294" t="n"/>
      <c r="AM306" s="89">
        <f>IF(OR(X306="",F306=""),"",X306-F306)</f>
        <v/>
      </c>
      <c r="AN306" s="124">
        <f>IF(OR(Y306="",G306=""),"",Y306-G306)</f>
        <v/>
      </c>
      <c r="AO306" s="124">
        <f>IF(OR(Z306="",H306=""),"",Z306-H306)</f>
        <v/>
      </c>
      <c r="AP306" s="124">
        <f>IF(OR(AA306="",I306=""),"",AA306-I306)</f>
        <v/>
      </c>
      <c r="AQ306" s="90">
        <f>IF(OR(AB306="",J306=""),"",AB306-J306)</f>
        <v/>
      </c>
      <c r="AR306" s="39" t="n"/>
      <c r="AS306" s="332" t="n"/>
      <c r="AT306" s="39" t="n"/>
    </row>
    <row r="307" ht="13.5" customHeight="1" s="279" thickBot="1">
      <c r="B307" s="295" t="n"/>
      <c r="C307" s="29" t="n"/>
      <c r="D307" s="191" t="n"/>
      <c r="E307" s="58" t="n"/>
      <c r="F307" s="194" t="n"/>
      <c r="G307" s="194" t="n"/>
      <c r="H307" s="194" t="n"/>
      <c r="I307" s="58" t="n"/>
      <c r="J307" s="58" t="n"/>
      <c r="K307" s="193" t="n"/>
      <c r="L307" s="357" t="n"/>
      <c r="M307" s="357" t="n"/>
      <c r="N307" s="58" t="n"/>
      <c r="O307" s="30" t="n"/>
      <c r="P307" s="58" t="n"/>
      <c r="Q307" s="30" t="n"/>
      <c r="R307" s="189" t="n"/>
      <c r="S307" s="301" t="n"/>
      <c r="T307" s="295" t="n"/>
      <c r="U307" s="29" t="n"/>
      <c r="V307" s="191" t="n"/>
      <c r="W307" s="58" t="n"/>
      <c r="X307" s="194" t="n"/>
      <c r="Y307" s="194" t="n"/>
      <c r="Z307" s="194" t="n"/>
      <c r="AA307" s="58" t="n"/>
      <c r="AB307" s="58" t="n"/>
      <c r="AC307" s="193" t="n"/>
      <c r="AD307" s="357" t="n"/>
      <c r="AE307" s="357" t="n"/>
      <c r="AF307" s="58" t="n"/>
      <c r="AG307" s="30" t="n"/>
      <c r="AH307" s="58" t="n"/>
      <c r="AI307" s="30" t="n"/>
      <c r="AJ307" s="189" t="n"/>
      <c r="AK307" s="212" t="n"/>
      <c r="AL307" s="295" t="n"/>
      <c r="AM307" s="125">
        <f>IF(OR(X307="",F307=""),"",X307-F307)</f>
        <v/>
      </c>
      <c r="AN307" s="126">
        <f>IF(OR(Y307="",G307=""),"",Y307-G307)</f>
        <v/>
      </c>
      <c r="AO307" s="126">
        <f>IF(OR(Z307="",H307=""),"",Z307-H307)</f>
        <v/>
      </c>
      <c r="AP307" s="126">
        <f>IF(OR(AA307="",I307=""),"",AA307-I307)</f>
        <v/>
      </c>
      <c r="AQ307" s="127">
        <f>IF(OR(AB307="",J307=""),"",AB307-J307)</f>
        <v/>
      </c>
      <c r="AR307" s="39" t="n"/>
      <c r="AS307" s="332" t="n"/>
      <c r="AT307" s="39" t="n"/>
    </row>
    <row r="308" ht="13.5" customHeight="1" s="279">
      <c r="B308" s="293" t="inlineStr">
        <is>
          <t>v55</t>
        </is>
      </c>
      <c r="C308" s="27" t="inlineStr">
        <is>
          <t>r01</t>
        </is>
      </c>
      <c r="D308" s="41" t="n"/>
      <c r="E308" s="57" t="n"/>
      <c r="F308" s="99" t="n"/>
      <c r="G308" s="99" t="n"/>
      <c r="H308" s="99" t="n"/>
      <c r="I308" s="62" t="n"/>
      <c r="J308" s="62" t="n"/>
      <c r="K308" s="63" t="n"/>
      <c r="L308" s="356" t="n"/>
      <c r="M308" s="356" t="n"/>
      <c r="N308" s="57" t="n"/>
      <c r="O308" s="28" t="n"/>
      <c r="P308" s="57" t="n"/>
      <c r="Q308" s="28" t="n"/>
      <c r="R308" s="134" t="n"/>
      <c r="S308" s="301" t="n"/>
      <c r="T308" s="293" t="inlineStr">
        <is>
          <t>v55</t>
        </is>
      </c>
      <c r="U308" s="27" t="inlineStr">
        <is>
          <t>r01</t>
        </is>
      </c>
      <c r="V308" s="41" t="n"/>
      <c r="W308" s="57" t="n"/>
      <c r="X308" s="99" t="n"/>
      <c r="Y308" s="99" t="n"/>
      <c r="Z308" s="99" t="n"/>
      <c r="AA308" s="62" t="n"/>
      <c r="AB308" s="62" t="n"/>
      <c r="AC308" s="63" t="n"/>
      <c r="AD308" s="356" t="n"/>
      <c r="AE308" s="356" t="n"/>
      <c r="AF308" s="57" t="n"/>
      <c r="AG308" s="28" t="n"/>
      <c r="AH308" s="57" t="n"/>
      <c r="AI308" s="28" t="n"/>
      <c r="AJ308" s="134" t="n"/>
      <c r="AK308" s="212" t="n"/>
      <c r="AL308" s="293" t="inlineStr">
        <is>
          <t>v55</t>
        </is>
      </c>
      <c r="AM308" s="122">
        <f>IF(OR(X308="",F308=""),"",X308-F308)</f>
        <v/>
      </c>
      <c r="AN308" s="98">
        <f>IF(OR(Y308="",G308=""),"",Y308-G308)</f>
        <v/>
      </c>
      <c r="AO308" s="98">
        <f>IF(OR(Z308="",H308=""),"",Z308-H308)</f>
        <v/>
      </c>
      <c r="AP308" s="98">
        <f>IF(OR(AA308="",I308=""),"",AA308-I308)</f>
        <v/>
      </c>
      <c r="AQ308" s="123">
        <f>IF(OR(AB308="",J308=""),"",AB308-J308)</f>
        <v/>
      </c>
      <c r="AR308" s="39" t="n"/>
      <c r="AS308" s="332" t="n"/>
      <c r="AT308" s="39" t="n"/>
    </row>
    <row r="309" ht="13.5" customHeight="1" s="279">
      <c r="B309" s="294" t="n"/>
      <c r="C309" s="29" t="inlineStr">
        <is>
          <t>r02</t>
        </is>
      </c>
      <c r="D309" s="191" t="n"/>
      <c r="E309" s="58" t="n"/>
      <c r="F309" s="192" t="n"/>
      <c r="G309" s="192" t="n"/>
      <c r="H309" s="192" t="n"/>
      <c r="I309" s="64" t="n"/>
      <c r="J309" s="64" t="n"/>
      <c r="K309" s="193" t="n"/>
      <c r="L309" s="357" t="n"/>
      <c r="M309" s="357" t="n"/>
      <c r="N309" s="58" t="n"/>
      <c r="O309" s="30" t="n"/>
      <c r="P309" s="58" t="n"/>
      <c r="Q309" s="30" t="n"/>
      <c r="R309" s="135" t="n"/>
      <c r="S309" s="301" t="n"/>
      <c r="T309" s="294" t="n"/>
      <c r="U309" s="29" t="inlineStr">
        <is>
          <t>r02</t>
        </is>
      </c>
      <c r="V309" s="191" t="n"/>
      <c r="W309" s="58" t="n"/>
      <c r="X309" s="192" t="n"/>
      <c r="Y309" s="192" t="n"/>
      <c r="Z309" s="192" t="n"/>
      <c r="AA309" s="64" t="n"/>
      <c r="AB309" s="64" t="n"/>
      <c r="AC309" s="193" t="n"/>
      <c r="AD309" s="357" t="n"/>
      <c r="AE309" s="357" t="n"/>
      <c r="AF309" s="58" t="n"/>
      <c r="AG309" s="30" t="n"/>
      <c r="AH309" s="58" t="n"/>
      <c r="AI309" s="30" t="n"/>
      <c r="AJ309" s="135" t="n"/>
      <c r="AK309" s="212" t="n"/>
      <c r="AL309" s="294" t="n"/>
      <c r="AM309" s="89">
        <f>IF(OR(X309="",F309=""),"",X309-F309)</f>
        <v/>
      </c>
      <c r="AN309" s="124">
        <f>IF(OR(Y309="",G309=""),"",Y309-G309)</f>
        <v/>
      </c>
      <c r="AO309" s="124">
        <f>IF(OR(Z309="",H309=""),"",Z309-H309)</f>
        <v/>
      </c>
      <c r="AP309" s="124">
        <f>IF(OR(AA309="",I309=""),"",AA309-I309)</f>
        <v/>
      </c>
      <c r="AQ309" s="90">
        <f>IF(OR(AB309="",J309=""),"",AB309-J309)</f>
        <v/>
      </c>
      <c r="AR309" s="39" t="n"/>
      <c r="AS309" s="332" t="n"/>
      <c r="AT309" s="39" t="n"/>
    </row>
    <row r="310" ht="13.5" customHeight="1" s="279">
      <c r="B310" s="294" t="n"/>
      <c r="C310" s="29" t="inlineStr">
        <is>
          <t>r03</t>
        </is>
      </c>
      <c r="D310" s="191" t="n"/>
      <c r="E310" s="58" t="n"/>
      <c r="F310" s="192" t="n"/>
      <c r="G310" s="192" t="n"/>
      <c r="H310" s="192" t="n"/>
      <c r="I310" s="64" t="n"/>
      <c r="J310" s="64" t="n"/>
      <c r="K310" s="193" t="n"/>
      <c r="L310" s="357" t="n"/>
      <c r="M310" s="357" t="n"/>
      <c r="N310" s="58" t="n"/>
      <c r="O310" s="30" t="n"/>
      <c r="P310" s="58" t="n"/>
      <c r="Q310" s="30" t="n"/>
      <c r="R310" s="135" t="n"/>
      <c r="S310" s="301" t="n"/>
      <c r="T310" s="294" t="n"/>
      <c r="U310" s="29" t="inlineStr">
        <is>
          <t>r03</t>
        </is>
      </c>
      <c r="V310" s="191" t="n"/>
      <c r="W310" s="58" t="n"/>
      <c r="X310" s="192" t="n"/>
      <c r="Y310" s="192" t="n"/>
      <c r="Z310" s="192" t="n"/>
      <c r="AA310" s="64" t="n"/>
      <c r="AB310" s="64" t="n"/>
      <c r="AC310" s="193" t="n"/>
      <c r="AD310" s="357" t="n"/>
      <c r="AE310" s="357" t="n"/>
      <c r="AF310" s="58" t="n"/>
      <c r="AG310" s="30" t="n"/>
      <c r="AH310" s="58" t="n"/>
      <c r="AI310" s="30" t="n"/>
      <c r="AJ310" s="135" t="n"/>
      <c r="AK310" s="212" t="n"/>
      <c r="AL310" s="294" t="n"/>
      <c r="AM310" s="89">
        <f>IF(OR(X310="",F310=""),"",X310-F310)</f>
        <v/>
      </c>
      <c r="AN310" s="124">
        <f>IF(OR(Y310="",G310=""),"",Y310-G310)</f>
        <v/>
      </c>
      <c r="AO310" s="124">
        <f>IF(OR(Z310="",H310=""),"",Z310-H310)</f>
        <v/>
      </c>
      <c r="AP310" s="124">
        <f>IF(OR(AA310="",I310=""),"",AA310-I310)</f>
        <v/>
      </c>
      <c r="AQ310" s="90">
        <f>IF(OR(AB310="",J310=""),"",AB310-J310)</f>
        <v/>
      </c>
      <c r="AR310" s="39" t="n"/>
      <c r="AS310" s="332" t="n"/>
      <c r="AT310" s="39" t="n"/>
    </row>
    <row r="311" ht="13.5" customHeight="1" s="279">
      <c r="B311" s="294" t="n"/>
      <c r="C311" s="29" t="inlineStr">
        <is>
          <t>r04</t>
        </is>
      </c>
      <c r="D311" s="191" t="n"/>
      <c r="E311" s="58" t="n"/>
      <c r="F311" s="192" t="n"/>
      <c r="G311" s="192" t="n"/>
      <c r="H311" s="192" t="n"/>
      <c r="I311" s="64" t="n"/>
      <c r="J311" s="64" t="n"/>
      <c r="K311" s="193" t="n"/>
      <c r="L311" s="357" t="n"/>
      <c r="M311" s="357" t="n"/>
      <c r="N311" s="58" t="n"/>
      <c r="O311" s="30" t="n"/>
      <c r="P311" s="58" t="n"/>
      <c r="Q311" s="30" t="n"/>
      <c r="R311" s="135" t="n"/>
      <c r="S311" s="301" t="n"/>
      <c r="T311" s="294" t="n"/>
      <c r="U311" s="29" t="inlineStr">
        <is>
          <t>r04</t>
        </is>
      </c>
      <c r="V311" s="191" t="n"/>
      <c r="W311" s="58" t="n"/>
      <c r="X311" s="192" t="n"/>
      <c r="Y311" s="192" t="n"/>
      <c r="Z311" s="192" t="n"/>
      <c r="AA311" s="64" t="n"/>
      <c r="AB311" s="64" t="n"/>
      <c r="AC311" s="193" t="n"/>
      <c r="AD311" s="357" t="n"/>
      <c r="AE311" s="357" t="n"/>
      <c r="AF311" s="58" t="n"/>
      <c r="AG311" s="30" t="n"/>
      <c r="AH311" s="58" t="n"/>
      <c r="AI311" s="30" t="n"/>
      <c r="AJ311" s="135" t="n"/>
      <c r="AK311" s="212" t="n"/>
      <c r="AL311" s="294" t="n"/>
      <c r="AM311" s="89">
        <f>IF(OR(X311="",F311=""),"",X311-F311)</f>
        <v/>
      </c>
      <c r="AN311" s="124">
        <f>IF(OR(Y311="",G311=""),"",Y311-G311)</f>
        <v/>
      </c>
      <c r="AO311" s="124">
        <f>IF(OR(Z311="",H311=""),"",Z311-H311)</f>
        <v/>
      </c>
      <c r="AP311" s="124">
        <f>IF(OR(AA311="",I311=""),"",AA311-I311)</f>
        <v/>
      </c>
      <c r="AQ311" s="90">
        <f>IF(OR(AB311="",J311=""),"",AB311-J311)</f>
        <v/>
      </c>
      <c r="AR311" s="39" t="n"/>
      <c r="AS311" s="332" t="n"/>
      <c r="AT311" s="39" t="n"/>
    </row>
    <row r="312" ht="13.5" customHeight="1" s="279" thickBot="1">
      <c r="B312" s="295" t="n"/>
      <c r="C312" s="29" t="n"/>
      <c r="D312" s="191" t="n"/>
      <c r="E312" s="58" t="n"/>
      <c r="F312" s="194" t="n"/>
      <c r="G312" s="194" t="n"/>
      <c r="H312" s="194" t="n"/>
      <c r="I312" s="58" t="n"/>
      <c r="J312" s="58" t="n"/>
      <c r="K312" s="193" t="n"/>
      <c r="L312" s="357" t="n"/>
      <c r="M312" s="357" t="n"/>
      <c r="N312" s="58" t="n"/>
      <c r="O312" s="30" t="n"/>
      <c r="P312" s="58" t="n"/>
      <c r="Q312" s="30" t="n"/>
      <c r="R312" s="189" t="n"/>
      <c r="S312" s="301" t="n"/>
      <c r="T312" s="295" t="n"/>
      <c r="U312" s="29" t="n"/>
      <c r="V312" s="191" t="n"/>
      <c r="W312" s="58" t="n"/>
      <c r="X312" s="194" t="n"/>
      <c r="Y312" s="194" t="n"/>
      <c r="Z312" s="194" t="n"/>
      <c r="AA312" s="58" t="n"/>
      <c r="AB312" s="58" t="n"/>
      <c r="AC312" s="193" t="n"/>
      <c r="AD312" s="357" t="n"/>
      <c r="AE312" s="357" t="n"/>
      <c r="AF312" s="58" t="n"/>
      <c r="AG312" s="30" t="n"/>
      <c r="AH312" s="58" t="n"/>
      <c r="AI312" s="30" t="n"/>
      <c r="AJ312" s="189" t="n"/>
      <c r="AK312" s="212" t="n"/>
      <c r="AL312" s="295" t="n"/>
      <c r="AM312" s="125">
        <f>IF(OR(X312="",F312=""),"",X312-F312)</f>
        <v/>
      </c>
      <c r="AN312" s="126">
        <f>IF(OR(Y312="",G312=""),"",Y312-G312)</f>
        <v/>
      </c>
      <c r="AO312" s="126">
        <f>IF(OR(Z312="",H312=""),"",Z312-H312)</f>
        <v/>
      </c>
      <c r="AP312" s="126">
        <f>IF(OR(AA312="",I312=""),"",AA312-I312)</f>
        <v/>
      </c>
      <c r="AQ312" s="127">
        <f>IF(OR(AB312="",J312=""),"",AB312-J312)</f>
        <v/>
      </c>
      <c r="AR312" s="39" t="n"/>
      <c r="AS312" s="332" t="n"/>
      <c r="AT312" s="39" t="n"/>
    </row>
    <row r="313" ht="13.5" customHeight="1" s="279">
      <c r="B313" s="293" t="inlineStr">
        <is>
          <t>v56</t>
        </is>
      </c>
      <c r="C313" s="27" t="inlineStr">
        <is>
          <t>r01</t>
        </is>
      </c>
      <c r="D313" s="41" t="n"/>
      <c r="E313" s="57" t="n"/>
      <c r="F313" s="99" t="n"/>
      <c r="G313" s="99" t="n"/>
      <c r="H313" s="99" t="n"/>
      <c r="I313" s="62" t="n"/>
      <c r="J313" s="62" t="n"/>
      <c r="K313" s="63" t="n"/>
      <c r="L313" s="356" t="n"/>
      <c r="M313" s="356" t="n"/>
      <c r="N313" s="57" t="n"/>
      <c r="O313" s="28" t="n"/>
      <c r="P313" s="57" t="n"/>
      <c r="Q313" s="28" t="n"/>
      <c r="R313" s="134" t="n"/>
      <c r="S313" s="301" t="n"/>
      <c r="T313" s="293" t="inlineStr">
        <is>
          <t>v56</t>
        </is>
      </c>
      <c r="U313" s="27" t="inlineStr">
        <is>
          <t>r01</t>
        </is>
      </c>
      <c r="V313" s="41" t="n"/>
      <c r="W313" s="57" t="n"/>
      <c r="X313" s="99" t="n"/>
      <c r="Y313" s="99" t="n"/>
      <c r="Z313" s="99" t="n"/>
      <c r="AA313" s="62" t="n"/>
      <c r="AB313" s="62" t="n"/>
      <c r="AC313" s="63" t="n"/>
      <c r="AD313" s="356" t="n"/>
      <c r="AE313" s="356" t="n"/>
      <c r="AF313" s="57" t="n"/>
      <c r="AG313" s="28" t="n"/>
      <c r="AH313" s="57" t="n"/>
      <c r="AI313" s="28" t="n"/>
      <c r="AJ313" s="134" t="n"/>
      <c r="AK313" s="212" t="n"/>
      <c r="AL313" s="293" t="inlineStr">
        <is>
          <t>v56</t>
        </is>
      </c>
      <c r="AM313" s="122">
        <f>IF(OR(X313="",F313=""),"",X313-F313)</f>
        <v/>
      </c>
      <c r="AN313" s="98">
        <f>IF(OR(Y313="",G313=""),"",Y313-G313)</f>
        <v/>
      </c>
      <c r="AO313" s="98">
        <f>IF(OR(Z313="",H313=""),"",Z313-H313)</f>
        <v/>
      </c>
      <c r="AP313" s="98">
        <f>IF(OR(AA313="",I313=""),"",AA313-I313)</f>
        <v/>
      </c>
      <c r="AQ313" s="123">
        <f>IF(OR(AB313="",J313=""),"",AB313-J313)</f>
        <v/>
      </c>
      <c r="AR313" s="39" t="n"/>
      <c r="AS313" s="332" t="n"/>
      <c r="AT313" s="39" t="n"/>
    </row>
    <row r="314" ht="13.5" customHeight="1" s="279">
      <c r="B314" s="294" t="n"/>
      <c r="C314" s="29" t="inlineStr">
        <is>
          <t>r02</t>
        </is>
      </c>
      <c r="D314" s="191" t="n"/>
      <c r="E314" s="58" t="n"/>
      <c r="F314" s="192" t="n"/>
      <c r="G314" s="192" t="n"/>
      <c r="H314" s="192" t="n"/>
      <c r="I314" s="64" t="n"/>
      <c r="J314" s="64" t="n"/>
      <c r="K314" s="193" t="n"/>
      <c r="L314" s="357" t="n"/>
      <c r="M314" s="357" t="n"/>
      <c r="N314" s="58" t="n"/>
      <c r="O314" s="30" t="n"/>
      <c r="P314" s="58" t="n"/>
      <c r="Q314" s="30" t="n"/>
      <c r="R314" s="135" t="n"/>
      <c r="S314" s="301" t="n"/>
      <c r="T314" s="294" t="n"/>
      <c r="U314" s="29" t="inlineStr">
        <is>
          <t>r02</t>
        </is>
      </c>
      <c r="V314" s="191" t="n"/>
      <c r="W314" s="58" t="n"/>
      <c r="X314" s="192" t="n"/>
      <c r="Y314" s="192" t="n"/>
      <c r="Z314" s="192" t="n"/>
      <c r="AA314" s="64" t="n"/>
      <c r="AB314" s="64" t="n"/>
      <c r="AC314" s="193" t="n"/>
      <c r="AD314" s="357" t="n"/>
      <c r="AE314" s="357" t="n"/>
      <c r="AF314" s="58" t="n"/>
      <c r="AG314" s="30" t="n"/>
      <c r="AH314" s="58" t="n"/>
      <c r="AI314" s="30" t="n"/>
      <c r="AJ314" s="135" t="n"/>
      <c r="AK314" s="212" t="n"/>
      <c r="AL314" s="294" t="n"/>
      <c r="AM314" s="89">
        <f>IF(OR(X314="",F314=""),"",X314-F314)</f>
        <v/>
      </c>
      <c r="AN314" s="124">
        <f>IF(OR(Y314="",G314=""),"",Y314-G314)</f>
        <v/>
      </c>
      <c r="AO314" s="124">
        <f>IF(OR(Z314="",H314=""),"",Z314-H314)</f>
        <v/>
      </c>
      <c r="AP314" s="124">
        <f>IF(OR(AA314="",I314=""),"",AA314-I314)</f>
        <v/>
      </c>
      <c r="AQ314" s="90">
        <f>IF(OR(AB314="",J314=""),"",AB314-J314)</f>
        <v/>
      </c>
      <c r="AR314" s="39" t="n"/>
      <c r="AS314" s="332" t="n"/>
      <c r="AT314" s="39" t="n"/>
    </row>
    <row r="315" ht="13.5" customHeight="1" s="279">
      <c r="B315" s="294" t="n"/>
      <c r="C315" s="29" t="inlineStr">
        <is>
          <t>r03</t>
        </is>
      </c>
      <c r="D315" s="191" t="n"/>
      <c r="E315" s="58" t="n"/>
      <c r="F315" s="192" t="n"/>
      <c r="G315" s="192" t="n"/>
      <c r="H315" s="192" t="n"/>
      <c r="I315" s="64" t="n"/>
      <c r="J315" s="64" t="n"/>
      <c r="K315" s="193" t="n"/>
      <c r="L315" s="357" t="n"/>
      <c r="M315" s="357" t="n"/>
      <c r="N315" s="58" t="n"/>
      <c r="O315" s="30" t="n"/>
      <c r="P315" s="58" t="n"/>
      <c r="Q315" s="30" t="n"/>
      <c r="R315" s="135" t="n"/>
      <c r="S315" s="301" t="n"/>
      <c r="T315" s="294" t="n"/>
      <c r="U315" s="29" t="inlineStr">
        <is>
          <t>r03</t>
        </is>
      </c>
      <c r="V315" s="191" t="n"/>
      <c r="W315" s="58" t="n"/>
      <c r="X315" s="192" t="n"/>
      <c r="Y315" s="192" t="n"/>
      <c r="Z315" s="192" t="n"/>
      <c r="AA315" s="64" t="n"/>
      <c r="AB315" s="64" t="n"/>
      <c r="AC315" s="193" t="n"/>
      <c r="AD315" s="357" t="n"/>
      <c r="AE315" s="357" t="n"/>
      <c r="AF315" s="58" t="n"/>
      <c r="AG315" s="30" t="n"/>
      <c r="AH315" s="58" t="n"/>
      <c r="AI315" s="30" t="n"/>
      <c r="AJ315" s="135" t="n"/>
      <c r="AK315" s="212" t="n"/>
      <c r="AL315" s="294" t="n"/>
      <c r="AM315" s="89">
        <f>IF(OR(X315="",F315=""),"",X315-F315)</f>
        <v/>
      </c>
      <c r="AN315" s="124">
        <f>IF(OR(Y315="",G315=""),"",Y315-G315)</f>
        <v/>
      </c>
      <c r="AO315" s="124">
        <f>IF(OR(Z315="",H315=""),"",Z315-H315)</f>
        <v/>
      </c>
      <c r="AP315" s="124">
        <f>IF(OR(AA315="",I315=""),"",AA315-I315)</f>
        <v/>
      </c>
      <c r="AQ315" s="90">
        <f>IF(OR(AB315="",J315=""),"",AB315-J315)</f>
        <v/>
      </c>
      <c r="AR315" s="39" t="n"/>
      <c r="AS315" s="332" t="n"/>
      <c r="AT315" s="39" t="n"/>
    </row>
    <row r="316" ht="13.5" customHeight="1" s="279">
      <c r="B316" s="294" t="n"/>
      <c r="C316" s="29" t="inlineStr">
        <is>
          <t>r04</t>
        </is>
      </c>
      <c r="D316" s="191" t="n"/>
      <c r="E316" s="58" t="n"/>
      <c r="F316" s="192" t="n"/>
      <c r="G316" s="192" t="n"/>
      <c r="H316" s="192" t="n"/>
      <c r="I316" s="64" t="n"/>
      <c r="J316" s="64" t="n"/>
      <c r="K316" s="193" t="n"/>
      <c r="L316" s="357" t="n"/>
      <c r="M316" s="357" t="n"/>
      <c r="N316" s="58" t="n"/>
      <c r="O316" s="30" t="n"/>
      <c r="P316" s="58" t="n"/>
      <c r="Q316" s="30" t="n"/>
      <c r="R316" s="135" t="n"/>
      <c r="S316" s="301" t="n"/>
      <c r="T316" s="294" t="n"/>
      <c r="U316" s="29" t="inlineStr">
        <is>
          <t>r04</t>
        </is>
      </c>
      <c r="V316" s="191" t="n"/>
      <c r="W316" s="58" t="n"/>
      <c r="X316" s="192" t="n"/>
      <c r="Y316" s="192" t="n"/>
      <c r="Z316" s="192" t="n"/>
      <c r="AA316" s="64" t="n"/>
      <c r="AB316" s="64" t="n"/>
      <c r="AC316" s="193" t="n"/>
      <c r="AD316" s="357" t="n"/>
      <c r="AE316" s="357" t="n"/>
      <c r="AF316" s="58" t="n"/>
      <c r="AG316" s="30" t="n"/>
      <c r="AH316" s="58" t="n"/>
      <c r="AI316" s="30" t="n"/>
      <c r="AJ316" s="135" t="n"/>
      <c r="AK316" s="212" t="n"/>
      <c r="AL316" s="294" t="n"/>
      <c r="AM316" s="89">
        <f>IF(OR(X316="",F316=""),"",X316-F316)</f>
        <v/>
      </c>
      <c r="AN316" s="124">
        <f>IF(OR(Y316="",G316=""),"",Y316-G316)</f>
        <v/>
      </c>
      <c r="AO316" s="124">
        <f>IF(OR(Z316="",H316=""),"",Z316-H316)</f>
        <v/>
      </c>
      <c r="AP316" s="124">
        <f>IF(OR(AA316="",I316=""),"",AA316-I316)</f>
        <v/>
      </c>
      <c r="AQ316" s="90">
        <f>IF(OR(AB316="",J316=""),"",AB316-J316)</f>
        <v/>
      </c>
      <c r="AR316" s="39" t="n"/>
      <c r="AS316" s="332" t="n"/>
      <c r="AT316" s="39" t="n"/>
    </row>
    <row r="317" ht="13.5" customHeight="1" s="279" thickBot="1">
      <c r="B317" s="295" t="n"/>
      <c r="C317" s="29" t="n"/>
      <c r="D317" s="191" t="n"/>
      <c r="E317" s="58" t="n"/>
      <c r="F317" s="194" t="n"/>
      <c r="G317" s="194" t="n"/>
      <c r="H317" s="194" t="n"/>
      <c r="I317" s="58" t="n"/>
      <c r="J317" s="58" t="n"/>
      <c r="K317" s="193" t="n"/>
      <c r="L317" s="357" t="n"/>
      <c r="M317" s="357" t="n"/>
      <c r="N317" s="58" t="n"/>
      <c r="O317" s="30" t="n"/>
      <c r="P317" s="58" t="n"/>
      <c r="Q317" s="30" t="n"/>
      <c r="R317" s="189" t="n"/>
      <c r="S317" s="301" t="n"/>
      <c r="T317" s="295" t="n"/>
      <c r="U317" s="29" t="n"/>
      <c r="V317" s="191" t="n"/>
      <c r="W317" s="58" t="n"/>
      <c r="X317" s="194" t="n"/>
      <c r="Y317" s="194" t="n"/>
      <c r="Z317" s="194" t="n"/>
      <c r="AA317" s="58" t="n"/>
      <c r="AB317" s="58" t="n"/>
      <c r="AC317" s="193" t="n"/>
      <c r="AD317" s="357" t="n"/>
      <c r="AE317" s="357" t="n"/>
      <c r="AF317" s="58" t="n"/>
      <c r="AG317" s="30" t="n"/>
      <c r="AH317" s="58" t="n"/>
      <c r="AI317" s="30" t="n"/>
      <c r="AJ317" s="189" t="n"/>
      <c r="AK317" s="212" t="n"/>
      <c r="AL317" s="295" t="n"/>
      <c r="AM317" s="125">
        <f>IF(OR(X317="",F317=""),"",X317-F317)</f>
        <v/>
      </c>
      <c r="AN317" s="126">
        <f>IF(OR(Y317="",G317=""),"",Y317-G317)</f>
        <v/>
      </c>
      <c r="AO317" s="126">
        <f>IF(OR(Z317="",H317=""),"",Z317-H317)</f>
        <v/>
      </c>
      <c r="AP317" s="126">
        <f>IF(OR(AA317="",I317=""),"",AA317-I317)</f>
        <v/>
      </c>
      <c r="AQ317" s="127">
        <f>IF(OR(AB317="",J317=""),"",AB317-J317)</f>
        <v/>
      </c>
      <c r="AR317" s="39" t="n"/>
      <c r="AS317" s="332" t="n"/>
      <c r="AT317" s="39" t="n"/>
    </row>
    <row r="318" ht="13.5" customHeight="1" s="279">
      <c r="B318" s="293" t="inlineStr">
        <is>
          <t>v57</t>
        </is>
      </c>
      <c r="C318" s="27" t="inlineStr">
        <is>
          <t>r01</t>
        </is>
      </c>
      <c r="D318" s="41" t="n"/>
      <c r="E318" s="57" t="n"/>
      <c r="F318" s="99" t="n"/>
      <c r="G318" s="99" t="n"/>
      <c r="H318" s="99" t="n"/>
      <c r="I318" s="62" t="n"/>
      <c r="J318" s="62" t="n"/>
      <c r="K318" s="63" t="n"/>
      <c r="L318" s="356" t="n"/>
      <c r="M318" s="356" t="n"/>
      <c r="N318" s="57" t="n"/>
      <c r="O318" s="28" t="n"/>
      <c r="P318" s="57" t="n"/>
      <c r="Q318" s="28" t="n"/>
      <c r="R318" s="134" t="n"/>
      <c r="S318" s="301" t="n"/>
      <c r="T318" s="293" t="inlineStr">
        <is>
          <t>v57</t>
        </is>
      </c>
      <c r="U318" s="27" t="inlineStr">
        <is>
          <t>r01</t>
        </is>
      </c>
      <c r="V318" s="41" t="n"/>
      <c r="W318" s="57" t="n"/>
      <c r="X318" s="99" t="n"/>
      <c r="Y318" s="99" t="n"/>
      <c r="Z318" s="99" t="n"/>
      <c r="AA318" s="62" t="n"/>
      <c r="AB318" s="62" t="n"/>
      <c r="AC318" s="63" t="n"/>
      <c r="AD318" s="356" t="n"/>
      <c r="AE318" s="356" t="n"/>
      <c r="AF318" s="57" t="n"/>
      <c r="AG318" s="28" t="n"/>
      <c r="AH318" s="57" t="n"/>
      <c r="AI318" s="28" t="n"/>
      <c r="AJ318" s="134" t="n"/>
      <c r="AK318" s="212" t="n"/>
      <c r="AL318" s="293" t="inlineStr">
        <is>
          <t>v57</t>
        </is>
      </c>
      <c r="AM318" s="122">
        <f>IF(OR(X318="",F318=""),"",X318-F318)</f>
        <v/>
      </c>
      <c r="AN318" s="98">
        <f>IF(OR(Y318="",G318=""),"",Y318-G318)</f>
        <v/>
      </c>
      <c r="AO318" s="98">
        <f>IF(OR(Z318="",H318=""),"",Z318-H318)</f>
        <v/>
      </c>
      <c r="AP318" s="98">
        <f>IF(OR(AA318="",I318=""),"",AA318-I318)</f>
        <v/>
      </c>
      <c r="AQ318" s="123">
        <f>IF(OR(AB318="",J318=""),"",AB318-J318)</f>
        <v/>
      </c>
      <c r="AR318" s="39" t="n"/>
      <c r="AS318" s="332" t="n"/>
      <c r="AT318" s="39" t="n"/>
    </row>
    <row r="319" ht="13.5" customHeight="1" s="279">
      <c r="B319" s="294" t="n"/>
      <c r="C319" s="29" t="inlineStr">
        <is>
          <t>r02</t>
        </is>
      </c>
      <c r="D319" s="191" t="n"/>
      <c r="E319" s="58" t="n"/>
      <c r="F319" s="192" t="n"/>
      <c r="G319" s="192" t="n"/>
      <c r="H319" s="192" t="n"/>
      <c r="I319" s="64" t="n"/>
      <c r="J319" s="64" t="n"/>
      <c r="K319" s="193" t="n"/>
      <c r="L319" s="357" t="n"/>
      <c r="M319" s="357" t="n"/>
      <c r="N319" s="58" t="n"/>
      <c r="O319" s="30" t="n"/>
      <c r="P319" s="58" t="n"/>
      <c r="Q319" s="30" t="n"/>
      <c r="R319" s="135" t="n"/>
      <c r="S319" s="301" t="n"/>
      <c r="T319" s="294" t="n"/>
      <c r="U319" s="29" t="inlineStr">
        <is>
          <t>r02</t>
        </is>
      </c>
      <c r="V319" s="191" t="n"/>
      <c r="W319" s="58" t="n"/>
      <c r="X319" s="192" t="n"/>
      <c r="Y319" s="192" t="n"/>
      <c r="Z319" s="192" t="n"/>
      <c r="AA319" s="64" t="n"/>
      <c r="AB319" s="64" t="n"/>
      <c r="AC319" s="193" t="n"/>
      <c r="AD319" s="357" t="n"/>
      <c r="AE319" s="357" t="n"/>
      <c r="AF319" s="58" t="n"/>
      <c r="AG319" s="30" t="n"/>
      <c r="AH319" s="58" t="n"/>
      <c r="AI319" s="30" t="n"/>
      <c r="AJ319" s="135" t="n"/>
      <c r="AK319" s="212" t="n"/>
      <c r="AL319" s="294" t="n"/>
      <c r="AM319" s="89">
        <f>IF(OR(X319="",F319=""),"",X319-F319)</f>
        <v/>
      </c>
      <c r="AN319" s="124">
        <f>IF(OR(Y319="",G319=""),"",Y319-G319)</f>
        <v/>
      </c>
      <c r="AO319" s="124">
        <f>IF(OR(Z319="",H319=""),"",Z319-H319)</f>
        <v/>
      </c>
      <c r="AP319" s="124">
        <f>IF(OR(AA319="",I319=""),"",AA319-I319)</f>
        <v/>
      </c>
      <c r="AQ319" s="90">
        <f>IF(OR(AB319="",J319=""),"",AB319-J319)</f>
        <v/>
      </c>
      <c r="AR319" s="39" t="n"/>
      <c r="AS319" s="332" t="n"/>
      <c r="AT319" s="39" t="n"/>
    </row>
    <row r="320" ht="13.5" customHeight="1" s="279">
      <c r="B320" s="294" t="n"/>
      <c r="C320" s="29" t="inlineStr">
        <is>
          <t>r03</t>
        </is>
      </c>
      <c r="D320" s="191" t="n"/>
      <c r="E320" s="58" t="n"/>
      <c r="F320" s="192" t="n"/>
      <c r="G320" s="192" t="n"/>
      <c r="H320" s="192" t="n"/>
      <c r="I320" s="64" t="n"/>
      <c r="J320" s="64" t="n"/>
      <c r="K320" s="193" t="n"/>
      <c r="L320" s="357" t="n"/>
      <c r="M320" s="357" t="n"/>
      <c r="N320" s="58" t="n"/>
      <c r="O320" s="30" t="n"/>
      <c r="P320" s="58" t="n"/>
      <c r="Q320" s="30" t="n"/>
      <c r="R320" s="135" t="n"/>
      <c r="S320" s="301" t="n"/>
      <c r="T320" s="294" t="n"/>
      <c r="U320" s="29" t="inlineStr">
        <is>
          <t>r03</t>
        </is>
      </c>
      <c r="V320" s="191" t="n"/>
      <c r="W320" s="58" t="n"/>
      <c r="X320" s="192" t="n"/>
      <c r="Y320" s="192" t="n"/>
      <c r="Z320" s="192" t="n"/>
      <c r="AA320" s="64" t="n"/>
      <c r="AB320" s="64" t="n"/>
      <c r="AC320" s="193" t="n"/>
      <c r="AD320" s="357" t="n"/>
      <c r="AE320" s="357" t="n"/>
      <c r="AF320" s="58" t="n"/>
      <c r="AG320" s="30" t="n"/>
      <c r="AH320" s="58" t="n"/>
      <c r="AI320" s="30" t="n"/>
      <c r="AJ320" s="135" t="n"/>
      <c r="AK320" s="212" t="n"/>
      <c r="AL320" s="294" t="n"/>
      <c r="AM320" s="89">
        <f>IF(OR(X320="",F320=""),"",X320-F320)</f>
        <v/>
      </c>
      <c r="AN320" s="124">
        <f>IF(OR(Y320="",G320=""),"",Y320-G320)</f>
        <v/>
      </c>
      <c r="AO320" s="124">
        <f>IF(OR(Z320="",H320=""),"",Z320-H320)</f>
        <v/>
      </c>
      <c r="AP320" s="124">
        <f>IF(OR(AA320="",I320=""),"",AA320-I320)</f>
        <v/>
      </c>
      <c r="AQ320" s="90">
        <f>IF(OR(AB320="",J320=""),"",AB320-J320)</f>
        <v/>
      </c>
      <c r="AR320" s="39" t="n"/>
      <c r="AS320" s="332" t="n"/>
      <c r="AT320" s="39" t="n"/>
    </row>
    <row r="321" ht="13.5" customHeight="1" s="279">
      <c r="B321" s="294" t="n"/>
      <c r="C321" s="29" t="inlineStr">
        <is>
          <t>r04</t>
        </is>
      </c>
      <c r="D321" s="191" t="n"/>
      <c r="E321" s="58" t="n"/>
      <c r="F321" s="192" t="n"/>
      <c r="G321" s="192" t="n"/>
      <c r="H321" s="192" t="n"/>
      <c r="I321" s="64" t="n"/>
      <c r="J321" s="64" t="n"/>
      <c r="K321" s="193" t="n"/>
      <c r="L321" s="357" t="n"/>
      <c r="M321" s="357" t="n"/>
      <c r="N321" s="58" t="n"/>
      <c r="O321" s="30" t="n"/>
      <c r="P321" s="58" t="n"/>
      <c r="Q321" s="30" t="n"/>
      <c r="R321" s="135" t="n"/>
      <c r="S321" s="301" t="n"/>
      <c r="T321" s="294" t="n"/>
      <c r="U321" s="29" t="inlineStr">
        <is>
          <t>r04</t>
        </is>
      </c>
      <c r="V321" s="191" t="n"/>
      <c r="W321" s="58" t="n"/>
      <c r="X321" s="192" t="n"/>
      <c r="Y321" s="192" t="n"/>
      <c r="Z321" s="192" t="n"/>
      <c r="AA321" s="64" t="n"/>
      <c r="AB321" s="64" t="n"/>
      <c r="AC321" s="193" t="n"/>
      <c r="AD321" s="357" t="n"/>
      <c r="AE321" s="357" t="n"/>
      <c r="AF321" s="58" t="n"/>
      <c r="AG321" s="30" t="n"/>
      <c r="AH321" s="58" t="n"/>
      <c r="AI321" s="30" t="n"/>
      <c r="AJ321" s="135" t="n"/>
      <c r="AK321" s="212" t="n"/>
      <c r="AL321" s="294" t="n"/>
      <c r="AM321" s="89">
        <f>IF(OR(X321="",F321=""),"",X321-F321)</f>
        <v/>
      </c>
      <c r="AN321" s="124">
        <f>IF(OR(Y321="",G321=""),"",Y321-G321)</f>
        <v/>
      </c>
      <c r="AO321" s="124">
        <f>IF(OR(Z321="",H321=""),"",Z321-H321)</f>
        <v/>
      </c>
      <c r="AP321" s="124">
        <f>IF(OR(AA321="",I321=""),"",AA321-I321)</f>
        <v/>
      </c>
      <c r="AQ321" s="90">
        <f>IF(OR(AB321="",J321=""),"",AB321-J321)</f>
        <v/>
      </c>
      <c r="AR321" s="39" t="n"/>
      <c r="AS321" s="332" t="n"/>
      <c r="AT321" s="39" t="n"/>
    </row>
    <row r="322" ht="13.5" customHeight="1" s="279" thickBot="1">
      <c r="B322" s="295" t="n"/>
      <c r="C322" s="29" t="n"/>
      <c r="D322" s="191" t="n"/>
      <c r="E322" s="58" t="n"/>
      <c r="F322" s="194" t="n"/>
      <c r="G322" s="194" t="n"/>
      <c r="H322" s="194" t="n"/>
      <c r="I322" s="58" t="n"/>
      <c r="J322" s="58" t="n"/>
      <c r="K322" s="193" t="n"/>
      <c r="L322" s="357" t="n"/>
      <c r="M322" s="357" t="n"/>
      <c r="N322" s="58" t="n"/>
      <c r="O322" s="30" t="n"/>
      <c r="P322" s="58" t="n"/>
      <c r="Q322" s="30" t="n"/>
      <c r="R322" s="189" t="n"/>
      <c r="S322" s="301" t="n"/>
      <c r="T322" s="295" t="n"/>
      <c r="U322" s="29" t="n"/>
      <c r="V322" s="191" t="n"/>
      <c r="W322" s="58" t="n"/>
      <c r="X322" s="194" t="n"/>
      <c r="Y322" s="194" t="n"/>
      <c r="Z322" s="194" t="n"/>
      <c r="AA322" s="58" t="n"/>
      <c r="AB322" s="58" t="n"/>
      <c r="AC322" s="193" t="n"/>
      <c r="AD322" s="357" t="n"/>
      <c r="AE322" s="357" t="n"/>
      <c r="AF322" s="58" t="n"/>
      <c r="AG322" s="30" t="n"/>
      <c r="AH322" s="58" t="n"/>
      <c r="AI322" s="30" t="n"/>
      <c r="AJ322" s="189" t="n"/>
      <c r="AK322" s="212" t="n"/>
      <c r="AL322" s="295" t="n"/>
      <c r="AM322" s="125">
        <f>IF(OR(X322="",F322=""),"",X322-F322)</f>
        <v/>
      </c>
      <c r="AN322" s="126">
        <f>IF(OR(Y322="",G322=""),"",Y322-G322)</f>
        <v/>
      </c>
      <c r="AO322" s="126">
        <f>IF(OR(Z322="",H322=""),"",Z322-H322)</f>
        <v/>
      </c>
      <c r="AP322" s="126">
        <f>IF(OR(AA322="",I322=""),"",AA322-I322)</f>
        <v/>
      </c>
      <c r="AQ322" s="127">
        <f>IF(OR(AB322="",J322=""),"",AB322-J322)</f>
        <v/>
      </c>
      <c r="AR322" s="39" t="n"/>
      <c r="AS322" s="332" t="n"/>
      <c r="AT322" s="39" t="n"/>
    </row>
    <row r="323" ht="13.5" customHeight="1" s="279">
      <c r="B323" s="293" t="inlineStr">
        <is>
          <t>v58</t>
        </is>
      </c>
      <c r="C323" s="27" t="inlineStr">
        <is>
          <t>r01</t>
        </is>
      </c>
      <c r="D323" s="41" t="n"/>
      <c r="E323" s="57" t="n"/>
      <c r="F323" s="99" t="n"/>
      <c r="G323" s="99" t="n"/>
      <c r="H323" s="99" t="n"/>
      <c r="I323" s="62" t="n"/>
      <c r="J323" s="62" t="n"/>
      <c r="K323" s="63" t="n"/>
      <c r="L323" s="356" t="n"/>
      <c r="M323" s="356" t="n"/>
      <c r="N323" s="57" t="n"/>
      <c r="O323" s="28" t="n"/>
      <c r="P323" s="57" t="n"/>
      <c r="Q323" s="28" t="n"/>
      <c r="R323" s="134" t="n"/>
      <c r="S323" s="301" t="n"/>
      <c r="T323" s="293" t="inlineStr">
        <is>
          <t>v58</t>
        </is>
      </c>
      <c r="U323" s="27" t="inlineStr">
        <is>
          <t>r01</t>
        </is>
      </c>
      <c r="V323" s="41" t="n"/>
      <c r="W323" s="57" t="n"/>
      <c r="X323" s="99" t="n"/>
      <c r="Y323" s="99" t="n"/>
      <c r="Z323" s="99" t="n"/>
      <c r="AA323" s="62" t="n"/>
      <c r="AB323" s="62" t="n"/>
      <c r="AC323" s="63" t="n"/>
      <c r="AD323" s="356" t="n"/>
      <c r="AE323" s="356" t="n"/>
      <c r="AF323" s="57" t="n"/>
      <c r="AG323" s="28" t="n"/>
      <c r="AH323" s="57" t="n"/>
      <c r="AI323" s="28" t="n"/>
      <c r="AJ323" s="134" t="n"/>
      <c r="AK323" s="212" t="n"/>
      <c r="AL323" s="293" t="inlineStr">
        <is>
          <t>v58</t>
        </is>
      </c>
      <c r="AM323" s="122">
        <f>IF(OR(X323="",F323=""),"",X323-F323)</f>
        <v/>
      </c>
      <c r="AN323" s="98">
        <f>IF(OR(Y323="",G323=""),"",Y323-G323)</f>
        <v/>
      </c>
      <c r="AO323" s="98">
        <f>IF(OR(Z323="",H323=""),"",Z323-H323)</f>
        <v/>
      </c>
      <c r="AP323" s="98">
        <f>IF(OR(AA323="",I323=""),"",AA323-I323)</f>
        <v/>
      </c>
      <c r="AQ323" s="123">
        <f>IF(OR(AB323="",J323=""),"",AB323-J323)</f>
        <v/>
      </c>
      <c r="AR323" s="39" t="n"/>
      <c r="AS323" s="332" t="n"/>
      <c r="AT323" s="39" t="n"/>
    </row>
    <row r="324" ht="13.5" customHeight="1" s="279">
      <c r="B324" s="294" t="n"/>
      <c r="C324" s="29" t="inlineStr">
        <is>
          <t>r02</t>
        </is>
      </c>
      <c r="D324" s="191" t="n"/>
      <c r="E324" s="58" t="n"/>
      <c r="F324" s="192" t="n"/>
      <c r="G324" s="192" t="n"/>
      <c r="H324" s="192" t="n"/>
      <c r="I324" s="64" t="n"/>
      <c r="J324" s="64" t="n"/>
      <c r="K324" s="193" t="n"/>
      <c r="L324" s="357" t="n"/>
      <c r="M324" s="357" t="n"/>
      <c r="N324" s="58" t="n"/>
      <c r="O324" s="30" t="n"/>
      <c r="P324" s="58" t="n"/>
      <c r="Q324" s="30" t="n"/>
      <c r="R324" s="135" t="n"/>
      <c r="S324" s="301" t="n"/>
      <c r="T324" s="294" t="n"/>
      <c r="U324" s="29" t="inlineStr">
        <is>
          <t>r02</t>
        </is>
      </c>
      <c r="V324" s="191" t="n"/>
      <c r="W324" s="58" t="n"/>
      <c r="X324" s="192" t="n"/>
      <c r="Y324" s="192" t="n"/>
      <c r="Z324" s="192" t="n"/>
      <c r="AA324" s="64" t="n"/>
      <c r="AB324" s="64" t="n"/>
      <c r="AC324" s="193" t="n"/>
      <c r="AD324" s="357" t="n"/>
      <c r="AE324" s="357" t="n"/>
      <c r="AF324" s="58" t="n"/>
      <c r="AG324" s="30" t="n"/>
      <c r="AH324" s="58" t="n"/>
      <c r="AI324" s="30" t="n"/>
      <c r="AJ324" s="135" t="n"/>
      <c r="AK324" s="212" t="n"/>
      <c r="AL324" s="294" t="n"/>
      <c r="AM324" s="89">
        <f>IF(OR(X324="",F324=""),"",X324-F324)</f>
        <v/>
      </c>
      <c r="AN324" s="124">
        <f>IF(OR(Y324="",G324=""),"",Y324-G324)</f>
        <v/>
      </c>
      <c r="AO324" s="124">
        <f>IF(OR(Z324="",H324=""),"",Z324-H324)</f>
        <v/>
      </c>
      <c r="AP324" s="124">
        <f>IF(OR(AA324="",I324=""),"",AA324-I324)</f>
        <v/>
      </c>
      <c r="AQ324" s="90">
        <f>IF(OR(AB324="",J324=""),"",AB324-J324)</f>
        <v/>
      </c>
      <c r="AR324" s="39" t="n"/>
      <c r="AS324" s="332" t="n"/>
      <c r="AT324" s="39" t="n"/>
    </row>
    <row r="325" ht="13.5" customHeight="1" s="279">
      <c r="B325" s="294" t="n"/>
      <c r="C325" s="29" t="inlineStr">
        <is>
          <t>r03</t>
        </is>
      </c>
      <c r="D325" s="191" t="n"/>
      <c r="E325" s="58" t="n"/>
      <c r="F325" s="192" t="n"/>
      <c r="G325" s="192" t="n"/>
      <c r="H325" s="192" t="n"/>
      <c r="I325" s="64" t="n"/>
      <c r="J325" s="64" t="n"/>
      <c r="K325" s="193" t="n"/>
      <c r="L325" s="357" t="n"/>
      <c r="M325" s="357" t="n"/>
      <c r="N325" s="58" t="n"/>
      <c r="O325" s="30" t="n"/>
      <c r="P325" s="58" t="n"/>
      <c r="Q325" s="30" t="n"/>
      <c r="R325" s="135" t="n"/>
      <c r="S325" s="301" t="n"/>
      <c r="T325" s="294" t="n"/>
      <c r="U325" s="29" t="inlineStr">
        <is>
          <t>r03</t>
        </is>
      </c>
      <c r="V325" s="191" t="n"/>
      <c r="W325" s="58" t="n"/>
      <c r="X325" s="192" t="n"/>
      <c r="Y325" s="192" t="n"/>
      <c r="Z325" s="192" t="n"/>
      <c r="AA325" s="64" t="n"/>
      <c r="AB325" s="64" t="n"/>
      <c r="AC325" s="193" t="n"/>
      <c r="AD325" s="357" t="n"/>
      <c r="AE325" s="357" t="n"/>
      <c r="AF325" s="58" t="n"/>
      <c r="AG325" s="30" t="n"/>
      <c r="AH325" s="58" t="n"/>
      <c r="AI325" s="30" t="n"/>
      <c r="AJ325" s="135" t="n"/>
      <c r="AK325" s="212" t="n"/>
      <c r="AL325" s="294" t="n"/>
      <c r="AM325" s="89">
        <f>IF(OR(X325="",F325=""),"",X325-F325)</f>
        <v/>
      </c>
      <c r="AN325" s="124">
        <f>IF(OR(Y325="",G325=""),"",Y325-G325)</f>
        <v/>
      </c>
      <c r="AO325" s="124">
        <f>IF(OR(Z325="",H325=""),"",Z325-H325)</f>
        <v/>
      </c>
      <c r="AP325" s="124">
        <f>IF(OR(AA325="",I325=""),"",AA325-I325)</f>
        <v/>
      </c>
      <c r="AQ325" s="90">
        <f>IF(OR(AB325="",J325=""),"",AB325-J325)</f>
        <v/>
      </c>
      <c r="AR325" s="39" t="n"/>
      <c r="AS325" s="332" t="n"/>
      <c r="AT325" s="39" t="n"/>
    </row>
    <row r="326" ht="13.5" customHeight="1" s="279">
      <c r="B326" s="294" t="n"/>
      <c r="C326" s="29" t="inlineStr">
        <is>
          <t>r04</t>
        </is>
      </c>
      <c r="D326" s="191" t="n"/>
      <c r="E326" s="58" t="n"/>
      <c r="F326" s="192" t="n"/>
      <c r="G326" s="192" t="n"/>
      <c r="H326" s="192" t="n"/>
      <c r="I326" s="64" t="n"/>
      <c r="J326" s="64" t="n"/>
      <c r="K326" s="193" t="n"/>
      <c r="L326" s="357" t="n"/>
      <c r="M326" s="357" t="n"/>
      <c r="N326" s="58" t="n"/>
      <c r="O326" s="30" t="n"/>
      <c r="P326" s="58" t="n"/>
      <c r="Q326" s="30" t="n"/>
      <c r="R326" s="135" t="n"/>
      <c r="S326" s="301" t="n"/>
      <c r="T326" s="294" t="n"/>
      <c r="U326" s="29" t="inlineStr">
        <is>
          <t>r04</t>
        </is>
      </c>
      <c r="V326" s="191" t="n"/>
      <c r="W326" s="58" t="n"/>
      <c r="X326" s="192" t="n"/>
      <c r="Y326" s="192" t="n"/>
      <c r="Z326" s="192" t="n"/>
      <c r="AA326" s="64" t="n"/>
      <c r="AB326" s="64" t="n"/>
      <c r="AC326" s="193" t="n"/>
      <c r="AD326" s="357" t="n"/>
      <c r="AE326" s="357" t="n"/>
      <c r="AF326" s="58" t="n"/>
      <c r="AG326" s="30" t="n"/>
      <c r="AH326" s="58" t="n"/>
      <c r="AI326" s="30" t="n"/>
      <c r="AJ326" s="135" t="n"/>
      <c r="AK326" s="212" t="n"/>
      <c r="AL326" s="294" t="n"/>
      <c r="AM326" s="89">
        <f>IF(OR(X326="",F326=""),"",X326-F326)</f>
        <v/>
      </c>
      <c r="AN326" s="124">
        <f>IF(OR(Y326="",G326=""),"",Y326-G326)</f>
        <v/>
      </c>
      <c r="AO326" s="124">
        <f>IF(OR(Z326="",H326=""),"",Z326-H326)</f>
        <v/>
      </c>
      <c r="AP326" s="124">
        <f>IF(OR(AA326="",I326=""),"",AA326-I326)</f>
        <v/>
      </c>
      <c r="AQ326" s="90">
        <f>IF(OR(AB326="",J326=""),"",AB326-J326)</f>
        <v/>
      </c>
      <c r="AR326" s="39" t="n"/>
      <c r="AS326" s="332" t="n"/>
      <c r="AT326" s="39" t="n"/>
    </row>
    <row r="327" ht="13.5" customHeight="1" s="279" thickBot="1">
      <c r="B327" s="295" t="n"/>
      <c r="C327" s="29" t="n"/>
      <c r="D327" s="191" t="n"/>
      <c r="E327" s="58" t="n"/>
      <c r="F327" s="194" t="n"/>
      <c r="G327" s="194" t="n"/>
      <c r="H327" s="194" t="n"/>
      <c r="I327" s="58" t="n"/>
      <c r="J327" s="58" t="n"/>
      <c r="K327" s="193" t="n"/>
      <c r="L327" s="357" t="n"/>
      <c r="M327" s="357" t="n"/>
      <c r="N327" s="58" t="n"/>
      <c r="O327" s="30" t="n"/>
      <c r="P327" s="58" t="n"/>
      <c r="Q327" s="30" t="n"/>
      <c r="R327" s="189" t="n"/>
      <c r="S327" s="301" t="n"/>
      <c r="T327" s="295" t="n"/>
      <c r="U327" s="29" t="n"/>
      <c r="V327" s="191" t="n"/>
      <c r="W327" s="58" t="n"/>
      <c r="X327" s="194" t="n"/>
      <c r="Y327" s="194" t="n"/>
      <c r="Z327" s="194" t="n"/>
      <c r="AA327" s="58" t="n"/>
      <c r="AB327" s="58" t="n"/>
      <c r="AC327" s="193" t="n"/>
      <c r="AD327" s="357" t="n"/>
      <c r="AE327" s="357" t="n"/>
      <c r="AF327" s="58" t="n"/>
      <c r="AG327" s="30" t="n"/>
      <c r="AH327" s="58" t="n"/>
      <c r="AI327" s="30" t="n"/>
      <c r="AJ327" s="189" t="n"/>
      <c r="AK327" s="212" t="n"/>
      <c r="AL327" s="295" t="n"/>
      <c r="AM327" s="125">
        <f>IF(OR(X327="",F327=""),"",X327-F327)</f>
        <v/>
      </c>
      <c r="AN327" s="126">
        <f>IF(OR(Y327="",G327=""),"",Y327-G327)</f>
        <v/>
      </c>
      <c r="AO327" s="126">
        <f>IF(OR(Z327="",H327=""),"",Z327-H327)</f>
        <v/>
      </c>
      <c r="AP327" s="126">
        <f>IF(OR(AA327="",I327=""),"",AA327-I327)</f>
        <v/>
      </c>
      <c r="AQ327" s="127">
        <f>IF(OR(AB327="",J327=""),"",AB327-J327)</f>
        <v/>
      </c>
      <c r="AR327" s="39" t="n"/>
      <c r="AS327" s="332" t="n"/>
      <c r="AT327" s="39" t="n"/>
    </row>
    <row r="328" ht="13.5" customHeight="1" s="279">
      <c r="B328" s="293" t="inlineStr">
        <is>
          <t>v59</t>
        </is>
      </c>
      <c r="C328" s="27" t="inlineStr">
        <is>
          <t>r01</t>
        </is>
      </c>
      <c r="D328" s="41" t="n"/>
      <c r="E328" s="57" t="n"/>
      <c r="F328" s="99" t="n"/>
      <c r="G328" s="99" t="n"/>
      <c r="H328" s="99" t="n"/>
      <c r="I328" s="62" t="n"/>
      <c r="J328" s="62" t="n"/>
      <c r="K328" s="63" t="n"/>
      <c r="L328" s="356" t="n"/>
      <c r="M328" s="356" t="n"/>
      <c r="N328" s="57" t="n"/>
      <c r="O328" s="28" t="n"/>
      <c r="P328" s="57" t="n"/>
      <c r="Q328" s="28" t="n"/>
      <c r="R328" s="134" t="n"/>
      <c r="S328" s="301" t="n"/>
      <c r="T328" s="293" t="inlineStr">
        <is>
          <t>v59</t>
        </is>
      </c>
      <c r="U328" s="27" t="inlineStr">
        <is>
          <t>r01</t>
        </is>
      </c>
      <c r="V328" s="41" t="n"/>
      <c r="W328" s="57" t="n"/>
      <c r="X328" s="99" t="n"/>
      <c r="Y328" s="99" t="n"/>
      <c r="Z328" s="99" t="n"/>
      <c r="AA328" s="62" t="n"/>
      <c r="AB328" s="62" t="n"/>
      <c r="AC328" s="63" t="n"/>
      <c r="AD328" s="356" t="n"/>
      <c r="AE328" s="356" t="n"/>
      <c r="AF328" s="57" t="n"/>
      <c r="AG328" s="28" t="n"/>
      <c r="AH328" s="57" t="n"/>
      <c r="AI328" s="28" t="n"/>
      <c r="AJ328" s="134" t="n"/>
      <c r="AK328" s="212" t="n"/>
      <c r="AL328" s="293" t="inlineStr">
        <is>
          <t>v59</t>
        </is>
      </c>
      <c r="AM328" s="122">
        <f>IF(OR(X328="",F328=""),"",X328-F328)</f>
        <v/>
      </c>
      <c r="AN328" s="98">
        <f>IF(OR(Y328="",G328=""),"",Y328-G328)</f>
        <v/>
      </c>
      <c r="AO328" s="98">
        <f>IF(OR(Z328="",H328=""),"",Z328-H328)</f>
        <v/>
      </c>
      <c r="AP328" s="98">
        <f>IF(OR(AA328="",I328=""),"",AA328-I328)</f>
        <v/>
      </c>
      <c r="AQ328" s="123">
        <f>IF(OR(AB328="",J328=""),"",AB328-J328)</f>
        <v/>
      </c>
      <c r="AR328" s="39" t="n"/>
      <c r="AS328" s="332" t="n"/>
      <c r="AT328" s="39" t="n"/>
    </row>
    <row r="329" ht="13.5" customHeight="1" s="279">
      <c r="B329" s="294" t="n"/>
      <c r="C329" s="29" t="inlineStr">
        <is>
          <t>r02</t>
        </is>
      </c>
      <c r="D329" s="191" t="n"/>
      <c r="E329" s="58" t="n"/>
      <c r="F329" s="192" t="n"/>
      <c r="G329" s="192" t="n"/>
      <c r="H329" s="192" t="n"/>
      <c r="I329" s="64" t="n"/>
      <c r="J329" s="64" t="n"/>
      <c r="K329" s="193" t="n"/>
      <c r="L329" s="357" t="n"/>
      <c r="M329" s="357" t="n"/>
      <c r="N329" s="58" t="n"/>
      <c r="O329" s="30" t="n"/>
      <c r="P329" s="58" t="n"/>
      <c r="Q329" s="30" t="n"/>
      <c r="R329" s="135" t="n"/>
      <c r="S329" s="301" t="n"/>
      <c r="T329" s="294" t="n"/>
      <c r="U329" s="29" t="inlineStr">
        <is>
          <t>r02</t>
        </is>
      </c>
      <c r="V329" s="191" t="n"/>
      <c r="W329" s="58" t="n"/>
      <c r="X329" s="192" t="n"/>
      <c r="Y329" s="192" t="n"/>
      <c r="Z329" s="192" t="n"/>
      <c r="AA329" s="64" t="n"/>
      <c r="AB329" s="64" t="n"/>
      <c r="AC329" s="193" t="n"/>
      <c r="AD329" s="357" t="n"/>
      <c r="AE329" s="357" t="n"/>
      <c r="AF329" s="58" t="n"/>
      <c r="AG329" s="30" t="n"/>
      <c r="AH329" s="58" t="n"/>
      <c r="AI329" s="30" t="n"/>
      <c r="AJ329" s="135" t="n"/>
      <c r="AK329" s="212" t="n"/>
      <c r="AL329" s="294" t="n"/>
      <c r="AM329" s="89">
        <f>IF(OR(X329="",F329=""),"",X329-F329)</f>
        <v/>
      </c>
      <c r="AN329" s="124">
        <f>IF(OR(Y329="",G329=""),"",Y329-G329)</f>
        <v/>
      </c>
      <c r="AO329" s="124">
        <f>IF(OR(Z329="",H329=""),"",Z329-H329)</f>
        <v/>
      </c>
      <c r="AP329" s="124">
        <f>IF(OR(AA329="",I329=""),"",AA329-I329)</f>
        <v/>
      </c>
      <c r="AQ329" s="90">
        <f>IF(OR(AB329="",J329=""),"",AB329-J329)</f>
        <v/>
      </c>
      <c r="AR329" s="39" t="n"/>
      <c r="AS329" s="332" t="n"/>
      <c r="AT329" s="39" t="n"/>
    </row>
    <row r="330" ht="13.5" customHeight="1" s="279">
      <c r="B330" s="294" t="n"/>
      <c r="C330" s="29" t="inlineStr">
        <is>
          <t>r03</t>
        </is>
      </c>
      <c r="D330" s="191" t="n"/>
      <c r="E330" s="58" t="n"/>
      <c r="F330" s="192" t="n"/>
      <c r="G330" s="192" t="n"/>
      <c r="H330" s="192" t="n"/>
      <c r="I330" s="64" t="n"/>
      <c r="J330" s="64" t="n"/>
      <c r="K330" s="193" t="n"/>
      <c r="L330" s="357" t="n"/>
      <c r="M330" s="357" t="n"/>
      <c r="N330" s="58" t="n"/>
      <c r="O330" s="30" t="n"/>
      <c r="P330" s="58" t="n"/>
      <c r="Q330" s="30" t="n"/>
      <c r="R330" s="135" t="n"/>
      <c r="S330" s="301" t="n"/>
      <c r="T330" s="294" t="n"/>
      <c r="U330" s="29" t="inlineStr">
        <is>
          <t>r03</t>
        </is>
      </c>
      <c r="V330" s="191" t="n"/>
      <c r="W330" s="58" t="n"/>
      <c r="X330" s="192" t="n"/>
      <c r="Y330" s="192" t="n"/>
      <c r="Z330" s="192" t="n"/>
      <c r="AA330" s="64" t="n"/>
      <c r="AB330" s="64" t="n"/>
      <c r="AC330" s="193" t="n"/>
      <c r="AD330" s="357" t="n"/>
      <c r="AE330" s="357" t="n"/>
      <c r="AF330" s="58" t="n"/>
      <c r="AG330" s="30" t="n"/>
      <c r="AH330" s="58" t="n"/>
      <c r="AI330" s="30" t="n"/>
      <c r="AJ330" s="135" t="n"/>
      <c r="AK330" s="212" t="n"/>
      <c r="AL330" s="294" t="n"/>
      <c r="AM330" s="89">
        <f>IF(OR(X330="",F330=""),"",X330-F330)</f>
        <v/>
      </c>
      <c r="AN330" s="124">
        <f>IF(OR(Y330="",G330=""),"",Y330-G330)</f>
        <v/>
      </c>
      <c r="AO330" s="124">
        <f>IF(OR(Z330="",H330=""),"",Z330-H330)</f>
        <v/>
      </c>
      <c r="AP330" s="124">
        <f>IF(OR(AA330="",I330=""),"",AA330-I330)</f>
        <v/>
      </c>
      <c r="AQ330" s="90">
        <f>IF(OR(AB330="",J330=""),"",AB330-J330)</f>
        <v/>
      </c>
      <c r="AR330" s="39" t="n"/>
      <c r="AS330" s="332" t="n"/>
      <c r="AT330" s="39" t="n"/>
    </row>
    <row r="331" ht="13.5" customHeight="1" s="279">
      <c r="B331" s="294" t="n"/>
      <c r="C331" s="29" t="inlineStr">
        <is>
          <t>r04</t>
        </is>
      </c>
      <c r="D331" s="191" t="n"/>
      <c r="E331" s="58" t="n"/>
      <c r="F331" s="192" t="n"/>
      <c r="G331" s="192" t="n"/>
      <c r="H331" s="192" t="n"/>
      <c r="I331" s="64" t="n"/>
      <c r="J331" s="64" t="n"/>
      <c r="K331" s="193" t="n"/>
      <c r="L331" s="357" t="n"/>
      <c r="M331" s="357" t="n"/>
      <c r="N331" s="58" t="n"/>
      <c r="O331" s="30" t="n"/>
      <c r="P331" s="58" t="n"/>
      <c r="Q331" s="30" t="n"/>
      <c r="R331" s="135" t="n"/>
      <c r="S331" s="301" t="n"/>
      <c r="T331" s="294" t="n"/>
      <c r="U331" s="29" t="inlineStr">
        <is>
          <t>r04</t>
        </is>
      </c>
      <c r="V331" s="191" t="n"/>
      <c r="W331" s="58" t="n"/>
      <c r="X331" s="192" t="n"/>
      <c r="Y331" s="192" t="n"/>
      <c r="Z331" s="192" t="n"/>
      <c r="AA331" s="64" t="n"/>
      <c r="AB331" s="64" t="n"/>
      <c r="AC331" s="193" t="n"/>
      <c r="AD331" s="357" t="n"/>
      <c r="AE331" s="357" t="n"/>
      <c r="AF331" s="58" t="n"/>
      <c r="AG331" s="30" t="n"/>
      <c r="AH331" s="58" t="n"/>
      <c r="AI331" s="30" t="n"/>
      <c r="AJ331" s="135" t="n"/>
      <c r="AK331" s="212" t="n"/>
      <c r="AL331" s="294" t="n"/>
      <c r="AM331" s="89">
        <f>IF(OR(X331="",F331=""),"",X331-F331)</f>
        <v/>
      </c>
      <c r="AN331" s="124">
        <f>IF(OR(Y331="",G331=""),"",Y331-G331)</f>
        <v/>
      </c>
      <c r="AO331" s="124">
        <f>IF(OR(Z331="",H331=""),"",Z331-H331)</f>
        <v/>
      </c>
      <c r="AP331" s="124">
        <f>IF(OR(AA331="",I331=""),"",AA331-I331)</f>
        <v/>
      </c>
      <c r="AQ331" s="90">
        <f>IF(OR(AB331="",J331=""),"",AB331-J331)</f>
        <v/>
      </c>
      <c r="AR331" s="39" t="n"/>
      <c r="AS331" s="332" t="n"/>
      <c r="AT331" s="39" t="n"/>
    </row>
    <row r="332" ht="13.5" customHeight="1" s="279" thickBot="1">
      <c r="B332" s="295" t="n"/>
      <c r="C332" s="29" t="n"/>
      <c r="D332" s="191" t="n"/>
      <c r="E332" s="58" t="n"/>
      <c r="F332" s="194" t="n"/>
      <c r="G332" s="194" t="n"/>
      <c r="H332" s="194" t="n"/>
      <c r="I332" s="58" t="n"/>
      <c r="J332" s="58" t="n"/>
      <c r="K332" s="193" t="n"/>
      <c r="L332" s="357" t="n"/>
      <c r="M332" s="357" t="n"/>
      <c r="N332" s="58" t="n"/>
      <c r="O332" s="30" t="n"/>
      <c r="P332" s="58" t="n"/>
      <c r="Q332" s="30" t="n"/>
      <c r="R332" s="189" t="n"/>
      <c r="S332" s="301" t="n"/>
      <c r="T332" s="295" t="n"/>
      <c r="U332" s="29" t="n"/>
      <c r="V332" s="191" t="n"/>
      <c r="W332" s="58" t="n"/>
      <c r="X332" s="194" t="n"/>
      <c r="Y332" s="194" t="n"/>
      <c r="Z332" s="194" t="n"/>
      <c r="AA332" s="58" t="n"/>
      <c r="AB332" s="58" t="n"/>
      <c r="AC332" s="193" t="n"/>
      <c r="AD332" s="357" t="n"/>
      <c r="AE332" s="357" t="n"/>
      <c r="AF332" s="58" t="n"/>
      <c r="AG332" s="30" t="n"/>
      <c r="AH332" s="58" t="n"/>
      <c r="AI332" s="30" t="n"/>
      <c r="AJ332" s="189" t="n"/>
      <c r="AK332" s="212" t="n"/>
      <c r="AL332" s="295" t="n"/>
      <c r="AM332" s="125">
        <f>IF(OR(X332="",F332=""),"",X332-F332)</f>
        <v/>
      </c>
      <c r="AN332" s="126">
        <f>IF(OR(Y332="",G332=""),"",Y332-G332)</f>
        <v/>
      </c>
      <c r="AO332" s="126">
        <f>IF(OR(Z332="",H332=""),"",Z332-H332)</f>
        <v/>
      </c>
      <c r="AP332" s="126">
        <f>IF(OR(AA332="",I332=""),"",AA332-I332)</f>
        <v/>
      </c>
      <c r="AQ332" s="127">
        <f>IF(OR(AB332="",J332=""),"",AB332-J332)</f>
        <v/>
      </c>
      <c r="AR332" s="39" t="n"/>
      <c r="AS332" s="332" t="n"/>
      <c r="AT332" s="39" t="n"/>
    </row>
    <row r="333" ht="13.5" customHeight="1" s="279">
      <c r="B333" s="293" t="inlineStr">
        <is>
          <t>v60</t>
        </is>
      </c>
      <c r="C333" s="27" t="inlineStr">
        <is>
          <t>r01</t>
        </is>
      </c>
      <c r="D333" s="41" t="n"/>
      <c r="E333" s="57" t="n"/>
      <c r="F333" s="99" t="n"/>
      <c r="G333" s="99" t="n"/>
      <c r="H333" s="99" t="n"/>
      <c r="I333" s="62" t="n"/>
      <c r="J333" s="62" t="n"/>
      <c r="K333" s="63" t="n"/>
      <c r="L333" s="356" t="n"/>
      <c r="M333" s="356" t="n"/>
      <c r="N333" s="57" t="n"/>
      <c r="O333" s="28" t="n"/>
      <c r="P333" s="57" t="n"/>
      <c r="Q333" s="28" t="n"/>
      <c r="R333" s="134" t="n"/>
      <c r="S333" s="301" t="n"/>
      <c r="T333" s="293" t="inlineStr">
        <is>
          <t>v60</t>
        </is>
      </c>
      <c r="U333" s="27" t="inlineStr">
        <is>
          <t>r01</t>
        </is>
      </c>
      <c r="V333" s="41" t="n"/>
      <c r="W333" s="57" t="n"/>
      <c r="X333" s="99" t="n"/>
      <c r="Y333" s="99" t="n"/>
      <c r="Z333" s="99" t="n"/>
      <c r="AA333" s="62" t="n"/>
      <c r="AB333" s="62" t="n"/>
      <c r="AC333" s="63" t="n"/>
      <c r="AD333" s="356" t="n"/>
      <c r="AE333" s="356" t="n"/>
      <c r="AF333" s="57" t="n"/>
      <c r="AG333" s="28" t="n"/>
      <c r="AH333" s="57" t="n"/>
      <c r="AI333" s="28" t="n"/>
      <c r="AJ333" s="134" t="n"/>
      <c r="AK333" s="212" t="n"/>
      <c r="AL333" s="293" t="inlineStr">
        <is>
          <t>v60</t>
        </is>
      </c>
      <c r="AM333" s="122">
        <f>IF(OR(X333="",F333=""),"",X333-F333)</f>
        <v/>
      </c>
      <c r="AN333" s="98">
        <f>IF(OR(Y333="",G333=""),"",Y333-G333)</f>
        <v/>
      </c>
      <c r="AO333" s="98">
        <f>IF(OR(Z333="",H333=""),"",Z333-H333)</f>
        <v/>
      </c>
      <c r="AP333" s="98">
        <f>IF(OR(AA333="",I333=""),"",AA333-I333)</f>
        <v/>
      </c>
      <c r="AQ333" s="123">
        <f>IF(OR(AB333="",J333=""),"",AB333-J333)</f>
        <v/>
      </c>
      <c r="AR333" s="39" t="n"/>
      <c r="AS333" s="332" t="n"/>
      <c r="AT333" s="39" t="n"/>
    </row>
    <row r="334" ht="13.5" customHeight="1" s="279">
      <c r="B334" s="294" t="n"/>
      <c r="C334" s="29" t="inlineStr">
        <is>
          <t>r02</t>
        </is>
      </c>
      <c r="D334" s="191" t="n"/>
      <c r="E334" s="58" t="n"/>
      <c r="F334" s="192" t="n"/>
      <c r="G334" s="192" t="n"/>
      <c r="H334" s="192" t="n"/>
      <c r="I334" s="64" t="n"/>
      <c r="J334" s="64" t="n"/>
      <c r="K334" s="193" t="n"/>
      <c r="L334" s="357" t="n"/>
      <c r="M334" s="357" t="n"/>
      <c r="N334" s="58" t="n"/>
      <c r="O334" s="30" t="n"/>
      <c r="P334" s="58" t="n"/>
      <c r="Q334" s="30" t="n"/>
      <c r="R334" s="135" t="n"/>
      <c r="S334" s="301" t="n"/>
      <c r="T334" s="294" t="n"/>
      <c r="U334" s="29" t="inlineStr">
        <is>
          <t>r02</t>
        </is>
      </c>
      <c r="V334" s="191" t="n"/>
      <c r="W334" s="58" t="n"/>
      <c r="X334" s="192" t="n"/>
      <c r="Y334" s="192" t="n"/>
      <c r="Z334" s="192" t="n"/>
      <c r="AA334" s="64" t="n"/>
      <c r="AB334" s="64" t="n"/>
      <c r="AC334" s="193" t="n"/>
      <c r="AD334" s="357" t="n"/>
      <c r="AE334" s="357" t="n"/>
      <c r="AF334" s="58" t="n"/>
      <c r="AG334" s="30" t="n"/>
      <c r="AH334" s="58" t="n"/>
      <c r="AI334" s="30" t="n"/>
      <c r="AJ334" s="135" t="n"/>
      <c r="AK334" s="212" t="n"/>
      <c r="AL334" s="294" t="n"/>
      <c r="AM334" s="89">
        <f>IF(OR(X334="",F334=""),"",X334-F334)</f>
        <v/>
      </c>
      <c r="AN334" s="124">
        <f>IF(OR(Y334="",G334=""),"",Y334-G334)</f>
        <v/>
      </c>
      <c r="AO334" s="124">
        <f>IF(OR(Z334="",H334=""),"",Z334-H334)</f>
        <v/>
      </c>
      <c r="AP334" s="124">
        <f>IF(OR(AA334="",I334=""),"",AA334-I334)</f>
        <v/>
      </c>
      <c r="AQ334" s="90">
        <f>IF(OR(AB334="",J334=""),"",AB334-J334)</f>
        <v/>
      </c>
      <c r="AR334" s="39" t="n"/>
      <c r="AS334" s="332" t="n"/>
      <c r="AT334" s="39" t="n"/>
    </row>
    <row r="335" ht="13.5" customHeight="1" s="279">
      <c r="B335" s="294" t="n"/>
      <c r="C335" s="29" t="inlineStr">
        <is>
          <t>r03</t>
        </is>
      </c>
      <c r="D335" s="191" t="n"/>
      <c r="E335" s="58" t="n"/>
      <c r="F335" s="192" t="n"/>
      <c r="G335" s="192" t="n"/>
      <c r="H335" s="192" t="n"/>
      <c r="I335" s="64" t="n"/>
      <c r="J335" s="64" t="n"/>
      <c r="K335" s="193" t="n"/>
      <c r="L335" s="357" t="n"/>
      <c r="M335" s="357" t="n"/>
      <c r="N335" s="58" t="n"/>
      <c r="O335" s="30" t="n"/>
      <c r="P335" s="58" t="n"/>
      <c r="Q335" s="30" t="n"/>
      <c r="R335" s="135" t="n"/>
      <c r="S335" s="301" t="n"/>
      <c r="T335" s="294" t="n"/>
      <c r="U335" s="29" t="inlineStr">
        <is>
          <t>r03</t>
        </is>
      </c>
      <c r="V335" s="191" t="n"/>
      <c r="W335" s="58" t="n"/>
      <c r="X335" s="192" t="n"/>
      <c r="Y335" s="192" t="n"/>
      <c r="Z335" s="192" t="n"/>
      <c r="AA335" s="64" t="n"/>
      <c r="AB335" s="64" t="n"/>
      <c r="AC335" s="193" t="n"/>
      <c r="AD335" s="357" t="n"/>
      <c r="AE335" s="357" t="n"/>
      <c r="AF335" s="58" t="n"/>
      <c r="AG335" s="30" t="n"/>
      <c r="AH335" s="58" t="n"/>
      <c r="AI335" s="30" t="n"/>
      <c r="AJ335" s="135" t="n"/>
      <c r="AK335" s="212" t="n"/>
      <c r="AL335" s="294" t="n"/>
      <c r="AM335" s="89">
        <f>IF(OR(X335="",F335=""),"",X335-F335)</f>
        <v/>
      </c>
      <c r="AN335" s="124">
        <f>IF(OR(Y335="",G335=""),"",Y335-G335)</f>
        <v/>
      </c>
      <c r="AO335" s="124">
        <f>IF(OR(Z335="",H335=""),"",Z335-H335)</f>
        <v/>
      </c>
      <c r="AP335" s="124">
        <f>IF(OR(AA335="",I335=""),"",AA335-I335)</f>
        <v/>
      </c>
      <c r="AQ335" s="90">
        <f>IF(OR(AB335="",J335=""),"",AB335-J335)</f>
        <v/>
      </c>
      <c r="AR335" s="39" t="n"/>
      <c r="AS335" s="332" t="n"/>
      <c r="AT335" s="39" t="n"/>
    </row>
    <row r="336" ht="13.5" customHeight="1" s="279">
      <c r="B336" s="294" t="n"/>
      <c r="C336" s="29" t="inlineStr">
        <is>
          <t>r04</t>
        </is>
      </c>
      <c r="D336" s="191" t="n"/>
      <c r="E336" s="58" t="n"/>
      <c r="F336" s="192" t="n"/>
      <c r="G336" s="192" t="n"/>
      <c r="H336" s="192" t="n"/>
      <c r="I336" s="64" t="n"/>
      <c r="J336" s="64" t="n"/>
      <c r="K336" s="193" t="n"/>
      <c r="L336" s="357" t="n"/>
      <c r="M336" s="357" t="n"/>
      <c r="N336" s="58" t="n"/>
      <c r="O336" s="30" t="n"/>
      <c r="P336" s="58" t="n"/>
      <c r="Q336" s="30" t="n"/>
      <c r="R336" s="135" t="n"/>
      <c r="S336" s="301" t="n"/>
      <c r="T336" s="294" t="n"/>
      <c r="U336" s="29" t="inlineStr">
        <is>
          <t>r04</t>
        </is>
      </c>
      <c r="V336" s="191" t="n"/>
      <c r="W336" s="58" t="n"/>
      <c r="X336" s="192" t="n"/>
      <c r="Y336" s="192" t="n"/>
      <c r="Z336" s="192" t="n"/>
      <c r="AA336" s="64" t="n"/>
      <c r="AB336" s="64" t="n"/>
      <c r="AC336" s="193" t="n"/>
      <c r="AD336" s="357" t="n"/>
      <c r="AE336" s="357" t="n"/>
      <c r="AF336" s="58" t="n"/>
      <c r="AG336" s="30" t="n"/>
      <c r="AH336" s="58" t="n"/>
      <c r="AI336" s="30" t="n"/>
      <c r="AJ336" s="135" t="n"/>
      <c r="AK336" s="212" t="n"/>
      <c r="AL336" s="294" t="n"/>
      <c r="AM336" s="89">
        <f>IF(OR(X336="",F336=""),"",X336-F336)</f>
        <v/>
      </c>
      <c r="AN336" s="124">
        <f>IF(OR(Y336="",G336=""),"",Y336-G336)</f>
        <v/>
      </c>
      <c r="AO336" s="124">
        <f>IF(OR(Z336="",H336=""),"",Z336-H336)</f>
        <v/>
      </c>
      <c r="AP336" s="124">
        <f>IF(OR(AA336="",I336=""),"",AA336-I336)</f>
        <v/>
      </c>
      <c r="AQ336" s="90">
        <f>IF(OR(AB336="",J336=""),"",AB336-J336)</f>
        <v/>
      </c>
      <c r="AR336" s="39" t="n"/>
      <c r="AS336" s="332" t="n"/>
      <c r="AT336" s="39" t="n"/>
    </row>
    <row r="337" ht="13.5" customHeight="1" s="279" thickBot="1">
      <c r="B337" s="295" t="n"/>
      <c r="C337" s="29" t="n"/>
      <c r="D337" s="191" t="n"/>
      <c r="E337" s="58" t="n"/>
      <c r="F337" s="194" t="n"/>
      <c r="G337" s="194" t="n"/>
      <c r="H337" s="194" t="n"/>
      <c r="I337" s="58" t="n"/>
      <c r="J337" s="58" t="n"/>
      <c r="K337" s="193" t="n"/>
      <c r="L337" s="357" t="n"/>
      <c r="M337" s="357" t="n"/>
      <c r="N337" s="58" t="n"/>
      <c r="O337" s="30" t="n"/>
      <c r="P337" s="58" t="n"/>
      <c r="Q337" s="30" t="n"/>
      <c r="R337" s="189" t="n"/>
      <c r="S337" s="301" t="n"/>
      <c r="T337" s="295" t="n"/>
      <c r="U337" s="29" t="n"/>
      <c r="V337" s="191" t="n"/>
      <c r="W337" s="58" t="n"/>
      <c r="X337" s="194" t="n"/>
      <c r="Y337" s="194" t="n"/>
      <c r="Z337" s="194" t="n"/>
      <c r="AA337" s="58" t="n"/>
      <c r="AB337" s="58" t="n"/>
      <c r="AC337" s="193" t="n"/>
      <c r="AD337" s="357" t="n"/>
      <c r="AE337" s="357" t="n"/>
      <c r="AF337" s="58" t="n"/>
      <c r="AG337" s="30" t="n"/>
      <c r="AH337" s="58" t="n"/>
      <c r="AI337" s="30" t="n"/>
      <c r="AJ337" s="189" t="n"/>
      <c r="AK337" s="212" t="n"/>
      <c r="AL337" s="295" t="n"/>
      <c r="AM337" s="125">
        <f>IF(OR(X337="",F337=""),"",X337-F337)</f>
        <v/>
      </c>
      <c r="AN337" s="126">
        <f>IF(OR(Y337="",G337=""),"",Y337-G337)</f>
        <v/>
      </c>
      <c r="AO337" s="126">
        <f>IF(OR(Z337="",H337=""),"",Z337-H337)</f>
        <v/>
      </c>
      <c r="AP337" s="126">
        <f>IF(OR(AA337="",I337=""),"",AA337-I337)</f>
        <v/>
      </c>
      <c r="AQ337" s="127">
        <f>IF(OR(AB337="",J337=""),"",AB337-J337)</f>
        <v/>
      </c>
      <c r="AR337" s="39" t="n"/>
      <c r="AS337" s="332" t="n"/>
      <c r="AT337" s="39" t="n"/>
    </row>
    <row r="338" ht="13.5" customHeight="1" s="279">
      <c r="B338" s="293" t="inlineStr">
        <is>
          <t>v61</t>
        </is>
      </c>
      <c r="C338" s="27" t="inlineStr">
        <is>
          <t>r01</t>
        </is>
      </c>
      <c r="D338" s="41" t="n"/>
      <c r="E338" s="57" t="n"/>
      <c r="F338" s="99" t="n"/>
      <c r="G338" s="99" t="n"/>
      <c r="H338" s="99" t="n"/>
      <c r="I338" s="62" t="n"/>
      <c r="J338" s="62" t="n"/>
      <c r="K338" s="63" t="n"/>
      <c r="L338" s="356" t="n"/>
      <c r="M338" s="356" t="n"/>
      <c r="N338" s="57" t="n"/>
      <c r="O338" s="28" t="n"/>
      <c r="P338" s="57" t="n"/>
      <c r="Q338" s="28" t="n"/>
      <c r="R338" s="134" t="n"/>
      <c r="S338" s="301" t="n"/>
      <c r="T338" s="293" t="inlineStr">
        <is>
          <t>v61</t>
        </is>
      </c>
      <c r="U338" s="27" t="inlineStr">
        <is>
          <t>r01</t>
        </is>
      </c>
      <c r="V338" s="41" t="n"/>
      <c r="W338" s="57" t="n"/>
      <c r="X338" s="99" t="n"/>
      <c r="Y338" s="99" t="n"/>
      <c r="Z338" s="99" t="n"/>
      <c r="AA338" s="62" t="n"/>
      <c r="AB338" s="62" t="n"/>
      <c r="AC338" s="63" t="n"/>
      <c r="AD338" s="356" t="n"/>
      <c r="AE338" s="356" t="n"/>
      <c r="AF338" s="57" t="n"/>
      <c r="AG338" s="28" t="n"/>
      <c r="AH338" s="57" t="n"/>
      <c r="AI338" s="28" t="n"/>
      <c r="AJ338" s="134" t="n"/>
      <c r="AK338" s="212" t="n"/>
      <c r="AL338" s="293" t="inlineStr">
        <is>
          <t>v61</t>
        </is>
      </c>
      <c r="AM338" s="122">
        <f>IF(OR(X338="",F338=""),"",X338-F338)</f>
        <v/>
      </c>
      <c r="AN338" s="98">
        <f>IF(OR(Y338="",G338=""),"",Y338-G338)</f>
        <v/>
      </c>
      <c r="AO338" s="98">
        <f>IF(OR(Z338="",H338=""),"",Z338-H338)</f>
        <v/>
      </c>
      <c r="AP338" s="98">
        <f>IF(OR(AA338="",I338=""),"",AA338-I338)</f>
        <v/>
      </c>
      <c r="AQ338" s="123">
        <f>IF(OR(AB338="",J338=""),"",AB338-J338)</f>
        <v/>
      </c>
      <c r="AR338" s="39" t="n"/>
      <c r="AS338" s="332" t="n"/>
      <c r="AT338" s="39" t="n"/>
    </row>
    <row r="339" ht="13.5" customHeight="1" s="279">
      <c r="B339" s="294" t="n"/>
      <c r="C339" s="29" t="inlineStr">
        <is>
          <t>r02</t>
        </is>
      </c>
      <c r="D339" s="191" t="n"/>
      <c r="E339" s="58" t="n"/>
      <c r="F339" s="192" t="n"/>
      <c r="G339" s="192" t="n"/>
      <c r="H339" s="192" t="n"/>
      <c r="I339" s="64" t="n"/>
      <c r="J339" s="64" t="n"/>
      <c r="K339" s="193" t="n"/>
      <c r="L339" s="357" t="n"/>
      <c r="M339" s="357" t="n"/>
      <c r="N339" s="58" t="n"/>
      <c r="O339" s="30" t="n"/>
      <c r="P339" s="58" t="n"/>
      <c r="Q339" s="30" t="n"/>
      <c r="R339" s="135" t="n"/>
      <c r="S339" s="301" t="n"/>
      <c r="T339" s="294" t="n"/>
      <c r="U339" s="29" t="inlineStr">
        <is>
          <t>r02</t>
        </is>
      </c>
      <c r="V339" s="191" t="n"/>
      <c r="W339" s="58" t="n"/>
      <c r="X339" s="192" t="n"/>
      <c r="Y339" s="192" t="n"/>
      <c r="Z339" s="192" t="n"/>
      <c r="AA339" s="64" t="n"/>
      <c r="AB339" s="64" t="n"/>
      <c r="AC339" s="193" t="n"/>
      <c r="AD339" s="357" t="n"/>
      <c r="AE339" s="357" t="n"/>
      <c r="AF339" s="58" t="n"/>
      <c r="AG339" s="30" t="n"/>
      <c r="AH339" s="58" t="n"/>
      <c r="AI339" s="30" t="n"/>
      <c r="AJ339" s="135" t="n"/>
      <c r="AK339" s="212" t="n"/>
      <c r="AL339" s="294" t="n"/>
      <c r="AM339" s="89">
        <f>IF(OR(X339="",F339=""),"",X339-F339)</f>
        <v/>
      </c>
      <c r="AN339" s="124">
        <f>IF(OR(Y339="",G339=""),"",Y339-G339)</f>
        <v/>
      </c>
      <c r="AO339" s="124">
        <f>IF(OR(Z339="",H339=""),"",Z339-H339)</f>
        <v/>
      </c>
      <c r="AP339" s="124">
        <f>IF(OR(AA339="",I339=""),"",AA339-I339)</f>
        <v/>
      </c>
      <c r="AQ339" s="90">
        <f>IF(OR(AB339="",J339=""),"",AB339-J339)</f>
        <v/>
      </c>
      <c r="AR339" s="39" t="n"/>
      <c r="AS339" s="332" t="n"/>
      <c r="AT339" s="39" t="n"/>
    </row>
    <row r="340" ht="13.5" customHeight="1" s="279">
      <c r="B340" s="294" t="n"/>
      <c r="C340" s="29" t="inlineStr">
        <is>
          <t>r03</t>
        </is>
      </c>
      <c r="D340" s="191" t="n"/>
      <c r="E340" s="58" t="n"/>
      <c r="F340" s="192" t="n"/>
      <c r="G340" s="192" t="n"/>
      <c r="H340" s="192" t="n"/>
      <c r="I340" s="64" t="n"/>
      <c r="J340" s="64" t="n"/>
      <c r="K340" s="193" t="n"/>
      <c r="L340" s="357" t="n"/>
      <c r="M340" s="357" t="n"/>
      <c r="N340" s="58" t="n"/>
      <c r="O340" s="30" t="n"/>
      <c r="P340" s="58" t="n"/>
      <c r="Q340" s="30" t="n"/>
      <c r="R340" s="135" t="n"/>
      <c r="S340" s="301" t="n"/>
      <c r="T340" s="294" t="n"/>
      <c r="U340" s="29" t="inlineStr">
        <is>
          <t>r03</t>
        </is>
      </c>
      <c r="V340" s="191" t="n"/>
      <c r="W340" s="58" t="n"/>
      <c r="X340" s="192" t="n"/>
      <c r="Y340" s="192" t="n"/>
      <c r="Z340" s="192" t="n"/>
      <c r="AA340" s="64" t="n"/>
      <c r="AB340" s="64" t="n"/>
      <c r="AC340" s="193" t="n"/>
      <c r="AD340" s="357" t="n"/>
      <c r="AE340" s="357" t="n"/>
      <c r="AF340" s="58" t="n"/>
      <c r="AG340" s="30" t="n"/>
      <c r="AH340" s="58" t="n"/>
      <c r="AI340" s="30" t="n"/>
      <c r="AJ340" s="135" t="n"/>
      <c r="AK340" s="212" t="n"/>
      <c r="AL340" s="294" t="n"/>
      <c r="AM340" s="89">
        <f>IF(OR(X340="",F340=""),"",X340-F340)</f>
        <v/>
      </c>
      <c r="AN340" s="124">
        <f>IF(OR(Y340="",G340=""),"",Y340-G340)</f>
        <v/>
      </c>
      <c r="AO340" s="124">
        <f>IF(OR(Z340="",H340=""),"",Z340-H340)</f>
        <v/>
      </c>
      <c r="AP340" s="124">
        <f>IF(OR(AA340="",I340=""),"",AA340-I340)</f>
        <v/>
      </c>
      <c r="AQ340" s="90">
        <f>IF(OR(AB340="",J340=""),"",AB340-J340)</f>
        <v/>
      </c>
      <c r="AR340" s="39" t="n"/>
      <c r="AS340" s="332" t="n"/>
      <c r="AT340" s="39" t="n"/>
    </row>
    <row r="341" ht="13.5" customHeight="1" s="279">
      <c r="B341" s="294" t="n"/>
      <c r="C341" s="29" t="inlineStr">
        <is>
          <t>r04</t>
        </is>
      </c>
      <c r="D341" s="191" t="n"/>
      <c r="E341" s="58" t="n"/>
      <c r="F341" s="192" t="n"/>
      <c r="G341" s="192" t="n"/>
      <c r="H341" s="192" t="n"/>
      <c r="I341" s="64" t="n"/>
      <c r="J341" s="64" t="n"/>
      <c r="K341" s="193" t="n"/>
      <c r="L341" s="357" t="n"/>
      <c r="M341" s="357" t="n"/>
      <c r="N341" s="58" t="n"/>
      <c r="O341" s="30" t="n"/>
      <c r="P341" s="58" t="n"/>
      <c r="Q341" s="30" t="n"/>
      <c r="R341" s="135" t="n"/>
      <c r="S341" s="301" t="n"/>
      <c r="T341" s="294" t="n"/>
      <c r="U341" s="29" t="inlineStr">
        <is>
          <t>r04</t>
        </is>
      </c>
      <c r="V341" s="191" t="n"/>
      <c r="W341" s="58" t="n"/>
      <c r="X341" s="192" t="n"/>
      <c r="Y341" s="192" t="n"/>
      <c r="Z341" s="192" t="n"/>
      <c r="AA341" s="64" t="n"/>
      <c r="AB341" s="64" t="n"/>
      <c r="AC341" s="193" t="n"/>
      <c r="AD341" s="357" t="n"/>
      <c r="AE341" s="357" t="n"/>
      <c r="AF341" s="58" t="n"/>
      <c r="AG341" s="30" t="n"/>
      <c r="AH341" s="58" t="n"/>
      <c r="AI341" s="30" t="n"/>
      <c r="AJ341" s="135" t="n"/>
      <c r="AK341" s="212" t="n"/>
      <c r="AL341" s="294" t="n"/>
      <c r="AM341" s="89">
        <f>IF(OR(X341="",F341=""),"",X341-F341)</f>
        <v/>
      </c>
      <c r="AN341" s="124">
        <f>IF(OR(Y341="",G341=""),"",Y341-G341)</f>
        <v/>
      </c>
      <c r="AO341" s="124">
        <f>IF(OR(Z341="",H341=""),"",Z341-H341)</f>
        <v/>
      </c>
      <c r="AP341" s="124">
        <f>IF(OR(AA341="",I341=""),"",AA341-I341)</f>
        <v/>
      </c>
      <c r="AQ341" s="90">
        <f>IF(OR(AB341="",J341=""),"",AB341-J341)</f>
        <v/>
      </c>
      <c r="AR341" s="39" t="n"/>
      <c r="AS341" s="332" t="n"/>
      <c r="AT341" s="39" t="n"/>
    </row>
    <row r="342" ht="13.5" customHeight="1" s="279" thickBot="1">
      <c r="B342" s="295" t="n"/>
      <c r="C342" s="29" t="n"/>
      <c r="D342" s="191" t="n"/>
      <c r="E342" s="58" t="n"/>
      <c r="F342" s="194" t="n"/>
      <c r="G342" s="194" t="n"/>
      <c r="H342" s="194" t="n"/>
      <c r="I342" s="58" t="n"/>
      <c r="J342" s="58" t="n"/>
      <c r="K342" s="193" t="n"/>
      <c r="L342" s="357" t="n"/>
      <c r="M342" s="357" t="n"/>
      <c r="N342" s="58" t="n"/>
      <c r="O342" s="30" t="n"/>
      <c r="P342" s="58" t="n"/>
      <c r="Q342" s="30" t="n"/>
      <c r="R342" s="189" t="n"/>
      <c r="S342" s="301" t="n"/>
      <c r="T342" s="295" t="n"/>
      <c r="U342" s="29" t="n"/>
      <c r="V342" s="191" t="n"/>
      <c r="W342" s="58" t="n"/>
      <c r="X342" s="194" t="n"/>
      <c r="Y342" s="194" t="n"/>
      <c r="Z342" s="194" t="n"/>
      <c r="AA342" s="58" t="n"/>
      <c r="AB342" s="58" t="n"/>
      <c r="AC342" s="193" t="n"/>
      <c r="AD342" s="357" t="n"/>
      <c r="AE342" s="357" t="n"/>
      <c r="AF342" s="58" t="n"/>
      <c r="AG342" s="30" t="n"/>
      <c r="AH342" s="58" t="n"/>
      <c r="AI342" s="30" t="n"/>
      <c r="AJ342" s="189" t="n"/>
      <c r="AK342" s="212" t="n"/>
      <c r="AL342" s="295" t="n"/>
      <c r="AM342" s="125">
        <f>IF(OR(X342="",F342=""),"",X342-F342)</f>
        <v/>
      </c>
      <c r="AN342" s="126">
        <f>IF(OR(Y342="",G342=""),"",Y342-G342)</f>
        <v/>
      </c>
      <c r="AO342" s="126">
        <f>IF(OR(Z342="",H342=""),"",Z342-H342)</f>
        <v/>
      </c>
      <c r="AP342" s="126">
        <f>IF(OR(AA342="",I342=""),"",AA342-I342)</f>
        <v/>
      </c>
      <c r="AQ342" s="127">
        <f>IF(OR(AB342="",J342=""),"",AB342-J342)</f>
        <v/>
      </c>
      <c r="AR342" s="39" t="n"/>
      <c r="AS342" s="332" t="n"/>
      <c r="AT342" s="39" t="n"/>
    </row>
    <row r="343" ht="13.5" customHeight="1" s="279">
      <c r="B343" s="293" t="inlineStr">
        <is>
          <t>v62</t>
        </is>
      </c>
      <c r="C343" s="27" t="inlineStr">
        <is>
          <t>r01</t>
        </is>
      </c>
      <c r="D343" s="41" t="n"/>
      <c r="E343" s="57" t="n"/>
      <c r="F343" s="99" t="n"/>
      <c r="G343" s="99" t="n"/>
      <c r="H343" s="99" t="n"/>
      <c r="I343" s="62" t="n"/>
      <c r="J343" s="62" t="n"/>
      <c r="K343" s="63" t="n"/>
      <c r="L343" s="356" t="n"/>
      <c r="M343" s="356" t="n"/>
      <c r="N343" s="57" t="n"/>
      <c r="O343" s="28" t="n"/>
      <c r="P343" s="57" t="n"/>
      <c r="Q343" s="28" t="n"/>
      <c r="R343" s="134" t="n"/>
      <c r="S343" s="301" t="n"/>
      <c r="T343" s="293" t="inlineStr">
        <is>
          <t>v62</t>
        </is>
      </c>
      <c r="U343" s="27" t="inlineStr">
        <is>
          <t>r01</t>
        </is>
      </c>
      <c r="V343" s="41" t="n"/>
      <c r="W343" s="57" t="n"/>
      <c r="X343" s="99" t="n"/>
      <c r="Y343" s="99" t="n"/>
      <c r="Z343" s="99" t="n"/>
      <c r="AA343" s="62" t="n"/>
      <c r="AB343" s="62" t="n"/>
      <c r="AC343" s="63" t="n"/>
      <c r="AD343" s="356" t="n"/>
      <c r="AE343" s="356" t="n"/>
      <c r="AF343" s="57" t="n"/>
      <c r="AG343" s="28" t="n"/>
      <c r="AH343" s="57" t="n"/>
      <c r="AI343" s="28" t="n"/>
      <c r="AJ343" s="134" t="n"/>
      <c r="AK343" s="212" t="n"/>
      <c r="AL343" s="293" t="inlineStr">
        <is>
          <t>v62</t>
        </is>
      </c>
      <c r="AM343" s="122">
        <f>IF(OR(X343="",F343=""),"",X343-F343)</f>
        <v/>
      </c>
      <c r="AN343" s="98">
        <f>IF(OR(Y343="",G343=""),"",Y343-G343)</f>
        <v/>
      </c>
      <c r="AO343" s="98">
        <f>IF(OR(Z343="",H343=""),"",Z343-H343)</f>
        <v/>
      </c>
      <c r="AP343" s="98">
        <f>IF(OR(AA343="",I343=""),"",AA343-I343)</f>
        <v/>
      </c>
      <c r="AQ343" s="123">
        <f>IF(OR(AB343="",J343=""),"",AB343-J343)</f>
        <v/>
      </c>
      <c r="AR343" s="39" t="n"/>
      <c r="AS343" s="332" t="n"/>
      <c r="AT343" s="39" t="n"/>
    </row>
    <row r="344" ht="13.5" customHeight="1" s="279">
      <c r="B344" s="294" t="n"/>
      <c r="C344" s="29" t="inlineStr">
        <is>
          <t>r02</t>
        </is>
      </c>
      <c r="D344" s="191" t="n"/>
      <c r="E344" s="58" t="n"/>
      <c r="F344" s="192" t="n"/>
      <c r="G344" s="192" t="n"/>
      <c r="H344" s="192" t="n"/>
      <c r="I344" s="64" t="n"/>
      <c r="J344" s="64" t="n"/>
      <c r="K344" s="193" t="n"/>
      <c r="L344" s="357" t="n"/>
      <c r="M344" s="357" t="n"/>
      <c r="N344" s="58" t="n"/>
      <c r="O344" s="30" t="n"/>
      <c r="P344" s="58" t="n"/>
      <c r="Q344" s="30" t="n"/>
      <c r="R344" s="135" t="n"/>
      <c r="S344" s="301" t="n"/>
      <c r="T344" s="294" t="n"/>
      <c r="U344" s="29" t="inlineStr">
        <is>
          <t>r02</t>
        </is>
      </c>
      <c r="V344" s="191" t="n"/>
      <c r="W344" s="58" t="n"/>
      <c r="X344" s="192" t="n"/>
      <c r="Y344" s="192" t="n"/>
      <c r="Z344" s="192" t="n"/>
      <c r="AA344" s="64" t="n"/>
      <c r="AB344" s="64" t="n"/>
      <c r="AC344" s="193" t="n"/>
      <c r="AD344" s="357" t="n"/>
      <c r="AE344" s="357" t="n"/>
      <c r="AF344" s="58" t="n"/>
      <c r="AG344" s="30" t="n"/>
      <c r="AH344" s="58" t="n"/>
      <c r="AI344" s="30" t="n"/>
      <c r="AJ344" s="135" t="n"/>
      <c r="AK344" s="212" t="n"/>
      <c r="AL344" s="294" t="n"/>
      <c r="AM344" s="89">
        <f>IF(OR(X344="",F344=""),"",X344-F344)</f>
        <v/>
      </c>
      <c r="AN344" s="124">
        <f>IF(OR(Y344="",G344=""),"",Y344-G344)</f>
        <v/>
      </c>
      <c r="AO344" s="124">
        <f>IF(OR(Z344="",H344=""),"",Z344-H344)</f>
        <v/>
      </c>
      <c r="AP344" s="124">
        <f>IF(OR(AA344="",I344=""),"",AA344-I344)</f>
        <v/>
      </c>
      <c r="AQ344" s="90">
        <f>IF(OR(AB344="",J344=""),"",AB344-J344)</f>
        <v/>
      </c>
      <c r="AR344" s="39" t="n"/>
      <c r="AS344" s="332" t="n"/>
      <c r="AT344" s="39" t="n"/>
    </row>
    <row r="345" ht="13.5" customHeight="1" s="279">
      <c r="B345" s="294" t="n"/>
      <c r="C345" s="29" t="inlineStr">
        <is>
          <t>r03</t>
        </is>
      </c>
      <c r="D345" s="191" t="n"/>
      <c r="E345" s="58" t="n"/>
      <c r="F345" s="192" t="n"/>
      <c r="G345" s="192" t="n"/>
      <c r="H345" s="192" t="n"/>
      <c r="I345" s="64" t="n"/>
      <c r="J345" s="64" t="n"/>
      <c r="K345" s="193" t="n"/>
      <c r="L345" s="357" t="n"/>
      <c r="M345" s="357" t="n"/>
      <c r="N345" s="58" t="n"/>
      <c r="O345" s="30" t="n"/>
      <c r="P345" s="58" t="n"/>
      <c r="Q345" s="30" t="n"/>
      <c r="R345" s="135" t="n"/>
      <c r="S345" s="301" t="n"/>
      <c r="T345" s="294" t="n"/>
      <c r="U345" s="29" t="inlineStr">
        <is>
          <t>r03</t>
        </is>
      </c>
      <c r="V345" s="191" t="n"/>
      <c r="W345" s="58" t="n"/>
      <c r="X345" s="192" t="n"/>
      <c r="Y345" s="192" t="n"/>
      <c r="Z345" s="192" t="n"/>
      <c r="AA345" s="64" t="n"/>
      <c r="AB345" s="64" t="n"/>
      <c r="AC345" s="193" t="n"/>
      <c r="AD345" s="357" t="n"/>
      <c r="AE345" s="357" t="n"/>
      <c r="AF345" s="58" t="n"/>
      <c r="AG345" s="30" t="n"/>
      <c r="AH345" s="58" t="n"/>
      <c r="AI345" s="30" t="n"/>
      <c r="AJ345" s="135" t="n"/>
      <c r="AK345" s="212" t="n"/>
      <c r="AL345" s="294" t="n"/>
      <c r="AM345" s="89">
        <f>IF(OR(X345="",F345=""),"",X345-F345)</f>
        <v/>
      </c>
      <c r="AN345" s="124">
        <f>IF(OR(Y345="",G345=""),"",Y345-G345)</f>
        <v/>
      </c>
      <c r="AO345" s="124">
        <f>IF(OR(Z345="",H345=""),"",Z345-H345)</f>
        <v/>
      </c>
      <c r="AP345" s="124">
        <f>IF(OR(AA345="",I345=""),"",AA345-I345)</f>
        <v/>
      </c>
      <c r="AQ345" s="90">
        <f>IF(OR(AB345="",J345=""),"",AB345-J345)</f>
        <v/>
      </c>
      <c r="AR345" s="39" t="n"/>
      <c r="AS345" s="332" t="n"/>
      <c r="AT345" s="39" t="n"/>
    </row>
    <row r="346" ht="13.5" customHeight="1" s="279">
      <c r="B346" s="294" t="n"/>
      <c r="C346" s="29" t="inlineStr">
        <is>
          <t>r04</t>
        </is>
      </c>
      <c r="D346" s="191" t="n"/>
      <c r="E346" s="58" t="n"/>
      <c r="F346" s="192" t="n"/>
      <c r="G346" s="192" t="n"/>
      <c r="H346" s="192" t="n"/>
      <c r="I346" s="64" t="n"/>
      <c r="J346" s="64" t="n"/>
      <c r="K346" s="193" t="n"/>
      <c r="L346" s="357" t="n"/>
      <c r="M346" s="357" t="n"/>
      <c r="N346" s="58" t="n"/>
      <c r="O346" s="30" t="n"/>
      <c r="P346" s="58" t="n"/>
      <c r="Q346" s="30" t="n"/>
      <c r="R346" s="135" t="n"/>
      <c r="S346" s="301" t="n"/>
      <c r="T346" s="294" t="n"/>
      <c r="U346" s="29" t="inlineStr">
        <is>
          <t>r04</t>
        </is>
      </c>
      <c r="V346" s="191" t="n"/>
      <c r="W346" s="58" t="n"/>
      <c r="X346" s="192" t="n"/>
      <c r="Y346" s="192" t="n"/>
      <c r="Z346" s="192" t="n"/>
      <c r="AA346" s="64" t="n"/>
      <c r="AB346" s="64" t="n"/>
      <c r="AC346" s="193" t="n"/>
      <c r="AD346" s="357" t="n"/>
      <c r="AE346" s="357" t="n"/>
      <c r="AF346" s="58" t="n"/>
      <c r="AG346" s="30" t="n"/>
      <c r="AH346" s="58" t="n"/>
      <c r="AI346" s="30" t="n"/>
      <c r="AJ346" s="135" t="n"/>
      <c r="AK346" s="212" t="n"/>
      <c r="AL346" s="294" t="n"/>
      <c r="AM346" s="89">
        <f>IF(OR(X346="",F346=""),"",X346-F346)</f>
        <v/>
      </c>
      <c r="AN346" s="124">
        <f>IF(OR(Y346="",G346=""),"",Y346-G346)</f>
        <v/>
      </c>
      <c r="AO346" s="124">
        <f>IF(OR(Z346="",H346=""),"",Z346-H346)</f>
        <v/>
      </c>
      <c r="AP346" s="124">
        <f>IF(OR(AA346="",I346=""),"",AA346-I346)</f>
        <v/>
      </c>
      <c r="AQ346" s="90">
        <f>IF(OR(AB346="",J346=""),"",AB346-J346)</f>
        <v/>
      </c>
      <c r="AR346" s="39" t="n"/>
      <c r="AS346" s="332" t="n"/>
      <c r="AT346" s="39" t="n"/>
    </row>
    <row r="347" ht="13.5" customHeight="1" s="279" thickBot="1">
      <c r="B347" s="295" t="n"/>
      <c r="C347" s="29" t="n"/>
      <c r="D347" s="191" t="n"/>
      <c r="E347" s="58" t="n"/>
      <c r="F347" s="194" t="n"/>
      <c r="G347" s="194" t="n"/>
      <c r="H347" s="194" t="n"/>
      <c r="I347" s="58" t="n"/>
      <c r="J347" s="58" t="n"/>
      <c r="K347" s="193" t="n"/>
      <c r="L347" s="357" t="n"/>
      <c r="M347" s="357" t="n"/>
      <c r="N347" s="58" t="n"/>
      <c r="O347" s="30" t="n"/>
      <c r="P347" s="58" t="n"/>
      <c r="Q347" s="30" t="n"/>
      <c r="R347" s="189" t="n"/>
      <c r="S347" s="301" t="n"/>
      <c r="T347" s="295" t="n"/>
      <c r="U347" s="29" t="n"/>
      <c r="V347" s="191" t="n"/>
      <c r="W347" s="58" t="n"/>
      <c r="X347" s="194" t="n"/>
      <c r="Y347" s="194" t="n"/>
      <c r="Z347" s="194" t="n"/>
      <c r="AA347" s="58" t="n"/>
      <c r="AB347" s="58" t="n"/>
      <c r="AC347" s="193" t="n"/>
      <c r="AD347" s="357" t="n"/>
      <c r="AE347" s="357" t="n"/>
      <c r="AF347" s="58" t="n"/>
      <c r="AG347" s="30" t="n"/>
      <c r="AH347" s="58" t="n"/>
      <c r="AI347" s="30" t="n"/>
      <c r="AJ347" s="189" t="n"/>
      <c r="AK347" s="212" t="n"/>
      <c r="AL347" s="295" t="n"/>
      <c r="AM347" s="125">
        <f>IF(OR(X347="",F347=""),"",X347-F347)</f>
        <v/>
      </c>
      <c r="AN347" s="126">
        <f>IF(OR(Y347="",G347=""),"",Y347-G347)</f>
        <v/>
      </c>
      <c r="AO347" s="126">
        <f>IF(OR(Z347="",H347=""),"",Z347-H347)</f>
        <v/>
      </c>
      <c r="AP347" s="126">
        <f>IF(OR(AA347="",I347=""),"",AA347-I347)</f>
        <v/>
      </c>
      <c r="AQ347" s="127">
        <f>IF(OR(AB347="",J347=""),"",AB347-J347)</f>
        <v/>
      </c>
      <c r="AR347" s="39" t="n"/>
      <c r="AS347" s="332" t="n"/>
      <c r="AT347" s="39" t="n"/>
    </row>
    <row r="348" ht="13.5" customHeight="1" s="279">
      <c r="B348" s="293" t="inlineStr">
        <is>
          <t>v63</t>
        </is>
      </c>
      <c r="C348" s="27" t="inlineStr">
        <is>
          <t>r01</t>
        </is>
      </c>
      <c r="D348" s="41" t="n"/>
      <c r="E348" s="57" t="n"/>
      <c r="F348" s="99" t="n"/>
      <c r="G348" s="99" t="n"/>
      <c r="H348" s="99" t="n"/>
      <c r="I348" s="62" t="n"/>
      <c r="J348" s="62" t="n"/>
      <c r="K348" s="63" t="n"/>
      <c r="L348" s="356" t="n"/>
      <c r="M348" s="356" t="n"/>
      <c r="N348" s="57" t="n"/>
      <c r="O348" s="28" t="n"/>
      <c r="P348" s="57" t="n"/>
      <c r="Q348" s="28" t="n"/>
      <c r="R348" s="134" t="n"/>
      <c r="S348" s="301" t="n"/>
      <c r="T348" s="293" t="inlineStr">
        <is>
          <t>v63</t>
        </is>
      </c>
      <c r="U348" s="27" t="inlineStr">
        <is>
          <t>r01</t>
        </is>
      </c>
      <c r="V348" s="41" t="n"/>
      <c r="W348" s="57" t="n"/>
      <c r="X348" s="99" t="n"/>
      <c r="Y348" s="99" t="n"/>
      <c r="Z348" s="99" t="n"/>
      <c r="AA348" s="62" t="n"/>
      <c r="AB348" s="62" t="n"/>
      <c r="AC348" s="63" t="n"/>
      <c r="AD348" s="356" t="n"/>
      <c r="AE348" s="356" t="n"/>
      <c r="AF348" s="57" t="n"/>
      <c r="AG348" s="28" t="n"/>
      <c r="AH348" s="57" t="n"/>
      <c r="AI348" s="28" t="n"/>
      <c r="AJ348" s="134" t="n"/>
      <c r="AK348" s="212" t="n"/>
      <c r="AL348" s="293" t="inlineStr">
        <is>
          <t>v63</t>
        </is>
      </c>
      <c r="AM348" s="122">
        <f>IF(OR(X348="",F348=""),"",X348-F348)</f>
        <v/>
      </c>
      <c r="AN348" s="98">
        <f>IF(OR(Y348="",G348=""),"",Y348-G348)</f>
        <v/>
      </c>
      <c r="AO348" s="98">
        <f>IF(OR(Z348="",H348=""),"",Z348-H348)</f>
        <v/>
      </c>
      <c r="AP348" s="98">
        <f>IF(OR(AA348="",I348=""),"",AA348-I348)</f>
        <v/>
      </c>
      <c r="AQ348" s="123">
        <f>IF(OR(AB348="",J348=""),"",AB348-J348)</f>
        <v/>
      </c>
      <c r="AR348" s="39" t="n"/>
      <c r="AS348" s="332" t="n"/>
      <c r="AT348" s="39" t="n"/>
    </row>
    <row r="349" ht="13.5" customHeight="1" s="279">
      <c r="B349" s="294" t="n"/>
      <c r="C349" s="29" t="inlineStr">
        <is>
          <t>r02</t>
        </is>
      </c>
      <c r="D349" s="191" t="n"/>
      <c r="E349" s="58" t="n"/>
      <c r="F349" s="192" t="n"/>
      <c r="G349" s="192" t="n"/>
      <c r="H349" s="192" t="n"/>
      <c r="I349" s="64" t="n"/>
      <c r="J349" s="64" t="n"/>
      <c r="K349" s="193" t="n"/>
      <c r="L349" s="357" t="n"/>
      <c r="M349" s="357" t="n"/>
      <c r="N349" s="58" t="n"/>
      <c r="O349" s="30" t="n"/>
      <c r="P349" s="58" t="n"/>
      <c r="Q349" s="30" t="n"/>
      <c r="R349" s="135" t="n"/>
      <c r="S349" s="301" t="n"/>
      <c r="T349" s="294" t="n"/>
      <c r="U349" s="29" t="inlineStr">
        <is>
          <t>r02</t>
        </is>
      </c>
      <c r="V349" s="191" t="n"/>
      <c r="W349" s="58" t="n"/>
      <c r="X349" s="192" t="n"/>
      <c r="Y349" s="192" t="n"/>
      <c r="Z349" s="192" t="n"/>
      <c r="AA349" s="64" t="n"/>
      <c r="AB349" s="64" t="n"/>
      <c r="AC349" s="193" t="n"/>
      <c r="AD349" s="357" t="n"/>
      <c r="AE349" s="357" t="n"/>
      <c r="AF349" s="58" t="n"/>
      <c r="AG349" s="30" t="n"/>
      <c r="AH349" s="58" t="n"/>
      <c r="AI349" s="30" t="n"/>
      <c r="AJ349" s="135" t="n"/>
      <c r="AK349" s="212" t="n"/>
      <c r="AL349" s="294" t="n"/>
      <c r="AM349" s="89">
        <f>IF(OR(X349="",F349=""),"",X349-F349)</f>
        <v/>
      </c>
      <c r="AN349" s="124">
        <f>IF(OR(Y349="",G349=""),"",Y349-G349)</f>
        <v/>
      </c>
      <c r="AO349" s="124">
        <f>IF(OR(Z349="",H349=""),"",Z349-H349)</f>
        <v/>
      </c>
      <c r="AP349" s="124">
        <f>IF(OR(AA349="",I349=""),"",AA349-I349)</f>
        <v/>
      </c>
      <c r="AQ349" s="90">
        <f>IF(OR(AB349="",J349=""),"",AB349-J349)</f>
        <v/>
      </c>
      <c r="AR349" s="39" t="n"/>
      <c r="AS349" s="332" t="n"/>
      <c r="AT349" s="39" t="n"/>
    </row>
    <row r="350" ht="13.5" customHeight="1" s="279">
      <c r="B350" s="294" t="n"/>
      <c r="C350" s="29" t="inlineStr">
        <is>
          <t>r03</t>
        </is>
      </c>
      <c r="D350" s="191" t="n"/>
      <c r="E350" s="58" t="n"/>
      <c r="F350" s="192" t="n"/>
      <c r="G350" s="192" t="n"/>
      <c r="H350" s="192" t="n"/>
      <c r="I350" s="64" t="n"/>
      <c r="J350" s="64" t="n"/>
      <c r="K350" s="193" t="n"/>
      <c r="L350" s="357" t="n"/>
      <c r="M350" s="357" t="n"/>
      <c r="N350" s="58" t="n"/>
      <c r="O350" s="30" t="n"/>
      <c r="P350" s="58" t="n"/>
      <c r="Q350" s="30" t="n"/>
      <c r="R350" s="135" t="n"/>
      <c r="S350" s="301" t="n"/>
      <c r="T350" s="294" t="n"/>
      <c r="U350" s="29" t="inlineStr">
        <is>
          <t>r03</t>
        </is>
      </c>
      <c r="V350" s="191" t="n"/>
      <c r="W350" s="58" t="n"/>
      <c r="X350" s="192" t="n"/>
      <c r="Y350" s="192" t="n"/>
      <c r="Z350" s="192" t="n"/>
      <c r="AA350" s="64" t="n"/>
      <c r="AB350" s="64" t="n"/>
      <c r="AC350" s="193" t="n"/>
      <c r="AD350" s="357" t="n"/>
      <c r="AE350" s="357" t="n"/>
      <c r="AF350" s="58" t="n"/>
      <c r="AG350" s="30" t="n"/>
      <c r="AH350" s="58" t="n"/>
      <c r="AI350" s="30" t="n"/>
      <c r="AJ350" s="135" t="n"/>
      <c r="AK350" s="212" t="n"/>
      <c r="AL350" s="294" t="n"/>
      <c r="AM350" s="89">
        <f>IF(OR(X350="",F350=""),"",X350-F350)</f>
        <v/>
      </c>
      <c r="AN350" s="124">
        <f>IF(OR(Y350="",G350=""),"",Y350-G350)</f>
        <v/>
      </c>
      <c r="AO350" s="124">
        <f>IF(OR(Z350="",H350=""),"",Z350-H350)</f>
        <v/>
      </c>
      <c r="AP350" s="124">
        <f>IF(OR(AA350="",I350=""),"",AA350-I350)</f>
        <v/>
      </c>
      <c r="AQ350" s="90">
        <f>IF(OR(AB350="",J350=""),"",AB350-J350)</f>
        <v/>
      </c>
      <c r="AR350" s="39" t="n"/>
      <c r="AS350" s="332" t="n"/>
      <c r="AT350" s="39" t="n"/>
    </row>
    <row r="351" ht="13.5" customHeight="1" s="279">
      <c r="B351" s="294" t="n"/>
      <c r="C351" s="29" t="inlineStr">
        <is>
          <t>r04</t>
        </is>
      </c>
      <c r="D351" s="191" t="n"/>
      <c r="E351" s="58" t="n"/>
      <c r="F351" s="192" t="n"/>
      <c r="G351" s="192" t="n"/>
      <c r="H351" s="192" t="n"/>
      <c r="I351" s="64" t="n"/>
      <c r="J351" s="64" t="n"/>
      <c r="K351" s="193" t="n"/>
      <c r="L351" s="357" t="n"/>
      <c r="M351" s="357" t="n"/>
      <c r="N351" s="58" t="n"/>
      <c r="O351" s="30" t="n"/>
      <c r="P351" s="58" t="n"/>
      <c r="Q351" s="30" t="n"/>
      <c r="R351" s="135" t="n"/>
      <c r="S351" s="301" t="n"/>
      <c r="T351" s="294" t="n"/>
      <c r="U351" s="29" t="inlineStr">
        <is>
          <t>r04</t>
        </is>
      </c>
      <c r="V351" s="191" t="n"/>
      <c r="W351" s="58" t="n"/>
      <c r="X351" s="192" t="n"/>
      <c r="Y351" s="192" t="n"/>
      <c r="Z351" s="192" t="n"/>
      <c r="AA351" s="64" t="n"/>
      <c r="AB351" s="64" t="n"/>
      <c r="AC351" s="193" t="n"/>
      <c r="AD351" s="357" t="n"/>
      <c r="AE351" s="357" t="n"/>
      <c r="AF351" s="58" t="n"/>
      <c r="AG351" s="30" t="n"/>
      <c r="AH351" s="58" t="n"/>
      <c r="AI351" s="30" t="n"/>
      <c r="AJ351" s="135" t="n"/>
      <c r="AK351" s="212" t="n"/>
      <c r="AL351" s="294" t="n"/>
      <c r="AM351" s="89">
        <f>IF(OR(X351="",F351=""),"",X351-F351)</f>
        <v/>
      </c>
      <c r="AN351" s="124">
        <f>IF(OR(Y351="",G351=""),"",Y351-G351)</f>
        <v/>
      </c>
      <c r="AO351" s="124">
        <f>IF(OR(Z351="",H351=""),"",Z351-H351)</f>
        <v/>
      </c>
      <c r="AP351" s="124">
        <f>IF(OR(AA351="",I351=""),"",AA351-I351)</f>
        <v/>
      </c>
      <c r="AQ351" s="90">
        <f>IF(OR(AB351="",J351=""),"",AB351-J351)</f>
        <v/>
      </c>
      <c r="AR351" s="39" t="n"/>
      <c r="AS351" s="332" t="n"/>
      <c r="AT351" s="39" t="n"/>
    </row>
    <row r="352" ht="13.5" customHeight="1" s="279" thickBot="1">
      <c r="B352" s="295" t="n"/>
      <c r="C352" s="29" t="n"/>
      <c r="D352" s="191" t="n"/>
      <c r="E352" s="58" t="n"/>
      <c r="F352" s="194" t="n"/>
      <c r="G352" s="194" t="n"/>
      <c r="H352" s="194" t="n"/>
      <c r="I352" s="58" t="n"/>
      <c r="J352" s="58" t="n"/>
      <c r="K352" s="193" t="n"/>
      <c r="L352" s="357" t="n"/>
      <c r="M352" s="357" t="n"/>
      <c r="N352" s="58" t="n"/>
      <c r="O352" s="30" t="n"/>
      <c r="P352" s="58" t="n"/>
      <c r="Q352" s="30" t="n"/>
      <c r="R352" s="189" t="n"/>
      <c r="S352" s="301" t="n"/>
      <c r="T352" s="295" t="n"/>
      <c r="U352" s="29" t="n"/>
      <c r="V352" s="191" t="n"/>
      <c r="W352" s="58" t="n"/>
      <c r="X352" s="194" t="n"/>
      <c r="Y352" s="194" t="n"/>
      <c r="Z352" s="194" t="n"/>
      <c r="AA352" s="58" t="n"/>
      <c r="AB352" s="58" t="n"/>
      <c r="AC352" s="193" t="n"/>
      <c r="AD352" s="357" t="n"/>
      <c r="AE352" s="357" t="n"/>
      <c r="AF352" s="58" t="n"/>
      <c r="AG352" s="30" t="n"/>
      <c r="AH352" s="58" t="n"/>
      <c r="AI352" s="30" t="n"/>
      <c r="AJ352" s="189" t="n"/>
      <c r="AK352" s="212" t="n"/>
      <c r="AL352" s="295" t="n"/>
      <c r="AM352" s="125">
        <f>IF(OR(X352="",F352=""),"",X352-F352)</f>
        <v/>
      </c>
      <c r="AN352" s="126">
        <f>IF(OR(Y352="",G352=""),"",Y352-G352)</f>
        <v/>
      </c>
      <c r="AO352" s="126">
        <f>IF(OR(Z352="",H352=""),"",Z352-H352)</f>
        <v/>
      </c>
      <c r="AP352" s="126">
        <f>IF(OR(AA352="",I352=""),"",AA352-I352)</f>
        <v/>
      </c>
      <c r="AQ352" s="127">
        <f>IF(OR(AB352="",J352=""),"",AB352-J352)</f>
        <v/>
      </c>
      <c r="AR352" s="39" t="n"/>
      <c r="AS352" s="332" t="n"/>
      <c r="AT352" s="39" t="n"/>
    </row>
    <row r="353" ht="13.5" customHeight="1" s="279">
      <c r="B353" s="293" t="inlineStr">
        <is>
          <t>v64</t>
        </is>
      </c>
      <c r="C353" s="27" t="inlineStr">
        <is>
          <t>r01</t>
        </is>
      </c>
      <c r="D353" s="41" t="n"/>
      <c r="E353" s="57" t="n"/>
      <c r="F353" s="99" t="n"/>
      <c r="G353" s="99" t="n"/>
      <c r="H353" s="99" t="n"/>
      <c r="I353" s="62" t="n"/>
      <c r="J353" s="62" t="n"/>
      <c r="K353" s="63" t="n"/>
      <c r="L353" s="356" t="n"/>
      <c r="M353" s="356" t="n"/>
      <c r="N353" s="57" t="n"/>
      <c r="O353" s="28" t="n"/>
      <c r="P353" s="57" t="n"/>
      <c r="Q353" s="28" t="n"/>
      <c r="R353" s="134" t="n"/>
      <c r="S353" s="301" t="n"/>
      <c r="T353" s="293" t="inlineStr">
        <is>
          <t>v64</t>
        </is>
      </c>
      <c r="U353" s="27" t="inlineStr">
        <is>
          <t>r01</t>
        </is>
      </c>
      <c r="V353" s="41" t="n"/>
      <c r="W353" s="57" t="n"/>
      <c r="X353" s="99" t="n"/>
      <c r="Y353" s="99" t="n"/>
      <c r="Z353" s="99" t="n"/>
      <c r="AA353" s="62" t="n"/>
      <c r="AB353" s="62" t="n"/>
      <c r="AC353" s="63" t="n"/>
      <c r="AD353" s="356" t="n"/>
      <c r="AE353" s="356" t="n"/>
      <c r="AF353" s="57" t="n"/>
      <c r="AG353" s="28" t="n"/>
      <c r="AH353" s="57" t="n"/>
      <c r="AI353" s="28" t="n"/>
      <c r="AJ353" s="134" t="n"/>
      <c r="AK353" s="212" t="n"/>
      <c r="AL353" s="293" t="inlineStr">
        <is>
          <t>v64</t>
        </is>
      </c>
      <c r="AM353" s="122">
        <f>IF(OR(X353="",F353=""),"",X353-F353)</f>
        <v/>
      </c>
      <c r="AN353" s="98">
        <f>IF(OR(Y353="",G353=""),"",Y353-G353)</f>
        <v/>
      </c>
      <c r="AO353" s="98">
        <f>IF(OR(Z353="",H353=""),"",Z353-H353)</f>
        <v/>
      </c>
      <c r="AP353" s="98">
        <f>IF(OR(AA353="",I353=""),"",AA353-I353)</f>
        <v/>
      </c>
      <c r="AQ353" s="123">
        <f>IF(OR(AB353="",J353=""),"",AB353-J353)</f>
        <v/>
      </c>
      <c r="AR353" s="39" t="n"/>
      <c r="AS353" s="332" t="n"/>
      <c r="AT353" s="39" t="n"/>
    </row>
    <row r="354" ht="13.5" customHeight="1" s="279">
      <c r="B354" s="294" t="n"/>
      <c r="C354" s="29" t="inlineStr">
        <is>
          <t>r02</t>
        </is>
      </c>
      <c r="D354" s="191" t="n"/>
      <c r="E354" s="58" t="n"/>
      <c r="F354" s="192" t="n"/>
      <c r="G354" s="192" t="n"/>
      <c r="H354" s="192" t="n"/>
      <c r="I354" s="64" t="n"/>
      <c r="J354" s="64" t="n"/>
      <c r="K354" s="193" t="n"/>
      <c r="L354" s="357" t="n"/>
      <c r="M354" s="357" t="n"/>
      <c r="N354" s="58" t="n"/>
      <c r="O354" s="30" t="n"/>
      <c r="P354" s="58" t="n"/>
      <c r="Q354" s="30" t="n"/>
      <c r="R354" s="135" t="n"/>
      <c r="S354" s="301" t="n"/>
      <c r="T354" s="294" t="n"/>
      <c r="U354" s="29" t="inlineStr">
        <is>
          <t>r02</t>
        </is>
      </c>
      <c r="V354" s="191" t="n"/>
      <c r="W354" s="58" t="n"/>
      <c r="X354" s="192" t="n"/>
      <c r="Y354" s="192" t="n"/>
      <c r="Z354" s="192" t="n"/>
      <c r="AA354" s="64" t="n"/>
      <c r="AB354" s="64" t="n"/>
      <c r="AC354" s="193" t="n"/>
      <c r="AD354" s="357" t="n"/>
      <c r="AE354" s="357" t="n"/>
      <c r="AF354" s="58" t="n"/>
      <c r="AG354" s="30" t="n"/>
      <c r="AH354" s="58" t="n"/>
      <c r="AI354" s="30" t="n"/>
      <c r="AJ354" s="135" t="n"/>
      <c r="AK354" s="212" t="n"/>
      <c r="AL354" s="294" t="n"/>
      <c r="AM354" s="89">
        <f>IF(OR(X354="",F354=""),"",X354-F354)</f>
        <v/>
      </c>
      <c r="AN354" s="124">
        <f>IF(OR(Y354="",G354=""),"",Y354-G354)</f>
        <v/>
      </c>
      <c r="AO354" s="124">
        <f>IF(OR(Z354="",H354=""),"",Z354-H354)</f>
        <v/>
      </c>
      <c r="AP354" s="124">
        <f>IF(OR(AA354="",I354=""),"",AA354-I354)</f>
        <v/>
      </c>
      <c r="AQ354" s="90">
        <f>IF(OR(AB354="",J354=""),"",AB354-J354)</f>
        <v/>
      </c>
      <c r="AR354" s="39" t="n"/>
      <c r="AS354" s="332" t="n"/>
      <c r="AT354" s="39" t="n"/>
    </row>
    <row r="355" ht="13.5" customHeight="1" s="279">
      <c r="B355" s="294" t="n"/>
      <c r="C355" s="29" t="inlineStr">
        <is>
          <t>r03</t>
        </is>
      </c>
      <c r="D355" s="191" t="n"/>
      <c r="E355" s="58" t="n"/>
      <c r="F355" s="192" t="n"/>
      <c r="G355" s="192" t="n"/>
      <c r="H355" s="192" t="n"/>
      <c r="I355" s="64" t="n"/>
      <c r="J355" s="64" t="n"/>
      <c r="K355" s="193" t="n"/>
      <c r="L355" s="357" t="n"/>
      <c r="M355" s="357" t="n"/>
      <c r="N355" s="58" t="n"/>
      <c r="O355" s="30" t="n"/>
      <c r="P355" s="58" t="n"/>
      <c r="Q355" s="30" t="n"/>
      <c r="R355" s="135" t="n"/>
      <c r="S355" s="301" t="n"/>
      <c r="T355" s="294" t="n"/>
      <c r="U355" s="29" t="inlineStr">
        <is>
          <t>r03</t>
        </is>
      </c>
      <c r="V355" s="191" t="n"/>
      <c r="W355" s="58" t="n"/>
      <c r="X355" s="192" t="n"/>
      <c r="Y355" s="192" t="n"/>
      <c r="Z355" s="192" t="n"/>
      <c r="AA355" s="64" t="n"/>
      <c r="AB355" s="64" t="n"/>
      <c r="AC355" s="193" t="n"/>
      <c r="AD355" s="357" t="n"/>
      <c r="AE355" s="357" t="n"/>
      <c r="AF355" s="58" t="n"/>
      <c r="AG355" s="30" t="n"/>
      <c r="AH355" s="58" t="n"/>
      <c r="AI355" s="30" t="n"/>
      <c r="AJ355" s="135" t="n"/>
      <c r="AK355" s="212" t="n"/>
      <c r="AL355" s="294" t="n"/>
      <c r="AM355" s="89">
        <f>IF(OR(X355="",F355=""),"",X355-F355)</f>
        <v/>
      </c>
      <c r="AN355" s="124">
        <f>IF(OR(Y355="",G355=""),"",Y355-G355)</f>
        <v/>
      </c>
      <c r="AO355" s="124">
        <f>IF(OR(Z355="",H355=""),"",Z355-H355)</f>
        <v/>
      </c>
      <c r="AP355" s="124">
        <f>IF(OR(AA355="",I355=""),"",AA355-I355)</f>
        <v/>
      </c>
      <c r="AQ355" s="90">
        <f>IF(OR(AB355="",J355=""),"",AB355-J355)</f>
        <v/>
      </c>
      <c r="AR355" s="39" t="n"/>
      <c r="AS355" s="332" t="n"/>
      <c r="AT355" s="39" t="n"/>
    </row>
    <row r="356" ht="13.5" customHeight="1" s="279">
      <c r="B356" s="294" t="n"/>
      <c r="C356" s="29" t="inlineStr">
        <is>
          <t>r04</t>
        </is>
      </c>
      <c r="D356" s="191" t="n"/>
      <c r="E356" s="58" t="n"/>
      <c r="F356" s="192" t="n"/>
      <c r="G356" s="192" t="n"/>
      <c r="H356" s="192" t="n"/>
      <c r="I356" s="64" t="n"/>
      <c r="J356" s="64" t="n"/>
      <c r="K356" s="193" t="n"/>
      <c r="L356" s="357" t="n"/>
      <c r="M356" s="357" t="n"/>
      <c r="N356" s="58" t="n"/>
      <c r="O356" s="30" t="n"/>
      <c r="P356" s="58" t="n"/>
      <c r="Q356" s="30" t="n"/>
      <c r="R356" s="135" t="n"/>
      <c r="S356" s="301" t="n"/>
      <c r="T356" s="294" t="n"/>
      <c r="U356" s="29" t="inlineStr">
        <is>
          <t>r04</t>
        </is>
      </c>
      <c r="V356" s="191" t="n"/>
      <c r="W356" s="58" t="n"/>
      <c r="X356" s="192" t="n"/>
      <c r="Y356" s="192" t="n"/>
      <c r="Z356" s="192" t="n"/>
      <c r="AA356" s="64" t="n"/>
      <c r="AB356" s="64" t="n"/>
      <c r="AC356" s="193" t="n"/>
      <c r="AD356" s="357" t="n"/>
      <c r="AE356" s="357" t="n"/>
      <c r="AF356" s="58" t="n"/>
      <c r="AG356" s="30" t="n"/>
      <c r="AH356" s="58" t="n"/>
      <c r="AI356" s="30" t="n"/>
      <c r="AJ356" s="135" t="n"/>
      <c r="AK356" s="212" t="n"/>
      <c r="AL356" s="294" t="n"/>
      <c r="AM356" s="89">
        <f>IF(OR(X356="",F356=""),"",X356-F356)</f>
        <v/>
      </c>
      <c r="AN356" s="124">
        <f>IF(OR(Y356="",G356=""),"",Y356-G356)</f>
        <v/>
      </c>
      <c r="AO356" s="124">
        <f>IF(OR(Z356="",H356=""),"",Z356-H356)</f>
        <v/>
      </c>
      <c r="AP356" s="124">
        <f>IF(OR(AA356="",I356=""),"",AA356-I356)</f>
        <v/>
      </c>
      <c r="AQ356" s="90">
        <f>IF(OR(AB356="",J356=""),"",AB356-J356)</f>
        <v/>
      </c>
      <c r="AR356" s="39" t="n"/>
      <c r="AS356" s="332" t="n"/>
      <c r="AT356" s="39" t="n"/>
    </row>
    <row r="357" ht="13.5" customHeight="1" s="279" thickBot="1">
      <c r="B357" s="295" t="n"/>
      <c r="C357" s="29" t="n"/>
      <c r="D357" s="191" t="n"/>
      <c r="E357" s="58" t="n"/>
      <c r="F357" s="194" t="n"/>
      <c r="G357" s="194" t="n"/>
      <c r="H357" s="194" t="n"/>
      <c r="I357" s="58" t="n"/>
      <c r="J357" s="58" t="n"/>
      <c r="K357" s="193" t="n"/>
      <c r="L357" s="357" t="n"/>
      <c r="M357" s="357" t="n"/>
      <c r="N357" s="58" t="n"/>
      <c r="O357" s="30" t="n"/>
      <c r="P357" s="58" t="n"/>
      <c r="Q357" s="30" t="n"/>
      <c r="R357" s="189" t="n"/>
      <c r="S357" s="301" t="n"/>
      <c r="T357" s="295" t="n"/>
      <c r="U357" s="29" t="n"/>
      <c r="V357" s="191" t="n"/>
      <c r="W357" s="58" t="n"/>
      <c r="X357" s="194" t="n"/>
      <c r="Y357" s="194" t="n"/>
      <c r="Z357" s="194" t="n"/>
      <c r="AA357" s="58" t="n"/>
      <c r="AB357" s="58" t="n"/>
      <c r="AC357" s="193" t="n"/>
      <c r="AD357" s="357" t="n"/>
      <c r="AE357" s="357" t="n"/>
      <c r="AF357" s="58" t="n"/>
      <c r="AG357" s="30" t="n"/>
      <c r="AH357" s="58" t="n"/>
      <c r="AI357" s="30" t="n"/>
      <c r="AJ357" s="189" t="n"/>
      <c r="AK357" s="212" t="n"/>
      <c r="AL357" s="295" t="n"/>
      <c r="AM357" s="125">
        <f>IF(OR(X357="",F357=""),"",X357-F357)</f>
        <v/>
      </c>
      <c r="AN357" s="126">
        <f>IF(OR(Y357="",G357=""),"",Y357-G357)</f>
        <v/>
      </c>
      <c r="AO357" s="126">
        <f>IF(OR(Z357="",H357=""),"",Z357-H357)</f>
        <v/>
      </c>
      <c r="AP357" s="126">
        <f>IF(OR(AA357="",I357=""),"",AA357-I357)</f>
        <v/>
      </c>
      <c r="AQ357" s="127">
        <f>IF(OR(AB357="",J357=""),"",AB357-J357)</f>
        <v/>
      </c>
      <c r="AR357" s="39" t="n"/>
      <c r="AS357" s="332" t="n"/>
      <c r="AT357" s="39" t="n"/>
    </row>
    <row r="358" ht="13.5" customHeight="1" s="279">
      <c r="B358" s="293" t="inlineStr">
        <is>
          <t>v65</t>
        </is>
      </c>
      <c r="C358" s="27" t="inlineStr">
        <is>
          <t>r01</t>
        </is>
      </c>
      <c r="D358" s="41" t="n"/>
      <c r="E358" s="57" t="n"/>
      <c r="F358" s="99" t="n"/>
      <c r="G358" s="99" t="n"/>
      <c r="H358" s="99" t="n"/>
      <c r="I358" s="62" t="n"/>
      <c r="J358" s="62" t="n"/>
      <c r="K358" s="63" t="n"/>
      <c r="L358" s="356" t="n"/>
      <c r="M358" s="356" t="n"/>
      <c r="N358" s="57" t="n"/>
      <c r="O358" s="28" t="n"/>
      <c r="P358" s="57" t="n"/>
      <c r="Q358" s="28" t="n"/>
      <c r="R358" s="134" t="n"/>
      <c r="S358" s="301" t="n"/>
      <c r="T358" s="293" t="inlineStr">
        <is>
          <t>v65</t>
        </is>
      </c>
      <c r="U358" s="27" t="inlineStr">
        <is>
          <t>r01</t>
        </is>
      </c>
      <c r="V358" s="41" t="n"/>
      <c r="W358" s="57" t="n"/>
      <c r="X358" s="99" t="n"/>
      <c r="Y358" s="99" t="n"/>
      <c r="Z358" s="99" t="n"/>
      <c r="AA358" s="62" t="n"/>
      <c r="AB358" s="62" t="n"/>
      <c r="AC358" s="63" t="n"/>
      <c r="AD358" s="356" t="n"/>
      <c r="AE358" s="356" t="n"/>
      <c r="AF358" s="57" t="n"/>
      <c r="AG358" s="28" t="n"/>
      <c r="AH358" s="57" t="n"/>
      <c r="AI358" s="28" t="n"/>
      <c r="AJ358" s="134" t="n"/>
      <c r="AK358" s="212" t="n"/>
      <c r="AL358" s="293" t="inlineStr">
        <is>
          <t>v65</t>
        </is>
      </c>
      <c r="AM358" s="122">
        <f>IF(OR(X358="",F358=""),"",X358-F358)</f>
        <v/>
      </c>
      <c r="AN358" s="98">
        <f>IF(OR(Y358="",G358=""),"",Y358-G358)</f>
        <v/>
      </c>
      <c r="AO358" s="98">
        <f>IF(OR(Z358="",H358=""),"",Z358-H358)</f>
        <v/>
      </c>
      <c r="AP358" s="98">
        <f>IF(OR(AA358="",I358=""),"",AA358-I358)</f>
        <v/>
      </c>
      <c r="AQ358" s="123">
        <f>IF(OR(AB358="",J358=""),"",AB358-J358)</f>
        <v/>
      </c>
      <c r="AR358" s="39" t="n"/>
      <c r="AS358" s="332" t="n"/>
      <c r="AT358" s="39" t="n"/>
    </row>
    <row r="359" ht="13.5" customHeight="1" s="279">
      <c r="B359" s="294" t="n"/>
      <c r="C359" s="29" t="inlineStr">
        <is>
          <t>r02</t>
        </is>
      </c>
      <c r="D359" s="191" t="n"/>
      <c r="E359" s="58" t="n"/>
      <c r="F359" s="192" t="n"/>
      <c r="G359" s="192" t="n"/>
      <c r="H359" s="192" t="n"/>
      <c r="I359" s="64" t="n"/>
      <c r="J359" s="64" t="n"/>
      <c r="K359" s="193" t="n"/>
      <c r="L359" s="357" t="n"/>
      <c r="M359" s="357" t="n"/>
      <c r="N359" s="58" t="n"/>
      <c r="O359" s="30" t="n"/>
      <c r="P359" s="58" t="n"/>
      <c r="Q359" s="30" t="n"/>
      <c r="R359" s="135" t="n"/>
      <c r="S359" s="301" t="n"/>
      <c r="T359" s="294" t="n"/>
      <c r="U359" s="29" t="inlineStr">
        <is>
          <t>r02</t>
        </is>
      </c>
      <c r="V359" s="191" t="n"/>
      <c r="W359" s="58" t="n"/>
      <c r="X359" s="192" t="n"/>
      <c r="Y359" s="192" t="n"/>
      <c r="Z359" s="192" t="n"/>
      <c r="AA359" s="64" t="n"/>
      <c r="AB359" s="64" t="n"/>
      <c r="AC359" s="193" t="n"/>
      <c r="AD359" s="357" t="n"/>
      <c r="AE359" s="357" t="n"/>
      <c r="AF359" s="58" t="n"/>
      <c r="AG359" s="30" t="n"/>
      <c r="AH359" s="58" t="n"/>
      <c r="AI359" s="30" t="n"/>
      <c r="AJ359" s="135" t="n"/>
      <c r="AK359" s="212" t="n"/>
      <c r="AL359" s="294" t="n"/>
      <c r="AM359" s="89">
        <f>IF(OR(X359="",F359=""),"",X359-F359)</f>
        <v/>
      </c>
      <c r="AN359" s="124">
        <f>IF(OR(Y359="",G359=""),"",Y359-G359)</f>
        <v/>
      </c>
      <c r="AO359" s="124">
        <f>IF(OR(Z359="",H359=""),"",Z359-H359)</f>
        <v/>
      </c>
      <c r="AP359" s="124">
        <f>IF(OR(AA359="",I359=""),"",AA359-I359)</f>
        <v/>
      </c>
      <c r="AQ359" s="90">
        <f>IF(OR(AB359="",J359=""),"",AB359-J359)</f>
        <v/>
      </c>
      <c r="AR359" s="39" t="n"/>
      <c r="AS359" s="332" t="n"/>
      <c r="AT359" s="39" t="n"/>
    </row>
    <row r="360" ht="13.5" customHeight="1" s="279">
      <c r="B360" s="294" t="n"/>
      <c r="C360" s="29" t="inlineStr">
        <is>
          <t>r03</t>
        </is>
      </c>
      <c r="D360" s="191" t="n"/>
      <c r="E360" s="58" t="n"/>
      <c r="F360" s="192" t="n"/>
      <c r="G360" s="192" t="n"/>
      <c r="H360" s="192" t="n"/>
      <c r="I360" s="64" t="n"/>
      <c r="J360" s="64" t="n"/>
      <c r="K360" s="193" t="n"/>
      <c r="L360" s="357" t="n"/>
      <c r="M360" s="357" t="n"/>
      <c r="N360" s="58" t="n"/>
      <c r="O360" s="30" t="n"/>
      <c r="P360" s="58" t="n"/>
      <c r="Q360" s="30" t="n"/>
      <c r="R360" s="135" t="n"/>
      <c r="S360" s="301" t="n"/>
      <c r="T360" s="294" t="n"/>
      <c r="U360" s="29" t="inlineStr">
        <is>
          <t>r03</t>
        </is>
      </c>
      <c r="V360" s="191" t="n"/>
      <c r="W360" s="58" t="n"/>
      <c r="X360" s="192" t="n"/>
      <c r="Y360" s="192" t="n"/>
      <c r="Z360" s="192" t="n"/>
      <c r="AA360" s="64" t="n"/>
      <c r="AB360" s="64" t="n"/>
      <c r="AC360" s="193" t="n"/>
      <c r="AD360" s="357" t="n"/>
      <c r="AE360" s="357" t="n"/>
      <c r="AF360" s="58" t="n"/>
      <c r="AG360" s="30" t="n"/>
      <c r="AH360" s="58" t="n"/>
      <c r="AI360" s="30" t="n"/>
      <c r="AJ360" s="135" t="n"/>
      <c r="AK360" s="212" t="n"/>
      <c r="AL360" s="294" t="n"/>
      <c r="AM360" s="89">
        <f>IF(OR(X360="",F360=""),"",X360-F360)</f>
        <v/>
      </c>
      <c r="AN360" s="124">
        <f>IF(OR(Y360="",G360=""),"",Y360-G360)</f>
        <v/>
      </c>
      <c r="AO360" s="124">
        <f>IF(OR(Z360="",H360=""),"",Z360-H360)</f>
        <v/>
      </c>
      <c r="AP360" s="124">
        <f>IF(OR(AA360="",I360=""),"",AA360-I360)</f>
        <v/>
      </c>
      <c r="AQ360" s="90">
        <f>IF(OR(AB360="",J360=""),"",AB360-J360)</f>
        <v/>
      </c>
      <c r="AR360" s="39" t="n"/>
      <c r="AS360" s="332" t="n"/>
      <c r="AT360" s="39" t="n"/>
    </row>
    <row r="361" ht="13.5" customHeight="1" s="279">
      <c r="B361" s="294" t="n"/>
      <c r="C361" s="29" t="inlineStr">
        <is>
          <t>r04</t>
        </is>
      </c>
      <c r="D361" s="191" t="n"/>
      <c r="E361" s="58" t="n"/>
      <c r="F361" s="192" t="n"/>
      <c r="G361" s="192" t="n"/>
      <c r="H361" s="192" t="n"/>
      <c r="I361" s="64" t="n"/>
      <c r="J361" s="64" t="n"/>
      <c r="K361" s="193" t="n"/>
      <c r="L361" s="357" t="n"/>
      <c r="M361" s="357" t="n"/>
      <c r="N361" s="58" t="n"/>
      <c r="O361" s="30" t="n"/>
      <c r="P361" s="58" t="n"/>
      <c r="Q361" s="30" t="n"/>
      <c r="R361" s="135" t="n"/>
      <c r="S361" s="301" t="n"/>
      <c r="T361" s="294" t="n"/>
      <c r="U361" s="29" t="inlineStr">
        <is>
          <t>r04</t>
        </is>
      </c>
      <c r="V361" s="191" t="n"/>
      <c r="W361" s="58" t="n"/>
      <c r="X361" s="192" t="n"/>
      <c r="Y361" s="192" t="n"/>
      <c r="Z361" s="192" t="n"/>
      <c r="AA361" s="64" t="n"/>
      <c r="AB361" s="64" t="n"/>
      <c r="AC361" s="193" t="n"/>
      <c r="AD361" s="357" t="n"/>
      <c r="AE361" s="357" t="n"/>
      <c r="AF361" s="58" t="n"/>
      <c r="AG361" s="30" t="n"/>
      <c r="AH361" s="58" t="n"/>
      <c r="AI361" s="30" t="n"/>
      <c r="AJ361" s="135" t="n"/>
      <c r="AK361" s="212" t="n"/>
      <c r="AL361" s="294" t="n"/>
      <c r="AM361" s="89">
        <f>IF(OR(X361="",F361=""),"",X361-F361)</f>
        <v/>
      </c>
      <c r="AN361" s="124">
        <f>IF(OR(Y361="",G361=""),"",Y361-G361)</f>
        <v/>
      </c>
      <c r="AO361" s="124">
        <f>IF(OR(Z361="",H361=""),"",Z361-H361)</f>
        <v/>
      </c>
      <c r="AP361" s="124">
        <f>IF(OR(AA361="",I361=""),"",AA361-I361)</f>
        <v/>
      </c>
      <c r="AQ361" s="90">
        <f>IF(OR(AB361="",J361=""),"",AB361-J361)</f>
        <v/>
      </c>
      <c r="AR361" s="39" t="n"/>
      <c r="AS361" s="332" t="n"/>
      <c r="AT361" s="39" t="n"/>
    </row>
    <row r="362" ht="13.5" customHeight="1" s="279" thickBot="1">
      <c r="B362" s="295" t="n"/>
      <c r="C362" s="29" t="n"/>
      <c r="D362" s="191" t="n"/>
      <c r="E362" s="58" t="n"/>
      <c r="F362" s="194" t="n"/>
      <c r="G362" s="194" t="n"/>
      <c r="H362" s="194" t="n"/>
      <c r="I362" s="58" t="n"/>
      <c r="J362" s="58" t="n"/>
      <c r="K362" s="193" t="n"/>
      <c r="L362" s="357" t="n"/>
      <c r="M362" s="357" t="n"/>
      <c r="N362" s="58" t="n"/>
      <c r="O362" s="30" t="n"/>
      <c r="P362" s="58" t="n"/>
      <c r="Q362" s="30" t="n"/>
      <c r="R362" s="189" t="n"/>
      <c r="S362" s="301" t="n"/>
      <c r="T362" s="295" t="n"/>
      <c r="U362" s="29" t="n"/>
      <c r="V362" s="191" t="n"/>
      <c r="W362" s="58" t="n"/>
      <c r="X362" s="194" t="n"/>
      <c r="Y362" s="194" t="n"/>
      <c r="Z362" s="194" t="n"/>
      <c r="AA362" s="58" t="n"/>
      <c r="AB362" s="58" t="n"/>
      <c r="AC362" s="193" t="n"/>
      <c r="AD362" s="357" t="n"/>
      <c r="AE362" s="357" t="n"/>
      <c r="AF362" s="58" t="n"/>
      <c r="AG362" s="30" t="n"/>
      <c r="AH362" s="58" t="n"/>
      <c r="AI362" s="30" t="n"/>
      <c r="AJ362" s="189" t="n"/>
      <c r="AK362" s="212" t="n"/>
      <c r="AL362" s="295" t="n"/>
      <c r="AM362" s="125">
        <f>IF(OR(X362="",F362=""),"",X362-F362)</f>
        <v/>
      </c>
      <c r="AN362" s="126">
        <f>IF(OR(Y362="",G362=""),"",Y362-G362)</f>
        <v/>
      </c>
      <c r="AO362" s="126">
        <f>IF(OR(Z362="",H362=""),"",Z362-H362)</f>
        <v/>
      </c>
      <c r="AP362" s="126">
        <f>IF(OR(AA362="",I362=""),"",AA362-I362)</f>
        <v/>
      </c>
      <c r="AQ362" s="127">
        <f>IF(OR(AB362="",J362=""),"",AB362-J362)</f>
        <v/>
      </c>
      <c r="AR362" s="39" t="n"/>
      <c r="AS362" s="332" t="n"/>
      <c r="AT362" s="39" t="n"/>
    </row>
    <row r="363" ht="13.5" customHeight="1" s="279">
      <c r="B363" s="293" t="inlineStr">
        <is>
          <t>v66</t>
        </is>
      </c>
      <c r="C363" s="27" t="inlineStr">
        <is>
          <t>r01</t>
        </is>
      </c>
      <c r="D363" s="41" t="n"/>
      <c r="E363" s="57" t="n"/>
      <c r="F363" s="99" t="n"/>
      <c r="G363" s="99" t="n"/>
      <c r="H363" s="99" t="n"/>
      <c r="I363" s="62" t="n"/>
      <c r="J363" s="62" t="n"/>
      <c r="K363" s="63" t="n"/>
      <c r="L363" s="356" t="n"/>
      <c r="M363" s="356" t="n"/>
      <c r="N363" s="57" t="n"/>
      <c r="O363" s="28" t="n"/>
      <c r="P363" s="57" t="n"/>
      <c r="Q363" s="28" t="n"/>
      <c r="R363" s="134" t="n"/>
      <c r="S363" s="301" t="n"/>
      <c r="T363" s="293" t="inlineStr">
        <is>
          <t>v66</t>
        </is>
      </c>
      <c r="U363" s="27" t="inlineStr">
        <is>
          <t>r01</t>
        </is>
      </c>
      <c r="V363" s="41" t="n"/>
      <c r="W363" s="57" t="n"/>
      <c r="X363" s="99" t="n"/>
      <c r="Y363" s="99" t="n"/>
      <c r="Z363" s="99" t="n"/>
      <c r="AA363" s="62" t="n"/>
      <c r="AB363" s="62" t="n"/>
      <c r="AC363" s="63" t="n"/>
      <c r="AD363" s="356" t="n"/>
      <c r="AE363" s="356" t="n"/>
      <c r="AF363" s="57" t="n"/>
      <c r="AG363" s="28" t="n"/>
      <c r="AH363" s="57" t="n"/>
      <c r="AI363" s="28" t="n"/>
      <c r="AJ363" s="134" t="n"/>
      <c r="AK363" s="212" t="n"/>
      <c r="AL363" s="293" t="inlineStr">
        <is>
          <t>v66</t>
        </is>
      </c>
      <c r="AM363" s="122">
        <f>IF(OR(X363="",F363=""),"",X363-F363)</f>
        <v/>
      </c>
      <c r="AN363" s="98">
        <f>IF(OR(Y363="",G363=""),"",Y363-G363)</f>
        <v/>
      </c>
      <c r="AO363" s="98">
        <f>IF(OR(Z363="",H363=""),"",Z363-H363)</f>
        <v/>
      </c>
      <c r="AP363" s="98">
        <f>IF(OR(AA363="",I363=""),"",AA363-I363)</f>
        <v/>
      </c>
      <c r="AQ363" s="123">
        <f>IF(OR(AB363="",J363=""),"",AB363-J363)</f>
        <v/>
      </c>
      <c r="AR363" s="39" t="n"/>
      <c r="AS363" s="332" t="n"/>
      <c r="AT363" s="39" t="n"/>
    </row>
    <row r="364" ht="13.5" customHeight="1" s="279">
      <c r="B364" s="294" t="n"/>
      <c r="C364" s="29" t="inlineStr">
        <is>
          <t>r02</t>
        </is>
      </c>
      <c r="D364" s="191" t="n"/>
      <c r="E364" s="58" t="n"/>
      <c r="F364" s="192" t="n"/>
      <c r="G364" s="192" t="n"/>
      <c r="H364" s="192" t="n"/>
      <c r="I364" s="64" t="n"/>
      <c r="J364" s="64" t="n"/>
      <c r="K364" s="193" t="n"/>
      <c r="L364" s="357" t="n"/>
      <c r="M364" s="357" t="n"/>
      <c r="N364" s="58" t="n"/>
      <c r="O364" s="30" t="n"/>
      <c r="P364" s="58" t="n"/>
      <c r="Q364" s="30" t="n"/>
      <c r="R364" s="135" t="n"/>
      <c r="S364" s="301" t="n"/>
      <c r="T364" s="294" t="n"/>
      <c r="U364" s="29" t="inlineStr">
        <is>
          <t>r02</t>
        </is>
      </c>
      <c r="V364" s="191" t="n"/>
      <c r="W364" s="58" t="n"/>
      <c r="X364" s="192" t="n"/>
      <c r="Y364" s="192" t="n"/>
      <c r="Z364" s="192" t="n"/>
      <c r="AA364" s="64" t="n"/>
      <c r="AB364" s="64" t="n"/>
      <c r="AC364" s="193" t="n"/>
      <c r="AD364" s="357" t="n"/>
      <c r="AE364" s="357" t="n"/>
      <c r="AF364" s="58" t="n"/>
      <c r="AG364" s="30" t="n"/>
      <c r="AH364" s="58" t="n"/>
      <c r="AI364" s="30" t="n"/>
      <c r="AJ364" s="135" t="n"/>
      <c r="AK364" s="212" t="n"/>
      <c r="AL364" s="294" t="n"/>
      <c r="AM364" s="89">
        <f>IF(OR(X364="",F364=""),"",X364-F364)</f>
        <v/>
      </c>
      <c r="AN364" s="124">
        <f>IF(OR(Y364="",G364=""),"",Y364-G364)</f>
        <v/>
      </c>
      <c r="AO364" s="124">
        <f>IF(OR(Z364="",H364=""),"",Z364-H364)</f>
        <v/>
      </c>
      <c r="AP364" s="124">
        <f>IF(OR(AA364="",I364=""),"",AA364-I364)</f>
        <v/>
      </c>
      <c r="AQ364" s="90">
        <f>IF(OR(AB364="",J364=""),"",AB364-J364)</f>
        <v/>
      </c>
      <c r="AR364" s="39" t="n"/>
      <c r="AS364" s="332" t="n"/>
      <c r="AT364" s="39" t="n"/>
    </row>
    <row r="365" ht="13.5" customHeight="1" s="279">
      <c r="B365" s="294" t="n"/>
      <c r="C365" s="29" t="inlineStr">
        <is>
          <t>r03</t>
        </is>
      </c>
      <c r="D365" s="191" t="n"/>
      <c r="E365" s="58" t="n"/>
      <c r="F365" s="192" t="n"/>
      <c r="G365" s="192" t="n"/>
      <c r="H365" s="192" t="n"/>
      <c r="I365" s="64" t="n"/>
      <c r="J365" s="64" t="n"/>
      <c r="K365" s="193" t="n"/>
      <c r="L365" s="357" t="n"/>
      <c r="M365" s="357" t="n"/>
      <c r="N365" s="58" t="n"/>
      <c r="O365" s="30" t="n"/>
      <c r="P365" s="58" t="n"/>
      <c r="Q365" s="30" t="n"/>
      <c r="R365" s="135" t="n"/>
      <c r="S365" s="301" t="n"/>
      <c r="T365" s="294" t="n"/>
      <c r="U365" s="29" t="inlineStr">
        <is>
          <t>r03</t>
        </is>
      </c>
      <c r="V365" s="191" t="n"/>
      <c r="W365" s="58" t="n"/>
      <c r="X365" s="192" t="n"/>
      <c r="Y365" s="192" t="n"/>
      <c r="Z365" s="192" t="n"/>
      <c r="AA365" s="64" t="n"/>
      <c r="AB365" s="64" t="n"/>
      <c r="AC365" s="193" t="n"/>
      <c r="AD365" s="357" t="n"/>
      <c r="AE365" s="357" t="n"/>
      <c r="AF365" s="58" t="n"/>
      <c r="AG365" s="30" t="n"/>
      <c r="AH365" s="58" t="n"/>
      <c r="AI365" s="30" t="n"/>
      <c r="AJ365" s="135" t="n"/>
      <c r="AK365" s="212" t="n"/>
      <c r="AL365" s="294" t="n"/>
      <c r="AM365" s="89">
        <f>IF(OR(X365="",F365=""),"",X365-F365)</f>
        <v/>
      </c>
      <c r="AN365" s="124">
        <f>IF(OR(Y365="",G365=""),"",Y365-G365)</f>
        <v/>
      </c>
      <c r="AO365" s="124">
        <f>IF(OR(Z365="",H365=""),"",Z365-H365)</f>
        <v/>
      </c>
      <c r="AP365" s="124">
        <f>IF(OR(AA365="",I365=""),"",AA365-I365)</f>
        <v/>
      </c>
      <c r="AQ365" s="90">
        <f>IF(OR(AB365="",J365=""),"",AB365-J365)</f>
        <v/>
      </c>
      <c r="AR365" s="39" t="n"/>
      <c r="AS365" s="332" t="n"/>
      <c r="AT365" s="39" t="n"/>
    </row>
    <row r="366" ht="13.5" customHeight="1" s="279">
      <c r="B366" s="294" t="n"/>
      <c r="C366" s="29" t="inlineStr">
        <is>
          <t>r04</t>
        </is>
      </c>
      <c r="D366" s="191" t="n"/>
      <c r="E366" s="58" t="n"/>
      <c r="F366" s="192" t="n"/>
      <c r="G366" s="192" t="n"/>
      <c r="H366" s="192" t="n"/>
      <c r="I366" s="64" t="n"/>
      <c r="J366" s="64" t="n"/>
      <c r="K366" s="193" t="n"/>
      <c r="L366" s="357" t="n"/>
      <c r="M366" s="357" t="n"/>
      <c r="N366" s="58" t="n"/>
      <c r="O366" s="30" t="n"/>
      <c r="P366" s="58" t="n"/>
      <c r="Q366" s="30" t="n"/>
      <c r="R366" s="135" t="n"/>
      <c r="S366" s="301" t="n"/>
      <c r="T366" s="294" t="n"/>
      <c r="U366" s="29" t="inlineStr">
        <is>
          <t>r04</t>
        </is>
      </c>
      <c r="V366" s="191" t="n"/>
      <c r="W366" s="58" t="n"/>
      <c r="X366" s="192" t="n"/>
      <c r="Y366" s="192" t="n"/>
      <c r="Z366" s="192" t="n"/>
      <c r="AA366" s="64" t="n"/>
      <c r="AB366" s="64" t="n"/>
      <c r="AC366" s="193" t="n"/>
      <c r="AD366" s="357" t="n"/>
      <c r="AE366" s="357" t="n"/>
      <c r="AF366" s="58" t="n"/>
      <c r="AG366" s="30" t="n"/>
      <c r="AH366" s="58" t="n"/>
      <c r="AI366" s="30" t="n"/>
      <c r="AJ366" s="135" t="n"/>
      <c r="AK366" s="212" t="n"/>
      <c r="AL366" s="294" t="n"/>
      <c r="AM366" s="89">
        <f>IF(OR(X366="",F366=""),"",X366-F366)</f>
        <v/>
      </c>
      <c r="AN366" s="124">
        <f>IF(OR(Y366="",G366=""),"",Y366-G366)</f>
        <v/>
      </c>
      <c r="AO366" s="124">
        <f>IF(OR(Z366="",H366=""),"",Z366-H366)</f>
        <v/>
      </c>
      <c r="AP366" s="124">
        <f>IF(OR(AA366="",I366=""),"",AA366-I366)</f>
        <v/>
      </c>
      <c r="AQ366" s="90">
        <f>IF(OR(AB366="",J366=""),"",AB366-J366)</f>
        <v/>
      </c>
      <c r="AR366" s="39" t="n"/>
      <c r="AS366" s="332" t="n"/>
      <c r="AT366" s="39" t="n"/>
    </row>
    <row r="367" ht="13.5" customHeight="1" s="279" thickBot="1">
      <c r="B367" s="295" t="n"/>
      <c r="C367" s="29" t="n"/>
      <c r="D367" s="191" t="n"/>
      <c r="E367" s="58" t="n"/>
      <c r="F367" s="194" t="n"/>
      <c r="G367" s="194" t="n"/>
      <c r="H367" s="194" t="n"/>
      <c r="I367" s="58" t="n"/>
      <c r="J367" s="58" t="n"/>
      <c r="K367" s="193" t="n"/>
      <c r="L367" s="357" t="n"/>
      <c r="M367" s="357" t="n"/>
      <c r="N367" s="58" t="n"/>
      <c r="O367" s="30" t="n"/>
      <c r="P367" s="58" t="n"/>
      <c r="Q367" s="30" t="n"/>
      <c r="R367" s="189" t="n"/>
      <c r="S367" s="301" t="n"/>
      <c r="T367" s="295" t="n"/>
      <c r="U367" s="29" t="n"/>
      <c r="V367" s="191" t="n"/>
      <c r="W367" s="58" t="n"/>
      <c r="X367" s="194" t="n"/>
      <c r="Y367" s="194" t="n"/>
      <c r="Z367" s="194" t="n"/>
      <c r="AA367" s="58" t="n"/>
      <c r="AB367" s="58" t="n"/>
      <c r="AC367" s="193" t="n"/>
      <c r="AD367" s="357" t="n"/>
      <c r="AE367" s="357" t="n"/>
      <c r="AF367" s="58" t="n"/>
      <c r="AG367" s="30" t="n"/>
      <c r="AH367" s="58" t="n"/>
      <c r="AI367" s="30" t="n"/>
      <c r="AJ367" s="189" t="n"/>
      <c r="AK367" s="212" t="n"/>
      <c r="AL367" s="295" t="n"/>
      <c r="AM367" s="125">
        <f>IF(OR(X367="",F367=""),"",X367-F367)</f>
        <v/>
      </c>
      <c r="AN367" s="126">
        <f>IF(OR(Y367="",G367=""),"",Y367-G367)</f>
        <v/>
      </c>
      <c r="AO367" s="126">
        <f>IF(OR(Z367="",H367=""),"",Z367-H367)</f>
        <v/>
      </c>
      <c r="AP367" s="126">
        <f>IF(OR(AA367="",I367=""),"",AA367-I367)</f>
        <v/>
      </c>
      <c r="AQ367" s="127">
        <f>IF(OR(AB367="",J367=""),"",AB367-J367)</f>
        <v/>
      </c>
      <c r="AR367" s="39" t="n"/>
      <c r="AS367" s="332" t="n"/>
      <c r="AT367" s="39" t="n"/>
    </row>
    <row r="368" ht="13.5" customHeight="1" s="279">
      <c r="B368" s="293" t="inlineStr">
        <is>
          <t>v67</t>
        </is>
      </c>
      <c r="C368" s="27" t="inlineStr">
        <is>
          <t>r01</t>
        </is>
      </c>
      <c r="D368" s="41" t="n"/>
      <c r="E368" s="57" t="n"/>
      <c r="F368" s="99" t="n"/>
      <c r="G368" s="99" t="n"/>
      <c r="H368" s="99" t="n"/>
      <c r="I368" s="62" t="n"/>
      <c r="J368" s="62" t="n"/>
      <c r="K368" s="63" t="n"/>
      <c r="L368" s="356" t="n"/>
      <c r="M368" s="356" t="n"/>
      <c r="N368" s="57" t="n"/>
      <c r="O368" s="28" t="n"/>
      <c r="P368" s="57" t="n"/>
      <c r="Q368" s="28" t="n"/>
      <c r="R368" s="134" t="n"/>
      <c r="S368" s="301" t="n"/>
      <c r="T368" s="293" t="inlineStr">
        <is>
          <t>v67</t>
        </is>
      </c>
      <c r="U368" s="27" t="inlineStr">
        <is>
          <t>r01</t>
        </is>
      </c>
      <c r="V368" s="41" t="n"/>
      <c r="W368" s="57" t="n"/>
      <c r="X368" s="99" t="n"/>
      <c r="Y368" s="99" t="n"/>
      <c r="Z368" s="99" t="n"/>
      <c r="AA368" s="62" t="n"/>
      <c r="AB368" s="62" t="n"/>
      <c r="AC368" s="63" t="n"/>
      <c r="AD368" s="356" t="n"/>
      <c r="AE368" s="356" t="n"/>
      <c r="AF368" s="57" t="n"/>
      <c r="AG368" s="28" t="n"/>
      <c r="AH368" s="57" t="n"/>
      <c r="AI368" s="28" t="n"/>
      <c r="AJ368" s="134" t="n"/>
      <c r="AK368" s="212" t="n"/>
      <c r="AL368" s="293" t="inlineStr">
        <is>
          <t>v67</t>
        </is>
      </c>
      <c r="AM368" s="122">
        <f>IF(OR(X368="",F368=""),"",X368-F368)</f>
        <v/>
      </c>
      <c r="AN368" s="98">
        <f>IF(OR(Y368="",G368=""),"",Y368-G368)</f>
        <v/>
      </c>
      <c r="AO368" s="98">
        <f>IF(OR(Z368="",H368=""),"",Z368-H368)</f>
        <v/>
      </c>
      <c r="AP368" s="98">
        <f>IF(OR(AA368="",I368=""),"",AA368-I368)</f>
        <v/>
      </c>
      <c r="AQ368" s="123">
        <f>IF(OR(AB368="",J368=""),"",AB368-J368)</f>
        <v/>
      </c>
      <c r="AR368" s="39" t="n"/>
      <c r="AS368" s="332" t="n"/>
      <c r="AT368" s="39" t="n"/>
    </row>
    <row r="369" ht="13.5" customHeight="1" s="279">
      <c r="B369" s="294" t="n"/>
      <c r="C369" s="29" t="inlineStr">
        <is>
          <t>r02</t>
        </is>
      </c>
      <c r="D369" s="191" t="n"/>
      <c r="E369" s="58" t="n"/>
      <c r="F369" s="192" t="n"/>
      <c r="G369" s="192" t="n"/>
      <c r="H369" s="192" t="n"/>
      <c r="I369" s="64" t="n"/>
      <c r="J369" s="64" t="n"/>
      <c r="K369" s="193" t="n"/>
      <c r="L369" s="357" t="n"/>
      <c r="M369" s="357" t="n"/>
      <c r="N369" s="58" t="n"/>
      <c r="O369" s="30" t="n"/>
      <c r="P369" s="58" t="n"/>
      <c r="Q369" s="30" t="n"/>
      <c r="R369" s="135" t="n"/>
      <c r="S369" s="301" t="n"/>
      <c r="T369" s="294" t="n"/>
      <c r="U369" s="29" t="inlineStr">
        <is>
          <t>r02</t>
        </is>
      </c>
      <c r="V369" s="191" t="n"/>
      <c r="W369" s="58" t="n"/>
      <c r="X369" s="192" t="n"/>
      <c r="Y369" s="192" t="n"/>
      <c r="Z369" s="192" t="n"/>
      <c r="AA369" s="64" t="n"/>
      <c r="AB369" s="64" t="n"/>
      <c r="AC369" s="193" t="n"/>
      <c r="AD369" s="357" t="n"/>
      <c r="AE369" s="357" t="n"/>
      <c r="AF369" s="58" t="n"/>
      <c r="AG369" s="30" t="n"/>
      <c r="AH369" s="58" t="n"/>
      <c r="AI369" s="30" t="n"/>
      <c r="AJ369" s="135" t="n"/>
      <c r="AK369" s="212" t="n"/>
      <c r="AL369" s="294" t="n"/>
      <c r="AM369" s="89">
        <f>IF(OR(X369="",F369=""),"",X369-F369)</f>
        <v/>
      </c>
      <c r="AN369" s="124">
        <f>IF(OR(Y369="",G369=""),"",Y369-G369)</f>
        <v/>
      </c>
      <c r="AO369" s="124">
        <f>IF(OR(Z369="",H369=""),"",Z369-H369)</f>
        <v/>
      </c>
      <c r="AP369" s="124">
        <f>IF(OR(AA369="",I369=""),"",AA369-I369)</f>
        <v/>
      </c>
      <c r="AQ369" s="90">
        <f>IF(OR(AB369="",J369=""),"",AB369-J369)</f>
        <v/>
      </c>
      <c r="AR369" s="39" t="n"/>
      <c r="AS369" s="332" t="n"/>
      <c r="AT369" s="39" t="n"/>
    </row>
    <row r="370" ht="13.5" customHeight="1" s="279">
      <c r="B370" s="294" t="n"/>
      <c r="C370" s="29" t="inlineStr">
        <is>
          <t>r03</t>
        </is>
      </c>
      <c r="D370" s="191" t="n"/>
      <c r="E370" s="58" t="n"/>
      <c r="F370" s="192" t="n"/>
      <c r="G370" s="192" t="n"/>
      <c r="H370" s="192" t="n"/>
      <c r="I370" s="64" t="n"/>
      <c r="J370" s="64" t="n"/>
      <c r="K370" s="193" t="n"/>
      <c r="L370" s="357" t="n"/>
      <c r="M370" s="357" t="n"/>
      <c r="N370" s="58" t="n"/>
      <c r="O370" s="30" t="n"/>
      <c r="P370" s="58" t="n"/>
      <c r="Q370" s="30" t="n"/>
      <c r="R370" s="135" t="n"/>
      <c r="S370" s="301" t="n"/>
      <c r="T370" s="294" t="n"/>
      <c r="U370" s="29" t="inlineStr">
        <is>
          <t>r03</t>
        </is>
      </c>
      <c r="V370" s="191" t="n"/>
      <c r="W370" s="58" t="n"/>
      <c r="X370" s="192" t="n"/>
      <c r="Y370" s="192" t="n"/>
      <c r="Z370" s="192" t="n"/>
      <c r="AA370" s="64" t="n"/>
      <c r="AB370" s="64" t="n"/>
      <c r="AC370" s="193" t="n"/>
      <c r="AD370" s="357" t="n"/>
      <c r="AE370" s="357" t="n"/>
      <c r="AF370" s="58" t="n"/>
      <c r="AG370" s="30" t="n"/>
      <c r="AH370" s="58" t="n"/>
      <c r="AI370" s="30" t="n"/>
      <c r="AJ370" s="135" t="n"/>
      <c r="AK370" s="212" t="n"/>
      <c r="AL370" s="294" t="n"/>
      <c r="AM370" s="89">
        <f>IF(OR(X370="",F370=""),"",X370-F370)</f>
        <v/>
      </c>
      <c r="AN370" s="124">
        <f>IF(OR(Y370="",G370=""),"",Y370-G370)</f>
        <v/>
      </c>
      <c r="AO370" s="124">
        <f>IF(OR(Z370="",H370=""),"",Z370-H370)</f>
        <v/>
      </c>
      <c r="AP370" s="124">
        <f>IF(OR(AA370="",I370=""),"",AA370-I370)</f>
        <v/>
      </c>
      <c r="AQ370" s="90">
        <f>IF(OR(AB370="",J370=""),"",AB370-J370)</f>
        <v/>
      </c>
      <c r="AR370" s="39" t="n"/>
      <c r="AS370" s="332" t="n"/>
      <c r="AT370" s="39" t="n"/>
    </row>
    <row r="371" ht="13.5" customHeight="1" s="279">
      <c r="B371" s="294" t="n"/>
      <c r="C371" s="29" t="inlineStr">
        <is>
          <t>r04</t>
        </is>
      </c>
      <c r="D371" s="191" t="n"/>
      <c r="E371" s="58" t="n"/>
      <c r="F371" s="192" t="n"/>
      <c r="G371" s="192" t="n"/>
      <c r="H371" s="192" t="n"/>
      <c r="I371" s="64" t="n"/>
      <c r="J371" s="64" t="n"/>
      <c r="K371" s="193" t="n"/>
      <c r="L371" s="357" t="n"/>
      <c r="M371" s="357" t="n"/>
      <c r="N371" s="58" t="n"/>
      <c r="O371" s="30" t="n"/>
      <c r="P371" s="58" t="n"/>
      <c r="Q371" s="30" t="n"/>
      <c r="R371" s="135" t="n"/>
      <c r="S371" s="301" t="n"/>
      <c r="T371" s="294" t="n"/>
      <c r="U371" s="29" t="inlineStr">
        <is>
          <t>r04</t>
        </is>
      </c>
      <c r="V371" s="191" t="n"/>
      <c r="W371" s="58" t="n"/>
      <c r="X371" s="192" t="n"/>
      <c r="Y371" s="192" t="n"/>
      <c r="Z371" s="192" t="n"/>
      <c r="AA371" s="64" t="n"/>
      <c r="AB371" s="64" t="n"/>
      <c r="AC371" s="193" t="n"/>
      <c r="AD371" s="357" t="n"/>
      <c r="AE371" s="357" t="n"/>
      <c r="AF371" s="58" t="n"/>
      <c r="AG371" s="30" t="n"/>
      <c r="AH371" s="58" t="n"/>
      <c r="AI371" s="30" t="n"/>
      <c r="AJ371" s="135" t="n"/>
      <c r="AK371" s="212" t="n"/>
      <c r="AL371" s="294" t="n"/>
      <c r="AM371" s="89">
        <f>IF(OR(X371="",F371=""),"",X371-F371)</f>
        <v/>
      </c>
      <c r="AN371" s="124">
        <f>IF(OR(Y371="",G371=""),"",Y371-G371)</f>
        <v/>
      </c>
      <c r="AO371" s="124">
        <f>IF(OR(Z371="",H371=""),"",Z371-H371)</f>
        <v/>
      </c>
      <c r="AP371" s="124">
        <f>IF(OR(AA371="",I371=""),"",AA371-I371)</f>
        <v/>
      </c>
      <c r="AQ371" s="90">
        <f>IF(OR(AB371="",J371=""),"",AB371-J371)</f>
        <v/>
      </c>
      <c r="AR371" s="39" t="n"/>
      <c r="AS371" s="332" t="n"/>
      <c r="AT371" s="39" t="n"/>
    </row>
    <row r="372" ht="13.5" customHeight="1" s="279" thickBot="1">
      <c r="B372" s="295" t="n"/>
      <c r="C372" s="29" t="n"/>
      <c r="D372" s="191" t="n"/>
      <c r="E372" s="58" t="n"/>
      <c r="F372" s="194" t="n"/>
      <c r="G372" s="194" t="n"/>
      <c r="H372" s="194" t="n"/>
      <c r="I372" s="58" t="n"/>
      <c r="J372" s="58" t="n"/>
      <c r="K372" s="193" t="n"/>
      <c r="L372" s="357" t="n"/>
      <c r="M372" s="357" t="n"/>
      <c r="N372" s="58" t="n"/>
      <c r="O372" s="30" t="n"/>
      <c r="P372" s="58" t="n"/>
      <c r="Q372" s="30" t="n"/>
      <c r="R372" s="189" t="n"/>
      <c r="S372" s="301" t="n"/>
      <c r="T372" s="295" t="n"/>
      <c r="U372" s="29" t="n"/>
      <c r="V372" s="191" t="n"/>
      <c r="W372" s="58" t="n"/>
      <c r="X372" s="194" t="n"/>
      <c r="Y372" s="194" t="n"/>
      <c r="Z372" s="194" t="n"/>
      <c r="AA372" s="58" t="n"/>
      <c r="AB372" s="58" t="n"/>
      <c r="AC372" s="193" t="n"/>
      <c r="AD372" s="357" t="n"/>
      <c r="AE372" s="357" t="n"/>
      <c r="AF372" s="58" t="n"/>
      <c r="AG372" s="30" t="n"/>
      <c r="AH372" s="58" t="n"/>
      <c r="AI372" s="30" t="n"/>
      <c r="AJ372" s="189" t="n"/>
      <c r="AK372" s="212" t="n"/>
      <c r="AL372" s="295" t="n"/>
      <c r="AM372" s="125">
        <f>IF(OR(X372="",F372=""),"",X372-F372)</f>
        <v/>
      </c>
      <c r="AN372" s="126">
        <f>IF(OR(Y372="",G372=""),"",Y372-G372)</f>
        <v/>
      </c>
      <c r="AO372" s="126">
        <f>IF(OR(Z372="",H372=""),"",Z372-H372)</f>
        <v/>
      </c>
      <c r="AP372" s="126">
        <f>IF(OR(AA372="",I372=""),"",AA372-I372)</f>
        <v/>
      </c>
      <c r="AQ372" s="127">
        <f>IF(OR(AB372="",J372=""),"",AB372-J372)</f>
        <v/>
      </c>
      <c r="AR372" s="39" t="n"/>
      <c r="AS372" s="332" t="n"/>
      <c r="AT372" s="39" t="n"/>
    </row>
    <row r="373" ht="13.5" customHeight="1" s="279">
      <c r="B373" s="293" t="inlineStr">
        <is>
          <t>v68</t>
        </is>
      </c>
      <c r="C373" s="27" t="inlineStr">
        <is>
          <t>r01</t>
        </is>
      </c>
      <c r="D373" s="41" t="n"/>
      <c r="E373" s="57" t="n"/>
      <c r="F373" s="99" t="n"/>
      <c r="G373" s="99" t="n"/>
      <c r="H373" s="99" t="n"/>
      <c r="I373" s="62" t="n"/>
      <c r="J373" s="62" t="n"/>
      <c r="K373" s="63" t="n"/>
      <c r="L373" s="356" t="n"/>
      <c r="M373" s="356" t="n"/>
      <c r="N373" s="57" t="n"/>
      <c r="O373" s="28" t="n"/>
      <c r="P373" s="57" t="n"/>
      <c r="Q373" s="28" t="n"/>
      <c r="R373" s="134" t="n"/>
      <c r="S373" s="301" t="n"/>
      <c r="T373" s="293" t="inlineStr">
        <is>
          <t>v68</t>
        </is>
      </c>
      <c r="U373" s="27" t="inlineStr">
        <is>
          <t>r01</t>
        </is>
      </c>
      <c r="V373" s="41" t="n"/>
      <c r="W373" s="57" t="n"/>
      <c r="X373" s="99" t="n"/>
      <c r="Y373" s="99" t="n"/>
      <c r="Z373" s="99" t="n"/>
      <c r="AA373" s="62" t="n"/>
      <c r="AB373" s="62" t="n"/>
      <c r="AC373" s="63" t="n"/>
      <c r="AD373" s="356" t="n"/>
      <c r="AE373" s="356" t="n"/>
      <c r="AF373" s="57" t="n"/>
      <c r="AG373" s="28" t="n"/>
      <c r="AH373" s="57" t="n"/>
      <c r="AI373" s="28" t="n"/>
      <c r="AJ373" s="134" t="n"/>
      <c r="AK373" s="212" t="n"/>
      <c r="AL373" s="293" t="inlineStr">
        <is>
          <t>v68</t>
        </is>
      </c>
      <c r="AM373" s="122">
        <f>IF(OR(X373="",F373=""),"",X373-F373)</f>
        <v/>
      </c>
      <c r="AN373" s="98">
        <f>IF(OR(Y373="",G373=""),"",Y373-G373)</f>
        <v/>
      </c>
      <c r="AO373" s="98">
        <f>IF(OR(Z373="",H373=""),"",Z373-H373)</f>
        <v/>
      </c>
      <c r="AP373" s="98">
        <f>IF(OR(AA373="",I373=""),"",AA373-I373)</f>
        <v/>
      </c>
      <c r="AQ373" s="123">
        <f>IF(OR(AB373="",J373=""),"",AB373-J373)</f>
        <v/>
      </c>
      <c r="AR373" s="39" t="n"/>
      <c r="AS373" s="332" t="n"/>
      <c r="AT373" s="39" t="n"/>
    </row>
    <row r="374" ht="13.5" customHeight="1" s="279">
      <c r="B374" s="294" t="n"/>
      <c r="C374" s="29" t="inlineStr">
        <is>
          <t>r02</t>
        </is>
      </c>
      <c r="D374" s="191" t="n"/>
      <c r="E374" s="58" t="n"/>
      <c r="F374" s="192" t="n"/>
      <c r="G374" s="192" t="n"/>
      <c r="H374" s="192" t="n"/>
      <c r="I374" s="64" t="n"/>
      <c r="J374" s="64" t="n"/>
      <c r="K374" s="193" t="n"/>
      <c r="L374" s="357" t="n"/>
      <c r="M374" s="357" t="n"/>
      <c r="N374" s="58" t="n"/>
      <c r="O374" s="30" t="n"/>
      <c r="P374" s="58" t="n"/>
      <c r="Q374" s="30" t="n"/>
      <c r="R374" s="135" t="n"/>
      <c r="S374" s="301" t="n"/>
      <c r="T374" s="294" t="n"/>
      <c r="U374" s="29" t="inlineStr">
        <is>
          <t>r02</t>
        </is>
      </c>
      <c r="V374" s="191" t="n"/>
      <c r="W374" s="58" t="n"/>
      <c r="X374" s="192" t="n"/>
      <c r="Y374" s="192" t="n"/>
      <c r="Z374" s="192" t="n"/>
      <c r="AA374" s="64" t="n"/>
      <c r="AB374" s="64" t="n"/>
      <c r="AC374" s="193" t="n"/>
      <c r="AD374" s="357" t="n"/>
      <c r="AE374" s="357" t="n"/>
      <c r="AF374" s="58" t="n"/>
      <c r="AG374" s="30" t="n"/>
      <c r="AH374" s="58" t="n"/>
      <c r="AI374" s="30" t="n"/>
      <c r="AJ374" s="135" t="n"/>
      <c r="AK374" s="212" t="n"/>
      <c r="AL374" s="294" t="n"/>
      <c r="AM374" s="89">
        <f>IF(OR(X374="",F374=""),"",X374-F374)</f>
        <v/>
      </c>
      <c r="AN374" s="124">
        <f>IF(OR(Y374="",G374=""),"",Y374-G374)</f>
        <v/>
      </c>
      <c r="AO374" s="124">
        <f>IF(OR(Z374="",H374=""),"",Z374-H374)</f>
        <v/>
      </c>
      <c r="AP374" s="124">
        <f>IF(OR(AA374="",I374=""),"",AA374-I374)</f>
        <v/>
      </c>
      <c r="AQ374" s="90">
        <f>IF(OR(AB374="",J374=""),"",AB374-J374)</f>
        <v/>
      </c>
      <c r="AR374" s="39" t="n"/>
      <c r="AS374" s="332" t="n"/>
      <c r="AT374" s="39" t="n"/>
    </row>
    <row r="375" ht="13.5" customHeight="1" s="279">
      <c r="B375" s="294" t="n"/>
      <c r="C375" s="29" t="inlineStr">
        <is>
          <t>r03</t>
        </is>
      </c>
      <c r="D375" s="191" t="n"/>
      <c r="E375" s="58" t="n"/>
      <c r="F375" s="192" t="n"/>
      <c r="G375" s="192" t="n"/>
      <c r="H375" s="192" t="n"/>
      <c r="I375" s="64" t="n"/>
      <c r="J375" s="64" t="n"/>
      <c r="K375" s="193" t="n"/>
      <c r="L375" s="357" t="n"/>
      <c r="M375" s="357" t="n"/>
      <c r="N375" s="58" t="n"/>
      <c r="O375" s="30" t="n"/>
      <c r="P375" s="58" t="n"/>
      <c r="Q375" s="30" t="n"/>
      <c r="R375" s="135" t="n"/>
      <c r="S375" s="301" t="n"/>
      <c r="T375" s="294" t="n"/>
      <c r="U375" s="29" t="inlineStr">
        <is>
          <t>r03</t>
        </is>
      </c>
      <c r="V375" s="191" t="n"/>
      <c r="W375" s="58" t="n"/>
      <c r="X375" s="192" t="n"/>
      <c r="Y375" s="192" t="n"/>
      <c r="Z375" s="192" t="n"/>
      <c r="AA375" s="64" t="n"/>
      <c r="AB375" s="64" t="n"/>
      <c r="AC375" s="193" t="n"/>
      <c r="AD375" s="357" t="n"/>
      <c r="AE375" s="357" t="n"/>
      <c r="AF375" s="58" t="n"/>
      <c r="AG375" s="30" t="n"/>
      <c r="AH375" s="58" t="n"/>
      <c r="AI375" s="30" t="n"/>
      <c r="AJ375" s="135" t="n"/>
      <c r="AK375" s="212" t="n"/>
      <c r="AL375" s="294" t="n"/>
      <c r="AM375" s="89">
        <f>IF(OR(X375="",F375=""),"",X375-F375)</f>
        <v/>
      </c>
      <c r="AN375" s="124">
        <f>IF(OR(Y375="",G375=""),"",Y375-G375)</f>
        <v/>
      </c>
      <c r="AO375" s="124">
        <f>IF(OR(Z375="",H375=""),"",Z375-H375)</f>
        <v/>
      </c>
      <c r="AP375" s="124">
        <f>IF(OR(AA375="",I375=""),"",AA375-I375)</f>
        <v/>
      </c>
      <c r="AQ375" s="90">
        <f>IF(OR(AB375="",J375=""),"",AB375-J375)</f>
        <v/>
      </c>
      <c r="AR375" s="39" t="n"/>
      <c r="AS375" s="332" t="n"/>
      <c r="AT375" s="39" t="n"/>
    </row>
    <row r="376" ht="13.5" customHeight="1" s="279">
      <c r="B376" s="294" t="n"/>
      <c r="C376" s="29" t="inlineStr">
        <is>
          <t>r04</t>
        </is>
      </c>
      <c r="D376" s="191" t="n"/>
      <c r="E376" s="58" t="n"/>
      <c r="F376" s="192" t="n"/>
      <c r="G376" s="192" t="n"/>
      <c r="H376" s="192" t="n"/>
      <c r="I376" s="64" t="n"/>
      <c r="J376" s="64" t="n"/>
      <c r="K376" s="193" t="n"/>
      <c r="L376" s="357" t="n"/>
      <c r="M376" s="357" t="n"/>
      <c r="N376" s="58" t="n"/>
      <c r="O376" s="30" t="n"/>
      <c r="P376" s="58" t="n"/>
      <c r="Q376" s="30" t="n"/>
      <c r="R376" s="135" t="n"/>
      <c r="S376" s="301" t="n"/>
      <c r="T376" s="294" t="n"/>
      <c r="U376" s="29" t="inlineStr">
        <is>
          <t>r04</t>
        </is>
      </c>
      <c r="V376" s="191" t="n"/>
      <c r="W376" s="58" t="n"/>
      <c r="X376" s="192" t="n"/>
      <c r="Y376" s="192" t="n"/>
      <c r="Z376" s="192" t="n"/>
      <c r="AA376" s="64" t="n"/>
      <c r="AB376" s="64" t="n"/>
      <c r="AC376" s="193" t="n"/>
      <c r="AD376" s="357" t="n"/>
      <c r="AE376" s="357" t="n"/>
      <c r="AF376" s="58" t="n"/>
      <c r="AG376" s="30" t="n"/>
      <c r="AH376" s="58" t="n"/>
      <c r="AI376" s="30" t="n"/>
      <c r="AJ376" s="135" t="n"/>
      <c r="AK376" s="212" t="n"/>
      <c r="AL376" s="294" t="n"/>
      <c r="AM376" s="89">
        <f>IF(OR(X376="",F376=""),"",X376-F376)</f>
        <v/>
      </c>
      <c r="AN376" s="124">
        <f>IF(OR(Y376="",G376=""),"",Y376-G376)</f>
        <v/>
      </c>
      <c r="AO376" s="124">
        <f>IF(OR(Z376="",H376=""),"",Z376-H376)</f>
        <v/>
      </c>
      <c r="AP376" s="124">
        <f>IF(OR(AA376="",I376=""),"",AA376-I376)</f>
        <v/>
      </c>
      <c r="AQ376" s="90">
        <f>IF(OR(AB376="",J376=""),"",AB376-J376)</f>
        <v/>
      </c>
      <c r="AR376" s="39" t="n"/>
      <c r="AS376" s="332" t="n"/>
      <c r="AT376" s="39" t="n"/>
    </row>
    <row r="377" ht="13.5" customHeight="1" s="279" thickBot="1">
      <c r="B377" s="295" t="n"/>
      <c r="C377" s="29" t="n"/>
      <c r="D377" s="191" t="n"/>
      <c r="E377" s="58" t="n"/>
      <c r="F377" s="194" t="n"/>
      <c r="G377" s="194" t="n"/>
      <c r="H377" s="194" t="n"/>
      <c r="I377" s="58" t="n"/>
      <c r="J377" s="58" t="n"/>
      <c r="K377" s="193" t="n"/>
      <c r="L377" s="357" t="n"/>
      <c r="M377" s="357" t="n"/>
      <c r="N377" s="58" t="n"/>
      <c r="O377" s="30" t="n"/>
      <c r="P377" s="58" t="n"/>
      <c r="Q377" s="30" t="n"/>
      <c r="R377" s="189" t="n"/>
      <c r="S377" s="301" t="n"/>
      <c r="T377" s="295" t="n"/>
      <c r="U377" s="29" t="n"/>
      <c r="V377" s="191" t="n"/>
      <c r="W377" s="58" t="n"/>
      <c r="X377" s="194" t="n"/>
      <c r="Y377" s="194" t="n"/>
      <c r="Z377" s="194" t="n"/>
      <c r="AA377" s="58" t="n"/>
      <c r="AB377" s="58" t="n"/>
      <c r="AC377" s="193" t="n"/>
      <c r="AD377" s="357" t="n"/>
      <c r="AE377" s="357" t="n"/>
      <c r="AF377" s="58" t="n"/>
      <c r="AG377" s="30" t="n"/>
      <c r="AH377" s="58" t="n"/>
      <c r="AI377" s="30" t="n"/>
      <c r="AJ377" s="189" t="n"/>
      <c r="AK377" s="212" t="n"/>
      <c r="AL377" s="295" t="n"/>
      <c r="AM377" s="125">
        <f>IF(OR(X377="",F377=""),"",X377-F377)</f>
        <v/>
      </c>
      <c r="AN377" s="126">
        <f>IF(OR(Y377="",G377=""),"",Y377-G377)</f>
        <v/>
      </c>
      <c r="AO377" s="126">
        <f>IF(OR(Z377="",H377=""),"",Z377-H377)</f>
        <v/>
      </c>
      <c r="AP377" s="126">
        <f>IF(OR(AA377="",I377=""),"",AA377-I377)</f>
        <v/>
      </c>
      <c r="AQ377" s="127">
        <f>IF(OR(AB377="",J377=""),"",AB377-J377)</f>
        <v/>
      </c>
      <c r="AR377" s="39" t="n"/>
      <c r="AS377" s="332" t="n"/>
      <c r="AT377" s="39" t="n"/>
    </row>
    <row r="378" ht="13.5" customHeight="1" s="279">
      <c r="B378" s="293" t="inlineStr">
        <is>
          <t>v69</t>
        </is>
      </c>
      <c r="C378" s="27" t="inlineStr">
        <is>
          <t>r01</t>
        </is>
      </c>
      <c r="D378" s="41" t="n"/>
      <c r="E378" s="57" t="n"/>
      <c r="F378" s="99" t="n"/>
      <c r="G378" s="99" t="n"/>
      <c r="H378" s="99" t="n"/>
      <c r="I378" s="62" t="n"/>
      <c r="J378" s="62" t="n"/>
      <c r="K378" s="63" t="n"/>
      <c r="L378" s="356" t="n"/>
      <c r="M378" s="356" t="n"/>
      <c r="N378" s="57" t="n"/>
      <c r="O378" s="28" t="n"/>
      <c r="P378" s="57" t="n"/>
      <c r="Q378" s="28" t="n"/>
      <c r="R378" s="134" t="n"/>
      <c r="S378" s="301" t="n"/>
      <c r="T378" s="293" t="inlineStr">
        <is>
          <t>v69</t>
        </is>
      </c>
      <c r="U378" s="27" t="inlineStr">
        <is>
          <t>r01</t>
        </is>
      </c>
      <c r="V378" s="41" t="n"/>
      <c r="W378" s="57" t="n"/>
      <c r="X378" s="99" t="n"/>
      <c r="Y378" s="99" t="n"/>
      <c r="Z378" s="99" t="n"/>
      <c r="AA378" s="62" t="n"/>
      <c r="AB378" s="62" t="n"/>
      <c r="AC378" s="63" t="n"/>
      <c r="AD378" s="356" t="n"/>
      <c r="AE378" s="356" t="n"/>
      <c r="AF378" s="57" t="n"/>
      <c r="AG378" s="28" t="n"/>
      <c r="AH378" s="57" t="n"/>
      <c r="AI378" s="28" t="n"/>
      <c r="AJ378" s="134" t="n"/>
      <c r="AK378" s="212" t="n"/>
      <c r="AL378" s="293" t="inlineStr">
        <is>
          <t>v69</t>
        </is>
      </c>
      <c r="AM378" s="122">
        <f>IF(OR(X378="",F378=""),"",X378-F378)</f>
        <v/>
      </c>
      <c r="AN378" s="98">
        <f>IF(OR(Y378="",G378=""),"",Y378-G378)</f>
        <v/>
      </c>
      <c r="AO378" s="98">
        <f>IF(OR(Z378="",H378=""),"",Z378-H378)</f>
        <v/>
      </c>
      <c r="AP378" s="98">
        <f>IF(OR(AA378="",I378=""),"",AA378-I378)</f>
        <v/>
      </c>
      <c r="AQ378" s="123">
        <f>IF(OR(AB378="",J378=""),"",AB378-J378)</f>
        <v/>
      </c>
      <c r="AR378" s="39" t="n"/>
      <c r="AS378" s="332" t="n"/>
      <c r="AT378" s="39" t="n"/>
    </row>
    <row r="379" ht="13.5" customHeight="1" s="279">
      <c r="B379" s="294" t="n"/>
      <c r="C379" s="29" t="inlineStr">
        <is>
          <t>r02</t>
        </is>
      </c>
      <c r="D379" s="191" t="n"/>
      <c r="E379" s="58" t="n"/>
      <c r="F379" s="192" t="n"/>
      <c r="G379" s="192" t="n"/>
      <c r="H379" s="192" t="n"/>
      <c r="I379" s="64" t="n"/>
      <c r="J379" s="64" t="n"/>
      <c r="K379" s="193" t="n"/>
      <c r="L379" s="357" t="n"/>
      <c r="M379" s="357" t="n"/>
      <c r="N379" s="58" t="n"/>
      <c r="O379" s="30" t="n"/>
      <c r="P379" s="58" t="n"/>
      <c r="Q379" s="30" t="n"/>
      <c r="R379" s="135" t="n"/>
      <c r="S379" s="301" t="n"/>
      <c r="T379" s="294" t="n"/>
      <c r="U379" s="29" t="inlineStr">
        <is>
          <t>r02</t>
        </is>
      </c>
      <c r="V379" s="191" t="n"/>
      <c r="W379" s="58" t="n"/>
      <c r="X379" s="192" t="n"/>
      <c r="Y379" s="192" t="n"/>
      <c r="Z379" s="192" t="n"/>
      <c r="AA379" s="64" t="n"/>
      <c r="AB379" s="64" t="n"/>
      <c r="AC379" s="193" t="n"/>
      <c r="AD379" s="357" t="n"/>
      <c r="AE379" s="357" t="n"/>
      <c r="AF379" s="58" t="n"/>
      <c r="AG379" s="30" t="n"/>
      <c r="AH379" s="58" t="n"/>
      <c r="AI379" s="30" t="n"/>
      <c r="AJ379" s="135" t="n"/>
      <c r="AK379" s="212" t="n"/>
      <c r="AL379" s="294" t="n"/>
      <c r="AM379" s="89">
        <f>IF(OR(X379="",F379=""),"",X379-F379)</f>
        <v/>
      </c>
      <c r="AN379" s="124">
        <f>IF(OR(Y379="",G379=""),"",Y379-G379)</f>
        <v/>
      </c>
      <c r="AO379" s="124">
        <f>IF(OR(Z379="",H379=""),"",Z379-H379)</f>
        <v/>
      </c>
      <c r="AP379" s="124">
        <f>IF(OR(AA379="",I379=""),"",AA379-I379)</f>
        <v/>
      </c>
      <c r="AQ379" s="90">
        <f>IF(OR(AB379="",J379=""),"",AB379-J379)</f>
        <v/>
      </c>
      <c r="AR379" s="39" t="n"/>
      <c r="AS379" s="332" t="n"/>
      <c r="AT379" s="39" t="n"/>
    </row>
    <row r="380" ht="13.5" customHeight="1" s="279">
      <c r="B380" s="294" t="n"/>
      <c r="C380" s="29" t="inlineStr">
        <is>
          <t>r03</t>
        </is>
      </c>
      <c r="D380" s="191" t="n"/>
      <c r="E380" s="58" t="n"/>
      <c r="F380" s="192" t="n"/>
      <c r="G380" s="192" t="n"/>
      <c r="H380" s="192" t="n"/>
      <c r="I380" s="64" t="n"/>
      <c r="J380" s="64" t="n"/>
      <c r="K380" s="193" t="n"/>
      <c r="L380" s="357" t="n"/>
      <c r="M380" s="357" t="n"/>
      <c r="N380" s="58" t="n"/>
      <c r="O380" s="30" t="n"/>
      <c r="P380" s="58" t="n"/>
      <c r="Q380" s="30" t="n"/>
      <c r="R380" s="135" t="n"/>
      <c r="S380" s="301" t="n"/>
      <c r="T380" s="294" t="n"/>
      <c r="U380" s="29" t="inlineStr">
        <is>
          <t>r03</t>
        </is>
      </c>
      <c r="V380" s="191" t="n"/>
      <c r="W380" s="58" t="n"/>
      <c r="X380" s="192" t="n"/>
      <c r="Y380" s="192" t="n"/>
      <c r="Z380" s="192" t="n"/>
      <c r="AA380" s="64" t="n"/>
      <c r="AB380" s="64" t="n"/>
      <c r="AC380" s="193" t="n"/>
      <c r="AD380" s="357" t="n"/>
      <c r="AE380" s="357" t="n"/>
      <c r="AF380" s="58" t="n"/>
      <c r="AG380" s="30" t="n"/>
      <c r="AH380" s="58" t="n"/>
      <c r="AI380" s="30" t="n"/>
      <c r="AJ380" s="135" t="n"/>
      <c r="AK380" s="212" t="n"/>
      <c r="AL380" s="294" t="n"/>
      <c r="AM380" s="89">
        <f>IF(OR(X380="",F380=""),"",X380-F380)</f>
        <v/>
      </c>
      <c r="AN380" s="124">
        <f>IF(OR(Y380="",G380=""),"",Y380-G380)</f>
        <v/>
      </c>
      <c r="AO380" s="124">
        <f>IF(OR(Z380="",H380=""),"",Z380-H380)</f>
        <v/>
      </c>
      <c r="AP380" s="124">
        <f>IF(OR(AA380="",I380=""),"",AA380-I380)</f>
        <v/>
      </c>
      <c r="AQ380" s="90">
        <f>IF(OR(AB380="",J380=""),"",AB380-J380)</f>
        <v/>
      </c>
      <c r="AR380" s="39" t="n"/>
      <c r="AS380" s="332" t="n"/>
      <c r="AT380" s="39" t="n"/>
    </row>
    <row r="381" ht="13.5" customHeight="1" s="279">
      <c r="B381" s="294" t="n"/>
      <c r="C381" s="29" t="inlineStr">
        <is>
          <t>r04</t>
        </is>
      </c>
      <c r="D381" s="191" t="n"/>
      <c r="E381" s="58" t="n"/>
      <c r="F381" s="192" t="n"/>
      <c r="G381" s="192" t="n"/>
      <c r="H381" s="192" t="n"/>
      <c r="I381" s="64" t="n"/>
      <c r="J381" s="64" t="n"/>
      <c r="K381" s="193" t="n"/>
      <c r="L381" s="357" t="n"/>
      <c r="M381" s="357" t="n"/>
      <c r="N381" s="58" t="n"/>
      <c r="O381" s="30" t="n"/>
      <c r="P381" s="58" t="n"/>
      <c r="Q381" s="30" t="n"/>
      <c r="R381" s="135" t="n"/>
      <c r="S381" s="301" t="n"/>
      <c r="T381" s="294" t="n"/>
      <c r="U381" s="29" t="inlineStr">
        <is>
          <t>r04</t>
        </is>
      </c>
      <c r="V381" s="191" t="n"/>
      <c r="W381" s="58" t="n"/>
      <c r="X381" s="192" t="n"/>
      <c r="Y381" s="192" t="n"/>
      <c r="Z381" s="192" t="n"/>
      <c r="AA381" s="64" t="n"/>
      <c r="AB381" s="64" t="n"/>
      <c r="AC381" s="193" t="n"/>
      <c r="AD381" s="357" t="n"/>
      <c r="AE381" s="357" t="n"/>
      <c r="AF381" s="58" t="n"/>
      <c r="AG381" s="30" t="n"/>
      <c r="AH381" s="58" t="n"/>
      <c r="AI381" s="30" t="n"/>
      <c r="AJ381" s="135" t="n"/>
      <c r="AK381" s="212" t="n"/>
      <c r="AL381" s="294" t="n"/>
      <c r="AM381" s="89">
        <f>IF(OR(X381="",F381=""),"",X381-F381)</f>
        <v/>
      </c>
      <c r="AN381" s="124">
        <f>IF(OR(Y381="",G381=""),"",Y381-G381)</f>
        <v/>
      </c>
      <c r="AO381" s="124">
        <f>IF(OR(Z381="",H381=""),"",Z381-H381)</f>
        <v/>
      </c>
      <c r="AP381" s="124">
        <f>IF(OR(AA381="",I381=""),"",AA381-I381)</f>
        <v/>
      </c>
      <c r="AQ381" s="90">
        <f>IF(OR(AB381="",J381=""),"",AB381-J381)</f>
        <v/>
      </c>
      <c r="AR381" s="39" t="n"/>
      <c r="AS381" s="332" t="n"/>
      <c r="AT381" s="39" t="n"/>
    </row>
    <row r="382" ht="13.5" customHeight="1" s="279" thickBot="1">
      <c r="B382" s="295" t="n"/>
      <c r="C382" s="29" t="n"/>
      <c r="D382" s="191" t="n"/>
      <c r="E382" s="58" t="n"/>
      <c r="F382" s="194" t="n"/>
      <c r="G382" s="194" t="n"/>
      <c r="H382" s="194" t="n"/>
      <c r="I382" s="58" t="n"/>
      <c r="J382" s="58" t="n"/>
      <c r="K382" s="193" t="n"/>
      <c r="L382" s="357" t="n"/>
      <c r="M382" s="357" t="n"/>
      <c r="N382" s="58" t="n"/>
      <c r="O382" s="30" t="n"/>
      <c r="P382" s="58" t="n"/>
      <c r="Q382" s="30" t="n"/>
      <c r="R382" s="189" t="n"/>
      <c r="S382" s="301" t="n"/>
      <c r="T382" s="295" t="n"/>
      <c r="U382" s="29" t="n"/>
      <c r="V382" s="191" t="n"/>
      <c r="W382" s="58" t="n"/>
      <c r="X382" s="194" t="n"/>
      <c r="Y382" s="194" t="n"/>
      <c r="Z382" s="194" t="n"/>
      <c r="AA382" s="58" t="n"/>
      <c r="AB382" s="58" t="n"/>
      <c r="AC382" s="193" t="n"/>
      <c r="AD382" s="357" t="n"/>
      <c r="AE382" s="357" t="n"/>
      <c r="AF382" s="58" t="n"/>
      <c r="AG382" s="30" t="n"/>
      <c r="AH382" s="58" t="n"/>
      <c r="AI382" s="30" t="n"/>
      <c r="AJ382" s="189" t="n"/>
      <c r="AK382" s="212" t="n"/>
      <c r="AL382" s="295" t="n"/>
      <c r="AM382" s="125">
        <f>IF(OR(X382="",F382=""),"",X382-F382)</f>
        <v/>
      </c>
      <c r="AN382" s="126">
        <f>IF(OR(Y382="",G382=""),"",Y382-G382)</f>
        <v/>
      </c>
      <c r="AO382" s="126">
        <f>IF(OR(Z382="",H382=""),"",Z382-H382)</f>
        <v/>
      </c>
      <c r="AP382" s="126">
        <f>IF(OR(AA382="",I382=""),"",AA382-I382)</f>
        <v/>
      </c>
      <c r="AQ382" s="127">
        <f>IF(OR(AB382="",J382=""),"",AB382-J382)</f>
        <v/>
      </c>
      <c r="AR382" s="39" t="n"/>
      <c r="AS382" s="332" t="n"/>
      <c r="AT382" s="39" t="n"/>
    </row>
    <row r="383" ht="13.5" customHeight="1" s="279">
      <c r="B383" s="293" t="inlineStr">
        <is>
          <t>v70</t>
        </is>
      </c>
      <c r="C383" s="27" t="inlineStr">
        <is>
          <t>r01</t>
        </is>
      </c>
      <c r="D383" s="41" t="n"/>
      <c r="E383" s="57" t="n"/>
      <c r="F383" s="99" t="n"/>
      <c r="G383" s="99" t="n"/>
      <c r="H383" s="99" t="n"/>
      <c r="I383" s="62" t="n"/>
      <c r="J383" s="62" t="n"/>
      <c r="K383" s="63" t="n"/>
      <c r="L383" s="356" t="n"/>
      <c r="M383" s="356" t="n"/>
      <c r="N383" s="57" t="n"/>
      <c r="O383" s="28" t="n"/>
      <c r="P383" s="57" t="n"/>
      <c r="Q383" s="28" t="n"/>
      <c r="R383" s="134" t="n"/>
      <c r="S383" s="301" t="n"/>
      <c r="T383" s="293" t="inlineStr">
        <is>
          <t>v70</t>
        </is>
      </c>
      <c r="U383" s="27" t="inlineStr">
        <is>
          <t>r01</t>
        </is>
      </c>
      <c r="V383" s="41" t="n"/>
      <c r="W383" s="57" t="n"/>
      <c r="X383" s="99" t="n"/>
      <c r="Y383" s="99" t="n"/>
      <c r="Z383" s="99" t="n"/>
      <c r="AA383" s="62" t="n"/>
      <c r="AB383" s="62" t="n"/>
      <c r="AC383" s="63" t="n"/>
      <c r="AD383" s="356" t="n"/>
      <c r="AE383" s="356" t="n"/>
      <c r="AF383" s="57" t="n"/>
      <c r="AG383" s="28" t="n"/>
      <c r="AH383" s="57" t="n"/>
      <c r="AI383" s="28" t="n"/>
      <c r="AJ383" s="134" t="n"/>
      <c r="AK383" s="212" t="n"/>
      <c r="AL383" s="293" t="inlineStr">
        <is>
          <t>v70</t>
        </is>
      </c>
      <c r="AM383" s="122">
        <f>IF(OR(X383="",F383=""),"",X383-F383)</f>
        <v/>
      </c>
      <c r="AN383" s="98">
        <f>IF(OR(Y383="",G383=""),"",Y383-G383)</f>
        <v/>
      </c>
      <c r="AO383" s="98">
        <f>IF(OR(Z383="",H383=""),"",Z383-H383)</f>
        <v/>
      </c>
      <c r="AP383" s="98">
        <f>IF(OR(AA383="",I383=""),"",AA383-I383)</f>
        <v/>
      </c>
      <c r="AQ383" s="123">
        <f>IF(OR(AB383="",J383=""),"",AB383-J383)</f>
        <v/>
      </c>
      <c r="AR383" s="39" t="n"/>
      <c r="AS383" s="332" t="n"/>
      <c r="AT383" s="39" t="n"/>
    </row>
    <row r="384" ht="13.5" customHeight="1" s="279">
      <c r="B384" s="294" t="n"/>
      <c r="C384" s="29" t="inlineStr">
        <is>
          <t>r02</t>
        </is>
      </c>
      <c r="D384" s="191" t="n"/>
      <c r="E384" s="58" t="n"/>
      <c r="F384" s="192" t="n"/>
      <c r="G384" s="192" t="n"/>
      <c r="H384" s="192" t="n"/>
      <c r="I384" s="64" t="n"/>
      <c r="J384" s="64" t="n"/>
      <c r="K384" s="193" t="n"/>
      <c r="L384" s="357" t="n"/>
      <c r="M384" s="357" t="n"/>
      <c r="N384" s="58" t="n"/>
      <c r="O384" s="30" t="n"/>
      <c r="P384" s="58" t="n"/>
      <c r="Q384" s="30" t="n"/>
      <c r="R384" s="135" t="n"/>
      <c r="S384" s="301" t="n"/>
      <c r="T384" s="294" t="n"/>
      <c r="U384" s="29" t="inlineStr">
        <is>
          <t>r02</t>
        </is>
      </c>
      <c r="V384" s="191" t="n"/>
      <c r="W384" s="58" t="n"/>
      <c r="X384" s="192" t="n"/>
      <c r="Y384" s="192" t="n"/>
      <c r="Z384" s="192" t="n"/>
      <c r="AA384" s="64" t="n"/>
      <c r="AB384" s="64" t="n"/>
      <c r="AC384" s="193" t="n"/>
      <c r="AD384" s="357" t="n"/>
      <c r="AE384" s="357" t="n"/>
      <c r="AF384" s="58" t="n"/>
      <c r="AG384" s="30" t="n"/>
      <c r="AH384" s="58" t="n"/>
      <c r="AI384" s="30" t="n"/>
      <c r="AJ384" s="135" t="n"/>
      <c r="AK384" s="212" t="n"/>
      <c r="AL384" s="294" t="n"/>
      <c r="AM384" s="89">
        <f>IF(OR(X384="",F384=""),"",X384-F384)</f>
        <v/>
      </c>
      <c r="AN384" s="124">
        <f>IF(OR(Y384="",G384=""),"",Y384-G384)</f>
        <v/>
      </c>
      <c r="AO384" s="124">
        <f>IF(OR(Z384="",H384=""),"",Z384-H384)</f>
        <v/>
      </c>
      <c r="AP384" s="124">
        <f>IF(OR(AA384="",I384=""),"",AA384-I384)</f>
        <v/>
      </c>
      <c r="AQ384" s="90">
        <f>IF(OR(AB384="",J384=""),"",AB384-J384)</f>
        <v/>
      </c>
      <c r="AR384" s="39" t="n"/>
      <c r="AS384" s="332" t="n"/>
      <c r="AT384" s="39" t="n"/>
    </row>
    <row r="385" ht="13.5" customHeight="1" s="279">
      <c r="B385" s="294" t="n"/>
      <c r="C385" s="29" t="inlineStr">
        <is>
          <t>r03</t>
        </is>
      </c>
      <c r="D385" s="191" t="n"/>
      <c r="E385" s="58" t="n"/>
      <c r="F385" s="192" t="n"/>
      <c r="G385" s="192" t="n"/>
      <c r="H385" s="192" t="n"/>
      <c r="I385" s="64" t="n"/>
      <c r="J385" s="64" t="n"/>
      <c r="K385" s="193" t="n"/>
      <c r="L385" s="357" t="n"/>
      <c r="M385" s="357" t="n"/>
      <c r="N385" s="58" t="n"/>
      <c r="O385" s="30" t="n"/>
      <c r="P385" s="58" t="n"/>
      <c r="Q385" s="30" t="n"/>
      <c r="R385" s="135" t="n"/>
      <c r="S385" s="301" t="n"/>
      <c r="T385" s="294" t="n"/>
      <c r="U385" s="29" t="inlineStr">
        <is>
          <t>r03</t>
        </is>
      </c>
      <c r="V385" s="191" t="n"/>
      <c r="W385" s="58" t="n"/>
      <c r="X385" s="192" t="n"/>
      <c r="Y385" s="192" t="n"/>
      <c r="Z385" s="192" t="n"/>
      <c r="AA385" s="64" t="n"/>
      <c r="AB385" s="64" t="n"/>
      <c r="AC385" s="193" t="n"/>
      <c r="AD385" s="357" t="n"/>
      <c r="AE385" s="357" t="n"/>
      <c r="AF385" s="58" t="n"/>
      <c r="AG385" s="30" t="n"/>
      <c r="AH385" s="58" t="n"/>
      <c r="AI385" s="30" t="n"/>
      <c r="AJ385" s="135" t="n"/>
      <c r="AK385" s="212" t="n"/>
      <c r="AL385" s="294" t="n"/>
      <c r="AM385" s="89">
        <f>IF(OR(X385="",F385=""),"",X385-F385)</f>
        <v/>
      </c>
      <c r="AN385" s="124">
        <f>IF(OR(Y385="",G385=""),"",Y385-G385)</f>
        <v/>
      </c>
      <c r="AO385" s="124">
        <f>IF(OR(Z385="",H385=""),"",Z385-H385)</f>
        <v/>
      </c>
      <c r="AP385" s="124">
        <f>IF(OR(AA385="",I385=""),"",AA385-I385)</f>
        <v/>
      </c>
      <c r="AQ385" s="90">
        <f>IF(OR(AB385="",J385=""),"",AB385-J385)</f>
        <v/>
      </c>
      <c r="AR385" s="39" t="n"/>
      <c r="AS385" s="332" t="n"/>
      <c r="AT385" s="39" t="n"/>
    </row>
    <row r="386" ht="13.5" customHeight="1" s="279">
      <c r="B386" s="294" t="n"/>
      <c r="C386" s="29" t="inlineStr">
        <is>
          <t>r04</t>
        </is>
      </c>
      <c r="D386" s="191" t="n"/>
      <c r="E386" s="58" t="n"/>
      <c r="F386" s="192" t="n"/>
      <c r="G386" s="192" t="n"/>
      <c r="H386" s="192" t="n"/>
      <c r="I386" s="64" t="n"/>
      <c r="J386" s="64" t="n"/>
      <c r="K386" s="193" t="n"/>
      <c r="L386" s="357" t="n"/>
      <c r="M386" s="357" t="n"/>
      <c r="N386" s="58" t="n"/>
      <c r="O386" s="30" t="n"/>
      <c r="P386" s="58" t="n"/>
      <c r="Q386" s="30" t="n"/>
      <c r="R386" s="135" t="n"/>
      <c r="S386" s="301" t="n"/>
      <c r="T386" s="294" t="n"/>
      <c r="U386" s="29" t="inlineStr">
        <is>
          <t>r04</t>
        </is>
      </c>
      <c r="V386" s="191" t="n"/>
      <c r="W386" s="58" t="n"/>
      <c r="X386" s="192" t="n"/>
      <c r="Y386" s="192" t="n"/>
      <c r="Z386" s="192" t="n"/>
      <c r="AA386" s="64" t="n"/>
      <c r="AB386" s="64" t="n"/>
      <c r="AC386" s="193" t="n"/>
      <c r="AD386" s="357" t="n"/>
      <c r="AE386" s="357" t="n"/>
      <c r="AF386" s="58" t="n"/>
      <c r="AG386" s="30" t="n"/>
      <c r="AH386" s="58" t="n"/>
      <c r="AI386" s="30" t="n"/>
      <c r="AJ386" s="135" t="n"/>
      <c r="AK386" s="212" t="n"/>
      <c r="AL386" s="294" t="n"/>
      <c r="AM386" s="89">
        <f>IF(OR(X386="",F386=""),"",X386-F386)</f>
        <v/>
      </c>
      <c r="AN386" s="124">
        <f>IF(OR(Y386="",G386=""),"",Y386-G386)</f>
        <v/>
      </c>
      <c r="AO386" s="124">
        <f>IF(OR(Z386="",H386=""),"",Z386-H386)</f>
        <v/>
      </c>
      <c r="AP386" s="124">
        <f>IF(OR(AA386="",I386=""),"",AA386-I386)</f>
        <v/>
      </c>
      <c r="AQ386" s="90">
        <f>IF(OR(AB386="",J386=""),"",AB386-J386)</f>
        <v/>
      </c>
      <c r="AR386" s="39" t="n"/>
      <c r="AS386" s="332" t="n"/>
      <c r="AT386" s="39" t="n"/>
    </row>
    <row r="387" ht="13.5" customHeight="1" s="279" thickBot="1">
      <c r="B387" s="295" t="n"/>
      <c r="C387" s="29" t="n"/>
      <c r="D387" s="191" t="n"/>
      <c r="E387" s="58" t="n"/>
      <c r="F387" s="194" t="n"/>
      <c r="G387" s="194" t="n"/>
      <c r="H387" s="194" t="n"/>
      <c r="I387" s="58" t="n"/>
      <c r="J387" s="58" t="n"/>
      <c r="K387" s="193" t="n"/>
      <c r="L387" s="357" t="n"/>
      <c r="M387" s="357" t="n"/>
      <c r="N387" s="58" t="n"/>
      <c r="O387" s="30" t="n"/>
      <c r="P387" s="58" t="n"/>
      <c r="Q387" s="30" t="n"/>
      <c r="R387" s="189" t="n"/>
      <c r="S387" s="301" t="n"/>
      <c r="T387" s="295" t="n"/>
      <c r="U387" s="29" t="n"/>
      <c r="V387" s="191" t="n"/>
      <c r="W387" s="58" t="n"/>
      <c r="X387" s="194" t="n"/>
      <c r="Y387" s="194" t="n"/>
      <c r="Z387" s="194" t="n"/>
      <c r="AA387" s="58" t="n"/>
      <c r="AB387" s="58" t="n"/>
      <c r="AC387" s="193" t="n"/>
      <c r="AD387" s="357" t="n"/>
      <c r="AE387" s="357" t="n"/>
      <c r="AF387" s="58" t="n"/>
      <c r="AG387" s="30" t="n"/>
      <c r="AH387" s="58" t="n"/>
      <c r="AI387" s="30" t="n"/>
      <c r="AJ387" s="189" t="n"/>
      <c r="AK387" s="212" t="n"/>
      <c r="AL387" s="295" t="n"/>
      <c r="AM387" s="125">
        <f>IF(OR(X387="",F387=""),"",X387-F387)</f>
        <v/>
      </c>
      <c r="AN387" s="126">
        <f>IF(OR(Y387="",G387=""),"",Y387-G387)</f>
        <v/>
      </c>
      <c r="AO387" s="126">
        <f>IF(OR(Z387="",H387=""),"",Z387-H387)</f>
        <v/>
      </c>
      <c r="AP387" s="126">
        <f>IF(OR(AA387="",I387=""),"",AA387-I387)</f>
        <v/>
      </c>
      <c r="AQ387" s="127">
        <f>IF(OR(AB387="",J387=""),"",AB387-J387)</f>
        <v/>
      </c>
      <c r="AR387" s="39" t="n"/>
      <c r="AS387" s="332" t="n"/>
      <c r="AT387" s="39" t="n"/>
    </row>
    <row r="388" ht="13.5" customHeight="1" s="279">
      <c r="B388" s="293" t="inlineStr">
        <is>
          <t>v71</t>
        </is>
      </c>
      <c r="C388" s="27" t="inlineStr">
        <is>
          <t>r01</t>
        </is>
      </c>
      <c r="D388" s="41" t="n"/>
      <c r="E388" s="57" t="n"/>
      <c r="F388" s="99" t="n"/>
      <c r="G388" s="99" t="n"/>
      <c r="H388" s="99" t="n"/>
      <c r="I388" s="62" t="n"/>
      <c r="J388" s="62" t="n"/>
      <c r="K388" s="63" t="n"/>
      <c r="L388" s="356" t="n"/>
      <c r="M388" s="356" t="n"/>
      <c r="N388" s="57" t="n"/>
      <c r="O388" s="28" t="n"/>
      <c r="P388" s="57" t="n"/>
      <c r="Q388" s="28" t="n"/>
      <c r="R388" s="134" t="n"/>
      <c r="S388" s="301" t="n"/>
      <c r="T388" s="293" t="inlineStr">
        <is>
          <t>v71</t>
        </is>
      </c>
      <c r="U388" s="27" t="inlineStr">
        <is>
          <t>r01</t>
        </is>
      </c>
      <c r="V388" s="41" t="n"/>
      <c r="W388" s="57" t="n"/>
      <c r="X388" s="99" t="n"/>
      <c r="Y388" s="99" t="n"/>
      <c r="Z388" s="99" t="n"/>
      <c r="AA388" s="62" t="n"/>
      <c r="AB388" s="62" t="n"/>
      <c r="AC388" s="63" t="n"/>
      <c r="AD388" s="356" t="n"/>
      <c r="AE388" s="356" t="n"/>
      <c r="AF388" s="57" t="n"/>
      <c r="AG388" s="28" t="n"/>
      <c r="AH388" s="57" t="n"/>
      <c r="AI388" s="28" t="n"/>
      <c r="AJ388" s="134" t="n"/>
      <c r="AK388" s="212" t="n"/>
      <c r="AL388" s="293" t="inlineStr">
        <is>
          <t>v71</t>
        </is>
      </c>
      <c r="AM388" s="122">
        <f>IF(OR(X388="",F388=""),"",X388-F388)</f>
        <v/>
      </c>
      <c r="AN388" s="98">
        <f>IF(OR(Y388="",G388=""),"",Y388-G388)</f>
        <v/>
      </c>
      <c r="AO388" s="98">
        <f>IF(OR(Z388="",H388=""),"",Z388-H388)</f>
        <v/>
      </c>
      <c r="AP388" s="98">
        <f>IF(OR(AA388="",I388=""),"",AA388-I388)</f>
        <v/>
      </c>
      <c r="AQ388" s="123">
        <f>IF(OR(AB388="",J388=""),"",AB388-J388)</f>
        <v/>
      </c>
      <c r="AR388" s="39" t="n"/>
      <c r="AS388" s="332" t="n"/>
      <c r="AT388" s="39" t="n"/>
    </row>
    <row r="389" ht="13.5" customHeight="1" s="279">
      <c r="B389" s="294" t="n"/>
      <c r="C389" s="29" t="inlineStr">
        <is>
          <t>r02</t>
        </is>
      </c>
      <c r="D389" s="191" t="n"/>
      <c r="E389" s="58" t="n"/>
      <c r="F389" s="192" t="n"/>
      <c r="G389" s="192" t="n"/>
      <c r="H389" s="192" t="n"/>
      <c r="I389" s="64" t="n"/>
      <c r="J389" s="64" t="n"/>
      <c r="K389" s="193" t="n"/>
      <c r="L389" s="357" t="n"/>
      <c r="M389" s="357" t="n"/>
      <c r="N389" s="58" t="n"/>
      <c r="O389" s="30" t="n"/>
      <c r="P389" s="58" t="n"/>
      <c r="Q389" s="30" t="n"/>
      <c r="R389" s="135" t="n"/>
      <c r="S389" s="301" t="n"/>
      <c r="T389" s="294" t="n"/>
      <c r="U389" s="29" t="inlineStr">
        <is>
          <t>r02</t>
        </is>
      </c>
      <c r="V389" s="191" t="n"/>
      <c r="W389" s="58" t="n"/>
      <c r="X389" s="192" t="n"/>
      <c r="Y389" s="192" t="n"/>
      <c r="Z389" s="192" t="n"/>
      <c r="AA389" s="64" t="n"/>
      <c r="AB389" s="64" t="n"/>
      <c r="AC389" s="193" t="n"/>
      <c r="AD389" s="357" t="n"/>
      <c r="AE389" s="357" t="n"/>
      <c r="AF389" s="58" t="n"/>
      <c r="AG389" s="30" t="n"/>
      <c r="AH389" s="58" t="n"/>
      <c r="AI389" s="30" t="n"/>
      <c r="AJ389" s="135" t="n"/>
      <c r="AK389" s="212" t="n"/>
      <c r="AL389" s="294" t="n"/>
      <c r="AM389" s="89">
        <f>IF(OR(X389="",F389=""),"",X389-F389)</f>
        <v/>
      </c>
      <c r="AN389" s="124">
        <f>IF(OR(Y389="",G389=""),"",Y389-G389)</f>
        <v/>
      </c>
      <c r="AO389" s="124">
        <f>IF(OR(Z389="",H389=""),"",Z389-H389)</f>
        <v/>
      </c>
      <c r="AP389" s="124">
        <f>IF(OR(AA389="",I389=""),"",AA389-I389)</f>
        <v/>
      </c>
      <c r="AQ389" s="90">
        <f>IF(OR(AB389="",J389=""),"",AB389-J389)</f>
        <v/>
      </c>
      <c r="AR389" s="39" t="n"/>
      <c r="AS389" s="332" t="n"/>
      <c r="AT389" s="39" t="n"/>
    </row>
    <row r="390" ht="13.5" customHeight="1" s="279">
      <c r="B390" s="294" t="n"/>
      <c r="C390" s="29" t="inlineStr">
        <is>
          <t>r03</t>
        </is>
      </c>
      <c r="D390" s="191" t="n"/>
      <c r="E390" s="58" t="n"/>
      <c r="F390" s="192" t="n"/>
      <c r="G390" s="192" t="n"/>
      <c r="H390" s="192" t="n"/>
      <c r="I390" s="64" t="n"/>
      <c r="J390" s="64" t="n"/>
      <c r="K390" s="193" t="n"/>
      <c r="L390" s="357" t="n"/>
      <c r="M390" s="357" t="n"/>
      <c r="N390" s="58" t="n"/>
      <c r="O390" s="30" t="n"/>
      <c r="P390" s="58" t="n"/>
      <c r="Q390" s="30" t="n"/>
      <c r="R390" s="135" t="n"/>
      <c r="S390" s="301" t="n"/>
      <c r="T390" s="294" t="n"/>
      <c r="U390" s="29" t="inlineStr">
        <is>
          <t>r03</t>
        </is>
      </c>
      <c r="V390" s="191" t="n"/>
      <c r="W390" s="58" t="n"/>
      <c r="X390" s="192" t="n"/>
      <c r="Y390" s="192" t="n"/>
      <c r="Z390" s="192" t="n"/>
      <c r="AA390" s="64" t="n"/>
      <c r="AB390" s="64" t="n"/>
      <c r="AC390" s="193" t="n"/>
      <c r="AD390" s="357" t="n"/>
      <c r="AE390" s="357" t="n"/>
      <c r="AF390" s="58" t="n"/>
      <c r="AG390" s="30" t="n"/>
      <c r="AH390" s="58" t="n"/>
      <c r="AI390" s="30" t="n"/>
      <c r="AJ390" s="135" t="n"/>
      <c r="AK390" s="212" t="n"/>
      <c r="AL390" s="294" t="n"/>
      <c r="AM390" s="89">
        <f>IF(OR(X390="",F390=""),"",X390-F390)</f>
        <v/>
      </c>
      <c r="AN390" s="124">
        <f>IF(OR(Y390="",G390=""),"",Y390-G390)</f>
        <v/>
      </c>
      <c r="AO390" s="124">
        <f>IF(OR(Z390="",H390=""),"",Z390-H390)</f>
        <v/>
      </c>
      <c r="AP390" s="124">
        <f>IF(OR(AA390="",I390=""),"",AA390-I390)</f>
        <v/>
      </c>
      <c r="AQ390" s="90">
        <f>IF(OR(AB390="",J390=""),"",AB390-J390)</f>
        <v/>
      </c>
      <c r="AR390" s="39" t="n"/>
      <c r="AS390" s="332" t="n"/>
      <c r="AT390" s="39" t="n"/>
    </row>
    <row r="391" ht="13.5" customHeight="1" s="279">
      <c r="B391" s="294" t="n"/>
      <c r="C391" s="29" t="inlineStr">
        <is>
          <t>r04</t>
        </is>
      </c>
      <c r="D391" s="191" t="n"/>
      <c r="E391" s="58" t="n"/>
      <c r="F391" s="192" t="n"/>
      <c r="G391" s="192" t="n"/>
      <c r="H391" s="192" t="n"/>
      <c r="I391" s="64" t="n"/>
      <c r="J391" s="64" t="n"/>
      <c r="K391" s="193" t="n"/>
      <c r="L391" s="357" t="n"/>
      <c r="M391" s="357" t="n"/>
      <c r="N391" s="58" t="n"/>
      <c r="O391" s="30" t="n"/>
      <c r="P391" s="58" t="n"/>
      <c r="Q391" s="30" t="n"/>
      <c r="R391" s="135" t="n"/>
      <c r="S391" s="301" t="n"/>
      <c r="T391" s="294" t="n"/>
      <c r="U391" s="29" t="inlineStr">
        <is>
          <t>r04</t>
        </is>
      </c>
      <c r="V391" s="191" t="n"/>
      <c r="W391" s="58" t="n"/>
      <c r="X391" s="192" t="n"/>
      <c r="Y391" s="192" t="n"/>
      <c r="Z391" s="192" t="n"/>
      <c r="AA391" s="64" t="n"/>
      <c r="AB391" s="64" t="n"/>
      <c r="AC391" s="193" t="n"/>
      <c r="AD391" s="357" t="n"/>
      <c r="AE391" s="357" t="n"/>
      <c r="AF391" s="58" t="n"/>
      <c r="AG391" s="30" t="n"/>
      <c r="AH391" s="58" t="n"/>
      <c r="AI391" s="30" t="n"/>
      <c r="AJ391" s="135" t="n"/>
      <c r="AK391" s="212" t="n"/>
      <c r="AL391" s="294" t="n"/>
      <c r="AM391" s="89">
        <f>IF(OR(X391="",F391=""),"",X391-F391)</f>
        <v/>
      </c>
      <c r="AN391" s="124">
        <f>IF(OR(Y391="",G391=""),"",Y391-G391)</f>
        <v/>
      </c>
      <c r="AO391" s="124">
        <f>IF(OR(Z391="",H391=""),"",Z391-H391)</f>
        <v/>
      </c>
      <c r="AP391" s="124">
        <f>IF(OR(AA391="",I391=""),"",AA391-I391)</f>
        <v/>
      </c>
      <c r="AQ391" s="90">
        <f>IF(OR(AB391="",J391=""),"",AB391-J391)</f>
        <v/>
      </c>
      <c r="AR391" s="39" t="n"/>
      <c r="AS391" s="332" t="n"/>
      <c r="AT391" s="39" t="n"/>
    </row>
    <row r="392" ht="13.5" customHeight="1" s="279" thickBot="1">
      <c r="B392" s="295" t="n"/>
      <c r="C392" s="29" t="n"/>
      <c r="D392" s="191" t="n"/>
      <c r="E392" s="58" t="n"/>
      <c r="F392" s="194" t="n"/>
      <c r="G392" s="194" t="n"/>
      <c r="H392" s="194" t="n"/>
      <c r="I392" s="58" t="n"/>
      <c r="J392" s="58" t="n"/>
      <c r="K392" s="193" t="n"/>
      <c r="L392" s="357" t="n"/>
      <c r="M392" s="357" t="n"/>
      <c r="N392" s="58" t="n"/>
      <c r="O392" s="30" t="n"/>
      <c r="P392" s="58" t="n"/>
      <c r="Q392" s="30" t="n"/>
      <c r="R392" s="189" t="n"/>
      <c r="S392" s="301" t="n"/>
      <c r="T392" s="295" t="n"/>
      <c r="U392" s="29" t="n"/>
      <c r="V392" s="191" t="n"/>
      <c r="W392" s="58" t="n"/>
      <c r="X392" s="194" t="n"/>
      <c r="Y392" s="194" t="n"/>
      <c r="Z392" s="194" t="n"/>
      <c r="AA392" s="58" t="n"/>
      <c r="AB392" s="58" t="n"/>
      <c r="AC392" s="193" t="n"/>
      <c r="AD392" s="357" t="n"/>
      <c r="AE392" s="357" t="n"/>
      <c r="AF392" s="58" t="n"/>
      <c r="AG392" s="30" t="n"/>
      <c r="AH392" s="58" t="n"/>
      <c r="AI392" s="30" t="n"/>
      <c r="AJ392" s="189" t="n"/>
      <c r="AK392" s="212" t="n"/>
      <c r="AL392" s="295" t="n"/>
      <c r="AM392" s="125">
        <f>IF(OR(X392="",F392=""),"",X392-F392)</f>
        <v/>
      </c>
      <c r="AN392" s="126">
        <f>IF(OR(Y392="",G392=""),"",Y392-G392)</f>
        <v/>
      </c>
      <c r="AO392" s="126">
        <f>IF(OR(Z392="",H392=""),"",Z392-H392)</f>
        <v/>
      </c>
      <c r="AP392" s="126">
        <f>IF(OR(AA392="",I392=""),"",AA392-I392)</f>
        <v/>
      </c>
      <c r="AQ392" s="127">
        <f>IF(OR(AB392="",J392=""),"",AB392-J392)</f>
        <v/>
      </c>
      <c r="AR392" s="39" t="n"/>
      <c r="AS392" s="332" t="n"/>
      <c r="AT392" s="39" t="n"/>
    </row>
    <row r="393" ht="13.5" customHeight="1" s="279">
      <c r="B393" s="293" t="inlineStr">
        <is>
          <t>v72</t>
        </is>
      </c>
      <c r="C393" s="27" t="inlineStr">
        <is>
          <t>r01</t>
        </is>
      </c>
      <c r="D393" s="41" t="n"/>
      <c r="E393" s="57" t="n"/>
      <c r="F393" s="99" t="n"/>
      <c r="G393" s="99" t="n"/>
      <c r="H393" s="99" t="n"/>
      <c r="I393" s="62" t="n"/>
      <c r="J393" s="62" t="n"/>
      <c r="K393" s="63" t="n"/>
      <c r="L393" s="356" t="n"/>
      <c r="M393" s="356" t="n"/>
      <c r="N393" s="57" t="n"/>
      <c r="O393" s="28" t="n"/>
      <c r="P393" s="57" t="n"/>
      <c r="Q393" s="28" t="n"/>
      <c r="R393" s="134" t="n"/>
      <c r="S393" s="301" t="n"/>
      <c r="T393" s="293" t="inlineStr">
        <is>
          <t>v72</t>
        </is>
      </c>
      <c r="U393" s="27" t="inlineStr">
        <is>
          <t>r01</t>
        </is>
      </c>
      <c r="V393" s="41" t="n"/>
      <c r="W393" s="57" t="n"/>
      <c r="X393" s="99" t="n"/>
      <c r="Y393" s="99" t="n"/>
      <c r="Z393" s="99" t="n"/>
      <c r="AA393" s="62" t="n"/>
      <c r="AB393" s="62" t="n"/>
      <c r="AC393" s="63" t="n"/>
      <c r="AD393" s="356" t="n"/>
      <c r="AE393" s="356" t="n"/>
      <c r="AF393" s="57" t="n"/>
      <c r="AG393" s="28" t="n"/>
      <c r="AH393" s="57" t="n"/>
      <c r="AI393" s="28" t="n"/>
      <c r="AJ393" s="134" t="n"/>
      <c r="AK393" s="212" t="n"/>
      <c r="AL393" s="293" t="inlineStr">
        <is>
          <t>v72</t>
        </is>
      </c>
      <c r="AM393" s="122">
        <f>IF(OR(X393="",F393=""),"",X393-F393)</f>
        <v/>
      </c>
      <c r="AN393" s="98">
        <f>IF(OR(Y393="",G393=""),"",Y393-G393)</f>
        <v/>
      </c>
      <c r="AO393" s="98">
        <f>IF(OR(Z393="",H393=""),"",Z393-H393)</f>
        <v/>
      </c>
      <c r="AP393" s="98">
        <f>IF(OR(AA393="",I393=""),"",AA393-I393)</f>
        <v/>
      </c>
      <c r="AQ393" s="123">
        <f>IF(OR(AB393="",J393=""),"",AB393-J393)</f>
        <v/>
      </c>
      <c r="AR393" s="39" t="n"/>
      <c r="AS393" s="332" t="n"/>
      <c r="AT393" s="39" t="n"/>
    </row>
    <row r="394" ht="13.5" customHeight="1" s="279">
      <c r="B394" s="294" t="n"/>
      <c r="C394" s="29" t="inlineStr">
        <is>
          <t>r02</t>
        </is>
      </c>
      <c r="D394" s="191" t="n"/>
      <c r="E394" s="58" t="n"/>
      <c r="F394" s="192" t="n"/>
      <c r="G394" s="192" t="n"/>
      <c r="H394" s="192" t="n"/>
      <c r="I394" s="64" t="n"/>
      <c r="J394" s="64" t="n"/>
      <c r="K394" s="193" t="n"/>
      <c r="L394" s="357" t="n"/>
      <c r="M394" s="357" t="n"/>
      <c r="N394" s="58" t="n"/>
      <c r="O394" s="30" t="n"/>
      <c r="P394" s="58" t="n"/>
      <c r="Q394" s="30" t="n"/>
      <c r="R394" s="135" t="n"/>
      <c r="S394" s="301" t="n"/>
      <c r="T394" s="294" t="n"/>
      <c r="U394" s="29" t="inlineStr">
        <is>
          <t>r02</t>
        </is>
      </c>
      <c r="V394" s="191" t="n"/>
      <c r="W394" s="58" t="n"/>
      <c r="X394" s="192" t="n"/>
      <c r="Y394" s="192" t="n"/>
      <c r="Z394" s="192" t="n"/>
      <c r="AA394" s="64" t="n"/>
      <c r="AB394" s="64" t="n"/>
      <c r="AC394" s="193" t="n"/>
      <c r="AD394" s="357" t="n"/>
      <c r="AE394" s="357" t="n"/>
      <c r="AF394" s="58" t="n"/>
      <c r="AG394" s="30" t="n"/>
      <c r="AH394" s="58" t="n"/>
      <c r="AI394" s="30" t="n"/>
      <c r="AJ394" s="135" t="n"/>
      <c r="AK394" s="212" t="n"/>
      <c r="AL394" s="294" t="n"/>
      <c r="AM394" s="89">
        <f>IF(OR(X394="",F394=""),"",X394-F394)</f>
        <v/>
      </c>
      <c r="AN394" s="124">
        <f>IF(OR(Y394="",G394=""),"",Y394-G394)</f>
        <v/>
      </c>
      <c r="AO394" s="124">
        <f>IF(OR(Z394="",H394=""),"",Z394-H394)</f>
        <v/>
      </c>
      <c r="AP394" s="124">
        <f>IF(OR(AA394="",I394=""),"",AA394-I394)</f>
        <v/>
      </c>
      <c r="AQ394" s="90">
        <f>IF(OR(AB394="",J394=""),"",AB394-J394)</f>
        <v/>
      </c>
      <c r="AR394" s="39" t="n"/>
      <c r="AS394" s="332" t="n"/>
      <c r="AT394" s="39" t="n"/>
    </row>
    <row r="395" ht="13.5" customHeight="1" s="279">
      <c r="B395" s="294" t="n"/>
      <c r="C395" s="29" t="inlineStr">
        <is>
          <t>r03</t>
        </is>
      </c>
      <c r="D395" s="191" t="n"/>
      <c r="E395" s="58" t="n"/>
      <c r="F395" s="192" t="n"/>
      <c r="G395" s="192" t="n"/>
      <c r="H395" s="192" t="n"/>
      <c r="I395" s="64" t="n"/>
      <c r="J395" s="64" t="n"/>
      <c r="K395" s="193" t="n"/>
      <c r="L395" s="357" t="n"/>
      <c r="M395" s="357" t="n"/>
      <c r="N395" s="58" t="n"/>
      <c r="O395" s="30" t="n"/>
      <c r="P395" s="58" t="n"/>
      <c r="Q395" s="30" t="n"/>
      <c r="R395" s="135" t="n"/>
      <c r="S395" s="301" t="n"/>
      <c r="T395" s="294" t="n"/>
      <c r="U395" s="29" t="inlineStr">
        <is>
          <t>r03</t>
        </is>
      </c>
      <c r="V395" s="191" t="n"/>
      <c r="W395" s="58" t="n"/>
      <c r="X395" s="192" t="n"/>
      <c r="Y395" s="192" t="n"/>
      <c r="Z395" s="192" t="n"/>
      <c r="AA395" s="64" t="n"/>
      <c r="AB395" s="64" t="n"/>
      <c r="AC395" s="193" t="n"/>
      <c r="AD395" s="357" t="n"/>
      <c r="AE395" s="357" t="n"/>
      <c r="AF395" s="58" t="n"/>
      <c r="AG395" s="30" t="n"/>
      <c r="AH395" s="58" t="n"/>
      <c r="AI395" s="30" t="n"/>
      <c r="AJ395" s="135" t="n"/>
      <c r="AK395" s="212" t="n"/>
      <c r="AL395" s="294" t="n"/>
      <c r="AM395" s="89">
        <f>IF(OR(X395="",F395=""),"",X395-F395)</f>
        <v/>
      </c>
      <c r="AN395" s="124">
        <f>IF(OR(Y395="",G395=""),"",Y395-G395)</f>
        <v/>
      </c>
      <c r="AO395" s="124">
        <f>IF(OR(Z395="",H395=""),"",Z395-H395)</f>
        <v/>
      </c>
      <c r="AP395" s="124">
        <f>IF(OR(AA395="",I395=""),"",AA395-I395)</f>
        <v/>
      </c>
      <c r="AQ395" s="90">
        <f>IF(OR(AB395="",J395=""),"",AB395-J395)</f>
        <v/>
      </c>
      <c r="AR395" s="39" t="n"/>
      <c r="AS395" s="332" t="n"/>
      <c r="AT395" s="39" t="n"/>
    </row>
    <row r="396" ht="13.5" customHeight="1" s="279">
      <c r="B396" s="294" t="n"/>
      <c r="C396" s="29" t="inlineStr">
        <is>
          <t>r04</t>
        </is>
      </c>
      <c r="D396" s="191" t="n"/>
      <c r="E396" s="58" t="n"/>
      <c r="F396" s="192" t="n"/>
      <c r="G396" s="192" t="n"/>
      <c r="H396" s="192" t="n"/>
      <c r="I396" s="64" t="n"/>
      <c r="J396" s="64" t="n"/>
      <c r="K396" s="193" t="n"/>
      <c r="L396" s="357" t="n"/>
      <c r="M396" s="357" t="n"/>
      <c r="N396" s="58" t="n"/>
      <c r="O396" s="30" t="n"/>
      <c r="P396" s="58" t="n"/>
      <c r="Q396" s="30" t="n"/>
      <c r="R396" s="135" t="n"/>
      <c r="S396" s="301" t="n"/>
      <c r="T396" s="294" t="n"/>
      <c r="U396" s="29" t="inlineStr">
        <is>
          <t>r04</t>
        </is>
      </c>
      <c r="V396" s="191" t="n"/>
      <c r="W396" s="58" t="n"/>
      <c r="X396" s="192" t="n"/>
      <c r="Y396" s="192" t="n"/>
      <c r="Z396" s="192" t="n"/>
      <c r="AA396" s="64" t="n"/>
      <c r="AB396" s="64" t="n"/>
      <c r="AC396" s="193" t="n"/>
      <c r="AD396" s="357" t="n"/>
      <c r="AE396" s="357" t="n"/>
      <c r="AF396" s="58" t="n"/>
      <c r="AG396" s="30" t="n"/>
      <c r="AH396" s="58" t="n"/>
      <c r="AI396" s="30" t="n"/>
      <c r="AJ396" s="135" t="n"/>
      <c r="AK396" s="212" t="n"/>
      <c r="AL396" s="294" t="n"/>
      <c r="AM396" s="89">
        <f>IF(OR(X396="",F396=""),"",X396-F396)</f>
        <v/>
      </c>
      <c r="AN396" s="124">
        <f>IF(OR(Y396="",G396=""),"",Y396-G396)</f>
        <v/>
      </c>
      <c r="AO396" s="124">
        <f>IF(OR(Z396="",H396=""),"",Z396-H396)</f>
        <v/>
      </c>
      <c r="AP396" s="124">
        <f>IF(OR(AA396="",I396=""),"",AA396-I396)</f>
        <v/>
      </c>
      <c r="AQ396" s="90">
        <f>IF(OR(AB396="",J396=""),"",AB396-J396)</f>
        <v/>
      </c>
      <c r="AR396" s="39" t="n"/>
      <c r="AS396" s="332" t="n"/>
      <c r="AT396" s="39" t="n"/>
    </row>
    <row r="397" ht="13.5" customHeight="1" s="279" thickBot="1">
      <c r="B397" s="295" t="n"/>
      <c r="C397" s="29" t="n"/>
      <c r="D397" s="191" t="n"/>
      <c r="E397" s="58" t="n"/>
      <c r="F397" s="194" t="n"/>
      <c r="G397" s="194" t="n"/>
      <c r="H397" s="194" t="n"/>
      <c r="I397" s="58" t="n"/>
      <c r="J397" s="58" t="n"/>
      <c r="K397" s="193" t="n"/>
      <c r="L397" s="357" t="n"/>
      <c r="M397" s="357" t="n"/>
      <c r="N397" s="58" t="n"/>
      <c r="O397" s="30" t="n"/>
      <c r="P397" s="58" t="n"/>
      <c r="Q397" s="30" t="n"/>
      <c r="R397" s="189" t="n"/>
      <c r="S397" s="301" t="n"/>
      <c r="T397" s="295" t="n"/>
      <c r="U397" s="29" t="n"/>
      <c r="V397" s="191" t="n"/>
      <c r="W397" s="58" t="n"/>
      <c r="X397" s="194" t="n"/>
      <c r="Y397" s="194" t="n"/>
      <c r="Z397" s="194" t="n"/>
      <c r="AA397" s="58" t="n"/>
      <c r="AB397" s="58" t="n"/>
      <c r="AC397" s="193" t="n"/>
      <c r="AD397" s="357" t="n"/>
      <c r="AE397" s="357" t="n"/>
      <c r="AF397" s="58" t="n"/>
      <c r="AG397" s="30" t="n"/>
      <c r="AH397" s="58" t="n"/>
      <c r="AI397" s="30" t="n"/>
      <c r="AJ397" s="189" t="n"/>
      <c r="AK397" s="212" t="n"/>
      <c r="AL397" s="295" t="n"/>
      <c r="AM397" s="125">
        <f>IF(OR(X397="",F397=""),"",X397-F397)</f>
        <v/>
      </c>
      <c r="AN397" s="126">
        <f>IF(OR(Y397="",G397=""),"",Y397-G397)</f>
        <v/>
      </c>
      <c r="AO397" s="126">
        <f>IF(OR(Z397="",H397=""),"",Z397-H397)</f>
        <v/>
      </c>
      <c r="AP397" s="126">
        <f>IF(OR(AA397="",I397=""),"",AA397-I397)</f>
        <v/>
      </c>
      <c r="AQ397" s="127">
        <f>IF(OR(AB397="",J397=""),"",AB397-J397)</f>
        <v/>
      </c>
      <c r="AR397" s="39" t="n"/>
      <c r="AS397" s="332" t="n"/>
      <c r="AT397" s="39" t="n"/>
    </row>
    <row r="398" ht="13.5" customHeight="1" s="279">
      <c r="B398" s="293" t="inlineStr">
        <is>
          <t>v73</t>
        </is>
      </c>
      <c r="C398" s="27" t="inlineStr">
        <is>
          <t>r01</t>
        </is>
      </c>
      <c r="D398" s="41" t="n"/>
      <c r="E398" s="57" t="n"/>
      <c r="F398" s="99" t="n"/>
      <c r="G398" s="99" t="n"/>
      <c r="H398" s="99" t="n"/>
      <c r="I398" s="62" t="n"/>
      <c r="J398" s="62" t="n"/>
      <c r="K398" s="63" t="n"/>
      <c r="L398" s="356" t="n"/>
      <c r="M398" s="356" t="n"/>
      <c r="N398" s="57" t="n"/>
      <c r="O398" s="28" t="n"/>
      <c r="P398" s="57" t="n"/>
      <c r="Q398" s="28" t="n"/>
      <c r="R398" s="134" t="n"/>
      <c r="S398" s="301" t="n"/>
      <c r="T398" s="293" t="inlineStr">
        <is>
          <t>v73</t>
        </is>
      </c>
      <c r="U398" s="27" t="inlineStr">
        <is>
          <t>r01</t>
        </is>
      </c>
      <c r="V398" s="41" t="n"/>
      <c r="W398" s="57" t="n"/>
      <c r="X398" s="99" t="n"/>
      <c r="Y398" s="99" t="n"/>
      <c r="Z398" s="99" t="n"/>
      <c r="AA398" s="62" t="n"/>
      <c r="AB398" s="62" t="n"/>
      <c r="AC398" s="63" t="n"/>
      <c r="AD398" s="356" t="n"/>
      <c r="AE398" s="356" t="n"/>
      <c r="AF398" s="57" t="n"/>
      <c r="AG398" s="28" t="n"/>
      <c r="AH398" s="57" t="n"/>
      <c r="AI398" s="28" t="n"/>
      <c r="AJ398" s="134" t="n"/>
      <c r="AK398" s="212" t="n"/>
      <c r="AL398" s="293" t="inlineStr">
        <is>
          <t>v73</t>
        </is>
      </c>
      <c r="AM398" s="122">
        <f>IF(OR(X398="",F398=""),"",X398-F398)</f>
        <v/>
      </c>
      <c r="AN398" s="98">
        <f>IF(OR(Y398="",G398=""),"",Y398-G398)</f>
        <v/>
      </c>
      <c r="AO398" s="98">
        <f>IF(OR(Z398="",H398=""),"",Z398-H398)</f>
        <v/>
      </c>
      <c r="AP398" s="98">
        <f>IF(OR(AA398="",I398=""),"",AA398-I398)</f>
        <v/>
      </c>
      <c r="AQ398" s="123">
        <f>IF(OR(AB398="",J398=""),"",AB398-J398)</f>
        <v/>
      </c>
      <c r="AR398" s="39" t="n"/>
      <c r="AS398" s="332" t="n"/>
      <c r="AT398" s="39" t="n"/>
    </row>
    <row r="399" ht="13.5" customHeight="1" s="279">
      <c r="B399" s="294" t="n"/>
      <c r="C399" s="29" t="inlineStr">
        <is>
          <t>r02</t>
        </is>
      </c>
      <c r="D399" s="191" t="n"/>
      <c r="E399" s="58" t="n"/>
      <c r="F399" s="192" t="n"/>
      <c r="G399" s="192" t="n"/>
      <c r="H399" s="192" t="n"/>
      <c r="I399" s="64" t="n"/>
      <c r="J399" s="64" t="n"/>
      <c r="K399" s="193" t="n"/>
      <c r="L399" s="357" t="n"/>
      <c r="M399" s="357" t="n"/>
      <c r="N399" s="58" t="n"/>
      <c r="O399" s="30" t="n"/>
      <c r="P399" s="58" t="n"/>
      <c r="Q399" s="30" t="n"/>
      <c r="R399" s="135" t="n"/>
      <c r="S399" s="301" t="n"/>
      <c r="T399" s="294" t="n"/>
      <c r="U399" s="29" t="inlineStr">
        <is>
          <t>r02</t>
        </is>
      </c>
      <c r="V399" s="191" t="n"/>
      <c r="W399" s="58" t="n"/>
      <c r="X399" s="192" t="n"/>
      <c r="Y399" s="192" t="n"/>
      <c r="Z399" s="192" t="n"/>
      <c r="AA399" s="64" t="n"/>
      <c r="AB399" s="64" t="n"/>
      <c r="AC399" s="193" t="n"/>
      <c r="AD399" s="357" t="n"/>
      <c r="AE399" s="357" t="n"/>
      <c r="AF399" s="58" t="n"/>
      <c r="AG399" s="30" t="n"/>
      <c r="AH399" s="58" t="n"/>
      <c r="AI399" s="30" t="n"/>
      <c r="AJ399" s="135" t="n"/>
      <c r="AK399" s="212" t="n"/>
      <c r="AL399" s="294" t="n"/>
      <c r="AM399" s="89">
        <f>IF(OR(X399="",F399=""),"",X399-F399)</f>
        <v/>
      </c>
      <c r="AN399" s="124">
        <f>IF(OR(Y399="",G399=""),"",Y399-G399)</f>
        <v/>
      </c>
      <c r="AO399" s="124">
        <f>IF(OR(Z399="",H399=""),"",Z399-H399)</f>
        <v/>
      </c>
      <c r="AP399" s="124">
        <f>IF(OR(AA399="",I399=""),"",AA399-I399)</f>
        <v/>
      </c>
      <c r="AQ399" s="90">
        <f>IF(OR(AB399="",J399=""),"",AB399-J399)</f>
        <v/>
      </c>
      <c r="AR399" s="39" t="n"/>
      <c r="AS399" s="332" t="n"/>
      <c r="AT399" s="39" t="n"/>
    </row>
    <row r="400" ht="13.5" customHeight="1" s="279">
      <c r="B400" s="294" t="n"/>
      <c r="C400" s="29" t="inlineStr">
        <is>
          <t>r03</t>
        </is>
      </c>
      <c r="D400" s="191" t="n"/>
      <c r="E400" s="58" t="n"/>
      <c r="F400" s="192" t="n"/>
      <c r="G400" s="192" t="n"/>
      <c r="H400" s="192" t="n"/>
      <c r="I400" s="64" t="n"/>
      <c r="J400" s="64" t="n"/>
      <c r="K400" s="193" t="n"/>
      <c r="L400" s="357" t="n"/>
      <c r="M400" s="357" t="n"/>
      <c r="N400" s="58" t="n"/>
      <c r="O400" s="30" t="n"/>
      <c r="P400" s="58" t="n"/>
      <c r="Q400" s="30" t="n"/>
      <c r="R400" s="135" t="n"/>
      <c r="S400" s="301" t="n"/>
      <c r="T400" s="294" t="n"/>
      <c r="U400" s="29" t="inlineStr">
        <is>
          <t>r03</t>
        </is>
      </c>
      <c r="V400" s="191" t="n"/>
      <c r="W400" s="58" t="n"/>
      <c r="X400" s="192" t="n"/>
      <c r="Y400" s="192" t="n"/>
      <c r="Z400" s="192" t="n"/>
      <c r="AA400" s="64" t="n"/>
      <c r="AB400" s="64" t="n"/>
      <c r="AC400" s="193" t="n"/>
      <c r="AD400" s="357" t="n"/>
      <c r="AE400" s="357" t="n"/>
      <c r="AF400" s="58" t="n"/>
      <c r="AG400" s="30" t="n"/>
      <c r="AH400" s="58" t="n"/>
      <c r="AI400" s="30" t="n"/>
      <c r="AJ400" s="135" t="n"/>
      <c r="AK400" s="212" t="n"/>
      <c r="AL400" s="294" t="n"/>
      <c r="AM400" s="89">
        <f>IF(OR(X400="",F400=""),"",X400-F400)</f>
        <v/>
      </c>
      <c r="AN400" s="124">
        <f>IF(OR(Y400="",G400=""),"",Y400-G400)</f>
        <v/>
      </c>
      <c r="AO400" s="124">
        <f>IF(OR(Z400="",H400=""),"",Z400-H400)</f>
        <v/>
      </c>
      <c r="AP400" s="124">
        <f>IF(OR(AA400="",I400=""),"",AA400-I400)</f>
        <v/>
      </c>
      <c r="AQ400" s="90">
        <f>IF(OR(AB400="",J400=""),"",AB400-J400)</f>
        <v/>
      </c>
      <c r="AR400" s="39" t="n"/>
      <c r="AS400" s="332" t="n"/>
      <c r="AT400" s="39" t="n"/>
    </row>
    <row r="401" ht="13.5" customHeight="1" s="279">
      <c r="B401" s="294" t="n"/>
      <c r="C401" s="29" t="inlineStr">
        <is>
          <t>r04</t>
        </is>
      </c>
      <c r="D401" s="191" t="n"/>
      <c r="E401" s="58" t="n"/>
      <c r="F401" s="192" t="n"/>
      <c r="G401" s="192" t="n"/>
      <c r="H401" s="192" t="n"/>
      <c r="I401" s="64" t="n"/>
      <c r="J401" s="64" t="n"/>
      <c r="K401" s="193" t="n"/>
      <c r="L401" s="357" t="n"/>
      <c r="M401" s="357" t="n"/>
      <c r="N401" s="58" t="n"/>
      <c r="O401" s="30" t="n"/>
      <c r="P401" s="58" t="n"/>
      <c r="Q401" s="30" t="n"/>
      <c r="R401" s="135" t="n"/>
      <c r="S401" s="301" t="n"/>
      <c r="T401" s="294" t="n"/>
      <c r="U401" s="29" t="inlineStr">
        <is>
          <t>r04</t>
        </is>
      </c>
      <c r="V401" s="191" t="n"/>
      <c r="W401" s="58" t="n"/>
      <c r="X401" s="192" t="n"/>
      <c r="Y401" s="192" t="n"/>
      <c r="Z401" s="192" t="n"/>
      <c r="AA401" s="64" t="n"/>
      <c r="AB401" s="64" t="n"/>
      <c r="AC401" s="193" t="n"/>
      <c r="AD401" s="357" t="n"/>
      <c r="AE401" s="357" t="n"/>
      <c r="AF401" s="58" t="n"/>
      <c r="AG401" s="30" t="n"/>
      <c r="AH401" s="58" t="n"/>
      <c r="AI401" s="30" t="n"/>
      <c r="AJ401" s="135" t="n"/>
      <c r="AK401" s="212" t="n"/>
      <c r="AL401" s="294" t="n"/>
      <c r="AM401" s="89">
        <f>IF(OR(X401="",F401=""),"",X401-F401)</f>
        <v/>
      </c>
      <c r="AN401" s="124">
        <f>IF(OR(Y401="",G401=""),"",Y401-G401)</f>
        <v/>
      </c>
      <c r="AO401" s="124">
        <f>IF(OR(Z401="",H401=""),"",Z401-H401)</f>
        <v/>
      </c>
      <c r="AP401" s="124">
        <f>IF(OR(AA401="",I401=""),"",AA401-I401)</f>
        <v/>
      </c>
      <c r="AQ401" s="90">
        <f>IF(OR(AB401="",J401=""),"",AB401-J401)</f>
        <v/>
      </c>
      <c r="AR401" s="39" t="n"/>
      <c r="AS401" s="332" t="n"/>
      <c r="AT401" s="39" t="n"/>
    </row>
    <row r="402" ht="13.5" customHeight="1" s="279" thickBot="1">
      <c r="B402" s="295" t="n"/>
      <c r="C402" s="29" t="n"/>
      <c r="D402" s="191" t="n"/>
      <c r="E402" s="58" t="n"/>
      <c r="F402" s="194" t="n"/>
      <c r="G402" s="194" t="n"/>
      <c r="H402" s="194" t="n"/>
      <c r="I402" s="58" t="n"/>
      <c r="J402" s="58" t="n"/>
      <c r="K402" s="193" t="n"/>
      <c r="L402" s="357" t="n"/>
      <c r="M402" s="357" t="n"/>
      <c r="N402" s="58" t="n"/>
      <c r="O402" s="30" t="n"/>
      <c r="P402" s="58" t="n"/>
      <c r="Q402" s="30" t="n"/>
      <c r="R402" s="189" t="n"/>
      <c r="S402" s="301" t="n"/>
      <c r="T402" s="295" t="n"/>
      <c r="U402" s="29" t="n"/>
      <c r="V402" s="191" t="n"/>
      <c r="W402" s="58" t="n"/>
      <c r="X402" s="194" t="n"/>
      <c r="Y402" s="194" t="n"/>
      <c r="Z402" s="194" t="n"/>
      <c r="AA402" s="58" t="n"/>
      <c r="AB402" s="58" t="n"/>
      <c r="AC402" s="193" t="n"/>
      <c r="AD402" s="357" t="n"/>
      <c r="AE402" s="357" t="n"/>
      <c r="AF402" s="58" t="n"/>
      <c r="AG402" s="30" t="n"/>
      <c r="AH402" s="58" t="n"/>
      <c r="AI402" s="30" t="n"/>
      <c r="AJ402" s="189" t="n"/>
      <c r="AK402" s="212" t="n"/>
      <c r="AL402" s="295" t="n"/>
      <c r="AM402" s="125">
        <f>IF(OR(X402="",F402=""),"",X402-F402)</f>
        <v/>
      </c>
      <c r="AN402" s="126">
        <f>IF(OR(Y402="",G402=""),"",Y402-G402)</f>
        <v/>
      </c>
      <c r="AO402" s="126">
        <f>IF(OR(Z402="",H402=""),"",Z402-H402)</f>
        <v/>
      </c>
      <c r="AP402" s="126">
        <f>IF(OR(AA402="",I402=""),"",AA402-I402)</f>
        <v/>
      </c>
      <c r="AQ402" s="127">
        <f>IF(OR(AB402="",J402=""),"",AB402-J402)</f>
        <v/>
      </c>
      <c r="AR402" s="39" t="n"/>
      <c r="AS402" s="332" t="n"/>
      <c r="AT402" s="39" t="n"/>
    </row>
    <row r="403" ht="13.5" customHeight="1" s="279">
      <c r="B403" s="293" t="inlineStr">
        <is>
          <t>v74</t>
        </is>
      </c>
      <c r="C403" s="27" t="inlineStr">
        <is>
          <t>r01</t>
        </is>
      </c>
      <c r="D403" s="41" t="n"/>
      <c r="E403" s="57" t="n"/>
      <c r="F403" s="99" t="n"/>
      <c r="G403" s="99" t="n"/>
      <c r="H403" s="99" t="n"/>
      <c r="I403" s="62" t="n"/>
      <c r="J403" s="62" t="n"/>
      <c r="K403" s="63" t="n"/>
      <c r="L403" s="356" t="n"/>
      <c r="M403" s="356" t="n"/>
      <c r="N403" s="57" t="n"/>
      <c r="O403" s="28" t="n"/>
      <c r="P403" s="57" t="n"/>
      <c r="Q403" s="28" t="n"/>
      <c r="R403" s="134" t="n"/>
      <c r="S403" s="301" t="n"/>
      <c r="T403" s="293" t="inlineStr">
        <is>
          <t>v74</t>
        </is>
      </c>
      <c r="U403" s="27" t="inlineStr">
        <is>
          <t>r01</t>
        </is>
      </c>
      <c r="V403" s="41" t="n"/>
      <c r="W403" s="57" t="n"/>
      <c r="X403" s="99" t="n"/>
      <c r="Y403" s="99" t="n"/>
      <c r="Z403" s="99" t="n"/>
      <c r="AA403" s="62" t="n"/>
      <c r="AB403" s="62" t="n"/>
      <c r="AC403" s="63" t="n"/>
      <c r="AD403" s="356" t="n"/>
      <c r="AE403" s="356" t="n"/>
      <c r="AF403" s="57" t="n"/>
      <c r="AG403" s="28" t="n"/>
      <c r="AH403" s="57" t="n"/>
      <c r="AI403" s="28" t="n"/>
      <c r="AJ403" s="134" t="n"/>
      <c r="AK403" s="212" t="n"/>
      <c r="AL403" s="293" t="inlineStr">
        <is>
          <t>v74</t>
        </is>
      </c>
      <c r="AM403" s="122">
        <f>IF(OR(X403="",F403=""),"",X403-F403)</f>
        <v/>
      </c>
      <c r="AN403" s="98">
        <f>IF(OR(Y403="",G403=""),"",Y403-G403)</f>
        <v/>
      </c>
      <c r="AO403" s="98">
        <f>IF(OR(Z403="",H403=""),"",Z403-H403)</f>
        <v/>
      </c>
      <c r="AP403" s="98">
        <f>IF(OR(AA403="",I403=""),"",AA403-I403)</f>
        <v/>
      </c>
      <c r="AQ403" s="123">
        <f>IF(OR(AB403="",J403=""),"",AB403-J403)</f>
        <v/>
      </c>
      <c r="AR403" s="39" t="n"/>
      <c r="AS403" s="332" t="n"/>
      <c r="AT403" s="39" t="n"/>
    </row>
    <row r="404" ht="13.5" customHeight="1" s="279">
      <c r="B404" s="294" t="n"/>
      <c r="C404" s="29" t="inlineStr">
        <is>
          <t>r02</t>
        </is>
      </c>
      <c r="D404" s="191" t="n"/>
      <c r="E404" s="58" t="n"/>
      <c r="F404" s="192" t="n"/>
      <c r="G404" s="192" t="n"/>
      <c r="H404" s="192" t="n"/>
      <c r="I404" s="64" t="n"/>
      <c r="J404" s="64" t="n"/>
      <c r="K404" s="193" t="n"/>
      <c r="L404" s="357" t="n"/>
      <c r="M404" s="357" t="n"/>
      <c r="N404" s="58" t="n"/>
      <c r="O404" s="30" t="n"/>
      <c r="P404" s="58" t="n"/>
      <c r="Q404" s="30" t="n"/>
      <c r="R404" s="135" t="n"/>
      <c r="S404" s="301" t="n"/>
      <c r="T404" s="294" t="n"/>
      <c r="U404" s="29" t="inlineStr">
        <is>
          <t>r02</t>
        </is>
      </c>
      <c r="V404" s="191" t="n"/>
      <c r="W404" s="58" t="n"/>
      <c r="X404" s="192" t="n"/>
      <c r="Y404" s="192" t="n"/>
      <c r="Z404" s="192" t="n"/>
      <c r="AA404" s="64" t="n"/>
      <c r="AB404" s="64" t="n"/>
      <c r="AC404" s="193" t="n"/>
      <c r="AD404" s="357" t="n"/>
      <c r="AE404" s="357" t="n"/>
      <c r="AF404" s="58" t="n"/>
      <c r="AG404" s="30" t="n"/>
      <c r="AH404" s="58" t="n"/>
      <c r="AI404" s="30" t="n"/>
      <c r="AJ404" s="135" t="n"/>
      <c r="AK404" s="212" t="n"/>
      <c r="AL404" s="294" t="n"/>
      <c r="AM404" s="89">
        <f>IF(OR(X404="",F404=""),"",X404-F404)</f>
        <v/>
      </c>
      <c r="AN404" s="124">
        <f>IF(OR(Y404="",G404=""),"",Y404-G404)</f>
        <v/>
      </c>
      <c r="AO404" s="124">
        <f>IF(OR(Z404="",H404=""),"",Z404-H404)</f>
        <v/>
      </c>
      <c r="AP404" s="124">
        <f>IF(OR(AA404="",I404=""),"",AA404-I404)</f>
        <v/>
      </c>
      <c r="AQ404" s="90">
        <f>IF(OR(AB404="",J404=""),"",AB404-J404)</f>
        <v/>
      </c>
      <c r="AR404" s="39" t="n"/>
      <c r="AS404" s="332" t="n"/>
      <c r="AT404" s="39" t="n"/>
    </row>
    <row r="405" ht="13.5" customHeight="1" s="279">
      <c r="B405" s="294" t="n"/>
      <c r="C405" s="29" t="inlineStr">
        <is>
          <t>r03</t>
        </is>
      </c>
      <c r="D405" s="191" t="n"/>
      <c r="E405" s="58" t="n"/>
      <c r="F405" s="192" t="n"/>
      <c r="G405" s="192" t="n"/>
      <c r="H405" s="192" t="n"/>
      <c r="I405" s="64" t="n"/>
      <c r="J405" s="64" t="n"/>
      <c r="K405" s="193" t="n"/>
      <c r="L405" s="357" t="n"/>
      <c r="M405" s="357" t="n"/>
      <c r="N405" s="58" t="n"/>
      <c r="O405" s="30" t="n"/>
      <c r="P405" s="58" t="n"/>
      <c r="Q405" s="30" t="n"/>
      <c r="R405" s="135" t="n"/>
      <c r="S405" s="301" t="n"/>
      <c r="T405" s="294" t="n"/>
      <c r="U405" s="29" t="inlineStr">
        <is>
          <t>r03</t>
        </is>
      </c>
      <c r="V405" s="191" t="n"/>
      <c r="W405" s="58" t="n"/>
      <c r="X405" s="192" t="n"/>
      <c r="Y405" s="192" t="n"/>
      <c r="Z405" s="192" t="n"/>
      <c r="AA405" s="64" t="n"/>
      <c r="AB405" s="64" t="n"/>
      <c r="AC405" s="193" t="n"/>
      <c r="AD405" s="357" t="n"/>
      <c r="AE405" s="357" t="n"/>
      <c r="AF405" s="58" t="n"/>
      <c r="AG405" s="30" t="n"/>
      <c r="AH405" s="58" t="n"/>
      <c r="AI405" s="30" t="n"/>
      <c r="AJ405" s="135" t="n"/>
      <c r="AK405" s="212" t="n"/>
      <c r="AL405" s="294" t="n"/>
      <c r="AM405" s="89">
        <f>IF(OR(X405="",F405=""),"",X405-F405)</f>
        <v/>
      </c>
      <c r="AN405" s="124">
        <f>IF(OR(Y405="",G405=""),"",Y405-G405)</f>
        <v/>
      </c>
      <c r="AO405" s="124">
        <f>IF(OR(Z405="",H405=""),"",Z405-H405)</f>
        <v/>
      </c>
      <c r="AP405" s="124">
        <f>IF(OR(AA405="",I405=""),"",AA405-I405)</f>
        <v/>
      </c>
      <c r="AQ405" s="90">
        <f>IF(OR(AB405="",J405=""),"",AB405-J405)</f>
        <v/>
      </c>
      <c r="AR405" s="39" t="n"/>
      <c r="AS405" s="332" t="n"/>
      <c r="AT405" s="39" t="n"/>
    </row>
    <row r="406" ht="13.5" customHeight="1" s="279">
      <c r="B406" s="294" t="n"/>
      <c r="C406" s="29" t="inlineStr">
        <is>
          <t>r04</t>
        </is>
      </c>
      <c r="D406" s="191" t="n"/>
      <c r="E406" s="58" t="n"/>
      <c r="F406" s="192" t="n"/>
      <c r="G406" s="192" t="n"/>
      <c r="H406" s="192" t="n"/>
      <c r="I406" s="64" t="n"/>
      <c r="J406" s="64" t="n"/>
      <c r="K406" s="193" t="n"/>
      <c r="L406" s="357" t="n"/>
      <c r="M406" s="357" t="n"/>
      <c r="N406" s="58" t="n"/>
      <c r="O406" s="30" t="n"/>
      <c r="P406" s="58" t="n"/>
      <c r="Q406" s="30" t="n"/>
      <c r="R406" s="135" t="n"/>
      <c r="S406" s="301" t="n"/>
      <c r="T406" s="294" t="n"/>
      <c r="U406" s="29" t="inlineStr">
        <is>
          <t>r04</t>
        </is>
      </c>
      <c r="V406" s="191" t="n"/>
      <c r="W406" s="58" t="n"/>
      <c r="X406" s="192" t="n"/>
      <c r="Y406" s="192" t="n"/>
      <c r="Z406" s="192" t="n"/>
      <c r="AA406" s="64" t="n"/>
      <c r="AB406" s="64" t="n"/>
      <c r="AC406" s="193" t="n"/>
      <c r="AD406" s="357" t="n"/>
      <c r="AE406" s="357" t="n"/>
      <c r="AF406" s="58" t="n"/>
      <c r="AG406" s="30" t="n"/>
      <c r="AH406" s="58" t="n"/>
      <c r="AI406" s="30" t="n"/>
      <c r="AJ406" s="135" t="n"/>
      <c r="AK406" s="212" t="n"/>
      <c r="AL406" s="294" t="n"/>
      <c r="AM406" s="89">
        <f>IF(OR(X406="",F406=""),"",X406-F406)</f>
        <v/>
      </c>
      <c r="AN406" s="124">
        <f>IF(OR(Y406="",G406=""),"",Y406-G406)</f>
        <v/>
      </c>
      <c r="AO406" s="124">
        <f>IF(OR(Z406="",H406=""),"",Z406-H406)</f>
        <v/>
      </c>
      <c r="AP406" s="124">
        <f>IF(OR(AA406="",I406=""),"",AA406-I406)</f>
        <v/>
      </c>
      <c r="AQ406" s="90">
        <f>IF(OR(AB406="",J406=""),"",AB406-J406)</f>
        <v/>
      </c>
      <c r="AR406" s="39" t="n"/>
      <c r="AS406" s="332" t="n"/>
      <c r="AT406" s="39" t="n"/>
    </row>
    <row r="407" ht="13.5" customHeight="1" s="279" thickBot="1">
      <c r="B407" s="295" t="n"/>
      <c r="C407" s="29" t="n"/>
      <c r="D407" s="191" t="n"/>
      <c r="E407" s="58" t="n"/>
      <c r="F407" s="194" t="n"/>
      <c r="G407" s="194" t="n"/>
      <c r="H407" s="194" t="n"/>
      <c r="I407" s="58" t="n"/>
      <c r="J407" s="58" t="n"/>
      <c r="K407" s="193" t="n"/>
      <c r="L407" s="357" t="n"/>
      <c r="M407" s="357" t="n"/>
      <c r="N407" s="58" t="n"/>
      <c r="O407" s="30" t="n"/>
      <c r="P407" s="58" t="n"/>
      <c r="Q407" s="30" t="n"/>
      <c r="R407" s="189" t="n"/>
      <c r="S407" s="301" t="n"/>
      <c r="T407" s="295" t="n"/>
      <c r="U407" s="29" t="n"/>
      <c r="V407" s="191" t="n"/>
      <c r="W407" s="58" t="n"/>
      <c r="X407" s="194" t="n"/>
      <c r="Y407" s="194" t="n"/>
      <c r="Z407" s="194" t="n"/>
      <c r="AA407" s="58" t="n"/>
      <c r="AB407" s="58" t="n"/>
      <c r="AC407" s="193" t="n"/>
      <c r="AD407" s="357" t="n"/>
      <c r="AE407" s="357" t="n"/>
      <c r="AF407" s="58" t="n"/>
      <c r="AG407" s="30" t="n"/>
      <c r="AH407" s="58" t="n"/>
      <c r="AI407" s="30" t="n"/>
      <c r="AJ407" s="189" t="n"/>
      <c r="AK407" s="212" t="n"/>
      <c r="AL407" s="295" t="n"/>
      <c r="AM407" s="125">
        <f>IF(OR(X407="",F407=""),"",X407-F407)</f>
        <v/>
      </c>
      <c r="AN407" s="126">
        <f>IF(OR(Y407="",G407=""),"",Y407-G407)</f>
        <v/>
      </c>
      <c r="AO407" s="126">
        <f>IF(OR(Z407="",H407=""),"",Z407-H407)</f>
        <v/>
      </c>
      <c r="AP407" s="126">
        <f>IF(OR(AA407="",I407=""),"",AA407-I407)</f>
        <v/>
      </c>
      <c r="AQ407" s="127">
        <f>IF(OR(AB407="",J407=""),"",AB407-J407)</f>
        <v/>
      </c>
      <c r="AR407" s="39" t="n"/>
      <c r="AS407" s="332" t="n"/>
      <c r="AT407" s="39" t="n"/>
    </row>
    <row r="408" ht="13.5" customHeight="1" s="279">
      <c r="B408" s="293" t="inlineStr">
        <is>
          <t>v75</t>
        </is>
      </c>
      <c r="C408" s="27" t="inlineStr">
        <is>
          <t>r01</t>
        </is>
      </c>
      <c r="D408" s="41" t="n"/>
      <c r="E408" s="57" t="n"/>
      <c r="F408" s="99" t="n"/>
      <c r="G408" s="99" t="n"/>
      <c r="H408" s="99" t="n"/>
      <c r="I408" s="62" t="n"/>
      <c r="J408" s="62" t="n"/>
      <c r="K408" s="63" t="n"/>
      <c r="L408" s="356" t="n"/>
      <c r="M408" s="356" t="n"/>
      <c r="N408" s="57" t="n"/>
      <c r="O408" s="28" t="n"/>
      <c r="P408" s="57" t="n"/>
      <c r="Q408" s="28" t="n"/>
      <c r="R408" s="134" t="n"/>
      <c r="S408" s="301" t="n"/>
      <c r="T408" s="293" t="inlineStr">
        <is>
          <t>v75</t>
        </is>
      </c>
      <c r="U408" s="27" t="inlineStr">
        <is>
          <t>r01</t>
        </is>
      </c>
      <c r="V408" s="41" t="n"/>
      <c r="W408" s="57" t="n"/>
      <c r="X408" s="99" t="n"/>
      <c r="Y408" s="99" t="n"/>
      <c r="Z408" s="99" t="n"/>
      <c r="AA408" s="62" t="n"/>
      <c r="AB408" s="62" t="n"/>
      <c r="AC408" s="63" t="n"/>
      <c r="AD408" s="356" t="n"/>
      <c r="AE408" s="356" t="n"/>
      <c r="AF408" s="57" t="n"/>
      <c r="AG408" s="28" t="n"/>
      <c r="AH408" s="57" t="n"/>
      <c r="AI408" s="28" t="n"/>
      <c r="AJ408" s="134" t="n"/>
      <c r="AK408" s="212" t="n"/>
      <c r="AL408" s="293" t="inlineStr">
        <is>
          <t>v75</t>
        </is>
      </c>
      <c r="AM408" s="122">
        <f>IF(OR(X408="",F408=""),"",X408-F408)</f>
        <v/>
      </c>
      <c r="AN408" s="98">
        <f>IF(OR(Y408="",G408=""),"",Y408-G408)</f>
        <v/>
      </c>
      <c r="AO408" s="98">
        <f>IF(OR(Z408="",H408=""),"",Z408-H408)</f>
        <v/>
      </c>
      <c r="AP408" s="98">
        <f>IF(OR(AA408="",I408=""),"",AA408-I408)</f>
        <v/>
      </c>
      <c r="AQ408" s="123">
        <f>IF(OR(AB408="",J408=""),"",AB408-J408)</f>
        <v/>
      </c>
      <c r="AR408" s="39" t="n"/>
      <c r="AS408" s="332" t="n"/>
      <c r="AT408" s="39" t="n"/>
    </row>
    <row r="409" ht="13.5" customHeight="1" s="279">
      <c r="B409" s="294" t="n"/>
      <c r="C409" s="29" t="inlineStr">
        <is>
          <t>r02</t>
        </is>
      </c>
      <c r="D409" s="191" t="n"/>
      <c r="E409" s="58" t="n"/>
      <c r="F409" s="192" t="n"/>
      <c r="G409" s="192" t="n"/>
      <c r="H409" s="192" t="n"/>
      <c r="I409" s="64" t="n"/>
      <c r="J409" s="64" t="n"/>
      <c r="K409" s="193" t="n"/>
      <c r="L409" s="357" t="n"/>
      <c r="M409" s="357" t="n"/>
      <c r="N409" s="58" t="n"/>
      <c r="O409" s="30" t="n"/>
      <c r="P409" s="58" t="n"/>
      <c r="Q409" s="30" t="n"/>
      <c r="R409" s="135" t="n"/>
      <c r="S409" s="301" t="n"/>
      <c r="T409" s="294" t="n"/>
      <c r="U409" s="29" t="inlineStr">
        <is>
          <t>r02</t>
        </is>
      </c>
      <c r="V409" s="191" t="n"/>
      <c r="W409" s="58" t="n"/>
      <c r="X409" s="192" t="n"/>
      <c r="Y409" s="192" t="n"/>
      <c r="Z409" s="192" t="n"/>
      <c r="AA409" s="64" t="n"/>
      <c r="AB409" s="64" t="n"/>
      <c r="AC409" s="193" t="n"/>
      <c r="AD409" s="357" t="n"/>
      <c r="AE409" s="357" t="n"/>
      <c r="AF409" s="58" t="n"/>
      <c r="AG409" s="30" t="n"/>
      <c r="AH409" s="58" t="n"/>
      <c r="AI409" s="30" t="n"/>
      <c r="AJ409" s="135" t="n"/>
      <c r="AK409" s="212" t="n"/>
      <c r="AL409" s="294" t="n"/>
      <c r="AM409" s="89">
        <f>IF(OR(X409="",F409=""),"",X409-F409)</f>
        <v/>
      </c>
      <c r="AN409" s="124">
        <f>IF(OR(Y409="",G409=""),"",Y409-G409)</f>
        <v/>
      </c>
      <c r="AO409" s="124">
        <f>IF(OR(Z409="",H409=""),"",Z409-H409)</f>
        <v/>
      </c>
      <c r="AP409" s="124">
        <f>IF(OR(AA409="",I409=""),"",AA409-I409)</f>
        <v/>
      </c>
      <c r="AQ409" s="90">
        <f>IF(OR(AB409="",J409=""),"",AB409-J409)</f>
        <v/>
      </c>
      <c r="AR409" s="39" t="n"/>
      <c r="AS409" s="332" t="n"/>
      <c r="AT409" s="39" t="n"/>
    </row>
    <row r="410" ht="13.5" customHeight="1" s="279">
      <c r="B410" s="294" t="n"/>
      <c r="C410" s="29" t="inlineStr">
        <is>
          <t>r03</t>
        </is>
      </c>
      <c r="D410" s="191" t="n"/>
      <c r="E410" s="58" t="n"/>
      <c r="F410" s="192" t="n"/>
      <c r="G410" s="192" t="n"/>
      <c r="H410" s="192" t="n"/>
      <c r="I410" s="64" t="n"/>
      <c r="J410" s="64" t="n"/>
      <c r="K410" s="193" t="n"/>
      <c r="L410" s="357" t="n"/>
      <c r="M410" s="357" t="n"/>
      <c r="N410" s="58" t="n"/>
      <c r="O410" s="30" t="n"/>
      <c r="P410" s="58" t="n"/>
      <c r="Q410" s="30" t="n"/>
      <c r="R410" s="135" t="n"/>
      <c r="S410" s="301" t="n"/>
      <c r="T410" s="294" t="n"/>
      <c r="U410" s="29" t="inlineStr">
        <is>
          <t>r03</t>
        </is>
      </c>
      <c r="V410" s="191" t="n"/>
      <c r="W410" s="58" t="n"/>
      <c r="X410" s="192" t="n"/>
      <c r="Y410" s="192" t="n"/>
      <c r="Z410" s="192" t="n"/>
      <c r="AA410" s="64" t="n"/>
      <c r="AB410" s="64" t="n"/>
      <c r="AC410" s="193" t="n"/>
      <c r="AD410" s="357" t="n"/>
      <c r="AE410" s="357" t="n"/>
      <c r="AF410" s="58" t="n"/>
      <c r="AG410" s="30" t="n"/>
      <c r="AH410" s="58" t="n"/>
      <c r="AI410" s="30" t="n"/>
      <c r="AJ410" s="135" t="n"/>
      <c r="AK410" s="212" t="n"/>
      <c r="AL410" s="294" t="n"/>
      <c r="AM410" s="89">
        <f>IF(OR(X410="",F410=""),"",X410-F410)</f>
        <v/>
      </c>
      <c r="AN410" s="124">
        <f>IF(OR(Y410="",G410=""),"",Y410-G410)</f>
        <v/>
      </c>
      <c r="AO410" s="124">
        <f>IF(OR(Z410="",H410=""),"",Z410-H410)</f>
        <v/>
      </c>
      <c r="AP410" s="124">
        <f>IF(OR(AA410="",I410=""),"",AA410-I410)</f>
        <v/>
      </c>
      <c r="AQ410" s="90">
        <f>IF(OR(AB410="",J410=""),"",AB410-J410)</f>
        <v/>
      </c>
      <c r="AR410" s="39" t="n"/>
      <c r="AS410" s="332" t="n"/>
      <c r="AT410" s="39" t="n"/>
    </row>
    <row r="411" ht="13.5" customHeight="1" s="279">
      <c r="B411" s="294" t="n"/>
      <c r="C411" s="29" t="inlineStr">
        <is>
          <t>r04</t>
        </is>
      </c>
      <c r="D411" s="191" t="n"/>
      <c r="E411" s="58" t="n"/>
      <c r="F411" s="192" t="n"/>
      <c r="G411" s="192" t="n"/>
      <c r="H411" s="192" t="n"/>
      <c r="I411" s="64" t="n"/>
      <c r="J411" s="64" t="n"/>
      <c r="K411" s="193" t="n"/>
      <c r="L411" s="357" t="n"/>
      <c r="M411" s="357" t="n"/>
      <c r="N411" s="58" t="n"/>
      <c r="O411" s="30" t="n"/>
      <c r="P411" s="58" t="n"/>
      <c r="Q411" s="30" t="n"/>
      <c r="R411" s="135" t="n"/>
      <c r="S411" s="301" t="n"/>
      <c r="T411" s="294" t="n"/>
      <c r="U411" s="29" t="inlineStr">
        <is>
          <t>r04</t>
        </is>
      </c>
      <c r="V411" s="191" t="n"/>
      <c r="W411" s="58" t="n"/>
      <c r="X411" s="192" t="n"/>
      <c r="Y411" s="192" t="n"/>
      <c r="Z411" s="192" t="n"/>
      <c r="AA411" s="64" t="n"/>
      <c r="AB411" s="64" t="n"/>
      <c r="AC411" s="193" t="n"/>
      <c r="AD411" s="357" t="n"/>
      <c r="AE411" s="357" t="n"/>
      <c r="AF411" s="58" t="n"/>
      <c r="AG411" s="30" t="n"/>
      <c r="AH411" s="58" t="n"/>
      <c r="AI411" s="30" t="n"/>
      <c r="AJ411" s="135" t="n"/>
      <c r="AK411" s="212" t="n"/>
      <c r="AL411" s="294" t="n"/>
      <c r="AM411" s="89">
        <f>IF(OR(X411="",F411=""),"",X411-F411)</f>
        <v/>
      </c>
      <c r="AN411" s="124">
        <f>IF(OR(Y411="",G411=""),"",Y411-G411)</f>
        <v/>
      </c>
      <c r="AO411" s="124">
        <f>IF(OR(Z411="",H411=""),"",Z411-H411)</f>
        <v/>
      </c>
      <c r="AP411" s="124">
        <f>IF(OR(AA411="",I411=""),"",AA411-I411)</f>
        <v/>
      </c>
      <c r="AQ411" s="90">
        <f>IF(OR(AB411="",J411=""),"",AB411-J411)</f>
        <v/>
      </c>
      <c r="AR411" s="39" t="n"/>
      <c r="AS411" s="332" t="n"/>
      <c r="AT411" s="39" t="n"/>
    </row>
    <row r="412" ht="13.5" customHeight="1" s="279" thickBot="1">
      <c r="B412" s="295" t="n"/>
      <c r="C412" s="29" t="n"/>
      <c r="D412" s="191" t="n"/>
      <c r="E412" s="58" t="n"/>
      <c r="F412" s="194" t="n"/>
      <c r="G412" s="194" t="n"/>
      <c r="H412" s="194" t="n"/>
      <c r="I412" s="58" t="n"/>
      <c r="J412" s="58" t="n"/>
      <c r="K412" s="193" t="n"/>
      <c r="L412" s="357" t="n"/>
      <c r="M412" s="357" t="n"/>
      <c r="N412" s="58" t="n"/>
      <c r="O412" s="30" t="n"/>
      <c r="P412" s="58" t="n"/>
      <c r="Q412" s="30" t="n"/>
      <c r="R412" s="189" t="n"/>
      <c r="S412" s="301" t="n"/>
      <c r="T412" s="295" t="n"/>
      <c r="U412" s="29" t="n"/>
      <c r="V412" s="191" t="n"/>
      <c r="W412" s="58" t="n"/>
      <c r="X412" s="194" t="n"/>
      <c r="Y412" s="194" t="n"/>
      <c r="Z412" s="194" t="n"/>
      <c r="AA412" s="58" t="n"/>
      <c r="AB412" s="58" t="n"/>
      <c r="AC412" s="193" t="n"/>
      <c r="AD412" s="357" t="n"/>
      <c r="AE412" s="357" t="n"/>
      <c r="AF412" s="58" t="n"/>
      <c r="AG412" s="30" t="n"/>
      <c r="AH412" s="58" t="n"/>
      <c r="AI412" s="30" t="n"/>
      <c r="AJ412" s="189" t="n"/>
      <c r="AK412" s="212" t="n"/>
      <c r="AL412" s="295" t="n"/>
      <c r="AM412" s="125">
        <f>IF(OR(X412="",F412=""),"",X412-F412)</f>
        <v/>
      </c>
      <c r="AN412" s="126">
        <f>IF(OR(Y412="",G412=""),"",Y412-G412)</f>
        <v/>
      </c>
      <c r="AO412" s="126">
        <f>IF(OR(Z412="",H412=""),"",Z412-H412)</f>
        <v/>
      </c>
      <c r="AP412" s="126">
        <f>IF(OR(AA412="",I412=""),"",AA412-I412)</f>
        <v/>
      </c>
      <c r="AQ412" s="127">
        <f>IF(OR(AB412="",J412=""),"",AB412-J412)</f>
        <v/>
      </c>
      <c r="AR412" s="39" t="n"/>
      <c r="AS412" s="332" t="n"/>
      <c r="AT412" s="39" t="n"/>
    </row>
    <row r="413" ht="13.5" customHeight="1" s="279">
      <c r="B413" s="293" t="inlineStr">
        <is>
          <t>v76</t>
        </is>
      </c>
      <c r="C413" s="27" t="inlineStr">
        <is>
          <t>r01</t>
        </is>
      </c>
      <c r="D413" s="41" t="n"/>
      <c r="E413" s="57" t="n"/>
      <c r="F413" s="99" t="n"/>
      <c r="G413" s="99" t="n"/>
      <c r="H413" s="99" t="n"/>
      <c r="I413" s="62" t="n"/>
      <c r="J413" s="62" t="n"/>
      <c r="K413" s="63" t="n"/>
      <c r="L413" s="356" t="n"/>
      <c r="M413" s="356" t="n"/>
      <c r="N413" s="57" t="n"/>
      <c r="O413" s="28" t="n"/>
      <c r="P413" s="57" t="n"/>
      <c r="Q413" s="28" t="n"/>
      <c r="R413" s="134" t="n"/>
      <c r="S413" s="301" t="n"/>
      <c r="T413" s="293" t="inlineStr">
        <is>
          <t>v76</t>
        </is>
      </c>
      <c r="U413" s="27" t="inlineStr">
        <is>
          <t>r01</t>
        </is>
      </c>
      <c r="V413" s="41" t="n"/>
      <c r="W413" s="57" t="n"/>
      <c r="X413" s="99" t="n"/>
      <c r="Y413" s="99" t="n"/>
      <c r="Z413" s="99" t="n"/>
      <c r="AA413" s="62" t="n"/>
      <c r="AB413" s="62" t="n"/>
      <c r="AC413" s="63" t="n"/>
      <c r="AD413" s="356" t="n"/>
      <c r="AE413" s="356" t="n"/>
      <c r="AF413" s="57" t="n"/>
      <c r="AG413" s="28" t="n"/>
      <c r="AH413" s="57" t="n"/>
      <c r="AI413" s="28" t="n"/>
      <c r="AJ413" s="134" t="n"/>
      <c r="AK413" s="212" t="n"/>
      <c r="AL413" s="293" t="inlineStr">
        <is>
          <t>v76</t>
        </is>
      </c>
      <c r="AM413" s="122">
        <f>IF(OR(X413="",F413=""),"",X413-F413)</f>
        <v/>
      </c>
      <c r="AN413" s="98">
        <f>IF(OR(Y413="",G413=""),"",Y413-G413)</f>
        <v/>
      </c>
      <c r="AO413" s="98">
        <f>IF(OR(Z413="",H413=""),"",Z413-H413)</f>
        <v/>
      </c>
      <c r="AP413" s="98">
        <f>IF(OR(AA413="",I413=""),"",AA413-I413)</f>
        <v/>
      </c>
      <c r="AQ413" s="123">
        <f>IF(OR(AB413="",J413=""),"",AB413-J413)</f>
        <v/>
      </c>
      <c r="AR413" s="39" t="n"/>
      <c r="AS413" s="332" t="n"/>
      <c r="AT413" s="39" t="n"/>
    </row>
    <row r="414" ht="13.5" customHeight="1" s="279">
      <c r="B414" s="294" t="n"/>
      <c r="C414" s="29" t="inlineStr">
        <is>
          <t>r02</t>
        </is>
      </c>
      <c r="D414" s="191" t="n"/>
      <c r="E414" s="58" t="n"/>
      <c r="F414" s="192" t="n"/>
      <c r="G414" s="192" t="n"/>
      <c r="H414" s="192" t="n"/>
      <c r="I414" s="64" t="n"/>
      <c r="J414" s="64" t="n"/>
      <c r="K414" s="193" t="n"/>
      <c r="L414" s="357" t="n"/>
      <c r="M414" s="357" t="n"/>
      <c r="N414" s="58" t="n"/>
      <c r="O414" s="30" t="n"/>
      <c r="P414" s="58" t="n"/>
      <c r="Q414" s="30" t="n"/>
      <c r="R414" s="135" t="n"/>
      <c r="S414" s="301" t="n"/>
      <c r="T414" s="294" t="n"/>
      <c r="U414" s="29" t="inlineStr">
        <is>
          <t>r02</t>
        </is>
      </c>
      <c r="V414" s="191" t="n"/>
      <c r="W414" s="58" t="n"/>
      <c r="X414" s="192" t="n"/>
      <c r="Y414" s="192" t="n"/>
      <c r="Z414" s="192" t="n"/>
      <c r="AA414" s="64" t="n"/>
      <c r="AB414" s="64" t="n"/>
      <c r="AC414" s="193" t="n"/>
      <c r="AD414" s="357" t="n"/>
      <c r="AE414" s="357" t="n"/>
      <c r="AF414" s="58" t="n"/>
      <c r="AG414" s="30" t="n"/>
      <c r="AH414" s="58" t="n"/>
      <c r="AI414" s="30" t="n"/>
      <c r="AJ414" s="135" t="n"/>
      <c r="AK414" s="212" t="n"/>
      <c r="AL414" s="294" t="n"/>
      <c r="AM414" s="89">
        <f>IF(OR(X414="",F414=""),"",X414-F414)</f>
        <v/>
      </c>
      <c r="AN414" s="124">
        <f>IF(OR(Y414="",G414=""),"",Y414-G414)</f>
        <v/>
      </c>
      <c r="AO414" s="124">
        <f>IF(OR(Z414="",H414=""),"",Z414-H414)</f>
        <v/>
      </c>
      <c r="AP414" s="124">
        <f>IF(OR(AA414="",I414=""),"",AA414-I414)</f>
        <v/>
      </c>
      <c r="AQ414" s="90">
        <f>IF(OR(AB414="",J414=""),"",AB414-J414)</f>
        <v/>
      </c>
      <c r="AR414" s="39" t="n"/>
      <c r="AS414" s="332" t="n"/>
      <c r="AT414" s="39" t="n"/>
    </row>
    <row r="415" ht="13.5" customHeight="1" s="279">
      <c r="B415" s="294" t="n"/>
      <c r="C415" s="29" t="inlineStr">
        <is>
          <t>r03</t>
        </is>
      </c>
      <c r="D415" s="191" t="n"/>
      <c r="E415" s="58" t="n"/>
      <c r="F415" s="192" t="n"/>
      <c r="G415" s="192" t="n"/>
      <c r="H415" s="192" t="n"/>
      <c r="I415" s="64" t="n"/>
      <c r="J415" s="64" t="n"/>
      <c r="K415" s="193" t="n"/>
      <c r="L415" s="357" t="n"/>
      <c r="M415" s="357" t="n"/>
      <c r="N415" s="58" t="n"/>
      <c r="O415" s="30" t="n"/>
      <c r="P415" s="58" t="n"/>
      <c r="Q415" s="30" t="n"/>
      <c r="R415" s="135" t="n"/>
      <c r="S415" s="301" t="n"/>
      <c r="T415" s="294" t="n"/>
      <c r="U415" s="29" t="inlineStr">
        <is>
          <t>r03</t>
        </is>
      </c>
      <c r="V415" s="191" t="n"/>
      <c r="W415" s="58" t="n"/>
      <c r="X415" s="192" t="n"/>
      <c r="Y415" s="192" t="n"/>
      <c r="Z415" s="192" t="n"/>
      <c r="AA415" s="64" t="n"/>
      <c r="AB415" s="64" t="n"/>
      <c r="AC415" s="193" t="n"/>
      <c r="AD415" s="357" t="n"/>
      <c r="AE415" s="357" t="n"/>
      <c r="AF415" s="58" t="n"/>
      <c r="AG415" s="30" t="n"/>
      <c r="AH415" s="58" t="n"/>
      <c r="AI415" s="30" t="n"/>
      <c r="AJ415" s="135" t="n"/>
      <c r="AK415" s="212" t="n"/>
      <c r="AL415" s="294" t="n"/>
      <c r="AM415" s="89">
        <f>IF(OR(X415="",F415=""),"",X415-F415)</f>
        <v/>
      </c>
      <c r="AN415" s="124">
        <f>IF(OR(Y415="",G415=""),"",Y415-G415)</f>
        <v/>
      </c>
      <c r="AO415" s="124">
        <f>IF(OR(Z415="",H415=""),"",Z415-H415)</f>
        <v/>
      </c>
      <c r="AP415" s="124">
        <f>IF(OR(AA415="",I415=""),"",AA415-I415)</f>
        <v/>
      </c>
      <c r="AQ415" s="90">
        <f>IF(OR(AB415="",J415=""),"",AB415-J415)</f>
        <v/>
      </c>
      <c r="AR415" s="39" t="n"/>
      <c r="AS415" s="332" t="n"/>
      <c r="AT415" s="39" t="n"/>
    </row>
    <row r="416" ht="13.5" customHeight="1" s="279">
      <c r="B416" s="294" t="n"/>
      <c r="C416" s="29" t="inlineStr">
        <is>
          <t>r04</t>
        </is>
      </c>
      <c r="D416" s="191" t="n"/>
      <c r="E416" s="58" t="n"/>
      <c r="F416" s="192" t="n"/>
      <c r="G416" s="192" t="n"/>
      <c r="H416" s="192" t="n"/>
      <c r="I416" s="64" t="n"/>
      <c r="J416" s="64" t="n"/>
      <c r="K416" s="193" t="n"/>
      <c r="L416" s="357" t="n"/>
      <c r="M416" s="357" t="n"/>
      <c r="N416" s="58" t="n"/>
      <c r="O416" s="30" t="n"/>
      <c r="P416" s="58" t="n"/>
      <c r="Q416" s="30" t="n"/>
      <c r="R416" s="135" t="n"/>
      <c r="S416" s="301" t="n"/>
      <c r="T416" s="294" t="n"/>
      <c r="U416" s="29" t="inlineStr">
        <is>
          <t>r04</t>
        </is>
      </c>
      <c r="V416" s="191" t="n"/>
      <c r="W416" s="58" t="n"/>
      <c r="X416" s="192" t="n"/>
      <c r="Y416" s="192" t="n"/>
      <c r="Z416" s="192" t="n"/>
      <c r="AA416" s="64" t="n"/>
      <c r="AB416" s="64" t="n"/>
      <c r="AC416" s="193" t="n"/>
      <c r="AD416" s="357" t="n"/>
      <c r="AE416" s="357" t="n"/>
      <c r="AF416" s="58" t="n"/>
      <c r="AG416" s="30" t="n"/>
      <c r="AH416" s="58" t="n"/>
      <c r="AI416" s="30" t="n"/>
      <c r="AJ416" s="135" t="n"/>
      <c r="AK416" s="212" t="n"/>
      <c r="AL416" s="294" t="n"/>
      <c r="AM416" s="89">
        <f>IF(OR(X416="",F416=""),"",X416-F416)</f>
        <v/>
      </c>
      <c r="AN416" s="124">
        <f>IF(OR(Y416="",G416=""),"",Y416-G416)</f>
        <v/>
      </c>
      <c r="AO416" s="124">
        <f>IF(OR(Z416="",H416=""),"",Z416-H416)</f>
        <v/>
      </c>
      <c r="AP416" s="124">
        <f>IF(OR(AA416="",I416=""),"",AA416-I416)</f>
        <v/>
      </c>
      <c r="AQ416" s="90">
        <f>IF(OR(AB416="",J416=""),"",AB416-J416)</f>
        <v/>
      </c>
      <c r="AR416" s="39" t="n"/>
      <c r="AS416" s="332" t="n"/>
      <c r="AT416" s="39" t="n"/>
    </row>
    <row r="417" ht="13.5" customHeight="1" s="279" thickBot="1">
      <c r="B417" s="295" t="n"/>
      <c r="C417" s="29" t="n"/>
      <c r="D417" s="191" t="n"/>
      <c r="E417" s="58" t="n"/>
      <c r="F417" s="194" t="n"/>
      <c r="G417" s="194" t="n"/>
      <c r="H417" s="194" t="n"/>
      <c r="I417" s="58" t="n"/>
      <c r="J417" s="58" t="n"/>
      <c r="K417" s="193" t="n"/>
      <c r="L417" s="357" t="n"/>
      <c r="M417" s="357" t="n"/>
      <c r="N417" s="58" t="n"/>
      <c r="O417" s="30" t="n"/>
      <c r="P417" s="58" t="n"/>
      <c r="Q417" s="30" t="n"/>
      <c r="R417" s="189" t="n"/>
      <c r="S417" s="301" t="n"/>
      <c r="T417" s="295" t="n"/>
      <c r="U417" s="29" t="n"/>
      <c r="V417" s="191" t="n"/>
      <c r="W417" s="58" t="n"/>
      <c r="X417" s="194" t="n"/>
      <c r="Y417" s="194" t="n"/>
      <c r="Z417" s="194" t="n"/>
      <c r="AA417" s="58" t="n"/>
      <c r="AB417" s="58" t="n"/>
      <c r="AC417" s="193" t="n"/>
      <c r="AD417" s="357" t="n"/>
      <c r="AE417" s="357" t="n"/>
      <c r="AF417" s="58" t="n"/>
      <c r="AG417" s="30" t="n"/>
      <c r="AH417" s="58" t="n"/>
      <c r="AI417" s="30" t="n"/>
      <c r="AJ417" s="189" t="n"/>
      <c r="AK417" s="212" t="n"/>
      <c r="AL417" s="295" t="n"/>
      <c r="AM417" s="125">
        <f>IF(OR(X417="",F417=""),"",X417-F417)</f>
        <v/>
      </c>
      <c r="AN417" s="126">
        <f>IF(OR(Y417="",G417=""),"",Y417-G417)</f>
        <v/>
      </c>
      <c r="AO417" s="126">
        <f>IF(OR(Z417="",H417=""),"",Z417-H417)</f>
        <v/>
      </c>
      <c r="AP417" s="126">
        <f>IF(OR(AA417="",I417=""),"",AA417-I417)</f>
        <v/>
      </c>
      <c r="AQ417" s="127">
        <f>IF(OR(AB417="",J417=""),"",AB417-J417)</f>
        <v/>
      </c>
      <c r="AR417" s="39" t="n"/>
      <c r="AS417" s="332" t="n"/>
      <c r="AT417" s="39" t="n"/>
    </row>
    <row r="418" ht="13.5" customHeight="1" s="279">
      <c r="B418" s="293" t="inlineStr">
        <is>
          <t>v77</t>
        </is>
      </c>
      <c r="C418" s="27" t="inlineStr">
        <is>
          <t>r01</t>
        </is>
      </c>
      <c r="D418" s="41" t="n"/>
      <c r="E418" s="57" t="n"/>
      <c r="F418" s="99" t="n"/>
      <c r="G418" s="99" t="n"/>
      <c r="H418" s="99" t="n"/>
      <c r="I418" s="62" t="n"/>
      <c r="J418" s="62" t="n"/>
      <c r="K418" s="63" t="n"/>
      <c r="L418" s="356" t="n"/>
      <c r="M418" s="356" t="n"/>
      <c r="N418" s="57" t="n"/>
      <c r="O418" s="28" t="n"/>
      <c r="P418" s="57" t="n"/>
      <c r="Q418" s="28" t="n"/>
      <c r="R418" s="134" t="n"/>
      <c r="S418" s="301" t="n"/>
      <c r="T418" s="293" t="inlineStr">
        <is>
          <t>v77</t>
        </is>
      </c>
      <c r="U418" s="27" t="inlineStr">
        <is>
          <t>r01</t>
        </is>
      </c>
      <c r="V418" s="41" t="n"/>
      <c r="W418" s="57" t="n"/>
      <c r="X418" s="99" t="n"/>
      <c r="Y418" s="99" t="n"/>
      <c r="Z418" s="99" t="n"/>
      <c r="AA418" s="62" t="n"/>
      <c r="AB418" s="62" t="n"/>
      <c r="AC418" s="63" t="n"/>
      <c r="AD418" s="356" t="n"/>
      <c r="AE418" s="356" t="n"/>
      <c r="AF418" s="57" t="n"/>
      <c r="AG418" s="28" t="n"/>
      <c r="AH418" s="57" t="n"/>
      <c r="AI418" s="28" t="n"/>
      <c r="AJ418" s="134" t="n"/>
      <c r="AK418" s="212" t="n"/>
      <c r="AL418" s="293" t="inlineStr">
        <is>
          <t>v77</t>
        </is>
      </c>
      <c r="AM418" s="122">
        <f>IF(OR(X418="",F418=""),"",X418-F418)</f>
        <v/>
      </c>
      <c r="AN418" s="98">
        <f>IF(OR(Y418="",G418=""),"",Y418-G418)</f>
        <v/>
      </c>
      <c r="AO418" s="98">
        <f>IF(OR(Z418="",H418=""),"",Z418-H418)</f>
        <v/>
      </c>
      <c r="AP418" s="98">
        <f>IF(OR(AA418="",I418=""),"",AA418-I418)</f>
        <v/>
      </c>
      <c r="AQ418" s="123">
        <f>IF(OR(AB418="",J418=""),"",AB418-J418)</f>
        <v/>
      </c>
      <c r="AR418" s="39" t="n"/>
      <c r="AS418" s="332" t="n"/>
      <c r="AT418" s="39" t="n"/>
    </row>
    <row r="419" ht="13.5" customHeight="1" s="279">
      <c r="B419" s="294" t="n"/>
      <c r="C419" s="29" t="inlineStr">
        <is>
          <t>r02</t>
        </is>
      </c>
      <c r="D419" s="191" t="n"/>
      <c r="E419" s="58" t="n"/>
      <c r="F419" s="192" t="n"/>
      <c r="G419" s="192" t="n"/>
      <c r="H419" s="192" t="n"/>
      <c r="I419" s="64" t="n"/>
      <c r="J419" s="64" t="n"/>
      <c r="K419" s="193" t="n"/>
      <c r="L419" s="357" t="n"/>
      <c r="M419" s="357" t="n"/>
      <c r="N419" s="58" t="n"/>
      <c r="O419" s="30" t="n"/>
      <c r="P419" s="58" t="n"/>
      <c r="Q419" s="30" t="n"/>
      <c r="R419" s="135" t="n"/>
      <c r="S419" s="301" t="n"/>
      <c r="T419" s="294" t="n"/>
      <c r="U419" s="29" t="inlineStr">
        <is>
          <t>r02</t>
        </is>
      </c>
      <c r="V419" s="191" t="n"/>
      <c r="W419" s="58" t="n"/>
      <c r="X419" s="192" t="n"/>
      <c r="Y419" s="192" t="n"/>
      <c r="Z419" s="192" t="n"/>
      <c r="AA419" s="64" t="n"/>
      <c r="AB419" s="64" t="n"/>
      <c r="AC419" s="193" t="n"/>
      <c r="AD419" s="357" t="n"/>
      <c r="AE419" s="357" t="n"/>
      <c r="AF419" s="58" t="n"/>
      <c r="AG419" s="30" t="n"/>
      <c r="AH419" s="58" t="n"/>
      <c r="AI419" s="30" t="n"/>
      <c r="AJ419" s="135" t="n"/>
      <c r="AK419" s="212" t="n"/>
      <c r="AL419" s="294" t="n"/>
      <c r="AM419" s="89">
        <f>IF(OR(X419="",F419=""),"",X419-F419)</f>
        <v/>
      </c>
      <c r="AN419" s="124">
        <f>IF(OR(Y419="",G419=""),"",Y419-G419)</f>
        <v/>
      </c>
      <c r="AO419" s="124">
        <f>IF(OR(Z419="",H419=""),"",Z419-H419)</f>
        <v/>
      </c>
      <c r="AP419" s="124">
        <f>IF(OR(AA419="",I419=""),"",AA419-I419)</f>
        <v/>
      </c>
      <c r="AQ419" s="90">
        <f>IF(OR(AB419="",J419=""),"",AB419-J419)</f>
        <v/>
      </c>
      <c r="AR419" s="39" t="n"/>
      <c r="AS419" s="332" t="n"/>
      <c r="AT419" s="39" t="n"/>
    </row>
    <row r="420" ht="13.5" customHeight="1" s="279">
      <c r="B420" s="294" t="n"/>
      <c r="C420" s="29" t="inlineStr">
        <is>
          <t>r03</t>
        </is>
      </c>
      <c r="D420" s="191" t="n"/>
      <c r="E420" s="58" t="n"/>
      <c r="F420" s="192" t="n"/>
      <c r="G420" s="192" t="n"/>
      <c r="H420" s="192" t="n"/>
      <c r="I420" s="64" t="n"/>
      <c r="J420" s="64" t="n"/>
      <c r="K420" s="193" t="n"/>
      <c r="L420" s="357" t="n"/>
      <c r="M420" s="357" t="n"/>
      <c r="N420" s="58" t="n"/>
      <c r="O420" s="30" t="n"/>
      <c r="P420" s="58" t="n"/>
      <c r="Q420" s="30" t="n"/>
      <c r="R420" s="135" t="n"/>
      <c r="S420" s="301" t="n"/>
      <c r="T420" s="294" t="n"/>
      <c r="U420" s="29" t="inlineStr">
        <is>
          <t>r03</t>
        </is>
      </c>
      <c r="V420" s="191" t="n"/>
      <c r="W420" s="58" t="n"/>
      <c r="X420" s="192" t="n"/>
      <c r="Y420" s="192" t="n"/>
      <c r="Z420" s="192" t="n"/>
      <c r="AA420" s="64" t="n"/>
      <c r="AB420" s="64" t="n"/>
      <c r="AC420" s="193" t="n"/>
      <c r="AD420" s="357" t="n"/>
      <c r="AE420" s="357" t="n"/>
      <c r="AF420" s="58" t="n"/>
      <c r="AG420" s="30" t="n"/>
      <c r="AH420" s="58" t="n"/>
      <c r="AI420" s="30" t="n"/>
      <c r="AJ420" s="135" t="n"/>
      <c r="AK420" s="212" t="n"/>
      <c r="AL420" s="294" t="n"/>
      <c r="AM420" s="89">
        <f>IF(OR(X420="",F420=""),"",X420-F420)</f>
        <v/>
      </c>
      <c r="AN420" s="124">
        <f>IF(OR(Y420="",G420=""),"",Y420-G420)</f>
        <v/>
      </c>
      <c r="AO420" s="124">
        <f>IF(OR(Z420="",H420=""),"",Z420-H420)</f>
        <v/>
      </c>
      <c r="AP420" s="124">
        <f>IF(OR(AA420="",I420=""),"",AA420-I420)</f>
        <v/>
      </c>
      <c r="AQ420" s="90">
        <f>IF(OR(AB420="",J420=""),"",AB420-J420)</f>
        <v/>
      </c>
      <c r="AR420" s="39" t="n"/>
      <c r="AS420" s="332" t="n"/>
      <c r="AT420" s="39" t="n"/>
    </row>
    <row r="421" ht="13.5" customHeight="1" s="279">
      <c r="B421" s="294" t="n"/>
      <c r="C421" s="29" t="inlineStr">
        <is>
          <t>r04</t>
        </is>
      </c>
      <c r="D421" s="191" t="n"/>
      <c r="E421" s="58" t="n"/>
      <c r="F421" s="192" t="n"/>
      <c r="G421" s="192" t="n"/>
      <c r="H421" s="192" t="n"/>
      <c r="I421" s="64" t="n"/>
      <c r="J421" s="64" t="n"/>
      <c r="K421" s="193" t="n"/>
      <c r="L421" s="357" t="n"/>
      <c r="M421" s="357" t="n"/>
      <c r="N421" s="58" t="n"/>
      <c r="O421" s="30" t="n"/>
      <c r="P421" s="58" t="n"/>
      <c r="Q421" s="30" t="n"/>
      <c r="R421" s="135" t="n"/>
      <c r="S421" s="301" t="n"/>
      <c r="T421" s="294" t="n"/>
      <c r="U421" s="29" t="inlineStr">
        <is>
          <t>r04</t>
        </is>
      </c>
      <c r="V421" s="191" t="n"/>
      <c r="W421" s="58" t="n"/>
      <c r="X421" s="192" t="n"/>
      <c r="Y421" s="192" t="n"/>
      <c r="Z421" s="192" t="n"/>
      <c r="AA421" s="64" t="n"/>
      <c r="AB421" s="64" t="n"/>
      <c r="AC421" s="193" t="n"/>
      <c r="AD421" s="357" t="n"/>
      <c r="AE421" s="357" t="n"/>
      <c r="AF421" s="58" t="n"/>
      <c r="AG421" s="30" t="n"/>
      <c r="AH421" s="58" t="n"/>
      <c r="AI421" s="30" t="n"/>
      <c r="AJ421" s="135" t="n"/>
      <c r="AK421" s="212" t="n"/>
      <c r="AL421" s="294" t="n"/>
      <c r="AM421" s="89">
        <f>IF(OR(X421="",F421=""),"",X421-F421)</f>
        <v/>
      </c>
      <c r="AN421" s="124">
        <f>IF(OR(Y421="",G421=""),"",Y421-G421)</f>
        <v/>
      </c>
      <c r="AO421" s="124">
        <f>IF(OR(Z421="",H421=""),"",Z421-H421)</f>
        <v/>
      </c>
      <c r="AP421" s="124">
        <f>IF(OR(AA421="",I421=""),"",AA421-I421)</f>
        <v/>
      </c>
      <c r="AQ421" s="90">
        <f>IF(OR(AB421="",J421=""),"",AB421-J421)</f>
        <v/>
      </c>
      <c r="AR421" s="39" t="n"/>
      <c r="AS421" s="332" t="n"/>
      <c r="AT421" s="39" t="n"/>
    </row>
    <row r="422" ht="13.5" customHeight="1" s="279" thickBot="1">
      <c r="B422" s="295" t="n"/>
      <c r="C422" s="29" t="n"/>
      <c r="D422" s="191" t="n"/>
      <c r="E422" s="58" t="n"/>
      <c r="F422" s="194" t="n"/>
      <c r="G422" s="194" t="n"/>
      <c r="H422" s="194" t="n"/>
      <c r="I422" s="58" t="n"/>
      <c r="J422" s="58" t="n"/>
      <c r="K422" s="193" t="n"/>
      <c r="L422" s="357" t="n"/>
      <c r="M422" s="357" t="n"/>
      <c r="N422" s="58" t="n"/>
      <c r="O422" s="30" t="n"/>
      <c r="P422" s="58" t="n"/>
      <c r="Q422" s="30" t="n"/>
      <c r="R422" s="189" t="n"/>
      <c r="S422" s="301" t="n"/>
      <c r="T422" s="295" t="n"/>
      <c r="U422" s="29" t="n"/>
      <c r="V422" s="191" t="n"/>
      <c r="W422" s="58" t="n"/>
      <c r="X422" s="194" t="n"/>
      <c r="Y422" s="194" t="n"/>
      <c r="Z422" s="194" t="n"/>
      <c r="AA422" s="58" t="n"/>
      <c r="AB422" s="58" t="n"/>
      <c r="AC422" s="193" t="n"/>
      <c r="AD422" s="357" t="n"/>
      <c r="AE422" s="357" t="n"/>
      <c r="AF422" s="58" t="n"/>
      <c r="AG422" s="30" t="n"/>
      <c r="AH422" s="58" t="n"/>
      <c r="AI422" s="30" t="n"/>
      <c r="AJ422" s="189" t="n"/>
      <c r="AK422" s="212" t="n"/>
      <c r="AL422" s="295" t="n"/>
      <c r="AM422" s="125">
        <f>IF(OR(X422="",F422=""),"",X422-F422)</f>
        <v/>
      </c>
      <c r="AN422" s="126">
        <f>IF(OR(Y422="",G422=""),"",Y422-G422)</f>
        <v/>
      </c>
      <c r="AO422" s="126">
        <f>IF(OR(Z422="",H422=""),"",Z422-H422)</f>
        <v/>
      </c>
      <c r="AP422" s="126">
        <f>IF(OR(AA422="",I422=""),"",AA422-I422)</f>
        <v/>
      </c>
      <c r="AQ422" s="127">
        <f>IF(OR(AB422="",J422=""),"",AB422-J422)</f>
        <v/>
      </c>
      <c r="AR422" s="39" t="n"/>
      <c r="AS422" s="332" t="n"/>
      <c r="AT422" s="39" t="n"/>
    </row>
    <row r="423" ht="13.5" customHeight="1" s="279">
      <c r="B423" s="293" t="inlineStr">
        <is>
          <t>v78</t>
        </is>
      </c>
      <c r="C423" s="27" t="inlineStr">
        <is>
          <t>r01</t>
        </is>
      </c>
      <c r="D423" s="41" t="n"/>
      <c r="E423" s="57" t="n"/>
      <c r="F423" s="99" t="n"/>
      <c r="G423" s="99" t="n"/>
      <c r="H423" s="99" t="n"/>
      <c r="I423" s="62" t="n"/>
      <c r="J423" s="62" t="n"/>
      <c r="K423" s="63" t="n"/>
      <c r="L423" s="356" t="n"/>
      <c r="M423" s="356" t="n"/>
      <c r="N423" s="57" t="n"/>
      <c r="O423" s="28" t="n"/>
      <c r="P423" s="57" t="n"/>
      <c r="Q423" s="28" t="n"/>
      <c r="R423" s="134" t="n"/>
      <c r="S423" s="301" t="n"/>
      <c r="T423" s="293" t="inlineStr">
        <is>
          <t>v78</t>
        </is>
      </c>
      <c r="U423" s="27" t="inlineStr">
        <is>
          <t>r01</t>
        </is>
      </c>
      <c r="V423" s="41" t="n"/>
      <c r="W423" s="57" t="n"/>
      <c r="X423" s="99" t="n"/>
      <c r="Y423" s="99" t="n"/>
      <c r="Z423" s="99" t="n"/>
      <c r="AA423" s="62" t="n"/>
      <c r="AB423" s="62" t="n"/>
      <c r="AC423" s="63" t="n"/>
      <c r="AD423" s="356" t="n"/>
      <c r="AE423" s="356" t="n"/>
      <c r="AF423" s="57" t="n"/>
      <c r="AG423" s="28" t="n"/>
      <c r="AH423" s="57" t="n"/>
      <c r="AI423" s="28" t="n"/>
      <c r="AJ423" s="134" t="n"/>
      <c r="AK423" s="212" t="n"/>
      <c r="AL423" s="293" t="inlineStr">
        <is>
          <t>v78</t>
        </is>
      </c>
      <c r="AM423" s="122">
        <f>IF(OR(X423="",F423=""),"",X423-F423)</f>
        <v/>
      </c>
      <c r="AN423" s="98">
        <f>IF(OR(Y423="",G423=""),"",Y423-G423)</f>
        <v/>
      </c>
      <c r="AO423" s="98">
        <f>IF(OR(Z423="",H423=""),"",Z423-H423)</f>
        <v/>
      </c>
      <c r="AP423" s="98">
        <f>IF(OR(AA423="",I423=""),"",AA423-I423)</f>
        <v/>
      </c>
      <c r="AQ423" s="123">
        <f>IF(OR(AB423="",J423=""),"",AB423-J423)</f>
        <v/>
      </c>
      <c r="AR423" s="39" t="n"/>
      <c r="AS423" s="332" t="n"/>
      <c r="AT423" s="39" t="n"/>
    </row>
    <row r="424" ht="13.5" customHeight="1" s="279">
      <c r="B424" s="294" t="n"/>
      <c r="C424" s="29" t="inlineStr">
        <is>
          <t>r02</t>
        </is>
      </c>
      <c r="D424" s="191" t="n"/>
      <c r="E424" s="58" t="n"/>
      <c r="F424" s="192" t="n"/>
      <c r="G424" s="192" t="n"/>
      <c r="H424" s="192" t="n"/>
      <c r="I424" s="64" t="n"/>
      <c r="J424" s="64" t="n"/>
      <c r="K424" s="193" t="n"/>
      <c r="L424" s="357" t="n"/>
      <c r="M424" s="357" t="n"/>
      <c r="N424" s="58" t="n"/>
      <c r="O424" s="30" t="n"/>
      <c r="P424" s="58" t="n"/>
      <c r="Q424" s="30" t="n"/>
      <c r="R424" s="135" t="n"/>
      <c r="S424" s="301" t="n"/>
      <c r="T424" s="294" t="n"/>
      <c r="U424" s="29" t="inlineStr">
        <is>
          <t>r02</t>
        </is>
      </c>
      <c r="V424" s="191" t="n"/>
      <c r="W424" s="58" t="n"/>
      <c r="X424" s="192" t="n"/>
      <c r="Y424" s="192" t="n"/>
      <c r="Z424" s="192" t="n"/>
      <c r="AA424" s="64" t="n"/>
      <c r="AB424" s="64" t="n"/>
      <c r="AC424" s="193" t="n"/>
      <c r="AD424" s="357" t="n"/>
      <c r="AE424" s="357" t="n"/>
      <c r="AF424" s="58" t="n"/>
      <c r="AG424" s="30" t="n"/>
      <c r="AH424" s="58" t="n"/>
      <c r="AI424" s="30" t="n"/>
      <c r="AJ424" s="135" t="n"/>
      <c r="AK424" s="212" t="n"/>
      <c r="AL424" s="294" t="n"/>
      <c r="AM424" s="89">
        <f>IF(OR(X424="",F424=""),"",X424-F424)</f>
        <v/>
      </c>
      <c r="AN424" s="124">
        <f>IF(OR(Y424="",G424=""),"",Y424-G424)</f>
        <v/>
      </c>
      <c r="AO424" s="124">
        <f>IF(OR(Z424="",H424=""),"",Z424-H424)</f>
        <v/>
      </c>
      <c r="AP424" s="124">
        <f>IF(OR(AA424="",I424=""),"",AA424-I424)</f>
        <v/>
      </c>
      <c r="AQ424" s="90">
        <f>IF(OR(AB424="",J424=""),"",AB424-J424)</f>
        <v/>
      </c>
      <c r="AR424" s="39" t="n"/>
      <c r="AS424" s="332" t="n"/>
      <c r="AT424" s="39" t="n"/>
    </row>
    <row r="425" ht="13.5" customHeight="1" s="279">
      <c r="B425" s="294" t="n"/>
      <c r="C425" s="29" t="inlineStr">
        <is>
          <t>r03</t>
        </is>
      </c>
      <c r="D425" s="191" t="n"/>
      <c r="E425" s="58" t="n"/>
      <c r="F425" s="192" t="n"/>
      <c r="G425" s="192" t="n"/>
      <c r="H425" s="192" t="n"/>
      <c r="I425" s="64" t="n"/>
      <c r="J425" s="64" t="n"/>
      <c r="K425" s="193" t="n"/>
      <c r="L425" s="357" t="n"/>
      <c r="M425" s="357" t="n"/>
      <c r="N425" s="58" t="n"/>
      <c r="O425" s="30" t="n"/>
      <c r="P425" s="58" t="n"/>
      <c r="Q425" s="30" t="n"/>
      <c r="R425" s="135" t="n"/>
      <c r="S425" s="301" t="n"/>
      <c r="T425" s="294" t="n"/>
      <c r="U425" s="29" t="inlineStr">
        <is>
          <t>r03</t>
        </is>
      </c>
      <c r="V425" s="191" t="n"/>
      <c r="W425" s="58" t="n"/>
      <c r="X425" s="192" t="n"/>
      <c r="Y425" s="192" t="n"/>
      <c r="Z425" s="192" t="n"/>
      <c r="AA425" s="64" t="n"/>
      <c r="AB425" s="64" t="n"/>
      <c r="AC425" s="193" t="n"/>
      <c r="AD425" s="357" t="n"/>
      <c r="AE425" s="357" t="n"/>
      <c r="AF425" s="58" t="n"/>
      <c r="AG425" s="30" t="n"/>
      <c r="AH425" s="58" t="n"/>
      <c r="AI425" s="30" t="n"/>
      <c r="AJ425" s="135" t="n"/>
      <c r="AK425" s="212" t="n"/>
      <c r="AL425" s="294" t="n"/>
      <c r="AM425" s="89">
        <f>IF(OR(X425="",F425=""),"",X425-F425)</f>
        <v/>
      </c>
      <c r="AN425" s="124">
        <f>IF(OR(Y425="",G425=""),"",Y425-G425)</f>
        <v/>
      </c>
      <c r="AO425" s="124">
        <f>IF(OR(Z425="",H425=""),"",Z425-H425)</f>
        <v/>
      </c>
      <c r="AP425" s="124">
        <f>IF(OR(AA425="",I425=""),"",AA425-I425)</f>
        <v/>
      </c>
      <c r="AQ425" s="90">
        <f>IF(OR(AB425="",J425=""),"",AB425-J425)</f>
        <v/>
      </c>
      <c r="AR425" s="39" t="n"/>
      <c r="AS425" s="332" t="n"/>
      <c r="AT425" s="39" t="n"/>
    </row>
    <row r="426" ht="13.5" customHeight="1" s="279">
      <c r="B426" s="294" t="n"/>
      <c r="C426" s="29" t="inlineStr">
        <is>
          <t>r04</t>
        </is>
      </c>
      <c r="D426" s="191" t="n"/>
      <c r="E426" s="58" t="n"/>
      <c r="F426" s="192" t="n"/>
      <c r="G426" s="192" t="n"/>
      <c r="H426" s="192" t="n"/>
      <c r="I426" s="64" t="n"/>
      <c r="J426" s="64" t="n"/>
      <c r="K426" s="193" t="n"/>
      <c r="L426" s="357" t="n"/>
      <c r="M426" s="357" t="n"/>
      <c r="N426" s="58" t="n"/>
      <c r="O426" s="30" t="n"/>
      <c r="P426" s="58" t="n"/>
      <c r="Q426" s="30" t="n"/>
      <c r="R426" s="135" t="n"/>
      <c r="S426" s="301" t="n"/>
      <c r="T426" s="294" t="n"/>
      <c r="U426" s="29" t="inlineStr">
        <is>
          <t>r04</t>
        </is>
      </c>
      <c r="V426" s="191" t="n"/>
      <c r="W426" s="58" t="n"/>
      <c r="X426" s="192" t="n"/>
      <c r="Y426" s="192" t="n"/>
      <c r="Z426" s="192" t="n"/>
      <c r="AA426" s="64" t="n"/>
      <c r="AB426" s="64" t="n"/>
      <c r="AC426" s="193" t="n"/>
      <c r="AD426" s="357" t="n"/>
      <c r="AE426" s="357" t="n"/>
      <c r="AF426" s="58" t="n"/>
      <c r="AG426" s="30" t="n"/>
      <c r="AH426" s="58" t="n"/>
      <c r="AI426" s="30" t="n"/>
      <c r="AJ426" s="135" t="n"/>
      <c r="AK426" s="212" t="n"/>
      <c r="AL426" s="294" t="n"/>
      <c r="AM426" s="89">
        <f>IF(OR(X426="",F426=""),"",X426-F426)</f>
        <v/>
      </c>
      <c r="AN426" s="124">
        <f>IF(OR(Y426="",G426=""),"",Y426-G426)</f>
        <v/>
      </c>
      <c r="AO426" s="124">
        <f>IF(OR(Z426="",H426=""),"",Z426-H426)</f>
        <v/>
      </c>
      <c r="AP426" s="124">
        <f>IF(OR(AA426="",I426=""),"",AA426-I426)</f>
        <v/>
      </c>
      <c r="AQ426" s="90">
        <f>IF(OR(AB426="",J426=""),"",AB426-J426)</f>
        <v/>
      </c>
      <c r="AR426" s="39" t="n"/>
      <c r="AS426" s="332" t="n"/>
      <c r="AT426" s="39" t="n"/>
    </row>
    <row r="427" ht="13.5" customHeight="1" s="279" thickBot="1">
      <c r="B427" s="295" t="n"/>
      <c r="C427" s="29" t="n"/>
      <c r="D427" s="191" t="n"/>
      <c r="E427" s="58" t="n"/>
      <c r="F427" s="194" t="n"/>
      <c r="G427" s="194" t="n"/>
      <c r="H427" s="194" t="n"/>
      <c r="I427" s="58" t="n"/>
      <c r="J427" s="58" t="n"/>
      <c r="K427" s="193" t="n"/>
      <c r="L427" s="357" t="n"/>
      <c r="M427" s="357" t="n"/>
      <c r="N427" s="58" t="n"/>
      <c r="O427" s="30" t="n"/>
      <c r="P427" s="58" t="n"/>
      <c r="Q427" s="30" t="n"/>
      <c r="R427" s="189" t="n"/>
      <c r="S427" s="301" t="n"/>
      <c r="T427" s="295" t="n"/>
      <c r="U427" s="29" t="n"/>
      <c r="V427" s="191" t="n"/>
      <c r="W427" s="58" t="n"/>
      <c r="X427" s="194" t="n"/>
      <c r="Y427" s="194" t="n"/>
      <c r="Z427" s="194" t="n"/>
      <c r="AA427" s="58" t="n"/>
      <c r="AB427" s="58" t="n"/>
      <c r="AC427" s="193" t="n"/>
      <c r="AD427" s="357" t="n"/>
      <c r="AE427" s="357" t="n"/>
      <c r="AF427" s="58" t="n"/>
      <c r="AG427" s="30" t="n"/>
      <c r="AH427" s="58" t="n"/>
      <c r="AI427" s="30" t="n"/>
      <c r="AJ427" s="189" t="n"/>
      <c r="AK427" s="212" t="n"/>
      <c r="AL427" s="295" t="n"/>
      <c r="AM427" s="125">
        <f>IF(OR(X427="",F427=""),"",X427-F427)</f>
        <v/>
      </c>
      <c r="AN427" s="126">
        <f>IF(OR(Y427="",G427=""),"",Y427-G427)</f>
        <v/>
      </c>
      <c r="AO427" s="126">
        <f>IF(OR(Z427="",H427=""),"",Z427-H427)</f>
        <v/>
      </c>
      <c r="AP427" s="126">
        <f>IF(OR(AA427="",I427=""),"",AA427-I427)</f>
        <v/>
      </c>
      <c r="AQ427" s="127">
        <f>IF(OR(AB427="",J427=""),"",AB427-J427)</f>
        <v/>
      </c>
      <c r="AR427" s="39" t="n"/>
      <c r="AS427" s="332" t="n"/>
      <c r="AT427" s="39" t="n"/>
    </row>
    <row r="428" ht="13.5" customHeight="1" s="279">
      <c r="B428" s="293" t="inlineStr">
        <is>
          <t>v79</t>
        </is>
      </c>
      <c r="C428" s="27" t="inlineStr">
        <is>
          <t>r01</t>
        </is>
      </c>
      <c r="D428" s="41" t="n"/>
      <c r="E428" s="57" t="n"/>
      <c r="F428" s="99" t="n"/>
      <c r="G428" s="99" t="n"/>
      <c r="H428" s="99" t="n"/>
      <c r="I428" s="62" t="n"/>
      <c r="J428" s="62" t="n"/>
      <c r="K428" s="63" t="n"/>
      <c r="L428" s="356" t="n"/>
      <c r="M428" s="356" t="n"/>
      <c r="N428" s="57" t="n"/>
      <c r="O428" s="28" t="n"/>
      <c r="P428" s="57" t="n"/>
      <c r="Q428" s="28" t="n"/>
      <c r="R428" s="134" t="n"/>
      <c r="S428" s="301" t="n"/>
      <c r="T428" s="293" t="inlineStr">
        <is>
          <t>v79</t>
        </is>
      </c>
      <c r="U428" s="27" t="inlineStr">
        <is>
          <t>r01</t>
        </is>
      </c>
      <c r="V428" s="41" t="n"/>
      <c r="W428" s="57" t="n"/>
      <c r="X428" s="99" t="n"/>
      <c r="Y428" s="99" t="n"/>
      <c r="Z428" s="99" t="n"/>
      <c r="AA428" s="62" t="n"/>
      <c r="AB428" s="62" t="n"/>
      <c r="AC428" s="63" t="n"/>
      <c r="AD428" s="356" t="n"/>
      <c r="AE428" s="356" t="n"/>
      <c r="AF428" s="57" t="n"/>
      <c r="AG428" s="28" t="n"/>
      <c r="AH428" s="57" t="n"/>
      <c r="AI428" s="28" t="n"/>
      <c r="AJ428" s="134" t="n"/>
      <c r="AK428" s="212" t="n"/>
      <c r="AL428" s="293" t="inlineStr">
        <is>
          <t>v79</t>
        </is>
      </c>
      <c r="AM428" s="122">
        <f>IF(OR(X428="",F428=""),"",X428-F428)</f>
        <v/>
      </c>
      <c r="AN428" s="98">
        <f>IF(OR(Y428="",G428=""),"",Y428-G428)</f>
        <v/>
      </c>
      <c r="AO428" s="98">
        <f>IF(OR(Z428="",H428=""),"",Z428-H428)</f>
        <v/>
      </c>
      <c r="AP428" s="98">
        <f>IF(OR(AA428="",I428=""),"",AA428-I428)</f>
        <v/>
      </c>
      <c r="AQ428" s="123">
        <f>IF(OR(AB428="",J428=""),"",AB428-J428)</f>
        <v/>
      </c>
      <c r="AR428" s="39" t="n"/>
      <c r="AS428" s="332" t="n"/>
      <c r="AT428" s="39" t="n"/>
    </row>
    <row r="429" ht="13.5" customHeight="1" s="279">
      <c r="B429" s="294" t="n"/>
      <c r="C429" s="29" t="inlineStr">
        <is>
          <t>r02</t>
        </is>
      </c>
      <c r="D429" s="191" t="n"/>
      <c r="E429" s="58" t="n"/>
      <c r="F429" s="192" t="n"/>
      <c r="G429" s="192" t="n"/>
      <c r="H429" s="192" t="n"/>
      <c r="I429" s="64" t="n"/>
      <c r="J429" s="64" t="n"/>
      <c r="K429" s="193" t="n"/>
      <c r="L429" s="357" t="n"/>
      <c r="M429" s="357" t="n"/>
      <c r="N429" s="58" t="n"/>
      <c r="O429" s="30" t="n"/>
      <c r="P429" s="58" t="n"/>
      <c r="Q429" s="30" t="n"/>
      <c r="R429" s="135" t="n"/>
      <c r="S429" s="301" t="n"/>
      <c r="T429" s="294" t="n"/>
      <c r="U429" s="29" t="inlineStr">
        <is>
          <t>r02</t>
        </is>
      </c>
      <c r="V429" s="191" t="n"/>
      <c r="W429" s="58" t="n"/>
      <c r="X429" s="192" t="n"/>
      <c r="Y429" s="192" t="n"/>
      <c r="Z429" s="192" t="n"/>
      <c r="AA429" s="64" t="n"/>
      <c r="AB429" s="64" t="n"/>
      <c r="AC429" s="193" t="n"/>
      <c r="AD429" s="357" t="n"/>
      <c r="AE429" s="357" t="n"/>
      <c r="AF429" s="58" t="n"/>
      <c r="AG429" s="30" t="n"/>
      <c r="AH429" s="58" t="n"/>
      <c r="AI429" s="30" t="n"/>
      <c r="AJ429" s="135" t="n"/>
      <c r="AK429" s="212" t="n"/>
      <c r="AL429" s="294" t="n"/>
      <c r="AM429" s="89">
        <f>IF(OR(X429="",F429=""),"",X429-F429)</f>
        <v/>
      </c>
      <c r="AN429" s="124">
        <f>IF(OR(Y429="",G429=""),"",Y429-G429)</f>
        <v/>
      </c>
      <c r="AO429" s="124">
        <f>IF(OR(Z429="",H429=""),"",Z429-H429)</f>
        <v/>
      </c>
      <c r="AP429" s="124">
        <f>IF(OR(AA429="",I429=""),"",AA429-I429)</f>
        <v/>
      </c>
      <c r="AQ429" s="90">
        <f>IF(OR(AB429="",J429=""),"",AB429-J429)</f>
        <v/>
      </c>
      <c r="AR429" s="39" t="n"/>
      <c r="AS429" s="332" t="n"/>
      <c r="AT429" s="39" t="n"/>
    </row>
    <row r="430" ht="13.5" customHeight="1" s="279">
      <c r="B430" s="294" t="n"/>
      <c r="C430" s="29" t="inlineStr">
        <is>
          <t>r03</t>
        </is>
      </c>
      <c r="D430" s="191" t="n"/>
      <c r="E430" s="58" t="n"/>
      <c r="F430" s="192" t="n"/>
      <c r="G430" s="192" t="n"/>
      <c r="H430" s="192" t="n"/>
      <c r="I430" s="64" t="n"/>
      <c r="J430" s="64" t="n"/>
      <c r="K430" s="193" t="n"/>
      <c r="L430" s="357" t="n"/>
      <c r="M430" s="357" t="n"/>
      <c r="N430" s="58" t="n"/>
      <c r="O430" s="30" t="n"/>
      <c r="P430" s="58" t="n"/>
      <c r="Q430" s="30" t="n"/>
      <c r="R430" s="135" t="n"/>
      <c r="S430" s="301" t="n"/>
      <c r="T430" s="294" t="n"/>
      <c r="U430" s="29" t="inlineStr">
        <is>
          <t>r03</t>
        </is>
      </c>
      <c r="V430" s="191" t="n"/>
      <c r="W430" s="58" t="n"/>
      <c r="X430" s="192" t="n"/>
      <c r="Y430" s="192" t="n"/>
      <c r="Z430" s="192" t="n"/>
      <c r="AA430" s="64" t="n"/>
      <c r="AB430" s="64" t="n"/>
      <c r="AC430" s="193" t="n"/>
      <c r="AD430" s="357" t="n"/>
      <c r="AE430" s="357" t="n"/>
      <c r="AF430" s="58" t="n"/>
      <c r="AG430" s="30" t="n"/>
      <c r="AH430" s="58" t="n"/>
      <c r="AI430" s="30" t="n"/>
      <c r="AJ430" s="135" t="n"/>
      <c r="AK430" s="212" t="n"/>
      <c r="AL430" s="294" t="n"/>
      <c r="AM430" s="89">
        <f>IF(OR(X430="",F430=""),"",X430-F430)</f>
        <v/>
      </c>
      <c r="AN430" s="124">
        <f>IF(OR(Y430="",G430=""),"",Y430-G430)</f>
        <v/>
      </c>
      <c r="AO430" s="124">
        <f>IF(OR(Z430="",H430=""),"",Z430-H430)</f>
        <v/>
      </c>
      <c r="AP430" s="124">
        <f>IF(OR(AA430="",I430=""),"",AA430-I430)</f>
        <v/>
      </c>
      <c r="AQ430" s="90">
        <f>IF(OR(AB430="",J430=""),"",AB430-J430)</f>
        <v/>
      </c>
      <c r="AR430" s="39" t="n"/>
      <c r="AS430" s="332" t="n"/>
      <c r="AT430" s="39" t="n"/>
    </row>
    <row r="431" ht="13.5" customHeight="1" s="279">
      <c r="B431" s="294" t="n"/>
      <c r="C431" s="29" t="inlineStr">
        <is>
          <t>r04</t>
        </is>
      </c>
      <c r="D431" s="191" t="n"/>
      <c r="E431" s="58" t="n"/>
      <c r="F431" s="192" t="n"/>
      <c r="G431" s="192" t="n"/>
      <c r="H431" s="192" t="n"/>
      <c r="I431" s="64" t="n"/>
      <c r="J431" s="64" t="n"/>
      <c r="K431" s="193" t="n"/>
      <c r="L431" s="357" t="n"/>
      <c r="M431" s="357" t="n"/>
      <c r="N431" s="58" t="n"/>
      <c r="O431" s="30" t="n"/>
      <c r="P431" s="58" t="n"/>
      <c r="Q431" s="30" t="n"/>
      <c r="R431" s="135" t="n"/>
      <c r="S431" s="301" t="n"/>
      <c r="T431" s="294" t="n"/>
      <c r="U431" s="29" t="inlineStr">
        <is>
          <t>r04</t>
        </is>
      </c>
      <c r="V431" s="191" t="n"/>
      <c r="W431" s="58" t="n"/>
      <c r="X431" s="192" t="n"/>
      <c r="Y431" s="192" t="n"/>
      <c r="Z431" s="192" t="n"/>
      <c r="AA431" s="64" t="n"/>
      <c r="AB431" s="64" t="n"/>
      <c r="AC431" s="193" t="n"/>
      <c r="AD431" s="357" t="n"/>
      <c r="AE431" s="357" t="n"/>
      <c r="AF431" s="58" t="n"/>
      <c r="AG431" s="30" t="n"/>
      <c r="AH431" s="58" t="n"/>
      <c r="AI431" s="30" t="n"/>
      <c r="AJ431" s="135" t="n"/>
      <c r="AK431" s="212" t="n"/>
      <c r="AL431" s="294" t="n"/>
      <c r="AM431" s="89">
        <f>IF(OR(X431="",F431=""),"",X431-F431)</f>
        <v/>
      </c>
      <c r="AN431" s="124">
        <f>IF(OR(Y431="",G431=""),"",Y431-G431)</f>
        <v/>
      </c>
      <c r="AO431" s="124">
        <f>IF(OR(Z431="",H431=""),"",Z431-H431)</f>
        <v/>
      </c>
      <c r="AP431" s="124">
        <f>IF(OR(AA431="",I431=""),"",AA431-I431)</f>
        <v/>
      </c>
      <c r="AQ431" s="90">
        <f>IF(OR(AB431="",J431=""),"",AB431-J431)</f>
        <v/>
      </c>
      <c r="AR431" s="39" t="n"/>
      <c r="AS431" s="332" t="n"/>
      <c r="AT431" s="39" t="n"/>
    </row>
    <row r="432" ht="13.5" customHeight="1" s="279" thickBot="1">
      <c r="B432" s="295" t="n"/>
      <c r="C432" s="29" t="n"/>
      <c r="D432" s="191" t="n"/>
      <c r="E432" s="58" t="n"/>
      <c r="F432" s="194" t="n"/>
      <c r="G432" s="194" t="n"/>
      <c r="H432" s="194" t="n"/>
      <c r="I432" s="58" t="n"/>
      <c r="J432" s="58" t="n"/>
      <c r="K432" s="193" t="n"/>
      <c r="L432" s="357" t="n"/>
      <c r="M432" s="357" t="n"/>
      <c r="N432" s="58" t="n"/>
      <c r="O432" s="30" t="n"/>
      <c r="P432" s="58" t="n"/>
      <c r="Q432" s="30" t="n"/>
      <c r="R432" s="189" t="n"/>
      <c r="S432" s="301" t="n"/>
      <c r="T432" s="295" t="n"/>
      <c r="U432" s="29" t="n"/>
      <c r="V432" s="191" t="n"/>
      <c r="W432" s="58" t="n"/>
      <c r="X432" s="194" t="n"/>
      <c r="Y432" s="194" t="n"/>
      <c r="Z432" s="194" t="n"/>
      <c r="AA432" s="58" t="n"/>
      <c r="AB432" s="58" t="n"/>
      <c r="AC432" s="193" t="n"/>
      <c r="AD432" s="357" t="n"/>
      <c r="AE432" s="357" t="n"/>
      <c r="AF432" s="58" t="n"/>
      <c r="AG432" s="30" t="n"/>
      <c r="AH432" s="58" t="n"/>
      <c r="AI432" s="30" t="n"/>
      <c r="AJ432" s="189" t="n"/>
      <c r="AK432" s="212" t="n"/>
      <c r="AL432" s="295" t="n"/>
      <c r="AM432" s="125">
        <f>IF(OR(X432="",F432=""),"",X432-F432)</f>
        <v/>
      </c>
      <c r="AN432" s="126">
        <f>IF(OR(Y432="",G432=""),"",Y432-G432)</f>
        <v/>
      </c>
      <c r="AO432" s="126">
        <f>IF(OR(Z432="",H432=""),"",Z432-H432)</f>
        <v/>
      </c>
      <c r="AP432" s="126">
        <f>IF(OR(AA432="",I432=""),"",AA432-I432)</f>
        <v/>
      </c>
      <c r="AQ432" s="127">
        <f>IF(OR(AB432="",J432=""),"",AB432-J432)</f>
        <v/>
      </c>
      <c r="AR432" s="39" t="n"/>
      <c r="AS432" s="332" t="n"/>
      <c r="AT432" s="39" t="n"/>
    </row>
    <row r="433" ht="13.5" customHeight="1" s="279">
      <c r="B433" s="293" t="inlineStr">
        <is>
          <t>v80</t>
        </is>
      </c>
      <c r="C433" s="27" t="inlineStr">
        <is>
          <t>r01</t>
        </is>
      </c>
      <c r="D433" s="41" t="n"/>
      <c r="E433" s="57" t="n"/>
      <c r="F433" s="99" t="n"/>
      <c r="G433" s="99" t="n"/>
      <c r="H433" s="99" t="n"/>
      <c r="I433" s="62" t="n"/>
      <c r="J433" s="62" t="n"/>
      <c r="K433" s="63" t="n"/>
      <c r="L433" s="356" t="n"/>
      <c r="M433" s="356" t="n"/>
      <c r="N433" s="57" t="n"/>
      <c r="O433" s="28" t="n"/>
      <c r="P433" s="57" t="n"/>
      <c r="Q433" s="28" t="n"/>
      <c r="R433" s="134" t="n"/>
      <c r="S433" s="301" t="n"/>
      <c r="T433" s="293" t="inlineStr">
        <is>
          <t>v80</t>
        </is>
      </c>
      <c r="U433" s="27" t="inlineStr">
        <is>
          <t>r01</t>
        </is>
      </c>
      <c r="V433" s="41" t="n"/>
      <c r="W433" s="57" t="n"/>
      <c r="X433" s="99" t="n"/>
      <c r="Y433" s="99" t="n"/>
      <c r="Z433" s="99" t="n"/>
      <c r="AA433" s="62" t="n"/>
      <c r="AB433" s="62" t="n"/>
      <c r="AC433" s="63" t="n"/>
      <c r="AD433" s="356" t="n"/>
      <c r="AE433" s="356" t="n"/>
      <c r="AF433" s="57" t="n"/>
      <c r="AG433" s="28" t="n"/>
      <c r="AH433" s="57" t="n"/>
      <c r="AI433" s="28" t="n"/>
      <c r="AJ433" s="134" t="n"/>
      <c r="AK433" s="212" t="n"/>
      <c r="AL433" s="293" t="inlineStr">
        <is>
          <t>v80</t>
        </is>
      </c>
      <c r="AM433" s="122">
        <f>IF(OR(X433="",F433=""),"",X433-F433)</f>
        <v/>
      </c>
      <c r="AN433" s="98">
        <f>IF(OR(Y433="",G433=""),"",Y433-G433)</f>
        <v/>
      </c>
      <c r="AO433" s="98">
        <f>IF(OR(Z433="",H433=""),"",Z433-H433)</f>
        <v/>
      </c>
      <c r="AP433" s="98">
        <f>IF(OR(AA433="",I433=""),"",AA433-I433)</f>
        <v/>
      </c>
      <c r="AQ433" s="123">
        <f>IF(OR(AB433="",J433=""),"",AB433-J433)</f>
        <v/>
      </c>
      <c r="AR433" s="39" t="n"/>
      <c r="AS433" s="332" t="n"/>
      <c r="AT433" s="39" t="n"/>
    </row>
    <row r="434" ht="13.5" customHeight="1" s="279">
      <c r="B434" s="294" t="n"/>
      <c r="C434" s="29" t="inlineStr">
        <is>
          <t>r02</t>
        </is>
      </c>
      <c r="D434" s="191" t="n"/>
      <c r="E434" s="58" t="n"/>
      <c r="F434" s="192" t="n"/>
      <c r="G434" s="192" t="n"/>
      <c r="H434" s="192" t="n"/>
      <c r="I434" s="64" t="n"/>
      <c r="J434" s="64" t="n"/>
      <c r="K434" s="193" t="n"/>
      <c r="L434" s="357" t="n"/>
      <c r="M434" s="357" t="n"/>
      <c r="N434" s="58" t="n"/>
      <c r="O434" s="30" t="n"/>
      <c r="P434" s="58" t="n"/>
      <c r="Q434" s="30" t="n"/>
      <c r="R434" s="135" t="n"/>
      <c r="S434" s="301" t="n"/>
      <c r="T434" s="294" t="n"/>
      <c r="U434" s="29" t="inlineStr">
        <is>
          <t>r02</t>
        </is>
      </c>
      <c r="V434" s="191" t="n"/>
      <c r="W434" s="58" t="n"/>
      <c r="X434" s="192" t="n"/>
      <c r="Y434" s="192" t="n"/>
      <c r="Z434" s="192" t="n"/>
      <c r="AA434" s="64" t="n"/>
      <c r="AB434" s="64" t="n"/>
      <c r="AC434" s="193" t="n"/>
      <c r="AD434" s="357" t="n"/>
      <c r="AE434" s="357" t="n"/>
      <c r="AF434" s="58" t="n"/>
      <c r="AG434" s="30" t="n"/>
      <c r="AH434" s="58" t="n"/>
      <c r="AI434" s="30" t="n"/>
      <c r="AJ434" s="135" t="n"/>
      <c r="AK434" s="212" t="n"/>
      <c r="AL434" s="294" t="n"/>
      <c r="AM434" s="89">
        <f>IF(OR(X434="",F434=""),"",X434-F434)</f>
        <v/>
      </c>
      <c r="AN434" s="124">
        <f>IF(OR(Y434="",G434=""),"",Y434-G434)</f>
        <v/>
      </c>
      <c r="AO434" s="124">
        <f>IF(OR(Z434="",H434=""),"",Z434-H434)</f>
        <v/>
      </c>
      <c r="AP434" s="124">
        <f>IF(OR(AA434="",I434=""),"",AA434-I434)</f>
        <v/>
      </c>
      <c r="AQ434" s="90">
        <f>IF(OR(AB434="",J434=""),"",AB434-J434)</f>
        <v/>
      </c>
      <c r="AR434" s="39" t="n"/>
      <c r="AS434" s="332" t="n"/>
      <c r="AT434" s="39" t="n"/>
    </row>
    <row r="435" ht="13.5" customHeight="1" s="279">
      <c r="B435" s="294" t="n"/>
      <c r="C435" s="29" t="inlineStr">
        <is>
          <t>r03</t>
        </is>
      </c>
      <c r="D435" s="191" t="n"/>
      <c r="E435" s="58" t="n"/>
      <c r="F435" s="192" t="n"/>
      <c r="G435" s="192" t="n"/>
      <c r="H435" s="192" t="n"/>
      <c r="I435" s="64" t="n"/>
      <c r="J435" s="64" t="n"/>
      <c r="K435" s="193" t="n"/>
      <c r="L435" s="357" t="n"/>
      <c r="M435" s="357" t="n"/>
      <c r="N435" s="58" t="n"/>
      <c r="O435" s="30" t="n"/>
      <c r="P435" s="58" t="n"/>
      <c r="Q435" s="30" t="n"/>
      <c r="R435" s="135" t="n"/>
      <c r="S435" s="301" t="n"/>
      <c r="T435" s="294" t="n"/>
      <c r="U435" s="29" t="inlineStr">
        <is>
          <t>r03</t>
        </is>
      </c>
      <c r="V435" s="191" t="n"/>
      <c r="W435" s="58" t="n"/>
      <c r="X435" s="192" t="n"/>
      <c r="Y435" s="192" t="n"/>
      <c r="Z435" s="192" t="n"/>
      <c r="AA435" s="64" t="n"/>
      <c r="AB435" s="64" t="n"/>
      <c r="AC435" s="193" t="n"/>
      <c r="AD435" s="357" t="n"/>
      <c r="AE435" s="357" t="n"/>
      <c r="AF435" s="58" t="n"/>
      <c r="AG435" s="30" t="n"/>
      <c r="AH435" s="58" t="n"/>
      <c r="AI435" s="30" t="n"/>
      <c r="AJ435" s="135" t="n"/>
      <c r="AK435" s="212" t="n"/>
      <c r="AL435" s="294" t="n"/>
      <c r="AM435" s="89">
        <f>IF(OR(X435="",F435=""),"",X435-F435)</f>
        <v/>
      </c>
      <c r="AN435" s="124">
        <f>IF(OR(Y435="",G435=""),"",Y435-G435)</f>
        <v/>
      </c>
      <c r="AO435" s="124">
        <f>IF(OR(Z435="",H435=""),"",Z435-H435)</f>
        <v/>
      </c>
      <c r="AP435" s="124">
        <f>IF(OR(AA435="",I435=""),"",AA435-I435)</f>
        <v/>
      </c>
      <c r="AQ435" s="90">
        <f>IF(OR(AB435="",J435=""),"",AB435-J435)</f>
        <v/>
      </c>
      <c r="AR435" s="39" t="n"/>
      <c r="AS435" s="332" t="n"/>
      <c r="AT435" s="39" t="n"/>
    </row>
    <row r="436" ht="13.5" customHeight="1" s="279">
      <c r="B436" s="294" t="n"/>
      <c r="C436" s="29" t="inlineStr">
        <is>
          <t>r04</t>
        </is>
      </c>
      <c r="D436" s="191" t="n"/>
      <c r="E436" s="58" t="n"/>
      <c r="F436" s="192" t="n"/>
      <c r="G436" s="192" t="n"/>
      <c r="H436" s="192" t="n"/>
      <c r="I436" s="64" t="n"/>
      <c r="J436" s="64" t="n"/>
      <c r="K436" s="193" t="n"/>
      <c r="L436" s="357" t="n"/>
      <c r="M436" s="357" t="n"/>
      <c r="N436" s="58" t="n"/>
      <c r="O436" s="30" t="n"/>
      <c r="P436" s="58" t="n"/>
      <c r="Q436" s="30" t="n"/>
      <c r="R436" s="135" t="n"/>
      <c r="S436" s="301" t="n"/>
      <c r="T436" s="294" t="n"/>
      <c r="U436" s="29" t="inlineStr">
        <is>
          <t>r04</t>
        </is>
      </c>
      <c r="V436" s="191" t="n"/>
      <c r="W436" s="58" t="n"/>
      <c r="X436" s="192" t="n"/>
      <c r="Y436" s="192" t="n"/>
      <c r="Z436" s="192" t="n"/>
      <c r="AA436" s="64" t="n"/>
      <c r="AB436" s="64" t="n"/>
      <c r="AC436" s="193" t="n"/>
      <c r="AD436" s="357" t="n"/>
      <c r="AE436" s="357" t="n"/>
      <c r="AF436" s="58" t="n"/>
      <c r="AG436" s="30" t="n"/>
      <c r="AH436" s="58" t="n"/>
      <c r="AI436" s="30" t="n"/>
      <c r="AJ436" s="135" t="n"/>
      <c r="AK436" s="212" t="n"/>
      <c r="AL436" s="294" t="n"/>
      <c r="AM436" s="89">
        <f>IF(OR(X436="",F436=""),"",X436-F436)</f>
        <v/>
      </c>
      <c r="AN436" s="124">
        <f>IF(OR(Y436="",G436=""),"",Y436-G436)</f>
        <v/>
      </c>
      <c r="AO436" s="124">
        <f>IF(OR(Z436="",H436=""),"",Z436-H436)</f>
        <v/>
      </c>
      <c r="AP436" s="124">
        <f>IF(OR(AA436="",I436=""),"",AA436-I436)</f>
        <v/>
      </c>
      <c r="AQ436" s="90">
        <f>IF(OR(AB436="",J436=""),"",AB436-J436)</f>
        <v/>
      </c>
      <c r="AR436" s="39" t="n"/>
      <c r="AS436" s="332" t="n"/>
      <c r="AT436" s="39" t="n"/>
    </row>
    <row r="437" ht="13.5" customHeight="1" s="279" thickBot="1">
      <c r="B437" s="295" t="n"/>
      <c r="C437" s="29" t="n"/>
      <c r="D437" s="191" t="n"/>
      <c r="E437" s="58" t="n"/>
      <c r="F437" s="194" t="n"/>
      <c r="G437" s="194" t="n"/>
      <c r="H437" s="194" t="n"/>
      <c r="I437" s="58" t="n"/>
      <c r="J437" s="58" t="n"/>
      <c r="K437" s="193" t="n"/>
      <c r="L437" s="357" t="n"/>
      <c r="M437" s="357" t="n"/>
      <c r="N437" s="58" t="n"/>
      <c r="O437" s="30" t="n"/>
      <c r="P437" s="58" t="n"/>
      <c r="Q437" s="30" t="n"/>
      <c r="R437" s="189" t="n"/>
      <c r="S437" s="301" t="n"/>
      <c r="T437" s="295" t="n"/>
      <c r="U437" s="29" t="n"/>
      <c r="V437" s="191" t="n"/>
      <c r="W437" s="58" t="n"/>
      <c r="X437" s="194" t="n"/>
      <c r="Y437" s="194" t="n"/>
      <c r="Z437" s="194" t="n"/>
      <c r="AA437" s="58" t="n"/>
      <c r="AB437" s="58" t="n"/>
      <c r="AC437" s="193" t="n"/>
      <c r="AD437" s="357" t="n"/>
      <c r="AE437" s="357" t="n"/>
      <c r="AF437" s="58" t="n"/>
      <c r="AG437" s="30" t="n"/>
      <c r="AH437" s="58" t="n"/>
      <c r="AI437" s="30" t="n"/>
      <c r="AJ437" s="189" t="n"/>
      <c r="AK437" s="212" t="n"/>
      <c r="AL437" s="295" t="n"/>
      <c r="AM437" s="125">
        <f>IF(OR(X437="",F437=""),"",X437-F437)</f>
        <v/>
      </c>
      <c r="AN437" s="126">
        <f>IF(OR(Y437="",G437=""),"",Y437-G437)</f>
        <v/>
      </c>
      <c r="AO437" s="126">
        <f>IF(OR(Z437="",H437=""),"",Z437-H437)</f>
        <v/>
      </c>
      <c r="AP437" s="126">
        <f>IF(OR(AA437="",I437=""),"",AA437-I437)</f>
        <v/>
      </c>
      <c r="AQ437" s="127">
        <f>IF(OR(AB437="",J437=""),"",AB437-J437)</f>
        <v/>
      </c>
      <c r="AR437" s="39" t="n"/>
      <c r="AS437" s="332" t="n"/>
      <c r="AT437" s="39" t="n"/>
    </row>
    <row r="438" ht="13.5" customHeight="1" s="279">
      <c r="B438" s="293" t="inlineStr">
        <is>
          <t>v81</t>
        </is>
      </c>
      <c r="C438" s="27" t="inlineStr">
        <is>
          <t>r01</t>
        </is>
      </c>
      <c r="D438" s="41" t="n"/>
      <c r="E438" s="57" t="n"/>
      <c r="F438" s="99" t="n"/>
      <c r="G438" s="99" t="n"/>
      <c r="H438" s="99" t="n"/>
      <c r="I438" s="62" t="n"/>
      <c r="J438" s="62" t="n"/>
      <c r="K438" s="63" t="n"/>
      <c r="L438" s="356" t="n"/>
      <c r="M438" s="356" t="n"/>
      <c r="N438" s="57" t="n"/>
      <c r="O438" s="28" t="n"/>
      <c r="P438" s="57" t="n"/>
      <c r="Q438" s="28" t="n"/>
      <c r="R438" s="134" t="n"/>
      <c r="S438" s="301" t="n"/>
      <c r="T438" s="293" t="inlineStr">
        <is>
          <t>v81</t>
        </is>
      </c>
      <c r="U438" s="27" t="inlineStr">
        <is>
          <t>r01</t>
        </is>
      </c>
      <c r="V438" s="41" t="n"/>
      <c r="W438" s="57" t="n"/>
      <c r="X438" s="99" t="n"/>
      <c r="Y438" s="99" t="n"/>
      <c r="Z438" s="99" t="n"/>
      <c r="AA438" s="62" t="n"/>
      <c r="AB438" s="62" t="n"/>
      <c r="AC438" s="63" t="n"/>
      <c r="AD438" s="356" t="n"/>
      <c r="AE438" s="356" t="n"/>
      <c r="AF438" s="57" t="n"/>
      <c r="AG438" s="28" t="n"/>
      <c r="AH438" s="57" t="n"/>
      <c r="AI438" s="28" t="n"/>
      <c r="AJ438" s="134" t="n"/>
      <c r="AK438" s="212" t="n"/>
      <c r="AL438" s="293" t="inlineStr">
        <is>
          <t>v81</t>
        </is>
      </c>
      <c r="AM438" s="122">
        <f>IF(OR(X438="",F438=""),"",X438-F438)</f>
        <v/>
      </c>
      <c r="AN438" s="98">
        <f>IF(OR(Y438="",G438=""),"",Y438-G438)</f>
        <v/>
      </c>
      <c r="AO438" s="98">
        <f>IF(OR(Z438="",H438=""),"",Z438-H438)</f>
        <v/>
      </c>
      <c r="AP438" s="98">
        <f>IF(OR(AA438="",I438=""),"",AA438-I438)</f>
        <v/>
      </c>
      <c r="AQ438" s="123">
        <f>IF(OR(AB438="",J438=""),"",AB438-J438)</f>
        <v/>
      </c>
      <c r="AR438" s="39" t="n"/>
      <c r="AS438" s="332" t="n"/>
      <c r="AT438" s="39" t="n"/>
    </row>
    <row r="439" ht="13.5" customHeight="1" s="279">
      <c r="B439" s="294" t="n"/>
      <c r="C439" s="29" t="inlineStr">
        <is>
          <t>r02</t>
        </is>
      </c>
      <c r="D439" s="191" t="n"/>
      <c r="E439" s="58" t="n"/>
      <c r="F439" s="192" t="n"/>
      <c r="G439" s="192" t="n"/>
      <c r="H439" s="192" t="n"/>
      <c r="I439" s="64" t="n"/>
      <c r="J439" s="64" t="n"/>
      <c r="K439" s="193" t="n"/>
      <c r="L439" s="357" t="n"/>
      <c r="M439" s="357" t="n"/>
      <c r="N439" s="58" t="n"/>
      <c r="O439" s="30" t="n"/>
      <c r="P439" s="58" t="n"/>
      <c r="Q439" s="30" t="n"/>
      <c r="R439" s="135" t="n"/>
      <c r="S439" s="301" t="n"/>
      <c r="T439" s="294" t="n"/>
      <c r="U439" s="29" t="inlineStr">
        <is>
          <t>r02</t>
        </is>
      </c>
      <c r="V439" s="191" t="n"/>
      <c r="W439" s="58" t="n"/>
      <c r="X439" s="192" t="n"/>
      <c r="Y439" s="192" t="n"/>
      <c r="Z439" s="192" t="n"/>
      <c r="AA439" s="64" t="n"/>
      <c r="AB439" s="64" t="n"/>
      <c r="AC439" s="193" t="n"/>
      <c r="AD439" s="357" t="n"/>
      <c r="AE439" s="357" t="n"/>
      <c r="AF439" s="58" t="n"/>
      <c r="AG439" s="30" t="n"/>
      <c r="AH439" s="58" t="n"/>
      <c r="AI439" s="30" t="n"/>
      <c r="AJ439" s="135" t="n"/>
      <c r="AK439" s="212" t="n"/>
      <c r="AL439" s="294" t="n"/>
      <c r="AM439" s="89">
        <f>IF(OR(X439="",F439=""),"",X439-F439)</f>
        <v/>
      </c>
      <c r="AN439" s="124">
        <f>IF(OR(Y439="",G439=""),"",Y439-G439)</f>
        <v/>
      </c>
      <c r="AO439" s="124">
        <f>IF(OR(Z439="",H439=""),"",Z439-H439)</f>
        <v/>
      </c>
      <c r="AP439" s="124">
        <f>IF(OR(AA439="",I439=""),"",AA439-I439)</f>
        <v/>
      </c>
      <c r="AQ439" s="90">
        <f>IF(OR(AB439="",J439=""),"",AB439-J439)</f>
        <v/>
      </c>
      <c r="AR439" s="39" t="n"/>
      <c r="AS439" s="332" t="n"/>
      <c r="AT439" s="39" t="n"/>
    </row>
    <row r="440" ht="13.5" customHeight="1" s="279">
      <c r="B440" s="294" t="n"/>
      <c r="C440" s="29" t="inlineStr">
        <is>
          <t>r03</t>
        </is>
      </c>
      <c r="D440" s="191" t="n"/>
      <c r="E440" s="58" t="n"/>
      <c r="F440" s="192" t="n"/>
      <c r="G440" s="192" t="n"/>
      <c r="H440" s="192" t="n"/>
      <c r="I440" s="64" t="n"/>
      <c r="J440" s="64" t="n"/>
      <c r="K440" s="193" t="n"/>
      <c r="L440" s="357" t="n"/>
      <c r="M440" s="357" t="n"/>
      <c r="N440" s="58" t="n"/>
      <c r="O440" s="30" t="n"/>
      <c r="P440" s="58" t="n"/>
      <c r="Q440" s="30" t="n"/>
      <c r="R440" s="135" t="n"/>
      <c r="S440" s="301" t="n"/>
      <c r="T440" s="294" t="n"/>
      <c r="U440" s="29" t="inlineStr">
        <is>
          <t>r03</t>
        </is>
      </c>
      <c r="V440" s="191" t="n"/>
      <c r="W440" s="58" t="n"/>
      <c r="X440" s="192" t="n"/>
      <c r="Y440" s="192" t="n"/>
      <c r="Z440" s="192" t="n"/>
      <c r="AA440" s="64" t="n"/>
      <c r="AB440" s="64" t="n"/>
      <c r="AC440" s="193" t="n"/>
      <c r="AD440" s="357" t="n"/>
      <c r="AE440" s="357" t="n"/>
      <c r="AF440" s="58" t="n"/>
      <c r="AG440" s="30" t="n"/>
      <c r="AH440" s="58" t="n"/>
      <c r="AI440" s="30" t="n"/>
      <c r="AJ440" s="135" t="n"/>
      <c r="AK440" s="212" t="n"/>
      <c r="AL440" s="294" t="n"/>
      <c r="AM440" s="89">
        <f>IF(OR(X440="",F440=""),"",X440-F440)</f>
        <v/>
      </c>
      <c r="AN440" s="124">
        <f>IF(OR(Y440="",G440=""),"",Y440-G440)</f>
        <v/>
      </c>
      <c r="AO440" s="124">
        <f>IF(OR(Z440="",H440=""),"",Z440-H440)</f>
        <v/>
      </c>
      <c r="AP440" s="124">
        <f>IF(OR(AA440="",I440=""),"",AA440-I440)</f>
        <v/>
      </c>
      <c r="AQ440" s="90">
        <f>IF(OR(AB440="",J440=""),"",AB440-J440)</f>
        <v/>
      </c>
      <c r="AR440" s="39" t="n"/>
      <c r="AS440" s="332" t="n"/>
      <c r="AT440" s="39" t="n"/>
    </row>
    <row r="441" ht="13.5" customHeight="1" s="279">
      <c r="B441" s="294" t="n"/>
      <c r="C441" s="29" t="inlineStr">
        <is>
          <t>r04</t>
        </is>
      </c>
      <c r="D441" s="191" t="n"/>
      <c r="E441" s="58" t="n"/>
      <c r="F441" s="192" t="n"/>
      <c r="G441" s="192" t="n"/>
      <c r="H441" s="192" t="n"/>
      <c r="I441" s="64" t="n"/>
      <c r="J441" s="64" t="n"/>
      <c r="K441" s="193" t="n"/>
      <c r="L441" s="357" t="n"/>
      <c r="M441" s="357" t="n"/>
      <c r="N441" s="58" t="n"/>
      <c r="O441" s="30" t="n"/>
      <c r="P441" s="58" t="n"/>
      <c r="Q441" s="30" t="n"/>
      <c r="R441" s="135" t="n"/>
      <c r="S441" s="301" t="n"/>
      <c r="T441" s="294" t="n"/>
      <c r="U441" s="29" t="inlineStr">
        <is>
          <t>r04</t>
        </is>
      </c>
      <c r="V441" s="191" t="n"/>
      <c r="W441" s="58" t="n"/>
      <c r="X441" s="192" t="n"/>
      <c r="Y441" s="192" t="n"/>
      <c r="Z441" s="192" t="n"/>
      <c r="AA441" s="64" t="n"/>
      <c r="AB441" s="64" t="n"/>
      <c r="AC441" s="193" t="n"/>
      <c r="AD441" s="357" t="n"/>
      <c r="AE441" s="357" t="n"/>
      <c r="AF441" s="58" t="n"/>
      <c r="AG441" s="30" t="n"/>
      <c r="AH441" s="58" t="n"/>
      <c r="AI441" s="30" t="n"/>
      <c r="AJ441" s="135" t="n"/>
      <c r="AK441" s="212" t="n"/>
      <c r="AL441" s="294" t="n"/>
      <c r="AM441" s="89">
        <f>IF(OR(X441="",F441=""),"",X441-F441)</f>
        <v/>
      </c>
      <c r="AN441" s="124">
        <f>IF(OR(Y441="",G441=""),"",Y441-G441)</f>
        <v/>
      </c>
      <c r="AO441" s="124">
        <f>IF(OR(Z441="",H441=""),"",Z441-H441)</f>
        <v/>
      </c>
      <c r="AP441" s="124">
        <f>IF(OR(AA441="",I441=""),"",AA441-I441)</f>
        <v/>
      </c>
      <c r="AQ441" s="90">
        <f>IF(OR(AB441="",J441=""),"",AB441-J441)</f>
        <v/>
      </c>
      <c r="AR441" s="39" t="n"/>
      <c r="AS441" s="332" t="n"/>
      <c r="AT441" s="39" t="n"/>
    </row>
    <row r="442" ht="13.5" customHeight="1" s="279" thickBot="1">
      <c r="B442" s="295" t="n"/>
      <c r="C442" s="29" t="n"/>
      <c r="D442" s="191" t="n"/>
      <c r="E442" s="58" t="n"/>
      <c r="F442" s="194" t="n"/>
      <c r="G442" s="194" t="n"/>
      <c r="H442" s="194" t="n"/>
      <c r="I442" s="58" t="n"/>
      <c r="J442" s="58" t="n"/>
      <c r="K442" s="193" t="n"/>
      <c r="L442" s="357" t="n"/>
      <c r="M442" s="357" t="n"/>
      <c r="N442" s="58" t="n"/>
      <c r="O442" s="30" t="n"/>
      <c r="P442" s="58" t="n"/>
      <c r="Q442" s="30" t="n"/>
      <c r="R442" s="189" t="n"/>
      <c r="S442" s="301" t="n"/>
      <c r="T442" s="295" t="n"/>
      <c r="U442" s="29" t="n"/>
      <c r="V442" s="191" t="n"/>
      <c r="W442" s="58" t="n"/>
      <c r="X442" s="194" t="n"/>
      <c r="Y442" s="194" t="n"/>
      <c r="Z442" s="194" t="n"/>
      <c r="AA442" s="58" t="n"/>
      <c r="AB442" s="58" t="n"/>
      <c r="AC442" s="193" t="n"/>
      <c r="AD442" s="357" t="n"/>
      <c r="AE442" s="357" t="n"/>
      <c r="AF442" s="58" t="n"/>
      <c r="AG442" s="30" t="n"/>
      <c r="AH442" s="58" t="n"/>
      <c r="AI442" s="30" t="n"/>
      <c r="AJ442" s="189" t="n"/>
      <c r="AK442" s="212" t="n"/>
      <c r="AL442" s="295" t="n"/>
      <c r="AM442" s="125">
        <f>IF(OR(X442="",F442=""),"",X442-F442)</f>
        <v/>
      </c>
      <c r="AN442" s="126">
        <f>IF(OR(Y442="",G442=""),"",Y442-G442)</f>
        <v/>
      </c>
      <c r="AO442" s="126">
        <f>IF(OR(Z442="",H442=""),"",Z442-H442)</f>
        <v/>
      </c>
      <c r="AP442" s="126">
        <f>IF(OR(AA442="",I442=""),"",AA442-I442)</f>
        <v/>
      </c>
      <c r="AQ442" s="127">
        <f>IF(OR(AB442="",J442=""),"",AB442-J442)</f>
        <v/>
      </c>
      <c r="AR442" s="39" t="n"/>
      <c r="AS442" s="332" t="n"/>
      <c r="AT442" s="39" t="n"/>
    </row>
    <row r="443" ht="13.5" customHeight="1" s="279">
      <c r="B443" s="293" t="inlineStr">
        <is>
          <t>v82</t>
        </is>
      </c>
      <c r="C443" s="27" t="inlineStr">
        <is>
          <t>r01</t>
        </is>
      </c>
      <c r="D443" s="41" t="n"/>
      <c r="E443" s="57" t="n"/>
      <c r="F443" s="99" t="n"/>
      <c r="G443" s="99" t="n"/>
      <c r="H443" s="99" t="n"/>
      <c r="I443" s="62" t="n"/>
      <c r="J443" s="62" t="n"/>
      <c r="K443" s="63" t="n"/>
      <c r="L443" s="356" t="n"/>
      <c r="M443" s="356" t="n"/>
      <c r="N443" s="57" t="n"/>
      <c r="O443" s="28" t="n"/>
      <c r="P443" s="57" t="n"/>
      <c r="Q443" s="28" t="n"/>
      <c r="R443" s="134" t="n"/>
      <c r="S443" s="301" t="n"/>
      <c r="T443" s="293" t="inlineStr">
        <is>
          <t>v82</t>
        </is>
      </c>
      <c r="U443" s="27" t="inlineStr">
        <is>
          <t>r01</t>
        </is>
      </c>
      <c r="V443" s="41" t="n"/>
      <c r="W443" s="57" t="n"/>
      <c r="X443" s="99" t="n"/>
      <c r="Y443" s="99" t="n"/>
      <c r="Z443" s="99" t="n"/>
      <c r="AA443" s="62" t="n"/>
      <c r="AB443" s="62" t="n"/>
      <c r="AC443" s="63" t="n"/>
      <c r="AD443" s="356" t="n"/>
      <c r="AE443" s="356" t="n"/>
      <c r="AF443" s="57" t="n"/>
      <c r="AG443" s="28" t="n"/>
      <c r="AH443" s="57" t="n"/>
      <c r="AI443" s="28" t="n"/>
      <c r="AJ443" s="134" t="n"/>
      <c r="AK443" s="212" t="n"/>
      <c r="AL443" s="293" t="inlineStr">
        <is>
          <t>v82</t>
        </is>
      </c>
      <c r="AM443" s="122">
        <f>IF(OR(X443="",F443=""),"",X443-F443)</f>
        <v/>
      </c>
      <c r="AN443" s="98">
        <f>IF(OR(Y443="",G443=""),"",Y443-G443)</f>
        <v/>
      </c>
      <c r="AO443" s="98">
        <f>IF(OR(Z443="",H443=""),"",Z443-H443)</f>
        <v/>
      </c>
      <c r="AP443" s="98">
        <f>IF(OR(AA443="",I443=""),"",AA443-I443)</f>
        <v/>
      </c>
      <c r="AQ443" s="123">
        <f>IF(OR(AB443="",J443=""),"",AB443-J443)</f>
        <v/>
      </c>
      <c r="AR443" s="39" t="n"/>
      <c r="AS443" s="332" t="n"/>
      <c r="AT443" s="39" t="n"/>
    </row>
    <row r="444" ht="13.5" customHeight="1" s="279">
      <c r="B444" s="294" t="n"/>
      <c r="C444" s="29" t="inlineStr">
        <is>
          <t>r02</t>
        </is>
      </c>
      <c r="D444" s="191" t="n"/>
      <c r="E444" s="58" t="n"/>
      <c r="F444" s="192" t="n"/>
      <c r="G444" s="192" t="n"/>
      <c r="H444" s="192" t="n"/>
      <c r="I444" s="64" t="n"/>
      <c r="J444" s="64" t="n"/>
      <c r="K444" s="193" t="n"/>
      <c r="L444" s="357" t="n"/>
      <c r="M444" s="357" t="n"/>
      <c r="N444" s="58" t="n"/>
      <c r="O444" s="30" t="n"/>
      <c r="P444" s="58" t="n"/>
      <c r="Q444" s="30" t="n"/>
      <c r="R444" s="135" t="n"/>
      <c r="S444" s="301" t="n"/>
      <c r="T444" s="294" t="n"/>
      <c r="U444" s="29" t="inlineStr">
        <is>
          <t>r02</t>
        </is>
      </c>
      <c r="V444" s="191" t="n"/>
      <c r="W444" s="58" t="n"/>
      <c r="X444" s="192" t="n"/>
      <c r="Y444" s="192" t="n"/>
      <c r="Z444" s="192" t="n"/>
      <c r="AA444" s="64" t="n"/>
      <c r="AB444" s="64" t="n"/>
      <c r="AC444" s="193" t="n"/>
      <c r="AD444" s="357" t="n"/>
      <c r="AE444" s="357" t="n"/>
      <c r="AF444" s="58" t="n"/>
      <c r="AG444" s="30" t="n"/>
      <c r="AH444" s="58" t="n"/>
      <c r="AI444" s="30" t="n"/>
      <c r="AJ444" s="135" t="n"/>
      <c r="AK444" s="212" t="n"/>
      <c r="AL444" s="294" t="n"/>
      <c r="AM444" s="89">
        <f>IF(OR(X444="",F444=""),"",X444-F444)</f>
        <v/>
      </c>
      <c r="AN444" s="124">
        <f>IF(OR(Y444="",G444=""),"",Y444-G444)</f>
        <v/>
      </c>
      <c r="AO444" s="124">
        <f>IF(OR(Z444="",H444=""),"",Z444-H444)</f>
        <v/>
      </c>
      <c r="AP444" s="124">
        <f>IF(OR(AA444="",I444=""),"",AA444-I444)</f>
        <v/>
      </c>
      <c r="AQ444" s="90">
        <f>IF(OR(AB444="",J444=""),"",AB444-J444)</f>
        <v/>
      </c>
      <c r="AR444" s="39" t="n"/>
      <c r="AS444" s="332" t="n"/>
      <c r="AT444" s="39" t="n"/>
    </row>
    <row r="445" ht="13.5" customHeight="1" s="279">
      <c r="B445" s="294" t="n"/>
      <c r="C445" s="29" t="inlineStr">
        <is>
          <t>r03</t>
        </is>
      </c>
      <c r="D445" s="191" t="n"/>
      <c r="E445" s="58" t="n"/>
      <c r="F445" s="192" t="n"/>
      <c r="G445" s="192" t="n"/>
      <c r="H445" s="192" t="n"/>
      <c r="I445" s="64" t="n"/>
      <c r="J445" s="64" t="n"/>
      <c r="K445" s="193" t="n"/>
      <c r="L445" s="357" t="n"/>
      <c r="M445" s="357" t="n"/>
      <c r="N445" s="58" t="n"/>
      <c r="O445" s="30" t="n"/>
      <c r="P445" s="58" t="n"/>
      <c r="Q445" s="30" t="n"/>
      <c r="R445" s="135" t="n"/>
      <c r="S445" s="301" t="n"/>
      <c r="T445" s="294" t="n"/>
      <c r="U445" s="29" t="inlineStr">
        <is>
          <t>r03</t>
        </is>
      </c>
      <c r="V445" s="191" t="n"/>
      <c r="W445" s="58" t="n"/>
      <c r="X445" s="192" t="n"/>
      <c r="Y445" s="192" t="n"/>
      <c r="Z445" s="192" t="n"/>
      <c r="AA445" s="64" t="n"/>
      <c r="AB445" s="64" t="n"/>
      <c r="AC445" s="193" t="n"/>
      <c r="AD445" s="357" t="n"/>
      <c r="AE445" s="357" t="n"/>
      <c r="AF445" s="58" t="n"/>
      <c r="AG445" s="30" t="n"/>
      <c r="AH445" s="58" t="n"/>
      <c r="AI445" s="30" t="n"/>
      <c r="AJ445" s="135" t="n"/>
      <c r="AK445" s="212" t="n"/>
      <c r="AL445" s="294" t="n"/>
      <c r="AM445" s="89">
        <f>IF(OR(X445="",F445=""),"",X445-F445)</f>
        <v/>
      </c>
      <c r="AN445" s="124">
        <f>IF(OR(Y445="",G445=""),"",Y445-G445)</f>
        <v/>
      </c>
      <c r="AO445" s="124">
        <f>IF(OR(Z445="",H445=""),"",Z445-H445)</f>
        <v/>
      </c>
      <c r="AP445" s="124">
        <f>IF(OR(AA445="",I445=""),"",AA445-I445)</f>
        <v/>
      </c>
      <c r="AQ445" s="90">
        <f>IF(OR(AB445="",J445=""),"",AB445-J445)</f>
        <v/>
      </c>
      <c r="AR445" s="39" t="n"/>
      <c r="AS445" s="332" t="n"/>
      <c r="AT445" s="39" t="n"/>
    </row>
    <row r="446" ht="13.5" customHeight="1" s="279">
      <c r="B446" s="294" t="n"/>
      <c r="C446" s="29" t="inlineStr">
        <is>
          <t>r04</t>
        </is>
      </c>
      <c r="D446" s="191" t="n"/>
      <c r="E446" s="58" t="n"/>
      <c r="F446" s="192" t="n"/>
      <c r="G446" s="192" t="n"/>
      <c r="H446" s="192" t="n"/>
      <c r="I446" s="64" t="n"/>
      <c r="J446" s="64" t="n"/>
      <c r="K446" s="193" t="n"/>
      <c r="L446" s="357" t="n"/>
      <c r="M446" s="357" t="n"/>
      <c r="N446" s="58" t="n"/>
      <c r="O446" s="30" t="n"/>
      <c r="P446" s="58" t="n"/>
      <c r="Q446" s="30" t="n"/>
      <c r="R446" s="135" t="n"/>
      <c r="S446" s="301" t="n"/>
      <c r="T446" s="294" t="n"/>
      <c r="U446" s="29" t="inlineStr">
        <is>
          <t>r04</t>
        </is>
      </c>
      <c r="V446" s="191" t="n"/>
      <c r="W446" s="58" t="n"/>
      <c r="X446" s="192" t="n"/>
      <c r="Y446" s="192" t="n"/>
      <c r="Z446" s="192" t="n"/>
      <c r="AA446" s="64" t="n"/>
      <c r="AB446" s="64" t="n"/>
      <c r="AC446" s="193" t="n"/>
      <c r="AD446" s="357" t="n"/>
      <c r="AE446" s="357" t="n"/>
      <c r="AF446" s="58" t="n"/>
      <c r="AG446" s="30" t="n"/>
      <c r="AH446" s="58" t="n"/>
      <c r="AI446" s="30" t="n"/>
      <c r="AJ446" s="135" t="n"/>
      <c r="AK446" s="212" t="n"/>
      <c r="AL446" s="294" t="n"/>
      <c r="AM446" s="89">
        <f>IF(OR(X446="",F446=""),"",X446-F446)</f>
        <v/>
      </c>
      <c r="AN446" s="124">
        <f>IF(OR(Y446="",G446=""),"",Y446-G446)</f>
        <v/>
      </c>
      <c r="AO446" s="124">
        <f>IF(OR(Z446="",H446=""),"",Z446-H446)</f>
        <v/>
      </c>
      <c r="AP446" s="124">
        <f>IF(OR(AA446="",I446=""),"",AA446-I446)</f>
        <v/>
      </c>
      <c r="AQ446" s="90">
        <f>IF(OR(AB446="",J446=""),"",AB446-J446)</f>
        <v/>
      </c>
      <c r="AR446" s="39" t="n"/>
      <c r="AS446" s="332" t="n"/>
      <c r="AT446" s="39" t="n"/>
    </row>
    <row r="447" ht="13.5" customHeight="1" s="279" thickBot="1">
      <c r="B447" s="295" t="n"/>
      <c r="C447" s="29" t="n"/>
      <c r="D447" s="191" t="n"/>
      <c r="E447" s="58" t="n"/>
      <c r="F447" s="194" t="n"/>
      <c r="G447" s="194" t="n"/>
      <c r="H447" s="194" t="n"/>
      <c r="I447" s="58" t="n"/>
      <c r="J447" s="58" t="n"/>
      <c r="K447" s="193" t="n"/>
      <c r="L447" s="357" t="n"/>
      <c r="M447" s="357" t="n"/>
      <c r="N447" s="58" t="n"/>
      <c r="O447" s="30" t="n"/>
      <c r="P447" s="58" t="n"/>
      <c r="Q447" s="30" t="n"/>
      <c r="R447" s="189" t="n"/>
      <c r="S447" s="301" t="n"/>
      <c r="T447" s="295" t="n"/>
      <c r="U447" s="29" t="n"/>
      <c r="V447" s="191" t="n"/>
      <c r="W447" s="58" t="n"/>
      <c r="X447" s="194" t="n"/>
      <c r="Y447" s="194" t="n"/>
      <c r="Z447" s="194" t="n"/>
      <c r="AA447" s="58" t="n"/>
      <c r="AB447" s="58" t="n"/>
      <c r="AC447" s="193" t="n"/>
      <c r="AD447" s="357" t="n"/>
      <c r="AE447" s="357" t="n"/>
      <c r="AF447" s="58" t="n"/>
      <c r="AG447" s="30" t="n"/>
      <c r="AH447" s="58" t="n"/>
      <c r="AI447" s="30" t="n"/>
      <c r="AJ447" s="189" t="n"/>
      <c r="AK447" s="212" t="n"/>
      <c r="AL447" s="295" t="n"/>
      <c r="AM447" s="125">
        <f>IF(OR(X447="",F447=""),"",X447-F447)</f>
        <v/>
      </c>
      <c r="AN447" s="126">
        <f>IF(OR(Y447="",G447=""),"",Y447-G447)</f>
        <v/>
      </c>
      <c r="AO447" s="126">
        <f>IF(OR(Z447="",H447=""),"",Z447-H447)</f>
        <v/>
      </c>
      <c r="AP447" s="126">
        <f>IF(OR(AA447="",I447=""),"",AA447-I447)</f>
        <v/>
      </c>
      <c r="AQ447" s="127">
        <f>IF(OR(AB447="",J447=""),"",AB447-J447)</f>
        <v/>
      </c>
      <c r="AR447" s="39" t="n"/>
      <c r="AS447" s="332" t="n"/>
      <c r="AT447" s="39" t="n"/>
    </row>
    <row r="448" ht="13.5" customHeight="1" s="279">
      <c r="B448" s="293" t="inlineStr">
        <is>
          <t>v83</t>
        </is>
      </c>
      <c r="C448" s="27" t="inlineStr">
        <is>
          <t>r01</t>
        </is>
      </c>
      <c r="D448" s="41" t="n"/>
      <c r="E448" s="57" t="n"/>
      <c r="F448" s="99" t="n"/>
      <c r="G448" s="99" t="n"/>
      <c r="H448" s="99" t="n"/>
      <c r="I448" s="62" t="n"/>
      <c r="J448" s="62" t="n"/>
      <c r="K448" s="63" t="n"/>
      <c r="L448" s="356" t="n"/>
      <c r="M448" s="356" t="n"/>
      <c r="N448" s="57" t="n"/>
      <c r="O448" s="28" t="n"/>
      <c r="P448" s="57" t="n"/>
      <c r="Q448" s="28" t="n"/>
      <c r="R448" s="134" t="n"/>
      <c r="S448" s="301" t="n"/>
      <c r="T448" s="293" t="inlineStr">
        <is>
          <t>v83</t>
        </is>
      </c>
      <c r="U448" s="27" t="inlineStr">
        <is>
          <t>r01</t>
        </is>
      </c>
      <c r="V448" s="41" t="n"/>
      <c r="W448" s="57" t="n"/>
      <c r="X448" s="99" t="n"/>
      <c r="Y448" s="99" t="n"/>
      <c r="Z448" s="99" t="n"/>
      <c r="AA448" s="62" t="n"/>
      <c r="AB448" s="62" t="n"/>
      <c r="AC448" s="63" t="n"/>
      <c r="AD448" s="356" t="n"/>
      <c r="AE448" s="356" t="n"/>
      <c r="AF448" s="57" t="n"/>
      <c r="AG448" s="28" t="n"/>
      <c r="AH448" s="57" t="n"/>
      <c r="AI448" s="28" t="n"/>
      <c r="AJ448" s="134" t="n"/>
      <c r="AK448" s="212" t="n"/>
      <c r="AL448" s="293" t="inlineStr">
        <is>
          <t>v83</t>
        </is>
      </c>
      <c r="AM448" s="122">
        <f>IF(OR(X448="",F448=""),"",X448-F448)</f>
        <v/>
      </c>
      <c r="AN448" s="98">
        <f>IF(OR(Y448="",G448=""),"",Y448-G448)</f>
        <v/>
      </c>
      <c r="AO448" s="98">
        <f>IF(OR(Z448="",H448=""),"",Z448-H448)</f>
        <v/>
      </c>
      <c r="AP448" s="98">
        <f>IF(OR(AA448="",I448=""),"",AA448-I448)</f>
        <v/>
      </c>
      <c r="AQ448" s="123">
        <f>IF(OR(AB448="",J448=""),"",AB448-J448)</f>
        <v/>
      </c>
      <c r="AR448" s="39" t="n"/>
      <c r="AS448" s="332" t="n"/>
      <c r="AT448" s="39" t="n"/>
    </row>
    <row r="449" ht="13.5" customHeight="1" s="279">
      <c r="B449" s="294" t="n"/>
      <c r="C449" s="29" t="inlineStr">
        <is>
          <t>r02</t>
        </is>
      </c>
      <c r="D449" s="191" t="n"/>
      <c r="E449" s="58" t="n"/>
      <c r="F449" s="192" t="n"/>
      <c r="G449" s="192" t="n"/>
      <c r="H449" s="192" t="n"/>
      <c r="I449" s="64" t="n"/>
      <c r="J449" s="64" t="n"/>
      <c r="K449" s="193" t="n"/>
      <c r="L449" s="357" t="n"/>
      <c r="M449" s="357" t="n"/>
      <c r="N449" s="58" t="n"/>
      <c r="O449" s="30" t="n"/>
      <c r="P449" s="58" t="n"/>
      <c r="Q449" s="30" t="n"/>
      <c r="R449" s="135" t="n"/>
      <c r="S449" s="301" t="n"/>
      <c r="T449" s="294" t="n"/>
      <c r="U449" s="29" t="inlineStr">
        <is>
          <t>r02</t>
        </is>
      </c>
      <c r="V449" s="191" t="n"/>
      <c r="W449" s="58" t="n"/>
      <c r="X449" s="192" t="n"/>
      <c r="Y449" s="192" t="n"/>
      <c r="Z449" s="192" t="n"/>
      <c r="AA449" s="64" t="n"/>
      <c r="AB449" s="64" t="n"/>
      <c r="AC449" s="193" t="n"/>
      <c r="AD449" s="357" t="n"/>
      <c r="AE449" s="357" t="n"/>
      <c r="AF449" s="58" t="n"/>
      <c r="AG449" s="30" t="n"/>
      <c r="AH449" s="58" t="n"/>
      <c r="AI449" s="30" t="n"/>
      <c r="AJ449" s="135" t="n"/>
      <c r="AK449" s="212" t="n"/>
      <c r="AL449" s="294" t="n"/>
      <c r="AM449" s="89">
        <f>IF(OR(X449="",F449=""),"",X449-F449)</f>
        <v/>
      </c>
      <c r="AN449" s="124">
        <f>IF(OR(Y449="",G449=""),"",Y449-G449)</f>
        <v/>
      </c>
      <c r="AO449" s="124">
        <f>IF(OR(Z449="",H449=""),"",Z449-H449)</f>
        <v/>
      </c>
      <c r="AP449" s="124">
        <f>IF(OR(AA449="",I449=""),"",AA449-I449)</f>
        <v/>
      </c>
      <c r="AQ449" s="90">
        <f>IF(OR(AB449="",J449=""),"",AB449-J449)</f>
        <v/>
      </c>
      <c r="AR449" s="39" t="n"/>
      <c r="AS449" s="332" t="n"/>
      <c r="AT449" s="39" t="n"/>
    </row>
    <row r="450" ht="13.5" customHeight="1" s="279">
      <c r="B450" s="294" t="n"/>
      <c r="C450" s="29" t="inlineStr">
        <is>
          <t>r03</t>
        </is>
      </c>
      <c r="D450" s="191" t="n"/>
      <c r="E450" s="58" t="n"/>
      <c r="F450" s="192" t="n"/>
      <c r="G450" s="192" t="n"/>
      <c r="H450" s="192" t="n"/>
      <c r="I450" s="64" t="n"/>
      <c r="J450" s="64" t="n"/>
      <c r="K450" s="193" t="n"/>
      <c r="L450" s="357" t="n"/>
      <c r="M450" s="357" t="n"/>
      <c r="N450" s="58" t="n"/>
      <c r="O450" s="30" t="n"/>
      <c r="P450" s="58" t="n"/>
      <c r="Q450" s="30" t="n"/>
      <c r="R450" s="135" t="n"/>
      <c r="S450" s="301" t="n"/>
      <c r="T450" s="294" t="n"/>
      <c r="U450" s="29" t="inlineStr">
        <is>
          <t>r03</t>
        </is>
      </c>
      <c r="V450" s="191" t="n"/>
      <c r="W450" s="58" t="n"/>
      <c r="X450" s="192" t="n"/>
      <c r="Y450" s="192" t="n"/>
      <c r="Z450" s="192" t="n"/>
      <c r="AA450" s="64" t="n"/>
      <c r="AB450" s="64" t="n"/>
      <c r="AC450" s="193" t="n"/>
      <c r="AD450" s="357" t="n"/>
      <c r="AE450" s="357" t="n"/>
      <c r="AF450" s="58" t="n"/>
      <c r="AG450" s="30" t="n"/>
      <c r="AH450" s="58" t="n"/>
      <c r="AI450" s="30" t="n"/>
      <c r="AJ450" s="135" t="n"/>
      <c r="AK450" s="212" t="n"/>
      <c r="AL450" s="294" t="n"/>
      <c r="AM450" s="89">
        <f>IF(OR(X450="",F450=""),"",X450-F450)</f>
        <v/>
      </c>
      <c r="AN450" s="124">
        <f>IF(OR(Y450="",G450=""),"",Y450-G450)</f>
        <v/>
      </c>
      <c r="AO450" s="124">
        <f>IF(OR(Z450="",H450=""),"",Z450-H450)</f>
        <v/>
      </c>
      <c r="AP450" s="124">
        <f>IF(OR(AA450="",I450=""),"",AA450-I450)</f>
        <v/>
      </c>
      <c r="AQ450" s="90">
        <f>IF(OR(AB450="",J450=""),"",AB450-J450)</f>
        <v/>
      </c>
      <c r="AR450" s="39" t="n"/>
      <c r="AS450" s="332" t="n"/>
      <c r="AT450" s="39" t="n"/>
    </row>
    <row r="451" ht="13.5" customHeight="1" s="279">
      <c r="B451" s="294" t="n"/>
      <c r="C451" s="29" t="inlineStr">
        <is>
          <t>r04</t>
        </is>
      </c>
      <c r="D451" s="191" t="n"/>
      <c r="E451" s="58" t="n"/>
      <c r="F451" s="192" t="n"/>
      <c r="G451" s="192" t="n"/>
      <c r="H451" s="192" t="n"/>
      <c r="I451" s="64" t="n"/>
      <c r="J451" s="64" t="n"/>
      <c r="K451" s="193" t="n"/>
      <c r="L451" s="357" t="n"/>
      <c r="M451" s="357" t="n"/>
      <c r="N451" s="58" t="n"/>
      <c r="O451" s="30" t="n"/>
      <c r="P451" s="58" t="n"/>
      <c r="Q451" s="30" t="n"/>
      <c r="R451" s="135" t="n"/>
      <c r="S451" s="301" t="n"/>
      <c r="T451" s="294" t="n"/>
      <c r="U451" s="29" t="inlineStr">
        <is>
          <t>r04</t>
        </is>
      </c>
      <c r="V451" s="191" t="n"/>
      <c r="W451" s="58" t="n"/>
      <c r="X451" s="192" t="n"/>
      <c r="Y451" s="192" t="n"/>
      <c r="Z451" s="192" t="n"/>
      <c r="AA451" s="64" t="n"/>
      <c r="AB451" s="64" t="n"/>
      <c r="AC451" s="193" t="n"/>
      <c r="AD451" s="357" t="n"/>
      <c r="AE451" s="357" t="n"/>
      <c r="AF451" s="58" t="n"/>
      <c r="AG451" s="30" t="n"/>
      <c r="AH451" s="58" t="n"/>
      <c r="AI451" s="30" t="n"/>
      <c r="AJ451" s="135" t="n"/>
      <c r="AK451" s="212" t="n"/>
      <c r="AL451" s="294" t="n"/>
      <c r="AM451" s="89">
        <f>IF(OR(X451="",F451=""),"",X451-F451)</f>
        <v/>
      </c>
      <c r="AN451" s="124">
        <f>IF(OR(Y451="",G451=""),"",Y451-G451)</f>
        <v/>
      </c>
      <c r="AO451" s="124">
        <f>IF(OR(Z451="",H451=""),"",Z451-H451)</f>
        <v/>
      </c>
      <c r="AP451" s="124">
        <f>IF(OR(AA451="",I451=""),"",AA451-I451)</f>
        <v/>
      </c>
      <c r="AQ451" s="90">
        <f>IF(OR(AB451="",J451=""),"",AB451-J451)</f>
        <v/>
      </c>
      <c r="AR451" s="39" t="n"/>
      <c r="AS451" s="332" t="n"/>
      <c r="AT451" s="39" t="n"/>
    </row>
    <row r="452" ht="13.5" customHeight="1" s="279" thickBot="1">
      <c r="B452" s="295" t="n"/>
      <c r="C452" s="29" t="n"/>
      <c r="D452" s="191" t="n"/>
      <c r="E452" s="58" t="n"/>
      <c r="F452" s="194" t="n"/>
      <c r="G452" s="194" t="n"/>
      <c r="H452" s="194" t="n"/>
      <c r="I452" s="58" t="n"/>
      <c r="J452" s="58" t="n"/>
      <c r="K452" s="193" t="n"/>
      <c r="L452" s="357" t="n"/>
      <c r="M452" s="357" t="n"/>
      <c r="N452" s="58" t="n"/>
      <c r="O452" s="30" t="n"/>
      <c r="P452" s="58" t="n"/>
      <c r="Q452" s="30" t="n"/>
      <c r="R452" s="189" t="n"/>
      <c r="S452" s="301" t="n"/>
      <c r="T452" s="295" t="n"/>
      <c r="U452" s="29" t="n"/>
      <c r="V452" s="191" t="n"/>
      <c r="W452" s="58" t="n"/>
      <c r="X452" s="194" t="n"/>
      <c r="Y452" s="194" t="n"/>
      <c r="Z452" s="194" t="n"/>
      <c r="AA452" s="58" t="n"/>
      <c r="AB452" s="58" t="n"/>
      <c r="AC452" s="193" t="n"/>
      <c r="AD452" s="357" t="n"/>
      <c r="AE452" s="357" t="n"/>
      <c r="AF452" s="58" t="n"/>
      <c r="AG452" s="30" t="n"/>
      <c r="AH452" s="58" t="n"/>
      <c r="AI452" s="30" t="n"/>
      <c r="AJ452" s="189" t="n"/>
      <c r="AK452" s="212" t="n"/>
      <c r="AL452" s="295" t="n"/>
      <c r="AM452" s="125">
        <f>IF(OR(X452="",F452=""),"",X452-F452)</f>
        <v/>
      </c>
      <c r="AN452" s="126">
        <f>IF(OR(Y452="",G452=""),"",Y452-G452)</f>
        <v/>
      </c>
      <c r="AO452" s="126">
        <f>IF(OR(Z452="",H452=""),"",Z452-H452)</f>
        <v/>
      </c>
      <c r="AP452" s="126">
        <f>IF(OR(AA452="",I452=""),"",AA452-I452)</f>
        <v/>
      </c>
      <c r="AQ452" s="127">
        <f>IF(OR(AB452="",J452=""),"",AB452-J452)</f>
        <v/>
      </c>
      <c r="AR452" s="39" t="n"/>
      <c r="AS452" s="332" t="n"/>
      <c r="AT452" s="39" t="n"/>
    </row>
    <row r="453" ht="13.5" customHeight="1" s="279">
      <c r="B453" s="293" t="inlineStr">
        <is>
          <t>v84</t>
        </is>
      </c>
      <c r="C453" s="27" t="inlineStr">
        <is>
          <t>r01</t>
        </is>
      </c>
      <c r="D453" s="41" t="n"/>
      <c r="E453" s="57" t="n"/>
      <c r="F453" s="99" t="n"/>
      <c r="G453" s="99" t="n"/>
      <c r="H453" s="99" t="n"/>
      <c r="I453" s="62" t="n"/>
      <c r="J453" s="62" t="n"/>
      <c r="K453" s="63" t="n"/>
      <c r="L453" s="356" t="n"/>
      <c r="M453" s="356" t="n"/>
      <c r="N453" s="57" t="n"/>
      <c r="O453" s="28" t="n"/>
      <c r="P453" s="57" t="n"/>
      <c r="Q453" s="28" t="n"/>
      <c r="R453" s="134" t="n"/>
      <c r="S453" s="301" t="n"/>
      <c r="T453" s="293" t="inlineStr">
        <is>
          <t>v84</t>
        </is>
      </c>
      <c r="U453" s="27" t="inlineStr">
        <is>
          <t>r01</t>
        </is>
      </c>
      <c r="V453" s="41" t="n"/>
      <c r="W453" s="57" t="n"/>
      <c r="X453" s="99" t="n"/>
      <c r="Y453" s="99" t="n"/>
      <c r="Z453" s="99" t="n"/>
      <c r="AA453" s="62" t="n"/>
      <c r="AB453" s="62" t="n"/>
      <c r="AC453" s="63" t="n"/>
      <c r="AD453" s="356" t="n"/>
      <c r="AE453" s="356" t="n"/>
      <c r="AF453" s="57" t="n"/>
      <c r="AG453" s="28" t="n"/>
      <c r="AH453" s="57" t="n"/>
      <c r="AI453" s="28" t="n"/>
      <c r="AJ453" s="134" t="n"/>
      <c r="AK453" s="212" t="n"/>
      <c r="AL453" s="293" t="inlineStr">
        <is>
          <t>v84</t>
        </is>
      </c>
      <c r="AM453" s="122">
        <f>IF(OR(X453="",F453=""),"",X453-F453)</f>
        <v/>
      </c>
      <c r="AN453" s="98">
        <f>IF(OR(Y453="",G453=""),"",Y453-G453)</f>
        <v/>
      </c>
      <c r="AO453" s="98">
        <f>IF(OR(Z453="",H453=""),"",Z453-H453)</f>
        <v/>
      </c>
      <c r="AP453" s="98">
        <f>IF(OR(AA453="",I453=""),"",AA453-I453)</f>
        <v/>
      </c>
      <c r="AQ453" s="123">
        <f>IF(OR(AB453="",J453=""),"",AB453-J453)</f>
        <v/>
      </c>
      <c r="AR453" s="39" t="n"/>
      <c r="AS453" s="332" t="n"/>
      <c r="AT453" s="39" t="n"/>
    </row>
    <row r="454" ht="13.5" customHeight="1" s="279">
      <c r="B454" s="294" t="n"/>
      <c r="C454" s="29" t="inlineStr">
        <is>
          <t>r02</t>
        </is>
      </c>
      <c r="D454" s="191" t="n"/>
      <c r="E454" s="58" t="n"/>
      <c r="F454" s="192" t="n"/>
      <c r="G454" s="192" t="n"/>
      <c r="H454" s="192" t="n"/>
      <c r="I454" s="64" t="n"/>
      <c r="J454" s="64" t="n"/>
      <c r="K454" s="193" t="n"/>
      <c r="L454" s="357" t="n"/>
      <c r="M454" s="357" t="n"/>
      <c r="N454" s="58" t="n"/>
      <c r="O454" s="30" t="n"/>
      <c r="P454" s="58" t="n"/>
      <c r="Q454" s="30" t="n"/>
      <c r="R454" s="135" t="n"/>
      <c r="S454" s="301" t="n"/>
      <c r="T454" s="294" t="n"/>
      <c r="U454" s="29" t="inlineStr">
        <is>
          <t>r02</t>
        </is>
      </c>
      <c r="V454" s="191" t="n"/>
      <c r="W454" s="58" t="n"/>
      <c r="X454" s="192" t="n"/>
      <c r="Y454" s="192" t="n"/>
      <c r="Z454" s="192" t="n"/>
      <c r="AA454" s="64" t="n"/>
      <c r="AB454" s="64" t="n"/>
      <c r="AC454" s="193" t="n"/>
      <c r="AD454" s="357" t="n"/>
      <c r="AE454" s="357" t="n"/>
      <c r="AF454" s="58" t="n"/>
      <c r="AG454" s="30" t="n"/>
      <c r="AH454" s="58" t="n"/>
      <c r="AI454" s="30" t="n"/>
      <c r="AJ454" s="135" t="n"/>
      <c r="AK454" s="212" t="n"/>
      <c r="AL454" s="294" t="n"/>
      <c r="AM454" s="89">
        <f>IF(OR(X454="",F454=""),"",X454-F454)</f>
        <v/>
      </c>
      <c r="AN454" s="124">
        <f>IF(OR(Y454="",G454=""),"",Y454-G454)</f>
        <v/>
      </c>
      <c r="AO454" s="124">
        <f>IF(OR(Z454="",H454=""),"",Z454-H454)</f>
        <v/>
      </c>
      <c r="AP454" s="124">
        <f>IF(OR(AA454="",I454=""),"",AA454-I454)</f>
        <v/>
      </c>
      <c r="AQ454" s="90">
        <f>IF(OR(AB454="",J454=""),"",AB454-J454)</f>
        <v/>
      </c>
      <c r="AR454" s="39" t="n"/>
      <c r="AS454" s="332" t="n"/>
      <c r="AT454" s="39" t="n"/>
    </row>
    <row r="455" ht="13.5" customHeight="1" s="279">
      <c r="B455" s="294" t="n"/>
      <c r="C455" s="29" t="inlineStr">
        <is>
          <t>r03</t>
        </is>
      </c>
      <c r="D455" s="191" t="n"/>
      <c r="E455" s="58" t="n"/>
      <c r="F455" s="192" t="n"/>
      <c r="G455" s="192" t="n"/>
      <c r="H455" s="192" t="n"/>
      <c r="I455" s="64" t="n"/>
      <c r="J455" s="64" t="n"/>
      <c r="K455" s="193" t="n"/>
      <c r="L455" s="357" t="n"/>
      <c r="M455" s="357" t="n"/>
      <c r="N455" s="58" t="n"/>
      <c r="O455" s="30" t="n"/>
      <c r="P455" s="58" t="n"/>
      <c r="Q455" s="30" t="n"/>
      <c r="R455" s="135" t="n"/>
      <c r="S455" s="301" t="n"/>
      <c r="T455" s="294" t="n"/>
      <c r="U455" s="29" t="inlineStr">
        <is>
          <t>r03</t>
        </is>
      </c>
      <c r="V455" s="191" t="n"/>
      <c r="W455" s="58" t="n"/>
      <c r="X455" s="192" t="n"/>
      <c r="Y455" s="192" t="n"/>
      <c r="Z455" s="192" t="n"/>
      <c r="AA455" s="64" t="n"/>
      <c r="AB455" s="64" t="n"/>
      <c r="AC455" s="193" t="n"/>
      <c r="AD455" s="357" t="n"/>
      <c r="AE455" s="357" t="n"/>
      <c r="AF455" s="58" t="n"/>
      <c r="AG455" s="30" t="n"/>
      <c r="AH455" s="58" t="n"/>
      <c r="AI455" s="30" t="n"/>
      <c r="AJ455" s="135" t="n"/>
      <c r="AK455" s="212" t="n"/>
      <c r="AL455" s="294" t="n"/>
      <c r="AM455" s="89">
        <f>IF(OR(X455="",F455=""),"",X455-F455)</f>
        <v/>
      </c>
      <c r="AN455" s="124">
        <f>IF(OR(Y455="",G455=""),"",Y455-G455)</f>
        <v/>
      </c>
      <c r="AO455" s="124">
        <f>IF(OR(Z455="",H455=""),"",Z455-H455)</f>
        <v/>
      </c>
      <c r="AP455" s="124">
        <f>IF(OR(AA455="",I455=""),"",AA455-I455)</f>
        <v/>
      </c>
      <c r="AQ455" s="90">
        <f>IF(OR(AB455="",J455=""),"",AB455-J455)</f>
        <v/>
      </c>
      <c r="AR455" s="39" t="n"/>
      <c r="AS455" s="332" t="n"/>
      <c r="AT455" s="39" t="n"/>
    </row>
    <row r="456" ht="13.5" customHeight="1" s="279">
      <c r="B456" s="294" t="n"/>
      <c r="C456" s="29" t="inlineStr">
        <is>
          <t>r04</t>
        </is>
      </c>
      <c r="D456" s="191" t="n"/>
      <c r="E456" s="58" t="n"/>
      <c r="F456" s="192" t="n"/>
      <c r="G456" s="192" t="n"/>
      <c r="H456" s="192" t="n"/>
      <c r="I456" s="64" t="n"/>
      <c r="J456" s="64" t="n"/>
      <c r="K456" s="193" t="n"/>
      <c r="L456" s="357" t="n"/>
      <c r="M456" s="357" t="n"/>
      <c r="N456" s="58" t="n"/>
      <c r="O456" s="30" t="n"/>
      <c r="P456" s="58" t="n"/>
      <c r="Q456" s="30" t="n"/>
      <c r="R456" s="135" t="n"/>
      <c r="S456" s="301" t="n"/>
      <c r="T456" s="294" t="n"/>
      <c r="U456" s="29" t="inlineStr">
        <is>
          <t>r04</t>
        </is>
      </c>
      <c r="V456" s="191" t="n"/>
      <c r="W456" s="58" t="n"/>
      <c r="X456" s="192" t="n"/>
      <c r="Y456" s="192" t="n"/>
      <c r="Z456" s="192" t="n"/>
      <c r="AA456" s="64" t="n"/>
      <c r="AB456" s="64" t="n"/>
      <c r="AC456" s="193" t="n"/>
      <c r="AD456" s="357" t="n"/>
      <c r="AE456" s="357" t="n"/>
      <c r="AF456" s="58" t="n"/>
      <c r="AG456" s="30" t="n"/>
      <c r="AH456" s="58" t="n"/>
      <c r="AI456" s="30" t="n"/>
      <c r="AJ456" s="135" t="n"/>
      <c r="AK456" s="212" t="n"/>
      <c r="AL456" s="294" t="n"/>
      <c r="AM456" s="89">
        <f>IF(OR(X456="",F456=""),"",X456-F456)</f>
        <v/>
      </c>
      <c r="AN456" s="124">
        <f>IF(OR(Y456="",G456=""),"",Y456-G456)</f>
        <v/>
      </c>
      <c r="AO456" s="124">
        <f>IF(OR(Z456="",H456=""),"",Z456-H456)</f>
        <v/>
      </c>
      <c r="AP456" s="124">
        <f>IF(OR(AA456="",I456=""),"",AA456-I456)</f>
        <v/>
      </c>
      <c r="AQ456" s="90">
        <f>IF(OR(AB456="",J456=""),"",AB456-J456)</f>
        <v/>
      </c>
      <c r="AR456" s="39" t="n"/>
      <c r="AS456" s="332" t="n"/>
      <c r="AT456" s="39" t="n"/>
    </row>
    <row r="457" ht="13.5" customHeight="1" s="279" thickBot="1">
      <c r="B457" s="295" t="n"/>
      <c r="C457" s="29" t="n"/>
      <c r="D457" s="191" t="n"/>
      <c r="E457" s="58" t="n"/>
      <c r="F457" s="194" t="n"/>
      <c r="G457" s="194" t="n"/>
      <c r="H457" s="194" t="n"/>
      <c r="I457" s="58" t="n"/>
      <c r="J457" s="58" t="n"/>
      <c r="K457" s="193" t="n"/>
      <c r="L457" s="357" t="n"/>
      <c r="M457" s="357" t="n"/>
      <c r="N457" s="58" t="n"/>
      <c r="O457" s="30" t="n"/>
      <c r="P457" s="58" t="n"/>
      <c r="Q457" s="30" t="n"/>
      <c r="R457" s="189" t="n"/>
      <c r="S457" s="301" t="n"/>
      <c r="T457" s="295" t="n"/>
      <c r="U457" s="29" t="n"/>
      <c r="V457" s="191" t="n"/>
      <c r="W457" s="58" t="n"/>
      <c r="X457" s="194" t="n"/>
      <c r="Y457" s="194" t="n"/>
      <c r="Z457" s="194" t="n"/>
      <c r="AA457" s="58" t="n"/>
      <c r="AB457" s="58" t="n"/>
      <c r="AC457" s="193" t="n"/>
      <c r="AD457" s="357" t="n"/>
      <c r="AE457" s="357" t="n"/>
      <c r="AF457" s="58" t="n"/>
      <c r="AG457" s="30" t="n"/>
      <c r="AH457" s="58" t="n"/>
      <c r="AI457" s="30" t="n"/>
      <c r="AJ457" s="189" t="n"/>
      <c r="AK457" s="212" t="n"/>
      <c r="AL457" s="295" t="n"/>
      <c r="AM457" s="125">
        <f>IF(OR(X457="",F457=""),"",X457-F457)</f>
        <v/>
      </c>
      <c r="AN457" s="126">
        <f>IF(OR(Y457="",G457=""),"",Y457-G457)</f>
        <v/>
      </c>
      <c r="AO457" s="126">
        <f>IF(OR(Z457="",H457=""),"",Z457-H457)</f>
        <v/>
      </c>
      <c r="AP457" s="126">
        <f>IF(OR(AA457="",I457=""),"",AA457-I457)</f>
        <v/>
      </c>
      <c r="AQ457" s="127">
        <f>IF(OR(AB457="",J457=""),"",AB457-J457)</f>
        <v/>
      </c>
      <c r="AR457" s="39" t="n"/>
      <c r="AS457" s="332" t="n"/>
      <c r="AT457" s="39" t="n"/>
    </row>
    <row r="458" ht="13.5" customHeight="1" s="279">
      <c r="B458" s="293" t="inlineStr">
        <is>
          <t>v85</t>
        </is>
      </c>
      <c r="C458" s="27" t="inlineStr">
        <is>
          <t>r01</t>
        </is>
      </c>
      <c r="D458" s="41" t="n"/>
      <c r="E458" s="57" t="n"/>
      <c r="F458" s="99" t="n"/>
      <c r="G458" s="99" t="n"/>
      <c r="H458" s="99" t="n"/>
      <c r="I458" s="62" t="n"/>
      <c r="J458" s="62" t="n"/>
      <c r="K458" s="63" t="n"/>
      <c r="L458" s="356" t="n"/>
      <c r="M458" s="356" t="n"/>
      <c r="N458" s="57" t="n"/>
      <c r="O458" s="28" t="n"/>
      <c r="P458" s="57" t="n"/>
      <c r="Q458" s="28" t="n"/>
      <c r="R458" s="134" t="n"/>
      <c r="S458" s="301" t="n"/>
      <c r="T458" s="293" t="inlineStr">
        <is>
          <t>v85</t>
        </is>
      </c>
      <c r="U458" s="27" t="inlineStr">
        <is>
          <t>r01</t>
        </is>
      </c>
      <c r="V458" s="41" t="n"/>
      <c r="W458" s="57" t="n"/>
      <c r="X458" s="99" t="n"/>
      <c r="Y458" s="99" t="n"/>
      <c r="Z458" s="99" t="n"/>
      <c r="AA458" s="62" t="n"/>
      <c r="AB458" s="62" t="n"/>
      <c r="AC458" s="63" t="n"/>
      <c r="AD458" s="356" t="n"/>
      <c r="AE458" s="356" t="n"/>
      <c r="AF458" s="57" t="n"/>
      <c r="AG458" s="28" t="n"/>
      <c r="AH458" s="57" t="n"/>
      <c r="AI458" s="28" t="n"/>
      <c r="AJ458" s="134" t="n"/>
      <c r="AK458" s="212" t="n"/>
      <c r="AL458" s="293" t="inlineStr">
        <is>
          <t>v85</t>
        </is>
      </c>
      <c r="AM458" s="122">
        <f>IF(OR(X458="",F458=""),"",X458-F458)</f>
        <v/>
      </c>
      <c r="AN458" s="98">
        <f>IF(OR(Y458="",G458=""),"",Y458-G458)</f>
        <v/>
      </c>
      <c r="AO458" s="98">
        <f>IF(OR(Z458="",H458=""),"",Z458-H458)</f>
        <v/>
      </c>
      <c r="AP458" s="98">
        <f>IF(OR(AA458="",I458=""),"",AA458-I458)</f>
        <v/>
      </c>
      <c r="AQ458" s="123">
        <f>IF(OR(AB458="",J458=""),"",AB458-J458)</f>
        <v/>
      </c>
      <c r="AR458" s="39" t="n"/>
      <c r="AS458" s="332" t="n"/>
      <c r="AT458" s="39" t="n"/>
    </row>
    <row r="459" ht="13.5" customHeight="1" s="279">
      <c r="B459" s="294" t="n"/>
      <c r="C459" s="29" t="inlineStr">
        <is>
          <t>r02</t>
        </is>
      </c>
      <c r="D459" s="191" t="n"/>
      <c r="E459" s="58" t="n"/>
      <c r="F459" s="192" t="n"/>
      <c r="G459" s="192" t="n"/>
      <c r="H459" s="192" t="n"/>
      <c r="I459" s="64" t="n"/>
      <c r="J459" s="64" t="n"/>
      <c r="K459" s="193" t="n"/>
      <c r="L459" s="357" t="n"/>
      <c r="M459" s="357" t="n"/>
      <c r="N459" s="58" t="n"/>
      <c r="O459" s="30" t="n"/>
      <c r="P459" s="58" t="n"/>
      <c r="Q459" s="30" t="n"/>
      <c r="R459" s="135" t="n"/>
      <c r="S459" s="301" t="n"/>
      <c r="T459" s="294" t="n"/>
      <c r="U459" s="29" t="inlineStr">
        <is>
          <t>r02</t>
        </is>
      </c>
      <c r="V459" s="191" t="n"/>
      <c r="W459" s="58" t="n"/>
      <c r="X459" s="192" t="n"/>
      <c r="Y459" s="192" t="n"/>
      <c r="Z459" s="192" t="n"/>
      <c r="AA459" s="64" t="n"/>
      <c r="AB459" s="64" t="n"/>
      <c r="AC459" s="193" t="n"/>
      <c r="AD459" s="357" t="n"/>
      <c r="AE459" s="357" t="n"/>
      <c r="AF459" s="58" t="n"/>
      <c r="AG459" s="30" t="n"/>
      <c r="AH459" s="58" t="n"/>
      <c r="AI459" s="30" t="n"/>
      <c r="AJ459" s="135" t="n"/>
      <c r="AK459" s="212" t="n"/>
      <c r="AL459" s="294" t="n"/>
      <c r="AM459" s="89">
        <f>IF(OR(X459="",F459=""),"",X459-F459)</f>
        <v/>
      </c>
      <c r="AN459" s="124">
        <f>IF(OR(Y459="",G459=""),"",Y459-G459)</f>
        <v/>
      </c>
      <c r="AO459" s="124">
        <f>IF(OR(Z459="",H459=""),"",Z459-H459)</f>
        <v/>
      </c>
      <c r="AP459" s="124">
        <f>IF(OR(AA459="",I459=""),"",AA459-I459)</f>
        <v/>
      </c>
      <c r="AQ459" s="90">
        <f>IF(OR(AB459="",J459=""),"",AB459-J459)</f>
        <v/>
      </c>
      <c r="AR459" s="39" t="n"/>
      <c r="AS459" s="332" t="n"/>
      <c r="AT459" s="39" t="n"/>
    </row>
    <row r="460" ht="13.5" customHeight="1" s="279">
      <c r="B460" s="294" t="n"/>
      <c r="C460" s="29" t="inlineStr">
        <is>
          <t>r03</t>
        </is>
      </c>
      <c r="D460" s="191" t="n"/>
      <c r="E460" s="58" t="n"/>
      <c r="F460" s="192" t="n"/>
      <c r="G460" s="192" t="n"/>
      <c r="H460" s="192" t="n"/>
      <c r="I460" s="64" t="n"/>
      <c r="J460" s="64" t="n"/>
      <c r="K460" s="193" t="n"/>
      <c r="L460" s="357" t="n"/>
      <c r="M460" s="357" t="n"/>
      <c r="N460" s="58" t="n"/>
      <c r="O460" s="30" t="n"/>
      <c r="P460" s="58" t="n"/>
      <c r="Q460" s="30" t="n"/>
      <c r="R460" s="135" t="n"/>
      <c r="S460" s="301" t="n"/>
      <c r="T460" s="294" t="n"/>
      <c r="U460" s="29" t="inlineStr">
        <is>
          <t>r03</t>
        </is>
      </c>
      <c r="V460" s="191" t="n"/>
      <c r="W460" s="58" t="n"/>
      <c r="X460" s="192" t="n"/>
      <c r="Y460" s="192" t="n"/>
      <c r="Z460" s="192" t="n"/>
      <c r="AA460" s="64" t="n"/>
      <c r="AB460" s="64" t="n"/>
      <c r="AC460" s="193" t="n"/>
      <c r="AD460" s="357" t="n"/>
      <c r="AE460" s="357" t="n"/>
      <c r="AF460" s="58" t="n"/>
      <c r="AG460" s="30" t="n"/>
      <c r="AH460" s="58" t="n"/>
      <c r="AI460" s="30" t="n"/>
      <c r="AJ460" s="135" t="n"/>
      <c r="AK460" s="212" t="n"/>
      <c r="AL460" s="294" t="n"/>
      <c r="AM460" s="89">
        <f>IF(OR(X460="",F460=""),"",X460-F460)</f>
        <v/>
      </c>
      <c r="AN460" s="124">
        <f>IF(OR(Y460="",G460=""),"",Y460-G460)</f>
        <v/>
      </c>
      <c r="AO460" s="124">
        <f>IF(OR(Z460="",H460=""),"",Z460-H460)</f>
        <v/>
      </c>
      <c r="AP460" s="124">
        <f>IF(OR(AA460="",I460=""),"",AA460-I460)</f>
        <v/>
      </c>
      <c r="AQ460" s="90">
        <f>IF(OR(AB460="",J460=""),"",AB460-J460)</f>
        <v/>
      </c>
      <c r="AR460" s="39" t="n"/>
      <c r="AS460" s="332" t="n"/>
      <c r="AT460" s="39" t="n"/>
    </row>
    <row r="461" ht="13.5" customHeight="1" s="279">
      <c r="B461" s="294" t="n"/>
      <c r="C461" s="29" t="inlineStr">
        <is>
          <t>r04</t>
        </is>
      </c>
      <c r="D461" s="191" t="n"/>
      <c r="E461" s="58" t="n"/>
      <c r="F461" s="192" t="n"/>
      <c r="G461" s="192" t="n"/>
      <c r="H461" s="192" t="n"/>
      <c r="I461" s="64" t="n"/>
      <c r="J461" s="64" t="n"/>
      <c r="K461" s="193" t="n"/>
      <c r="L461" s="357" t="n"/>
      <c r="M461" s="357" t="n"/>
      <c r="N461" s="58" t="n"/>
      <c r="O461" s="30" t="n"/>
      <c r="P461" s="58" t="n"/>
      <c r="Q461" s="30" t="n"/>
      <c r="R461" s="135" t="n"/>
      <c r="S461" s="301" t="n"/>
      <c r="T461" s="294" t="n"/>
      <c r="U461" s="29" t="inlineStr">
        <is>
          <t>r04</t>
        </is>
      </c>
      <c r="V461" s="191" t="n"/>
      <c r="W461" s="58" t="n"/>
      <c r="X461" s="192" t="n"/>
      <c r="Y461" s="192" t="n"/>
      <c r="Z461" s="192" t="n"/>
      <c r="AA461" s="64" t="n"/>
      <c r="AB461" s="64" t="n"/>
      <c r="AC461" s="193" t="n"/>
      <c r="AD461" s="357" t="n"/>
      <c r="AE461" s="357" t="n"/>
      <c r="AF461" s="58" t="n"/>
      <c r="AG461" s="30" t="n"/>
      <c r="AH461" s="58" t="n"/>
      <c r="AI461" s="30" t="n"/>
      <c r="AJ461" s="135" t="n"/>
      <c r="AK461" s="212" t="n"/>
      <c r="AL461" s="294" t="n"/>
      <c r="AM461" s="89">
        <f>IF(OR(X461="",F461=""),"",X461-F461)</f>
        <v/>
      </c>
      <c r="AN461" s="124">
        <f>IF(OR(Y461="",G461=""),"",Y461-G461)</f>
        <v/>
      </c>
      <c r="AO461" s="124">
        <f>IF(OR(Z461="",H461=""),"",Z461-H461)</f>
        <v/>
      </c>
      <c r="AP461" s="124">
        <f>IF(OR(AA461="",I461=""),"",AA461-I461)</f>
        <v/>
      </c>
      <c r="AQ461" s="90">
        <f>IF(OR(AB461="",J461=""),"",AB461-J461)</f>
        <v/>
      </c>
      <c r="AR461" s="39" t="n"/>
      <c r="AS461" s="332" t="n"/>
      <c r="AT461" s="39" t="n"/>
    </row>
    <row r="462" ht="13.5" customHeight="1" s="279" thickBot="1">
      <c r="B462" s="295" t="n"/>
      <c r="C462" s="29" t="n"/>
      <c r="D462" s="191" t="n"/>
      <c r="E462" s="58" t="n"/>
      <c r="F462" s="194" t="n"/>
      <c r="G462" s="194" t="n"/>
      <c r="H462" s="194" t="n"/>
      <c r="I462" s="58" t="n"/>
      <c r="J462" s="58" t="n"/>
      <c r="K462" s="193" t="n"/>
      <c r="L462" s="357" t="n"/>
      <c r="M462" s="357" t="n"/>
      <c r="N462" s="58" t="n"/>
      <c r="O462" s="30" t="n"/>
      <c r="P462" s="58" t="n"/>
      <c r="Q462" s="30" t="n"/>
      <c r="R462" s="189" t="n"/>
      <c r="S462" s="301" t="n"/>
      <c r="T462" s="295" t="n"/>
      <c r="U462" s="29" t="n"/>
      <c r="V462" s="191" t="n"/>
      <c r="W462" s="58" t="n"/>
      <c r="X462" s="194" t="n"/>
      <c r="Y462" s="194" t="n"/>
      <c r="Z462" s="194" t="n"/>
      <c r="AA462" s="58" t="n"/>
      <c r="AB462" s="58" t="n"/>
      <c r="AC462" s="193" t="n"/>
      <c r="AD462" s="357" t="n"/>
      <c r="AE462" s="357" t="n"/>
      <c r="AF462" s="58" t="n"/>
      <c r="AG462" s="30" t="n"/>
      <c r="AH462" s="58" t="n"/>
      <c r="AI462" s="30" t="n"/>
      <c r="AJ462" s="189" t="n"/>
      <c r="AK462" s="212" t="n"/>
      <c r="AL462" s="295" t="n"/>
      <c r="AM462" s="125">
        <f>IF(OR(X462="",F462=""),"",X462-F462)</f>
        <v/>
      </c>
      <c r="AN462" s="126">
        <f>IF(OR(Y462="",G462=""),"",Y462-G462)</f>
        <v/>
      </c>
      <c r="AO462" s="126">
        <f>IF(OR(Z462="",H462=""),"",Z462-H462)</f>
        <v/>
      </c>
      <c r="AP462" s="126">
        <f>IF(OR(AA462="",I462=""),"",AA462-I462)</f>
        <v/>
      </c>
      <c r="AQ462" s="127">
        <f>IF(OR(AB462="",J462=""),"",AB462-J462)</f>
        <v/>
      </c>
      <c r="AR462" s="39" t="n"/>
      <c r="AS462" s="332" t="n"/>
      <c r="AT462" s="39" t="n"/>
    </row>
    <row r="463" ht="13.5" customHeight="1" s="279">
      <c r="B463" s="293" t="inlineStr">
        <is>
          <t>v86</t>
        </is>
      </c>
      <c r="C463" s="27" t="inlineStr">
        <is>
          <t>r01</t>
        </is>
      </c>
      <c r="D463" s="41" t="n"/>
      <c r="E463" s="57" t="n"/>
      <c r="F463" s="99" t="n"/>
      <c r="G463" s="99" t="n"/>
      <c r="H463" s="99" t="n"/>
      <c r="I463" s="62" t="n"/>
      <c r="J463" s="62" t="n"/>
      <c r="K463" s="63" t="n"/>
      <c r="L463" s="356" t="n"/>
      <c r="M463" s="356" t="n"/>
      <c r="N463" s="57" t="n"/>
      <c r="O463" s="28" t="n"/>
      <c r="P463" s="57" t="n"/>
      <c r="Q463" s="28" t="n"/>
      <c r="R463" s="134" t="n"/>
      <c r="S463" s="301" t="n"/>
      <c r="T463" s="293" t="inlineStr">
        <is>
          <t>v86</t>
        </is>
      </c>
      <c r="U463" s="27" t="inlineStr">
        <is>
          <t>r01</t>
        </is>
      </c>
      <c r="V463" s="41" t="n"/>
      <c r="W463" s="57" t="n"/>
      <c r="X463" s="99" t="n"/>
      <c r="Y463" s="99" t="n"/>
      <c r="Z463" s="99" t="n"/>
      <c r="AA463" s="62" t="n"/>
      <c r="AB463" s="62" t="n"/>
      <c r="AC463" s="63" t="n"/>
      <c r="AD463" s="356" t="n"/>
      <c r="AE463" s="356" t="n"/>
      <c r="AF463" s="57" t="n"/>
      <c r="AG463" s="28" t="n"/>
      <c r="AH463" s="57" t="n"/>
      <c r="AI463" s="28" t="n"/>
      <c r="AJ463" s="134" t="n"/>
      <c r="AK463" s="212" t="n"/>
      <c r="AL463" s="293" t="inlineStr">
        <is>
          <t>v86</t>
        </is>
      </c>
      <c r="AM463" s="122">
        <f>IF(OR(X463="",F463=""),"",X463-F463)</f>
        <v/>
      </c>
      <c r="AN463" s="98">
        <f>IF(OR(Y463="",G463=""),"",Y463-G463)</f>
        <v/>
      </c>
      <c r="AO463" s="98">
        <f>IF(OR(Z463="",H463=""),"",Z463-H463)</f>
        <v/>
      </c>
      <c r="AP463" s="98">
        <f>IF(OR(AA463="",I463=""),"",AA463-I463)</f>
        <v/>
      </c>
      <c r="AQ463" s="123">
        <f>IF(OR(AB463="",J463=""),"",AB463-J463)</f>
        <v/>
      </c>
      <c r="AR463" s="39" t="n"/>
      <c r="AS463" s="332" t="n"/>
      <c r="AT463" s="39" t="n"/>
    </row>
    <row r="464" ht="13.5" customHeight="1" s="279">
      <c r="B464" s="294" t="n"/>
      <c r="C464" s="29" t="inlineStr">
        <is>
          <t>r02</t>
        </is>
      </c>
      <c r="D464" s="191" t="n"/>
      <c r="E464" s="58" t="n"/>
      <c r="F464" s="192" t="n"/>
      <c r="G464" s="192" t="n"/>
      <c r="H464" s="192" t="n"/>
      <c r="I464" s="64" t="n"/>
      <c r="J464" s="64" t="n"/>
      <c r="K464" s="193" t="n"/>
      <c r="L464" s="357" t="n"/>
      <c r="M464" s="357" t="n"/>
      <c r="N464" s="58" t="n"/>
      <c r="O464" s="30" t="n"/>
      <c r="P464" s="58" t="n"/>
      <c r="Q464" s="30" t="n"/>
      <c r="R464" s="135" t="n"/>
      <c r="S464" s="301" t="n"/>
      <c r="T464" s="294" t="n"/>
      <c r="U464" s="29" t="inlineStr">
        <is>
          <t>r02</t>
        </is>
      </c>
      <c r="V464" s="191" t="n"/>
      <c r="W464" s="58" t="n"/>
      <c r="X464" s="192" t="n"/>
      <c r="Y464" s="192" t="n"/>
      <c r="Z464" s="192" t="n"/>
      <c r="AA464" s="64" t="n"/>
      <c r="AB464" s="64" t="n"/>
      <c r="AC464" s="193" t="n"/>
      <c r="AD464" s="357" t="n"/>
      <c r="AE464" s="357" t="n"/>
      <c r="AF464" s="58" t="n"/>
      <c r="AG464" s="30" t="n"/>
      <c r="AH464" s="58" t="n"/>
      <c r="AI464" s="30" t="n"/>
      <c r="AJ464" s="135" t="n"/>
      <c r="AK464" s="212" t="n"/>
      <c r="AL464" s="294" t="n"/>
      <c r="AM464" s="89">
        <f>IF(OR(X464="",F464=""),"",X464-F464)</f>
        <v/>
      </c>
      <c r="AN464" s="124">
        <f>IF(OR(Y464="",G464=""),"",Y464-G464)</f>
        <v/>
      </c>
      <c r="AO464" s="124">
        <f>IF(OR(Z464="",H464=""),"",Z464-H464)</f>
        <v/>
      </c>
      <c r="AP464" s="124">
        <f>IF(OR(AA464="",I464=""),"",AA464-I464)</f>
        <v/>
      </c>
      <c r="AQ464" s="90">
        <f>IF(OR(AB464="",J464=""),"",AB464-J464)</f>
        <v/>
      </c>
      <c r="AR464" s="39" t="n"/>
      <c r="AS464" s="332" t="n"/>
      <c r="AT464" s="39" t="n"/>
    </row>
    <row r="465" ht="13.5" customHeight="1" s="279">
      <c r="B465" s="294" t="n"/>
      <c r="C465" s="29" t="inlineStr">
        <is>
          <t>r03</t>
        </is>
      </c>
      <c r="D465" s="191" t="n"/>
      <c r="E465" s="58" t="n"/>
      <c r="F465" s="192" t="n"/>
      <c r="G465" s="192" t="n"/>
      <c r="H465" s="192" t="n"/>
      <c r="I465" s="64" t="n"/>
      <c r="J465" s="64" t="n"/>
      <c r="K465" s="193" t="n"/>
      <c r="L465" s="357" t="n"/>
      <c r="M465" s="357" t="n"/>
      <c r="N465" s="58" t="n"/>
      <c r="O465" s="30" t="n"/>
      <c r="P465" s="58" t="n"/>
      <c r="Q465" s="30" t="n"/>
      <c r="R465" s="135" t="n"/>
      <c r="S465" s="301" t="n"/>
      <c r="T465" s="294" t="n"/>
      <c r="U465" s="29" t="inlineStr">
        <is>
          <t>r03</t>
        </is>
      </c>
      <c r="V465" s="191" t="n"/>
      <c r="W465" s="58" t="n"/>
      <c r="X465" s="192" t="n"/>
      <c r="Y465" s="192" t="n"/>
      <c r="Z465" s="192" t="n"/>
      <c r="AA465" s="64" t="n"/>
      <c r="AB465" s="64" t="n"/>
      <c r="AC465" s="193" t="n"/>
      <c r="AD465" s="357" t="n"/>
      <c r="AE465" s="357" t="n"/>
      <c r="AF465" s="58" t="n"/>
      <c r="AG465" s="30" t="n"/>
      <c r="AH465" s="58" t="n"/>
      <c r="AI465" s="30" t="n"/>
      <c r="AJ465" s="135" t="n"/>
      <c r="AK465" s="212" t="n"/>
      <c r="AL465" s="294" t="n"/>
      <c r="AM465" s="89">
        <f>IF(OR(X465="",F465=""),"",X465-F465)</f>
        <v/>
      </c>
      <c r="AN465" s="124">
        <f>IF(OR(Y465="",G465=""),"",Y465-G465)</f>
        <v/>
      </c>
      <c r="AO465" s="124">
        <f>IF(OR(Z465="",H465=""),"",Z465-H465)</f>
        <v/>
      </c>
      <c r="AP465" s="124">
        <f>IF(OR(AA465="",I465=""),"",AA465-I465)</f>
        <v/>
      </c>
      <c r="AQ465" s="90">
        <f>IF(OR(AB465="",J465=""),"",AB465-J465)</f>
        <v/>
      </c>
      <c r="AR465" s="39" t="n"/>
      <c r="AS465" s="332" t="n"/>
      <c r="AT465" s="39" t="n"/>
    </row>
    <row r="466" ht="13.5" customHeight="1" s="279">
      <c r="B466" s="294" t="n"/>
      <c r="C466" s="29" t="inlineStr">
        <is>
          <t>r04</t>
        </is>
      </c>
      <c r="D466" s="191" t="n"/>
      <c r="E466" s="58" t="n"/>
      <c r="F466" s="192" t="n"/>
      <c r="G466" s="192" t="n"/>
      <c r="H466" s="192" t="n"/>
      <c r="I466" s="64" t="n"/>
      <c r="J466" s="64" t="n"/>
      <c r="K466" s="193" t="n"/>
      <c r="L466" s="357" t="n"/>
      <c r="M466" s="357" t="n"/>
      <c r="N466" s="58" t="n"/>
      <c r="O466" s="30" t="n"/>
      <c r="P466" s="58" t="n"/>
      <c r="Q466" s="30" t="n"/>
      <c r="R466" s="135" t="n"/>
      <c r="S466" s="301" t="n"/>
      <c r="T466" s="294" t="n"/>
      <c r="U466" s="29" t="inlineStr">
        <is>
          <t>r04</t>
        </is>
      </c>
      <c r="V466" s="191" t="n"/>
      <c r="W466" s="58" t="n"/>
      <c r="X466" s="192" t="n"/>
      <c r="Y466" s="192" t="n"/>
      <c r="Z466" s="192" t="n"/>
      <c r="AA466" s="64" t="n"/>
      <c r="AB466" s="64" t="n"/>
      <c r="AC466" s="193" t="n"/>
      <c r="AD466" s="357" t="n"/>
      <c r="AE466" s="357" t="n"/>
      <c r="AF466" s="58" t="n"/>
      <c r="AG466" s="30" t="n"/>
      <c r="AH466" s="58" t="n"/>
      <c r="AI466" s="30" t="n"/>
      <c r="AJ466" s="135" t="n"/>
      <c r="AK466" s="212" t="n"/>
      <c r="AL466" s="294" t="n"/>
      <c r="AM466" s="89">
        <f>IF(OR(X466="",F466=""),"",X466-F466)</f>
        <v/>
      </c>
      <c r="AN466" s="124">
        <f>IF(OR(Y466="",G466=""),"",Y466-G466)</f>
        <v/>
      </c>
      <c r="AO466" s="124">
        <f>IF(OR(Z466="",H466=""),"",Z466-H466)</f>
        <v/>
      </c>
      <c r="AP466" s="124">
        <f>IF(OR(AA466="",I466=""),"",AA466-I466)</f>
        <v/>
      </c>
      <c r="AQ466" s="90">
        <f>IF(OR(AB466="",J466=""),"",AB466-J466)</f>
        <v/>
      </c>
      <c r="AR466" s="39" t="n"/>
      <c r="AS466" s="332" t="n"/>
      <c r="AT466" s="39" t="n"/>
    </row>
    <row r="467" ht="13.5" customHeight="1" s="279" thickBot="1">
      <c r="B467" s="295" t="n"/>
      <c r="C467" s="29" t="n"/>
      <c r="D467" s="191" t="n"/>
      <c r="E467" s="58" t="n"/>
      <c r="F467" s="194" t="n"/>
      <c r="G467" s="194" t="n"/>
      <c r="H467" s="194" t="n"/>
      <c r="I467" s="58" t="n"/>
      <c r="J467" s="58" t="n"/>
      <c r="K467" s="193" t="n"/>
      <c r="L467" s="357" t="n"/>
      <c r="M467" s="357" t="n"/>
      <c r="N467" s="58" t="n"/>
      <c r="O467" s="30" t="n"/>
      <c r="P467" s="58" t="n"/>
      <c r="Q467" s="30" t="n"/>
      <c r="R467" s="189" t="n"/>
      <c r="S467" s="301" t="n"/>
      <c r="T467" s="295" t="n"/>
      <c r="U467" s="29" t="n"/>
      <c r="V467" s="191" t="n"/>
      <c r="W467" s="58" t="n"/>
      <c r="X467" s="194" t="n"/>
      <c r="Y467" s="194" t="n"/>
      <c r="Z467" s="194" t="n"/>
      <c r="AA467" s="58" t="n"/>
      <c r="AB467" s="58" t="n"/>
      <c r="AC467" s="193" t="n"/>
      <c r="AD467" s="357" t="n"/>
      <c r="AE467" s="357" t="n"/>
      <c r="AF467" s="58" t="n"/>
      <c r="AG467" s="30" t="n"/>
      <c r="AH467" s="58" t="n"/>
      <c r="AI467" s="30" t="n"/>
      <c r="AJ467" s="189" t="n"/>
      <c r="AK467" s="212" t="n"/>
      <c r="AL467" s="295" t="n"/>
      <c r="AM467" s="125">
        <f>IF(OR(X467="",F467=""),"",X467-F467)</f>
        <v/>
      </c>
      <c r="AN467" s="126">
        <f>IF(OR(Y467="",G467=""),"",Y467-G467)</f>
        <v/>
      </c>
      <c r="AO467" s="126">
        <f>IF(OR(Z467="",H467=""),"",Z467-H467)</f>
        <v/>
      </c>
      <c r="AP467" s="126">
        <f>IF(OR(AA467="",I467=""),"",AA467-I467)</f>
        <v/>
      </c>
      <c r="AQ467" s="127">
        <f>IF(OR(AB467="",J467=""),"",AB467-J467)</f>
        <v/>
      </c>
      <c r="AR467" s="39" t="n"/>
      <c r="AS467" s="332" t="n"/>
      <c r="AT467" s="39" t="n"/>
    </row>
    <row r="468" ht="13.5" customHeight="1" s="279">
      <c r="B468" s="293" t="inlineStr">
        <is>
          <t>v87</t>
        </is>
      </c>
      <c r="C468" s="27" t="inlineStr">
        <is>
          <t>r01</t>
        </is>
      </c>
      <c r="D468" s="41" t="n"/>
      <c r="E468" s="57" t="n"/>
      <c r="F468" s="99" t="n"/>
      <c r="G468" s="99" t="n"/>
      <c r="H468" s="99" t="n"/>
      <c r="I468" s="62" t="n"/>
      <c r="J468" s="62" t="n"/>
      <c r="K468" s="63" t="n"/>
      <c r="L468" s="356" t="n"/>
      <c r="M468" s="356" t="n"/>
      <c r="N468" s="57" t="n"/>
      <c r="O468" s="28" t="n"/>
      <c r="P468" s="57" t="n"/>
      <c r="Q468" s="28" t="n"/>
      <c r="R468" s="134" t="n"/>
      <c r="S468" s="301" t="n"/>
      <c r="T468" s="293" t="inlineStr">
        <is>
          <t>v87</t>
        </is>
      </c>
      <c r="U468" s="27" t="inlineStr">
        <is>
          <t>r01</t>
        </is>
      </c>
      <c r="V468" s="41" t="n"/>
      <c r="W468" s="57" t="n"/>
      <c r="X468" s="99" t="n"/>
      <c r="Y468" s="99" t="n"/>
      <c r="Z468" s="99" t="n"/>
      <c r="AA468" s="62" t="n"/>
      <c r="AB468" s="62" t="n"/>
      <c r="AC468" s="63" t="n"/>
      <c r="AD468" s="356" t="n"/>
      <c r="AE468" s="356" t="n"/>
      <c r="AF468" s="57" t="n"/>
      <c r="AG468" s="28" t="n"/>
      <c r="AH468" s="57" t="n"/>
      <c r="AI468" s="28" t="n"/>
      <c r="AJ468" s="134" t="n"/>
      <c r="AK468" s="212" t="n"/>
      <c r="AL468" s="293" t="inlineStr">
        <is>
          <t>v87</t>
        </is>
      </c>
      <c r="AM468" s="122">
        <f>IF(OR(X468="",F468=""),"",X468-F468)</f>
        <v/>
      </c>
      <c r="AN468" s="98">
        <f>IF(OR(Y468="",G468=""),"",Y468-G468)</f>
        <v/>
      </c>
      <c r="AO468" s="98">
        <f>IF(OR(Z468="",H468=""),"",Z468-H468)</f>
        <v/>
      </c>
      <c r="AP468" s="98">
        <f>IF(OR(AA468="",I468=""),"",AA468-I468)</f>
        <v/>
      </c>
      <c r="AQ468" s="123">
        <f>IF(OR(AB468="",J468=""),"",AB468-J468)</f>
        <v/>
      </c>
      <c r="AR468" s="39" t="n"/>
      <c r="AS468" s="332" t="n"/>
      <c r="AT468" s="39" t="n"/>
    </row>
    <row r="469" ht="13.5" customHeight="1" s="279">
      <c r="B469" s="294" t="n"/>
      <c r="C469" s="29" t="inlineStr">
        <is>
          <t>r02</t>
        </is>
      </c>
      <c r="D469" s="191" t="n"/>
      <c r="E469" s="58" t="n"/>
      <c r="F469" s="192" t="n"/>
      <c r="G469" s="192" t="n"/>
      <c r="H469" s="192" t="n"/>
      <c r="I469" s="64" t="n"/>
      <c r="J469" s="64" t="n"/>
      <c r="K469" s="193" t="n"/>
      <c r="L469" s="357" t="n"/>
      <c r="M469" s="357" t="n"/>
      <c r="N469" s="58" t="n"/>
      <c r="O469" s="30" t="n"/>
      <c r="P469" s="58" t="n"/>
      <c r="Q469" s="30" t="n"/>
      <c r="R469" s="135" t="n"/>
      <c r="S469" s="301" t="n"/>
      <c r="T469" s="294" t="n"/>
      <c r="U469" s="29" t="inlineStr">
        <is>
          <t>r02</t>
        </is>
      </c>
      <c r="V469" s="191" t="n"/>
      <c r="W469" s="58" t="n"/>
      <c r="X469" s="192" t="n"/>
      <c r="Y469" s="192" t="n"/>
      <c r="Z469" s="192" t="n"/>
      <c r="AA469" s="64" t="n"/>
      <c r="AB469" s="64" t="n"/>
      <c r="AC469" s="193" t="n"/>
      <c r="AD469" s="357" t="n"/>
      <c r="AE469" s="357" t="n"/>
      <c r="AF469" s="58" t="n"/>
      <c r="AG469" s="30" t="n"/>
      <c r="AH469" s="58" t="n"/>
      <c r="AI469" s="30" t="n"/>
      <c r="AJ469" s="135" t="n"/>
      <c r="AK469" s="212" t="n"/>
      <c r="AL469" s="294" t="n"/>
      <c r="AM469" s="89">
        <f>IF(OR(X469="",F469=""),"",X469-F469)</f>
        <v/>
      </c>
      <c r="AN469" s="124">
        <f>IF(OR(Y469="",G469=""),"",Y469-G469)</f>
        <v/>
      </c>
      <c r="AO469" s="124">
        <f>IF(OR(Z469="",H469=""),"",Z469-H469)</f>
        <v/>
      </c>
      <c r="AP469" s="124">
        <f>IF(OR(AA469="",I469=""),"",AA469-I469)</f>
        <v/>
      </c>
      <c r="AQ469" s="90">
        <f>IF(OR(AB469="",J469=""),"",AB469-J469)</f>
        <v/>
      </c>
      <c r="AR469" s="39" t="n"/>
      <c r="AS469" s="332" t="n"/>
      <c r="AT469" s="39" t="n"/>
    </row>
    <row r="470" ht="13.5" customHeight="1" s="279">
      <c r="B470" s="294" t="n"/>
      <c r="C470" s="29" t="inlineStr">
        <is>
          <t>r03</t>
        </is>
      </c>
      <c r="D470" s="191" t="n"/>
      <c r="E470" s="58" t="n"/>
      <c r="F470" s="192" t="n"/>
      <c r="G470" s="192" t="n"/>
      <c r="H470" s="192" t="n"/>
      <c r="I470" s="64" t="n"/>
      <c r="J470" s="64" t="n"/>
      <c r="K470" s="193" t="n"/>
      <c r="L470" s="357" t="n"/>
      <c r="M470" s="357" t="n"/>
      <c r="N470" s="58" t="n"/>
      <c r="O470" s="30" t="n"/>
      <c r="P470" s="58" t="n"/>
      <c r="Q470" s="30" t="n"/>
      <c r="R470" s="135" t="n"/>
      <c r="S470" s="301" t="n"/>
      <c r="T470" s="294" t="n"/>
      <c r="U470" s="29" t="inlineStr">
        <is>
          <t>r03</t>
        </is>
      </c>
      <c r="V470" s="191" t="n"/>
      <c r="W470" s="58" t="n"/>
      <c r="X470" s="192" t="n"/>
      <c r="Y470" s="192" t="n"/>
      <c r="Z470" s="192" t="n"/>
      <c r="AA470" s="64" t="n"/>
      <c r="AB470" s="64" t="n"/>
      <c r="AC470" s="193" t="n"/>
      <c r="AD470" s="357" t="n"/>
      <c r="AE470" s="357" t="n"/>
      <c r="AF470" s="58" t="n"/>
      <c r="AG470" s="30" t="n"/>
      <c r="AH470" s="58" t="n"/>
      <c r="AI470" s="30" t="n"/>
      <c r="AJ470" s="135" t="n"/>
      <c r="AK470" s="212" t="n"/>
      <c r="AL470" s="294" t="n"/>
      <c r="AM470" s="89">
        <f>IF(OR(X470="",F470=""),"",X470-F470)</f>
        <v/>
      </c>
      <c r="AN470" s="124">
        <f>IF(OR(Y470="",G470=""),"",Y470-G470)</f>
        <v/>
      </c>
      <c r="AO470" s="124">
        <f>IF(OR(Z470="",H470=""),"",Z470-H470)</f>
        <v/>
      </c>
      <c r="AP470" s="124">
        <f>IF(OR(AA470="",I470=""),"",AA470-I470)</f>
        <v/>
      </c>
      <c r="AQ470" s="90">
        <f>IF(OR(AB470="",J470=""),"",AB470-J470)</f>
        <v/>
      </c>
      <c r="AR470" s="39" t="n"/>
      <c r="AS470" s="332" t="n"/>
      <c r="AT470" s="39" t="n"/>
    </row>
    <row r="471" ht="13.5" customHeight="1" s="279">
      <c r="B471" s="294" t="n"/>
      <c r="C471" s="29" t="inlineStr">
        <is>
          <t>r04</t>
        </is>
      </c>
      <c r="D471" s="191" t="n"/>
      <c r="E471" s="58" t="n"/>
      <c r="F471" s="192" t="n"/>
      <c r="G471" s="192" t="n"/>
      <c r="H471" s="192" t="n"/>
      <c r="I471" s="64" t="n"/>
      <c r="J471" s="64" t="n"/>
      <c r="K471" s="193" t="n"/>
      <c r="L471" s="357" t="n"/>
      <c r="M471" s="357" t="n"/>
      <c r="N471" s="58" t="n"/>
      <c r="O471" s="30" t="n"/>
      <c r="P471" s="58" t="n"/>
      <c r="Q471" s="30" t="n"/>
      <c r="R471" s="135" t="n"/>
      <c r="S471" s="301" t="n"/>
      <c r="T471" s="294" t="n"/>
      <c r="U471" s="29" t="inlineStr">
        <is>
          <t>r04</t>
        </is>
      </c>
      <c r="V471" s="191" t="n"/>
      <c r="W471" s="58" t="n"/>
      <c r="X471" s="192" t="n"/>
      <c r="Y471" s="192" t="n"/>
      <c r="Z471" s="192" t="n"/>
      <c r="AA471" s="64" t="n"/>
      <c r="AB471" s="64" t="n"/>
      <c r="AC471" s="193" t="n"/>
      <c r="AD471" s="357" t="n"/>
      <c r="AE471" s="357" t="n"/>
      <c r="AF471" s="58" t="n"/>
      <c r="AG471" s="30" t="n"/>
      <c r="AH471" s="58" t="n"/>
      <c r="AI471" s="30" t="n"/>
      <c r="AJ471" s="135" t="n"/>
      <c r="AK471" s="212" t="n"/>
      <c r="AL471" s="294" t="n"/>
      <c r="AM471" s="89">
        <f>IF(OR(X471="",F471=""),"",X471-F471)</f>
        <v/>
      </c>
      <c r="AN471" s="124">
        <f>IF(OR(Y471="",G471=""),"",Y471-G471)</f>
        <v/>
      </c>
      <c r="AO471" s="124">
        <f>IF(OR(Z471="",H471=""),"",Z471-H471)</f>
        <v/>
      </c>
      <c r="AP471" s="124">
        <f>IF(OR(AA471="",I471=""),"",AA471-I471)</f>
        <v/>
      </c>
      <c r="AQ471" s="90">
        <f>IF(OR(AB471="",J471=""),"",AB471-J471)</f>
        <v/>
      </c>
      <c r="AR471" s="39" t="n"/>
      <c r="AS471" s="332" t="n"/>
      <c r="AT471" s="39" t="n"/>
    </row>
    <row r="472" ht="13.5" customHeight="1" s="279" thickBot="1">
      <c r="B472" s="295" t="n"/>
      <c r="C472" s="29" t="n"/>
      <c r="D472" s="191" t="n"/>
      <c r="E472" s="58" t="n"/>
      <c r="F472" s="194" t="n"/>
      <c r="G472" s="194" t="n"/>
      <c r="H472" s="194" t="n"/>
      <c r="I472" s="58" t="n"/>
      <c r="J472" s="58" t="n"/>
      <c r="K472" s="193" t="n"/>
      <c r="L472" s="357" t="n"/>
      <c r="M472" s="357" t="n"/>
      <c r="N472" s="58" t="n"/>
      <c r="O472" s="30" t="n"/>
      <c r="P472" s="58" t="n"/>
      <c r="Q472" s="30" t="n"/>
      <c r="R472" s="189" t="n"/>
      <c r="S472" s="301" t="n"/>
      <c r="T472" s="295" t="n"/>
      <c r="U472" s="29" t="n"/>
      <c r="V472" s="191" t="n"/>
      <c r="W472" s="58" t="n"/>
      <c r="X472" s="194" t="n"/>
      <c r="Y472" s="194" t="n"/>
      <c r="Z472" s="194" t="n"/>
      <c r="AA472" s="58" t="n"/>
      <c r="AB472" s="58" t="n"/>
      <c r="AC472" s="193" t="n"/>
      <c r="AD472" s="357" t="n"/>
      <c r="AE472" s="357" t="n"/>
      <c r="AF472" s="58" t="n"/>
      <c r="AG472" s="30" t="n"/>
      <c r="AH472" s="58" t="n"/>
      <c r="AI472" s="30" t="n"/>
      <c r="AJ472" s="189" t="n"/>
      <c r="AK472" s="212" t="n"/>
      <c r="AL472" s="295" t="n"/>
      <c r="AM472" s="125">
        <f>IF(OR(X472="",F472=""),"",X472-F472)</f>
        <v/>
      </c>
      <c r="AN472" s="126">
        <f>IF(OR(Y472="",G472=""),"",Y472-G472)</f>
        <v/>
      </c>
      <c r="AO472" s="126">
        <f>IF(OR(Z472="",H472=""),"",Z472-H472)</f>
        <v/>
      </c>
      <c r="AP472" s="126">
        <f>IF(OR(AA472="",I472=""),"",AA472-I472)</f>
        <v/>
      </c>
      <c r="AQ472" s="127">
        <f>IF(OR(AB472="",J472=""),"",AB472-J472)</f>
        <v/>
      </c>
      <c r="AR472" s="39" t="n"/>
      <c r="AS472" s="332" t="n"/>
      <c r="AT472" s="39" t="n"/>
    </row>
    <row r="473" ht="13.5" customHeight="1" s="279">
      <c r="B473" s="293" t="inlineStr">
        <is>
          <t>v88</t>
        </is>
      </c>
      <c r="C473" s="27" t="inlineStr">
        <is>
          <t>r01</t>
        </is>
      </c>
      <c r="D473" s="41" t="n"/>
      <c r="E473" s="57" t="n"/>
      <c r="F473" s="99" t="n"/>
      <c r="G473" s="99" t="n"/>
      <c r="H473" s="99" t="n"/>
      <c r="I473" s="62" t="n"/>
      <c r="J473" s="62" t="n"/>
      <c r="K473" s="63" t="n"/>
      <c r="L473" s="356" t="n"/>
      <c r="M473" s="356" t="n"/>
      <c r="N473" s="57" t="n"/>
      <c r="O473" s="28" t="n"/>
      <c r="P473" s="57" t="n"/>
      <c r="Q473" s="28" t="n"/>
      <c r="R473" s="134" t="n"/>
      <c r="S473" s="301" t="n"/>
      <c r="T473" s="293" t="inlineStr">
        <is>
          <t>v88</t>
        </is>
      </c>
      <c r="U473" s="27" t="inlineStr">
        <is>
          <t>r01</t>
        </is>
      </c>
      <c r="V473" s="41" t="n"/>
      <c r="W473" s="57" t="n"/>
      <c r="X473" s="99" t="n"/>
      <c r="Y473" s="99" t="n"/>
      <c r="Z473" s="99" t="n"/>
      <c r="AA473" s="62" t="n"/>
      <c r="AB473" s="62" t="n"/>
      <c r="AC473" s="63" t="n"/>
      <c r="AD473" s="356" t="n"/>
      <c r="AE473" s="356" t="n"/>
      <c r="AF473" s="57" t="n"/>
      <c r="AG473" s="28" t="n"/>
      <c r="AH473" s="57" t="n"/>
      <c r="AI473" s="28" t="n"/>
      <c r="AJ473" s="134" t="n"/>
      <c r="AK473" s="212" t="n"/>
      <c r="AL473" s="293" t="inlineStr">
        <is>
          <t>v88</t>
        </is>
      </c>
      <c r="AM473" s="122">
        <f>IF(OR(X473="",F473=""),"",X473-F473)</f>
        <v/>
      </c>
      <c r="AN473" s="98">
        <f>IF(OR(Y473="",G473=""),"",Y473-G473)</f>
        <v/>
      </c>
      <c r="AO473" s="98">
        <f>IF(OR(Z473="",H473=""),"",Z473-H473)</f>
        <v/>
      </c>
      <c r="AP473" s="98">
        <f>IF(OR(AA473="",I473=""),"",AA473-I473)</f>
        <v/>
      </c>
      <c r="AQ473" s="123">
        <f>IF(OR(AB473="",J473=""),"",AB473-J473)</f>
        <v/>
      </c>
      <c r="AR473" s="39" t="n"/>
      <c r="AS473" s="332" t="n"/>
      <c r="AT473" s="39" t="n"/>
    </row>
    <row r="474" ht="13.5" customHeight="1" s="279">
      <c r="B474" s="294" t="n"/>
      <c r="C474" s="29" t="inlineStr">
        <is>
          <t>r02</t>
        </is>
      </c>
      <c r="D474" s="191" t="n"/>
      <c r="E474" s="58" t="n"/>
      <c r="F474" s="192" t="n"/>
      <c r="G474" s="192" t="n"/>
      <c r="H474" s="192" t="n"/>
      <c r="I474" s="64" t="n"/>
      <c r="J474" s="64" t="n"/>
      <c r="K474" s="193" t="n"/>
      <c r="L474" s="357" t="n"/>
      <c r="M474" s="357" t="n"/>
      <c r="N474" s="58" t="n"/>
      <c r="O474" s="30" t="n"/>
      <c r="P474" s="58" t="n"/>
      <c r="Q474" s="30" t="n"/>
      <c r="R474" s="135" t="n"/>
      <c r="S474" s="301" t="n"/>
      <c r="T474" s="294" t="n"/>
      <c r="U474" s="29" t="inlineStr">
        <is>
          <t>r02</t>
        </is>
      </c>
      <c r="V474" s="191" t="n"/>
      <c r="W474" s="58" t="n"/>
      <c r="X474" s="192" t="n"/>
      <c r="Y474" s="192" t="n"/>
      <c r="Z474" s="192" t="n"/>
      <c r="AA474" s="64" t="n"/>
      <c r="AB474" s="64" t="n"/>
      <c r="AC474" s="193" t="n"/>
      <c r="AD474" s="357" t="n"/>
      <c r="AE474" s="357" t="n"/>
      <c r="AF474" s="58" t="n"/>
      <c r="AG474" s="30" t="n"/>
      <c r="AH474" s="58" t="n"/>
      <c r="AI474" s="30" t="n"/>
      <c r="AJ474" s="135" t="n"/>
      <c r="AK474" s="212" t="n"/>
      <c r="AL474" s="294" t="n"/>
      <c r="AM474" s="89">
        <f>IF(OR(X474="",F474=""),"",X474-F474)</f>
        <v/>
      </c>
      <c r="AN474" s="124">
        <f>IF(OR(Y474="",G474=""),"",Y474-G474)</f>
        <v/>
      </c>
      <c r="AO474" s="124">
        <f>IF(OR(Z474="",H474=""),"",Z474-H474)</f>
        <v/>
      </c>
      <c r="AP474" s="124">
        <f>IF(OR(AA474="",I474=""),"",AA474-I474)</f>
        <v/>
      </c>
      <c r="AQ474" s="90">
        <f>IF(OR(AB474="",J474=""),"",AB474-J474)</f>
        <v/>
      </c>
      <c r="AR474" s="39" t="n"/>
      <c r="AS474" s="332" t="n"/>
      <c r="AT474" s="39" t="n"/>
    </row>
    <row r="475" ht="13.5" customHeight="1" s="279">
      <c r="B475" s="294" t="n"/>
      <c r="C475" s="29" t="inlineStr">
        <is>
          <t>r03</t>
        </is>
      </c>
      <c r="D475" s="191" t="n"/>
      <c r="E475" s="58" t="n"/>
      <c r="F475" s="192" t="n"/>
      <c r="G475" s="192" t="n"/>
      <c r="H475" s="192" t="n"/>
      <c r="I475" s="64" t="n"/>
      <c r="J475" s="64" t="n"/>
      <c r="K475" s="193" t="n"/>
      <c r="L475" s="357" t="n"/>
      <c r="M475" s="357" t="n"/>
      <c r="N475" s="58" t="n"/>
      <c r="O475" s="30" t="n"/>
      <c r="P475" s="58" t="n"/>
      <c r="Q475" s="30" t="n"/>
      <c r="R475" s="135" t="n"/>
      <c r="S475" s="301" t="n"/>
      <c r="T475" s="294" t="n"/>
      <c r="U475" s="29" t="inlineStr">
        <is>
          <t>r03</t>
        </is>
      </c>
      <c r="V475" s="191" t="n"/>
      <c r="W475" s="58" t="n"/>
      <c r="X475" s="192" t="n"/>
      <c r="Y475" s="192" t="n"/>
      <c r="Z475" s="192" t="n"/>
      <c r="AA475" s="64" t="n"/>
      <c r="AB475" s="64" t="n"/>
      <c r="AC475" s="193" t="n"/>
      <c r="AD475" s="357" t="n"/>
      <c r="AE475" s="357" t="n"/>
      <c r="AF475" s="58" t="n"/>
      <c r="AG475" s="30" t="n"/>
      <c r="AH475" s="58" t="n"/>
      <c r="AI475" s="30" t="n"/>
      <c r="AJ475" s="135" t="n"/>
      <c r="AK475" s="212" t="n"/>
      <c r="AL475" s="294" t="n"/>
      <c r="AM475" s="89">
        <f>IF(OR(X475="",F475=""),"",X475-F475)</f>
        <v/>
      </c>
      <c r="AN475" s="124">
        <f>IF(OR(Y475="",G475=""),"",Y475-G475)</f>
        <v/>
      </c>
      <c r="AO475" s="124">
        <f>IF(OR(Z475="",H475=""),"",Z475-H475)</f>
        <v/>
      </c>
      <c r="AP475" s="124">
        <f>IF(OR(AA475="",I475=""),"",AA475-I475)</f>
        <v/>
      </c>
      <c r="AQ475" s="90">
        <f>IF(OR(AB475="",J475=""),"",AB475-J475)</f>
        <v/>
      </c>
      <c r="AR475" s="39" t="n"/>
      <c r="AS475" s="332" t="n"/>
      <c r="AT475" s="39" t="n"/>
    </row>
    <row r="476" ht="13.5" customHeight="1" s="279">
      <c r="B476" s="294" t="n"/>
      <c r="C476" s="29" t="inlineStr">
        <is>
          <t>r04</t>
        </is>
      </c>
      <c r="D476" s="191" t="n"/>
      <c r="E476" s="58" t="n"/>
      <c r="F476" s="192" t="n"/>
      <c r="G476" s="192" t="n"/>
      <c r="H476" s="192" t="n"/>
      <c r="I476" s="64" t="n"/>
      <c r="J476" s="64" t="n"/>
      <c r="K476" s="193" t="n"/>
      <c r="L476" s="357" t="n"/>
      <c r="M476" s="357" t="n"/>
      <c r="N476" s="58" t="n"/>
      <c r="O476" s="30" t="n"/>
      <c r="P476" s="58" t="n"/>
      <c r="Q476" s="30" t="n"/>
      <c r="R476" s="135" t="n"/>
      <c r="S476" s="301" t="n"/>
      <c r="T476" s="294" t="n"/>
      <c r="U476" s="29" t="inlineStr">
        <is>
          <t>r04</t>
        </is>
      </c>
      <c r="V476" s="191" t="n"/>
      <c r="W476" s="58" t="n"/>
      <c r="X476" s="192" t="n"/>
      <c r="Y476" s="192" t="n"/>
      <c r="Z476" s="192" t="n"/>
      <c r="AA476" s="64" t="n"/>
      <c r="AB476" s="64" t="n"/>
      <c r="AC476" s="193" t="n"/>
      <c r="AD476" s="357" t="n"/>
      <c r="AE476" s="357" t="n"/>
      <c r="AF476" s="58" t="n"/>
      <c r="AG476" s="30" t="n"/>
      <c r="AH476" s="58" t="n"/>
      <c r="AI476" s="30" t="n"/>
      <c r="AJ476" s="135" t="n"/>
      <c r="AK476" s="212" t="n"/>
      <c r="AL476" s="294" t="n"/>
      <c r="AM476" s="89">
        <f>IF(OR(X476="",F476=""),"",X476-F476)</f>
        <v/>
      </c>
      <c r="AN476" s="124">
        <f>IF(OR(Y476="",G476=""),"",Y476-G476)</f>
        <v/>
      </c>
      <c r="AO476" s="124">
        <f>IF(OR(Z476="",H476=""),"",Z476-H476)</f>
        <v/>
      </c>
      <c r="AP476" s="124">
        <f>IF(OR(AA476="",I476=""),"",AA476-I476)</f>
        <v/>
      </c>
      <c r="AQ476" s="90">
        <f>IF(OR(AB476="",J476=""),"",AB476-J476)</f>
        <v/>
      </c>
      <c r="AR476" s="39" t="n"/>
      <c r="AS476" s="332" t="n"/>
      <c r="AT476" s="39" t="n"/>
    </row>
    <row r="477" ht="13.5" customHeight="1" s="279" thickBot="1">
      <c r="B477" s="295" t="n"/>
      <c r="C477" s="29" t="n"/>
      <c r="D477" s="191" t="n"/>
      <c r="E477" s="58" t="n"/>
      <c r="F477" s="194" t="n"/>
      <c r="G477" s="194" t="n"/>
      <c r="H477" s="194" t="n"/>
      <c r="I477" s="58" t="n"/>
      <c r="J477" s="58" t="n"/>
      <c r="K477" s="193" t="n"/>
      <c r="L477" s="357" t="n"/>
      <c r="M477" s="357" t="n"/>
      <c r="N477" s="58" t="n"/>
      <c r="O477" s="30" t="n"/>
      <c r="P477" s="58" t="n"/>
      <c r="Q477" s="30" t="n"/>
      <c r="R477" s="189" t="n"/>
      <c r="S477" s="301" t="n"/>
      <c r="T477" s="295" t="n"/>
      <c r="U477" s="29" t="n"/>
      <c r="V477" s="191" t="n"/>
      <c r="W477" s="58" t="n"/>
      <c r="X477" s="194" t="n"/>
      <c r="Y477" s="194" t="n"/>
      <c r="Z477" s="194" t="n"/>
      <c r="AA477" s="58" t="n"/>
      <c r="AB477" s="58" t="n"/>
      <c r="AC477" s="193" t="n"/>
      <c r="AD477" s="357" t="n"/>
      <c r="AE477" s="357" t="n"/>
      <c r="AF477" s="58" t="n"/>
      <c r="AG477" s="30" t="n"/>
      <c r="AH477" s="58" t="n"/>
      <c r="AI477" s="30" t="n"/>
      <c r="AJ477" s="189" t="n"/>
      <c r="AK477" s="212" t="n"/>
      <c r="AL477" s="295" t="n"/>
      <c r="AM477" s="125">
        <f>IF(OR(X477="",F477=""),"",X477-F477)</f>
        <v/>
      </c>
      <c r="AN477" s="126">
        <f>IF(OR(Y477="",G477=""),"",Y477-G477)</f>
        <v/>
      </c>
      <c r="AO477" s="126">
        <f>IF(OR(Z477="",H477=""),"",Z477-H477)</f>
        <v/>
      </c>
      <c r="AP477" s="126">
        <f>IF(OR(AA477="",I477=""),"",AA477-I477)</f>
        <v/>
      </c>
      <c r="AQ477" s="127">
        <f>IF(OR(AB477="",J477=""),"",AB477-J477)</f>
        <v/>
      </c>
      <c r="AR477" s="39" t="n"/>
      <c r="AS477" s="332" t="n"/>
      <c r="AT477" s="39" t="n"/>
    </row>
    <row r="478" ht="13.5" customHeight="1" s="279">
      <c r="B478" s="293" t="inlineStr">
        <is>
          <t>v89</t>
        </is>
      </c>
      <c r="C478" s="27" t="inlineStr">
        <is>
          <t>r01</t>
        </is>
      </c>
      <c r="D478" s="41" t="n"/>
      <c r="E478" s="57" t="n"/>
      <c r="F478" s="99" t="n"/>
      <c r="G478" s="99" t="n"/>
      <c r="H478" s="99" t="n"/>
      <c r="I478" s="62" t="n"/>
      <c r="J478" s="62" t="n"/>
      <c r="K478" s="63" t="n"/>
      <c r="L478" s="356" t="n"/>
      <c r="M478" s="356" t="n"/>
      <c r="N478" s="57" t="n"/>
      <c r="O478" s="28" t="n"/>
      <c r="P478" s="57" t="n"/>
      <c r="Q478" s="28" t="n"/>
      <c r="R478" s="134" t="n"/>
      <c r="S478" s="301" t="n"/>
      <c r="T478" s="293" t="inlineStr">
        <is>
          <t>v89</t>
        </is>
      </c>
      <c r="U478" s="27" t="inlineStr">
        <is>
          <t>r01</t>
        </is>
      </c>
      <c r="V478" s="41" t="n"/>
      <c r="W478" s="57" t="n"/>
      <c r="X478" s="99" t="n"/>
      <c r="Y478" s="99" t="n"/>
      <c r="Z478" s="99" t="n"/>
      <c r="AA478" s="62" t="n"/>
      <c r="AB478" s="62" t="n"/>
      <c r="AC478" s="63" t="n"/>
      <c r="AD478" s="356" t="n"/>
      <c r="AE478" s="356" t="n"/>
      <c r="AF478" s="57" t="n"/>
      <c r="AG478" s="28" t="n"/>
      <c r="AH478" s="57" t="n"/>
      <c r="AI478" s="28" t="n"/>
      <c r="AJ478" s="134" t="n"/>
      <c r="AK478" s="212" t="n"/>
      <c r="AL478" s="293" t="inlineStr">
        <is>
          <t>v89</t>
        </is>
      </c>
      <c r="AM478" s="122">
        <f>IF(OR(X478="",F478=""),"",X478-F478)</f>
        <v/>
      </c>
      <c r="AN478" s="98">
        <f>IF(OR(Y478="",G478=""),"",Y478-G478)</f>
        <v/>
      </c>
      <c r="AO478" s="98">
        <f>IF(OR(Z478="",H478=""),"",Z478-H478)</f>
        <v/>
      </c>
      <c r="AP478" s="98">
        <f>IF(OR(AA478="",I478=""),"",AA478-I478)</f>
        <v/>
      </c>
      <c r="AQ478" s="123">
        <f>IF(OR(AB478="",J478=""),"",AB478-J478)</f>
        <v/>
      </c>
      <c r="AR478" s="39" t="n"/>
      <c r="AS478" s="332" t="n"/>
      <c r="AT478" s="39" t="n"/>
    </row>
    <row r="479" ht="13.5" customHeight="1" s="279">
      <c r="B479" s="294" t="n"/>
      <c r="C479" s="29" t="inlineStr">
        <is>
          <t>r02</t>
        </is>
      </c>
      <c r="D479" s="191" t="n"/>
      <c r="E479" s="58" t="n"/>
      <c r="F479" s="192" t="n"/>
      <c r="G479" s="192" t="n"/>
      <c r="H479" s="192" t="n"/>
      <c r="I479" s="64" t="n"/>
      <c r="J479" s="64" t="n"/>
      <c r="K479" s="193" t="n"/>
      <c r="L479" s="357" t="n"/>
      <c r="M479" s="357" t="n"/>
      <c r="N479" s="58" t="n"/>
      <c r="O479" s="30" t="n"/>
      <c r="P479" s="58" t="n"/>
      <c r="Q479" s="30" t="n"/>
      <c r="R479" s="135" t="n"/>
      <c r="S479" s="301" t="n"/>
      <c r="T479" s="294" t="n"/>
      <c r="U479" s="29" t="inlineStr">
        <is>
          <t>r02</t>
        </is>
      </c>
      <c r="V479" s="191" t="n"/>
      <c r="W479" s="58" t="n"/>
      <c r="X479" s="192" t="n"/>
      <c r="Y479" s="192" t="n"/>
      <c r="Z479" s="192" t="n"/>
      <c r="AA479" s="64" t="n"/>
      <c r="AB479" s="64" t="n"/>
      <c r="AC479" s="193" t="n"/>
      <c r="AD479" s="357" t="n"/>
      <c r="AE479" s="357" t="n"/>
      <c r="AF479" s="58" t="n"/>
      <c r="AG479" s="30" t="n"/>
      <c r="AH479" s="58" t="n"/>
      <c r="AI479" s="30" t="n"/>
      <c r="AJ479" s="135" t="n"/>
      <c r="AK479" s="212" t="n"/>
      <c r="AL479" s="294" t="n"/>
      <c r="AM479" s="89">
        <f>IF(OR(X479="",F479=""),"",X479-F479)</f>
        <v/>
      </c>
      <c r="AN479" s="124">
        <f>IF(OR(Y479="",G479=""),"",Y479-G479)</f>
        <v/>
      </c>
      <c r="AO479" s="124">
        <f>IF(OR(Z479="",H479=""),"",Z479-H479)</f>
        <v/>
      </c>
      <c r="AP479" s="124">
        <f>IF(OR(AA479="",I479=""),"",AA479-I479)</f>
        <v/>
      </c>
      <c r="AQ479" s="90">
        <f>IF(OR(AB479="",J479=""),"",AB479-J479)</f>
        <v/>
      </c>
      <c r="AR479" s="39" t="n"/>
      <c r="AS479" s="332" t="n"/>
      <c r="AT479" s="39" t="n"/>
    </row>
    <row r="480" ht="13.5" customHeight="1" s="279">
      <c r="B480" s="294" t="n"/>
      <c r="C480" s="29" t="inlineStr">
        <is>
          <t>r03</t>
        </is>
      </c>
      <c r="D480" s="191" t="n"/>
      <c r="E480" s="58" t="n"/>
      <c r="F480" s="192" t="n"/>
      <c r="G480" s="192" t="n"/>
      <c r="H480" s="192" t="n"/>
      <c r="I480" s="64" t="n"/>
      <c r="J480" s="64" t="n"/>
      <c r="K480" s="193" t="n"/>
      <c r="L480" s="357" t="n"/>
      <c r="M480" s="357" t="n"/>
      <c r="N480" s="58" t="n"/>
      <c r="O480" s="30" t="n"/>
      <c r="P480" s="58" t="n"/>
      <c r="Q480" s="30" t="n"/>
      <c r="R480" s="135" t="n"/>
      <c r="S480" s="301" t="n"/>
      <c r="T480" s="294" t="n"/>
      <c r="U480" s="29" t="inlineStr">
        <is>
          <t>r03</t>
        </is>
      </c>
      <c r="V480" s="191" t="n"/>
      <c r="W480" s="58" t="n"/>
      <c r="X480" s="192" t="n"/>
      <c r="Y480" s="192" t="n"/>
      <c r="Z480" s="192" t="n"/>
      <c r="AA480" s="64" t="n"/>
      <c r="AB480" s="64" t="n"/>
      <c r="AC480" s="193" t="n"/>
      <c r="AD480" s="357" t="n"/>
      <c r="AE480" s="357" t="n"/>
      <c r="AF480" s="58" t="n"/>
      <c r="AG480" s="30" t="n"/>
      <c r="AH480" s="58" t="n"/>
      <c r="AI480" s="30" t="n"/>
      <c r="AJ480" s="135" t="n"/>
      <c r="AK480" s="212" t="n"/>
      <c r="AL480" s="294" t="n"/>
      <c r="AM480" s="89">
        <f>IF(OR(X480="",F480=""),"",X480-F480)</f>
        <v/>
      </c>
      <c r="AN480" s="124">
        <f>IF(OR(Y480="",G480=""),"",Y480-G480)</f>
        <v/>
      </c>
      <c r="AO480" s="124">
        <f>IF(OR(Z480="",H480=""),"",Z480-H480)</f>
        <v/>
      </c>
      <c r="AP480" s="124">
        <f>IF(OR(AA480="",I480=""),"",AA480-I480)</f>
        <v/>
      </c>
      <c r="AQ480" s="90">
        <f>IF(OR(AB480="",J480=""),"",AB480-J480)</f>
        <v/>
      </c>
      <c r="AR480" s="39" t="n"/>
      <c r="AS480" s="332" t="n"/>
      <c r="AT480" s="39" t="n"/>
    </row>
    <row r="481" ht="13.5" customHeight="1" s="279">
      <c r="B481" s="294" t="n"/>
      <c r="C481" s="29" t="inlineStr">
        <is>
          <t>r04</t>
        </is>
      </c>
      <c r="D481" s="191" t="n"/>
      <c r="E481" s="58" t="n"/>
      <c r="F481" s="192" t="n"/>
      <c r="G481" s="192" t="n"/>
      <c r="H481" s="192" t="n"/>
      <c r="I481" s="64" t="n"/>
      <c r="J481" s="64" t="n"/>
      <c r="K481" s="193" t="n"/>
      <c r="L481" s="357" t="n"/>
      <c r="M481" s="357" t="n"/>
      <c r="N481" s="58" t="n"/>
      <c r="O481" s="30" t="n"/>
      <c r="P481" s="58" t="n"/>
      <c r="Q481" s="30" t="n"/>
      <c r="R481" s="135" t="n"/>
      <c r="S481" s="301" t="n"/>
      <c r="T481" s="294" t="n"/>
      <c r="U481" s="29" t="inlineStr">
        <is>
          <t>r04</t>
        </is>
      </c>
      <c r="V481" s="191" t="n"/>
      <c r="W481" s="58" t="n"/>
      <c r="X481" s="192" t="n"/>
      <c r="Y481" s="192" t="n"/>
      <c r="Z481" s="192" t="n"/>
      <c r="AA481" s="64" t="n"/>
      <c r="AB481" s="64" t="n"/>
      <c r="AC481" s="193" t="n"/>
      <c r="AD481" s="357" t="n"/>
      <c r="AE481" s="357" t="n"/>
      <c r="AF481" s="58" t="n"/>
      <c r="AG481" s="30" t="n"/>
      <c r="AH481" s="58" t="n"/>
      <c r="AI481" s="30" t="n"/>
      <c r="AJ481" s="135" t="n"/>
      <c r="AK481" s="212" t="n"/>
      <c r="AL481" s="294" t="n"/>
      <c r="AM481" s="89">
        <f>IF(OR(X481="",F481=""),"",X481-F481)</f>
        <v/>
      </c>
      <c r="AN481" s="124">
        <f>IF(OR(Y481="",G481=""),"",Y481-G481)</f>
        <v/>
      </c>
      <c r="AO481" s="124">
        <f>IF(OR(Z481="",H481=""),"",Z481-H481)</f>
        <v/>
      </c>
      <c r="AP481" s="124">
        <f>IF(OR(AA481="",I481=""),"",AA481-I481)</f>
        <v/>
      </c>
      <c r="AQ481" s="90">
        <f>IF(OR(AB481="",J481=""),"",AB481-J481)</f>
        <v/>
      </c>
      <c r="AR481" s="39" t="n"/>
      <c r="AS481" s="332" t="n"/>
      <c r="AT481" s="39" t="n"/>
    </row>
    <row r="482" ht="13.5" customHeight="1" s="279" thickBot="1">
      <c r="B482" s="295" t="n"/>
      <c r="C482" s="29" t="n"/>
      <c r="D482" s="191" t="n"/>
      <c r="E482" s="58" t="n"/>
      <c r="F482" s="194" t="n"/>
      <c r="G482" s="194" t="n"/>
      <c r="H482" s="194" t="n"/>
      <c r="I482" s="58" t="n"/>
      <c r="J482" s="58" t="n"/>
      <c r="K482" s="193" t="n"/>
      <c r="L482" s="357" t="n"/>
      <c r="M482" s="357" t="n"/>
      <c r="N482" s="58" t="n"/>
      <c r="O482" s="30" t="n"/>
      <c r="P482" s="58" t="n"/>
      <c r="Q482" s="30" t="n"/>
      <c r="R482" s="189" t="n"/>
      <c r="S482" s="301" t="n"/>
      <c r="T482" s="295" t="n"/>
      <c r="U482" s="29" t="n"/>
      <c r="V482" s="191" t="n"/>
      <c r="W482" s="58" t="n"/>
      <c r="X482" s="194" t="n"/>
      <c r="Y482" s="194" t="n"/>
      <c r="Z482" s="194" t="n"/>
      <c r="AA482" s="58" t="n"/>
      <c r="AB482" s="58" t="n"/>
      <c r="AC482" s="193" t="n"/>
      <c r="AD482" s="357" t="n"/>
      <c r="AE482" s="357" t="n"/>
      <c r="AF482" s="58" t="n"/>
      <c r="AG482" s="30" t="n"/>
      <c r="AH482" s="58" t="n"/>
      <c r="AI482" s="30" t="n"/>
      <c r="AJ482" s="189" t="n"/>
      <c r="AK482" s="212" t="n"/>
      <c r="AL482" s="295" t="n"/>
      <c r="AM482" s="125">
        <f>IF(OR(X482="",F482=""),"",X482-F482)</f>
        <v/>
      </c>
      <c r="AN482" s="126">
        <f>IF(OR(Y482="",G482=""),"",Y482-G482)</f>
        <v/>
      </c>
      <c r="AO482" s="126">
        <f>IF(OR(Z482="",H482=""),"",Z482-H482)</f>
        <v/>
      </c>
      <c r="AP482" s="126">
        <f>IF(OR(AA482="",I482=""),"",AA482-I482)</f>
        <v/>
      </c>
      <c r="AQ482" s="127">
        <f>IF(OR(AB482="",J482=""),"",AB482-J482)</f>
        <v/>
      </c>
      <c r="AR482" s="39" t="n"/>
      <c r="AS482" s="332" t="n"/>
      <c r="AT482" s="39" t="n"/>
    </row>
    <row r="483" ht="13.5" customHeight="1" s="279">
      <c r="B483" s="293" t="inlineStr">
        <is>
          <t>v90</t>
        </is>
      </c>
      <c r="C483" s="27" t="inlineStr">
        <is>
          <t>r01</t>
        </is>
      </c>
      <c r="D483" s="41" t="n"/>
      <c r="E483" s="57" t="n"/>
      <c r="F483" s="99" t="n"/>
      <c r="G483" s="99" t="n"/>
      <c r="H483" s="99" t="n"/>
      <c r="I483" s="62" t="n"/>
      <c r="J483" s="62" t="n"/>
      <c r="K483" s="63" t="n"/>
      <c r="L483" s="356" t="n"/>
      <c r="M483" s="356" t="n"/>
      <c r="N483" s="57" t="n"/>
      <c r="O483" s="28" t="n"/>
      <c r="P483" s="57" t="n"/>
      <c r="Q483" s="28" t="n"/>
      <c r="R483" s="134" t="n"/>
      <c r="S483" s="301" t="n"/>
      <c r="T483" s="293" t="inlineStr">
        <is>
          <t>v90</t>
        </is>
      </c>
      <c r="U483" s="27" t="inlineStr">
        <is>
          <t>r01</t>
        </is>
      </c>
      <c r="V483" s="41" t="n"/>
      <c r="W483" s="57" t="n"/>
      <c r="X483" s="99" t="n"/>
      <c r="Y483" s="99" t="n"/>
      <c r="Z483" s="99" t="n"/>
      <c r="AA483" s="62" t="n"/>
      <c r="AB483" s="62" t="n"/>
      <c r="AC483" s="63" t="n"/>
      <c r="AD483" s="356" t="n"/>
      <c r="AE483" s="356" t="n"/>
      <c r="AF483" s="57" t="n"/>
      <c r="AG483" s="28" t="n"/>
      <c r="AH483" s="57" t="n"/>
      <c r="AI483" s="28" t="n"/>
      <c r="AJ483" s="134" t="n"/>
      <c r="AK483" s="212" t="n"/>
      <c r="AL483" s="293" t="inlineStr">
        <is>
          <t>v90</t>
        </is>
      </c>
      <c r="AM483" s="122">
        <f>IF(OR(X483="",F483=""),"",X483-F483)</f>
        <v/>
      </c>
      <c r="AN483" s="98">
        <f>IF(OR(Y483="",G483=""),"",Y483-G483)</f>
        <v/>
      </c>
      <c r="AO483" s="98">
        <f>IF(OR(Z483="",H483=""),"",Z483-H483)</f>
        <v/>
      </c>
      <c r="AP483" s="98">
        <f>IF(OR(AA483="",I483=""),"",AA483-I483)</f>
        <v/>
      </c>
      <c r="AQ483" s="123">
        <f>IF(OR(AB483="",J483=""),"",AB483-J483)</f>
        <v/>
      </c>
      <c r="AR483" s="39" t="n"/>
      <c r="AS483" s="332" t="n"/>
      <c r="AT483" s="39" t="n"/>
    </row>
    <row r="484" ht="13.5" customHeight="1" s="279">
      <c r="B484" s="294" t="n"/>
      <c r="C484" s="29" t="inlineStr">
        <is>
          <t>r02</t>
        </is>
      </c>
      <c r="D484" s="191" t="n"/>
      <c r="E484" s="58" t="n"/>
      <c r="F484" s="192" t="n"/>
      <c r="G484" s="192" t="n"/>
      <c r="H484" s="192" t="n"/>
      <c r="I484" s="64" t="n"/>
      <c r="J484" s="64" t="n"/>
      <c r="K484" s="193" t="n"/>
      <c r="L484" s="357" t="n"/>
      <c r="M484" s="357" t="n"/>
      <c r="N484" s="58" t="n"/>
      <c r="O484" s="30" t="n"/>
      <c r="P484" s="58" t="n"/>
      <c r="Q484" s="30" t="n"/>
      <c r="R484" s="135" t="n"/>
      <c r="S484" s="301" t="n"/>
      <c r="T484" s="294" t="n"/>
      <c r="U484" s="29" t="inlineStr">
        <is>
          <t>r02</t>
        </is>
      </c>
      <c r="V484" s="191" t="n"/>
      <c r="W484" s="58" t="n"/>
      <c r="X484" s="192" t="n"/>
      <c r="Y484" s="192" t="n"/>
      <c r="Z484" s="192" t="n"/>
      <c r="AA484" s="64" t="n"/>
      <c r="AB484" s="64" t="n"/>
      <c r="AC484" s="193" t="n"/>
      <c r="AD484" s="357" t="n"/>
      <c r="AE484" s="357" t="n"/>
      <c r="AF484" s="58" t="n"/>
      <c r="AG484" s="30" t="n"/>
      <c r="AH484" s="58" t="n"/>
      <c r="AI484" s="30" t="n"/>
      <c r="AJ484" s="135" t="n"/>
      <c r="AK484" s="212" t="n"/>
      <c r="AL484" s="294" t="n"/>
      <c r="AM484" s="89">
        <f>IF(OR(X484="",F484=""),"",X484-F484)</f>
        <v/>
      </c>
      <c r="AN484" s="124">
        <f>IF(OR(Y484="",G484=""),"",Y484-G484)</f>
        <v/>
      </c>
      <c r="AO484" s="124">
        <f>IF(OR(Z484="",H484=""),"",Z484-H484)</f>
        <v/>
      </c>
      <c r="AP484" s="124">
        <f>IF(OR(AA484="",I484=""),"",AA484-I484)</f>
        <v/>
      </c>
      <c r="AQ484" s="90">
        <f>IF(OR(AB484="",J484=""),"",AB484-J484)</f>
        <v/>
      </c>
      <c r="AR484" s="39" t="n"/>
      <c r="AS484" s="332" t="n"/>
      <c r="AT484" s="39" t="n"/>
    </row>
    <row r="485" ht="13.5" customHeight="1" s="279">
      <c r="B485" s="294" t="n"/>
      <c r="C485" s="29" t="inlineStr">
        <is>
          <t>r03</t>
        </is>
      </c>
      <c r="D485" s="191" t="n"/>
      <c r="E485" s="58" t="n"/>
      <c r="F485" s="192" t="n"/>
      <c r="G485" s="192" t="n"/>
      <c r="H485" s="192" t="n"/>
      <c r="I485" s="64" t="n"/>
      <c r="J485" s="64" t="n"/>
      <c r="K485" s="193" t="n"/>
      <c r="L485" s="357" t="n"/>
      <c r="M485" s="357" t="n"/>
      <c r="N485" s="58" t="n"/>
      <c r="O485" s="30" t="n"/>
      <c r="P485" s="58" t="n"/>
      <c r="Q485" s="30" t="n"/>
      <c r="R485" s="135" t="n"/>
      <c r="S485" s="301" t="n"/>
      <c r="T485" s="294" t="n"/>
      <c r="U485" s="29" t="inlineStr">
        <is>
          <t>r03</t>
        </is>
      </c>
      <c r="V485" s="191" t="n"/>
      <c r="W485" s="58" t="n"/>
      <c r="X485" s="192" t="n"/>
      <c r="Y485" s="192" t="n"/>
      <c r="Z485" s="192" t="n"/>
      <c r="AA485" s="64" t="n"/>
      <c r="AB485" s="64" t="n"/>
      <c r="AC485" s="193" t="n"/>
      <c r="AD485" s="357" t="n"/>
      <c r="AE485" s="357" t="n"/>
      <c r="AF485" s="58" t="n"/>
      <c r="AG485" s="30" t="n"/>
      <c r="AH485" s="58" t="n"/>
      <c r="AI485" s="30" t="n"/>
      <c r="AJ485" s="135" t="n"/>
      <c r="AK485" s="212" t="n"/>
      <c r="AL485" s="294" t="n"/>
      <c r="AM485" s="89">
        <f>IF(OR(X485="",F485=""),"",X485-F485)</f>
        <v/>
      </c>
      <c r="AN485" s="124">
        <f>IF(OR(Y485="",G485=""),"",Y485-G485)</f>
        <v/>
      </c>
      <c r="AO485" s="124">
        <f>IF(OR(Z485="",H485=""),"",Z485-H485)</f>
        <v/>
      </c>
      <c r="AP485" s="124">
        <f>IF(OR(AA485="",I485=""),"",AA485-I485)</f>
        <v/>
      </c>
      <c r="AQ485" s="90">
        <f>IF(OR(AB485="",J485=""),"",AB485-J485)</f>
        <v/>
      </c>
      <c r="AR485" s="39" t="n"/>
      <c r="AS485" s="332" t="n"/>
      <c r="AT485" s="39" t="n"/>
    </row>
    <row r="486" ht="13.5" customHeight="1" s="279">
      <c r="B486" s="294" t="n"/>
      <c r="C486" s="29" t="inlineStr">
        <is>
          <t>r04</t>
        </is>
      </c>
      <c r="D486" s="191" t="n"/>
      <c r="E486" s="58" t="n"/>
      <c r="F486" s="192" t="n"/>
      <c r="G486" s="192" t="n"/>
      <c r="H486" s="192" t="n"/>
      <c r="I486" s="64" t="n"/>
      <c r="J486" s="64" t="n"/>
      <c r="K486" s="193" t="n"/>
      <c r="L486" s="357" t="n"/>
      <c r="M486" s="357" t="n"/>
      <c r="N486" s="58" t="n"/>
      <c r="O486" s="30" t="n"/>
      <c r="P486" s="58" t="n"/>
      <c r="Q486" s="30" t="n"/>
      <c r="R486" s="135" t="n"/>
      <c r="S486" s="301" t="n"/>
      <c r="T486" s="294" t="n"/>
      <c r="U486" s="29" t="inlineStr">
        <is>
          <t>r04</t>
        </is>
      </c>
      <c r="V486" s="191" t="n"/>
      <c r="W486" s="58" t="n"/>
      <c r="X486" s="192" t="n"/>
      <c r="Y486" s="192" t="n"/>
      <c r="Z486" s="192" t="n"/>
      <c r="AA486" s="64" t="n"/>
      <c r="AB486" s="64" t="n"/>
      <c r="AC486" s="193" t="n"/>
      <c r="AD486" s="357" t="n"/>
      <c r="AE486" s="357" t="n"/>
      <c r="AF486" s="58" t="n"/>
      <c r="AG486" s="30" t="n"/>
      <c r="AH486" s="58" t="n"/>
      <c r="AI486" s="30" t="n"/>
      <c r="AJ486" s="135" t="n"/>
      <c r="AK486" s="212" t="n"/>
      <c r="AL486" s="294" t="n"/>
      <c r="AM486" s="89">
        <f>IF(OR(X486="",F486=""),"",X486-F486)</f>
        <v/>
      </c>
      <c r="AN486" s="124">
        <f>IF(OR(Y486="",G486=""),"",Y486-G486)</f>
        <v/>
      </c>
      <c r="AO486" s="124">
        <f>IF(OR(Z486="",H486=""),"",Z486-H486)</f>
        <v/>
      </c>
      <c r="AP486" s="124">
        <f>IF(OR(AA486="",I486=""),"",AA486-I486)</f>
        <v/>
      </c>
      <c r="AQ486" s="90">
        <f>IF(OR(AB486="",J486=""),"",AB486-J486)</f>
        <v/>
      </c>
      <c r="AR486" s="39" t="n"/>
      <c r="AS486" s="332" t="n"/>
      <c r="AT486" s="39" t="n"/>
    </row>
    <row r="487" ht="13.5" customHeight="1" s="279" thickBot="1">
      <c r="B487" s="295" t="n"/>
      <c r="C487" s="29" t="n"/>
      <c r="D487" s="191" t="n"/>
      <c r="E487" s="58" t="n"/>
      <c r="F487" s="194" t="n"/>
      <c r="G487" s="194" t="n"/>
      <c r="H487" s="194" t="n"/>
      <c r="I487" s="58" t="n"/>
      <c r="J487" s="58" t="n"/>
      <c r="K487" s="193" t="n"/>
      <c r="L487" s="357" t="n"/>
      <c r="M487" s="357" t="n"/>
      <c r="N487" s="58" t="n"/>
      <c r="O487" s="30" t="n"/>
      <c r="P487" s="58" t="n"/>
      <c r="Q487" s="30" t="n"/>
      <c r="R487" s="189" t="n"/>
      <c r="S487" s="301" t="n"/>
      <c r="T487" s="295" t="n"/>
      <c r="U487" s="29" t="n"/>
      <c r="V487" s="191" t="n"/>
      <c r="W487" s="58" t="n"/>
      <c r="X487" s="194" t="n"/>
      <c r="Y487" s="194" t="n"/>
      <c r="Z487" s="194" t="n"/>
      <c r="AA487" s="58" t="n"/>
      <c r="AB487" s="58" t="n"/>
      <c r="AC487" s="193" t="n"/>
      <c r="AD487" s="357" t="n"/>
      <c r="AE487" s="357" t="n"/>
      <c r="AF487" s="58" t="n"/>
      <c r="AG487" s="30" t="n"/>
      <c r="AH487" s="58" t="n"/>
      <c r="AI487" s="30" t="n"/>
      <c r="AJ487" s="189" t="n"/>
      <c r="AK487" s="212" t="n"/>
      <c r="AL487" s="295" t="n"/>
      <c r="AM487" s="125">
        <f>IF(OR(X487="",F487=""),"",X487-F487)</f>
        <v/>
      </c>
      <c r="AN487" s="126">
        <f>IF(OR(Y487="",G487=""),"",Y487-G487)</f>
        <v/>
      </c>
      <c r="AO487" s="126">
        <f>IF(OR(Z487="",H487=""),"",Z487-H487)</f>
        <v/>
      </c>
      <c r="AP487" s="126">
        <f>IF(OR(AA487="",I487=""),"",AA487-I487)</f>
        <v/>
      </c>
      <c r="AQ487" s="127">
        <f>IF(OR(AB487="",J487=""),"",AB487-J487)</f>
        <v/>
      </c>
      <c r="AR487" s="39" t="n"/>
      <c r="AS487" s="332" t="n"/>
      <c r="AT487" s="39" t="n"/>
    </row>
    <row r="488" ht="13.5" customHeight="1" s="279">
      <c r="B488" s="293" t="inlineStr">
        <is>
          <t>v91</t>
        </is>
      </c>
      <c r="C488" s="27" t="inlineStr">
        <is>
          <t>r01</t>
        </is>
      </c>
      <c r="D488" s="41" t="n"/>
      <c r="E488" s="57" t="n"/>
      <c r="F488" s="99" t="n"/>
      <c r="G488" s="99" t="n"/>
      <c r="H488" s="99" t="n"/>
      <c r="I488" s="62" t="n"/>
      <c r="J488" s="62" t="n"/>
      <c r="K488" s="63" t="n"/>
      <c r="L488" s="356" t="n"/>
      <c r="M488" s="356" t="n"/>
      <c r="N488" s="57" t="n"/>
      <c r="O488" s="28" t="n"/>
      <c r="P488" s="57" t="n"/>
      <c r="Q488" s="28" t="n"/>
      <c r="R488" s="134" t="n"/>
      <c r="S488" s="301" t="n"/>
      <c r="T488" s="293" t="inlineStr">
        <is>
          <t>v91</t>
        </is>
      </c>
      <c r="U488" s="27" t="inlineStr">
        <is>
          <t>r01</t>
        </is>
      </c>
      <c r="V488" s="41" t="n"/>
      <c r="W488" s="57" t="n"/>
      <c r="X488" s="99" t="n"/>
      <c r="Y488" s="99" t="n"/>
      <c r="Z488" s="99" t="n"/>
      <c r="AA488" s="62" t="n"/>
      <c r="AB488" s="62" t="n"/>
      <c r="AC488" s="63" t="n"/>
      <c r="AD488" s="356" t="n"/>
      <c r="AE488" s="356" t="n"/>
      <c r="AF488" s="57" t="n"/>
      <c r="AG488" s="28" t="n"/>
      <c r="AH488" s="57" t="n"/>
      <c r="AI488" s="28" t="n"/>
      <c r="AJ488" s="134" t="n"/>
      <c r="AK488" s="212" t="n"/>
      <c r="AL488" s="293" t="inlineStr">
        <is>
          <t>v91</t>
        </is>
      </c>
      <c r="AM488" s="122">
        <f>IF(OR(X488="",F488=""),"",X488-F488)</f>
        <v/>
      </c>
      <c r="AN488" s="98">
        <f>IF(OR(Y488="",G488=""),"",Y488-G488)</f>
        <v/>
      </c>
      <c r="AO488" s="98">
        <f>IF(OR(Z488="",H488=""),"",Z488-H488)</f>
        <v/>
      </c>
      <c r="AP488" s="98">
        <f>IF(OR(AA488="",I488=""),"",AA488-I488)</f>
        <v/>
      </c>
      <c r="AQ488" s="123">
        <f>IF(OR(AB488="",J488=""),"",AB488-J488)</f>
        <v/>
      </c>
      <c r="AR488" s="39" t="n"/>
      <c r="AS488" s="332" t="n"/>
      <c r="AT488" s="39" t="n"/>
    </row>
    <row r="489" ht="13.5" customHeight="1" s="279">
      <c r="B489" s="294" t="n"/>
      <c r="C489" s="29" t="inlineStr">
        <is>
          <t>r02</t>
        </is>
      </c>
      <c r="D489" s="191" t="n"/>
      <c r="E489" s="58" t="n"/>
      <c r="F489" s="192" t="n"/>
      <c r="G489" s="192" t="n"/>
      <c r="H489" s="192" t="n"/>
      <c r="I489" s="64" t="n"/>
      <c r="J489" s="64" t="n"/>
      <c r="K489" s="193" t="n"/>
      <c r="L489" s="357" t="n"/>
      <c r="M489" s="357" t="n"/>
      <c r="N489" s="58" t="n"/>
      <c r="O489" s="30" t="n"/>
      <c r="P489" s="58" t="n"/>
      <c r="Q489" s="30" t="n"/>
      <c r="R489" s="135" t="n"/>
      <c r="S489" s="301" t="n"/>
      <c r="T489" s="294" t="n"/>
      <c r="U489" s="29" t="inlineStr">
        <is>
          <t>r02</t>
        </is>
      </c>
      <c r="V489" s="191" t="n"/>
      <c r="W489" s="58" t="n"/>
      <c r="X489" s="192" t="n"/>
      <c r="Y489" s="192" t="n"/>
      <c r="Z489" s="192" t="n"/>
      <c r="AA489" s="64" t="n"/>
      <c r="AB489" s="64" t="n"/>
      <c r="AC489" s="193" t="n"/>
      <c r="AD489" s="357" t="n"/>
      <c r="AE489" s="357" t="n"/>
      <c r="AF489" s="58" t="n"/>
      <c r="AG489" s="30" t="n"/>
      <c r="AH489" s="58" t="n"/>
      <c r="AI489" s="30" t="n"/>
      <c r="AJ489" s="135" t="n"/>
      <c r="AK489" s="212" t="n"/>
      <c r="AL489" s="294" t="n"/>
      <c r="AM489" s="89">
        <f>IF(OR(X489="",F489=""),"",X489-F489)</f>
        <v/>
      </c>
      <c r="AN489" s="124">
        <f>IF(OR(Y489="",G489=""),"",Y489-G489)</f>
        <v/>
      </c>
      <c r="AO489" s="124">
        <f>IF(OR(Z489="",H489=""),"",Z489-H489)</f>
        <v/>
      </c>
      <c r="AP489" s="124">
        <f>IF(OR(AA489="",I489=""),"",AA489-I489)</f>
        <v/>
      </c>
      <c r="AQ489" s="90">
        <f>IF(OR(AB489="",J489=""),"",AB489-J489)</f>
        <v/>
      </c>
      <c r="AR489" s="39" t="n"/>
      <c r="AS489" s="332" t="n"/>
      <c r="AT489" s="39" t="n"/>
    </row>
    <row r="490" ht="13.5" customHeight="1" s="279">
      <c r="B490" s="294" t="n"/>
      <c r="C490" s="29" t="inlineStr">
        <is>
          <t>r03</t>
        </is>
      </c>
      <c r="D490" s="191" t="n"/>
      <c r="E490" s="58" t="n"/>
      <c r="F490" s="192" t="n"/>
      <c r="G490" s="192" t="n"/>
      <c r="H490" s="192" t="n"/>
      <c r="I490" s="64" t="n"/>
      <c r="J490" s="64" t="n"/>
      <c r="K490" s="193" t="n"/>
      <c r="L490" s="357" t="n"/>
      <c r="M490" s="357" t="n"/>
      <c r="N490" s="58" t="n"/>
      <c r="O490" s="30" t="n"/>
      <c r="P490" s="58" t="n"/>
      <c r="Q490" s="30" t="n"/>
      <c r="R490" s="135" t="n"/>
      <c r="S490" s="301" t="n"/>
      <c r="T490" s="294" t="n"/>
      <c r="U490" s="29" t="inlineStr">
        <is>
          <t>r03</t>
        </is>
      </c>
      <c r="V490" s="191" t="n"/>
      <c r="W490" s="58" t="n"/>
      <c r="X490" s="192" t="n"/>
      <c r="Y490" s="192" t="n"/>
      <c r="Z490" s="192" t="n"/>
      <c r="AA490" s="64" t="n"/>
      <c r="AB490" s="64" t="n"/>
      <c r="AC490" s="193" t="n"/>
      <c r="AD490" s="357" t="n"/>
      <c r="AE490" s="357" t="n"/>
      <c r="AF490" s="58" t="n"/>
      <c r="AG490" s="30" t="n"/>
      <c r="AH490" s="58" t="n"/>
      <c r="AI490" s="30" t="n"/>
      <c r="AJ490" s="135" t="n"/>
      <c r="AK490" s="212" t="n"/>
      <c r="AL490" s="294" t="n"/>
      <c r="AM490" s="89">
        <f>IF(OR(X490="",F490=""),"",X490-F490)</f>
        <v/>
      </c>
      <c r="AN490" s="124">
        <f>IF(OR(Y490="",G490=""),"",Y490-G490)</f>
        <v/>
      </c>
      <c r="AO490" s="124">
        <f>IF(OR(Z490="",H490=""),"",Z490-H490)</f>
        <v/>
      </c>
      <c r="AP490" s="124">
        <f>IF(OR(AA490="",I490=""),"",AA490-I490)</f>
        <v/>
      </c>
      <c r="AQ490" s="90">
        <f>IF(OR(AB490="",J490=""),"",AB490-J490)</f>
        <v/>
      </c>
      <c r="AR490" s="39" t="n"/>
      <c r="AS490" s="332" t="n"/>
      <c r="AT490" s="39" t="n"/>
    </row>
    <row r="491" ht="13.5" customHeight="1" s="279">
      <c r="B491" s="294" t="n"/>
      <c r="C491" s="29" t="inlineStr">
        <is>
          <t>r04</t>
        </is>
      </c>
      <c r="D491" s="191" t="n"/>
      <c r="E491" s="58" t="n"/>
      <c r="F491" s="192" t="n"/>
      <c r="G491" s="192" t="n"/>
      <c r="H491" s="192" t="n"/>
      <c r="I491" s="64" t="n"/>
      <c r="J491" s="64" t="n"/>
      <c r="K491" s="193" t="n"/>
      <c r="L491" s="357" t="n"/>
      <c r="M491" s="357" t="n"/>
      <c r="N491" s="58" t="n"/>
      <c r="O491" s="30" t="n"/>
      <c r="P491" s="58" t="n"/>
      <c r="Q491" s="30" t="n"/>
      <c r="R491" s="135" t="n"/>
      <c r="S491" s="301" t="n"/>
      <c r="T491" s="294" t="n"/>
      <c r="U491" s="29" t="inlineStr">
        <is>
          <t>r04</t>
        </is>
      </c>
      <c r="V491" s="191" t="n"/>
      <c r="W491" s="58" t="n"/>
      <c r="X491" s="192" t="n"/>
      <c r="Y491" s="192" t="n"/>
      <c r="Z491" s="192" t="n"/>
      <c r="AA491" s="64" t="n"/>
      <c r="AB491" s="64" t="n"/>
      <c r="AC491" s="193" t="n"/>
      <c r="AD491" s="357" t="n"/>
      <c r="AE491" s="357" t="n"/>
      <c r="AF491" s="58" t="n"/>
      <c r="AG491" s="30" t="n"/>
      <c r="AH491" s="58" t="n"/>
      <c r="AI491" s="30" t="n"/>
      <c r="AJ491" s="135" t="n"/>
      <c r="AK491" s="212" t="n"/>
      <c r="AL491" s="294" t="n"/>
      <c r="AM491" s="89">
        <f>IF(OR(X491="",F491=""),"",X491-F491)</f>
        <v/>
      </c>
      <c r="AN491" s="124">
        <f>IF(OR(Y491="",G491=""),"",Y491-G491)</f>
        <v/>
      </c>
      <c r="AO491" s="124">
        <f>IF(OR(Z491="",H491=""),"",Z491-H491)</f>
        <v/>
      </c>
      <c r="AP491" s="124">
        <f>IF(OR(AA491="",I491=""),"",AA491-I491)</f>
        <v/>
      </c>
      <c r="AQ491" s="90">
        <f>IF(OR(AB491="",J491=""),"",AB491-J491)</f>
        <v/>
      </c>
      <c r="AR491" s="39" t="n"/>
      <c r="AS491" s="332" t="n"/>
      <c r="AT491" s="39" t="n"/>
    </row>
    <row r="492" ht="13.5" customHeight="1" s="279" thickBot="1">
      <c r="B492" s="295" t="n"/>
      <c r="C492" s="29" t="n"/>
      <c r="D492" s="191" t="n"/>
      <c r="E492" s="58" t="n"/>
      <c r="F492" s="194" t="n"/>
      <c r="G492" s="194" t="n"/>
      <c r="H492" s="194" t="n"/>
      <c r="I492" s="58" t="n"/>
      <c r="J492" s="58" t="n"/>
      <c r="K492" s="193" t="n"/>
      <c r="L492" s="357" t="n"/>
      <c r="M492" s="357" t="n"/>
      <c r="N492" s="58" t="n"/>
      <c r="O492" s="30" t="n"/>
      <c r="P492" s="58" t="n"/>
      <c r="Q492" s="30" t="n"/>
      <c r="R492" s="189" t="n"/>
      <c r="S492" s="301" t="n"/>
      <c r="T492" s="295" t="n"/>
      <c r="U492" s="29" t="n"/>
      <c r="V492" s="191" t="n"/>
      <c r="W492" s="58" t="n"/>
      <c r="X492" s="194" t="n"/>
      <c r="Y492" s="194" t="n"/>
      <c r="Z492" s="194" t="n"/>
      <c r="AA492" s="58" t="n"/>
      <c r="AB492" s="58" t="n"/>
      <c r="AC492" s="193" t="n"/>
      <c r="AD492" s="357" t="n"/>
      <c r="AE492" s="357" t="n"/>
      <c r="AF492" s="58" t="n"/>
      <c r="AG492" s="30" t="n"/>
      <c r="AH492" s="58" t="n"/>
      <c r="AI492" s="30" t="n"/>
      <c r="AJ492" s="189" t="n"/>
      <c r="AK492" s="212" t="n"/>
      <c r="AL492" s="295" t="n"/>
      <c r="AM492" s="125">
        <f>IF(OR(X492="",F492=""),"",X492-F492)</f>
        <v/>
      </c>
      <c r="AN492" s="126">
        <f>IF(OR(Y492="",G492=""),"",Y492-G492)</f>
        <v/>
      </c>
      <c r="AO492" s="126">
        <f>IF(OR(Z492="",H492=""),"",Z492-H492)</f>
        <v/>
      </c>
      <c r="AP492" s="126">
        <f>IF(OR(AA492="",I492=""),"",AA492-I492)</f>
        <v/>
      </c>
      <c r="AQ492" s="127">
        <f>IF(OR(AB492="",J492=""),"",AB492-J492)</f>
        <v/>
      </c>
      <c r="AR492" s="39" t="n"/>
      <c r="AS492" s="332" t="n"/>
      <c r="AT492" s="39" t="n"/>
    </row>
    <row r="493" ht="13.5" customHeight="1" s="279">
      <c r="B493" s="293" t="inlineStr">
        <is>
          <t>v92</t>
        </is>
      </c>
      <c r="C493" s="27" t="inlineStr">
        <is>
          <t>r01</t>
        </is>
      </c>
      <c r="D493" s="41" t="n"/>
      <c r="E493" s="57" t="n"/>
      <c r="F493" s="99" t="n"/>
      <c r="G493" s="99" t="n"/>
      <c r="H493" s="99" t="n"/>
      <c r="I493" s="62" t="n"/>
      <c r="J493" s="62" t="n"/>
      <c r="K493" s="63" t="n"/>
      <c r="L493" s="356" t="n"/>
      <c r="M493" s="356" t="n"/>
      <c r="N493" s="57" t="n"/>
      <c r="O493" s="28" t="n"/>
      <c r="P493" s="57" t="n"/>
      <c r="Q493" s="28" t="n"/>
      <c r="R493" s="134" t="n"/>
      <c r="S493" s="301" t="n"/>
      <c r="T493" s="293" t="inlineStr">
        <is>
          <t>v92</t>
        </is>
      </c>
      <c r="U493" s="27" t="inlineStr">
        <is>
          <t>r01</t>
        </is>
      </c>
      <c r="V493" s="41" t="n"/>
      <c r="W493" s="57" t="n"/>
      <c r="X493" s="99" t="n"/>
      <c r="Y493" s="99" t="n"/>
      <c r="Z493" s="99" t="n"/>
      <c r="AA493" s="62" t="n"/>
      <c r="AB493" s="62" t="n"/>
      <c r="AC493" s="63" t="n"/>
      <c r="AD493" s="356" t="n"/>
      <c r="AE493" s="356" t="n"/>
      <c r="AF493" s="57" t="n"/>
      <c r="AG493" s="28" t="n"/>
      <c r="AH493" s="57" t="n"/>
      <c r="AI493" s="28" t="n"/>
      <c r="AJ493" s="134" t="n"/>
      <c r="AK493" s="212" t="n"/>
      <c r="AL493" s="293" t="inlineStr">
        <is>
          <t>v92</t>
        </is>
      </c>
      <c r="AM493" s="122">
        <f>IF(OR(X493="",F493=""),"",X493-F493)</f>
        <v/>
      </c>
      <c r="AN493" s="98">
        <f>IF(OR(Y493="",G493=""),"",Y493-G493)</f>
        <v/>
      </c>
      <c r="AO493" s="98">
        <f>IF(OR(Z493="",H493=""),"",Z493-H493)</f>
        <v/>
      </c>
      <c r="AP493" s="98">
        <f>IF(OR(AA493="",I493=""),"",AA493-I493)</f>
        <v/>
      </c>
      <c r="AQ493" s="123">
        <f>IF(OR(AB493="",J493=""),"",AB493-J493)</f>
        <v/>
      </c>
      <c r="AR493" s="39" t="n"/>
      <c r="AS493" s="332" t="n"/>
      <c r="AT493" s="39" t="n"/>
    </row>
    <row r="494" ht="13.5" customHeight="1" s="279">
      <c r="B494" s="294" t="n"/>
      <c r="C494" s="29" t="inlineStr">
        <is>
          <t>r02</t>
        </is>
      </c>
      <c r="D494" s="191" t="n"/>
      <c r="E494" s="58" t="n"/>
      <c r="F494" s="192" t="n"/>
      <c r="G494" s="192" t="n"/>
      <c r="H494" s="192" t="n"/>
      <c r="I494" s="64" t="n"/>
      <c r="J494" s="64" t="n"/>
      <c r="K494" s="193" t="n"/>
      <c r="L494" s="357" t="n"/>
      <c r="M494" s="357" t="n"/>
      <c r="N494" s="58" t="n"/>
      <c r="O494" s="30" t="n"/>
      <c r="P494" s="58" t="n"/>
      <c r="Q494" s="30" t="n"/>
      <c r="R494" s="135" t="n"/>
      <c r="S494" s="301" t="n"/>
      <c r="T494" s="294" t="n"/>
      <c r="U494" s="29" t="inlineStr">
        <is>
          <t>r02</t>
        </is>
      </c>
      <c r="V494" s="191" t="n"/>
      <c r="W494" s="58" t="n"/>
      <c r="X494" s="192" t="n"/>
      <c r="Y494" s="192" t="n"/>
      <c r="Z494" s="192" t="n"/>
      <c r="AA494" s="64" t="n"/>
      <c r="AB494" s="64" t="n"/>
      <c r="AC494" s="193" t="n"/>
      <c r="AD494" s="357" t="n"/>
      <c r="AE494" s="357" t="n"/>
      <c r="AF494" s="58" t="n"/>
      <c r="AG494" s="30" t="n"/>
      <c r="AH494" s="58" t="n"/>
      <c r="AI494" s="30" t="n"/>
      <c r="AJ494" s="135" t="n"/>
      <c r="AK494" s="212" t="n"/>
      <c r="AL494" s="294" t="n"/>
      <c r="AM494" s="89">
        <f>IF(OR(X494="",F494=""),"",X494-F494)</f>
        <v/>
      </c>
      <c r="AN494" s="124">
        <f>IF(OR(Y494="",G494=""),"",Y494-G494)</f>
        <v/>
      </c>
      <c r="AO494" s="124">
        <f>IF(OR(Z494="",H494=""),"",Z494-H494)</f>
        <v/>
      </c>
      <c r="AP494" s="124">
        <f>IF(OR(AA494="",I494=""),"",AA494-I494)</f>
        <v/>
      </c>
      <c r="AQ494" s="90">
        <f>IF(OR(AB494="",J494=""),"",AB494-J494)</f>
        <v/>
      </c>
      <c r="AR494" s="39" t="n"/>
      <c r="AS494" s="332" t="n"/>
      <c r="AT494" s="39" t="n"/>
    </row>
    <row r="495" ht="13.5" customHeight="1" s="279">
      <c r="B495" s="294" t="n"/>
      <c r="C495" s="29" t="inlineStr">
        <is>
          <t>r03</t>
        </is>
      </c>
      <c r="D495" s="191" t="n"/>
      <c r="E495" s="58" t="n"/>
      <c r="F495" s="192" t="n"/>
      <c r="G495" s="192" t="n"/>
      <c r="H495" s="192" t="n"/>
      <c r="I495" s="64" t="n"/>
      <c r="J495" s="64" t="n"/>
      <c r="K495" s="193" t="n"/>
      <c r="L495" s="357" t="n"/>
      <c r="M495" s="357" t="n"/>
      <c r="N495" s="58" t="n"/>
      <c r="O495" s="30" t="n"/>
      <c r="P495" s="58" t="n"/>
      <c r="Q495" s="30" t="n"/>
      <c r="R495" s="135" t="n"/>
      <c r="S495" s="301" t="n"/>
      <c r="T495" s="294" t="n"/>
      <c r="U495" s="29" t="inlineStr">
        <is>
          <t>r03</t>
        </is>
      </c>
      <c r="V495" s="191" t="n"/>
      <c r="W495" s="58" t="n"/>
      <c r="X495" s="192" t="n"/>
      <c r="Y495" s="192" t="n"/>
      <c r="Z495" s="192" t="n"/>
      <c r="AA495" s="64" t="n"/>
      <c r="AB495" s="64" t="n"/>
      <c r="AC495" s="193" t="n"/>
      <c r="AD495" s="357" t="n"/>
      <c r="AE495" s="357" t="n"/>
      <c r="AF495" s="58" t="n"/>
      <c r="AG495" s="30" t="n"/>
      <c r="AH495" s="58" t="n"/>
      <c r="AI495" s="30" t="n"/>
      <c r="AJ495" s="135" t="n"/>
      <c r="AK495" s="212" t="n"/>
      <c r="AL495" s="294" t="n"/>
      <c r="AM495" s="89">
        <f>IF(OR(X495="",F495=""),"",X495-F495)</f>
        <v/>
      </c>
      <c r="AN495" s="124">
        <f>IF(OR(Y495="",G495=""),"",Y495-G495)</f>
        <v/>
      </c>
      <c r="AO495" s="124">
        <f>IF(OR(Z495="",H495=""),"",Z495-H495)</f>
        <v/>
      </c>
      <c r="AP495" s="124">
        <f>IF(OR(AA495="",I495=""),"",AA495-I495)</f>
        <v/>
      </c>
      <c r="AQ495" s="90">
        <f>IF(OR(AB495="",J495=""),"",AB495-J495)</f>
        <v/>
      </c>
      <c r="AR495" s="39" t="n"/>
      <c r="AS495" s="332" t="n"/>
      <c r="AT495" s="39" t="n"/>
    </row>
    <row r="496" ht="13.5" customHeight="1" s="279">
      <c r="B496" s="294" t="n"/>
      <c r="C496" s="29" t="inlineStr">
        <is>
          <t>r04</t>
        </is>
      </c>
      <c r="D496" s="191" t="n"/>
      <c r="E496" s="58" t="n"/>
      <c r="F496" s="192" t="n"/>
      <c r="G496" s="192" t="n"/>
      <c r="H496" s="192" t="n"/>
      <c r="I496" s="64" t="n"/>
      <c r="J496" s="64" t="n"/>
      <c r="K496" s="193" t="n"/>
      <c r="L496" s="357" t="n"/>
      <c r="M496" s="357" t="n"/>
      <c r="N496" s="58" t="n"/>
      <c r="O496" s="30" t="n"/>
      <c r="P496" s="58" t="n"/>
      <c r="Q496" s="30" t="n"/>
      <c r="R496" s="135" t="n"/>
      <c r="S496" s="301" t="n"/>
      <c r="T496" s="294" t="n"/>
      <c r="U496" s="29" t="inlineStr">
        <is>
          <t>r04</t>
        </is>
      </c>
      <c r="V496" s="191" t="n"/>
      <c r="W496" s="58" t="n"/>
      <c r="X496" s="192" t="n"/>
      <c r="Y496" s="192" t="n"/>
      <c r="Z496" s="192" t="n"/>
      <c r="AA496" s="64" t="n"/>
      <c r="AB496" s="64" t="n"/>
      <c r="AC496" s="193" t="n"/>
      <c r="AD496" s="357" t="n"/>
      <c r="AE496" s="357" t="n"/>
      <c r="AF496" s="58" t="n"/>
      <c r="AG496" s="30" t="n"/>
      <c r="AH496" s="58" t="n"/>
      <c r="AI496" s="30" t="n"/>
      <c r="AJ496" s="135" t="n"/>
      <c r="AK496" s="212" t="n"/>
      <c r="AL496" s="294" t="n"/>
      <c r="AM496" s="89">
        <f>IF(OR(X496="",F496=""),"",X496-F496)</f>
        <v/>
      </c>
      <c r="AN496" s="124">
        <f>IF(OR(Y496="",G496=""),"",Y496-G496)</f>
        <v/>
      </c>
      <c r="AO496" s="124">
        <f>IF(OR(Z496="",H496=""),"",Z496-H496)</f>
        <v/>
      </c>
      <c r="AP496" s="124">
        <f>IF(OR(AA496="",I496=""),"",AA496-I496)</f>
        <v/>
      </c>
      <c r="AQ496" s="90">
        <f>IF(OR(AB496="",J496=""),"",AB496-J496)</f>
        <v/>
      </c>
      <c r="AR496" s="39" t="n"/>
      <c r="AS496" s="332" t="n"/>
      <c r="AT496" s="39" t="n"/>
    </row>
    <row r="497" ht="13.5" customHeight="1" s="279" thickBot="1">
      <c r="B497" s="295" t="n"/>
      <c r="C497" s="29" t="n"/>
      <c r="D497" s="191" t="n"/>
      <c r="E497" s="58" t="n"/>
      <c r="F497" s="194" t="n"/>
      <c r="G497" s="194" t="n"/>
      <c r="H497" s="194" t="n"/>
      <c r="I497" s="58" t="n"/>
      <c r="J497" s="58" t="n"/>
      <c r="K497" s="193" t="n"/>
      <c r="L497" s="357" t="n"/>
      <c r="M497" s="357" t="n"/>
      <c r="N497" s="58" t="n"/>
      <c r="O497" s="30" t="n"/>
      <c r="P497" s="58" t="n"/>
      <c r="Q497" s="30" t="n"/>
      <c r="R497" s="189" t="n"/>
      <c r="S497" s="301" t="n"/>
      <c r="T497" s="295" t="n"/>
      <c r="U497" s="29" t="n"/>
      <c r="V497" s="191" t="n"/>
      <c r="W497" s="58" t="n"/>
      <c r="X497" s="194" t="n"/>
      <c r="Y497" s="194" t="n"/>
      <c r="Z497" s="194" t="n"/>
      <c r="AA497" s="58" t="n"/>
      <c r="AB497" s="58" t="n"/>
      <c r="AC497" s="193" t="n"/>
      <c r="AD497" s="357" t="n"/>
      <c r="AE497" s="357" t="n"/>
      <c r="AF497" s="58" t="n"/>
      <c r="AG497" s="30" t="n"/>
      <c r="AH497" s="58" t="n"/>
      <c r="AI497" s="30" t="n"/>
      <c r="AJ497" s="189" t="n"/>
      <c r="AK497" s="212" t="n"/>
      <c r="AL497" s="295" t="n"/>
      <c r="AM497" s="125">
        <f>IF(OR(X497="",F497=""),"",X497-F497)</f>
        <v/>
      </c>
      <c r="AN497" s="126">
        <f>IF(OR(Y497="",G497=""),"",Y497-G497)</f>
        <v/>
      </c>
      <c r="AO497" s="126">
        <f>IF(OR(Z497="",H497=""),"",Z497-H497)</f>
        <v/>
      </c>
      <c r="AP497" s="126">
        <f>IF(OR(AA497="",I497=""),"",AA497-I497)</f>
        <v/>
      </c>
      <c r="AQ497" s="127">
        <f>IF(OR(AB497="",J497=""),"",AB497-J497)</f>
        <v/>
      </c>
      <c r="AR497" s="39" t="n"/>
      <c r="AS497" s="332" t="n"/>
      <c r="AT497" s="39" t="n"/>
    </row>
    <row r="498" ht="13.5" customHeight="1" s="279">
      <c r="B498" s="293" t="inlineStr">
        <is>
          <t>v93</t>
        </is>
      </c>
      <c r="C498" s="27" t="inlineStr">
        <is>
          <t>r01</t>
        </is>
      </c>
      <c r="D498" s="41" t="n"/>
      <c r="E498" s="57" t="n"/>
      <c r="F498" s="99" t="n"/>
      <c r="G498" s="99" t="n"/>
      <c r="H498" s="99" t="n"/>
      <c r="I498" s="62" t="n"/>
      <c r="J498" s="62" t="n"/>
      <c r="K498" s="63" t="n"/>
      <c r="L498" s="356" t="n"/>
      <c r="M498" s="356" t="n"/>
      <c r="N498" s="57" t="n"/>
      <c r="O498" s="28" t="n"/>
      <c r="P498" s="57" t="n"/>
      <c r="Q498" s="28" t="n"/>
      <c r="R498" s="134" t="n"/>
      <c r="S498" s="301" t="n"/>
      <c r="T498" s="293" t="inlineStr">
        <is>
          <t>v93</t>
        </is>
      </c>
      <c r="U498" s="27" t="inlineStr">
        <is>
          <t>r01</t>
        </is>
      </c>
      <c r="V498" s="41" t="n"/>
      <c r="W498" s="57" t="n"/>
      <c r="X498" s="99" t="n"/>
      <c r="Y498" s="99" t="n"/>
      <c r="Z498" s="99" t="n"/>
      <c r="AA498" s="62" t="n"/>
      <c r="AB498" s="62" t="n"/>
      <c r="AC498" s="63" t="n"/>
      <c r="AD498" s="356" t="n"/>
      <c r="AE498" s="356" t="n"/>
      <c r="AF498" s="57" t="n"/>
      <c r="AG498" s="28" t="n"/>
      <c r="AH498" s="57" t="n"/>
      <c r="AI498" s="28" t="n"/>
      <c r="AJ498" s="134" t="n"/>
      <c r="AK498" s="212" t="n"/>
      <c r="AL498" s="293" t="inlineStr">
        <is>
          <t>v93</t>
        </is>
      </c>
      <c r="AM498" s="122">
        <f>IF(OR(X498="",F498=""),"",X498-F498)</f>
        <v/>
      </c>
      <c r="AN498" s="98">
        <f>IF(OR(Y498="",G498=""),"",Y498-G498)</f>
        <v/>
      </c>
      <c r="AO498" s="98">
        <f>IF(OR(Z498="",H498=""),"",Z498-H498)</f>
        <v/>
      </c>
      <c r="AP498" s="98">
        <f>IF(OR(AA498="",I498=""),"",AA498-I498)</f>
        <v/>
      </c>
      <c r="AQ498" s="123">
        <f>IF(OR(AB498="",J498=""),"",AB498-J498)</f>
        <v/>
      </c>
      <c r="AR498" s="39" t="n"/>
      <c r="AS498" s="332" t="n"/>
      <c r="AT498" s="39" t="n"/>
    </row>
    <row r="499" ht="13.5" customHeight="1" s="279">
      <c r="B499" s="294" t="n"/>
      <c r="C499" s="29" t="inlineStr">
        <is>
          <t>r02</t>
        </is>
      </c>
      <c r="D499" s="191" t="n"/>
      <c r="E499" s="58" t="n"/>
      <c r="F499" s="192" t="n"/>
      <c r="G499" s="192" t="n"/>
      <c r="H499" s="192" t="n"/>
      <c r="I499" s="64" t="n"/>
      <c r="J499" s="64" t="n"/>
      <c r="K499" s="193" t="n"/>
      <c r="L499" s="357" t="n"/>
      <c r="M499" s="357" t="n"/>
      <c r="N499" s="58" t="n"/>
      <c r="O499" s="30" t="n"/>
      <c r="P499" s="58" t="n"/>
      <c r="Q499" s="30" t="n"/>
      <c r="R499" s="135" t="n"/>
      <c r="S499" s="301" t="n"/>
      <c r="T499" s="294" t="n"/>
      <c r="U499" s="29" t="inlineStr">
        <is>
          <t>r02</t>
        </is>
      </c>
      <c r="V499" s="191" t="n"/>
      <c r="W499" s="58" t="n"/>
      <c r="X499" s="192" t="n"/>
      <c r="Y499" s="192" t="n"/>
      <c r="Z499" s="192" t="n"/>
      <c r="AA499" s="64" t="n"/>
      <c r="AB499" s="64" t="n"/>
      <c r="AC499" s="193" t="n"/>
      <c r="AD499" s="357" t="n"/>
      <c r="AE499" s="357" t="n"/>
      <c r="AF499" s="58" t="n"/>
      <c r="AG499" s="30" t="n"/>
      <c r="AH499" s="58" t="n"/>
      <c r="AI499" s="30" t="n"/>
      <c r="AJ499" s="135" t="n"/>
      <c r="AK499" s="212" t="n"/>
      <c r="AL499" s="294" t="n"/>
      <c r="AM499" s="89">
        <f>IF(OR(X499="",F499=""),"",X499-F499)</f>
        <v/>
      </c>
      <c r="AN499" s="124">
        <f>IF(OR(Y499="",G499=""),"",Y499-G499)</f>
        <v/>
      </c>
      <c r="AO499" s="124">
        <f>IF(OR(Z499="",H499=""),"",Z499-H499)</f>
        <v/>
      </c>
      <c r="AP499" s="124">
        <f>IF(OR(AA499="",I499=""),"",AA499-I499)</f>
        <v/>
      </c>
      <c r="AQ499" s="90">
        <f>IF(OR(AB499="",J499=""),"",AB499-J499)</f>
        <v/>
      </c>
      <c r="AR499" s="39" t="n"/>
      <c r="AS499" s="332" t="n"/>
      <c r="AT499" s="39" t="n"/>
    </row>
    <row r="500" ht="13.5" customHeight="1" s="279">
      <c r="B500" s="294" t="n"/>
      <c r="C500" s="29" t="inlineStr">
        <is>
          <t>r03</t>
        </is>
      </c>
      <c r="D500" s="191" t="n"/>
      <c r="E500" s="58" t="n"/>
      <c r="F500" s="192" t="n"/>
      <c r="G500" s="192" t="n"/>
      <c r="H500" s="192" t="n"/>
      <c r="I500" s="64" t="n"/>
      <c r="J500" s="64" t="n"/>
      <c r="K500" s="193" t="n"/>
      <c r="L500" s="357" t="n"/>
      <c r="M500" s="357" t="n"/>
      <c r="N500" s="58" t="n"/>
      <c r="O500" s="30" t="n"/>
      <c r="P500" s="58" t="n"/>
      <c r="Q500" s="30" t="n"/>
      <c r="R500" s="135" t="n"/>
      <c r="S500" s="301" t="n"/>
      <c r="T500" s="294" t="n"/>
      <c r="U500" s="29" t="inlineStr">
        <is>
          <t>r03</t>
        </is>
      </c>
      <c r="V500" s="191" t="n"/>
      <c r="W500" s="58" t="n"/>
      <c r="X500" s="192" t="n"/>
      <c r="Y500" s="192" t="n"/>
      <c r="Z500" s="192" t="n"/>
      <c r="AA500" s="64" t="n"/>
      <c r="AB500" s="64" t="n"/>
      <c r="AC500" s="193" t="n"/>
      <c r="AD500" s="357" t="n"/>
      <c r="AE500" s="357" t="n"/>
      <c r="AF500" s="58" t="n"/>
      <c r="AG500" s="30" t="n"/>
      <c r="AH500" s="58" t="n"/>
      <c r="AI500" s="30" t="n"/>
      <c r="AJ500" s="135" t="n"/>
      <c r="AK500" s="212" t="n"/>
      <c r="AL500" s="294" t="n"/>
      <c r="AM500" s="89">
        <f>IF(OR(X500="",F500=""),"",X500-F500)</f>
        <v/>
      </c>
      <c r="AN500" s="124">
        <f>IF(OR(Y500="",G500=""),"",Y500-G500)</f>
        <v/>
      </c>
      <c r="AO500" s="124">
        <f>IF(OR(Z500="",H500=""),"",Z500-H500)</f>
        <v/>
      </c>
      <c r="AP500" s="124">
        <f>IF(OR(AA500="",I500=""),"",AA500-I500)</f>
        <v/>
      </c>
      <c r="AQ500" s="90">
        <f>IF(OR(AB500="",J500=""),"",AB500-J500)</f>
        <v/>
      </c>
      <c r="AR500" s="39" t="n"/>
      <c r="AS500" s="332" t="n"/>
      <c r="AT500" s="39" t="n"/>
    </row>
    <row r="501" ht="13.5" customHeight="1" s="279">
      <c r="B501" s="294" t="n"/>
      <c r="C501" s="29" t="inlineStr">
        <is>
          <t>r04</t>
        </is>
      </c>
      <c r="D501" s="191" t="n"/>
      <c r="E501" s="58" t="n"/>
      <c r="F501" s="192" t="n"/>
      <c r="G501" s="192" t="n"/>
      <c r="H501" s="192" t="n"/>
      <c r="I501" s="64" t="n"/>
      <c r="J501" s="64" t="n"/>
      <c r="K501" s="193" t="n"/>
      <c r="L501" s="357" t="n"/>
      <c r="M501" s="357" t="n"/>
      <c r="N501" s="58" t="n"/>
      <c r="O501" s="30" t="n"/>
      <c r="P501" s="58" t="n"/>
      <c r="Q501" s="30" t="n"/>
      <c r="R501" s="135" t="n"/>
      <c r="S501" s="301" t="n"/>
      <c r="T501" s="294" t="n"/>
      <c r="U501" s="29" t="inlineStr">
        <is>
          <t>r04</t>
        </is>
      </c>
      <c r="V501" s="191" t="n"/>
      <c r="W501" s="58" t="n"/>
      <c r="X501" s="192" t="n"/>
      <c r="Y501" s="192" t="n"/>
      <c r="Z501" s="192" t="n"/>
      <c r="AA501" s="64" t="n"/>
      <c r="AB501" s="64" t="n"/>
      <c r="AC501" s="193" t="n"/>
      <c r="AD501" s="357" t="n"/>
      <c r="AE501" s="357" t="n"/>
      <c r="AF501" s="58" t="n"/>
      <c r="AG501" s="30" t="n"/>
      <c r="AH501" s="58" t="n"/>
      <c r="AI501" s="30" t="n"/>
      <c r="AJ501" s="135" t="n"/>
      <c r="AK501" s="212" t="n"/>
      <c r="AL501" s="294" t="n"/>
      <c r="AM501" s="89">
        <f>IF(OR(X501="",F501=""),"",X501-F501)</f>
        <v/>
      </c>
      <c r="AN501" s="124">
        <f>IF(OR(Y501="",G501=""),"",Y501-G501)</f>
        <v/>
      </c>
      <c r="AO501" s="124">
        <f>IF(OR(Z501="",H501=""),"",Z501-H501)</f>
        <v/>
      </c>
      <c r="AP501" s="124">
        <f>IF(OR(AA501="",I501=""),"",AA501-I501)</f>
        <v/>
      </c>
      <c r="AQ501" s="90">
        <f>IF(OR(AB501="",J501=""),"",AB501-J501)</f>
        <v/>
      </c>
      <c r="AR501" s="39" t="n"/>
      <c r="AS501" s="332" t="n"/>
      <c r="AT501" s="39" t="n"/>
    </row>
    <row r="502" ht="13.5" customHeight="1" s="279" thickBot="1">
      <c r="B502" s="295" t="n"/>
      <c r="C502" s="29" t="n"/>
      <c r="D502" s="191" t="n"/>
      <c r="E502" s="58" t="n"/>
      <c r="F502" s="194" t="n"/>
      <c r="G502" s="194" t="n"/>
      <c r="H502" s="194" t="n"/>
      <c r="I502" s="58" t="n"/>
      <c r="J502" s="58" t="n"/>
      <c r="K502" s="193" t="n"/>
      <c r="L502" s="357" t="n"/>
      <c r="M502" s="357" t="n"/>
      <c r="N502" s="58" t="n"/>
      <c r="O502" s="30" t="n"/>
      <c r="P502" s="58" t="n"/>
      <c r="Q502" s="30" t="n"/>
      <c r="R502" s="189" t="n"/>
      <c r="S502" s="301" t="n"/>
      <c r="T502" s="295" t="n"/>
      <c r="U502" s="29" t="n"/>
      <c r="V502" s="191" t="n"/>
      <c r="W502" s="58" t="n"/>
      <c r="X502" s="194" t="n"/>
      <c r="Y502" s="194" t="n"/>
      <c r="Z502" s="194" t="n"/>
      <c r="AA502" s="58" t="n"/>
      <c r="AB502" s="58" t="n"/>
      <c r="AC502" s="193" t="n"/>
      <c r="AD502" s="357" t="n"/>
      <c r="AE502" s="357" t="n"/>
      <c r="AF502" s="58" t="n"/>
      <c r="AG502" s="30" t="n"/>
      <c r="AH502" s="58" t="n"/>
      <c r="AI502" s="30" t="n"/>
      <c r="AJ502" s="189" t="n"/>
      <c r="AK502" s="212" t="n"/>
      <c r="AL502" s="295" t="n"/>
      <c r="AM502" s="125">
        <f>IF(OR(X502="",F502=""),"",X502-F502)</f>
        <v/>
      </c>
      <c r="AN502" s="126">
        <f>IF(OR(Y502="",G502=""),"",Y502-G502)</f>
        <v/>
      </c>
      <c r="AO502" s="126">
        <f>IF(OR(Z502="",H502=""),"",Z502-H502)</f>
        <v/>
      </c>
      <c r="AP502" s="126">
        <f>IF(OR(AA502="",I502=""),"",AA502-I502)</f>
        <v/>
      </c>
      <c r="AQ502" s="127">
        <f>IF(OR(AB502="",J502=""),"",AB502-J502)</f>
        <v/>
      </c>
      <c r="AR502" s="39" t="n"/>
      <c r="AS502" s="332" t="n"/>
      <c r="AT502" s="39" t="n"/>
    </row>
    <row r="503" ht="13.5" customHeight="1" s="279">
      <c r="B503" s="293" t="inlineStr">
        <is>
          <t>v94</t>
        </is>
      </c>
      <c r="C503" s="27" t="inlineStr">
        <is>
          <t>r01</t>
        </is>
      </c>
      <c r="D503" s="41" t="n"/>
      <c r="E503" s="57" t="n"/>
      <c r="F503" s="99" t="n"/>
      <c r="G503" s="99" t="n"/>
      <c r="H503" s="99" t="n"/>
      <c r="I503" s="62" t="n"/>
      <c r="J503" s="62" t="n"/>
      <c r="K503" s="63" t="n"/>
      <c r="L503" s="356" t="n"/>
      <c r="M503" s="356" t="n"/>
      <c r="N503" s="57" t="n"/>
      <c r="O503" s="28" t="n"/>
      <c r="P503" s="57" t="n"/>
      <c r="Q503" s="28" t="n"/>
      <c r="R503" s="134" t="n"/>
      <c r="S503" s="301" t="n"/>
      <c r="T503" s="293" t="inlineStr">
        <is>
          <t>v94</t>
        </is>
      </c>
      <c r="U503" s="27" t="inlineStr">
        <is>
          <t>r01</t>
        </is>
      </c>
      <c r="V503" s="41" t="n"/>
      <c r="W503" s="57" t="n"/>
      <c r="X503" s="99" t="n"/>
      <c r="Y503" s="99" t="n"/>
      <c r="Z503" s="99" t="n"/>
      <c r="AA503" s="62" t="n"/>
      <c r="AB503" s="62" t="n"/>
      <c r="AC503" s="63" t="n"/>
      <c r="AD503" s="356" t="n"/>
      <c r="AE503" s="356" t="n"/>
      <c r="AF503" s="57" t="n"/>
      <c r="AG503" s="28" t="n"/>
      <c r="AH503" s="57" t="n"/>
      <c r="AI503" s="28" t="n"/>
      <c r="AJ503" s="134" t="n"/>
      <c r="AK503" s="212" t="n"/>
      <c r="AL503" s="293" t="inlineStr">
        <is>
          <t>v94</t>
        </is>
      </c>
      <c r="AM503" s="122">
        <f>IF(OR(X503="",F503=""),"",X503-F503)</f>
        <v/>
      </c>
      <c r="AN503" s="98">
        <f>IF(OR(Y503="",G503=""),"",Y503-G503)</f>
        <v/>
      </c>
      <c r="AO503" s="98">
        <f>IF(OR(Z503="",H503=""),"",Z503-H503)</f>
        <v/>
      </c>
      <c r="AP503" s="98">
        <f>IF(OR(AA503="",I503=""),"",AA503-I503)</f>
        <v/>
      </c>
      <c r="AQ503" s="123">
        <f>IF(OR(AB503="",J503=""),"",AB503-J503)</f>
        <v/>
      </c>
      <c r="AR503" s="39" t="n"/>
      <c r="AS503" s="332" t="n"/>
      <c r="AT503" s="39" t="n"/>
    </row>
    <row r="504" ht="13.5" customHeight="1" s="279">
      <c r="B504" s="294" t="n"/>
      <c r="C504" s="29" t="inlineStr">
        <is>
          <t>r02</t>
        </is>
      </c>
      <c r="D504" s="191" t="n"/>
      <c r="E504" s="58" t="n"/>
      <c r="F504" s="192" t="n"/>
      <c r="G504" s="192" t="n"/>
      <c r="H504" s="192" t="n"/>
      <c r="I504" s="64" t="n"/>
      <c r="J504" s="64" t="n"/>
      <c r="K504" s="193" t="n"/>
      <c r="L504" s="357" t="n"/>
      <c r="M504" s="357" t="n"/>
      <c r="N504" s="58" t="n"/>
      <c r="O504" s="30" t="n"/>
      <c r="P504" s="58" t="n"/>
      <c r="Q504" s="30" t="n"/>
      <c r="R504" s="135" t="n"/>
      <c r="S504" s="301" t="n"/>
      <c r="T504" s="294" t="n"/>
      <c r="U504" s="29" t="inlineStr">
        <is>
          <t>r02</t>
        </is>
      </c>
      <c r="V504" s="191" t="n"/>
      <c r="W504" s="58" t="n"/>
      <c r="X504" s="192" t="n"/>
      <c r="Y504" s="192" t="n"/>
      <c r="Z504" s="192" t="n"/>
      <c r="AA504" s="64" t="n"/>
      <c r="AB504" s="64" t="n"/>
      <c r="AC504" s="193" t="n"/>
      <c r="AD504" s="357" t="n"/>
      <c r="AE504" s="357" t="n"/>
      <c r="AF504" s="58" t="n"/>
      <c r="AG504" s="30" t="n"/>
      <c r="AH504" s="58" t="n"/>
      <c r="AI504" s="30" t="n"/>
      <c r="AJ504" s="135" t="n"/>
      <c r="AK504" s="212" t="n"/>
      <c r="AL504" s="294" t="n"/>
      <c r="AM504" s="89">
        <f>IF(OR(X504="",F504=""),"",X504-F504)</f>
        <v/>
      </c>
      <c r="AN504" s="124">
        <f>IF(OR(Y504="",G504=""),"",Y504-G504)</f>
        <v/>
      </c>
      <c r="AO504" s="124">
        <f>IF(OR(Z504="",H504=""),"",Z504-H504)</f>
        <v/>
      </c>
      <c r="AP504" s="124">
        <f>IF(OR(AA504="",I504=""),"",AA504-I504)</f>
        <v/>
      </c>
      <c r="AQ504" s="90">
        <f>IF(OR(AB504="",J504=""),"",AB504-J504)</f>
        <v/>
      </c>
      <c r="AR504" s="39" t="n"/>
      <c r="AS504" s="332" t="n"/>
      <c r="AT504" s="39" t="n"/>
    </row>
    <row r="505" ht="13.5" customHeight="1" s="279">
      <c r="B505" s="294" t="n"/>
      <c r="C505" s="29" t="inlineStr">
        <is>
          <t>r03</t>
        </is>
      </c>
      <c r="D505" s="191" t="n"/>
      <c r="E505" s="58" t="n"/>
      <c r="F505" s="192" t="n"/>
      <c r="G505" s="192" t="n"/>
      <c r="H505" s="192" t="n"/>
      <c r="I505" s="64" t="n"/>
      <c r="J505" s="64" t="n"/>
      <c r="K505" s="193" t="n"/>
      <c r="L505" s="357" t="n"/>
      <c r="M505" s="357" t="n"/>
      <c r="N505" s="58" t="n"/>
      <c r="O505" s="30" t="n"/>
      <c r="P505" s="58" t="n"/>
      <c r="Q505" s="30" t="n"/>
      <c r="R505" s="135" t="n"/>
      <c r="S505" s="301" t="n"/>
      <c r="T505" s="294" t="n"/>
      <c r="U505" s="29" t="inlineStr">
        <is>
          <t>r03</t>
        </is>
      </c>
      <c r="V505" s="191" t="n"/>
      <c r="W505" s="58" t="n"/>
      <c r="X505" s="192" t="n"/>
      <c r="Y505" s="192" t="n"/>
      <c r="Z505" s="192" t="n"/>
      <c r="AA505" s="64" t="n"/>
      <c r="AB505" s="64" t="n"/>
      <c r="AC505" s="193" t="n"/>
      <c r="AD505" s="357" t="n"/>
      <c r="AE505" s="357" t="n"/>
      <c r="AF505" s="58" t="n"/>
      <c r="AG505" s="30" t="n"/>
      <c r="AH505" s="58" t="n"/>
      <c r="AI505" s="30" t="n"/>
      <c r="AJ505" s="135" t="n"/>
      <c r="AK505" s="212" t="n"/>
      <c r="AL505" s="294" t="n"/>
      <c r="AM505" s="89">
        <f>IF(OR(X505="",F505=""),"",X505-F505)</f>
        <v/>
      </c>
      <c r="AN505" s="124">
        <f>IF(OR(Y505="",G505=""),"",Y505-G505)</f>
        <v/>
      </c>
      <c r="AO505" s="124">
        <f>IF(OR(Z505="",H505=""),"",Z505-H505)</f>
        <v/>
      </c>
      <c r="AP505" s="124">
        <f>IF(OR(AA505="",I505=""),"",AA505-I505)</f>
        <v/>
      </c>
      <c r="AQ505" s="90">
        <f>IF(OR(AB505="",J505=""),"",AB505-J505)</f>
        <v/>
      </c>
      <c r="AR505" s="39" t="n"/>
      <c r="AS505" s="332" t="n"/>
      <c r="AT505" s="39" t="n"/>
    </row>
    <row r="506" ht="13.5" customHeight="1" s="279">
      <c r="B506" s="294" t="n"/>
      <c r="C506" s="29" t="inlineStr">
        <is>
          <t>r04</t>
        </is>
      </c>
      <c r="D506" s="191" t="n"/>
      <c r="E506" s="58" t="n"/>
      <c r="F506" s="192" t="n"/>
      <c r="G506" s="192" t="n"/>
      <c r="H506" s="192" t="n"/>
      <c r="I506" s="64" t="n"/>
      <c r="J506" s="64" t="n"/>
      <c r="K506" s="193" t="n"/>
      <c r="L506" s="357" t="n"/>
      <c r="M506" s="357" t="n"/>
      <c r="N506" s="58" t="n"/>
      <c r="O506" s="30" t="n"/>
      <c r="P506" s="58" t="n"/>
      <c r="Q506" s="30" t="n"/>
      <c r="R506" s="135" t="n"/>
      <c r="S506" s="301" t="n"/>
      <c r="T506" s="294" t="n"/>
      <c r="U506" s="29" t="inlineStr">
        <is>
          <t>r04</t>
        </is>
      </c>
      <c r="V506" s="191" t="n"/>
      <c r="W506" s="58" t="n"/>
      <c r="X506" s="192" t="n"/>
      <c r="Y506" s="192" t="n"/>
      <c r="Z506" s="192" t="n"/>
      <c r="AA506" s="64" t="n"/>
      <c r="AB506" s="64" t="n"/>
      <c r="AC506" s="193" t="n"/>
      <c r="AD506" s="357" t="n"/>
      <c r="AE506" s="357" t="n"/>
      <c r="AF506" s="58" t="n"/>
      <c r="AG506" s="30" t="n"/>
      <c r="AH506" s="58" t="n"/>
      <c r="AI506" s="30" t="n"/>
      <c r="AJ506" s="135" t="n"/>
      <c r="AK506" s="212" t="n"/>
      <c r="AL506" s="294" t="n"/>
      <c r="AM506" s="89">
        <f>IF(OR(X506="",F506=""),"",X506-F506)</f>
        <v/>
      </c>
      <c r="AN506" s="124">
        <f>IF(OR(Y506="",G506=""),"",Y506-G506)</f>
        <v/>
      </c>
      <c r="AO506" s="124">
        <f>IF(OR(Z506="",H506=""),"",Z506-H506)</f>
        <v/>
      </c>
      <c r="AP506" s="124">
        <f>IF(OR(AA506="",I506=""),"",AA506-I506)</f>
        <v/>
      </c>
      <c r="AQ506" s="90">
        <f>IF(OR(AB506="",J506=""),"",AB506-J506)</f>
        <v/>
      </c>
      <c r="AR506" s="39" t="n"/>
      <c r="AS506" s="332" t="n"/>
      <c r="AT506" s="39" t="n"/>
    </row>
    <row r="507" ht="13.5" customHeight="1" s="279" thickBot="1">
      <c r="B507" s="295" t="n"/>
      <c r="C507" s="29" t="n"/>
      <c r="D507" s="191" t="n"/>
      <c r="E507" s="58" t="n"/>
      <c r="F507" s="194" t="n"/>
      <c r="G507" s="194" t="n"/>
      <c r="H507" s="194" t="n"/>
      <c r="I507" s="58" t="n"/>
      <c r="J507" s="58" t="n"/>
      <c r="K507" s="193" t="n"/>
      <c r="L507" s="357" t="n"/>
      <c r="M507" s="357" t="n"/>
      <c r="N507" s="58" t="n"/>
      <c r="O507" s="30" t="n"/>
      <c r="P507" s="58" t="n"/>
      <c r="Q507" s="30" t="n"/>
      <c r="R507" s="189" t="n"/>
      <c r="S507" s="301" t="n"/>
      <c r="T507" s="295" t="n"/>
      <c r="U507" s="29" t="n"/>
      <c r="V507" s="191" t="n"/>
      <c r="W507" s="58" t="n"/>
      <c r="X507" s="194" t="n"/>
      <c r="Y507" s="194" t="n"/>
      <c r="Z507" s="194" t="n"/>
      <c r="AA507" s="58" t="n"/>
      <c r="AB507" s="58" t="n"/>
      <c r="AC507" s="193" t="n"/>
      <c r="AD507" s="357" t="n"/>
      <c r="AE507" s="357" t="n"/>
      <c r="AF507" s="58" t="n"/>
      <c r="AG507" s="30" t="n"/>
      <c r="AH507" s="58" t="n"/>
      <c r="AI507" s="30" t="n"/>
      <c r="AJ507" s="189" t="n"/>
      <c r="AK507" s="212" t="n"/>
      <c r="AL507" s="295" t="n"/>
      <c r="AM507" s="125">
        <f>IF(OR(X507="",F507=""),"",X507-F507)</f>
        <v/>
      </c>
      <c r="AN507" s="126">
        <f>IF(OR(Y507="",G507=""),"",Y507-G507)</f>
        <v/>
      </c>
      <c r="AO507" s="126">
        <f>IF(OR(Z507="",H507=""),"",Z507-H507)</f>
        <v/>
      </c>
      <c r="AP507" s="126">
        <f>IF(OR(AA507="",I507=""),"",AA507-I507)</f>
        <v/>
      </c>
      <c r="AQ507" s="127">
        <f>IF(OR(AB507="",J507=""),"",AB507-J507)</f>
        <v/>
      </c>
      <c r="AR507" s="39" t="n"/>
      <c r="AS507" s="332" t="n"/>
      <c r="AT507" s="39" t="n"/>
    </row>
    <row r="508" ht="13.5" customHeight="1" s="279">
      <c r="B508" s="293" t="inlineStr">
        <is>
          <t>v95</t>
        </is>
      </c>
      <c r="C508" s="27" t="inlineStr">
        <is>
          <t>r01</t>
        </is>
      </c>
      <c r="D508" s="41" t="n"/>
      <c r="E508" s="57" t="n"/>
      <c r="F508" s="99" t="n"/>
      <c r="G508" s="99" t="n"/>
      <c r="H508" s="99" t="n"/>
      <c r="I508" s="62" t="n"/>
      <c r="J508" s="62" t="n"/>
      <c r="K508" s="63" t="n"/>
      <c r="L508" s="356" t="n"/>
      <c r="M508" s="356" t="n"/>
      <c r="N508" s="57" t="n"/>
      <c r="O508" s="28" t="n"/>
      <c r="P508" s="57" t="n"/>
      <c r="Q508" s="28" t="n"/>
      <c r="R508" s="134" t="n"/>
      <c r="S508" s="301" t="n"/>
      <c r="T508" s="293" t="inlineStr">
        <is>
          <t>v95</t>
        </is>
      </c>
      <c r="U508" s="27" t="inlineStr">
        <is>
          <t>r01</t>
        </is>
      </c>
      <c r="V508" s="41" t="n"/>
      <c r="W508" s="57" t="n"/>
      <c r="X508" s="99" t="n"/>
      <c r="Y508" s="99" t="n"/>
      <c r="Z508" s="99" t="n"/>
      <c r="AA508" s="62" t="n"/>
      <c r="AB508" s="62" t="n"/>
      <c r="AC508" s="63" t="n"/>
      <c r="AD508" s="356" t="n"/>
      <c r="AE508" s="356" t="n"/>
      <c r="AF508" s="57" t="n"/>
      <c r="AG508" s="28" t="n"/>
      <c r="AH508" s="57" t="n"/>
      <c r="AI508" s="28" t="n"/>
      <c r="AJ508" s="134" t="n"/>
      <c r="AK508" s="212" t="n"/>
      <c r="AL508" s="293" t="inlineStr">
        <is>
          <t>v95</t>
        </is>
      </c>
      <c r="AM508" s="122">
        <f>IF(OR(X508="",F508=""),"",X508-F508)</f>
        <v/>
      </c>
      <c r="AN508" s="98">
        <f>IF(OR(Y508="",G508=""),"",Y508-G508)</f>
        <v/>
      </c>
      <c r="AO508" s="98">
        <f>IF(OR(Z508="",H508=""),"",Z508-H508)</f>
        <v/>
      </c>
      <c r="AP508" s="98">
        <f>IF(OR(AA508="",I508=""),"",AA508-I508)</f>
        <v/>
      </c>
      <c r="AQ508" s="123">
        <f>IF(OR(AB508="",J508=""),"",AB508-J508)</f>
        <v/>
      </c>
      <c r="AR508" s="39" t="n"/>
      <c r="AS508" s="332" t="n"/>
      <c r="AT508" s="39" t="n"/>
    </row>
    <row r="509" ht="13.5" customHeight="1" s="279">
      <c r="B509" s="294" t="n"/>
      <c r="C509" s="29" t="inlineStr">
        <is>
          <t>r02</t>
        </is>
      </c>
      <c r="D509" s="191" t="n"/>
      <c r="E509" s="58" t="n"/>
      <c r="F509" s="192" t="n"/>
      <c r="G509" s="192" t="n"/>
      <c r="H509" s="192" t="n"/>
      <c r="I509" s="64" t="n"/>
      <c r="J509" s="64" t="n"/>
      <c r="K509" s="193" t="n"/>
      <c r="L509" s="357" t="n"/>
      <c r="M509" s="357" t="n"/>
      <c r="N509" s="58" t="n"/>
      <c r="O509" s="30" t="n"/>
      <c r="P509" s="58" t="n"/>
      <c r="Q509" s="30" t="n"/>
      <c r="R509" s="135" t="n"/>
      <c r="S509" s="301" t="n"/>
      <c r="T509" s="294" t="n"/>
      <c r="U509" s="29" t="inlineStr">
        <is>
          <t>r02</t>
        </is>
      </c>
      <c r="V509" s="191" t="n"/>
      <c r="W509" s="58" t="n"/>
      <c r="X509" s="192" t="n"/>
      <c r="Y509" s="192" t="n"/>
      <c r="Z509" s="192" t="n"/>
      <c r="AA509" s="64" t="n"/>
      <c r="AB509" s="64" t="n"/>
      <c r="AC509" s="193" t="n"/>
      <c r="AD509" s="357" t="n"/>
      <c r="AE509" s="357" t="n"/>
      <c r="AF509" s="58" t="n"/>
      <c r="AG509" s="30" t="n"/>
      <c r="AH509" s="58" t="n"/>
      <c r="AI509" s="30" t="n"/>
      <c r="AJ509" s="135" t="n"/>
      <c r="AK509" s="212" t="n"/>
      <c r="AL509" s="294" t="n"/>
      <c r="AM509" s="89">
        <f>IF(OR(X509="",F509=""),"",X509-F509)</f>
        <v/>
      </c>
      <c r="AN509" s="124">
        <f>IF(OR(Y509="",G509=""),"",Y509-G509)</f>
        <v/>
      </c>
      <c r="AO509" s="124">
        <f>IF(OR(Z509="",H509=""),"",Z509-H509)</f>
        <v/>
      </c>
      <c r="AP509" s="124">
        <f>IF(OR(AA509="",I509=""),"",AA509-I509)</f>
        <v/>
      </c>
      <c r="AQ509" s="90">
        <f>IF(OR(AB509="",J509=""),"",AB509-J509)</f>
        <v/>
      </c>
      <c r="AR509" s="39" t="n"/>
      <c r="AS509" s="332" t="n"/>
      <c r="AT509" s="39" t="n"/>
    </row>
    <row r="510" ht="13.5" customHeight="1" s="279">
      <c r="B510" s="294" t="n"/>
      <c r="C510" s="29" t="inlineStr">
        <is>
          <t>r03</t>
        </is>
      </c>
      <c r="D510" s="191" t="n"/>
      <c r="E510" s="58" t="n"/>
      <c r="F510" s="192" t="n"/>
      <c r="G510" s="192" t="n"/>
      <c r="H510" s="192" t="n"/>
      <c r="I510" s="64" t="n"/>
      <c r="J510" s="64" t="n"/>
      <c r="K510" s="193" t="n"/>
      <c r="L510" s="357" t="n"/>
      <c r="M510" s="357" t="n"/>
      <c r="N510" s="58" t="n"/>
      <c r="O510" s="30" t="n"/>
      <c r="P510" s="58" t="n"/>
      <c r="Q510" s="30" t="n"/>
      <c r="R510" s="135" t="n"/>
      <c r="S510" s="301" t="n"/>
      <c r="T510" s="294" t="n"/>
      <c r="U510" s="29" t="inlineStr">
        <is>
          <t>r03</t>
        </is>
      </c>
      <c r="V510" s="191" t="n"/>
      <c r="W510" s="58" t="n"/>
      <c r="X510" s="192" t="n"/>
      <c r="Y510" s="192" t="n"/>
      <c r="Z510" s="192" t="n"/>
      <c r="AA510" s="64" t="n"/>
      <c r="AB510" s="64" t="n"/>
      <c r="AC510" s="193" t="n"/>
      <c r="AD510" s="357" t="n"/>
      <c r="AE510" s="357" t="n"/>
      <c r="AF510" s="58" t="n"/>
      <c r="AG510" s="30" t="n"/>
      <c r="AH510" s="58" t="n"/>
      <c r="AI510" s="30" t="n"/>
      <c r="AJ510" s="135" t="n"/>
      <c r="AK510" s="212" t="n"/>
      <c r="AL510" s="294" t="n"/>
      <c r="AM510" s="89">
        <f>IF(OR(X510="",F510=""),"",X510-F510)</f>
        <v/>
      </c>
      <c r="AN510" s="124">
        <f>IF(OR(Y510="",G510=""),"",Y510-G510)</f>
        <v/>
      </c>
      <c r="AO510" s="124">
        <f>IF(OR(Z510="",H510=""),"",Z510-H510)</f>
        <v/>
      </c>
      <c r="AP510" s="124">
        <f>IF(OR(AA510="",I510=""),"",AA510-I510)</f>
        <v/>
      </c>
      <c r="AQ510" s="90">
        <f>IF(OR(AB510="",J510=""),"",AB510-J510)</f>
        <v/>
      </c>
      <c r="AR510" s="39" t="n"/>
      <c r="AS510" s="332" t="n"/>
      <c r="AT510" s="39" t="n"/>
    </row>
    <row r="511" ht="13.5" customHeight="1" s="279">
      <c r="B511" s="294" t="n"/>
      <c r="C511" s="29" t="inlineStr">
        <is>
          <t>r04</t>
        </is>
      </c>
      <c r="D511" s="191" t="n"/>
      <c r="E511" s="58" t="n"/>
      <c r="F511" s="192" t="n"/>
      <c r="G511" s="192" t="n"/>
      <c r="H511" s="192" t="n"/>
      <c r="I511" s="64" t="n"/>
      <c r="J511" s="64" t="n"/>
      <c r="K511" s="193" t="n"/>
      <c r="L511" s="357" t="n"/>
      <c r="M511" s="357" t="n"/>
      <c r="N511" s="58" t="n"/>
      <c r="O511" s="30" t="n"/>
      <c r="P511" s="58" t="n"/>
      <c r="Q511" s="30" t="n"/>
      <c r="R511" s="135" t="n"/>
      <c r="S511" s="301" t="n"/>
      <c r="T511" s="294" t="n"/>
      <c r="U511" s="29" t="inlineStr">
        <is>
          <t>r04</t>
        </is>
      </c>
      <c r="V511" s="191" t="n"/>
      <c r="W511" s="58" t="n"/>
      <c r="X511" s="192" t="n"/>
      <c r="Y511" s="192" t="n"/>
      <c r="Z511" s="192" t="n"/>
      <c r="AA511" s="64" t="n"/>
      <c r="AB511" s="64" t="n"/>
      <c r="AC511" s="193" t="n"/>
      <c r="AD511" s="357" t="n"/>
      <c r="AE511" s="357" t="n"/>
      <c r="AF511" s="58" t="n"/>
      <c r="AG511" s="30" t="n"/>
      <c r="AH511" s="58" t="n"/>
      <c r="AI511" s="30" t="n"/>
      <c r="AJ511" s="135" t="n"/>
      <c r="AK511" s="212" t="n"/>
      <c r="AL511" s="294" t="n"/>
      <c r="AM511" s="89">
        <f>IF(OR(X511="",F511=""),"",X511-F511)</f>
        <v/>
      </c>
      <c r="AN511" s="124">
        <f>IF(OR(Y511="",G511=""),"",Y511-G511)</f>
        <v/>
      </c>
      <c r="AO511" s="124">
        <f>IF(OR(Z511="",H511=""),"",Z511-H511)</f>
        <v/>
      </c>
      <c r="AP511" s="124">
        <f>IF(OR(AA511="",I511=""),"",AA511-I511)</f>
        <v/>
      </c>
      <c r="AQ511" s="90">
        <f>IF(OR(AB511="",J511=""),"",AB511-J511)</f>
        <v/>
      </c>
      <c r="AR511" s="39" t="n"/>
      <c r="AS511" s="332" t="n"/>
      <c r="AT511" s="39" t="n"/>
    </row>
    <row r="512" ht="13.5" customHeight="1" s="279" thickBot="1">
      <c r="B512" s="295" t="n"/>
      <c r="C512" s="29" t="n"/>
      <c r="D512" s="191" t="n"/>
      <c r="E512" s="58" t="n"/>
      <c r="F512" s="194" t="n"/>
      <c r="G512" s="194" t="n"/>
      <c r="H512" s="194" t="n"/>
      <c r="I512" s="58" t="n"/>
      <c r="J512" s="58" t="n"/>
      <c r="K512" s="193" t="n"/>
      <c r="L512" s="357" t="n"/>
      <c r="M512" s="357" t="n"/>
      <c r="N512" s="58" t="n"/>
      <c r="O512" s="30" t="n"/>
      <c r="P512" s="58" t="n"/>
      <c r="Q512" s="30" t="n"/>
      <c r="R512" s="189" t="n"/>
      <c r="S512" s="301" t="n"/>
      <c r="T512" s="295" t="n"/>
      <c r="U512" s="29" t="n"/>
      <c r="V512" s="191" t="n"/>
      <c r="W512" s="58" t="n"/>
      <c r="X512" s="194" t="n"/>
      <c r="Y512" s="194" t="n"/>
      <c r="Z512" s="194" t="n"/>
      <c r="AA512" s="58" t="n"/>
      <c r="AB512" s="58" t="n"/>
      <c r="AC512" s="193" t="n"/>
      <c r="AD512" s="357" t="n"/>
      <c r="AE512" s="357" t="n"/>
      <c r="AF512" s="58" t="n"/>
      <c r="AG512" s="30" t="n"/>
      <c r="AH512" s="58" t="n"/>
      <c r="AI512" s="30" t="n"/>
      <c r="AJ512" s="189" t="n"/>
      <c r="AK512" s="212" t="n"/>
      <c r="AL512" s="295" t="n"/>
      <c r="AM512" s="125">
        <f>IF(OR(X512="",F512=""),"",X512-F512)</f>
        <v/>
      </c>
      <c r="AN512" s="126">
        <f>IF(OR(Y512="",G512=""),"",Y512-G512)</f>
        <v/>
      </c>
      <c r="AO512" s="126">
        <f>IF(OR(Z512="",H512=""),"",Z512-H512)</f>
        <v/>
      </c>
      <c r="AP512" s="126">
        <f>IF(OR(AA512="",I512=""),"",AA512-I512)</f>
        <v/>
      </c>
      <c r="AQ512" s="127">
        <f>IF(OR(AB512="",J512=""),"",AB512-J512)</f>
        <v/>
      </c>
      <c r="AR512" s="39" t="n"/>
      <c r="AS512" s="332" t="n"/>
      <c r="AT512" s="39" t="n"/>
    </row>
    <row r="513" ht="13.5" customHeight="1" s="279">
      <c r="B513" s="293" t="inlineStr">
        <is>
          <t>v96</t>
        </is>
      </c>
      <c r="C513" s="27" t="inlineStr">
        <is>
          <t>r01</t>
        </is>
      </c>
      <c r="D513" s="41" t="n"/>
      <c r="E513" s="57" t="n"/>
      <c r="F513" s="99" t="n"/>
      <c r="G513" s="99" t="n"/>
      <c r="H513" s="99" t="n"/>
      <c r="I513" s="62" t="n"/>
      <c r="J513" s="62" t="n"/>
      <c r="K513" s="63" t="n"/>
      <c r="L513" s="356" t="n"/>
      <c r="M513" s="356" t="n"/>
      <c r="N513" s="57" t="n"/>
      <c r="O513" s="28" t="n"/>
      <c r="P513" s="57" t="n"/>
      <c r="Q513" s="28" t="n"/>
      <c r="R513" s="134" t="n"/>
      <c r="S513" s="301" t="n"/>
      <c r="T513" s="293" t="inlineStr">
        <is>
          <t>v96</t>
        </is>
      </c>
      <c r="U513" s="27" t="inlineStr">
        <is>
          <t>r01</t>
        </is>
      </c>
      <c r="V513" s="41" t="n"/>
      <c r="W513" s="57" t="n"/>
      <c r="X513" s="99" t="n"/>
      <c r="Y513" s="99" t="n"/>
      <c r="Z513" s="99" t="n"/>
      <c r="AA513" s="62" t="n"/>
      <c r="AB513" s="62" t="n"/>
      <c r="AC513" s="63" t="n"/>
      <c r="AD513" s="356" t="n"/>
      <c r="AE513" s="356" t="n"/>
      <c r="AF513" s="57" t="n"/>
      <c r="AG513" s="28" t="n"/>
      <c r="AH513" s="57" t="n"/>
      <c r="AI513" s="28" t="n"/>
      <c r="AJ513" s="134" t="n"/>
      <c r="AK513" s="212" t="n"/>
      <c r="AL513" s="293" t="inlineStr">
        <is>
          <t>v96</t>
        </is>
      </c>
      <c r="AM513" s="122">
        <f>IF(OR(X513="",F513=""),"",X513-F513)</f>
        <v/>
      </c>
      <c r="AN513" s="98">
        <f>IF(OR(Y513="",G513=""),"",Y513-G513)</f>
        <v/>
      </c>
      <c r="AO513" s="98">
        <f>IF(OR(Z513="",H513=""),"",Z513-H513)</f>
        <v/>
      </c>
      <c r="AP513" s="98">
        <f>IF(OR(AA513="",I513=""),"",AA513-I513)</f>
        <v/>
      </c>
      <c r="AQ513" s="123">
        <f>IF(OR(AB513="",J513=""),"",AB513-J513)</f>
        <v/>
      </c>
      <c r="AR513" s="39" t="n"/>
      <c r="AS513" s="332" t="n"/>
      <c r="AT513" s="39" t="n"/>
    </row>
    <row r="514" ht="13.5" customHeight="1" s="279">
      <c r="B514" s="294" t="n"/>
      <c r="C514" s="29" t="inlineStr">
        <is>
          <t>r02</t>
        </is>
      </c>
      <c r="D514" s="191" t="n"/>
      <c r="E514" s="58" t="n"/>
      <c r="F514" s="192" t="n"/>
      <c r="G514" s="192" t="n"/>
      <c r="H514" s="192" t="n"/>
      <c r="I514" s="64" t="n"/>
      <c r="J514" s="64" t="n"/>
      <c r="K514" s="193" t="n"/>
      <c r="L514" s="357" t="n"/>
      <c r="M514" s="357" t="n"/>
      <c r="N514" s="58" t="n"/>
      <c r="O514" s="30" t="n"/>
      <c r="P514" s="58" t="n"/>
      <c r="Q514" s="30" t="n"/>
      <c r="R514" s="135" t="n"/>
      <c r="S514" s="301" t="n"/>
      <c r="T514" s="294" t="n"/>
      <c r="U514" s="29" t="inlineStr">
        <is>
          <t>r02</t>
        </is>
      </c>
      <c r="V514" s="191" t="n"/>
      <c r="W514" s="58" t="n"/>
      <c r="X514" s="192" t="n"/>
      <c r="Y514" s="192" t="n"/>
      <c r="Z514" s="192" t="n"/>
      <c r="AA514" s="64" t="n"/>
      <c r="AB514" s="64" t="n"/>
      <c r="AC514" s="193" t="n"/>
      <c r="AD514" s="357" t="n"/>
      <c r="AE514" s="357" t="n"/>
      <c r="AF514" s="58" t="n"/>
      <c r="AG514" s="30" t="n"/>
      <c r="AH514" s="58" t="n"/>
      <c r="AI514" s="30" t="n"/>
      <c r="AJ514" s="135" t="n"/>
      <c r="AK514" s="212" t="n"/>
      <c r="AL514" s="294" t="n"/>
      <c r="AM514" s="89">
        <f>IF(OR(X514="",F514=""),"",X514-F514)</f>
        <v/>
      </c>
      <c r="AN514" s="124">
        <f>IF(OR(Y514="",G514=""),"",Y514-G514)</f>
        <v/>
      </c>
      <c r="AO514" s="124">
        <f>IF(OR(Z514="",H514=""),"",Z514-H514)</f>
        <v/>
      </c>
      <c r="AP514" s="124">
        <f>IF(OR(AA514="",I514=""),"",AA514-I514)</f>
        <v/>
      </c>
      <c r="AQ514" s="90">
        <f>IF(OR(AB514="",J514=""),"",AB514-J514)</f>
        <v/>
      </c>
      <c r="AR514" s="39" t="n"/>
      <c r="AS514" s="332" t="n"/>
      <c r="AT514" s="39" t="n"/>
    </row>
    <row r="515" ht="13.5" customHeight="1" s="279">
      <c r="B515" s="294" t="n"/>
      <c r="C515" s="29" t="inlineStr">
        <is>
          <t>r03</t>
        </is>
      </c>
      <c r="D515" s="191" t="n"/>
      <c r="E515" s="58" t="n"/>
      <c r="F515" s="192" t="n"/>
      <c r="G515" s="192" t="n"/>
      <c r="H515" s="192" t="n"/>
      <c r="I515" s="64" t="n"/>
      <c r="J515" s="64" t="n"/>
      <c r="K515" s="193" t="n"/>
      <c r="L515" s="357" t="n"/>
      <c r="M515" s="357" t="n"/>
      <c r="N515" s="58" t="n"/>
      <c r="O515" s="30" t="n"/>
      <c r="P515" s="58" t="n"/>
      <c r="Q515" s="30" t="n"/>
      <c r="R515" s="135" t="n"/>
      <c r="S515" s="301" t="n"/>
      <c r="T515" s="294" t="n"/>
      <c r="U515" s="29" t="inlineStr">
        <is>
          <t>r03</t>
        </is>
      </c>
      <c r="V515" s="191" t="n"/>
      <c r="W515" s="58" t="n"/>
      <c r="X515" s="192" t="n"/>
      <c r="Y515" s="192" t="n"/>
      <c r="Z515" s="192" t="n"/>
      <c r="AA515" s="64" t="n"/>
      <c r="AB515" s="64" t="n"/>
      <c r="AC515" s="193" t="n"/>
      <c r="AD515" s="357" t="n"/>
      <c r="AE515" s="357" t="n"/>
      <c r="AF515" s="58" t="n"/>
      <c r="AG515" s="30" t="n"/>
      <c r="AH515" s="58" t="n"/>
      <c r="AI515" s="30" t="n"/>
      <c r="AJ515" s="135" t="n"/>
      <c r="AK515" s="212" t="n"/>
      <c r="AL515" s="294" t="n"/>
      <c r="AM515" s="89">
        <f>IF(OR(X515="",F515=""),"",X515-F515)</f>
        <v/>
      </c>
      <c r="AN515" s="124">
        <f>IF(OR(Y515="",G515=""),"",Y515-G515)</f>
        <v/>
      </c>
      <c r="AO515" s="124">
        <f>IF(OR(Z515="",H515=""),"",Z515-H515)</f>
        <v/>
      </c>
      <c r="AP515" s="124">
        <f>IF(OR(AA515="",I515=""),"",AA515-I515)</f>
        <v/>
      </c>
      <c r="AQ515" s="90">
        <f>IF(OR(AB515="",J515=""),"",AB515-J515)</f>
        <v/>
      </c>
      <c r="AR515" s="39" t="n"/>
      <c r="AS515" s="332" t="n"/>
      <c r="AT515" s="39" t="n"/>
    </row>
    <row r="516" ht="13.5" customHeight="1" s="279">
      <c r="B516" s="294" t="n"/>
      <c r="C516" s="29" t="inlineStr">
        <is>
          <t>r04</t>
        </is>
      </c>
      <c r="D516" s="191" t="n"/>
      <c r="E516" s="58" t="n"/>
      <c r="F516" s="192" t="n"/>
      <c r="G516" s="192" t="n"/>
      <c r="H516" s="192" t="n"/>
      <c r="I516" s="64" t="n"/>
      <c r="J516" s="64" t="n"/>
      <c r="K516" s="193" t="n"/>
      <c r="L516" s="357" t="n"/>
      <c r="M516" s="357" t="n"/>
      <c r="N516" s="58" t="n"/>
      <c r="O516" s="30" t="n"/>
      <c r="P516" s="58" t="n"/>
      <c r="Q516" s="30" t="n"/>
      <c r="R516" s="135" t="n"/>
      <c r="S516" s="301" t="n"/>
      <c r="T516" s="294" t="n"/>
      <c r="U516" s="29" t="inlineStr">
        <is>
          <t>r04</t>
        </is>
      </c>
      <c r="V516" s="191" t="n"/>
      <c r="W516" s="58" t="n"/>
      <c r="X516" s="192" t="n"/>
      <c r="Y516" s="192" t="n"/>
      <c r="Z516" s="192" t="n"/>
      <c r="AA516" s="64" t="n"/>
      <c r="AB516" s="64" t="n"/>
      <c r="AC516" s="193" t="n"/>
      <c r="AD516" s="357" t="n"/>
      <c r="AE516" s="357" t="n"/>
      <c r="AF516" s="58" t="n"/>
      <c r="AG516" s="30" t="n"/>
      <c r="AH516" s="58" t="n"/>
      <c r="AI516" s="30" t="n"/>
      <c r="AJ516" s="135" t="n"/>
      <c r="AK516" s="212" t="n"/>
      <c r="AL516" s="294" t="n"/>
      <c r="AM516" s="89">
        <f>IF(OR(X516="",F516=""),"",X516-F516)</f>
        <v/>
      </c>
      <c r="AN516" s="124">
        <f>IF(OR(Y516="",G516=""),"",Y516-G516)</f>
        <v/>
      </c>
      <c r="AO516" s="124">
        <f>IF(OR(Z516="",H516=""),"",Z516-H516)</f>
        <v/>
      </c>
      <c r="AP516" s="124">
        <f>IF(OR(AA516="",I516=""),"",AA516-I516)</f>
        <v/>
      </c>
      <c r="AQ516" s="90">
        <f>IF(OR(AB516="",J516=""),"",AB516-J516)</f>
        <v/>
      </c>
      <c r="AR516" s="39" t="n"/>
      <c r="AS516" s="332" t="n"/>
      <c r="AT516" s="39" t="n"/>
    </row>
    <row r="517" ht="13.5" customHeight="1" s="279" thickBot="1">
      <c r="B517" s="295" t="n"/>
      <c r="C517" s="29" t="n"/>
      <c r="D517" s="191" t="n"/>
      <c r="E517" s="58" t="n"/>
      <c r="F517" s="194" t="n"/>
      <c r="G517" s="194" t="n"/>
      <c r="H517" s="194" t="n"/>
      <c r="I517" s="58" t="n"/>
      <c r="J517" s="58" t="n"/>
      <c r="K517" s="193" t="n"/>
      <c r="L517" s="357" t="n"/>
      <c r="M517" s="357" t="n"/>
      <c r="N517" s="58" t="n"/>
      <c r="O517" s="30" t="n"/>
      <c r="P517" s="58" t="n"/>
      <c r="Q517" s="30" t="n"/>
      <c r="R517" s="189" t="n"/>
      <c r="S517" s="301" t="n"/>
      <c r="T517" s="295" t="n"/>
      <c r="U517" s="29" t="n"/>
      <c r="V517" s="191" t="n"/>
      <c r="W517" s="58" t="n"/>
      <c r="X517" s="194" t="n"/>
      <c r="Y517" s="194" t="n"/>
      <c r="Z517" s="194" t="n"/>
      <c r="AA517" s="58" t="n"/>
      <c r="AB517" s="58" t="n"/>
      <c r="AC517" s="193" t="n"/>
      <c r="AD517" s="357" t="n"/>
      <c r="AE517" s="357" t="n"/>
      <c r="AF517" s="58" t="n"/>
      <c r="AG517" s="30" t="n"/>
      <c r="AH517" s="58" t="n"/>
      <c r="AI517" s="30" t="n"/>
      <c r="AJ517" s="189" t="n"/>
      <c r="AK517" s="212" t="n"/>
      <c r="AL517" s="295" t="n"/>
      <c r="AM517" s="125">
        <f>IF(OR(X517="",F517=""),"",X517-F517)</f>
        <v/>
      </c>
      <c r="AN517" s="126">
        <f>IF(OR(Y517="",G517=""),"",Y517-G517)</f>
        <v/>
      </c>
      <c r="AO517" s="126">
        <f>IF(OR(Z517="",H517=""),"",Z517-H517)</f>
        <v/>
      </c>
      <c r="AP517" s="126">
        <f>IF(OR(AA517="",I517=""),"",AA517-I517)</f>
        <v/>
      </c>
      <c r="AQ517" s="127">
        <f>IF(OR(AB517="",J517=""),"",AB517-J517)</f>
        <v/>
      </c>
      <c r="AR517" s="39" t="n"/>
      <c r="AS517" s="332" t="n"/>
      <c r="AT517" s="39" t="n"/>
    </row>
    <row r="518" ht="13.5" customHeight="1" s="279">
      <c r="B518" s="293" t="inlineStr">
        <is>
          <t>v97</t>
        </is>
      </c>
      <c r="C518" s="27" t="inlineStr">
        <is>
          <t>r01</t>
        </is>
      </c>
      <c r="D518" s="41" t="n"/>
      <c r="E518" s="57" t="n"/>
      <c r="F518" s="99" t="n"/>
      <c r="G518" s="99" t="n"/>
      <c r="H518" s="99" t="n"/>
      <c r="I518" s="62" t="n"/>
      <c r="J518" s="62" t="n"/>
      <c r="K518" s="63" t="n"/>
      <c r="L518" s="356" t="n"/>
      <c r="M518" s="356" t="n"/>
      <c r="N518" s="57" t="n"/>
      <c r="O518" s="28" t="n"/>
      <c r="P518" s="57" t="n"/>
      <c r="Q518" s="28" t="n"/>
      <c r="R518" s="134" t="n"/>
      <c r="S518" s="301" t="n"/>
      <c r="T518" s="293" t="inlineStr">
        <is>
          <t>v97</t>
        </is>
      </c>
      <c r="U518" s="27" t="inlineStr">
        <is>
          <t>r01</t>
        </is>
      </c>
      <c r="V518" s="41" t="n"/>
      <c r="W518" s="57" t="n"/>
      <c r="X518" s="99" t="n"/>
      <c r="Y518" s="99" t="n"/>
      <c r="Z518" s="99" t="n"/>
      <c r="AA518" s="62" t="n"/>
      <c r="AB518" s="62" t="n"/>
      <c r="AC518" s="63" t="n"/>
      <c r="AD518" s="356" t="n"/>
      <c r="AE518" s="356" t="n"/>
      <c r="AF518" s="57" t="n"/>
      <c r="AG518" s="28" t="n"/>
      <c r="AH518" s="57" t="n"/>
      <c r="AI518" s="28" t="n"/>
      <c r="AJ518" s="134" t="n"/>
      <c r="AK518" s="212" t="n"/>
      <c r="AL518" s="293" t="inlineStr">
        <is>
          <t>v97</t>
        </is>
      </c>
      <c r="AM518" s="122">
        <f>IF(OR(X518="",F518=""),"",X518-F518)</f>
        <v/>
      </c>
      <c r="AN518" s="98">
        <f>IF(OR(Y518="",G518=""),"",Y518-G518)</f>
        <v/>
      </c>
      <c r="AO518" s="98">
        <f>IF(OR(Z518="",H518=""),"",Z518-H518)</f>
        <v/>
      </c>
      <c r="AP518" s="98">
        <f>IF(OR(AA518="",I518=""),"",AA518-I518)</f>
        <v/>
      </c>
      <c r="AQ518" s="123">
        <f>IF(OR(AB518="",J518=""),"",AB518-J518)</f>
        <v/>
      </c>
      <c r="AR518" s="39" t="n"/>
      <c r="AS518" s="332" t="n"/>
      <c r="AT518" s="39" t="n"/>
    </row>
    <row r="519" ht="13.5" customHeight="1" s="279">
      <c r="B519" s="294" t="n"/>
      <c r="C519" s="29" t="inlineStr">
        <is>
          <t>r02</t>
        </is>
      </c>
      <c r="D519" s="191" t="n"/>
      <c r="E519" s="58" t="n"/>
      <c r="F519" s="192" t="n"/>
      <c r="G519" s="192" t="n"/>
      <c r="H519" s="192" t="n"/>
      <c r="I519" s="64" t="n"/>
      <c r="J519" s="64" t="n"/>
      <c r="K519" s="193" t="n"/>
      <c r="L519" s="357" t="n"/>
      <c r="M519" s="357" t="n"/>
      <c r="N519" s="58" t="n"/>
      <c r="O519" s="30" t="n"/>
      <c r="P519" s="58" t="n"/>
      <c r="Q519" s="30" t="n"/>
      <c r="R519" s="135" t="n"/>
      <c r="S519" s="301" t="n"/>
      <c r="T519" s="294" t="n"/>
      <c r="U519" s="29" t="inlineStr">
        <is>
          <t>r02</t>
        </is>
      </c>
      <c r="V519" s="191" t="n"/>
      <c r="W519" s="58" t="n"/>
      <c r="X519" s="192" t="n"/>
      <c r="Y519" s="192" t="n"/>
      <c r="Z519" s="192" t="n"/>
      <c r="AA519" s="64" t="n"/>
      <c r="AB519" s="64" t="n"/>
      <c r="AC519" s="193" t="n"/>
      <c r="AD519" s="357" t="n"/>
      <c r="AE519" s="357" t="n"/>
      <c r="AF519" s="58" t="n"/>
      <c r="AG519" s="30" t="n"/>
      <c r="AH519" s="58" t="n"/>
      <c r="AI519" s="30" t="n"/>
      <c r="AJ519" s="135" t="n"/>
      <c r="AK519" s="212" t="n"/>
      <c r="AL519" s="294" t="n"/>
      <c r="AM519" s="89">
        <f>IF(OR(X519="",F519=""),"",X519-F519)</f>
        <v/>
      </c>
      <c r="AN519" s="124">
        <f>IF(OR(Y519="",G519=""),"",Y519-G519)</f>
        <v/>
      </c>
      <c r="AO519" s="124">
        <f>IF(OR(Z519="",H519=""),"",Z519-H519)</f>
        <v/>
      </c>
      <c r="AP519" s="124">
        <f>IF(OR(AA519="",I519=""),"",AA519-I519)</f>
        <v/>
      </c>
      <c r="AQ519" s="90">
        <f>IF(OR(AB519="",J519=""),"",AB519-J519)</f>
        <v/>
      </c>
      <c r="AR519" s="39" t="n"/>
      <c r="AS519" s="332" t="n"/>
      <c r="AT519" s="39" t="n"/>
    </row>
    <row r="520" ht="13.5" customHeight="1" s="279">
      <c r="B520" s="294" t="n"/>
      <c r="C520" s="29" t="inlineStr">
        <is>
          <t>r03</t>
        </is>
      </c>
      <c r="D520" s="191" t="n"/>
      <c r="E520" s="58" t="n"/>
      <c r="F520" s="192" t="n"/>
      <c r="G520" s="192" t="n"/>
      <c r="H520" s="192" t="n"/>
      <c r="I520" s="64" t="n"/>
      <c r="J520" s="64" t="n"/>
      <c r="K520" s="193" t="n"/>
      <c r="L520" s="357" t="n"/>
      <c r="M520" s="357" t="n"/>
      <c r="N520" s="58" t="n"/>
      <c r="O520" s="30" t="n"/>
      <c r="P520" s="58" t="n"/>
      <c r="Q520" s="30" t="n"/>
      <c r="R520" s="135" t="n"/>
      <c r="S520" s="301" t="n"/>
      <c r="T520" s="294" t="n"/>
      <c r="U520" s="29" t="inlineStr">
        <is>
          <t>r03</t>
        </is>
      </c>
      <c r="V520" s="191" t="n"/>
      <c r="W520" s="58" t="n"/>
      <c r="X520" s="192" t="n"/>
      <c r="Y520" s="192" t="n"/>
      <c r="Z520" s="192" t="n"/>
      <c r="AA520" s="64" t="n"/>
      <c r="AB520" s="64" t="n"/>
      <c r="AC520" s="193" t="n"/>
      <c r="AD520" s="357" t="n"/>
      <c r="AE520" s="357" t="n"/>
      <c r="AF520" s="58" t="n"/>
      <c r="AG520" s="30" t="n"/>
      <c r="AH520" s="58" t="n"/>
      <c r="AI520" s="30" t="n"/>
      <c r="AJ520" s="135" t="n"/>
      <c r="AK520" s="212" t="n"/>
      <c r="AL520" s="294" t="n"/>
      <c r="AM520" s="89">
        <f>IF(OR(X520="",F520=""),"",X520-F520)</f>
        <v/>
      </c>
      <c r="AN520" s="124">
        <f>IF(OR(Y520="",G520=""),"",Y520-G520)</f>
        <v/>
      </c>
      <c r="AO520" s="124">
        <f>IF(OR(Z520="",H520=""),"",Z520-H520)</f>
        <v/>
      </c>
      <c r="AP520" s="124">
        <f>IF(OR(AA520="",I520=""),"",AA520-I520)</f>
        <v/>
      </c>
      <c r="AQ520" s="90">
        <f>IF(OR(AB520="",J520=""),"",AB520-J520)</f>
        <v/>
      </c>
      <c r="AR520" s="39" t="n"/>
      <c r="AS520" s="332" t="n"/>
      <c r="AT520" s="39" t="n"/>
    </row>
    <row r="521" ht="13.5" customHeight="1" s="279">
      <c r="B521" s="294" t="n"/>
      <c r="C521" s="29" t="inlineStr">
        <is>
          <t>r04</t>
        </is>
      </c>
      <c r="D521" s="191" t="n"/>
      <c r="E521" s="58" t="n"/>
      <c r="F521" s="192" t="n"/>
      <c r="G521" s="192" t="n"/>
      <c r="H521" s="192" t="n"/>
      <c r="I521" s="64" t="n"/>
      <c r="J521" s="64" t="n"/>
      <c r="K521" s="193" t="n"/>
      <c r="L521" s="357" t="n"/>
      <c r="M521" s="357" t="n"/>
      <c r="N521" s="58" t="n"/>
      <c r="O521" s="30" t="n"/>
      <c r="P521" s="58" t="n"/>
      <c r="Q521" s="30" t="n"/>
      <c r="R521" s="135" t="n"/>
      <c r="S521" s="301" t="n"/>
      <c r="T521" s="294" t="n"/>
      <c r="U521" s="29" t="inlineStr">
        <is>
          <t>r04</t>
        </is>
      </c>
      <c r="V521" s="191" t="n"/>
      <c r="W521" s="58" t="n"/>
      <c r="X521" s="192" t="n"/>
      <c r="Y521" s="192" t="n"/>
      <c r="Z521" s="192" t="n"/>
      <c r="AA521" s="64" t="n"/>
      <c r="AB521" s="64" t="n"/>
      <c r="AC521" s="193" t="n"/>
      <c r="AD521" s="357" t="n"/>
      <c r="AE521" s="357" t="n"/>
      <c r="AF521" s="58" t="n"/>
      <c r="AG521" s="30" t="n"/>
      <c r="AH521" s="58" t="n"/>
      <c r="AI521" s="30" t="n"/>
      <c r="AJ521" s="135" t="n"/>
      <c r="AK521" s="212" t="n"/>
      <c r="AL521" s="294" t="n"/>
      <c r="AM521" s="89">
        <f>IF(OR(X521="",F521=""),"",X521-F521)</f>
        <v/>
      </c>
      <c r="AN521" s="124">
        <f>IF(OR(Y521="",G521=""),"",Y521-G521)</f>
        <v/>
      </c>
      <c r="AO521" s="124">
        <f>IF(OR(Z521="",H521=""),"",Z521-H521)</f>
        <v/>
      </c>
      <c r="AP521" s="124">
        <f>IF(OR(AA521="",I521=""),"",AA521-I521)</f>
        <v/>
      </c>
      <c r="AQ521" s="90">
        <f>IF(OR(AB521="",J521=""),"",AB521-J521)</f>
        <v/>
      </c>
      <c r="AR521" s="39" t="n"/>
      <c r="AS521" s="332" t="n"/>
      <c r="AT521" s="39" t="n"/>
    </row>
    <row r="522" ht="13.5" customHeight="1" s="279" thickBot="1">
      <c r="B522" s="295" t="n"/>
      <c r="C522" s="29" t="n"/>
      <c r="D522" s="191" t="n"/>
      <c r="E522" s="58" t="n"/>
      <c r="F522" s="194" t="n"/>
      <c r="G522" s="194" t="n"/>
      <c r="H522" s="194" t="n"/>
      <c r="I522" s="58" t="n"/>
      <c r="J522" s="58" t="n"/>
      <c r="K522" s="193" t="n"/>
      <c r="L522" s="357" t="n"/>
      <c r="M522" s="357" t="n"/>
      <c r="N522" s="58" t="n"/>
      <c r="O522" s="30" t="n"/>
      <c r="P522" s="58" t="n"/>
      <c r="Q522" s="30" t="n"/>
      <c r="R522" s="189" t="n"/>
      <c r="S522" s="301" t="n"/>
      <c r="T522" s="295" t="n"/>
      <c r="U522" s="29" t="n"/>
      <c r="V522" s="191" t="n"/>
      <c r="W522" s="58" t="n"/>
      <c r="X522" s="194" t="n"/>
      <c r="Y522" s="194" t="n"/>
      <c r="Z522" s="194" t="n"/>
      <c r="AA522" s="58" t="n"/>
      <c r="AB522" s="58" t="n"/>
      <c r="AC522" s="193" t="n"/>
      <c r="AD522" s="357" t="n"/>
      <c r="AE522" s="357" t="n"/>
      <c r="AF522" s="58" t="n"/>
      <c r="AG522" s="30" t="n"/>
      <c r="AH522" s="58" t="n"/>
      <c r="AI522" s="30" t="n"/>
      <c r="AJ522" s="189" t="n"/>
      <c r="AK522" s="212" t="n"/>
      <c r="AL522" s="295" t="n"/>
      <c r="AM522" s="125">
        <f>IF(OR(X522="",F522=""),"",X522-F522)</f>
        <v/>
      </c>
      <c r="AN522" s="126">
        <f>IF(OR(Y522="",G522=""),"",Y522-G522)</f>
        <v/>
      </c>
      <c r="AO522" s="126">
        <f>IF(OR(Z522="",H522=""),"",Z522-H522)</f>
        <v/>
      </c>
      <c r="AP522" s="126">
        <f>IF(OR(AA522="",I522=""),"",AA522-I522)</f>
        <v/>
      </c>
      <c r="AQ522" s="127">
        <f>IF(OR(AB522="",J522=""),"",AB522-J522)</f>
        <v/>
      </c>
      <c r="AR522" s="39" t="n"/>
      <c r="AS522" s="332" t="n"/>
      <c r="AT522" s="39" t="n"/>
    </row>
    <row r="523" ht="13.5" customHeight="1" s="279">
      <c r="B523" s="293" t="inlineStr">
        <is>
          <t>v98</t>
        </is>
      </c>
      <c r="C523" s="27" t="inlineStr">
        <is>
          <t>r01</t>
        </is>
      </c>
      <c r="D523" s="41" t="n"/>
      <c r="E523" s="57" t="n"/>
      <c r="F523" s="99" t="n"/>
      <c r="G523" s="99" t="n"/>
      <c r="H523" s="99" t="n"/>
      <c r="I523" s="62" t="n"/>
      <c r="J523" s="62" t="n"/>
      <c r="K523" s="63" t="n"/>
      <c r="L523" s="356" t="n"/>
      <c r="M523" s="356" t="n"/>
      <c r="N523" s="57" t="n"/>
      <c r="O523" s="28" t="n"/>
      <c r="P523" s="57" t="n"/>
      <c r="Q523" s="28" t="n"/>
      <c r="R523" s="134" t="n"/>
      <c r="S523" s="301" t="n"/>
      <c r="T523" s="293" t="inlineStr">
        <is>
          <t>v98</t>
        </is>
      </c>
      <c r="U523" s="27" t="inlineStr">
        <is>
          <t>r01</t>
        </is>
      </c>
      <c r="V523" s="41" t="n"/>
      <c r="W523" s="57" t="n"/>
      <c r="X523" s="99" t="n"/>
      <c r="Y523" s="99" t="n"/>
      <c r="Z523" s="99" t="n"/>
      <c r="AA523" s="62" t="n"/>
      <c r="AB523" s="62" t="n"/>
      <c r="AC523" s="63" t="n"/>
      <c r="AD523" s="356" t="n"/>
      <c r="AE523" s="356" t="n"/>
      <c r="AF523" s="57" t="n"/>
      <c r="AG523" s="28" t="n"/>
      <c r="AH523" s="57" t="n"/>
      <c r="AI523" s="28" t="n"/>
      <c r="AJ523" s="134" t="n"/>
      <c r="AK523" s="212" t="n"/>
      <c r="AL523" s="293" t="inlineStr">
        <is>
          <t>v98</t>
        </is>
      </c>
      <c r="AM523" s="122">
        <f>IF(OR(X523="",F523=""),"",X523-F523)</f>
        <v/>
      </c>
      <c r="AN523" s="98">
        <f>IF(OR(Y523="",G523=""),"",Y523-G523)</f>
        <v/>
      </c>
      <c r="AO523" s="98">
        <f>IF(OR(Z523="",H523=""),"",Z523-H523)</f>
        <v/>
      </c>
      <c r="AP523" s="98">
        <f>IF(OR(AA523="",I523=""),"",AA523-I523)</f>
        <v/>
      </c>
      <c r="AQ523" s="123">
        <f>IF(OR(AB523="",J523=""),"",AB523-J523)</f>
        <v/>
      </c>
      <c r="AR523" s="39" t="n"/>
      <c r="AS523" s="332" t="n"/>
      <c r="AT523" s="39" t="n"/>
    </row>
    <row r="524" ht="13.5" customHeight="1" s="279">
      <c r="B524" s="294" t="n"/>
      <c r="C524" s="29" t="inlineStr">
        <is>
          <t>r02</t>
        </is>
      </c>
      <c r="D524" s="191" t="n"/>
      <c r="E524" s="58" t="n"/>
      <c r="F524" s="192" t="n"/>
      <c r="G524" s="192" t="n"/>
      <c r="H524" s="192" t="n"/>
      <c r="I524" s="64" t="n"/>
      <c r="J524" s="64" t="n"/>
      <c r="K524" s="193" t="n"/>
      <c r="L524" s="357" t="n"/>
      <c r="M524" s="357" t="n"/>
      <c r="N524" s="58" t="n"/>
      <c r="O524" s="30" t="n"/>
      <c r="P524" s="58" t="n"/>
      <c r="Q524" s="30" t="n"/>
      <c r="R524" s="135" t="n"/>
      <c r="S524" s="301" t="n"/>
      <c r="T524" s="294" t="n"/>
      <c r="U524" s="29" t="inlineStr">
        <is>
          <t>r02</t>
        </is>
      </c>
      <c r="V524" s="191" t="n"/>
      <c r="W524" s="58" t="n"/>
      <c r="X524" s="192" t="n"/>
      <c r="Y524" s="192" t="n"/>
      <c r="Z524" s="192" t="n"/>
      <c r="AA524" s="64" t="n"/>
      <c r="AB524" s="64" t="n"/>
      <c r="AC524" s="193" t="n"/>
      <c r="AD524" s="357" t="n"/>
      <c r="AE524" s="357" t="n"/>
      <c r="AF524" s="58" t="n"/>
      <c r="AG524" s="30" t="n"/>
      <c r="AH524" s="58" t="n"/>
      <c r="AI524" s="30" t="n"/>
      <c r="AJ524" s="135" t="n"/>
      <c r="AK524" s="212" t="n"/>
      <c r="AL524" s="294" t="n"/>
      <c r="AM524" s="89">
        <f>IF(OR(X524="",F524=""),"",X524-F524)</f>
        <v/>
      </c>
      <c r="AN524" s="124">
        <f>IF(OR(Y524="",G524=""),"",Y524-G524)</f>
        <v/>
      </c>
      <c r="AO524" s="124">
        <f>IF(OR(Z524="",H524=""),"",Z524-H524)</f>
        <v/>
      </c>
      <c r="AP524" s="124">
        <f>IF(OR(AA524="",I524=""),"",AA524-I524)</f>
        <v/>
      </c>
      <c r="AQ524" s="90">
        <f>IF(OR(AB524="",J524=""),"",AB524-J524)</f>
        <v/>
      </c>
      <c r="AR524" s="39" t="n"/>
      <c r="AS524" s="332" t="n"/>
      <c r="AT524" s="39" t="n"/>
    </row>
    <row r="525" ht="13.5" customHeight="1" s="279">
      <c r="B525" s="294" t="n"/>
      <c r="C525" s="29" t="inlineStr">
        <is>
          <t>r03</t>
        </is>
      </c>
      <c r="D525" s="191" t="n"/>
      <c r="E525" s="58" t="n"/>
      <c r="F525" s="192" t="n"/>
      <c r="G525" s="192" t="n"/>
      <c r="H525" s="192" t="n"/>
      <c r="I525" s="64" t="n"/>
      <c r="J525" s="64" t="n"/>
      <c r="K525" s="193" t="n"/>
      <c r="L525" s="357" t="n"/>
      <c r="M525" s="357" t="n"/>
      <c r="N525" s="58" t="n"/>
      <c r="O525" s="30" t="n"/>
      <c r="P525" s="58" t="n"/>
      <c r="Q525" s="30" t="n"/>
      <c r="R525" s="135" t="n"/>
      <c r="S525" s="301" t="n"/>
      <c r="T525" s="294" t="n"/>
      <c r="U525" s="29" t="inlineStr">
        <is>
          <t>r03</t>
        </is>
      </c>
      <c r="V525" s="191" t="n"/>
      <c r="W525" s="58" t="n"/>
      <c r="X525" s="192" t="n"/>
      <c r="Y525" s="192" t="n"/>
      <c r="Z525" s="192" t="n"/>
      <c r="AA525" s="64" t="n"/>
      <c r="AB525" s="64" t="n"/>
      <c r="AC525" s="193" t="n"/>
      <c r="AD525" s="357" t="n"/>
      <c r="AE525" s="357" t="n"/>
      <c r="AF525" s="58" t="n"/>
      <c r="AG525" s="30" t="n"/>
      <c r="AH525" s="58" t="n"/>
      <c r="AI525" s="30" t="n"/>
      <c r="AJ525" s="135" t="n"/>
      <c r="AK525" s="212" t="n"/>
      <c r="AL525" s="294" t="n"/>
      <c r="AM525" s="89">
        <f>IF(OR(X525="",F525=""),"",X525-F525)</f>
        <v/>
      </c>
      <c r="AN525" s="124">
        <f>IF(OR(Y525="",G525=""),"",Y525-G525)</f>
        <v/>
      </c>
      <c r="AO525" s="124">
        <f>IF(OR(Z525="",H525=""),"",Z525-H525)</f>
        <v/>
      </c>
      <c r="AP525" s="124">
        <f>IF(OR(AA525="",I525=""),"",AA525-I525)</f>
        <v/>
      </c>
      <c r="AQ525" s="90">
        <f>IF(OR(AB525="",J525=""),"",AB525-J525)</f>
        <v/>
      </c>
      <c r="AR525" s="39" t="n"/>
      <c r="AS525" s="332" t="n"/>
      <c r="AT525" s="39" t="n"/>
    </row>
    <row r="526" ht="13.5" customHeight="1" s="279">
      <c r="B526" s="294" t="n"/>
      <c r="C526" s="29" t="inlineStr">
        <is>
          <t>r04</t>
        </is>
      </c>
      <c r="D526" s="191" t="n"/>
      <c r="E526" s="58" t="n"/>
      <c r="F526" s="192" t="n"/>
      <c r="G526" s="192" t="n"/>
      <c r="H526" s="192" t="n"/>
      <c r="I526" s="64" t="n"/>
      <c r="J526" s="64" t="n"/>
      <c r="K526" s="193" t="n"/>
      <c r="L526" s="357" t="n"/>
      <c r="M526" s="357" t="n"/>
      <c r="N526" s="58" t="n"/>
      <c r="O526" s="30" t="n"/>
      <c r="P526" s="58" t="n"/>
      <c r="Q526" s="30" t="n"/>
      <c r="R526" s="135" t="n"/>
      <c r="S526" s="301" t="n"/>
      <c r="T526" s="294" t="n"/>
      <c r="U526" s="29" t="inlineStr">
        <is>
          <t>r04</t>
        </is>
      </c>
      <c r="V526" s="191" t="n"/>
      <c r="W526" s="58" t="n"/>
      <c r="X526" s="192" t="n"/>
      <c r="Y526" s="192" t="n"/>
      <c r="Z526" s="192" t="n"/>
      <c r="AA526" s="64" t="n"/>
      <c r="AB526" s="64" t="n"/>
      <c r="AC526" s="193" t="n"/>
      <c r="AD526" s="357" t="n"/>
      <c r="AE526" s="357" t="n"/>
      <c r="AF526" s="58" t="n"/>
      <c r="AG526" s="30" t="n"/>
      <c r="AH526" s="58" t="n"/>
      <c r="AI526" s="30" t="n"/>
      <c r="AJ526" s="135" t="n"/>
      <c r="AK526" s="212" t="n"/>
      <c r="AL526" s="294" t="n"/>
      <c r="AM526" s="89">
        <f>IF(OR(X526="",F526=""),"",X526-F526)</f>
        <v/>
      </c>
      <c r="AN526" s="124">
        <f>IF(OR(Y526="",G526=""),"",Y526-G526)</f>
        <v/>
      </c>
      <c r="AO526" s="124">
        <f>IF(OR(Z526="",H526=""),"",Z526-H526)</f>
        <v/>
      </c>
      <c r="AP526" s="124">
        <f>IF(OR(AA526="",I526=""),"",AA526-I526)</f>
        <v/>
      </c>
      <c r="AQ526" s="90">
        <f>IF(OR(AB526="",J526=""),"",AB526-J526)</f>
        <v/>
      </c>
      <c r="AR526" s="39" t="n"/>
      <c r="AS526" s="332" t="n"/>
      <c r="AT526" s="39" t="n"/>
    </row>
    <row r="527" ht="13.5" customHeight="1" s="279" thickBot="1">
      <c r="B527" s="295" t="n"/>
      <c r="C527" s="29" t="n"/>
      <c r="D527" s="191" t="n"/>
      <c r="E527" s="58" t="n"/>
      <c r="F527" s="194" t="n"/>
      <c r="G527" s="194" t="n"/>
      <c r="H527" s="194" t="n"/>
      <c r="I527" s="58" t="n"/>
      <c r="J527" s="58" t="n"/>
      <c r="K527" s="193" t="n"/>
      <c r="L527" s="357" t="n"/>
      <c r="M527" s="357" t="n"/>
      <c r="N527" s="58" t="n"/>
      <c r="O527" s="30" t="n"/>
      <c r="P527" s="58" t="n"/>
      <c r="Q527" s="30" t="n"/>
      <c r="R527" s="189" t="n"/>
      <c r="S527" s="301" t="n"/>
      <c r="T527" s="295" t="n"/>
      <c r="U527" s="29" t="n"/>
      <c r="V527" s="191" t="n"/>
      <c r="W527" s="58" t="n"/>
      <c r="X527" s="194" t="n"/>
      <c r="Y527" s="194" t="n"/>
      <c r="Z527" s="194" t="n"/>
      <c r="AA527" s="58" t="n"/>
      <c r="AB527" s="58" t="n"/>
      <c r="AC527" s="193" t="n"/>
      <c r="AD527" s="357" t="n"/>
      <c r="AE527" s="357" t="n"/>
      <c r="AF527" s="58" t="n"/>
      <c r="AG527" s="30" t="n"/>
      <c r="AH527" s="58" t="n"/>
      <c r="AI527" s="30" t="n"/>
      <c r="AJ527" s="189" t="n"/>
      <c r="AK527" s="212" t="n"/>
      <c r="AL527" s="295" t="n"/>
      <c r="AM527" s="125">
        <f>IF(OR(X527="",F527=""),"",X527-F527)</f>
        <v/>
      </c>
      <c r="AN527" s="126">
        <f>IF(OR(Y527="",G527=""),"",Y527-G527)</f>
        <v/>
      </c>
      <c r="AO527" s="126">
        <f>IF(OR(Z527="",H527=""),"",Z527-H527)</f>
        <v/>
      </c>
      <c r="AP527" s="126">
        <f>IF(OR(AA527="",I527=""),"",AA527-I527)</f>
        <v/>
      </c>
      <c r="AQ527" s="127">
        <f>IF(OR(AB527="",J527=""),"",AB527-J527)</f>
        <v/>
      </c>
      <c r="AR527" s="39" t="n"/>
      <c r="AS527" s="332" t="n"/>
      <c r="AT527" s="39" t="n"/>
    </row>
    <row r="528" ht="13.5" customHeight="1" s="279">
      <c r="B528" s="293" t="inlineStr">
        <is>
          <t>v99</t>
        </is>
      </c>
      <c r="C528" s="27" t="inlineStr">
        <is>
          <t>r01</t>
        </is>
      </c>
      <c r="D528" s="41" t="n"/>
      <c r="E528" s="57" t="n"/>
      <c r="F528" s="99" t="n"/>
      <c r="G528" s="99" t="n"/>
      <c r="H528" s="99" t="n"/>
      <c r="I528" s="62" t="n"/>
      <c r="J528" s="62" t="n"/>
      <c r="K528" s="63" t="n"/>
      <c r="L528" s="356" t="n"/>
      <c r="M528" s="356" t="n"/>
      <c r="N528" s="57" t="n"/>
      <c r="O528" s="28" t="n"/>
      <c r="P528" s="57" t="n"/>
      <c r="Q528" s="28" t="n"/>
      <c r="R528" s="134" t="n"/>
      <c r="S528" s="301" t="n"/>
      <c r="T528" s="293" t="inlineStr">
        <is>
          <t>v99</t>
        </is>
      </c>
      <c r="U528" s="27" t="inlineStr">
        <is>
          <t>r01</t>
        </is>
      </c>
      <c r="V528" s="41" t="n"/>
      <c r="W528" s="57" t="n"/>
      <c r="X528" s="99" t="n"/>
      <c r="Y528" s="99" t="n"/>
      <c r="Z528" s="99" t="n"/>
      <c r="AA528" s="62" t="n"/>
      <c r="AB528" s="62" t="n"/>
      <c r="AC528" s="63" t="n"/>
      <c r="AD528" s="356" t="n"/>
      <c r="AE528" s="356" t="n"/>
      <c r="AF528" s="57" t="n"/>
      <c r="AG528" s="28" t="n"/>
      <c r="AH528" s="57" t="n"/>
      <c r="AI528" s="28" t="n"/>
      <c r="AJ528" s="134" t="n"/>
      <c r="AK528" s="212" t="n"/>
      <c r="AL528" s="293" t="inlineStr">
        <is>
          <t>v99</t>
        </is>
      </c>
      <c r="AM528" s="122">
        <f>IF(OR(X528="",F528=""),"",X528-F528)</f>
        <v/>
      </c>
      <c r="AN528" s="98">
        <f>IF(OR(Y528="",G528=""),"",Y528-G528)</f>
        <v/>
      </c>
      <c r="AO528" s="98">
        <f>IF(OR(Z528="",H528=""),"",Z528-H528)</f>
        <v/>
      </c>
      <c r="AP528" s="98">
        <f>IF(OR(AA528="",I528=""),"",AA528-I528)</f>
        <v/>
      </c>
      <c r="AQ528" s="123">
        <f>IF(OR(AB528="",J528=""),"",AB528-J528)</f>
        <v/>
      </c>
      <c r="AR528" s="39" t="n"/>
      <c r="AS528" s="332" t="n"/>
      <c r="AT528" s="39" t="n"/>
    </row>
    <row r="529" ht="13.5" customHeight="1" s="279">
      <c r="B529" s="294" t="n"/>
      <c r="C529" s="29" t="inlineStr">
        <is>
          <t>r02</t>
        </is>
      </c>
      <c r="D529" s="191" t="n"/>
      <c r="E529" s="58" t="n"/>
      <c r="F529" s="192" t="n"/>
      <c r="G529" s="192" t="n"/>
      <c r="H529" s="192" t="n"/>
      <c r="I529" s="64" t="n"/>
      <c r="J529" s="64" t="n"/>
      <c r="K529" s="193" t="n"/>
      <c r="L529" s="357" t="n"/>
      <c r="M529" s="357" t="n"/>
      <c r="N529" s="58" t="n"/>
      <c r="O529" s="30" t="n"/>
      <c r="P529" s="58" t="n"/>
      <c r="Q529" s="30" t="n"/>
      <c r="R529" s="135" t="n"/>
      <c r="S529" s="301" t="n"/>
      <c r="T529" s="294" t="n"/>
      <c r="U529" s="29" t="inlineStr">
        <is>
          <t>r02</t>
        </is>
      </c>
      <c r="V529" s="191" t="n"/>
      <c r="W529" s="58" t="n"/>
      <c r="X529" s="192" t="n"/>
      <c r="Y529" s="192" t="n"/>
      <c r="Z529" s="192" t="n"/>
      <c r="AA529" s="64" t="n"/>
      <c r="AB529" s="64" t="n"/>
      <c r="AC529" s="193" t="n"/>
      <c r="AD529" s="357" t="n"/>
      <c r="AE529" s="357" t="n"/>
      <c r="AF529" s="58" t="n"/>
      <c r="AG529" s="30" t="n"/>
      <c r="AH529" s="58" t="n"/>
      <c r="AI529" s="30" t="n"/>
      <c r="AJ529" s="135" t="n"/>
      <c r="AK529" s="212" t="n"/>
      <c r="AL529" s="294" t="n"/>
      <c r="AM529" s="89">
        <f>IF(OR(X529="",F529=""),"",X529-F529)</f>
        <v/>
      </c>
      <c r="AN529" s="124">
        <f>IF(OR(Y529="",G529=""),"",Y529-G529)</f>
        <v/>
      </c>
      <c r="AO529" s="124">
        <f>IF(OR(Z529="",H529=""),"",Z529-H529)</f>
        <v/>
      </c>
      <c r="AP529" s="124">
        <f>IF(OR(AA529="",I529=""),"",AA529-I529)</f>
        <v/>
      </c>
      <c r="AQ529" s="90">
        <f>IF(OR(AB529="",J529=""),"",AB529-J529)</f>
        <v/>
      </c>
      <c r="AR529" s="39" t="n"/>
      <c r="AS529" s="332" t="n"/>
      <c r="AT529" s="39" t="n"/>
    </row>
    <row r="530" ht="13.5" customHeight="1" s="279">
      <c r="B530" s="294" t="n"/>
      <c r="C530" s="29" t="inlineStr">
        <is>
          <t>r03</t>
        </is>
      </c>
      <c r="D530" s="191" t="n"/>
      <c r="E530" s="58" t="n"/>
      <c r="F530" s="192" t="n"/>
      <c r="G530" s="192" t="n"/>
      <c r="H530" s="192" t="n"/>
      <c r="I530" s="64" t="n"/>
      <c r="J530" s="64" t="n"/>
      <c r="K530" s="193" t="n"/>
      <c r="L530" s="357" t="n"/>
      <c r="M530" s="357" t="n"/>
      <c r="N530" s="58" t="n"/>
      <c r="O530" s="30" t="n"/>
      <c r="P530" s="58" t="n"/>
      <c r="Q530" s="30" t="n"/>
      <c r="R530" s="135" t="n"/>
      <c r="S530" s="301" t="n"/>
      <c r="T530" s="294" t="n"/>
      <c r="U530" s="29" t="inlineStr">
        <is>
          <t>r03</t>
        </is>
      </c>
      <c r="V530" s="191" t="n"/>
      <c r="W530" s="58" t="n"/>
      <c r="X530" s="192" t="n"/>
      <c r="Y530" s="192" t="n"/>
      <c r="Z530" s="192" t="n"/>
      <c r="AA530" s="64" t="n"/>
      <c r="AB530" s="64" t="n"/>
      <c r="AC530" s="193" t="n"/>
      <c r="AD530" s="357" t="n"/>
      <c r="AE530" s="357" t="n"/>
      <c r="AF530" s="58" t="n"/>
      <c r="AG530" s="30" t="n"/>
      <c r="AH530" s="58" t="n"/>
      <c r="AI530" s="30" t="n"/>
      <c r="AJ530" s="135" t="n"/>
      <c r="AK530" s="212" t="n"/>
      <c r="AL530" s="294" t="n"/>
      <c r="AM530" s="89">
        <f>IF(OR(X530="",F530=""),"",X530-F530)</f>
        <v/>
      </c>
      <c r="AN530" s="124">
        <f>IF(OR(Y530="",G530=""),"",Y530-G530)</f>
        <v/>
      </c>
      <c r="AO530" s="124">
        <f>IF(OR(Z530="",H530=""),"",Z530-H530)</f>
        <v/>
      </c>
      <c r="AP530" s="124">
        <f>IF(OR(AA530="",I530=""),"",AA530-I530)</f>
        <v/>
      </c>
      <c r="AQ530" s="90">
        <f>IF(OR(AB530="",J530=""),"",AB530-J530)</f>
        <v/>
      </c>
      <c r="AR530" s="39" t="n"/>
      <c r="AS530" s="332" t="n"/>
      <c r="AT530" s="39" t="n"/>
    </row>
    <row r="531" ht="13.5" customHeight="1" s="279">
      <c r="B531" s="294" t="n"/>
      <c r="C531" s="29" t="inlineStr">
        <is>
          <t>r04</t>
        </is>
      </c>
      <c r="D531" s="191" t="n"/>
      <c r="E531" s="58" t="n"/>
      <c r="F531" s="192" t="n"/>
      <c r="G531" s="192" t="n"/>
      <c r="H531" s="192" t="n"/>
      <c r="I531" s="64" t="n"/>
      <c r="J531" s="64" t="n"/>
      <c r="K531" s="193" t="n"/>
      <c r="L531" s="357" t="n"/>
      <c r="M531" s="357" t="n"/>
      <c r="N531" s="58" t="n"/>
      <c r="O531" s="30" t="n"/>
      <c r="P531" s="58" t="n"/>
      <c r="Q531" s="30" t="n"/>
      <c r="R531" s="135" t="n"/>
      <c r="S531" s="301" t="n"/>
      <c r="T531" s="294" t="n"/>
      <c r="U531" s="29" t="inlineStr">
        <is>
          <t>r04</t>
        </is>
      </c>
      <c r="V531" s="191" t="n"/>
      <c r="W531" s="58" t="n"/>
      <c r="X531" s="192" t="n"/>
      <c r="Y531" s="192" t="n"/>
      <c r="Z531" s="192" t="n"/>
      <c r="AA531" s="64" t="n"/>
      <c r="AB531" s="64" t="n"/>
      <c r="AC531" s="193" t="n"/>
      <c r="AD531" s="357" t="n"/>
      <c r="AE531" s="357" t="n"/>
      <c r="AF531" s="58" t="n"/>
      <c r="AG531" s="30" t="n"/>
      <c r="AH531" s="58" t="n"/>
      <c r="AI531" s="30" t="n"/>
      <c r="AJ531" s="135" t="n"/>
      <c r="AK531" s="212" t="n"/>
      <c r="AL531" s="294" t="n"/>
      <c r="AM531" s="89">
        <f>IF(OR(X531="",F531=""),"",X531-F531)</f>
        <v/>
      </c>
      <c r="AN531" s="124">
        <f>IF(OR(Y531="",G531=""),"",Y531-G531)</f>
        <v/>
      </c>
      <c r="AO531" s="124">
        <f>IF(OR(Z531="",H531=""),"",Z531-H531)</f>
        <v/>
      </c>
      <c r="AP531" s="124">
        <f>IF(OR(AA531="",I531=""),"",AA531-I531)</f>
        <v/>
      </c>
      <c r="AQ531" s="90">
        <f>IF(OR(AB531="",J531=""),"",AB531-J531)</f>
        <v/>
      </c>
      <c r="AR531" s="39" t="n"/>
      <c r="AS531" s="332" t="n"/>
      <c r="AT531" s="39" t="n"/>
    </row>
    <row r="532" ht="13.5" customHeight="1" s="279" thickBot="1">
      <c r="B532" s="295" t="n"/>
      <c r="C532" s="29" t="n"/>
      <c r="D532" s="191" t="n"/>
      <c r="E532" s="58" t="n"/>
      <c r="F532" s="194" t="n"/>
      <c r="G532" s="194" t="n"/>
      <c r="H532" s="194" t="n"/>
      <c r="I532" s="58" t="n"/>
      <c r="J532" s="58" t="n"/>
      <c r="K532" s="193" t="n"/>
      <c r="L532" s="357" t="n"/>
      <c r="M532" s="357" t="n"/>
      <c r="N532" s="58" t="n"/>
      <c r="O532" s="30" t="n"/>
      <c r="P532" s="58" t="n"/>
      <c r="Q532" s="30" t="n"/>
      <c r="R532" s="189" t="n"/>
      <c r="S532" s="301" t="n"/>
      <c r="T532" s="295" t="n"/>
      <c r="U532" s="29" t="n"/>
      <c r="V532" s="191" t="n"/>
      <c r="W532" s="58" t="n"/>
      <c r="X532" s="194" t="n"/>
      <c r="Y532" s="194" t="n"/>
      <c r="Z532" s="194" t="n"/>
      <c r="AA532" s="58" t="n"/>
      <c r="AB532" s="58" t="n"/>
      <c r="AC532" s="193" t="n"/>
      <c r="AD532" s="357" t="n"/>
      <c r="AE532" s="357" t="n"/>
      <c r="AF532" s="58" t="n"/>
      <c r="AG532" s="30" t="n"/>
      <c r="AH532" s="58" t="n"/>
      <c r="AI532" s="30" t="n"/>
      <c r="AJ532" s="189" t="n"/>
      <c r="AK532" s="212" t="n"/>
      <c r="AL532" s="295" t="n"/>
      <c r="AM532" s="125">
        <f>IF(OR(X532="",F532=""),"",X532-F532)</f>
        <v/>
      </c>
      <c r="AN532" s="126">
        <f>IF(OR(Y532="",G532=""),"",Y532-G532)</f>
        <v/>
      </c>
      <c r="AO532" s="126">
        <f>IF(OR(Z532="",H532=""),"",Z532-H532)</f>
        <v/>
      </c>
      <c r="AP532" s="126">
        <f>IF(OR(AA532="",I532=""),"",AA532-I532)</f>
        <v/>
      </c>
      <c r="AQ532" s="127">
        <f>IF(OR(AB532="",J532=""),"",AB532-J532)</f>
        <v/>
      </c>
      <c r="AR532" s="39" t="n"/>
      <c r="AS532" s="332" t="n"/>
      <c r="AT532" s="39" t="n"/>
    </row>
    <row r="533" ht="13.5" customHeight="1" s="279">
      <c r="B533" s="293" t="inlineStr">
        <is>
          <t>v100</t>
        </is>
      </c>
      <c r="C533" s="27" t="inlineStr">
        <is>
          <t>r01</t>
        </is>
      </c>
      <c r="D533" s="41" t="n"/>
      <c r="E533" s="57" t="n"/>
      <c r="F533" s="99" t="n"/>
      <c r="G533" s="99" t="n"/>
      <c r="H533" s="99" t="n"/>
      <c r="I533" s="62" t="n"/>
      <c r="J533" s="62" t="n"/>
      <c r="K533" s="63" t="n"/>
      <c r="L533" s="356" t="n"/>
      <c r="M533" s="356" t="n"/>
      <c r="N533" s="57" t="n"/>
      <c r="O533" s="28" t="n"/>
      <c r="P533" s="57" t="n"/>
      <c r="Q533" s="28" t="n"/>
      <c r="R533" s="134" t="n"/>
      <c r="S533" s="301" t="n"/>
      <c r="T533" s="293" t="inlineStr">
        <is>
          <t>v100</t>
        </is>
      </c>
      <c r="U533" s="27" t="inlineStr">
        <is>
          <t>r01</t>
        </is>
      </c>
      <c r="V533" s="41" t="n"/>
      <c r="W533" s="57" t="n"/>
      <c r="X533" s="99" t="n"/>
      <c r="Y533" s="99" t="n"/>
      <c r="Z533" s="99" t="n"/>
      <c r="AA533" s="62" t="n"/>
      <c r="AB533" s="62" t="n"/>
      <c r="AC533" s="63" t="n"/>
      <c r="AD533" s="356" t="n"/>
      <c r="AE533" s="356" t="n"/>
      <c r="AF533" s="57" t="n"/>
      <c r="AG533" s="28" t="n"/>
      <c r="AH533" s="57" t="n"/>
      <c r="AI533" s="28" t="n"/>
      <c r="AJ533" s="134" t="n"/>
      <c r="AK533" s="212" t="n"/>
      <c r="AL533" s="293" t="inlineStr">
        <is>
          <t>v100</t>
        </is>
      </c>
      <c r="AM533" s="122">
        <f>IF(OR(X533="",F533=""),"",X533-F533)</f>
        <v/>
      </c>
      <c r="AN533" s="98">
        <f>IF(OR(Y533="",G533=""),"",Y533-G533)</f>
        <v/>
      </c>
      <c r="AO533" s="98">
        <f>IF(OR(Z533="",H533=""),"",Z533-H533)</f>
        <v/>
      </c>
      <c r="AP533" s="98">
        <f>IF(OR(AA533="",I533=""),"",AA533-I533)</f>
        <v/>
      </c>
      <c r="AQ533" s="123">
        <f>IF(OR(AB533="",J533=""),"",AB533-J533)</f>
        <v/>
      </c>
      <c r="AR533" s="39" t="n"/>
      <c r="AS533" s="332" t="n"/>
      <c r="AT533" s="39" t="n"/>
    </row>
    <row r="534" ht="13.5" customHeight="1" s="279">
      <c r="B534" s="294" t="n"/>
      <c r="C534" s="29" t="inlineStr">
        <is>
          <t>r02</t>
        </is>
      </c>
      <c r="D534" s="191" t="n"/>
      <c r="E534" s="58" t="n"/>
      <c r="F534" s="192" t="n"/>
      <c r="G534" s="192" t="n"/>
      <c r="H534" s="192" t="n"/>
      <c r="I534" s="64" t="n"/>
      <c r="J534" s="64" t="n"/>
      <c r="K534" s="193" t="n"/>
      <c r="L534" s="357" t="n"/>
      <c r="M534" s="357" t="n"/>
      <c r="N534" s="58" t="n"/>
      <c r="O534" s="30" t="n"/>
      <c r="P534" s="58" t="n"/>
      <c r="Q534" s="30" t="n"/>
      <c r="R534" s="135" t="n"/>
      <c r="S534" s="301" t="n"/>
      <c r="T534" s="294" t="n"/>
      <c r="U534" s="29" t="inlineStr">
        <is>
          <t>r02</t>
        </is>
      </c>
      <c r="V534" s="191" t="n"/>
      <c r="W534" s="58" t="n"/>
      <c r="X534" s="192" t="n"/>
      <c r="Y534" s="192" t="n"/>
      <c r="Z534" s="192" t="n"/>
      <c r="AA534" s="64" t="n"/>
      <c r="AB534" s="64" t="n"/>
      <c r="AC534" s="193" t="n"/>
      <c r="AD534" s="357" t="n"/>
      <c r="AE534" s="357" t="n"/>
      <c r="AF534" s="58" t="n"/>
      <c r="AG534" s="30" t="n"/>
      <c r="AH534" s="58" t="n"/>
      <c r="AI534" s="30" t="n"/>
      <c r="AJ534" s="135" t="n"/>
      <c r="AK534" s="212" t="n"/>
      <c r="AL534" s="294" t="n"/>
      <c r="AM534" s="89">
        <f>IF(OR(X534="",F534=""),"",X534-F534)</f>
        <v/>
      </c>
      <c r="AN534" s="124">
        <f>IF(OR(Y534="",G534=""),"",Y534-G534)</f>
        <v/>
      </c>
      <c r="AO534" s="124">
        <f>IF(OR(Z534="",H534=""),"",Z534-H534)</f>
        <v/>
      </c>
      <c r="AP534" s="124">
        <f>IF(OR(AA534="",I534=""),"",AA534-I534)</f>
        <v/>
      </c>
      <c r="AQ534" s="90">
        <f>IF(OR(AB534="",J534=""),"",AB534-J534)</f>
        <v/>
      </c>
      <c r="AR534" s="39" t="n"/>
      <c r="AS534" s="332" t="n"/>
      <c r="AT534" s="39" t="n"/>
    </row>
    <row r="535" ht="13.5" customHeight="1" s="279">
      <c r="B535" s="294" t="n"/>
      <c r="C535" s="29" t="inlineStr">
        <is>
          <t>r03</t>
        </is>
      </c>
      <c r="D535" s="191" t="n"/>
      <c r="E535" s="58" t="n"/>
      <c r="F535" s="192" t="n"/>
      <c r="G535" s="192" t="n"/>
      <c r="H535" s="192" t="n"/>
      <c r="I535" s="64" t="n"/>
      <c r="J535" s="64" t="n"/>
      <c r="K535" s="193" t="n"/>
      <c r="L535" s="357" t="n"/>
      <c r="M535" s="357" t="n"/>
      <c r="N535" s="58" t="n"/>
      <c r="O535" s="30" t="n"/>
      <c r="P535" s="58" t="n"/>
      <c r="Q535" s="30" t="n"/>
      <c r="R535" s="135" t="n"/>
      <c r="S535" s="301" t="n"/>
      <c r="T535" s="294" t="n"/>
      <c r="U535" s="29" t="inlineStr">
        <is>
          <t>r03</t>
        </is>
      </c>
      <c r="V535" s="191" t="n"/>
      <c r="W535" s="58" t="n"/>
      <c r="X535" s="192" t="n"/>
      <c r="Y535" s="192" t="n"/>
      <c r="Z535" s="192" t="n"/>
      <c r="AA535" s="64" t="n"/>
      <c r="AB535" s="64" t="n"/>
      <c r="AC535" s="193" t="n"/>
      <c r="AD535" s="357" t="n"/>
      <c r="AE535" s="357" t="n"/>
      <c r="AF535" s="58" t="n"/>
      <c r="AG535" s="30" t="n"/>
      <c r="AH535" s="58" t="n"/>
      <c r="AI535" s="30" t="n"/>
      <c r="AJ535" s="135" t="n"/>
      <c r="AK535" s="212" t="n"/>
      <c r="AL535" s="294" t="n"/>
      <c r="AM535" s="89">
        <f>IF(OR(X535="",F535=""),"",X535-F535)</f>
        <v/>
      </c>
      <c r="AN535" s="124">
        <f>IF(OR(Y535="",G535=""),"",Y535-G535)</f>
        <v/>
      </c>
      <c r="AO535" s="124">
        <f>IF(OR(Z535="",H535=""),"",Z535-H535)</f>
        <v/>
      </c>
      <c r="AP535" s="124">
        <f>IF(OR(AA535="",I535=""),"",AA535-I535)</f>
        <v/>
      </c>
      <c r="AQ535" s="90">
        <f>IF(OR(AB535="",J535=""),"",AB535-J535)</f>
        <v/>
      </c>
      <c r="AR535" s="39" t="n"/>
      <c r="AS535" s="332" t="n"/>
      <c r="AT535" s="39" t="n"/>
    </row>
    <row r="536" ht="13.5" customHeight="1" s="279">
      <c r="B536" s="294" t="n"/>
      <c r="C536" s="29" t="inlineStr">
        <is>
          <t>r04</t>
        </is>
      </c>
      <c r="D536" s="191" t="n"/>
      <c r="E536" s="58" t="n"/>
      <c r="F536" s="192" t="n"/>
      <c r="G536" s="192" t="n"/>
      <c r="H536" s="192" t="n"/>
      <c r="I536" s="64" t="n"/>
      <c r="J536" s="64" t="n"/>
      <c r="K536" s="193" t="n"/>
      <c r="L536" s="357" t="n"/>
      <c r="M536" s="357" t="n"/>
      <c r="N536" s="58" t="n"/>
      <c r="O536" s="30" t="n"/>
      <c r="P536" s="58" t="n"/>
      <c r="Q536" s="30" t="n"/>
      <c r="R536" s="135" t="n"/>
      <c r="S536" s="301" t="n"/>
      <c r="T536" s="294" t="n"/>
      <c r="U536" s="29" t="inlineStr">
        <is>
          <t>r04</t>
        </is>
      </c>
      <c r="V536" s="191" t="n"/>
      <c r="W536" s="58" t="n"/>
      <c r="X536" s="192" t="n"/>
      <c r="Y536" s="192" t="n"/>
      <c r="Z536" s="192" t="n"/>
      <c r="AA536" s="64" t="n"/>
      <c r="AB536" s="64" t="n"/>
      <c r="AC536" s="193" t="n"/>
      <c r="AD536" s="357" t="n"/>
      <c r="AE536" s="357" t="n"/>
      <c r="AF536" s="58" t="n"/>
      <c r="AG536" s="30" t="n"/>
      <c r="AH536" s="58" t="n"/>
      <c r="AI536" s="30" t="n"/>
      <c r="AJ536" s="135" t="n"/>
      <c r="AK536" s="212" t="n"/>
      <c r="AL536" s="294" t="n"/>
      <c r="AM536" s="89">
        <f>IF(OR(X536="",F536=""),"",X536-F536)</f>
        <v/>
      </c>
      <c r="AN536" s="124">
        <f>IF(OR(Y536="",G536=""),"",Y536-G536)</f>
        <v/>
      </c>
      <c r="AO536" s="124">
        <f>IF(OR(Z536="",H536=""),"",Z536-H536)</f>
        <v/>
      </c>
      <c r="AP536" s="124">
        <f>IF(OR(AA536="",I536=""),"",AA536-I536)</f>
        <v/>
      </c>
      <c r="AQ536" s="90">
        <f>IF(OR(AB536="",J536=""),"",AB536-J536)</f>
        <v/>
      </c>
      <c r="AR536" s="39" t="n"/>
      <c r="AS536" s="332" t="n"/>
      <c r="AT536" s="39" t="n"/>
    </row>
    <row r="537" ht="13.5" customHeight="1" s="279" thickBot="1">
      <c r="B537" s="295" t="n"/>
      <c r="C537" s="29" t="n"/>
      <c r="D537" s="191" t="n"/>
      <c r="E537" s="58" t="n"/>
      <c r="F537" s="194" t="n"/>
      <c r="G537" s="194" t="n"/>
      <c r="H537" s="194" t="n"/>
      <c r="I537" s="58" t="n"/>
      <c r="J537" s="58" t="n"/>
      <c r="K537" s="193" t="n"/>
      <c r="L537" s="357" t="n"/>
      <c r="M537" s="357" t="n"/>
      <c r="N537" s="58" t="n"/>
      <c r="O537" s="30" t="n"/>
      <c r="P537" s="58" t="n"/>
      <c r="Q537" s="30" t="n"/>
      <c r="R537" s="189" t="n"/>
      <c r="S537" s="301" t="n"/>
      <c r="T537" s="295" t="n"/>
      <c r="U537" s="29" t="n"/>
      <c r="V537" s="191" t="n"/>
      <c r="W537" s="58" t="n"/>
      <c r="X537" s="194" t="n"/>
      <c r="Y537" s="194" t="n"/>
      <c r="Z537" s="194" t="n"/>
      <c r="AA537" s="58" t="n"/>
      <c r="AB537" s="58" t="n"/>
      <c r="AC537" s="193" t="n"/>
      <c r="AD537" s="357" t="n"/>
      <c r="AE537" s="357" t="n"/>
      <c r="AF537" s="58" t="n"/>
      <c r="AG537" s="30" t="n"/>
      <c r="AH537" s="58" t="n"/>
      <c r="AI537" s="30" t="n"/>
      <c r="AJ537" s="189" t="n"/>
      <c r="AK537" s="212" t="n"/>
      <c r="AL537" s="295" t="n"/>
      <c r="AM537" s="125">
        <f>IF(OR(X537="",F537=""),"",X537-F537)</f>
        <v/>
      </c>
      <c r="AN537" s="126">
        <f>IF(OR(Y537="",G537=""),"",Y537-G537)</f>
        <v/>
      </c>
      <c r="AO537" s="126">
        <f>IF(OR(Z537="",H537=""),"",Z537-H537)</f>
        <v/>
      </c>
      <c r="AP537" s="126">
        <f>IF(OR(AA537="",I537=""),"",AA537-I537)</f>
        <v/>
      </c>
      <c r="AQ537" s="127">
        <f>IF(OR(AB537="",J537=""),"",AB537-J537)</f>
        <v/>
      </c>
      <c r="AR537" s="39" t="n"/>
      <c r="AS537" s="332" t="n"/>
      <c r="AT537" s="39" t="n"/>
    </row>
    <row r="538" ht="13.5" customHeight="1" s="279">
      <c r="B538" s="293" t="inlineStr">
        <is>
          <t>v101</t>
        </is>
      </c>
      <c r="C538" s="27" t="inlineStr">
        <is>
          <t>r01</t>
        </is>
      </c>
      <c r="D538" s="41" t="n"/>
      <c r="E538" s="57" t="n"/>
      <c r="F538" s="99" t="n"/>
      <c r="G538" s="99" t="n"/>
      <c r="H538" s="99" t="n"/>
      <c r="I538" s="62" t="n"/>
      <c r="J538" s="62" t="n"/>
      <c r="K538" s="63" t="n"/>
      <c r="L538" s="356" t="n"/>
      <c r="M538" s="356" t="n"/>
      <c r="N538" s="57" t="n"/>
      <c r="O538" s="28" t="n"/>
      <c r="P538" s="57" t="n"/>
      <c r="Q538" s="28" t="n"/>
      <c r="R538" s="134" t="n"/>
      <c r="S538" s="301" t="n"/>
      <c r="T538" s="293" t="inlineStr">
        <is>
          <t>v101</t>
        </is>
      </c>
      <c r="U538" s="27" t="inlineStr">
        <is>
          <t>r01</t>
        </is>
      </c>
      <c r="V538" s="41" t="n"/>
      <c r="W538" s="57" t="n"/>
      <c r="X538" s="99" t="n"/>
      <c r="Y538" s="99" t="n"/>
      <c r="Z538" s="99" t="n"/>
      <c r="AA538" s="62" t="n"/>
      <c r="AB538" s="62" t="n"/>
      <c r="AC538" s="63" t="n"/>
      <c r="AD538" s="356" t="n"/>
      <c r="AE538" s="356" t="n"/>
      <c r="AF538" s="57" t="n"/>
      <c r="AG538" s="28" t="n"/>
      <c r="AH538" s="57" t="n"/>
      <c r="AI538" s="28" t="n"/>
      <c r="AJ538" s="134" t="n"/>
      <c r="AK538" s="212" t="n"/>
      <c r="AL538" s="293" t="inlineStr">
        <is>
          <t>v101</t>
        </is>
      </c>
      <c r="AM538" s="122">
        <f>IF(OR(X538="",F538=""),"",X538-F538)</f>
        <v/>
      </c>
      <c r="AN538" s="98">
        <f>IF(OR(Y538="",G538=""),"",Y538-G538)</f>
        <v/>
      </c>
      <c r="AO538" s="98">
        <f>IF(OR(Z538="",H538=""),"",Z538-H538)</f>
        <v/>
      </c>
      <c r="AP538" s="98">
        <f>IF(OR(AA538="",I538=""),"",AA538-I538)</f>
        <v/>
      </c>
      <c r="AQ538" s="123">
        <f>IF(OR(AB538="",J538=""),"",AB538-J538)</f>
        <v/>
      </c>
      <c r="AR538" s="39" t="n"/>
      <c r="AS538" s="332" t="n"/>
      <c r="AT538" s="39" t="n"/>
    </row>
    <row r="539" ht="13.5" customHeight="1" s="279">
      <c r="B539" s="294" t="n"/>
      <c r="C539" s="29" t="inlineStr">
        <is>
          <t>r02</t>
        </is>
      </c>
      <c r="D539" s="191" t="n"/>
      <c r="E539" s="58" t="n"/>
      <c r="F539" s="192" t="n"/>
      <c r="G539" s="192" t="n"/>
      <c r="H539" s="192" t="n"/>
      <c r="I539" s="64" t="n"/>
      <c r="J539" s="64" t="n"/>
      <c r="K539" s="193" t="n"/>
      <c r="L539" s="357" t="n"/>
      <c r="M539" s="357" t="n"/>
      <c r="N539" s="58" t="n"/>
      <c r="O539" s="30" t="n"/>
      <c r="P539" s="58" t="n"/>
      <c r="Q539" s="30" t="n"/>
      <c r="R539" s="135" t="n"/>
      <c r="S539" s="301" t="n"/>
      <c r="T539" s="294" t="n"/>
      <c r="U539" s="29" t="inlineStr">
        <is>
          <t>r02</t>
        </is>
      </c>
      <c r="V539" s="191" t="n"/>
      <c r="W539" s="58" t="n"/>
      <c r="X539" s="192" t="n"/>
      <c r="Y539" s="192" t="n"/>
      <c r="Z539" s="192" t="n"/>
      <c r="AA539" s="64" t="n"/>
      <c r="AB539" s="64" t="n"/>
      <c r="AC539" s="193" t="n"/>
      <c r="AD539" s="357" t="n"/>
      <c r="AE539" s="357" t="n"/>
      <c r="AF539" s="58" t="n"/>
      <c r="AG539" s="30" t="n"/>
      <c r="AH539" s="58" t="n"/>
      <c r="AI539" s="30" t="n"/>
      <c r="AJ539" s="135" t="n"/>
      <c r="AK539" s="212" t="n"/>
      <c r="AL539" s="294" t="n"/>
      <c r="AM539" s="89">
        <f>IF(OR(X539="",F539=""),"",X539-F539)</f>
        <v/>
      </c>
      <c r="AN539" s="124">
        <f>IF(OR(Y539="",G539=""),"",Y539-G539)</f>
        <v/>
      </c>
      <c r="AO539" s="124">
        <f>IF(OR(Z539="",H539=""),"",Z539-H539)</f>
        <v/>
      </c>
      <c r="AP539" s="124">
        <f>IF(OR(AA539="",I539=""),"",AA539-I539)</f>
        <v/>
      </c>
      <c r="AQ539" s="90">
        <f>IF(OR(AB539="",J539=""),"",AB539-J539)</f>
        <v/>
      </c>
      <c r="AR539" s="39" t="n"/>
      <c r="AS539" s="332" t="n"/>
      <c r="AT539" s="39" t="n"/>
    </row>
    <row r="540" ht="13.5" customHeight="1" s="279">
      <c r="B540" s="294" t="n"/>
      <c r="C540" s="29" t="inlineStr">
        <is>
          <t>r03</t>
        </is>
      </c>
      <c r="D540" s="191" t="n"/>
      <c r="E540" s="58" t="n"/>
      <c r="F540" s="192" t="n"/>
      <c r="G540" s="192" t="n"/>
      <c r="H540" s="192" t="n"/>
      <c r="I540" s="64" t="n"/>
      <c r="J540" s="64" t="n"/>
      <c r="K540" s="193" t="n"/>
      <c r="L540" s="357" t="n"/>
      <c r="M540" s="357" t="n"/>
      <c r="N540" s="58" t="n"/>
      <c r="O540" s="30" t="n"/>
      <c r="P540" s="58" t="n"/>
      <c r="Q540" s="30" t="n"/>
      <c r="R540" s="135" t="n"/>
      <c r="S540" s="301" t="n"/>
      <c r="T540" s="294" t="n"/>
      <c r="U540" s="29" t="inlineStr">
        <is>
          <t>r03</t>
        </is>
      </c>
      <c r="V540" s="191" t="n"/>
      <c r="W540" s="58" t="n"/>
      <c r="X540" s="192" t="n"/>
      <c r="Y540" s="192" t="n"/>
      <c r="Z540" s="192" t="n"/>
      <c r="AA540" s="64" t="n"/>
      <c r="AB540" s="64" t="n"/>
      <c r="AC540" s="193" t="n"/>
      <c r="AD540" s="357" t="n"/>
      <c r="AE540" s="357" t="n"/>
      <c r="AF540" s="58" t="n"/>
      <c r="AG540" s="30" t="n"/>
      <c r="AH540" s="58" t="n"/>
      <c r="AI540" s="30" t="n"/>
      <c r="AJ540" s="135" t="n"/>
      <c r="AK540" s="212" t="n"/>
      <c r="AL540" s="294" t="n"/>
      <c r="AM540" s="89">
        <f>IF(OR(X540="",F540=""),"",X540-F540)</f>
        <v/>
      </c>
      <c r="AN540" s="124">
        <f>IF(OR(Y540="",G540=""),"",Y540-G540)</f>
        <v/>
      </c>
      <c r="AO540" s="124">
        <f>IF(OR(Z540="",H540=""),"",Z540-H540)</f>
        <v/>
      </c>
      <c r="AP540" s="124">
        <f>IF(OR(AA540="",I540=""),"",AA540-I540)</f>
        <v/>
      </c>
      <c r="AQ540" s="90">
        <f>IF(OR(AB540="",J540=""),"",AB540-J540)</f>
        <v/>
      </c>
      <c r="AR540" s="39" t="n"/>
      <c r="AS540" s="332" t="n"/>
      <c r="AT540" s="39" t="n"/>
    </row>
    <row r="541" ht="13.5" customHeight="1" s="279">
      <c r="B541" s="294" t="n"/>
      <c r="C541" s="29" t="inlineStr">
        <is>
          <t>r04</t>
        </is>
      </c>
      <c r="D541" s="191" t="n"/>
      <c r="E541" s="58" t="n"/>
      <c r="F541" s="192" t="n"/>
      <c r="G541" s="192" t="n"/>
      <c r="H541" s="192" t="n"/>
      <c r="I541" s="64" t="n"/>
      <c r="J541" s="64" t="n"/>
      <c r="K541" s="193" t="n"/>
      <c r="L541" s="357" t="n"/>
      <c r="M541" s="357" t="n"/>
      <c r="N541" s="58" t="n"/>
      <c r="O541" s="30" t="n"/>
      <c r="P541" s="58" t="n"/>
      <c r="Q541" s="30" t="n"/>
      <c r="R541" s="135" t="n"/>
      <c r="S541" s="301" t="n"/>
      <c r="T541" s="294" t="n"/>
      <c r="U541" s="29" t="inlineStr">
        <is>
          <t>r04</t>
        </is>
      </c>
      <c r="V541" s="191" t="n"/>
      <c r="W541" s="58" t="n"/>
      <c r="X541" s="192" t="n"/>
      <c r="Y541" s="192" t="n"/>
      <c r="Z541" s="192" t="n"/>
      <c r="AA541" s="64" t="n"/>
      <c r="AB541" s="64" t="n"/>
      <c r="AC541" s="193" t="n"/>
      <c r="AD541" s="357" t="n"/>
      <c r="AE541" s="357" t="n"/>
      <c r="AF541" s="58" t="n"/>
      <c r="AG541" s="30" t="n"/>
      <c r="AH541" s="58" t="n"/>
      <c r="AI541" s="30" t="n"/>
      <c r="AJ541" s="135" t="n"/>
      <c r="AK541" s="212" t="n"/>
      <c r="AL541" s="294" t="n"/>
      <c r="AM541" s="89">
        <f>IF(OR(X541="",F541=""),"",X541-F541)</f>
        <v/>
      </c>
      <c r="AN541" s="124">
        <f>IF(OR(Y541="",G541=""),"",Y541-G541)</f>
        <v/>
      </c>
      <c r="AO541" s="124">
        <f>IF(OR(Z541="",H541=""),"",Z541-H541)</f>
        <v/>
      </c>
      <c r="AP541" s="124">
        <f>IF(OR(AA541="",I541=""),"",AA541-I541)</f>
        <v/>
      </c>
      <c r="AQ541" s="90">
        <f>IF(OR(AB541="",J541=""),"",AB541-J541)</f>
        <v/>
      </c>
      <c r="AR541" s="39" t="n"/>
      <c r="AS541" s="332" t="n"/>
      <c r="AT541" s="39" t="n"/>
    </row>
    <row r="542" ht="13.5" customHeight="1" s="279" thickBot="1">
      <c r="B542" s="295" t="n"/>
      <c r="C542" s="29" t="n"/>
      <c r="D542" s="191" t="n"/>
      <c r="E542" s="58" t="n"/>
      <c r="F542" s="194" t="n"/>
      <c r="G542" s="194" t="n"/>
      <c r="H542" s="194" t="n"/>
      <c r="I542" s="58" t="n"/>
      <c r="J542" s="58" t="n"/>
      <c r="K542" s="193" t="n"/>
      <c r="L542" s="357" t="n"/>
      <c r="M542" s="357" t="n"/>
      <c r="N542" s="58" t="n"/>
      <c r="O542" s="30" t="n"/>
      <c r="P542" s="58" t="n"/>
      <c r="Q542" s="30" t="n"/>
      <c r="R542" s="189" t="n"/>
      <c r="S542" s="301" t="n"/>
      <c r="T542" s="295" t="n"/>
      <c r="U542" s="29" t="n"/>
      <c r="V542" s="191" t="n"/>
      <c r="W542" s="58" t="n"/>
      <c r="X542" s="194" t="n"/>
      <c r="Y542" s="194" t="n"/>
      <c r="Z542" s="194" t="n"/>
      <c r="AA542" s="58" t="n"/>
      <c r="AB542" s="58" t="n"/>
      <c r="AC542" s="193" t="n"/>
      <c r="AD542" s="357" t="n"/>
      <c r="AE542" s="357" t="n"/>
      <c r="AF542" s="58" t="n"/>
      <c r="AG542" s="30" t="n"/>
      <c r="AH542" s="58" t="n"/>
      <c r="AI542" s="30" t="n"/>
      <c r="AJ542" s="189" t="n"/>
      <c r="AK542" s="212" t="n"/>
      <c r="AL542" s="295" t="n"/>
      <c r="AM542" s="125">
        <f>IF(OR(X542="",F542=""),"",X542-F542)</f>
        <v/>
      </c>
      <c r="AN542" s="126">
        <f>IF(OR(Y542="",G542=""),"",Y542-G542)</f>
        <v/>
      </c>
      <c r="AO542" s="126">
        <f>IF(OR(Z542="",H542=""),"",Z542-H542)</f>
        <v/>
      </c>
      <c r="AP542" s="126">
        <f>IF(OR(AA542="",I542=""),"",AA542-I542)</f>
        <v/>
      </c>
      <c r="AQ542" s="127">
        <f>IF(OR(AB542="",J542=""),"",AB542-J542)</f>
        <v/>
      </c>
      <c r="AR542" s="39" t="n"/>
      <c r="AS542" s="332" t="n"/>
      <c r="AT542" s="39" t="n"/>
    </row>
    <row r="543" ht="13.5" customHeight="1" s="279">
      <c r="B543" s="293" t="inlineStr">
        <is>
          <t>v102</t>
        </is>
      </c>
      <c r="C543" s="27" t="inlineStr">
        <is>
          <t>r01</t>
        </is>
      </c>
      <c r="D543" s="41" t="n"/>
      <c r="E543" s="57" t="n"/>
      <c r="F543" s="99" t="n"/>
      <c r="G543" s="99" t="n"/>
      <c r="H543" s="99" t="n"/>
      <c r="I543" s="62" t="n"/>
      <c r="J543" s="62" t="n"/>
      <c r="K543" s="63" t="n"/>
      <c r="L543" s="356" t="n"/>
      <c r="M543" s="356" t="n"/>
      <c r="N543" s="57" t="n"/>
      <c r="O543" s="28" t="n"/>
      <c r="P543" s="57" t="n"/>
      <c r="Q543" s="28" t="n"/>
      <c r="R543" s="134" t="n"/>
      <c r="S543" s="301" t="n"/>
      <c r="T543" s="293" t="inlineStr">
        <is>
          <t>v102</t>
        </is>
      </c>
      <c r="U543" s="27" t="inlineStr">
        <is>
          <t>r01</t>
        </is>
      </c>
      <c r="V543" s="41" t="n"/>
      <c r="W543" s="57" t="n"/>
      <c r="X543" s="99" t="n"/>
      <c r="Y543" s="99" t="n"/>
      <c r="Z543" s="99" t="n"/>
      <c r="AA543" s="62" t="n"/>
      <c r="AB543" s="62" t="n"/>
      <c r="AC543" s="63" t="n"/>
      <c r="AD543" s="356" t="n"/>
      <c r="AE543" s="356" t="n"/>
      <c r="AF543" s="57" t="n"/>
      <c r="AG543" s="28" t="n"/>
      <c r="AH543" s="57" t="n"/>
      <c r="AI543" s="28" t="n"/>
      <c r="AJ543" s="134" t="n"/>
      <c r="AK543" s="212" t="n"/>
      <c r="AL543" s="293" t="inlineStr">
        <is>
          <t>v102</t>
        </is>
      </c>
      <c r="AM543" s="122">
        <f>IF(OR(X543="",F543=""),"",X543-F543)</f>
        <v/>
      </c>
      <c r="AN543" s="98">
        <f>IF(OR(Y543="",G543=""),"",Y543-G543)</f>
        <v/>
      </c>
      <c r="AO543" s="98">
        <f>IF(OR(Z543="",H543=""),"",Z543-H543)</f>
        <v/>
      </c>
      <c r="AP543" s="98">
        <f>IF(OR(AA543="",I543=""),"",AA543-I543)</f>
        <v/>
      </c>
      <c r="AQ543" s="123">
        <f>IF(OR(AB543="",J543=""),"",AB543-J543)</f>
        <v/>
      </c>
      <c r="AR543" s="39" t="n"/>
      <c r="AS543" s="332" t="n"/>
      <c r="AT543" s="39" t="n"/>
    </row>
    <row r="544" ht="13.5" customHeight="1" s="279">
      <c r="B544" s="294" t="n"/>
      <c r="C544" s="29" t="inlineStr">
        <is>
          <t>r02</t>
        </is>
      </c>
      <c r="D544" s="191" t="n"/>
      <c r="E544" s="58" t="n"/>
      <c r="F544" s="192" t="n"/>
      <c r="G544" s="192" t="n"/>
      <c r="H544" s="192" t="n"/>
      <c r="I544" s="64" t="n"/>
      <c r="J544" s="64" t="n"/>
      <c r="K544" s="193" t="n"/>
      <c r="L544" s="357" t="n"/>
      <c r="M544" s="357" t="n"/>
      <c r="N544" s="58" t="n"/>
      <c r="O544" s="30" t="n"/>
      <c r="P544" s="58" t="n"/>
      <c r="Q544" s="30" t="n"/>
      <c r="R544" s="135" t="n"/>
      <c r="S544" s="301" t="n"/>
      <c r="T544" s="294" t="n"/>
      <c r="U544" s="29" t="inlineStr">
        <is>
          <t>r02</t>
        </is>
      </c>
      <c r="V544" s="191" t="n"/>
      <c r="W544" s="58" t="n"/>
      <c r="X544" s="192" t="n"/>
      <c r="Y544" s="192" t="n"/>
      <c r="Z544" s="192" t="n"/>
      <c r="AA544" s="64" t="n"/>
      <c r="AB544" s="64" t="n"/>
      <c r="AC544" s="193" t="n"/>
      <c r="AD544" s="357" t="n"/>
      <c r="AE544" s="357" t="n"/>
      <c r="AF544" s="58" t="n"/>
      <c r="AG544" s="30" t="n"/>
      <c r="AH544" s="58" t="n"/>
      <c r="AI544" s="30" t="n"/>
      <c r="AJ544" s="135" t="n"/>
      <c r="AK544" s="212" t="n"/>
      <c r="AL544" s="294" t="n"/>
      <c r="AM544" s="89">
        <f>IF(OR(X544="",F544=""),"",X544-F544)</f>
        <v/>
      </c>
      <c r="AN544" s="124">
        <f>IF(OR(Y544="",G544=""),"",Y544-G544)</f>
        <v/>
      </c>
      <c r="AO544" s="124">
        <f>IF(OR(Z544="",H544=""),"",Z544-H544)</f>
        <v/>
      </c>
      <c r="AP544" s="124">
        <f>IF(OR(AA544="",I544=""),"",AA544-I544)</f>
        <v/>
      </c>
      <c r="AQ544" s="90">
        <f>IF(OR(AB544="",J544=""),"",AB544-J544)</f>
        <v/>
      </c>
      <c r="AR544" s="39" t="n"/>
      <c r="AS544" s="332" t="n"/>
      <c r="AT544" s="39" t="n"/>
    </row>
    <row r="545" ht="13.5" customHeight="1" s="279">
      <c r="B545" s="294" t="n"/>
      <c r="C545" s="29" t="inlineStr">
        <is>
          <t>r03</t>
        </is>
      </c>
      <c r="D545" s="191" t="n"/>
      <c r="E545" s="58" t="n"/>
      <c r="F545" s="192" t="n"/>
      <c r="G545" s="192" t="n"/>
      <c r="H545" s="192" t="n"/>
      <c r="I545" s="64" t="n"/>
      <c r="J545" s="64" t="n"/>
      <c r="K545" s="193" t="n"/>
      <c r="L545" s="357" t="n"/>
      <c r="M545" s="357" t="n"/>
      <c r="N545" s="58" t="n"/>
      <c r="O545" s="30" t="n"/>
      <c r="P545" s="58" t="n"/>
      <c r="Q545" s="30" t="n"/>
      <c r="R545" s="135" t="n"/>
      <c r="S545" s="301" t="n"/>
      <c r="T545" s="294" t="n"/>
      <c r="U545" s="29" t="inlineStr">
        <is>
          <t>r03</t>
        </is>
      </c>
      <c r="V545" s="191" t="n"/>
      <c r="W545" s="58" t="n"/>
      <c r="X545" s="192" t="n"/>
      <c r="Y545" s="192" t="n"/>
      <c r="Z545" s="192" t="n"/>
      <c r="AA545" s="64" t="n"/>
      <c r="AB545" s="64" t="n"/>
      <c r="AC545" s="193" t="n"/>
      <c r="AD545" s="357" t="n"/>
      <c r="AE545" s="357" t="n"/>
      <c r="AF545" s="58" t="n"/>
      <c r="AG545" s="30" t="n"/>
      <c r="AH545" s="58" t="n"/>
      <c r="AI545" s="30" t="n"/>
      <c r="AJ545" s="135" t="n"/>
      <c r="AK545" s="212" t="n"/>
      <c r="AL545" s="294" t="n"/>
      <c r="AM545" s="89">
        <f>IF(OR(X545="",F545=""),"",X545-F545)</f>
        <v/>
      </c>
      <c r="AN545" s="124">
        <f>IF(OR(Y545="",G545=""),"",Y545-G545)</f>
        <v/>
      </c>
      <c r="AO545" s="124">
        <f>IF(OR(Z545="",H545=""),"",Z545-H545)</f>
        <v/>
      </c>
      <c r="AP545" s="124">
        <f>IF(OR(AA545="",I545=""),"",AA545-I545)</f>
        <v/>
      </c>
      <c r="AQ545" s="90">
        <f>IF(OR(AB545="",J545=""),"",AB545-J545)</f>
        <v/>
      </c>
      <c r="AR545" s="39" t="n"/>
      <c r="AS545" s="332" t="n"/>
      <c r="AT545" s="39" t="n"/>
    </row>
    <row r="546" ht="13.5" customHeight="1" s="279">
      <c r="B546" s="294" t="n"/>
      <c r="C546" s="29" t="inlineStr">
        <is>
          <t>r04</t>
        </is>
      </c>
      <c r="D546" s="191" t="n"/>
      <c r="E546" s="58" t="n"/>
      <c r="F546" s="192" t="n"/>
      <c r="G546" s="192" t="n"/>
      <c r="H546" s="192" t="n"/>
      <c r="I546" s="64" t="n"/>
      <c r="J546" s="64" t="n"/>
      <c r="K546" s="193" t="n"/>
      <c r="L546" s="357" t="n"/>
      <c r="M546" s="357" t="n"/>
      <c r="N546" s="58" t="n"/>
      <c r="O546" s="30" t="n"/>
      <c r="P546" s="58" t="n"/>
      <c r="Q546" s="30" t="n"/>
      <c r="R546" s="135" t="n"/>
      <c r="S546" s="301" t="n"/>
      <c r="T546" s="294" t="n"/>
      <c r="U546" s="29" t="inlineStr">
        <is>
          <t>r04</t>
        </is>
      </c>
      <c r="V546" s="191" t="n"/>
      <c r="W546" s="58" t="n"/>
      <c r="X546" s="192" t="n"/>
      <c r="Y546" s="192" t="n"/>
      <c r="Z546" s="192" t="n"/>
      <c r="AA546" s="64" t="n"/>
      <c r="AB546" s="64" t="n"/>
      <c r="AC546" s="193" t="n"/>
      <c r="AD546" s="357" t="n"/>
      <c r="AE546" s="357" t="n"/>
      <c r="AF546" s="58" t="n"/>
      <c r="AG546" s="30" t="n"/>
      <c r="AH546" s="58" t="n"/>
      <c r="AI546" s="30" t="n"/>
      <c r="AJ546" s="135" t="n"/>
      <c r="AK546" s="212" t="n"/>
      <c r="AL546" s="294" t="n"/>
      <c r="AM546" s="89">
        <f>IF(OR(X546="",F546=""),"",X546-F546)</f>
        <v/>
      </c>
      <c r="AN546" s="124">
        <f>IF(OR(Y546="",G546=""),"",Y546-G546)</f>
        <v/>
      </c>
      <c r="AO546" s="124">
        <f>IF(OR(Z546="",H546=""),"",Z546-H546)</f>
        <v/>
      </c>
      <c r="AP546" s="124">
        <f>IF(OR(AA546="",I546=""),"",AA546-I546)</f>
        <v/>
      </c>
      <c r="AQ546" s="90">
        <f>IF(OR(AB546="",J546=""),"",AB546-J546)</f>
        <v/>
      </c>
      <c r="AR546" s="39" t="n"/>
      <c r="AS546" s="332" t="n"/>
      <c r="AT546" s="39" t="n"/>
    </row>
    <row r="547" ht="13.5" customHeight="1" s="279" thickBot="1">
      <c r="B547" s="295" t="n"/>
      <c r="C547" s="29" t="n"/>
      <c r="D547" s="191" t="n"/>
      <c r="E547" s="58" t="n"/>
      <c r="F547" s="194" t="n"/>
      <c r="G547" s="194" t="n"/>
      <c r="H547" s="194" t="n"/>
      <c r="I547" s="58" t="n"/>
      <c r="J547" s="58" t="n"/>
      <c r="K547" s="193" t="n"/>
      <c r="L547" s="357" t="n"/>
      <c r="M547" s="357" t="n"/>
      <c r="N547" s="58" t="n"/>
      <c r="O547" s="30" t="n"/>
      <c r="P547" s="58" t="n"/>
      <c r="Q547" s="30" t="n"/>
      <c r="R547" s="189" t="n"/>
      <c r="S547" s="301" t="n"/>
      <c r="T547" s="295" t="n"/>
      <c r="U547" s="29" t="n"/>
      <c r="V547" s="191" t="n"/>
      <c r="W547" s="58" t="n"/>
      <c r="X547" s="194" t="n"/>
      <c r="Y547" s="194" t="n"/>
      <c r="Z547" s="194" t="n"/>
      <c r="AA547" s="58" t="n"/>
      <c r="AB547" s="58" t="n"/>
      <c r="AC547" s="193" t="n"/>
      <c r="AD547" s="357" t="n"/>
      <c r="AE547" s="357" t="n"/>
      <c r="AF547" s="58" t="n"/>
      <c r="AG547" s="30" t="n"/>
      <c r="AH547" s="58" t="n"/>
      <c r="AI547" s="30" t="n"/>
      <c r="AJ547" s="189" t="n"/>
      <c r="AK547" s="212" t="n"/>
      <c r="AL547" s="295" t="n"/>
      <c r="AM547" s="125">
        <f>IF(OR(X547="",F547=""),"",X547-F547)</f>
        <v/>
      </c>
      <c r="AN547" s="126">
        <f>IF(OR(Y547="",G547=""),"",Y547-G547)</f>
        <v/>
      </c>
      <c r="AO547" s="126">
        <f>IF(OR(Z547="",H547=""),"",Z547-H547)</f>
        <v/>
      </c>
      <c r="AP547" s="126">
        <f>IF(OR(AA547="",I547=""),"",AA547-I547)</f>
        <v/>
      </c>
      <c r="AQ547" s="127">
        <f>IF(OR(AB547="",J547=""),"",AB547-J547)</f>
        <v/>
      </c>
      <c r="AR547" s="39" t="n"/>
      <c r="AS547" s="332" t="n"/>
      <c r="AT547" s="39" t="n"/>
    </row>
    <row r="548" ht="13.5" customHeight="1" s="279">
      <c r="B548" s="293" t="inlineStr">
        <is>
          <t>v103</t>
        </is>
      </c>
      <c r="C548" s="27" t="inlineStr">
        <is>
          <t>r01</t>
        </is>
      </c>
      <c r="D548" s="41" t="n"/>
      <c r="E548" s="57" t="n"/>
      <c r="F548" s="99" t="n"/>
      <c r="G548" s="99" t="n"/>
      <c r="H548" s="99" t="n"/>
      <c r="I548" s="62" t="n"/>
      <c r="J548" s="62" t="n"/>
      <c r="K548" s="63" t="n"/>
      <c r="L548" s="356" t="n"/>
      <c r="M548" s="356" t="n"/>
      <c r="N548" s="57" t="n"/>
      <c r="O548" s="28" t="n"/>
      <c r="P548" s="57" t="n"/>
      <c r="Q548" s="28" t="n"/>
      <c r="R548" s="134" t="n"/>
      <c r="S548" s="301" t="n"/>
      <c r="T548" s="293" t="inlineStr">
        <is>
          <t>v103</t>
        </is>
      </c>
      <c r="U548" s="27" t="inlineStr">
        <is>
          <t>r01</t>
        </is>
      </c>
      <c r="V548" s="41" t="n"/>
      <c r="W548" s="57" t="n"/>
      <c r="X548" s="99" t="n"/>
      <c r="Y548" s="99" t="n"/>
      <c r="Z548" s="99" t="n"/>
      <c r="AA548" s="62" t="n"/>
      <c r="AB548" s="62" t="n"/>
      <c r="AC548" s="63" t="n"/>
      <c r="AD548" s="356" t="n"/>
      <c r="AE548" s="356" t="n"/>
      <c r="AF548" s="57" t="n"/>
      <c r="AG548" s="28" t="n"/>
      <c r="AH548" s="57" t="n"/>
      <c r="AI548" s="28" t="n"/>
      <c r="AJ548" s="134" t="n"/>
      <c r="AK548" s="212" t="n"/>
      <c r="AL548" s="293" t="inlineStr">
        <is>
          <t>v103</t>
        </is>
      </c>
      <c r="AM548" s="122">
        <f>IF(OR(X548="",F548=""),"",X548-F548)</f>
        <v/>
      </c>
      <c r="AN548" s="98">
        <f>IF(OR(Y548="",G548=""),"",Y548-G548)</f>
        <v/>
      </c>
      <c r="AO548" s="98">
        <f>IF(OR(Z548="",H548=""),"",Z548-H548)</f>
        <v/>
      </c>
      <c r="AP548" s="98">
        <f>IF(OR(AA548="",I548=""),"",AA548-I548)</f>
        <v/>
      </c>
      <c r="AQ548" s="123">
        <f>IF(OR(AB548="",J548=""),"",AB548-J548)</f>
        <v/>
      </c>
      <c r="AR548" s="39" t="n"/>
      <c r="AS548" s="332" t="n"/>
      <c r="AT548" s="39" t="n"/>
    </row>
    <row r="549" ht="13.5" customHeight="1" s="279">
      <c r="B549" s="294" t="n"/>
      <c r="C549" s="29" t="inlineStr">
        <is>
          <t>r02</t>
        </is>
      </c>
      <c r="D549" s="191" t="n"/>
      <c r="E549" s="58" t="n"/>
      <c r="F549" s="192" t="n"/>
      <c r="G549" s="192" t="n"/>
      <c r="H549" s="192" t="n"/>
      <c r="I549" s="64" t="n"/>
      <c r="J549" s="64" t="n"/>
      <c r="K549" s="193" t="n"/>
      <c r="L549" s="357" t="n"/>
      <c r="M549" s="357" t="n"/>
      <c r="N549" s="58" t="n"/>
      <c r="O549" s="30" t="n"/>
      <c r="P549" s="58" t="n"/>
      <c r="Q549" s="30" t="n"/>
      <c r="R549" s="135" t="n"/>
      <c r="S549" s="301" t="n"/>
      <c r="T549" s="294" t="n"/>
      <c r="U549" s="29" t="inlineStr">
        <is>
          <t>r02</t>
        </is>
      </c>
      <c r="V549" s="191" t="n"/>
      <c r="W549" s="58" t="n"/>
      <c r="X549" s="192" t="n"/>
      <c r="Y549" s="192" t="n"/>
      <c r="Z549" s="192" t="n"/>
      <c r="AA549" s="64" t="n"/>
      <c r="AB549" s="64" t="n"/>
      <c r="AC549" s="193" t="n"/>
      <c r="AD549" s="357" t="n"/>
      <c r="AE549" s="357" t="n"/>
      <c r="AF549" s="58" t="n"/>
      <c r="AG549" s="30" t="n"/>
      <c r="AH549" s="58" t="n"/>
      <c r="AI549" s="30" t="n"/>
      <c r="AJ549" s="135" t="n"/>
      <c r="AK549" s="212" t="n"/>
      <c r="AL549" s="294" t="n"/>
      <c r="AM549" s="89">
        <f>IF(OR(X549="",F549=""),"",X549-F549)</f>
        <v/>
      </c>
      <c r="AN549" s="124">
        <f>IF(OR(Y549="",G549=""),"",Y549-G549)</f>
        <v/>
      </c>
      <c r="AO549" s="124">
        <f>IF(OR(Z549="",H549=""),"",Z549-H549)</f>
        <v/>
      </c>
      <c r="AP549" s="124">
        <f>IF(OR(AA549="",I549=""),"",AA549-I549)</f>
        <v/>
      </c>
      <c r="AQ549" s="90">
        <f>IF(OR(AB549="",J549=""),"",AB549-J549)</f>
        <v/>
      </c>
      <c r="AR549" s="39" t="n"/>
      <c r="AS549" s="332" t="n"/>
      <c r="AT549" s="39" t="n"/>
    </row>
    <row r="550" ht="13.5" customHeight="1" s="279">
      <c r="B550" s="294" t="n"/>
      <c r="C550" s="29" t="inlineStr">
        <is>
          <t>r03</t>
        </is>
      </c>
      <c r="D550" s="191" t="n"/>
      <c r="E550" s="58" t="n"/>
      <c r="F550" s="192" t="n"/>
      <c r="G550" s="192" t="n"/>
      <c r="H550" s="192" t="n"/>
      <c r="I550" s="64" t="n"/>
      <c r="J550" s="64" t="n"/>
      <c r="K550" s="193" t="n"/>
      <c r="L550" s="357" t="n"/>
      <c r="M550" s="357" t="n"/>
      <c r="N550" s="58" t="n"/>
      <c r="O550" s="30" t="n"/>
      <c r="P550" s="58" t="n"/>
      <c r="Q550" s="30" t="n"/>
      <c r="R550" s="135" t="n"/>
      <c r="S550" s="301" t="n"/>
      <c r="T550" s="294" t="n"/>
      <c r="U550" s="29" t="inlineStr">
        <is>
          <t>r03</t>
        </is>
      </c>
      <c r="V550" s="191" t="n"/>
      <c r="W550" s="58" t="n"/>
      <c r="X550" s="192" t="n"/>
      <c r="Y550" s="192" t="n"/>
      <c r="Z550" s="192" t="n"/>
      <c r="AA550" s="64" t="n"/>
      <c r="AB550" s="64" t="n"/>
      <c r="AC550" s="193" t="n"/>
      <c r="AD550" s="357" t="n"/>
      <c r="AE550" s="357" t="n"/>
      <c r="AF550" s="58" t="n"/>
      <c r="AG550" s="30" t="n"/>
      <c r="AH550" s="58" t="n"/>
      <c r="AI550" s="30" t="n"/>
      <c r="AJ550" s="135" t="n"/>
      <c r="AK550" s="212" t="n"/>
      <c r="AL550" s="294" t="n"/>
      <c r="AM550" s="89">
        <f>IF(OR(X550="",F550=""),"",X550-F550)</f>
        <v/>
      </c>
      <c r="AN550" s="124">
        <f>IF(OR(Y550="",G550=""),"",Y550-G550)</f>
        <v/>
      </c>
      <c r="AO550" s="124">
        <f>IF(OR(Z550="",H550=""),"",Z550-H550)</f>
        <v/>
      </c>
      <c r="AP550" s="124">
        <f>IF(OR(AA550="",I550=""),"",AA550-I550)</f>
        <v/>
      </c>
      <c r="AQ550" s="90">
        <f>IF(OR(AB550="",J550=""),"",AB550-J550)</f>
        <v/>
      </c>
      <c r="AR550" s="39" t="n"/>
      <c r="AS550" s="332" t="n"/>
      <c r="AT550" s="39" t="n"/>
    </row>
    <row r="551" ht="13.5" customHeight="1" s="279">
      <c r="B551" s="294" t="n"/>
      <c r="C551" s="29" t="inlineStr">
        <is>
          <t>r04</t>
        </is>
      </c>
      <c r="D551" s="191" t="n"/>
      <c r="E551" s="58" t="n"/>
      <c r="F551" s="192" t="n"/>
      <c r="G551" s="192" t="n"/>
      <c r="H551" s="192" t="n"/>
      <c r="I551" s="64" t="n"/>
      <c r="J551" s="64" t="n"/>
      <c r="K551" s="193" t="n"/>
      <c r="L551" s="357" t="n"/>
      <c r="M551" s="357" t="n"/>
      <c r="N551" s="58" t="n"/>
      <c r="O551" s="30" t="n"/>
      <c r="P551" s="58" t="n"/>
      <c r="Q551" s="30" t="n"/>
      <c r="R551" s="135" t="n"/>
      <c r="S551" s="301" t="n"/>
      <c r="T551" s="294" t="n"/>
      <c r="U551" s="29" t="inlineStr">
        <is>
          <t>r04</t>
        </is>
      </c>
      <c r="V551" s="191" t="n"/>
      <c r="W551" s="58" t="n"/>
      <c r="X551" s="192" t="n"/>
      <c r="Y551" s="192" t="n"/>
      <c r="Z551" s="192" t="n"/>
      <c r="AA551" s="64" t="n"/>
      <c r="AB551" s="64" t="n"/>
      <c r="AC551" s="193" t="n"/>
      <c r="AD551" s="357" t="n"/>
      <c r="AE551" s="357" t="n"/>
      <c r="AF551" s="58" t="n"/>
      <c r="AG551" s="30" t="n"/>
      <c r="AH551" s="58" t="n"/>
      <c r="AI551" s="30" t="n"/>
      <c r="AJ551" s="135" t="n"/>
      <c r="AK551" s="212" t="n"/>
      <c r="AL551" s="294" t="n"/>
      <c r="AM551" s="89">
        <f>IF(OR(X551="",F551=""),"",X551-F551)</f>
        <v/>
      </c>
      <c r="AN551" s="124">
        <f>IF(OR(Y551="",G551=""),"",Y551-G551)</f>
        <v/>
      </c>
      <c r="AO551" s="124">
        <f>IF(OR(Z551="",H551=""),"",Z551-H551)</f>
        <v/>
      </c>
      <c r="AP551" s="124">
        <f>IF(OR(AA551="",I551=""),"",AA551-I551)</f>
        <v/>
      </c>
      <c r="AQ551" s="90">
        <f>IF(OR(AB551="",J551=""),"",AB551-J551)</f>
        <v/>
      </c>
      <c r="AR551" s="39" t="n"/>
      <c r="AS551" s="332" t="n"/>
      <c r="AT551" s="39" t="n"/>
    </row>
    <row r="552" ht="13.5" customHeight="1" s="279" thickBot="1">
      <c r="B552" s="295" t="n"/>
      <c r="C552" s="29" t="n"/>
      <c r="D552" s="191" t="n"/>
      <c r="E552" s="58" t="n"/>
      <c r="F552" s="194" t="n"/>
      <c r="G552" s="194" t="n"/>
      <c r="H552" s="194" t="n"/>
      <c r="I552" s="58" t="n"/>
      <c r="J552" s="58" t="n"/>
      <c r="K552" s="193" t="n"/>
      <c r="L552" s="357" t="n"/>
      <c r="M552" s="357" t="n"/>
      <c r="N552" s="58" t="n"/>
      <c r="O552" s="30" t="n"/>
      <c r="P552" s="58" t="n"/>
      <c r="Q552" s="30" t="n"/>
      <c r="R552" s="189" t="n"/>
      <c r="S552" s="301" t="n"/>
      <c r="T552" s="295" t="n"/>
      <c r="U552" s="29" t="n"/>
      <c r="V552" s="191" t="n"/>
      <c r="W552" s="58" t="n"/>
      <c r="X552" s="194" t="n"/>
      <c r="Y552" s="194" t="n"/>
      <c r="Z552" s="194" t="n"/>
      <c r="AA552" s="58" t="n"/>
      <c r="AB552" s="58" t="n"/>
      <c r="AC552" s="193" t="n"/>
      <c r="AD552" s="357" t="n"/>
      <c r="AE552" s="357" t="n"/>
      <c r="AF552" s="58" t="n"/>
      <c r="AG552" s="30" t="n"/>
      <c r="AH552" s="58" t="n"/>
      <c r="AI552" s="30" t="n"/>
      <c r="AJ552" s="189" t="n"/>
      <c r="AK552" s="212" t="n"/>
      <c r="AL552" s="295" t="n"/>
      <c r="AM552" s="125">
        <f>IF(OR(X552="",F552=""),"",X552-F552)</f>
        <v/>
      </c>
      <c r="AN552" s="126">
        <f>IF(OR(Y552="",G552=""),"",Y552-G552)</f>
        <v/>
      </c>
      <c r="AO552" s="126">
        <f>IF(OR(Z552="",H552=""),"",Z552-H552)</f>
        <v/>
      </c>
      <c r="AP552" s="126">
        <f>IF(OR(AA552="",I552=""),"",AA552-I552)</f>
        <v/>
      </c>
      <c r="AQ552" s="127">
        <f>IF(OR(AB552="",J552=""),"",AB552-J552)</f>
        <v/>
      </c>
      <c r="AR552" s="39" t="n"/>
      <c r="AS552" s="332" t="n"/>
      <c r="AT552" s="39" t="n"/>
    </row>
    <row r="553" ht="13.5" customHeight="1" s="279">
      <c r="B553" s="293" t="inlineStr">
        <is>
          <t>v104</t>
        </is>
      </c>
      <c r="C553" s="27" t="inlineStr">
        <is>
          <t>r01</t>
        </is>
      </c>
      <c r="D553" s="41" t="n"/>
      <c r="E553" s="57" t="n"/>
      <c r="F553" s="99" t="n"/>
      <c r="G553" s="99" t="n"/>
      <c r="H553" s="99" t="n"/>
      <c r="I553" s="62" t="n"/>
      <c r="J553" s="62" t="n"/>
      <c r="K553" s="63" t="n"/>
      <c r="L553" s="356" t="n"/>
      <c r="M553" s="356" t="n"/>
      <c r="N553" s="57" t="n"/>
      <c r="O553" s="28" t="n"/>
      <c r="P553" s="57" t="n"/>
      <c r="Q553" s="28" t="n"/>
      <c r="R553" s="134" t="n"/>
      <c r="S553" s="301" t="n"/>
      <c r="T553" s="293" t="inlineStr">
        <is>
          <t>v104</t>
        </is>
      </c>
      <c r="U553" s="27" t="inlineStr">
        <is>
          <t>r01</t>
        </is>
      </c>
      <c r="V553" s="41" t="n"/>
      <c r="W553" s="57" t="n"/>
      <c r="X553" s="99" t="n"/>
      <c r="Y553" s="99" t="n"/>
      <c r="Z553" s="99" t="n"/>
      <c r="AA553" s="62" t="n"/>
      <c r="AB553" s="62" t="n"/>
      <c r="AC553" s="63" t="n"/>
      <c r="AD553" s="356" t="n"/>
      <c r="AE553" s="356" t="n"/>
      <c r="AF553" s="57" t="n"/>
      <c r="AG553" s="28" t="n"/>
      <c r="AH553" s="57" t="n"/>
      <c r="AI553" s="28" t="n"/>
      <c r="AJ553" s="134" t="n"/>
      <c r="AK553" s="212" t="n"/>
      <c r="AL553" s="293" t="inlineStr">
        <is>
          <t>v104</t>
        </is>
      </c>
      <c r="AM553" s="122">
        <f>IF(OR(X553="",F553=""),"",X553-F553)</f>
        <v/>
      </c>
      <c r="AN553" s="98">
        <f>IF(OR(Y553="",G553=""),"",Y553-G553)</f>
        <v/>
      </c>
      <c r="AO553" s="98">
        <f>IF(OR(Z553="",H553=""),"",Z553-H553)</f>
        <v/>
      </c>
      <c r="AP553" s="98">
        <f>IF(OR(AA553="",I553=""),"",AA553-I553)</f>
        <v/>
      </c>
      <c r="AQ553" s="123">
        <f>IF(OR(AB553="",J553=""),"",AB553-J553)</f>
        <v/>
      </c>
      <c r="AR553" s="39" t="n"/>
      <c r="AS553" s="332" t="n"/>
      <c r="AT553" s="39" t="n"/>
    </row>
    <row r="554" ht="13.5" customHeight="1" s="279">
      <c r="B554" s="294" t="n"/>
      <c r="C554" s="29" t="inlineStr">
        <is>
          <t>r02</t>
        </is>
      </c>
      <c r="D554" s="191" t="n"/>
      <c r="E554" s="58" t="n"/>
      <c r="F554" s="192" t="n"/>
      <c r="G554" s="192" t="n"/>
      <c r="H554" s="192" t="n"/>
      <c r="I554" s="64" t="n"/>
      <c r="J554" s="64" t="n"/>
      <c r="K554" s="193" t="n"/>
      <c r="L554" s="357" t="n"/>
      <c r="M554" s="357" t="n"/>
      <c r="N554" s="58" t="n"/>
      <c r="O554" s="30" t="n"/>
      <c r="P554" s="58" t="n"/>
      <c r="Q554" s="30" t="n"/>
      <c r="R554" s="135" t="n"/>
      <c r="S554" s="301" t="n"/>
      <c r="T554" s="294" t="n"/>
      <c r="U554" s="29" t="inlineStr">
        <is>
          <t>r02</t>
        </is>
      </c>
      <c r="V554" s="191" t="n"/>
      <c r="W554" s="58" t="n"/>
      <c r="X554" s="192" t="n"/>
      <c r="Y554" s="192" t="n"/>
      <c r="Z554" s="192" t="n"/>
      <c r="AA554" s="64" t="n"/>
      <c r="AB554" s="64" t="n"/>
      <c r="AC554" s="193" t="n"/>
      <c r="AD554" s="357" t="n"/>
      <c r="AE554" s="357" t="n"/>
      <c r="AF554" s="58" t="n"/>
      <c r="AG554" s="30" t="n"/>
      <c r="AH554" s="58" t="n"/>
      <c r="AI554" s="30" t="n"/>
      <c r="AJ554" s="135" t="n"/>
      <c r="AK554" s="212" t="n"/>
      <c r="AL554" s="294" t="n"/>
      <c r="AM554" s="89">
        <f>IF(OR(X554="",F554=""),"",X554-F554)</f>
        <v/>
      </c>
      <c r="AN554" s="124">
        <f>IF(OR(Y554="",G554=""),"",Y554-G554)</f>
        <v/>
      </c>
      <c r="AO554" s="124">
        <f>IF(OR(Z554="",H554=""),"",Z554-H554)</f>
        <v/>
      </c>
      <c r="AP554" s="124">
        <f>IF(OR(AA554="",I554=""),"",AA554-I554)</f>
        <v/>
      </c>
      <c r="AQ554" s="90">
        <f>IF(OR(AB554="",J554=""),"",AB554-J554)</f>
        <v/>
      </c>
      <c r="AR554" s="39" t="n"/>
      <c r="AS554" s="332" t="n"/>
      <c r="AT554" s="39" t="n"/>
    </row>
    <row r="555" ht="13.5" customHeight="1" s="279">
      <c r="B555" s="294" t="n"/>
      <c r="C555" s="29" t="inlineStr">
        <is>
          <t>r03</t>
        </is>
      </c>
      <c r="D555" s="191" t="n"/>
      <c r="E555" s="58" t="n"/>
      <c r="F555" s="192" t="n"/>
      <c r="G555" s="192" t="n"/>
      <c r="H555" s="192" t="n"/>
      <c r="I555" s="64" t="n"/>
      <c r="J555" s="64" t="n"/>
      <c r="K555" s="193" t="n"/>
      <c r="L555" s="357" t="n"/>
      <c r="M555" s="357" t="n"/>
      <c r="N555" s="58" t="n"/>
      <c r="O555" s="30" t="n"/>
      <c r="P555" s="58" t="n"/>
      <c r="Q555" s="30" t="n"/>
      <c r="R555" s="135" t="n"/>
      <c r="S555" s="301" t="n"/>
      <c r="T555" s="294" t="n"/>
      <c r="U555" s="29" t="inlineStr">
        <is>
          <t>r03</t>
        </is>
      </c>
      <c r="V555" s="191" t="n"/>
      <c r="W555" s="58" t="n"/>
      <c r="X555" s="192" t="n"/>
      <c r="Y555" s="192" t="n"/>
      <c r="Z555" s="192" t="n"/>
      <c r="AA555" s="64" t="n"/>
      <c r="AB555" s="64" t="n"/>
      <c r="AC555" s="193" t="n"/>
      <c r="AD555" s="357" t="n"/>
      <c r="AE555" s="357" t="n"/>
      <c r="AF555" s="58" t="n"/>
      <c r="AG555" s="30" t="n"/>
      <c r="AH555" s="58" t="n"/>
      <c r="AI555" s="30" t="n"/>
      <c r="AJ555" s="135" t="n"/>
      <c r="AK555" s="212" t="n"/>
      <c r="AL555" s="294" t="n"/>
      <c r="AM555" s="89">
        <f>IF(OR(X555="",F555=""),"",X555-F555)</f>
        <v/>
      </c>
      <c r="AN555" s="124">
        <f>IF(OR(Y555="",G555=""),"",Y555-G555)</f>
        <v/>
      </c>
      <c r="AO555" s="124">
        <f>IF(OR(Z555="",H555=""),"",Z555-H555)</f>
        <v/>
      </c>
      <c r="AP555" s="124">
        <f>IF(OR(AA555="",I555=""),"",AA555-I555)</f>
        <v/>
      </c>
      <c r="AQ555" s="90">
        <f>IF(OR(AB555="",J555=""),"",AB555-J555)</f>
        <v/>
      </c>
      <c r="AR555" s="39" t="n"/>
      <c r="AS555" s="332" t="n"/>
      <c r="AT555" s="39" t="n"/>
    </row>
    <row r="556" ht="13.5" customHeight="1" s="279">
      <c r="B556" s="294" t="n"/>
      <c r="C556" s="29" t="inlineStr">
        <is>
          <t>r04</t>
        </is>
      </c>
      <c r="D556" s="191" t="n"/>
      <c r="E556" s="58" t="n"/>
      <c r="F556" s="192" t="n"/>
      <c r="G556" s="192" t="n"/>
      <c r="H556" s="192" t="n"/>
      <c r="I556" s="64" t="n"/>
      <c r="J556" s="64" t="n"/>
      <c r="K556" s="193" t="n"/>
      <c r="L556" s="357" t="n"/>
      <c r="M556" s="357" t="n"/>
      <c r="N556" s="58" t="n"/>
      <c r="O556" s="30" t="n"/>
      <c r="P556" s="58" t="n"/>
      <c r="Q556" s="30" t="n"/>
      <c r="R556" s="135" t="n"/>
      <c r="S556" s="301" t="n"/>
      <c r="T556" s="294" t="n"/>
      <c r="U556" s="29" t="inlineStr">
        <is>
          <t>r04</t>
        </is>
      </c>
      <c r="V556" s="191" t="n"/>
      <c r="W556" s="58" t="n"/>
      <c r="X556" s="192" t="n"/>
      <c r="Y556" s="192" t="n"/>
      <c r="Z556" s="192" t="n"/>
      <c r="AA556" s="64" t="n"/>
      <c r="AB556" s="64" t="n"/>
      <c r="AC556" s="193" t="n"/>
      <c r="AD556" s="357" t="n"/>
      <c r="AE556" s="357" t="n"/>
      <c r="AF556" s="58" t="n"/>
      <c r="AG556" s="30" t="n"/>
      <c r="AH556" s="58" t="n"/>
      <c r="AI556" s="30" t="n"/>
      <c r="AJ556" s="135" t="n"/>
      <c r="AK556" s="212" t="n"/>
      <c r="AL556" s="294" t="n"/>
      <c r="AM556" s="89">
        <f>IF(OR(X556="",F556=""),"",X556-F556)</f>
        <v/>
      </c>
      <c r="AN556" s="124">
        <f>IF(OR(Y556="",G556=""),"",Y556-G556)</f>
        <v/>
      </c>
      <c r="AO556" s="124">
        <f>IF(OR(Z556="",H556=""),"",Z556-H556)</f>
        <v/>
      </c>
      <c r="AP556" s="124">
        <f>IF(OR(AA556="",I556=""),"",AA556-I556)</f>
        <v/>
      </c>
      <c r="AQ556" s="90">
        <f>IF(OR(AB556="",J556=""),"",AB556-J556)</f>
        <v/>
      </c>
      <c r="AR556" s="39" t="n"/>
      <c r="AS556" s="332" t="n"/>
      <c r="AT556" s="39" t="n"/>
    </row>
    <row r="557" ht="13.5" customHeight="1" s="279" thickBot="1">
      <c r="B557" s="295" t="n"/>
      <c r="C557" s="29" t="n"/>
      <c r="D557" s="191" t="n"/>
      <c r="E557" s="58" t="n"/>
      <c r="F557" s="194" t="n"/>
      <c r="G557" s="194" t="n"/>
      <c r="H557" s="194" t="n"/>
      <c r="I557" s="58" t="n"/>
      <c r="J557" s="58" t="n"/>
      <c r="K557" s="193" t="n"/>
      <c r="L557" s="357" t="n"/>
      <c r="M557" s="357" t="n"/>
      <c r="N557" s="58" t="n"/>
      <c r="O557" s="30" t="n"/>
      <c r="P557" s="58" t="n"/>
      <c r="Q557" s="30" t="n"/>
      <c r="R557" s="189" t="n"/>
      <c r="S557" s="301" t="n"/>
      <c r="T557" s="295" t="n"/>
      <c r="U557" s="29" t="n"/>
      <c r="V557" s="191" t="n"/>
      <c r="W557" s="58" t="n"/>
      <c r="X557" s="194" t="n"/>
      <c r="Y557" s="194" t="n"/>
      <c r="Z557" s="194" t="n"/>
      <c r="AA557" s="58" t="n"/>
      <c r="AB557" s="58" t="n"/>
      <c r="AC557" s="193" t="n"/>
      <c r="AD557" s="357" t="n"/>
      <c r="AE557" s="357" t="n"/>
      <c r="AF557" s="58" t="n"/>
      <c r="AG557" s="30" t="n"/>
      <c r="AH557" s="58" t="n"/>
      <c r="AI557" s="30" t="n"/>
      <c r="AJ557" s="189" t="n"/>
      <c r="AK557" s="212" t="n"/>
      <c r="AL557" s="295" t="n"/>
      <c r="AM557" s="125">
        <f>IF(OR(X557="",F557=""),"",X557-F557)</f>
        <v/>
      </c>
      <c r="AN557" s="126">
        <f>IF(OR(Y557="",G557=""),"",Y557-G557)</f>
        <v/>
      </c>
      <c r="AO557" s="126">
        <f>IF(OR(Z557="",H557=""),"",Z557-H557)</f>
        <v/>
      </c>
      <c r="AP557" s="126">
        <f>IF(OR(AA557="",I557=""),"",AA557-I557)</f>
        <v/>
      </c>
      <c r="AQ557" s="127">
        <f>IF(OR(AB557="",J557=""),"",AB557-J557)</f>
        <v/>
      </c>
      <c r="AR557" s="39" t="n"/>
      <c r="AS557" s="332" t="n"/>
      <c r="AT557" s="39" t="n"/>
    </row>
    <row r="558" ht="13.5" customHeight="1" s="279">
      <c r="B558" s="293" t="inlineStr">
        <is>
          <t>v105</t>
        </is>
      </c>
      <c r="C558" s="27" t="inlineStr">
        <is>
          <t>r01</t>
        </is>
      </c>
      <c r="D558" s="41" t="n"/>
      <c r="E558" s="57" t="n"/>
      <c r="F558" s="99" t="n"/>
      <c r="G558" s="99" t="n"/>
      <c r="H558" s="99" t="n"/>
      <c r="I558" s="62" t="n"/>
      <c r="J558" s="62" t="n"/>
      <c r="K558" s="63" t="n"/>
      <c r="L558" s="356" t="n"/>
      <c r="M558" s="356" t="n"/>
      <c r="N558" s="57" t="n"/>
      <c r="O558" s="28" t="n"/>
      <c r="P558" s="57" t="n"/>
      <c r="Q558" s="28" t="n"/>
      <c r="R558" s="134" t="n"/>
      <c r="S558" s="301" t="n"/>
      <c r="T558" s="293" t="inlineStr">
        <is>
          <t>v105</t>
        </is>
      </c>
      <c r="U558" s="27" t="inlineStr">
        <is>
          <t>r01</t>
        </is>
      </c>
      <c r="V558" s="41" t="n"/>
      <c r="W558" s="57" t="n"/>
      <c r="X558" s="99" t="n"/>
      <c r="Y558" s="99" t="n"/>
      <c r="Z558" s="99" t="n"/>
      <c r="AA558" s="62" t="n"/>
      <c r="AB558" s="62" t="n"/>
      <c r="AC558" s="63" t="n"/>
      <c r="AD558" s="356" t="n"/>
      <c r="AE558" s="356" t="n"/>
      <c r="AF558" s="57" t="n"/>
      <c r="AG558" s="28" t="n"/>
      <c r="AH558" s="57" t="n"/>
      <c r="AI558" s="28" t="n"/>
      <c r="AJ558" s="134" t="n"/>
      <c r="AK558" s="212" t="n"/>
      <c r="AL558" s="293" t="inlineStr">
        <is>
          <t>v105</t>
        </is>
      </c>
      <c r="AM558" s="122">
        <f>IF(OR(X558="",F558=""),"",X558-F558)</f>
        <v/>
      </c>
      <c r="AN558" s="98">
        <f>IF(OR(Y558="",G558=""),"",Y558-G558)</f>
        <v/>
      </c>
      <c r="AO558" s="98">
        <f>IF(OR(Z558="",H558=""),"",Z558-H558)</f>
        <v/>
      </c>
      <c r="AP558" s="98">
        <f>IF(OR(AA558="",I558=""),"",AA558-I558)</f>
        <v/>
      </c>
      <c r="AQ558" s="123">
        <f>IF(OR(AB558="",J558=""),"",AB558-J558)</f>
        <v/>
      </c>
      <c r="AR558" s="39" t="n"/>
      <c r="AS558" s="332" t="n"/>
      <c r="AT558" s="39" t="n"/>
    </row>
    <row r="559" ht="13.5" customHeight="1" s="279">
      <c r="B559" s="294" t="n"/>
      <c r="C559" s="29" t="inlineStr">
        <is>
          <t>r02</t>
        </is>
      </c>
      <c r="D559" s="191" t="n"/>
      <c r="E559" s="58" t="n"/>
      <c r="F559" s="192" t="n"/>
      <c r="G559" s="192" t="n"/>
      <c r="H559" s="192" t="n"/>
      <c r="I559" s="64" t="n"/>
      <c r="J559" s="64" t="n"/>
      <c r="K559" s="193" t="n"/>
      <c r="L559" s="357" t="n"/>
      <c r="M559" s="357" t="n"/>
      <c r="N559" s="58" t="n"/>
      <c r="O559" s="30" t="n"/>
      <c r="P559" s="58" t="n"/>
      <c r="Q559" s="30" t="n"/>
      <c r="R559" s="135" t="n"/>
      <c r="S559" s="301" t="n"/>
      <c r="T559" s="294" t="n"/>
      <c r="U559" s="29" t="inlineStr">
        <is>
          <t>r02</t>
        </is>
      </c>
      <c r="V559" s="191" t="n"/>
      <c r="W559" s="58" t="n"/>
      <c r="X559" s="192" t="n"/>
      <c r="Y559" s="192" t="n"/>
      <c r="Z559" s="192" t="n"/>
      <c r="AA559" s="64" t="n"/>
      <c r="AB559" s="64" t="n"/>
      <c r="AC559" s="193" t="n"/>
      <c r="AD559" s="357" t="n"/>
      <c r="AE559" s="357" t="n"/>
      <c r="AF559" s="58" t="n"/>
      <c r="AG559" s="30" t="n"/>
      <c r="AH559" s="58" t="n"/>
      <c r="AI559" s="30" t="n"/>
      <c r="AJ559" s="135" t="n"/>
      <c r="AK559" s="212" t="n"/>
      <c r="AL559" s="294" t="n"/>
      <c r="AM559" s="89">
        <f>IF(OR(X559="",F559=""),"",X559-F559)</f>
        <v/>
      </c>
      <c r="AN559" s="124">
        <f>IF(OR(Y559="",G559=""),"",Y559-G559)</f>
        <v/>
      </c>
      <c r="AO559" s="124">
        <f>IF(OR(Z559="",H559=""),"",Z559-H559)</f>
        <v/>
      </c>
      <c r="AP559" s="124">
        <f>IF(OR(AA559="",I559=""),"",AA559-I559)</f>
        <v/>
      </c>
      <c r="AQ559" s="90">
        <f>IF(OR(AB559="",J559=""),"",AB559-J559)</f>
        <v/>
      </c>
      <c r="AR559" s="39" t="n"/>
      <c r="AS559" s="332" t="n"/>
      <c r="AT559" s="39" t="n"/>
    </row>
    <row r="560" ht="13.5" customHeight="1" s="279">
      <c r="B560" s="294" t="n"/>
      <c r="C560" s="29" t="inlineStr">
        <is>
          <t>r03</t>
        </is>
      </c>
      <c r="D560" s="191" t="n"/>
      <c r="E560" s="58" t="n"/>
      <c r="F560" s="192" t="n"/>
      <c r="G560" s="192" t="n"/>
      <c r="H560" s="192" t="n"/>
      <c r="I560" s="64" t="n"/>
      <c r="J560" s="64" t="n"/>
      <c r="K560" s="193" t="n"/>
      <c r="L560" s="357" t="n"/>
      <c r="M560" s="357" t="n"/>
      <c r="N560" s="58" t="n"/>
      <c r="O560" s="30" t="n"/>
      <c r="P560" s="58" t="n"/>
      <c r="Q560" s="30" t="n"/>
      <c r="R560" s="135" t="n"/>
      <c r="S560" s="301" t="n"/>
      <c r="T560" s="294" t="n"/>
      <c r="U560" s="29" t="inlineStr">
        <is>
          <t>r03</t>
        </is>
      </c>
      <c r="V560" s="191" t="n"/>
      <c r="W560" s="58" t="n"/>
      <c r="X560" s="192" t="n"/>
      <c r="Y560" s="192" t="n"/>
      <c r="Z560" s="192" t="n"/>
      <c r="AA560" s="64" t="n"/>
      <c r="AB560" s="64" t="n"/>
      <c r="AC560" s="193" t="n"/>
      <c r="AD560" s="357" t="n"/>
      <c r="AE560" s="357" t="n"/>
      <c r="AF560" s="58" t="n"/>
      <c r="AG560" s="30" t="n"/>
      <c r="AH560" s="58" t="n"/>
      <c r="AI560" s="30" t="n"/>
      <c r="AJ560" s="135" t="n"/>
      <c r="AK560" s="212" t="n"/>
      <c r="AL560" s="294" t="n"/>
      <c r="AM560" s="89">
        <f>IF(OR(X560="",F560=""),"",X560-F560)</f>
        <v/>
      </c>
      <c r="AN560" s="124">
        <f>IF(OR(Y560="",G560=""),"",Y560-G560)</f>
        <v/>
      </c>
      <c r="AO560" s="124">
        <f>IF(OR(Z560="",H560=""),"",Z560-H560)</f>
        <v/>
      </c>
      <c r="AP560" s="124">
        <f>IF(OR(AA560="",I560=""),"",AA560-I560)</f>
        <v/>
      </c>
      <c r="AQ560" s="90">
        <f>IF(OR(AB560="",J560=""),"",AB560-J560)</f>
        <v/>
      </c>
      <c r="AR560" s="39" t="n"/>
      <c r="AS560" s="332" t="n"/>
      <c r="AT560" s="39" t="n"/>
    </row>
    <row r="561" ht="13.5" customHeight="1" s="279">
      <c r="B561" s="294" t="n"/>
      <c r="C561" s="29" t="inlineStr">
        <is>
          <t>r04</t>
        </is>
      </c>
      <c r="D561" s="191" t="n"/>
      <c r="E561" s="58" t="n"/>
      <c r="F561" s="192" t="n"/>
      <c r="G561" s="192" t="n"/>
      <c r="H561" s="192" t="n"/>
      <c r="I561" s="64" t="n"/>
      <c r="J561" s="64" t="n"/>
      <c r="K561" s="193" t="n"/>
      <c r="L561" s="357" t="n"/>
      <c r="M561" s="357" t="n"/>
      <c r="N561" s="58" t="n"/>
      <c r="O561" s="30" t="n"/>
      <c r="P561" s="58" t="n"/>
      <c r="Q561" s="30" t="n"/>
      <c r="R561" s="135" t="n"/>
      <c r="S561" s="301" t="n"/>
      <c r="T561" s="294" t="n"/>
      <c r="U561" s="29" t="inlineStr">
        <is>
          <t>r04</t>
        </is>
      </c>
      <c r="V561" s="191" t="n"/>
      <c r="W561" s="58" t="n"/>
      <c r="X561" s="192" t="n"/>
      <c r="Y561" s="192" t="n"/>
      <c r="Z561" s="192" t="n"/>
      <c r="AA561" s="64" t="n"/>
      <c r="AB561" s="64" t="n"/>
      <c r="AC561" s="193" t="n"/>
      <c r="AD561" s="357" t="n"/>
      <c r="AE561" s="357" t="n"/>
      <c r="AF561" s="58" t="n"/>
      <c r="AG561" s="30" t="n"/>
      <c r="AH561" s="58" t="n"/>
      <c r="AI561" s="30" t="n"/>
      <c r="AJ561" s="135" t="n"/>
      <c r="AK561" s="212" t="n"/>
      <c r="AL561" s="294" t="n"/>
      <c r="AM561" s="89">
        <f>IF(OR(X561="",F561=""),"",X561-F561)</f>
        <v/>
      </c>
      <c r="AN561" s="124">
        <f>IF(OR(Y561="",G561=""),"",Y561-G561)</f>
        <v/>
      </c>
      <c r="AO561" s="124">
        <f>IF(OR(Z561="",H561=""),"",Z561-H561)</f>
        <v/>
      </c>
      <c r="AP561" s="124">
        <f>IF(OR(AA561="",I561=""),"",AA561-I561)</f>
        <v/>
      </c>
      <c r="AQ561" s="90">
        <f>IF(OR(AB561="",J561=""),"",AB561-J561)</f>
        <v/>
      </c>
      <c r="AR561" s="39" t="n"/>
      <c r="AS561" s="332" t="n"/>
      <c r="AT561" s="39" t="n"/>
    </row>
    <row r="562" ht="13.5" customHeight="1" s="279" thickBot="1">
      <c r="B562" s="295" t="n"/>
      <c r="C562" s="29" t="n"/>
      <c r="D562" s="191" t="n"/>
      <c r="E562" s="58" t="n"/>
      <c r="F562" s="194" t="n"/>
      <c r="G562" s="194" t="n"/>
      <c r="H562" s="194" t="n"/>
      <c r="I562" s="58" t="n"/>
      <c r="J562" s="58" t="n"/>
      <c r="K562" s="193" t="n"/>
      <c r="L562" s="357" t="n"/>
      <c r="M562" s="357" t="n"/>
      <c r="N562" s="58" t="n"/>
      <c r="O562" s="30" t="n"/>
      <c r="P562" s="58" t="n"/>
      <c r="Q562" s="30" t="n"/>
      <c r="R562" s="189" t="n"/>
      <c r="S562" s="301" t="n"/>
      <c r="T562" s="295" t="n"/>
      <c r="U562" s="29" t="n"/>
      <c r="V562" s="191" t="n"/>
      <c r="W562" s="58" t="n"/>
      <c r="X562" s="194" t="n"/>
      <c r="Y562" s="194" t="n"/>
      <c r="Z562" s="194" t="n"/>
      <c r="AA562" s="58" t="n"/>
      <c r="AB562" s="58" t="n"/>
      <c r="AC562" s="193" t="n"/>
      <c r="AD562" s="357" t="n"/>
      <c r="AE562" s="357" t="n"/>
      <c r="AF562" s="58" t="n"/>
      <c r="AG562" s="30" t="n"/>
      <c r="AH562" s="58" t="n"/>
      <c r="AI562" s="30" t="n"/>
      <c r="AJ562" s="189" t="n"/>
      <c r="AK562" s="212" t="n"/>
      <c r="AL562" s="295" t="n"/>
      <c r="AM562" s="125">
        <f>IF(OR(X562="",F562=""),"",X562-F562)</f>
        <v/>
      </c>
      <c r="AN562" s="126">
        <f>IF(OR(Y562="",G562=""),"",Y562-G562)</f>
        <v/>
      </c>
      <c r="AO562" s="126">
        <f>IF(OR(Z562="",H562=""),"",Z562-H562)</f>
        <v/>
      </c>
      <c r="AP562" s="126">
        <f>IF(OR(AA562="",I562=""),"",AA562-I562)</f>
        <v/>
      </c>
      <c r="AQ562" s="127">
        <f>IF(OR(AB562="",J562=""),"",AB562-J562)</f>
        <v/>
      </c>
      <c r="AR562" s="39" t="n"/>
      <c r="AS562" s="332" t="n"/>
      <c r="AT562" s="39" t="n"/>
    </row>
    <row r="563" ht="13.5" customHeight="1" s="279">
      <c r="B563" s="293" t="inlineStr">
        <is>
          <t>v106</t>
        </is>
      </c>
      <c r="C563" s="27" t="inlineStr">
        <is>
          <t>r01</t>
        </is>
      </c>
      <c r="D563" s="41" t="n"/>
      <c r="E563" s="57" t="n"/>
      <c r="F563" s="99" t="n"/>
      <c r="G563" s="99" t="n"/>
      <c r="H563" s="99" t="n"/>
      <c r="I563" s="62" t="n"/>
      <c r="J563" s="62" t="n"/>
      <c r="K563" s="63" t="n"/>
      <c r="L563" s="356" t="n"/>
      <c r="M563" s="356" t="n"/>
      <c r="N563" s="57" t="n"/>
      <c r="O563" s="28" t="n"/>
      <c r="P563" s="57" t="n"/>
      <c r="Q563" s="28" t="n"/>
      <c r="R563" s="134" t="n"/>
      <c r="S563" s="301" t="n"/>
      <c r="T563" s="293" t="inlineStr">
        <is>
          <t>v106</t>
        </is>
      </c>
      <c r="U563" s="27" t="inlineStr">
        <is>
          <t>r01</t>
        </is>
      </c>
      <c r="V563" s="41" t="n"/>
      <c r="W563" s="57" t="n"/>
      <c r="X563" s="99" t="n"/>
      <c r="Y563" s="99" t="n"/>
      <c r="Z563" s="99" t="n"/>
      <c r="AA563" s="62" t="n"/>
      <c r="AB563" s="62" t="n"/>
      <c r="AC563" s="63" t="n"/>
      <c r="AD563" s="356" t="n"/>
      <c r="AE563" s="356" t="n"/>
      <c r="AF563" s="57" t="n"/>
      <c r="AG563" s="28" t="n"/>
      <c r="AH563" s="57" t="n"/>
      <c r="AI563" s="28" t="n"/>
      <c r="AJ563" s="134" t="n"/>
      <c r="AK563" s="212" t="n"/>
      <c r="AL563" s="293" t="inlineStr">
        <is>
          <t>v106</t>
        </is>
      </c>
      <c r="AM563" s="122">
        <f>IF(OR(X563="",F563=""),"",X563-F563)</f>
        <v/>
      </c>
      <c r="AN563" s="98">
        <f>IF(OR(Y563="",G563=""),"",Y563-G563)</f>
        <v/>
      </c>
      <c r="AO563" s="98">
        <f>IF(OR(Z563="",H563=""),"",Z563-H563)</f>
        <v/>
      </c>
      <c r="AP563" s="98">
        <f>IF(OR(AA563="",I563=""),"",AA563-I563)</f>
        <v/>
      </c>
      <c r="AQ563" s="123">
        <f>IF(OR(AB563="",J563=""),"",AB563-J563)</f>
        <v/>
      </c>
      <c r="AR563" s="39" t="n"/>
      <c r="AS563" s="332" t="n"/>
      <c r="AT563" s="39" t="n"/>
    </row>
    <row r="564" ht="13.5" customHeight="1" s="279">
      <c r="B564" s="294" t="n"/>
      <c r="C564" s="29" t="inlineStr">
        <is>
          <t>r02</t>
        </is>
      </c>
      <c r="D564" s="191" t="n"/>
      <c r="E564" s="58" t="n"/>
      <c r="F564" s="192" t="n"/>
      <c r="G564" s="192" t="n"/>
      <c r="H564" s="192" t="n"/>
      <c r="I564" s="64" t="n"/>
      <c r="J564" s="64" t="n"/>
      <c r="K564" s="193" t="n"/>
      <c r="L564" s="357" t="n"/>
      <c r="M564" s="357" t="n"/>
      <c r="N564" s="58" t="n"/>
      <c r="O564" s="30" t="n"/>
      <c r="P564" s="58" t="n"/>
      <c r="Q564" s="30" t="n"/>
      <c r="R564" s="135" t="n"/>
      <c r="S564" s="301" t="n"/>
      <c r="T564" s="294" t="n"/>
      <c r="U564" s="29" t="inlineStr">
        <is>
          <t>r02</t>
        </is>
      </c>
      <c r="V564" s="191" t="n"/>
      <c r="W564" s="58" t="n"/>
      <c r="X564" s="192" t="n"/>
      <c r="Y564" s="192" t="n"/>
      <c r="Z564" s="192" t="n"/>
      <c r="AA564" s="64" t="n"/>
      <c r="AB564" s="64" t="n"/>
      <c r="AC564" s="193" t="n"/>
      <c r="AD564" s="357" t="n"/>
      <c r="AE564" s="357" t="n"/>
      <c r="AF564" s="58" t="n"/>
      <c r="AG564" s="30" t="n"/>
      <c r="AH564" s="58" t="n"/>
      <c r="AI564" s="30" t="n"/>
      <c r="AJ564" s="135" t="n"/>
      <c r="AK564" s="212" t="n"/>
      <c r="AL564" s="294" t="n"/>
      <c r="AM564" s="89">
        <f>IF(OR(X564="",F564=""),"",X564-F564)</f>
        <v/>
      </c>
      <c r="AN564" s="124">
        <f>IF(OR(Y564="",G564=""),"",Y564-G564)</f>
        <v/>
      </c>
      <c r="AO564" s="124">
        <f>IF(OR(Z564="",H564=""),"",Z564-H564)</f>
        <v/>
      </c>
      <c r="AP564" s="124">
        <f>IF(OR(AA564="",I564=""),"",AA564-I564)</f>
        <v/>
      </c>
      <c r="AQ564" s="90">
        <f>IF(OR(AB564="",J564=""),"",AB564-J564)</f>
        <v/>
      </c>
      <c r="AR564" s="39" t="n"/>
      <c r="AS564" s="332" t="n"/>
      <c r="AT564" s="39" t="n"/>
    </row>
    <row r="565" ht="13.5" customHeight="1" s="279">
      <c r="B565" s="294" t="n"/>
      <c r="C565" s="29" t="inlineStr">
        <is>
          <t>r03</t>
        </is>
      </c>
      <c r="D565" s="191" t="n"/>
      <c r="E565" s="58" t="n"/>
      <c r="F565" s="192" t="n"/>
      <c r="G565" s="192" t="n"/>
      <c r="H565" s="192" t="n"/>
      <c r="I565" s="64" t="n"/>
      <c r="J565" s="64" t="n"/>
      <c r="K565" s="193" t="n"/>
      <c r="L565" s="357" t="n"/>
      <c r="M565" s="357" t="n"/>
      <c r="N565" s="58" t="n"/>
      <c r="O565" s="30" t="n"/>
      <c r="P565" s="58" t="n"/>
      <c r="Q565" s="30" t="n"/>
      <c r="R565" s="135" t="n"/>
      <c r="S565" s="301" t="n"/>
      <c r="T565" s="294" t="n"/>
      <c r="U565" s="29" t="inlineStr">
        <is>
          <t>r03</t>
        </is>
      </c>
      <c r="V565" s="191" t="n"/>
      <c r="W565" s="58" t="n"/>
      <c r="X565" s="192" t="n"/>
      <c r="Y565" s="192" t="n"/>
      <c r="Z565" s="192" t="n"/>
      <c r="AA565" s="64" t="n"/>
      <c r="AB565" s="64" t="n"/>
      <c r="AC565" s="193" t="n"/>
      <c r="AD565" s="357" t="n"/>
      <c r="AE565" s="357" t="n"/>
      <c r="AF565" s="58" t="n"/>
      <c r="AG565" s="30" t="n"/>
      <c r="AH565" s="58" t="n"/>
      <c r="AI565" s="30" t="n"/>
      <c r="AJ565" s="135" t="n"/>
      <c r="AK565" s="212" t="n"/>
      <c r="AL565" s="294" t="n"/>
      <c r="AM565" s="89">
        <f>IF(OR(X565="",F565=""),"",X565-F565)</f>
        <v/>
      </c>
      <c r="AN565" s="124">
        <f>IF(OR(Y565="",G565=""),"",Y565-G565)</f>
        <v/>
      </c>
      <c r="AO565" s="124">
        <f>IF(OR(Z565="",H565=""),"",Z565-H565)</f>
        <v/>
      </c>
      <c r="AP565" s="124">
        <f>IF(OR(AA565="",I565=""),"",AA565-I565)</f>
        <v/>
      </c>
      <c r="AQ565" s="90">
        <f>IF(OR(AB565="",J565=""),"",AB565-J565)</f>
        <v/>
      </c>
      <c r="AR565" s="39" t="n"/>
      <c r="AS565" s="332" t="n"/>
      <c r="AT565" s="39" t="n"/>
    </row>
    <row r="566" ht="13.5" customHeight="1" s="279">
      <c r="B566" s="294" t="n"/>
      <c r="C566" s="29" t="inlineStr">
        <is>
          <t>r04</t>
        </is>
      </c>
      <c r="D566" s="191" t="n"/>
      <c r="E566" s="58" t="n"/>
      <c r="F566" s="192" t="n"/>
      <c r="G566" s="192" t="n"/>
      <c r="H566" s="192" t="n"/>
      <c r="I566" s="64" t="n"/>
      <c r="J566" s="64" t="n"/>
      <c r="K566" s="193" t="n"/>
      <c r="L566" s="357" t="n"/>
      <c r="M566" s="357" t="n"/>
      <c r="N566" s="58" t="n"/>
      <c r="O566" s="30" t="n"/>
      <c r="P566" s="58" t="n"/>
      <c r="Q566" s="30" t="n"/>
      <c r="R566" s="135" t="n"/>
      <c r="S566" s="301" t="n"/>
      <c r="T566" s="294" t="n"/>
      <c r="U566" s="29" t="inlineStr">
        <is>
          <t>r04</t>
        </is>
      </c>
      <c r="V566" s="191" t="n"/>
      <c r="W566" s="58" t="n"/>
      <c r="X566" s="192" t="n"/>
      <c r="Y566" s="192" t="n"/>
      <c r="Z566" s="192" t="n"/>
      <c r="AA566" s="64" t="n"/>
      <c r="AB566" s="64" t="n"/>
      <c r="AC566" s="193" t="n"/>
      <c r="AD566" s="357" t="n"/>
      <c r="AE566" s="357" t="n"/>
      <c r="AF566" s="58" t="n"/>
      <c r="AG566" s="30" t="n"/>
      <c r="AH566" s="58" t="n"/>
      <c r="AI566" s="30" t="n"/>
      <c r="AJ566" s="135" t="n"/>
      <c r="AK566" s="212" t="n"/>
      <c r="AL566" s="294" t="n"/>
      <c r="AM566" s="89">
        <f>IF(OR(X566="",F566=""),"",X566-F566)</f>
        <v/>
      </c>
      <c r="AN566" s="124">
        <f>IF(OR(Y566="",G566=""),"",Y566-G566)</f>
        <v/>
      </c>
      <c r="AO566" s="124">
        <f>IF(OR(Z566="",H566=""),"",Z566-H566)</f>
        <v/>
      </c>
      <c r="AP566" s="124">
        <f>IF(OR(AA566="",I566=""),"",AA566-I566)</f>
        <v/>
      </c>
      <c r="AQ566" s="90">
        <f>IF(OR(AB566="",J566=""),"",AB566-J566)</f>
        <v/>
      </c>
      <c r="AR566" s="39" t="n"/>
      <c r="AS566" s="332" t="n"/>
      <c r="AT566" s="39" t="n"/>
    </row>
    <row r="567" ht="13.5" customHeight="1" s="279" thickBot="1">
      <c r="B567" s="295" t="n"/>
      <c r="C567" s="29" t="n"/>
      <c r="D567" s="191" t="n"/>
      <c r="E567" s="58" t="n"/>
      <c r="F567" s="194" t="n"/>
      <c r="G567" s="194" t="n"/>
      <c r="H567" s="194" t="n"/>
      <c r="I567" s="58" t="n"/>
      <c r="J567" s="58" t="n"/>
      <c r="K567" s="193" t="n"/>
      <c r="L567" s="357" t="n"/>
      <c r="M567" s="357" t="n"/>
      <c r="N567" s="58" t="n"/>
      <c r="O567" s="30" t="n"/>
      <c r="P567" s="58" t="n"/>
      <c r="Q567" s="30" t="n"/>
      <c r="R567" s="189" t="n"/>
      <c r="S567" s="301" t="n"/>
      <c r="T567" s="295" t="n"/>
      <c r="U567" s="29" t="n"/>
      <c r="V567" s="191" t="n"/>
      <c r="W567" s="58" t="n"/>
      <c r="X567" s="194" t="n"/>
      <c r="Y567" s="194" t="n"/>
      <c r="Z567" s="194" t="n"/>
      <c r="AA567" s="58" t="n"/>
      <c r="AB567" s="58" t="n"/>
      <c r="AC567" s="193" t="n"/>
      <c r="AD567" s="357" t="n"/>
      <c r="AE567" s="357" t="n"/>
      <c r="AF567" s="58" t="n"/>
      <c r="AG567" s="30" t="n"/>
      <c r="AH567" s="58" t="n"/>
      <c r="AI567" s="30" t="n"/>
      <c r="AJ567" s="189" t="n"/>
      <c r="AK567" s="212" t="n"/>
      <c r="AL567" s="295" t="n"/>
      <c r="AM567" s="125">
        <f>IF(OR(X567="",F567=""),"",X567-F567)</f>
        <v/>
      </c>
      <c r="AN567" s="126">
        <f>IF(OR(Y567="",G567=""),"",Y567-G567)</f>
        <v/>
      </c>
      <c r="AO567" s="126">
        <f>IF(OR(Z567="",H567=""),"",Z567-H567)</f>
        <v/>
      </c>
      <c r="AP567" s="126">
        <f>IF(OR(AA567="",I567=""),"",AA567-I567)</f>
        <v/>
      </c>
      <c r="AQ567" s="127">
        <f>IF(OR(AB567="",J567=""),"",AB567-J567)</f>
        <v/>
      </c>
      <c r="AR567" s="39" t="n"/>
      <c r="AS567" s="332" t="n"/>
      <c r="AT567" s="39" t="n"/>
    </row>
    <row r="568" ht="13.5" customHeight="1" s="279">
      <c r="B568" s="293" t="inlineStr">
        <is>
          <t>v107</t>
        </is>
      </c>
      <c r="C568" s="27" t="inlineStr">
        <is>
          <t>r01</t>
        </is>
      </c>
      <c r="D568" s="41" t="n"/>
      <c r="E568" s="57" t="n"/>
      <c r="F568" s="99" t="n"/>
      <c r="G568" s="99" t="n"/>
      <c r="H568" s="99" t="n"/>
      <c r="I568" s="62" t="n"/>
      <c r="J568" s="62" t="n"/>
      <c r="K568" s="63" t="n"/>
      <c r="L568" s="356" t="n"/>
      <c r="M568" s="356" t="n"/>
      <c r="N568" s="57" t="n"/>
      <c r="O568" s="28" t="n"/>
      <c r="P568" s="57" t="n"/>
      <c r="Q568" s="28" t="n"/>
      <c r="R568" s="134" t="n"/>
      <c r="S568" s="301" t="n"/>
      <c r="T568" s="293" t="inlineStr">
        <is>
          <t>v107</t>
        </is>
      </c>
      <c r="U568" s="27" t="inlineStr">
        <is>
          <t>r01</t>
        </is>
      </c>
      <c r="V568" s="41" t="n"/>
      <c r="W568" s="57" t="n"/>
      <c r="X568" s="99" t="n"/>
      <c r="Y568" s="99" t="n"/>
      <c r="Z568" s="99" t="n"/>
      <c r="AA568" s="62" t="n"/>
      <c r="AB568" s="62" t="n"/>
      <c r="AC568" s="63" t="n"/>
      <c r="AD568" s="356" t="n"/>
      <c r="AE568" s="356" t="n"/>
      <c r="AF568" s="57" t="n"/>
      <c r="AG568" s="28" t="n"/>
      <c r="AH568" s="57" t="n"/>
      <c r="AI568" s="28" t="n"/>
      <c r="AJ568" s="134" t="n"/>
      <c r="AK568" s="212" t="n"/>
      <c r="AL568" s="293" t="inlineStr">
        <is>
          <t>v107</t>
        </is>
      </c>
      <c r="AM568" s="122">
        <f>IF(OR(X568="",F568=""),"",X568-F568)</f>
        <v/>
      </c>
      <c r="AN568" s="98">
        <f>IF(OR(Y568="",G568=""),"",Y568-G568)</f>
        <v/>
      </c>
      <c r="AO568" s="98">
        <f>IF(OR(Z568="",H568=""),"",Z568-H568)</f>
        <v/>
      </c>
      <c r="AP568" s="98">
        <f>IF(OR(AA568="",I568=""),"",AA568-I568)</f>
        <v/>
      </c>
      <c r="AQ568" s="123">
        <f>IF(OR(AB568="",J568=""),"",AB568-J568)</f>
        <v/>
      </c>
      <c r="AR568" s="39" t="n"/>
      <c r="AS568" s="332" t="n"/>
      <c r="AT568" s="39" t="n"/>
    </row>
    <row r="569" ht="13.5" customHeight="1" s="279">
      <c r="B569" s="294" t="n"/>
      <c r="C569" s="29" t="inlineStr">
        <is>
          <t>r02</t>
        </is>
      </c>
      <c r="D569" s="191" t="n"/>
      <c r="E569" s="58" t="n"/>
      <c r="F569" s="192" t="n"/>
      <c r="G569" s="192" t="n"/>
      <c r="H569" s="192" t="n"/>
      <c r="I569" s="64" t="n"/>
      <c r="J569" s="64" t="n"/>
      <c r="K569" s="193" t="n"/>
      <c r="L569" s="357" t="n"/>
      <c r="M569" s="357" t="n"/>
      <c r="N569" s="58" t="n"/>
      <c r="O569" s="30" t="n"/>
      <c r="P569" s="58" t="n"/>
      <c r="Q569" s="30" t="n"/>
      <c r="R569" s="135" t="n"/>
      <c r="S569" s="301" t="n"/>
      <c r="T569" s="294" t="n"/>
      <c r="U569" s="29" t="inlineStr">
        <is>
          <t>r02</t>
        </is>
      </c>
      <c r="V569" s="191" t="n"/>
      <c r="W569" s="58" t="n"/>
      <c r="X569" s="192" t="n"/>
      <c r="Y569" s="192" t="n"/>
      <c r="Z569" s="192" t="n"/>
      <c r="AA569" s="64" t="n"/>
      <c r="AB569" s="64" t="n"/>
      <c r="AC569" s="193" t="n"/>
      <c r="AD569" s="357" t="n"/>
      <c r="AE569" s="357" t="n"/>
      <c r="AF569" s="58" t="n"/>
      <c r="AG569" s="30" t="n"/>
      <c r="AH569" s="58" t="n"/>
      <c r="AI569" s="30" t="n"/>
      <c r="AJ569" s="135" t="n"/>
      <c r="AK569" s="212" t="n"/>
      <c r="AL569" s="294" t="n"/>
      <c r="AM569" s="89">
        <f>IF(OR(X569="",F569=""),"",X569-F569)</f>
        <v/>
      </c>
      <c r="AN569" s="124">
        <f>IF(OR(Y569="",G569=""),"",Y569-G569)</f>
        <v/>
      </c>
      <c r="AO569" s="124">
        <f>IF(OR(Z569="",H569=""),"",Z569-H569)</f>
        <v/>
      </c>
      <c r="AP569" s="124">
        <f>IF(OR(AA569="",I569=""),"",AA569-I569)</f>
        <v/>
      </c>
      <c r="AQ569" s="90">
        <f>IF(OR(AB569="",J569=""),"",AB569-J569)</f>
        <v/>
      </c>
      <c r="AR569" s="39" t="n"/>
      <c r="AS569" s="332" t="n"/>
      <c r="AT569" s="39" t="n"/>
    </row>
    <row r="570" ht="13.5" customHeight="1" s="279">
      <c r="B570" s="294" t="n"/>
      <c r="C570" s="29" t="inlineStr">
        <is>
          <t>r03</t>
        </is>
      </c>
      <c r="D570" s="191" t="n"/>
      <c r="E570" s="58" t="n"/>
      <c r="F570" s="192" t="n"/>
      <c r="G570" s="192" t="n"/>
      <c r="H570" s="192" t="n"/>
      <c r="I570" s="64" t="n"/>
      <c r="J570" s="64" t="n"/>
      <c r="K570" s="193" t="n"/>
      <c r="L570" s="357" t="n"/>
      <c r="M570" s="357" t="n"/>
      <c r="N570" s="58" t="n"/>
      <c r="O570" s="30" t="n"/>
      <c r="P570" s="58" t="n"/>
      <c r="Q570" s="30" t="n"/>
      <c r="R570" s="135" t="n"/>
      <c r="S570" s="301" t="n"/>
      <c r="T570" s="294" t="n"/>
      <c r="U570" s="29" t="inlineStr">
        <is>
          <t>r03</t>
        </is>
      </c>
      <c r="V570" s="191" t="n"/>
      <c r="W570" s="58" t="n"/>
      <c r="X570" s="192" t="n"/>
      <c r="Y570" s="192" t="n"/>
      <c r="Z570" s="192" t="n"/>
      <c r="AA570" s="64" t="n"/>
      <c r="AB570" s="64" t="n"/>
      <c r="AC570" s="193" t="n"/>
      <c r="AD570" s="357" t="n"/>
      <c r="AE570" s="357" t="n"/>
      <c r="AF570" s="58" t="n"/>
      <c r="AG570" s="30" t="n"/>
      <c r="AH570" s="58" t="n"/>
      <c r="AI570" s="30" t="n"/>
      <c r="AJ570" s="135" t="n"/>
      <c r="AK570" s="212" t="n"/>
      <c r="AL570" s="294" t="n"/>
      <c r="AM570" s="89">
        <f>IF(OR(X570="",F570=""),"",X570-F570)</f>
        <v/>
      </c>
      <c r="AN570" s="124">
        <f>IF(OR(Y570="",G570=""),"",Y570-G570)</f>
        <v/>
      </c>
      <c r="AO570" s="124">
        <f>IF(OR(Z570="",H570=""),"",Z570-H570)</f>
        <v/>
      </c>
      <c r="AP570" s="124">
        <f>IF(OR(AA570="",I570=""),"",AA570-I570)</f>
        <v/>
      </c>
      <c r="AQ570" s="90">
        <f>IF(OR(AB570="",J570=""),"",AB570-J570)</f>
        <v/>
      </c>
      <c r="AR570" s="39" t="n"/>
      <c r="AS570" s="332" t="n"/>
      <c r="AT570" s="39" t="n"/>
    </row>
    <row r="571" ht="13.5" customHeight="1" s="279">
      <c r="B571" s="294" t="n"/>
      <c r="C571" s="29" t="inlineStr">
        <is>
          <t>r04</t>
        </is>
      </c>
      <c r="D571" s="191" t="n"/>
      <c r="E571" s="58" t="n"/>
      <c r="F571" s="192" t="n"/>
      <c r="G571" s="192" t="n"/>
      <c r="H571" s="192" t="n"/>
      <c r="I571" s="64" t="n"/>
      <c r="J571" s="64" t="n"/>
      <c r="K571" s="193" t="n"/>
      <c r="L571" s="357" t="n"/>
      <c r="M571" s="357" t="n"/>
      <c r="N571" s="58" t="n"/>
      <c r="O571" s="30" t="n"/>
      <c r="P571" s="58" t="n"/>
      <c r="Q571" s="30" t="n"/>
      <c r="R571" s="135" t="n"/>
      <c r="S571" s="301" t="n"/>
      <c r="T571" s="294" t="n"/>
      <c r="U571" s="29" t="inlineStr">
        <is>
          <t>r04</t>
        </is>
      </c>
      <c r="V571" s="191" t="n"/>
      <c r="W571" s="58" t="n"/>
      <c r="X571" s="192" t="n"/>
      <c r="Y571" s="192" t="n"/>
      <c r="Z571" s="192" t="n"/>
      <c r="AA571" s="64" t="n"/>
      <c r="AB571" s="64" t="n"/>
      <c r="AC571" s="193" t="n"/>
      <c r="AD571" s="357" t="n"/>
      <c r="AE571" s="357" t="n"/>
      <c r="AF571" s="58" t="n"/>
      <c r="AG571" s="30" t="n"/>
      <c r="AH571" s="58" t="n"/>
      <c r="AI571" s="30" t="n"/>
      <c r="AJ571" s="135" t="n"/>
      <c r="AK571" s="212" t="n"/>
      <c r="AL571" s="294" t="n"/>
      <c r="AM571" s="89">
        <f>IF(OR(X571="",F571=""),"",X571-F571)</f>
        <v/>
      </c>
      <c r="AN571" s="124">
        <f>IF(OR(Y571="",G571=""),"",Y571-G571)</f>
        <v/>
      </c>
      <c r="AO571" s="124">
        <f>IF(OR(Z571="",H571=""),"",Z571-H571)</f>
        <v/>
      </c>
      <c r="AP571" s="124">
        <f>IF(OR(AA571="",I571=""),"",AA571-I571)</f>
        <v/>
      </c>
      <c r="AQ571" s="90">
        <f>IF(OR(AB571="",J571=""),"",AB571-J571)</f>
        <v/>
      </c>
      <c r="AR571" s="39" t="n"/>
      <c r="AS571" s="332" t="n"/>
      <c r="AT571" s="39" t="n"/>
    </row>
    <row r="572" ht="13.5" customHeight="1" s="279" thickBot="1">
      <c r="B572" s="295" t="n"/>
      <c r="C572" s="29" t="n"/>
      <c r="D572" s="191" t="n"/>
      <c r="E572" s="58" t="n"/>
      <c r="F572" s="194" t="n"/>
      <c r="G572" s="194" t="n"/>
      <c r="H572" s="194" t="n"/>
      <c r="I572" s="58" t="n"/>
      <c r="J572" s="58" t="n"/>
      <c r="K572" s="193" t="n"/>
      <c r="L572" s="357" t="n"/>
      <c r="M572" s="357" t="n"/>
      <c r="N572" s="58" t="n"/>
      <c r="O572" s="30" t="n"/>
      <c r="P572" s="58" t="n"/>
      <c r="Q572" s="30" t="n"/>
      <c r="R572" s="189" t="n"/>
      <c r="S572" s="301" t="n"/>
      <c r="T572" s="295" t="n"/>
      <c r="U572" s="29" t="n"/>
      <c r="V572" s="191" t="n"/>
      <c r="W572" s="58" t="n"/>
      <c r="X572" s="194" t="n"/>
      <c r="Y572" s="194" t="n"/>
      <c r="Z572" s="194" t="n"/>
      <c r="AA572" s="58" t="n"/>
      <c r="AB572" s="58" t="n"/>
      <c r="AC572" s="193" t="n"/>
      <c r="AD572" s="357" t="n"/>
      <c r="AE572" s="357" t="n"/>
      <c r="AF572" s="58" t="n"/>
      <c r="AG572" s="30" t="n"/>
      <c r="AH572" s="58" t="n"/>
      <c r="AI572" s="30" t="n"/>
      <c r="AJ572" s="189" t="n"/>
      <c r="AK572" s="212" t="n"/>
      <c r="AL572" s="295" t="n"/>
      <c r="AM572" s="125">
        <f>IF(OR(X572="",F572=""),"",X572-F572)</f>
        <v/>
      </c>
      <c r="AN572" s="126">
        <f>IF(OR(Y572="",G572=""),"",Y572-G572)</f>
        <v/>
      </c>
      <c r="AO572" s="126">
        <f>IF(OR(Z572="",H572=""),"",Z572-H572)</f>
        <v/>
      </c>
      <c r="AP572" s="126">
        <f>IF(OR(AA572="",I572=""),"",AA572-I572)</f>
        <v/>
      </c>
      <c r="AQ572" s="127">
        <f>IF(OR(AB572="",J572=""),"",AB572-J572)</f>
        <v/>
      </c>
      <c r="AR572" s="39" t="n"/>
      <c r="AS572" s="332" t="n"/>
      <c r="AT572" s="39" t="n"/>
    </row>
    <row r="573" ht="13.5" customHeight="1" s="279">
      <c r="B573" s="293" t="inlineStr">
        <is>
          <t>v108</t>
        </is>
      </c>
      <c r="C573" s="27" t="inlineStr">
        <is>
          <t>r01</t>
        </is>
      </c>
      <c r="D573" s="41" t="n"/>
      <c r="E573" s="57" t="n"/>
      <c r="F573" s="99" t="n"/>
      <c r="G573" s="99" t="n"/>
      <c r="H573" s="99" t="n"/>
      <c r="I573" s="62" t="n"/>
      <c r="J573" s="62" t="n"/>
      <c r="K573" s="63" t="n"/>
      <c r="L573" s="356" t="n"/>
      <c r="M573" s="356" t="n"/>
      <c r="N573" s="57" t="n"/>
      <c r="O573" s="28" t="n"/>
      <c r="P573" s="57" t="n"/>
      <c r="Q573" s="28" t="n"/>
      <c r="R573" s="134" t="n"/>
      <c r="S573" s="301" t="n"/>
      <c r="T573" s="293" t="inlineStr">
        <is>
          <t>v108</t>
        </is>
      </c>
      <c r="U573" s="27" t="inlineStr">
        <is>
          <t>r01</t>
        </is>
      </c>
      <c r="V573" s="41" t="n"/>
      <c r="W573" s="57" t="n"/>
      <c r="X573" s="99" t="n"/>
      <c r="Y573" s="99" t="n"/>
      <c r="Z573" s="99" t="n"/>
      <c r="AA573" s="62" t="n"/>
      <c r="AB573" s="62" t="n"/>
      <c r="AC573" s="63" t="n"/>
      <c r="AD573" s="356" t="n"/>
      <c r="AE573" s="356" t="n"/>
      <c r="AF573" s="57" t="n"/>
      <c r="AG573" s="28" t="n"/>
      <c r="AH573" s="57" t="n"/>
      <c r="AI573" s="28" t="n"/>
      <c r="AJ573" s="134" t="n"/>
      <c r="AK573" s="212" t="n"/>
      <c r="AL573" s="293" t="inlineStr">
        <is>
          <t>v108</t>
        </is>
      </c>
      <c r="AM573" s="122">
        <f>IF(OR(X573="",F573=""),"",X573-F573)</f>
        <v/>
      </c>
      <c r="AN573" s="98">
        <f>IF(OR(Y573="",G573=""),"",Y573-G573)</f>
        <v/>
      </c>
      <c r="AO573" s="98">
        <f>IF(OR(Z573="",H573=""),"",Z573-H573)</f>
        <v/>
      </c>
      <c r="AP573" s="98">
        <f>IF(OR(AA573="",I573=""),"",AA573-I573)</f>
        <v/>
      </c>
      <c r="AQ573" s="123">
        <f>IF(OR(AB573="",J573=""),"",AB573-J573)</f>
        <v/>
      </c>
      <c r="AR573" s="39" t="n"/>
      <c r="AS573" s="332" t="n"/>
      <c r="AT573" s="39" t="n"/>
    </row>
    <row r="574" ht="13.5" customHeight="1" s="279">
      <c r="B574" s="294" t="n"/>
      <c r="C574" s="29" t="inlineStr">
        <is>
          <t>r02</t>
        </is>
      </c>
      <c r="D574" s="191" t="n"/>
      <c r="E574" s="58" t="n"/>
      <c r="F574" s="192" t="n"/>
      <c r="G574" s="192" t="n"/>
      <c r="H574" s="192" t="n"/>
      <c r="I574" s="64" t="n"/>
      <c r="J574" s="64" t="n"/>
      <c r="K574" s="193" t="n"/>
      <c r="L574" s="357" t="n"/>
      <c r="M574" s="357" t="n"/>
      <c r="N574" s="58" t="n"/>
      <c r="O574" s="30" t="n"/>
      <c r="P574" s="58" t="n"/>
      <c r="Q574" s="30" t="n"/>
      <c r="R574" s="135" t="n"/>
      <c r="S574" s="301" t="n"/>
      <c r="T574" s="294" t="n"/>
      <c r="U574" s="29" t="inlineStr">
        <is>
          <t>r02</t>
        </is>
      </c>
      <c r="V574" s="191" t="n"/>
      <c r="W574" s="58" t="n"/>
      <c r="X574" s="192" t="n"/>
      <c r="Y574" s="192" t="n"/>
      <c r="Z574" s="192" t="n"/>
      <c r="AA574" s="64" t="n"/>
      <c r="AB574" s="64" t="n"/>
      <c r="AC574" s="193" t="n"/>
      <c r="AD574" s="357" t="n"/>
      <c r="AE574" s="357" t="n"/>
      <c r="AF574" s="58" t="n"/>
      <c r="AG574" s="30" t="n"/>
      <c r="AH574" s="58" t="n"/>
      <c r="AI574" s="30" t="n"/>
      <c r="AJ574" s="135" t="n"/>
      <c r="AK574" s="212" t="n"/>
      <c r="AL574" s="294" t="n"/>
      <c r="AM574" s="89">
        <f>IF(OR(X574="",F574=""),"",X574-F574)</f>
        <v/>
      </c>
      <c r="AN574" s="124">
        <f>IF(OR(Y574="",G574=""),"",Y574-G574)</f>
        <v/>
      </c>
      <c r="AO574" s="124">
        <f>IF(OR(Z574="",H574=""),"",Z574-H574)</f>
        <v/>
      </c>
      <c r="AP574" s="124">
        <f>IF(OR(AA574="",I574=""),"",AA574-I574)</f>
        <v/>
      </c>
      <c r="AQ574" s="90">
        <f>IF(OR(AB574="",J574=""),"",AB574-J574)</f>
        <v/>
      </c>
      <c r="AR574" s="39" t="n"/>
      <c r="AS574" s="332" t="n"/>
      <c r="AT574" s="39" t="n"/>
    </row>
    <row r="575" ht="13.5" customHeight="1" s="279">
      <c r="B575" s="294" t="n"/>
      <c r="C575" s="29" t="inlineStr">
        <is>
          <t>r03</t>
        </is>
      </c>
      <c r="D575" s="191" t="n"/>
      <c r="E575" s="58" t="n"/>
      <c r="F575" s="192" t="n"/>
      <c r="G575" s="192" t="n"/>
      <c r="H575" s="192" t="n"/>
      <c r="I575" s="64" t="n"/>
      <c r="J575" s="64" t="n"/>
      <c r="K575" s="193" t="n"/>
      <c r="L575" s="357" t="n"/>
      <c r="M575" s="357" t="n"/>
      <c r="N575" s="58" t="n"/>
      <c r="O575" s="30" t="n"/>
      <c r="P575" s="58" t="n"/>
      <c r="Q575" s="30" t="n"/>
      <c r="R575" s="135" t="n"/>
      <c r="S575" s="301" t="n"/>
      <c r="T575" s="294" t="n"/>
      <c r="U575" s="29" t="inlineStr">
        <is>
          <t>r03</t>
        </is>
      </c>
      <c r="V575" s="191" t="n"/>
      <c r="W575" s="58" t="n"/>
      <c r="X575" s="192" t="n"/>
      <c r="Y575" s="192" t="n"/>
      <c r="Z575" s="192" t="n"/>
      <c r="AA575" s="64" t="n"/>
      <c r="AB575" s="64" t="n"/>
      <c r="AC575" s="193" t="n"/>
      <c r="AD575" s="357" t="n"/>
      <c r="AE575" s="357" t="n"/>
      <c r="AF575" s="58" t="n"/>
      <c r="AG575" s="30" t="n"/>
      <c r="AH575" s="58" t="n"/>
      <c r="AI575" s="30" t="n"/>
      <c r="AJ575" s="135" t="n"/>
      <c r="AK575" s="212" t="n"/>
      <c r="AL575" s="294" t="n"/>
      <c r="AM575" s="89">
        <f>IF(OR(X575="",F575=""),"",X575-F575)</f>
        <v/>
      </c>
      <c r="AN575" s="124">
        <f>IF(OR(Y575="",G575=""),"",Y575-G575)</f>
        <v/>
      </c>
      <c r="AO575" s="124">
        <f>IF(OR(Z575="",H575=""),"",Z575-H575)</f>
        <v/>
      </c>
      <c r="AP575" s="124">
        <f>IF(OR(AA575="",I575=""),"",AA575-I575)</f>
        <v/>
      </c>
      <c r="AQ575" s="90">
        <f>IF(OR(AB575="",J575=""),"",AB575-J575)</f>
        <v/>
      </c>
      <c r="AR575" s="39" t="n"/>
      <c r="AS575" s="332" t="n"/>
      <c r="AT575" s="39" t="n"/>
    </row>
    <row r="576" ht="13.5" customHeight="1" s="279">
      <c r="B576" s="294" t="n"/>
      <c r="C576" s="29" t="inlineStr">
        <is>
          <t>r04</t>
        </is>
      </c>
      <c r="D576" s="191" t="n"/>
      <c r="E576" s="58" t="n"/>
      <c r="F576" s="192" t="n"/>
      <c r="G576" s="192" t="n"/>
      <c r="H576" s="192" t="n"/>
      <c r="I576" s="64" t="n"/>
      <c r="J576" s="64" t="n"/>
      <c r="K576" s="193" t="n"/>
      <c r="L576" s="357" t="n"/>
      <c r="M576" s="357" t="n"/>
      <c r="N576" s="58" t="n"/>
      <c r="O576" s="30" t="n"/>
      <c r="P576" s="58" t="n"/>
      <c r="Q576" s="30" t="n"/>
      <c r="R576" s="135" t="n"/>
      <c r="S576" s="301" t="n"/>
      <c r="T576" s="294" t="n"/>
      <c r="U576" s="29" t="inlineStr">
        <is>
          <t>r04</t>
        </is>
      </c>
      <c r="V576" s="191" t="n"/>
      <c r="W576" s="58" t="n"/>
      <c r="X576" s="192" t="n"/>
      <c r="Y576" s="192" t="n"/>
      <c r="Z576" s="192" t="n"/>
      <c r="AA576" s="64" t="n"/>
      <c r="AB576" s="64" t="n"/>
      <c r="AC576" s="193" t="n"/>
      <c r="AD576" s="357" t="n"/>
      <c r="AE576" s="357" t="n"/>
      <c r="AF576" s="58" t="n"/>
      <c r="AG576" s="30" t="n"/>
      <c r="AH576" s="58" t="n"/>
      <c r="AI576" s="30" t="n"/>
      <c r="AJ576" s="135" t="n"/>
      <c r="AK576" s="212" t="n"/>
      <c r="AL576" s="294" t="n"/>
      <c r="AM576" s="89">
        <f>IF(OR(X576="",F576=""),"",X576-F576)</f>
        <v/>
      </c>
      <c r="AN576" s="124">
        <f>IF(OR(Y576="",G576=""),"",Y576-G576)</f>
        <v/>
      </c>
      <c r="AO576" s="124">
        <f>IF(OR(Z576="",H576=""),"",Z576-H576)</f>
        <v/>
      </c>
      <c r="AP576" s="124">
        <f>IF(OR(AA576="",I576=""),"",AA576-I576)</f>
        <v/>
      </c>
      <c r="AQ576" s="90">
        <f>IF(OR(AB576="",J576=""),"",AB576-J576)</f>
        <v/>
      </c>
      <c r="AR576" s="39" t="n"/>
      <c r="AS576" s="332" t="n"/>
      <c r="AT576" s="39" t="n"/>
    </row>
    <row r="577" ht="13.5" customHeight="1" s="279" thickBot="1">
      <c r="B577" s="295" t="n"/>
      <c r="C577" s="29" t="n"/>
      <c r="D577" s="191" t="n"/>
      <c r="E577" s="58" t="n"/>
      <c r="F577" s="194" t="n"/>
      <c r="G577" s="194" t="n"/>
      <c r="H577" s="194" t="n"/>
      <c r="I577" s="58" t="n"/>
      <c r="J577" s="58" t="n"/>
      <c r="K577" s="193" t="n"/>
      <c r="L577" s="357" t="n"/>
      <c r="M577" s="357" t="n"/>
      <c r="N577" s="58" t="n"/>
      <c r="O577" s="30" t="n"/>
      <c r="P577" s="58" t="n"/>
      <c r="Q577" s="30" t="n"/>
      <c r="R577" s="189" t="n"/>
      <c r="S577" s="301" t="n"/>
      <c r="T577" s="295" t="n"/>
      <c r="U577" s="29" t="n"/>
      <c r="V577" s="191" t="n"/>
      <c r="W577" s="58" t="n"/>
      <c r="X577" s="194" t="n"/>
      <c r="Y577" s="194" t="n"/>
      <c r="Z577" s="194" t="n"/>
      <c r="AA577" s="58" t="n"/>
      <c r="AB577" s="58" t="n"/>
      <c r="AC577" s="193" t="n"/>
      <c r="AD577" s="357" t="n"/>
      <c r="AE577" s="357" t="n"/>
      <c r="AF577" s="58" t="n"/>
      <c r="AG577" s="30" t="n"/>
      <c r="AH577" s="58" t="n"/>
      <c r="AI577" s="30" t="n"/>
      <c r="AJ577" s="189" t="n"/>
      <c r="AK577" s="212" t="n"/>
      <c r="AL577" s="295" t="n"/>
      <c r="AM577" s="125">
        <f>IF(OR(X577="",F577=""),"",X577-F577)</f>
        <v/>
      </c>
      <c r="AN577" s="126">
        <f>IF(OR(Y577="",G577=""),"",Y577-G577)</f>
        <v/>
      </c>
      <c r="AO577" s="126">
        <f>IF(OR(Z577="",H577=""),"",Z577-H577)</f>
        <v/>
      </c>
      <c r="AP577" s="126">
        <f>IF(OR(AA577="",I577=""),"",AA577-I577)</f>
        <v/>
      </c>
      <c r="AQ577" s="127">
        <f>IF(OR(AB577="",J577=""),"",AB577-J577)</f>
        <v/>
      </c>
      <c r="AR577" s="39" t="n"/>
      <c r="AS577" s="332" t="n"/>
      <c r="AT577" s="39" t="n"/>
    </row>
    <row r="578" ht="13.5" customHeight="1" s="279">
      <c r="B578" s="293" t="inlineStr">
        <is>
          <t>v109</t>
        </is>
      </c>
      <c r="C578" s="27" t="inlineStr">
        <is>
          <t>r01</t>
        </is>
      </c>
      <c r="D578" s="41" t="n"/>
      <c r="E578" s="57" t="n"/>
      <c r="F578" s="99" t="n"/>
      <c r="G578" s="99" t="n"/>
      <c r="H578" s="99" t="n"/>
      <c r="I578" s="62" t="n"/>
      <c r="J578" s="62" t="n"/>
      <c r="K578" s="63" t="n"/>
      <c r="L578" s="356" t="n"/>
      <c r="M578" s="356" t="n"/>
      <c r="N578" s="57" t="n"/>
      <c r="O578" s="28" t="n"/>
      <c r="P578" s="57" t="n"/>
      <c r="Q578" s="28" t="n"/>
      <c r="R578" s="134" t="n"/>
      <c r="S578" s="301" t="n"/>
      <c r="T578" s="293" t="inlineStr">
        <is>
          <t>v109</t>
        </is>
      </c>
      <c r="U578" s="27" t="inlineStr">
        <is>
          <t>r01</t>
        </is>
      </c>
      <c r="V578" s="41" t="n"/>
      <c r="W578" s="57" t="n"/>
      <c r="X578" s="99" t="n"/>
      <c r="Y578" s="99" t="n"/>
      <c r="Z578" s="99" t="n"/>
      <c r="AA578" s="62" t="n"/>
      <c r="AB578" s="62" t="n"/>
      <c r="AC578" s="63" t="n"/>
      <c r="AD578" s="356" t="n"/>
      <c r="AE578" s="356" t="n"/>
      <c r="AF578" s="57" t="n"/>
      <c r="AG578" s="28" t="n"/>
      <c r="AH578" s="57" t="n"/>
      <c r="AI578" s="28" t="n"/>
      <c r="AJ578" s="134" t="n"/>
      <c r="AK578" s="212" t="n"/>
      <c r="AL578" s="293" t="inlineStr">
        <is>
          <t>v109</t>
        </is>
      </c>
      <c r="AM578" s="122">
        <f>IF(OR(X578="",F578=""),"",X578-F578)</f>
        <v/>
      </c>
      <c r="AN578" s="98">
        <f>IF(OR(Y578="",G578=""),"",Y578-G578)</f>
        <v/>
      </c>
      <c r="AO578" s="98">
        <f>IF(OR(Z578="",H578=""),"",Z578-H578)</f>
        <v/>
      </c>
      <c r="AP578" s="98">
        <f>IF(OR(AA578="",I578=""),"",AA578-I578)</f>
        <v/>
      </c>
      <c r="AQ578" s="123">
        <f>IF(OR(AB578="",J578=""),"",AB578-J578)</f>
        <v/>
      </c>
      <c r="AR578" s="39" t="n"/>
      <c r="AS578" s="332" t="n"/>
      <c r="AT578" s="39" t="n"/>
    </row>
    <row r="579" ht="13.5" customHeight="1" s="279">
      <c r="B579" s="294" t="n"/>
      <c r="C579" s="29" t="inlineStr">
        <is>
          <t>r02</t>
        </is>
      </c>
      <c r="D579" s="191" t="n"/>
      <c r="E579" s="58" t="n"/>
      <c r="F579" s="192" t="n"/>
      <c r="G579" s="192" t="n"/>
      <c r="H579" s="192" t="n"/>
      <c r="I579" s="64" t="n"/>
      <c r="J579" s="64" t="n"/>
      <c r="K579" s="193" t="n"/>
      <c r="L579" s="357" t="n"/>
      <c r="M579" s="357" t="n"/>
      <c r="N579" s="58" t="n"/>
      <c r="O579" s="30" t="n"/>
      <c r="P579" s="58" t="n"/>
      <c r="Q579" s="30" t="n"/>
      <c r="R579" s="135" t="n"/>
      <c r="S579" s="301" t="n"/>
      <c r="T579" s="294" t="n"/>
      <c r="U579" s="29" t="inlineStr">
        <is>
          <t>r02</t>
        </is>
      </c>
      <c r="V579" s="191" t="n"/>
      <c r="W579" s="58" t="n"/>
      <c r="X579" s="192" t="n"/>
      <c r="Y579" s="192" t="n"/>
      <c r="Z579" s="192" t="n"/>
      <c r="AA579" s="64" t="n"/>
      <c r="AB579" s="64" t="n"/>
      <c r="AC579" s="193" t="n"/>
      <c r="AD579" s="357" t="n"/>
      <c r="AE579" s="357" t="n"/>
      <c r="AF579" s="58" t="n"/>
      <c r="AG579" s="30" t="n"/>
      <c r="AH579" s="58" t="n"/>
      <c r="AI579" s="30" t="n"/>
      <c r="AJ579" s="135" t="n"/>
      <c r="AK579" s="212" t="n"/>
      <c r="AL579" s="294" t="n"/>
      <c r="AM579" s="89">
        <f>IF(OR(X579="",F579=""),"",X579-F579)</f>
        <v/>
      </c>
      <c r="AN579" s="124">
        <f>IF(OR(Y579="",G579=""),"",Y579-G579)</f>
        <v/>
      </c>
      <c r="AO579" s="124">
        <f>IF(OR(Z579="",H579=""),"",Z579-H579)</f>
        <v/>
      </c>
      <c r="AP579" s="124">
        <f>IF(OR(AA579="",I579=""),"",AA579-I579)</f>
        <v/>
      </c>
      <c r="AQ579" s="90">
        <f>IF(OR(AB579="",J579=""),"",AB579-J579)</f>
        <v/>
      </c>
      <c r="AR579" s="39" t="n"/>
      <c r="AS579" s="332" t="n"/>
      <c r="AT579" s="39" t="n"/>
    </row>
    <row r="580" ht="13.5" customHeight="1" s="279">
      <c r="B580" s="294" t="n"/>
      <c r="C580" s="29" t="inlineStr">
        <is>
          <t>r03</t>
        </is>
      </c>
      <c r="D580" s="191" t="n"/>
      <c r="E580" s="58" t="n"/>
      <c r="F580" s="192" t="n"/>
      <c r="G580" s="192" t="n"/>
      <c r="H580" s="192" t="n"/>
      <c r="I580" s="64" t="n"/>
      <c r="J580" s="64" t="n"/>
      <c r="K580" s="193" t="n"/>
      <c r="L580" s="357" t="n"/>
      <c r="M580" s="357" t="n"/>
      <c r="N580" s="58" t="n"/>
      <c r="O580" s="30" t="n"/>
      <c r="P580" s="58" t="n"/>
      <c r="Q580" s="30" t="n"/>
      <c r="R580" s="135" t="n"/>
      <c r="S580" s="301" t="n"/>
      <c r="T580" s="294" t="n"/>
      <c r="U580" s="29" t="inlineStr">
        <is>
          <t>r03</t>
        </is>
      </c>
      <c r="V580" s="191" t="n"/>
      <c r="W580" s="58" t="n"/>
      <c r="X580" s="192" t="n"/>
      <c r="Y580" s="192" t="n"/>
      <c r="Z580" s="192" t="n"/>
      <c r="AA580" s="64" t="n"/>
      <c r="AB580" s="64" t="n"/>
      <c r="AC580" s="193" t="n"/>
      <c r="AD580" s="357" t="n"/>
      <c r="AE580" s="357" t="n"/>
      <c r="AF580" s="58" t="n"/>
      <c r="AG580" s="30" t="n"/>
      <c r="AH580" s="58" t="n"/>
      <c r="AI580" s="30" t="n"/>
      <c r="AJ580" s="135" t="n"/>
      <c r="AK580" s="212" t="n"/>
      <c r="AL580" s="294" t="n"/>
      <c r="AM580" s="89">
        <f>IF(OR(X580="",F580=""),"",X580-F580)</f>
        <v/>
      </c>
      <c r="AN580" s="124">
        <f>IF(OR(Y580="",G580=""),"",Y580-G580)</f>
        <v/>
      </c>
      <c r="AO580" s="124">
        <f>IF(OR(Z580="",H580=""),"",Z580-H580)</f>
        <v/>
      </c>
      <c r="AP580" s="124">
        <f>IF(OR(AA580="",I580=""),"",AA580-I580)</f>
        <v/>
      </c>
      <c r="AQ580" s="90">
        <f>IF(OR(AB580="",J580=""),"",AB580-J580)</f>
        <v/>
      </c>
      <c r="AR580" s="39" t="n"/>
      <c r="AS580" s="332" t="n"/>
      <c r="AT580" s="39" t="n"/>
    </row>
    <row r="581" ht="13.5" customHeight="1" s="279">
      <c r="B581" s="294" t="n"/>
      <c r="C581" s="29" t="inlineStr">
        <is>
          <t>r04</t>
        </is>
      </c>
      <c r="D581" s="191" t="n"/>
      <c r="E581" s="58" t="n"/>
      <c r="F581" s="192" t="n"/>
      <c r="G581" s="192" t="n"/>
      <c r="H581" s="192" t="n"/>
      <c r="I581" s="64" t="n"/>
      <c r="J581" s="64" t="n"/>
      <c r="K581" s="193" t="n"/>
      <c r="L581" s="357" t="n"/>
      <c r="M581" s="357" t="n"/>
      <c r="N581" s="58" t="n"/>
      <c r="O581" s="30" t="n"/>
      <c r="P581" s="58" t="n"/>
      <c r="Q581" s="30" t="n"/>
      <c r="R581" s="135" t="n"/>
      <c r="S581" s="301" t="n"/>
      <c r="T581" s="294" t="n"/>
      <c r="U581" s="29" t="inlineStr">
        <is>
          <t>r04</t>
        </is>
      </c>
      <c r="V581" s="191" t="n"/>
      <c r="W581" s="58" t="n"/>
      <c r="X581" s="192" t="n"/>
      <c r="Y581" s="192" t="n"/>
      <c r="Z581" s="192" t="n"/>
      <c r="AA581" s="64" t="n"/>
      <c r="AB581" s="64" t="n"/>
      <c r="AC581" s="193" t="n"/>
      <c r="AD581" s="357" t="n"/>
      <c r="AE581" s="357" t="n"/>
      <c r="AF581" s="58" t="n"/>
      <c r="AG581" s="30" t="n"/>
      <c r="AH581" s="58" t="n"/>
      <c r="AI581" s="30" t="n"/>
      <c r="AJ581" s="135" t="n"/>
      <c r="AK581" s="212" t="n"/>
      <c r="AL581" s="294" t="n"/>
      <c r="AM581" s="89">
        <f>IF(OR(X581="",F581=""),"",X581-F581)</f>
        <v/>
      </c>
      <c r="AN581" s="124">
        <f>IF(OR(Y581="",G581=""),"",Y581-G581)</f>
        <v/>
      </c>
      <c r="AO581" s="124">
        <f>IF(OR(Z581="",H581=""),"",Z581-H581)</f>
        <v/>
      </c>
      <c r="AP581" s="124">
        <f>IF(OR(AA581="",I581=""),"",AA581-I581)</f>
        <v/>
      </c>
      <c r="AQ581" s="90">
        <f>IF(OR(AB581="",J581=""),"",AB581-J581)</f>
        <v/>
      </c>
      <c r="AR581" s="39" t="n"/>
      <c r="AS581" s="332" t="n"/>
      <c r="AT581" s="39" t="n"/>
    </row>
    <row r="582" ht="13.5" customHeight="1" s="279" thickBot="1">
      <c r="B582" s="295" t="n"/>
      <c r="C582" s="29" t="n"/>
      <c r="D582" s="191" t="n"/>
      <c r="E582" s="58" t="n"/>
      <c r="F582" s="194" t="n"/>
      <c r="G582" s="194" t="n"/>
      <c r="H582" s="194" t="n"/>
      <c r="I582" s="58" t="n"/>
      <c r="J582" s="58" t="n"/>
      <c r="K582" s="193" t="n"/>
      <c r="L582" s="357" t="n"/>
      <c r="M582" s="357" t="n"/>
      <c r="N582" s="58" t="n"/>
      <c r="O582" s="30" t="n"/>
      <c r="P582" s="58" t="n"/>
      <c r="Q582" s="30" t="n"/>
      <c r="R582" s="189" t="n"/>
      <c r="S582" s="301" t="n"/>
      <c r="T582" s="295" t="n"/>
      <c r="U582" s="29" t="n"/>
      <c r="V582" s="191" t="n"/>
      <c r="W582" s="58" t="n"/>
      <c r="X582" s="194" t="n"/>
      <c r="Y582" s="194" t="n"/>
      <c r="Z582" s="194" t="n"/>
      <c r="AA582" s="58" t="n"/>
      <c r="AB582" s="58" t="n"/>
      <c r="AC582" s="193" t="n"/>
      <c r="AD582" s="357" t="n"/>
      <c r="AE582" s="357" t="n"/>
      <c r="AF582" s="58" t="n"/>
      <c r="AG582" s="30" t="n"/>
      <c r="AH582" s="58" t="n"/>
      <c r="AI582" s="30" t="n"/>
      <c r="AJ582" s="189" t="n"/>
      <c r="AK582" s="212" t="n"/>
      <c r="AL582" s="295" t="n"/>
      <c r="AM582" s="125">
        <f>IF(OR(X582="",F582=""),"",X582-F582)</f>
        <v/>
      </c>
      <c r="AN582" s="126">
        <f>IF(OR(Y582="",G582=""),"",Y582-G582)</f>
        <v/>
      </c>
      <c r="AO582" s="126">
        <f>IF(OR(Z582="",H582=""),"",Z582-H582)</f>
        <v/>
      </c>
      <c r="AP582" s="126">
        <f>IF(OR(AA582="",I582=""),"",AA582-I582)</f>
        <v/>
      </c>
      <c r="AQ582" s="127">
        <f>IF(OR(AB582="",J582=""),"",AB582-J582)</f>
        <v/>
      </c>
      <c r="AR582" s="39" t="n"/>
      <c r="AS582" s="332" t="n"/>
      <c r="AT582" s="39" t="n"/>
    </row>
    <row r="583" ht="13.5" customHeight="1" s="279">
      <c r="B583" s="293" t="inlineStr">
        <is>
          <t>v110</t>
        </is>
      </c>
      <c r="C583" s="27" t="inlineStr">
        <is>
          <t>r01</t>
        </is>
      </c>
      <c r="D583" s="41" t="n"/>
      <c r="E583" s="57" t="n"/>
      <c r="F583" s="99" t="n"/>
      <c r="G583" s="99" t="n"/>
      <c r="H583" s="99" t="n"/>
      <c r="I583" s="62" t="n"/>
      <c r="J583" s="62" t="n"/>
      <c r="K583" s="63" t="n"/>
      <c r="L583" s="356" t="n"/>
      <c r="M583" s="356" t="n"/>
      <c r="N583" s="57" t="n"/>
      <c r="O583" s="28" t="n"/>
      <c r="P583" s="57" t="n"/>
      <c r="Q583" s="28" t="n"/>
      <c r="R583" s="134" t="n"/>
      <c r="S583" s="301" t="n"/>
      <c r="T583" s="293" t="inlineStr">
        <is>
          <t>v110</t>
        </is>
      </c>
      <c r="U583" s="27" t="inlineStr">
        <is>
          <t>r01</t>
        </is>
      </c>
      <c r="V583" s="41" t="n"/>
      <c r="W583" s="57" t="n"/>
      <c r="X583" s="99" t="n"/>
      <c r="Y583" s="99" t="n"/>
      <c r="Z583" s="99" t="n"/>
      <c r="AA583" s="62" t="n"/>
      <c r="AB583" s="62" t="n"/>
      <c r="AC583" s="63" t="n"/>
      <c r="AD583" s="356" t="n"/>
      <c r="AE583" s="356" t="n"/>
      <c r="AF583" s="57" t="n"/>
      <c r="AG583" s="28" t="n"/>
      <c r="AH583" s="57" t="n"/>
      <c r="AI583" s="28" t="n"/>
      <c r="AJ583" s="134" t="n"/>
      <c r="AK583" s="212" t="n"/>
      <c r="AL583" s="293" t="inlineStr">
        <is>
          <t>v110</t>
        </is>
      </c>
      <c r="AM583" s="122">
        <f>IF(OR(X583="",F583=""),"",X583-F583)</f>
        <v/>
      </c>
      <c r="AN583" s="98">
        <f>IF(OR(Y583="",G583=""),"",Y583-G583)</f>
        <v/>
      </c>
      <c r="AO583" s="98">
        <f>IF(OR(Z583="",H583=""),"",Z583-H583)</f>
        <v/>
      </c>
      <c r="AP583" s="98">
        <f>IF(OR(AA583="",I583=""),"",AA583-I583)</f>
        <v/>
      </c>
      <c r="AQ583" s="123">
        <f>IF(OR(AB583="",J583=""),"",AB583-J583)</f>
        <v/>
      </c>
      <c r="AR583" s="39" t="n"/>
      <c r="AS583" s="332" t="n"/>
      <c r="AT583" s="39" t="n"/>
    </row>
    <row r="584" ht="13.5" customHeight="1" s="279">
      <c r="B584" s="294" t="n"/>
      <c r="C584" s="29" t="inlineStr">
        <is>
          <t>r02</t>
        </is>
      </c>
      <c r="D584" s="191" t="n"/>
      <c r="E584" s="58" t="n"/>
      <c r="F584" s="192" t="n"/>
      <c r="G584" s="192" t="n"/>
      <c r="H584" s="192" t="n"/>
      <c r="I584" s="64" t="n"/>
      <c r="J584" s="64" t="n"/>
      <c r="K584" s="193" t="n"/>
      <c r="L584" s="357" t="n"/>
      <c r="M584" s="357" t="n"/>
      <c r="N584" s="58" t="n"/>
      <c r="O584" s="30" t="n"/>
      <c r="P584" s="58" t="n"/>
      <c r="Q584" s="30" t="n"/>
      <c r="R584" s="135" t="n"/>
      <c r="S584" s="301" t="n"/>
      <c r="T584" s="294" t="n"/>
      <c r="U584" s="29" t="inlineStr">
        <is>
          <t>r02</t>
        </is>
      </c>
      <c r="V584" s="191" t="n"/>
      <c r="W584" s="58" t="n"/>
      <c r="X584" s="192" t="n"/>
      <c r="Y584" s="192" t="n"/>
      <c r="Z584" s="192" t="n"/>
      <c r="AA584" s="64" t="n"/>
      <c r="AB584" s="64" t="n"/>
      <c r="AC584" s="193" t="n"/>
      <c r="AD584" s="357" t="n"/>
      <c r="AE584" s="357" t="n"/>
      <c r="AF584" s="58" t="n"/>
      <c r="AG584" s="30" t="n"/>
      <c r="AH584" s="58" t="n"/>
      <c r="AI584" s="30" t="n"/>
      <c r="AJ584" s="135" t="n"/>
      <c r="AK584" s="212" t="n"/>
      <c r="AL584" s="294" t="n"/>
      <c r="AM584" s="89">
        <f>IF(OR(X584="",F584=""),"",X584-F584)</f>
        <v/>
      </c>
      <c r="AN584" s="124">
        <f>IF(OR(Y584="",G584=""),"",Y584-G584)</f>
        <v/>
      </c>
      <c r="AO584" s="124">
        <f>IF(OR(Z584="",H584=""),"",Z584-H584)</f>
        <v/>
      </c>
      <c r="AP584" s="124">
        <f>IF(OR(AA584="",I584=""),"",AA584-I584)</f>
        <v/>
      </c>
      <c r="AQ584" s="90">
        <f>IF(OR(AB584="",J584=""),"",AB584-J584)</f>
        <v/>
      </c>
      <c r="AR584" s="39" t="n"/>
      <c r="AS584" s="332" t="n"/>
      <c r="AT584" s="39" t="n"/>
    </row>
    <row r="585" ht="13.5" customHeight="1" s="279">
      <c r="B585" s="294" t="n"/>
      <c r="C585" s="29" t="inlineStr">
        <is>
          <t>r03</t>
        </is>
      </c>
      <c r="D585" s="191" t="n"/>
      <c r="E585" s="58" t="n"/>
      <c r="F585" s="192" t="n"/>
      <c r="G585" s="192" t="n"/>
      <c r="H585" s="192" t="n"/>
      <c r="I585" s="64" t="n"/>
      <c r="J585" s="64" t="n"/>
      <c r="K585" s="193" t="n"/>
      <c r="L585" s="357" t="n"/>
      <c r="M585" s="357" t="n"/>
      <c r="N585" s="58" t="n"/>
      <c r="O585" s="30" t="n"/>
      <c r="P585" s="58" t="n"/>
      <c r="Q585" s="30" t="n"/>
      <c r="R585" s="135" t="n"/>
      <c r="S585" s="301" t="n"/>
      <c r="T585" s="294" t="n"/>
      <c r="U585" s="29" t="inlineStr">
        <is>
          <t>r03</t>
        </is>
      </c>
      <c r="V585" s="191" t="n"/>
      <c r="W585" s="58" t="n"/>
      <c r="X585" s="192" t="n"/>
      <c r="Y585" s="192" t="n"/>
      <c r="Z585" s="192" t="n"/>
      <c r="AA585" s="64" t="n"/>
      <c r="AB585" s="64" t="n"/>
      <c r="AC585" s="193" t="n"/>
      <c r="AD585" s="357" t="n"/>
      <c r="AE585" s="357" t="n"/>
      <c r="AF585" s="58" t="n"/>
      <c r="AG585" s="30" t="n"/>
      <c r="AH585" s="58" t="n"/>
      <c r="AI585" s="30" t="n"/>
      <c r="AJ585" s="135" t="n"/>
      <c r="AK585" s="212" t="n"/>
      <c r="AL585" s="294" t="n"/>
      <c r="AM585" s="89">
        <f>IF(OR(X585="",F585=""),"",X585-F585)</f>
        <v/>
      </c>
      <c r="AN585" s="124">
        <f>IF(OR(Y585="",G585=""),"",Y585-G585)</f>
        <v/>
      </c>
      <c r="AO585" s="124">
        <f>IF(OR(Z585="",H585=""),"",Z585-H585)</f>
        <v/>
      </c>
      <c r="AP585" s="124">
        <f>IF(OR(AA585="",I585=""),"",AA585-I585)</f>
        <v/>
      </c>
      <c r="AQ585" s="90">
        <f>IF(OR(AB585="",J585=""),"",AB585-J585)</f>
        <v/>
      </c>
      <c r="AR585" s="39" t="n"/>
      <c r="AS585" s="332" t="n"/>
      <c r="AT585" s="39" t="n"/>
    </row>
    <row r="586" ht="13.5" customHeight="1" s="279">
      <c r="B586" s="294" t="n"/>
      <c r="C586" s="29" t="inlineStr">
        <is>
          <t>r04</t>
        </is>
      </c>
      <c r="D586" s="191" t="n"/>
      <c r="E586" s="58" t="n"/>
      <c r="F586" s="192" t="n"/>
      <c r="G586" s="192" t="n"/>
      <c r="H586" s="192" t="n"/>
      <c r="I586" s="64" t="n"/>
      <c r="J586" s="64" t="n"/>
      <c r="K586" s="193" t="n"/>
      <c r="L586" s="357" t="n"/>
      <c r="M586" s="357" t="n"/>
      <c r="N586" s="58" t="n"/>
      <c r="O586" s="30" t="n"/>
      <c r="P586" s="58" t="n"/>
      <c r="Q586" s="30" t="n"/>
      <c r="R586" s="135" t="n"/>
      <c r="S586" s="301" t="n"/>
      <c r="T586" s="294" t="n"/>
      <c r="U586" s="29" t="inlineStr">
        <is>
          <t>r04</t>
        </is>
      </c>
      <c r="V586" s="191" t="n"/>
      <c r="W586" s="58" t="n"/>
      <c r="X586" s="192" t="n"/>
      <c r="Y586" s="192" t="n"/>
      <c r="Z586" s="192" t="n"/>
      <c r="AA586" s="64" t="n"/>
      <c r="AB586" s="64" t="n"/>
      <c r="AC586" s="193" t="n"/>
      <c r="AD586" s="357" t="n"/>
      <c r="AE586" s="357" t="n"/>
      <c r="AF586" s="58" t="n"/>
      <c r="AG586" s="30" t="n"/>
      <c r="AH586" s="58" t="n"/>
      <c r="AI586" s="30" t="n"/>
      <c r="AJ586" s="135" t="n"/>
      <c r="AK586" s="212" t="n"/>
      <c r="AL586" s="294" t="n"/>
      <c r="AM586" s="89">
        <f>IF(OR(X586="",F586=""),"",X586-F586)</f>
        <v/>
      </c>
      <c r="AN586" s="124">
        <f>IF(OR(Y586="",G586=""),"",Y586-G586)</f>
        <v/>
      </c>
      <c r="AO586" s="124">
        <f>IF(OR(Z586="",H586=""),"",Z586-H586)</f>
        <v/>
      </c>
      <c r="AP586" s="124">
        <f>IF(OR(AA586="",I586=""),"",AA586-I586)</f>
        <v/>
      </c>
      <c r="AQ586" s="90">
        <f>IF(OR(AB586="",J586=""),"",AB586-J586)</f>
        <v/>
      </c>
      <c r="AR586" s="39" t="n"/>
      <c r="AS586" s="332" t="n"/>
      <c r="AT586" s="39" t="n"/>
    </row>
    <row r="587" ht="13.5" customHeight="1" s="279" thickBot="1">
      <c r="B587" s="295" t="n"/>
      <c r="C587" s="29" t="n"/>
      <c r="D587" s="191" t="n"/>
      <c r="E587" s="58" t="n"/>
      <c r="F587" s="194" t="n"/>
      <c r="G587" s="194" t="n"/>
      <c r="H587" s="194" t="n"/>
      <c r="I587" s="58" t="n"/>
      <c r="J587" s="58" t="n"/>
      <c r="K587" s="193" t="n"/>
      <c r="L587" s="357" t="n"/>
      <c r="M587" s="357" t="n"/>
      <c r="N587" s="58" t="n"/>
      <c r="O587" s="30" t="n"/>
      <c r="P587" s="58" t="n"/>
      <c r="Q587" s="30" t="n"/>
      <c r="R587" s="189" t="n"/>
      <c r="S587" s="301" t="n"/>
      <c r="T587" s="295" t="n"/>
      <c r="U587" s="29" t="n"/>
      <c r="V587" s="191" t="n"/>
      <c r="W587" s="58" t="n"/>
      <c r="X587" s="194" t="n"/>
      <c r="Y587" s="194" t="n"/>
      <c r="Z587" s="194" t="n"/>
      <c r="AA587" s="58" t="n"/>
      <c r="AB587" s="58" t="n"/>
      <c r="AC587" s="193" t="n"/>
      <c r="AD587" s="357" t="n"/>
      <c r="AE587" s="357" t="n"/>
      <c r="AF587" s="58" t="n"/>
      <c r="AG587" s="30" t="n"/>
      <c r="AH587" s="58" t="n"/>
      <c r="AI587" s="30" t="n"/>
      <c r="AJ587" s="189" t="n"/>
      <c r="AK587" s="212" t="n"/>
      <c r="AL587" s="295" t="n"/>
      <c r="AM587" s="125">
        <f>IF(OR(X587="",F587=""),"",X587-F587)</f>
        <v/>
      </c>
      <c r="AN587" s="126">
        <f>IF(OR(Y587="",G587=""),"",Y587-G587)</f>
        <v/>
      </c>
      <c r="AO587" s="126">
        <f>IF(OR(Z587="",H587=""),"",Z587-H587)</f>
        <v/>
      </c>
      <c r="AP587" s="126">
        <f>IF(OR(AA587="",I587=""),"",AA587-I587)</f>
        <v/>
      </c>
      <c r="AQ587" s="127">
        <f>IF(OR(AB587="",J587=""),"",AB587-J587)</f>
        <v/>
      </c>
      <c r="AR587" s="39" t="n"/>
      <c r="AS587" s="332" t="n"/>
      <c r="AT587" s="39" t="n"/>
    </row>
    <row r="588" ht="13.5" customHeight="1" s="279">
      <c r="B588" s="293" t="inlineStr">
        <is>
          <t>v111</t>
        </is>
      </c>
      <c r="C588" s="27" t="inlineStr">
        <is>
          <t>r01</t>
        </is>
      </c>
      <c r="D588" s="41" t="n"/>
      <c r="E588" s="57" t="n"/>
      <c r="F588" s="99" t="n"/>
      <c r="G588" s="99" t="n"/>
      <c r="H588" s="99" t="n"/>
      <c r="I588" s="62" t="n"/>
      <c r="J588" s="62" t="n"/>
      <c r="K588" s="63" t="n"/>
      <c r="L588" s="356" t="n"/>
      <c r="M588" s="356" t="n"/>
      <c r="N588" s="57" t="n"/>
      <c r="O588" s="28" t="n"/>
      <c r="P588" s="57" t="n"/>
      <c r="Q588" s="28" t="n"/>
      <c r="R588" s="134" t="n"/>
      <c r="S588" s="301" t="n"/>
      <c r="T588" s="293" t="inlineStr">
        <is>
          <t>v111</t>
        </is>
      </c>
      <c r="U588" s="27" t="inlineStr">
        <is>
          <t>r01</t>
        </is>
      </c>
      <c r="V588" s="41" t="n"/>
      <c r="W588" s="57" t="n"/>
      <c r="X588" s="99" t="n"/>
      <c r="Y588" s="99" t="n"/>
      <c r="Z588" s="99" t="n"/>
      <c r="AA588" s="62" t="n"/>
      <c r="AB588" s="62" t="n"/>
      <c r="AC588" s="63" t="n"/>
      <c r="AD588" s="356" t="n"/>
      <c r="AE588" s="356" t="n"/>
      <c r="AF588" s="57" t="n"/>
      <c r="AG588" s="28" t="n"/>
      <c r="AH588" s="57" t="n"/>
      <c r="AI588" s="28" t="n"/>
      <c r="AJ588" s="134" t="n"/>
      <c r="AK588" s="212" t="n"/>
      <c r="AL588" s="293" t="inlineStr">
        <is>
          <t>v111</t>
        </is>
      </c>
      <c r="AM588" s="122">
        <f>IF(OR(X588="",F588=""),"",X588-F588)</f>
        <v/>
      </c>
      <c r="AN588" s="98">
        <f>IF(OR(Y588="",G588=""),"",Y588-G588)</f>
        <v/>
      </c>
      <c r="AO588" s="98">
        <f>IF(OR(Z588="",H588=""),"",Z588-H588)</f>
        <v/>
      </c>
      <c r="AP588" s="98">
        <f>IF(OR(AA588="",I588=""),"",AA588-I588)</f>
        <v/>
      </c>
      <c r="AQ588" s="123">
        <f>IF(OR(AB588="",J588=""),"",AB588-J588)</f>
        <v/>
      </c>
      <c r="AR588" s="39" t="n"/>
      <c r="AS588" s="332" t="n"/>
      <c r="AT588" s="39" t="n"/>
    </row>
    <row r="589" ht="13.5" customHeight="1" s="279">
      <c r="B589" s="294" t="n"/>
      <c r="C589" s="29" t="inlineStr">
        <is>
          <t>r02</t>
        </is>
      </c>
      <c r="D589" s="191" t="n"/>
      <c r="E589" s="58" t="n"/>
      <c r="F589" s="192" t="n"/>
      <c r="G589" s="192" t="n"/>
      <c r="H589" s="192" t="n"/>
      <c r="I589" s="64" t="n"/>
      <c r="J589" s="64" t="n"/>
      <c r="K589" s="193" t="n"/>
      <c r="L589" s="357" t="n"/>
      <c r="M589" s="357" t="n"/>
      <c r="N589" s="58" t="n"/>
      <c r="O589" s="30" t="n"/>
      <c r="P589" s="58" t="n"/>
      <c r="Q589" s="30" t="n"/>
      <c r="R589" s="135" t="n"/>
      <c r="S589" s="301" t="n"/>
      <c r="T589" s="294" t="n"/>
      <c r="U589" s="29" t="inlineStr">
        <is>
          <t>r02</t>
        </is>
      </c>
      <c r="V589" s="191" t="n"/>
      <c r="W589" s="58" t="n"/>
      <c r="X589" s="192" t="n"/>
      <c r="Y589" s="192" t="n"/>
      <c r="Z589" s="192" t="n"/>
      <c r="AA589" s="64" t="n"/>
      <c r="AB589" s="64" t="n"/>
      <c r="AC589" s="193" t="n"/>
      <c r="AD589" s="357" t="n"/>
      <c r="AE589" s="357" t="n"/>
      <c r="AF589" s="58" t="n"/>
      <c r="AG589" s="30" t="n"/>
      <c r="AH589" s="58" t="n"/>
      <c r="AI589" s="30" t="n"/>
      <c r="AJ589" s="135" t="n"/>
      <c r="AK589" s="212" t="n"/>
      <c r="AL589" s="294" t="n"/>
      <c r="AM589" s="89">
        <f>IF(OR(X589="",F589=""),"",X589-F589)</f>
        <v/>
      </c>
      <c r="AN589" s="124">
        <f>IF(OR(Y589="",G589=""),"",Y589-G589)</f>
        <v/>
      </c>
      <c r="AO589" s="124">
        <f>IF(OR(Z589="",H589=""),"",Z589-H589)</f>
        <v/>
      </c>
      <c r="AP589" s="124">
        <f>IF(OR(AA589="",I589=""),"",AA589-I589)</f>
        <v/>
      </c>
      <c r="AQ589" s="90">
        <f>IF(OR(AB589="",J589=""),"",AB589-J589)</f>
        <v/>
      </c>
      <c r="AR589" s="39" t="n"/>
      <c r="AS589" s="332" t="n"/>
      <c r="AT589" s="39" t="n"/>
    </row>
    <row r="590" ht="13.5" customHeight="1" s="279">
      <c r="B590" s="294" t="n"/>
      <c r="C590" s="29" t="inlineStr">
        <is>
          <t>r03</t>
        </is>
      </c>
      <c r="D590" s="191" t="n"/>
      <c r="E590" s="58" t="n"/>
      <c r="F590" s="192" t="n"/>
      <c r="G590" s="192" t="n"/>
      <c r="H590" s="192" t="n"/>
      <c r="I590" s="64" t="n"/>
      <c r="J590" s="64" t="n"/>
      <c r="K590" s="193" t="n"/>
      <c r="L590" s="357" t="n"/>
      <c r="M590" s="357" t="n"/>
      <c r="N590" s="58" t="n"/>
      <c r="O590" s="30" t="n"/>
      <c r="P590" s="58" t="n"/>
      <c r="Q590" s="30" t="n"/>
      <c r="R590" s="135" t="n"/>
      <c r="S590" s="301" t="n"/>
      <c r="T590" s="294" t="n"/>
      <c r="U590" s="29" t="inlineStr">
        <is>
          <t>r03</t>
        </is>
      </c>
      <c r="V590" s="191" t="n"/>
      <c r="W590" s="58" t="n"/>
      <c r="X590" s="192" t="n"/>
      <c r="Y590" s="192" t="n"/>
      <c r="Z590" s="192" t="n"/>
      <c r="AA590" s="64" t="n"/>
      <c r="AB590" s="64" t="n"/>
      <c r="AC590" s="193" t="n"/>
      <c r="AD590" s="357" t="n"/>
      <c r="AE590" s="357" t="n"/>
      <c r="AF590" s="58" t="n"/>
      <c r="AG590" s="30" t="n"/>
      <c r="AH590" s="58" t="n"/>
      <c r="AI590" s="30" t="n"/>
      <c r="AJ590" s="135" t="n"/>
      <c r="AK590" s="212" t="n"/>
      <c r="AL590" s="294" t="n"/>
      <c r="AM590" s="89">
        <f>IF(OR(X590="",F590=""),"",X590-F590)</f>
        <v/>
      </c>
      <c r="AN590" s="124">
        <f>IF(OR(Y590="",G590=""),"",Y590-G590)</f>
        <v/>
      </c>
      <c r="AO590" s="124">
        <f>IF(OR(Z590="",H590=""),"",Z590-H590)</f>
        <v/>
      </c>
      <c r="AP590" s="124">
        <f>IF(OR(AA590="",I590=""),"",AA590-I590)</f>
        <v/>
      </c>
      <c r="AQ590" s="90">
        <f>IF(OR(AB590="",J590=""),"",AB590-J590)</f>
        <v/>
      </c>
      <c r="AR590" s="39" t="n"/>
      <c r="AS590" s="332" t="n"/>
      <c r="AT590" s="39" t="n"/>
    </row>
    <row r="591" ht="13.5" customHeight="1" s="279">
      <c r="B591" s="294" t="n"/>
      <c r="C591" s="29" t="inlineStr">
        <is>
          <t>r04</t>
        </is>
      </c>
      <c r="D591" s="191" t="n"/>
      <c r="E591" s="58" t="n"/>
      <c r="F591" s="192" t="n"/>
      <c r="G591" s="192" t="n"/>
      <c r="H591" s="192" t="n"/>
      <c r="I591" s="64" t="n"/>
      <c r="J591" s="64" t="n"/>
      <c r="K591" s="193" t="n"/>
      <c r="L591" s="357" t="n"/>
      <c r="M591" s="357" t="n"/>
      <c r="N591" s="58" t="n"/>
      <c r="O591" s="30" t="n"/>
      <c r="P591" s="58" t="n"/>
      <c r="Q591" s="30" t="n"/>
      <c r="R591" s="135" t="n"/>
      <c r="S591" s="301" t="n"/>
      <c r="T591" s="294" t="n"/>
      <c r="U591" s="29" t="inlineStr">
        <is>
          <t>r04</t>
        </is>
      </c>
      <c r="V591" s="191" t="n"/>
      <c r="W591" s="58" t="n"/>
      <c r="X591" s="192" t="n"/>
      <c r="Y591" s="192" t="n"/>
      <c r="Z591" s="192" t="n"/>
      <c r="AA591" s="64" t="n"/>
      <c r="AB591" s="64" t="n"/>
      <c r="AC591" s="193" t="n"/>
      <c r="AD591" s="357" t="n"/>
      <c r="AE591" s="357" t="n"/>
      <c r="AF591" s="58" t="n"/>
      <c r="AG591" s="30" t="n"/>
      <c r="AH591" s="58" t="n"/>
      <c r="AI591" s="30" t="n"/>
      <c r="AJ591" s="135" t="n"/>
      <c r="AK591" s="212" t="n"/>
      <c r="AL591" s="294" t="n"/>
      <c r="AM591" s="89">
        <f>IF(OR(X591="",F591=""),"",X591-F591)</f>
        <v/>
      </c>
      <c r="AN591" s="124">
        <f>IF(OR(Y591="",G591=""),"",Y591-G591)</f>
        <v/>
      </c>
      <c r="AO591" s="124">
        <f>IF(OR(Z591="",H591=""),"",Z591-H591)</f>
        <v/>
      </c>
      <c r="AP591" s="124">
        <f>IF(OR(AA591="",I591=""),"",AA591-I591)</f>
        <v/>
      </c>
      <c r="AQ591" s="90">
        <f>IF(OR(AB591="",J591=""),"",AB591-J591)</f>
        <v/>
      </c>
      <c r="AR591" s="39" t="n"/>
      <c r="AS591" s="332" t="n"/>
      <c r="AT591" s="39" t="n"/>
    </row>
    <row r="592" ht="13.5" customHeight="1" s="279" thickBot="1">
      <c r="B592" s="295" t="n"/>
      <c r="C592" s="29" t="n"/>
      <c r="D592" s="191" t="n"/>
      <c r="E592" s="58" t="n"/>
      <c r="F592" s="194" t="n"/>
      <c r="G592" s="194" t="n"/>
      <c r="H592" s="194" t="n"/>
      <c r="I592" s="58" t="n"/>
      <c r="J592" s="58" t="n"/>
      <c r="K592" s="193" t="n"/>
      <c r="L592" s="357" t="n"/>
      <c r="M592" s="357" t="n"/>
      <c r="N592" s="58" t="n"/>
      <c r="O592" s="30" t="n"/>
      <c r="P592" s="58" t="n"/>
      <c r="Q592" s="30" t="n"/>
      <c r="R592" s="189" t="n"/>
      <c r="S592" s="301" t="n"/>
      <c r="T592" s="295" t="n"/>
      <c r="U592" s="29" t="n"/>
      <c r="V592" s="191" t="n"/>
      <c r="W592" s="58" t="n"/>
      <c r="X592" s="194" t="n"/>
      <c r="Y592" s="194" t="n"/>
      <c r="Z592" s="194" t="n"/>
      <c r="AA592" s="58" t="n"/>
      <c r="AB592" s="58" t="n"/>
      <c r="AC592" s="193" t="n"/>
      <c r="AD592" s="357" t="n"/>
      <c r="AE592" s="357" t="n"/>
      <c r="AF592" s="58" t="n"/>
      <c r="AG592" s="30" t="n"/>
      <c r="AH592" s="58" t="n"/>
      <c r="AI592" s="30" t="n"/>
      <c r="AJ592" s="189" t="n"/>
      <c r="AK592" s="212" t="n"/>
      <c r="AL592" s="295" t="n"/>
      <c r="AM592" s="125">
        <f>IF(OR(X592="",F592=""),"",X592-F592)</f>
        <v/>
      </c>
      <c r="AN592" s="126">
        <f>IF(OR(Y592="",G592=""),"",Y592-G592)</f>
        <v/>
      </c>
      <c r="AO592" s="126">
        <f>IF(OR(Z592="",H592=""),"",Z592-H592)</f>
        <v/>
      </c>
      <c r="AP592" s="126">
        <f>IF(OR(AA592="",I592=""),"",AA592-I592)</f>
        <v/>
      </c>
      <c r="AQ592" s="127">
        <f>IF(OR(AB592="",J592=""),"",AB592-J592)</f>
        <v/>
      </c>
      <c r="AR592" s="39" t="n"/>
      <c r="AS592" s="332" t="n"/>
      <c r="AT592" s="39" t="n"/>
    </row>
    <row r="593" ht="13.5" customHeight="1" s="279">
      <c r="B593" s="293" t="inlineStr">
        <is>
          <t>v112</t>
        </is>
      </c>
      <c r="C593" s="27" t="inlineStr">
        <is>
          <t>r01</t>
        </is>
      </c>
      <c r="D593" s="41" t="n"/>
      <c r="E593" s="57" t="n"/>
      <c r="F593" s="99" t="n"/>
      <c r="G593" s="99" t="n"/>
      <c r="H593" s="99" t="n"/>
      <c r="I593" s="62" t="n"/>
      <c r="J593" s="62" t="n"/>
      <c r="K593" s="63" t="n"/>
      <c r="L593" s="356" t="n"/>
      <c r="M593" s="356" t="n"/>
      <c r="N593" s="57" t="n"/>
      <c r="O593" s="28" t="n"/>
      <c r="P593" s="57" t="n"/>
      <c r="Q593" s="28" t="n"/>
      <c r="R593" s="134" t="n"/>
      <c r="S593" s="301" t="n"/>
      <c r="T593" s="293" t="inlineStr">
        <is>
          <t>v112</t>
        </is>
      </c>
      <c r="U593" s="27" t="inlineStr">
        <is>
          <t>r01</t>
        </is>
      </c>
      <c r="V593" s="41" t="n"/>
      <c r="W593" s="57" t="n"/>
      <c r="X593" s="99" t="n"/>
      <c r="Y593" s="99" t="n"/>
      <c r="Z593" s="99" t="n"/>
      <c r="AA593" s="62" t="n"/>
      <c r="AB593" s="62" t="n"/>
      <c r="AC593" s="63" t="n"/>
      <c r="AD593" s="356" t="n"/>
      <c r="AE593" s="356" t="n"/>
      <c r="AF593" s="57" t="n"/>
      <c r="AG593" s="28" t="n"/>
      <c r="AH593" s="57" t="n"/>
      <c r="AI593" s="28" t="n"/>
      <c r="AJ593" s="134" t="n"/>
      <c r="AK593" s="212" t="n"/>
      <c r="AL593" s="293" t="inlineStr">
        <is>
          <t>v112</t>
        </is>
      </c>
      <c r="AM593" s="122">
        <f>IF(OR(X593="",F593=""),"",X593-F593)</f>
        <v/>
      </c>
      <c r="AN593" s="98">
        <f>IF(OR(Y593="",G593=""),"",Y593-G593)</f>
        <v/>
      </c>
      <c r="AO593" s="98">
        <f>IF(OR(Z593="",H593=""),"",Z593-H593)</f>
        <v/>
      </c>
      <c r="AP593" s="98">
        <f>IF(OR(AA593="",I593=""),"",AA593-I593)</f>
        <v/>
      </c>
      <c r="AQ593" s="123">
        <f>IF(OR(AB593="",J593=""),"",AB593-J593)</f>
        <v/>
      </c>
      <c r="AR593" s="39" t="n"/>
      <c r="AS593" s="332" t="n"/>
      <c r="AT593" s="39" t="n"/>
    </row>
    <row r="594" ht="13.5" customHeight="1" s="279">
      <c r="B594" s="294" t="n"/>
      <c r="C594" s="29" t="inlineStr">
        <is>
          <t>r02</t>
        </is>
      </c>
      <c r="D594" s="191" t="n"/>
      <c r="E594" s="58" t="n"/>
      <c r="F594" s="192" t="n"/>
      <c r="G594" s="192" t="n"/>
      <c r="H594" s="192" t="n"/>
      <c r="I594" s="64" t="n"/>
      <c r="J594" s="64" t="n"/>
      <c r="K594" s="193" t="n"/>
      <c r="L594" s="357" t="n"/>
      <c r="M594" s="357" t="n"/>
      <c r="N594" s="58" t="n"/>
      <c r="O594" s="30" t="n"/>
      <c r="P594" s="58" t="n"/>
      <c r="Q594" s="30" t="n"/>
      <c r="R594" s="135" t="n"/>
      <c r="S594" s="301" t="n"/>
      <c r="T594" s="294" t="n"/>
      <c r="U594" s="29" t="inlineStr">
        <is>
          <t>r02</t>
        </is>
      </c>
      <c r="V594" s="191" t="n"/>
      <c r="W594" s="58" t="n"/>
      <c r="X594" s="192" t="n"/>
      <c r="Y594" s="192" t="n"/>
      <c r="Z594" s="192" t="n"/>
      <c r="AA594" s="64" t="n"/>
      <c r="AB594" s="64" t="n"/>
      <c r="AC594" s="193" t="n"/>
      <c r="AD594" s="357" t="n"/>
      <c r="AE594" s="357" t="n"/>
      <c r="AF594" s="58" t="n"/>
      <c r="AG594" s="30" t="n"/>
      <c r="AH594" s="58" t="n"/>
      <c r="AI594" s="30" t="n"/>
      <c r="AJ594" s="135" t="n"/>
      <c r="AK594" s="212" t="n"/>
      <c r="AL594" s="294" t="n"/>
      <c r="AM594" s="89">
        <f>IF(OR(X594="",F594=""),"",X594-F594)</f>
        <v/>
      </c>
      <c r="AN594" s="124">
        <f>IF(OR(Y594="",G594=""),"",Y594-G594)</f>
        <v/>
      </c>
      <c r="AO594" s="124">
        <f>IF(OR(Z594="",H594=""),"",Z594-H594)</f>
        <v/>
      </c>
      <c r="AP594" s="124">
        <f>IF(OR(AA594="",I594=""),"",AA594-I594)</f>
        <v/>
      </c>
      <c r="AQ594" s="90">
        <f>IF(OR(AB594="",J594=""),"",AB594-J594)</f>
        <v/>
      </c>
      <c r="AR594" s="39" t="n"/>
      <c r="AS594" s="332" t="n"/>
      <c r="AT594" s="39" t="n"/>
    </row>
    <row r="595" ht="13.5" customHeight="1" s="279">
      <c r="B595" s="294" t="n"/>
      <c r="C595" s="29" t="inlineStr">
        <is>
          <t>r03</t>
        </is>
      </c>
      <c r="D595" s="191" t="n"/>
      <c r="E595" s="58" t="n"/>
      <c r="F595" s="192" t="n"/>
      <c r="G595" s="192" t="n"/>
      <c r="H595" s="192" t="n"/>
      <c r="I595" s="64" t="n"/>
      <c r="J595" s="64" t="n"/>
      <c r="K595" s="193" t="n"/>
      <c r="L595" s="357" t="n"/>
      <c r="M595" s="357" t="n"/>
      <c r="N595" s="58" t="n"/>
      <c r="O595" s="30" t="n"/>
      <c r="P595" s="58" t="n"/>
      <c r="Q595" s="30" t="n"/>
      <c r="R595" s="135" t="n"/>
      <c r="S595" s="301" t="n"/>
      <c r="T595" s="294" t="n"/>
      <c r="U595" s="29" t="inlineStr">
        <is>
          <t>r03</t>
        </is>
      </c>
      <c r="V595" s="191" t="n"/>
      <c r="W595" s="58" t="n"/>
      <c r="X595" s="192" t="n"/>
      <c r="Y595" s="192" t="n"/>
      <c r="Z595" s="192" t="n"/>
      <c r="AA595" s="64" t="n"/>
      <c r="AB595" s="64" t="n"/>
      <c r="AC595" s="193" t="n"/>
      <c r="AD595" s="357" t="n"/>
      <c r="AE595" s="357" t="n"/>
      <c r="AF595" s="58" t="n"/>
      <c r="AG595" s="30" t="n"/>
      <c r="AH595" s="58" t="n"/>
      <c r="AI595" s="30" t="n"/>
      <c r="AJ595" s="135" t="n"/>
      <c r="AK595" s="212" t="n"/>
      <c r="AL595" s="294" t="n"/>
      <c r="AM595" s="89">
        <f>IF(OR(X595="",F595=""),"",X595-F595)</f>
        <v/>
      </c>
      <c r="AN595" s="124">
        <f>IF(OR(Y595="",G595=""),"",Y595-G595)</f>
        <v/>
      </c>
      <c r="AO595" s="124">
        <f>IF(OR(Z595="",H595=""),"",Z595-H595)</f>
        <v/>
      </c>
      <c r="AP595" s="124">
        <f>IF(OR(AA595="",I595=""),"",AA595-I595)</f>
        <v/>
      </c>
      <c r="AQ595" s="90">
        <f>IF(OR(AB595="",J595=""),"",AB595-J595)</f>
        <v/>
      </c>
      <c r="AR595" s="39" t="n"/>
      <c r="AS595" s="332" t="n"/>
      <c r="AT595" s="39" t="n"/>
    </row>
    <row r="596" ht="13.5" customHeight="1" s="279">
      <c r="B596" s="294" t="n"/>
      <c r="C596" s="29" t="inlineStr">
        <is>
          <t>r04</t>
        </is>
      </c>
      <c r="D596" s="191" t="n"/>
      <c r="E596" s="58" t="n"/>
      <c r="F596" s="192" t="n"/>
      <c r="G596" s="192" t="n"/>
      <c r="H596" s="192" t="n"/>
      <c r="I596" s="64" t="n"/>
      <c r="J596" s="64" t="n"/>
      <c r="K596" s="193" t="n"/>
      <c r="L596" s="357" t="n"/>
      <c r="M596" s="357" t="n"/>
      <c r="N596" s="58" t="n"/>
      <c r="O596" s="30" t="n"/>
      <c r="P596" s="58" t="n"/>
      <c r="Q596" s="30" t="n"/>
      <c r="R596" s="135" t="n"/>
      <c r="S596" s="301" t="n"/>
      <c r="T596" s="294" t="n"/>
      <c r="U596" s="29" t="inlineStr">
        <is>
          <t>r04</t>
        </is>
      </c>
      <c r="V596" s="191" t="n"/>
      <c r="W596" s="58" t="n"/>
      <c r="X596" s="192" t="n"/>
      <c r="Y596" s="192" t="n"/>
      <c r="Z596" s="192" t="n"/>
      <c r="AA596" s="64" t="n"/>
      <c r="AB596" s="64" t="n"/>
      <c r="AC596" s="193" t="n"/>
      <c r="AD596" s="357" t="n"/>
      <c r="AE596" s="357" t="n"/>
      <c r="AF596" s="58" t="n"/>
      <c r="AG596" s="30" t="n"/>
      <c r="AH596" s="58" t="n"/>
      <c r="AI596" s="30" t="n"/>
      <c r="AJ596" s="135" t="n"/>
      <c r="AK596" s="212" t="n"/>
      <c r="AL596" s="294" t="n"/>
      <c r="AM596" s="89">
        <f>IF(OR(X596="",F596=""),"",X596-F596)</f>
        <v/>
      </c>
      <c r="AN596" s="124">
        <f>IF(OR(Y596="",G596=""),"",Y596-G596)</f>
        <v/>
      </c>
      <c r="AO596" s="124">
        <f>IF(OR(Z596="",H596=""),"",Z596-H596)</f>
        <v/>
      </c>
      <c r="AP596" s="124">
        <f>IF(OR(AA596="",I596=""),"",AA596-I596)</f>
        <v/>
      </c>
      <c r="AQ596" s="90">
        <f>IF(OR(AB596="",J596=""),"",AB596-J596)</f>
        <v/>
      </c>
      <c r="AR596" s="39" t="n"/>
      <c r="AS596" s="332" t="n"/>
      <c r="AT596" s="39" t="n"/>
    </row>
    <row r="597" ht="13.5" customHeight="1" s="279" thickBot="1">
      <c r="B597" s="295" t="n"/>
      <c r="C597" s="29" t="n"/>
      <c r="D597" s="191" t="n"/>
      <c r="E597" s="58" t="n"/>
      <c r="F597" s="194" t="n"/>
      <c r="G597" s="194" t="n"/>
      <c r="H597" s="194" t="n"/>
      <c r="I597" s="58" t="n"/>
      <c r="J597" s="58" t="n"/>
      <c r="K597" s="193" t="n"/>
      <c r="L597" s="357" t="n"/>
      <c r="M597" s="357" t="n"/>
      <c r="N597" s="58" t="n"/>
      <c r="O597" s="30" t="n"/>
      <c r="P597" s="58" t="n"/>
      <c r="Q597" s="30" t="n"/>
      <c r="R597" s="189" t="n"/>
      <c r="S597" s="301" t="n"/>
      <c r="T597" s="295" t="n"/>
      <c r="U597" s="29" t="n"/>
      <c r="V597" s="191" t="n"/>
      <c r="W597" s="58" t="n"/>
      <c r="X597" s="194" t="n"/>
      <c r="Y597" s="194" t="n"/>
      <c r="Z597" s="194" t="n"/>
      <c r="AA597" s="58" t="n"/>
      <c r="AB597" s="58" t="n"/>
      <c r="AC597" s="193" t="n"/>
      <c r="AD597" s="357" t="n"/>
      <c r="AE597" s="357" t="n"/>
      <c r="AF597" s="58" t="n"/>
      <c r="AG597" s="30" t="n"/>
      <c r="AH597" s="58" t="n"/>
      <c r="AI597" s="30" t="n"/>
      <c r="AJ597" s="189" t="n"/>
      <c r="AK597" s="212" t="n"/>
      <c r="AL597" s="295" t="n"/>
      <c r="AM597" s="125">
        <f>IF(OR(X597="",F597=""),"",X597-F597)</f>
        <v/>
      </c>
      <c r="AN597" s="126">
        <f>IF(OR(Y597="",G597=""),"",Y597-G597)</f>
        <v/>
      </c>
      <c r="AO597" s="126">
        <f>IF(OR(Z597="",H597=""),"",Z597-H597)</f>
        <v/>
      </c>
      <c r="AP597" s="126">
        <f>IF(OR(AA597="",I597=""),"",AA597-I597)</f>
        <v/>
      </c>
      <c r="AQ597" s="127">
        <f>IF(OR(AB597="",J597=""),"",AB597-J597)</f>
        <v/>
      </c>
      <c r="AR597" s="39" t="n"/>
      <c r="AS597" s="332" t="n"/>
      <c r="AT597" s="39" t="n"/>
    </row>
    <row r="598" ht="13.5" customHeight="1" s="279">
      <c r="B598" s="293" t="inlineStr">
        <is>
          <t>v113</t>
        </is>
      </c>
      <c r="C598" s="27" t="inlineStr">
        <is>
          <t>r01</t>
        </is>
      </c>
      <c r="D598" s="41" t="n"/>
      <c r="E598" s="57" t="n"/>
      <c r="F598" s="99" t="n"/>
      <c r="G598" s="99" t="n"/>
      <c r="H598" s="99" t="n"/>
      <c r="I598" s="62" t="n"/>
      <c r="J598" s="62" t="n"/>
      <c r="K598" s="63" t="n"/>
      <c r="L598" s="356" t="n"/>
      <c r="M598" s="356" t="n"/>
      <c r="N598" s="57" t="n"/>
      <c r="O598" s="28" t="n"/>
      <c r="P598" s="57" t="n"/>
      <c r="Q598" s="28" t="n"/>
      <c r="R598" s="134" t="n"/>
      <c r="S598" s="301" t="n"/>
      <c r="T598" s="293" t="inlineStr">
        <is>
          <t>v113</t>
        </is>
      </c>
      <c r="U598" s="27" t="inlineStr">
        <is>
          <t>r01</t>
        </is>
      </c>
      <c r="V598" s="41" t="n"/>
      <c r="W598" s="57" t="n"/>
      <c r="X598" s="99" t="n"/>
      <c r="Y598" s="99" t="n"/>
      <c r="Z598" s="99" t="n"/>
      <c r="AA598" s="62" t="n"/>
      <c r="AB598" s="62" t="n"/>
      <c r="AC598" s="63" t="n"/>
      <c r="AD598" s="356" t="n"/>
      <c r="AE598" s="356" t="n"/>
      <c r="AF598" s="57" t="n"/>
      <c r="AG598" s="28" t="n"/>
      <c r="AH598" s="57" t="n"/>
      <c r="AI598" s="28" t="n"/>
      <c r="AJ598" s="134" t="n"/>
      <c r="AK598" s="212" t="n"/>
      <c r="AL598" s="293" t="inlineStr">
        <is>
          <t>v113</t>
        </is>
      </c>
      <c r="AM598" s="122">
        <f>IF(OR(X598="",F598=""),"",X598-F598)</f>
        <v/>
      </c>
      <c r="AN598" s="98">
        <f>IF(OR(Y598="",G598=""),"",Y598-G598)</f>
        <v/>
      </c>
      <c r="AO598" s="98">
        <f>IF(OR(Z598="",H598=""),"",Z598-H598)</f>
        <v/>
      </c>
      <c r="AP598" s="98">
        <f>IF(OR(AA598="",I598=""),"",AA598-I598)</f>
        <v/>
      </c>
      <c r="AQ598" s="123">
        <f>IF(OR(AB598="",J598=""),"",AB598-J598)</f>
        <v/>
      </c>
      <c r="AR598" s="39" t="n"/>
      <c r="AS598" s="332" t="n"/>
      <c r="AT598" s="39" t="n"/>
    </row>
    <row r="599" ht="13.5" customHeight="1" s="279">
      <c r="B599" s="294" t="n"/>
      <c r="C599" s="29" t="inlineStr">
        <is>
          <t>r02</t>
        </is>
      </c>
      <c r="D599" s="191" t="n"/>
      <c r="E599" s="58" t="n"/>
      <c r="F599" s="192" t="n"/>
      <c r="G599" s="192" t="n"/>
      <c r="H599" s="192" t="n"/>
      <c r="I599" s="64" t="n"/>
      <c r="J599" s="64" t="n"/>
      <c r="K599" s="193" t="n"/>
      <c r="L599" s="357" t="n"/>
      <c r="M599" s="357" t="n"/>
      <c r="N599" s="58" t="n"/>
      <c r="O599" s="30" t="n"/>
      <c r="P599" s="58" t="n"/>
      <c r="Q599" s="30" t="n"/>
      <c r="R599" s="135" t="n"/>
      <c r="S599" s="301" t="n"/>
      <c r="T599" s="294" t="n"/>
      <c r="U599" s="29" t="inlineStr">
        <is>
          <t>r02</t>
        </is>
      </c>
      <c r="V599" s="191" t="n"/>
      <c r="W599" s="58" t="n"/>
      <c r="X599" s="192" t="n"/>
      <c r="Y599" s="192" t="n"/>
      <c r="Z599" s="192" t="n"/>
      <c r="AA599" s="64" t="n"/>
      <c r="AB599" s="64" t="n"/>
      <c r="AC599" s="193" t="n"/>
      <c r="AD599" s="357" t="n"/>
      <c r="AE599" s="357" t="n"/>
      <c r="AF599" s="58" t="n"/>
      <c r="AG599" s="30" t="n"/>
      <c r="AH599" s="58" t="n"/>
      <c r="AI599" s="30" t="n"/>
      <c r="AJ599" s="135" t="n"/>
      <c r="AK599" s="212" t="n"/>
      <c r="AL599" s="294" t="n"/>
      <c r="AM599" s="89">
        <f>IF(OR(X599="",F599=""),"",X599-F599)</f>
        <v/>
      </c>
      <c r="AN599" s="124">
        <f>IF(OR(Y599="",G599=""),"",Y599-G599)</f>
        <v/>
      </c>
      <c r="AO599" s="124">
        <f>IF(OR(Z599="",H599=""),"",Z599-H599)</f>
        <v/>
      </c>
      <c r="AP599" s="124">
        <f>IF(OR(AA599="",I599=""),"",AA599-I599)</f>
        <v/>
      </c>
      <c r="AQ599" s="90">
        <f>IF(OR(AB599="",J599=""),"",AB599-J599)</f>
        <v/>
      </c>
      <c r="AR599" s="39" t="n"/>
      <c r="AS599" s="332" t="n"/>
      <c r="AT599" s="39" t="n"/>
    </row>
    <row r="600" ht="13.5" customHeight="1" s="279">
      <c r="B600" s="294" t="n"/>
      <c r="C600" s="29" t="inlineStr">
        <is>
          <t>r03</t>
        </is>
      </c>
      <c r="D600" s="191" t="n"/>
      <c r="E600" s="58" t="n"/>
      <c r="F600" s="192" t="n"/>
      <c r="G600" s="192" t="n"/>
      <c r="H600" s="192" t="n"/>
      <c r="I600" s="64" t="n"/>
      <c r="J600" s="64" t="n"/>
      <c r="K600" s="193" t="n"/>
      <c r="L600" s="357" t="n"/>
      <c r="M600" s="357" t="n"/>
      <c r="N600" s="58" t="n"/>
      <c r="O600" s="30" t="n"/>
      <c r="P600" s="58" t="n"/>
      <c r="Q600" s="30" t="n"/>
      <c r="R600" s="135" t="n"/>
      <c r="S600" s="301" t="n"/>
      <c r="T600" s="294" t="n"/>
      <c r="U600" s="29" t="inlineStr">
        <is>
          <t>r03</t>
        </is>
      </c>
      <c r="V600" s="191" t="n"/>
      <c r="W600" s="58" t="n"/>
      <c r="X600" s="192" t="n"/>
      <c r="Y600" s="192" t="n"/>
      <c r="Z600" s="192" t="n"/>
      <c r="AA600" s="64" t="n"/>
      <c r="AB600" s="64" t="n"/>
      <c r="AC600" s="193" t="n"/>
      <c r="AD600" s="357" t="n"/>
      <c r="AE600" s="357" t="n"/>
      <c r="AF600" s="58" t="n"/>
      <c r="AG600" s="30" t="n"/>
      <c r="AH600" s="58" t="n"/>
      <c r="AI600" s="30" t="n"/>
      <c r="AJ600" s="135" t="n"/>
      <c r="AK600" s="212" t="n"/>
      <c r="AL600" s="294" t="n"/>
      <c r="AM600" s="89">
        <f>IF(OR(X600="",F600=""),"",X600-F600)</f>
        <v/>
      </c>
      <c r="AN600" s="124">
        <f>IF(OR(Y600="",G600=""),"",Y600-G600)</f>
        <v/>
      </c>
      <c r="AO600" s="124">
        <f>IF(OR(Z600="",H600=""),"",Z600-H600)</f>
        <v/>
      </c>
      <c r="AP600" s="124">
        <f>IF(OR(AA600="",I600=""),"",AA600-I600)</f>
        <v/>
      </c>
      <c r="AQ600" s="90">
        <f>IF(OR(AB600="",J600=""),"",AB600-J600)</f>
        <v/>
      </c>
      <c r="AR600" s="39" t="n"/>
      <c r="AS600" s="332" t="n"/>
      <c r="AT600" s="39" t="n"/>
    </row>
    <row r="601" ht="13.5" customHeight="1" s="279">
      <c r="B601" s="294" t="n"/>
      <c r="C601" s="29" t="inlineStr">
        <is>
          <t>r04</t>
        </is>
      </c>
      <c r="D601" s="191" t="n"/>
      <c r="E601" s="58" t="n"/>
      <c r="F601" s="192" t="n"/>
      <c r="G601" s="192" t="n"/>
      <c r="H601" s="192" t="n"/>
      <c r="I601" s="64" t="n"/>
      <c r="J601" s="64" t="n"/>
      <c r="K601" s="193" t="n"/>
      <c r="L601" s="357" t="n"/>
      <c r="M601" s="357" t="n"/>
      <c r="N601" s="58" t="n"/>
      <c r="O601" s="30" t="n"/>
      <c r="P601" s="58" t="n"/>
      <c r="Q601" s="30" t="n"/>
      <c r="R601" s="135" t="n"/>
      <c r="S601" s="301" t="n"/>
      <c r="T601" s="294" t="n"/>
      <c r="U601" s="29" t="inlineStr">
        <is>
          <t>r04</t>
        </is>
      </c>
      <c r="V601" s="191" t="n"/>
      <c r="W601" s="58" t="n"/>
      <c r="X601" s="192" t="n"/>
      <c r="Y601" s="192" t="n"/>
      <c r="Z601" s="192" t="n"/>
      <c r="AA601" s="64" t="n"/>
      <c r="AB601" s="64" t="n"/>
      <c r="AC601" s="193" t="n"/>
      <c r="AD601" s="357" t="n"/>
      <c r="AE601" s="357" t="n"/>
      <c r="AF601" s="58" t="n"/>
      <c r="AG601" s="30" t="n"/>
      <c r="AH601" s="58" t="n"/>
      <c r="AI601" s="30" t="n"/>
      <c r="AJ601" s="135" t="n"/>
      <c r="AK601" s="212" t="n"/>
      <c r="AL601" s="294" t="n"/>
      <c r="AM601" s="89">
        <f>IF(OR(X601="",F601=""),"",X601-F601)</f>
        <v/>
      </c>
      <c r="AN601" s="124">
        <f>IF(OR(Y601="",G601=""),"",Y601-G601)</f>
        <v/>
      </c>
      <c r="AO601" s="124">
        <f>IF(OR(Z601="",H601=""),"",Z601-H601)</f>
        <v/>
      </c>
      <c r="AP601" s="124">
        <f>IF(OR(AA601="",I601=""),"",AA601-I601)</f>
        <v/>
      </c>
      <c r="AQ601" s="90">
        <f>IF(OR(AB601="",J601=""),"",AB601-J601)</f>
        <v/>
      </c>
      <c r="AR601" s="39" t="n"/>
      <c r="AS601" s="332" t="n"/>
      <c r="AT601" s="39" t="n"/>
    </row>
    <row r="602" ht="13.5" customHeight="1" s="279" thickBot="1">
      <c r="B602" s="295" t="n"/>
      <c r="C602" s="29" t="n"/>
      <c r="D602" s="191" t="n"/>
      <c r="E602" s="58" t="n"/>
      <c r="F602" s="194" t="n"/>
      <c r="G602" s="194" t="n"/>
      <c r="H602" s="194" t="n"/>
      <c r="I602" s="58" t="n"/>
      <c r="J602" s="58" t="n"/>
      <c r="K602" s="193" t="n"/>
      <c r="L602" s="357" t="n"/>
      <c r="M602" s="357" t="n"/>
      <c r="N602" s="58" t="n"/>
      <c r="O602" s="30" t="n"/>
      <c r="P602" s="58" t="n"/>
      <c r="Q602" s="30" t="n"/>
      <c r="R602" s="189" t="n"/>
      <c r="S602" s="301" t="n"/>
      <c r="T602" s="295" t="n"/>
      <c r="U602" s="29" t="n"/>
      <c r="V602" s="191" t="n"/>
      <c r="W602" s="58" t="n"/>
      <c r="X602" s="194" t="n"/>
      <c r="Y602" s="194" t="n"/>
      <c r="Z602" s="194" t="n"/>
      <c r="AA602" s="58" t="n"/>
      <c r="AB602" s="58" t="n"/>
      <c r="AC602" s="193" t="n"/>
      <c r="AD602" s="357" t="n"/>
      <c r="AE602" s="357" t="n"/>
      <c r="AF602" s="58" t="n"/>
      <c r="AG602" s="30" t="n"/>
      <c r="AH602" s="58" t="n"/>
      <c r="AI602" s="30" t="n"/>
      <c r="AJ602" s="189" t="n"/>
      <c r="AK602" s="212" t="n"/>
      <c r="AL602" s="295" t="n"/>
      <c r="AM602" s="125">
        <f>IF(OR(X602="",F602=""),"",X602-F602)</f>
        <v/>
      </c>
      <c r="AN602" s="126">
        <f>IF(OR(Y602="",G602=""),"",Y602-G602)</f>
        <v/>
      </c>
      <c r="AO602" s="126">
        <f>IF(OR(Z602="",H602=""),"",Z602-H602)</f>
        <v/>
      </c>
      <c r="AP602" s="126">
        <f>IF(OR(AA602="",I602=""),"",AA602-I602)</f>
        <v/>
      </c>
      <c r="AQ602" s="127">
        <f>IF(OR(AB602="",J602=""),"",AB602-J602)</f>
        <v/>
      </c>
      <c r="AR602" s="39" t="n"/>
      <c r="AS602" s="332" t="n"/>
      <c r="AT602" s="39" t="n"/>
    </row>
    <row r="603" ht="13.5" customHeight="1" s="279">
      <c r="B603" s="293" t="inlineStr">
        <is>
          <t>v114</t>
        </is>
      </c>
      <c r="C603" s="27" t="inlineStr">
        <is>
          <t>r01</t>
        </is>
      </c>
      <c r="D603" s="41" t="n"/>
      <c r="E603" s="57" t="n"/>
      <c r="F603" s="99" t="n"/>
      <c r="G603" s="99" t="n"/>
      <c r="H603" s="99" t="n"/>
      <c r="I603" s="62" t="n"/>
      <c r="J603" s="62" t="n"/>
      <c r="K603" s="63" t="n"/>
      <c r="L603" s="356" t="n"/>
      <c r="M603" s="356" t="n"/>
      <c r="N603" s="57" t="n"/>
      <c r="O603" s="28" t="n"/>
      <c r="P603" s="57" t="n"/>
      <c r="Q603" s="28" t="n"/>
      <c r="R603" s="134" t="n"/>
      <c r="S603" s="301" t="n"/>
      <c r="T603" s="293" t="inlineStr">
        <is>
          <t>v114</t>
        </is>
      </c>
      <c r="U603" s="27" t="inlineStr">
        <is>
          <t>r01</t>
        </is>
      </c>
      <c r="V603" s="41" t="n"/>
      <c r="W603" s="57" t="n"/>
      <c r="X603" s="99" t="n"/>
      <c r="Y603" s="99" t="n"/>
      <c r="Z603" s="99" t="n"/>
      <c r="AA603" s="62" t="n"/>
      <c r="AB603" s="62" t="n"/>
      <c r="AC603" s="63" t="n"/>
      <c r="AD603" s="356" t="n"/>
      <c r="AE603" s="356" t="n"/>
      <c r="AF603" s="57" t="n"/>
      <c r="AG603" s="28" t="n"/>
      <c r="AH603" s="57" t="n"/>
      <c r="AI603" s="28" t="n"/>
      <c r="AJ603" s="134" t="n"/>
      <c r="AK603" s="212" t="n"/>
      <c r="AL603" s="293" t="inlineStr">
        <is>
          <t>v114</t>
        </is>
      </c>
      <c r="AM603" s="122">
        <f>IF(OR(X603="",F603=""),"",X603-F603)</f>
        <v/>
      </c>
      <c r="AN603" s="98">
        <f>IF(OR(Y603="",G603=""),"",Y603-G603)</f>
        <v/>
      </c>
      <c r="AO603" s="98">
        <f>IF(OR(Z603="",H603=""),"",Z603-H603)</f>
        <v/>
      </c>
      <c r="AP603" s="98">
        <f>IF(OR(AA603="",I603=""),"",AA603-I603)</f>
        <v/>
      </c>
      <c r="AQ603" s="123">
        <f>IF(OR(AB603="",J603=""),"",AB603-J603)</f>
        <v/>
      </c>
      <c r="AR603" s="39" t="n"/>
      <c r="AS603" s="332" t="n"/>
      <c r="AT603" s="39" t="n"/>
    </row>
    <row r="604" ht="13.5" customHeight="1" s="279">
      <c r="B604" s="294" t="n"/>
      <c r="C604" s="29" t="inlineStr">
        <is>
          <t>r02</t>
        </is>
      </c>
      <c r="D604" s="191" t="n"/>
      <c r="E604" s="58" t="n"/>
      <c r="F604" s="192" t="n"/>
      <c r="G604" s="192" t="n"/>
      <c r="H604" s="192" t="n"/>
      <c r="I604" s="64" t="n"/>
      <c r="J604" s="64" t="n"/>
      <c r="K604" s="193" t="n"/>
      <c r="L604" s="357" t="n"/>
      <c r="M604" s="357" t="n"/>
      <c r="N604" s="58" t="n"/>
      <c r="O604" s="30" t="n"/>
      <c r="P604" s="58" t="n"/>
      <c r="Q604" s="30" t="n"/>
      <c r="R604" s="135" t="n"/>
      <c r="S604" s="301" t="n"/>
      <c r="T604" s="294" t="n"/>
      <c r="U604" s="29" t="inlineStr">
        <is>
          <t>r02</t>
        </is>
      </c>
      <c r="V604" s="191" t="n"/>
      <c r="W604" s="58" t="n"/>
      <c r="X604" s="192" t="n"/>
      <c r="Y604" s="192" t="n"/>
      <c r="Z604" s="192" t="n"/>
      <c r="AA604" s="64" t="n"/>
      <c r="AB604" s="64" t="n"/>
      <c r="AC604" s="193" t="n"/>
      <c r="AD604" s="357" t="n"/>
      <c r="AE604" s="357" t="n"/>
      <c r="AF604" s="58" t="n"/>
      <c r="AG604" s="30" t="n"/>
      <c r="AH604" s="58" t="n"/>
      <c r="AI604" s="30" t="n"/>
      <c r="AJ604" s="135" t="n"/>
      <c r="AK604" s="212" t="n"/>
      <c r="AL604" s="294" t="n"/>
      <c r="AM604" s="89">
        <f>IF(OR(X604="",F604=""),"",X604-F604)</f>
        <v/>
      </c>
      <c r="AN604" s="124">
        <f>IF(OR(Y604="",G604=""),"",Y604-G604)</f>
        <v/>
      </c>
      <c r="AO604" s="124">
        <f>IF(OR(Z604="",H604=""),"",Z604-H604)</f>
        <v/>
      </c>
      <c r="AP604" s="124">
        <f>IF(OR(AA604="",I604=""),"",AA604-I604)</f>
        <v/>
      </c>
      <c r="AQ604" s="90">
        <f>IF(OR(AB604="",J604=""),"",AB604-J604)</f>
        <v/>
      </c>
      <c r="AR604" s="39" t="n"/>
      <c r="AS604" s="332" t="n"/>
      <c r="AT604" s="39" t="n"/>
    </row>
    <row r="605" ht="13.5" customHeight="1" s="279">
      <c r="B605" s="294" t="n"/>
      <c r="C605" s="29" t="inlineStr">
        <is>
          <t>r03</t>
        </is>
      </c>
      <c r="D605" s="191" t="n"/>
      <c r="E605" s="58" t="n"/>
      <c r="F605" s="192" t="n"/>
      <c r="G605" s="192" t="n"/>
      <c r="H605" s="192" t="n"/>
      <c r="I605" s="64" t="n"/>
      <c r="J605" s="64" t="n"/>
      <c r="K605" s="193" t="n"/>
      <c r="L605" s="357" t="n"/>
      <c r="M605" s="357" t="n"/>
      <c r="N605" s="58" t="n"/>
      <c r="O605" s="30" t="n"/>
      <c r="P605" s="58" t="n"/>
      <c r="Q605" s="30" t="n"/>
      <c r="R605" s="135" t="n"/>
      <c r="S605" s="301" t="n"/>
      <c r="T605" s="294" t="n"/>
      <c r="U605" s="29" t="inlineStr">
        <is>
          <t>r03</t>
        </is>
      </c>
      <c r="V605" s="191" t="n"/>
      <c r="W605" s="58" t="n"/>
      <c r="X605" s="192" t="n"/>
      <c r="Y605" s="192" t="n"/>
      <c r="Z605" s="192" t="n"/>
      <c r="AA605" s="64" t="n"/>
      <c r="AB605" s="64" t="n"/>
      <c r="AC605" s="193" t="n"/>
      <c r="AD605" s="357" t="n"/>
      <c r="AE605" s="357" t="n"/>
      <c r="AF605" s="58" t="n"/>
      <c r="AG605" s="30" t="n"/>
      <c r="AH605" s="58" t="n"/>
      <c r="AI605" s="30" t="n"/>
      <c r="AJ605" s="135" t="n"/>
      <c r="AK605" s="212" t="n"/>
      <c r="AL605" s="294" t="n"/>
      <c r="AM605" s="89">
        <f>IF(OR(X605="",F605=""),"",X605-F605)</f>
        <v/>
      </c>
      <c r="AN605" s="124">
        <f>IF(OR(Y605="",G605=""),"",Y605-G605)</f>
        <v/>
      </c>
      <c r="AO605" s="124">
        <f>IF(OR(Z605="",H605=""),"",Z605-H605)</f>
        <v/>
      </c>
      <c r="AP605" s="124">
        <f>IF(OR(AA605="",I605=""),"",AA605-I605)</f>
        <v/>
      </c>
      <c r="AQ605" s="90">
        <f>IF(OR(AB605="",J605=""),"",AB605-J605)</f>
        <v/>
      </c>
      <c r="AR605" s="39" t="n"/>
      <c r="AS605" s="332" t="n"/>
      <c r="AT605" s="39" t="n"/>
    </row>
    <row r="606" ht="13.5" customHeight="1" s="279">
      <c r="B606" s="294" t="n"/>
      <c r="C606" s="29" t="inlineStr">
        <is>
          <t>r04</t>
        </is>
      </c>
      <c r="D606" s="191" t="n"/>
      <c r="E606" s="58" t="n"/>
      <c r="F606" s="192" t="n"/>
      <c r="G606" s="192" t="n"/>
      <c r="H606" s="192" t="n"/>
      <c r="I606" s="64" t="n"/>
      <c r="J606" s="64" t="n"/>
      <c r="K606" s="193" t="n"/>
      <c r="L606" s="357" t="n"/>
      <c r="M606" s="357" t="n"/>
      <c r="N606" s="58" t="n"/>
      <c r="O606" s="30" t="n"/>
      <c r="P606" s="58" t="n"/>
      <c r="Q606" s="30" t="n"/>
      <c r="R606" s="135" t="n"/>
      <c r="S606" s="301" t="n"/>
      <c r="T606" s="294" t="n"/>
      <c r="U606" s="29" t="inlineStr">
        <is>
          <t>r04</t>
        </is>
      </c>
      <c r="V606" s="191" t="n"/>
      <c r="W606" s="58" t="n"/>
      <c r="X606" s="192" t="n"/>
      <c r="Y606" s="192" t="n"/>
      <c r="Z606" s="192" t="n"/>
      <c r="AA606" s="64" t="n"/>
      <c r="AB606" s="64" t="n"/>
      <c r="AC606" s="193" t="n"/>
      <c r="AD606" s="357" t="n"/>
      <c r="AE606" s="357" t="n"/>
      <c r="AF606" s="58" t="n"/>
      <c r="AG606" s="30" t="n"/>
      <c r="AH606" s="58" t="n"/>
      <c r="AI606" s="30" t="n"/>
      <c r="AJ606" s="135" t="n"/>
      <c r="AK606" s="212" t="n"/>
      <c r="AL606" s="294" t="n"/>
      <c r="AM606" s="89">
        <f>IF(OR(X606="",F606=""),"",X606-F606)</f>
        <v/>
      </c>
      <c r="AN606" s="124">
        <f>IF(OR(Y606="",G606=""),"",Y606-G606)</f>
        <v/>
      </c>
      <c r="AO606" s="124">
        <f>IF(OR(Z606="",H606=""),"",Z606-H606)</f>
        <v/>
      </c>
      <c r="AP606" s="124">
        <f>IF(OR(AA606="",I606=""),"",AA606-I606)</f>
        <v/>
      </c>
      <c r="AQ606" s="90">
        <f>IF(OR(AB606="",J606=""),"",AB606-J606)</f>
        <v/>
      </c>
      <c r="AR606" s="39" t="n"/>
      <c r="AS606" s="332" t="n"/>
      <c r="AT606" s="39" t="n"/>
    </row>
    <row r="607" ht="13.5" customHeight="1" s="279" thickBot="1">
      <c r="B607" s="295" t="n"/>
      <c r="C607" s="29" t="n"/>
      <c r="D607" s="191" t="n"/>
      <c r="E607" s="58" t="n"/>
      <c r="F607" s="194" t="n"/>
      <c r="G607" s="194" t="n"/>
      <c r="H607" s="194" t="n"/>
      <c r="I607" s="58" t="n"/>
      <c r="J607" s="58" t="n"/>
      <c r="K607" s="193" t="n"/>
      <c r="L607" s="357" t="n"/>
      <c r="M607" s="357" t="n"/>
      <c r="N607" s="58" t="n"/>
      <c r="O607" s="30" t="n"/>
      <c r="P607" s="58" t="n"/>
      <c r="Q607" s="30" t="n"/>
      <c r="R607" s="189" t="n"/>
      <c r="S607" s="301" t="n"/>
      <c r="T607" s="295" t="n"/>
      <c r="U607" s="29" t="n"/>
      <c r="V607" s="191" t="n"/>
      <c r="W607" s="58" t="n"/>
      <c r="X607" s="194" t="n"/>
      <c r="Y607" s="194" t="n"/>
      <c r="Z607" s="194" t="n"/>
      <c r="AA607" s="58" t="n"/>
      <c r="AB607" s="58" t="n"/>
      <c r="AC607" s="193" t="n"/>
      <c r="AD607" s="357" t="n"/>
      <c r="AE607" s="357" t="n"/>
      <c r="AF607" s="58" t="n"/>
      <c r="AG607" s="30" t="n"/>
      <c r="AH607" s="58" t="n"/>
      <c r="AI607" s="30" t="n"/>
      <c r="AJ607" s="189" t="n"/>
      <c r="AK607" s="212" t="n"/>
      <c r="AL607" s="295" t="n"/>
      <c r="AM607" s="125">
        <f>IF(OR(X607="",F607=""),"",X607-F607)</f>
        <v/>
      </c>
      <c r="AN607" s="126">
        <f>IF(OR(Y607="",G607=""),"",Y607-G607)</f>
        <v/>
      </c>
      <c r="AO607" s="126">
        <f>IF(OR(Z607="",H607=""),"",Z607-H607)</f>
        <v/>
      </c>
      <c r="AP607" s="126">
        <f>IF(OR(AA607="",I607=""),"",AA607-I607)</f>
        <v/>
      </c>
      <c r="AQ607" s="127">
        <f>IF(OR(AB607="",J607=""),"",AB607-J607)</f>
        <v/>
      </c>
      <c r="AR607" s="39" t="n"/>
      <c r="AS607" s="332" t="n"/>
      <c r="AT607" s="39" t="n"/>
    </row>
    <row r="608" ht="13.5" customHeight="1" s="279">
      <c r="B608" s="293" t="inlineStr">
        <is>
          <t>v115</t>
        </is>
      </c>
      <c r="C608" s="27" t="inlineStr">
        <is>
          <t>r01</t>
        </is>
      </c>
      <c r="D608" s="41" t="n"/>
      <c r="E608" s="57" t="n"/>
      <c r="F608" s="99" t="n"/>
      <c r="G608" s="99" t="n"/>
      <c r="H608" s="99" t="n"/>
      <c r="I608" s="62" t="n"/>
      <c r="J608" s="62" t="n"/>
      <c r="K608" s="63" t="n"/>
      <c r="L608" s="356" t="n"/>
      <c r="M608" s="356" t="n"/>
      <c r="N608" s="57" t="n"/>
      <c r="O608" s="28" t="n"/>
      <c r="P608" s="57" t="n"/>
      <c r="Q608" s="28" t="n"/>
      <c r="R608" s="134" t="n"/>
      <c r="S608" s="301" t="n"/>
      <c r="T608" s="293" t="inlineStr">
        <is>
          <t>v115</t>
        </is>
      </c>
      <c r="U608" s="27" t="inlineStr">
        <is>
          <t>r01</t>
        </is>
      </c>
      <c r="V608" s="41" t="n"/>
      <c r="W608" s="57" t="n"/>
      <c r="X608" s="99" t="n"/>
      <c r="Y608" s="99" t="n"/>
      <c r="Z608" s="99" t="n"/>
      <c r="AA608" s="62" t="n"/>
      <c r="AB608" s="62" t="n"/>
      <c r="AC608" s="63" t="n"/>
      <c r="AD608" s="356" t="n"/>
      <c r="AE608" s="356" t="n"/>
      <c r="AF608" s="57" t="n"/>
      <c r="AG608" s="28" t="n"/>
      <c r="AH608" s="57" t="n"/>
      <c r="AI608" s="28" t="n"/>
      <c r="AJ608" s="134" t="n"/>
      <c r="AK608" s="212" t="n"/>
      <c r="AL608" s="293" t="inlineStr">
        <is>
          <t>v115</t>
        </is>
      </c>
      <c r="AM608" s="122">
        <f>IF(OR(X608="",F608=""),"",X608-F608)</f>
        <v/>
      </c>
      <c r="AN608" s="98">
        <f>IF(OR(Y608="",G608=""),"",Y608-G608)</f>
        <v/>
      </c>
      <c r="AO608" s="98">
        <f>IF(OR(Z608="",H608=""),"",Z608-H608)</f>
        <v/>
      </c>
      <c r="AP608" s="98">
        <f>IF(OR(AA608="",I608=""),"",AA608-I608)</f>
        <v/>
      </c>
      <c r="AQ608" s="123">
        <f>IF(OR(AB608="",J608=""),"",AB608-J608)</f>
        <v/>
      </c>
      <c r="AR608" s="39" t="n"/>
      <c r="AS608" s="332" t="n"/>
      <c r="AT608" s="39" t="n"/>
    </row>
    <row r="609" ht="13.5" customHeight="1" s="279">
      <c r="B609" s="294" t="n"/>
      <c r="C609" s="29" t="inlineStr">
        <is>
          <t>r02</t>
        </is>
      </c>
      <c r="D609" s="191" t="n"/>
      <c r="E609" s="58" t="n"/>
      <c r="F609" s="192" t="n"/>
      <c r="G609" s="192" t="n"/>
      <c r="H609" s="192" t="n"/>
      <c r="I609" s="64" t="n"/>
      <c r="J609" s="64" t="n"/>
      <c r="K609" s="193" t="n"/>
      <c r="L609" s="357" t="n"/>
      <c r="M609" s="357" t="n"/>
      <c r="N609" s="58" t="n"/>
      <c r="O609" s="30" t="n"/>
      <c r="P609" s="58" t="n"/>
      <c r="Q609" s="30" t="n"/>
      <c r="R609" s="135" t="n"/>
      <c r="S609" s="301" t="n"/>
      <c r="T609" s="294" t="n"/>
      <c r="U609" s="29" t="inlineStr">
        <is>
          <t>r02</t>
        </is>
      </c>
      <c r="V609" s="191" t="n"/>
      <c r="W609" s="58" t="n"/>
      <c r="X609" s="192" t="n"/>
      <c r="Y609" s="192" t="n"/>
      <c r="Z609" s="192" t="n"/>
      <c r="AA609" s="64" t="n"/>
      <c r="AB609" s="64" t="n"/>
      <c r="AC609" s="193" t="n"/>
      <c r="AD609" s="357" t="n"/>
      <c r="AE609" s="357" t="n"/>
      <c r="AF609" s="58" t="n"/>
      <c r="AG609" s="30" t="n"/>
      <c r="AH609" s="58" t="n"/>
      <c r="AI609" s="30" t="n"/>
      <c r="AJ609" s="135" t="n"/>
      <c r="AK609" s="212" t="n"/>
      <c r="AL609" s="294" t="n"/>
      <c r="AM609" s="89">
        <f>IF(OR(X609="",F609=""),"",X609-F609)</f>
        <v/>
      </c>
      <c r="AN609" s="124">
        <f>IF(OR(Y609="",G609=""),"",Y609-G609)</f>
        <v/>
      </c>
      <c r="AO609" s="124">
        <f>IF(OR(Z609="",H609=""),"",Z609-H609)</f>
        <v/>
      </c>
      <c r="AP609" s="124">
        <f>IF(OR(AA609="",I609=""),"",AA609-I609)</f>
        <v/>
      </c>
      <c r="AQ609" s="90">
        <f>IF(OR(AB609="",J609=""),"",AB609-J609)</f>
        <v/>
      </c>
      <c r="AR609" s="39" t="n"/>
      <c r="AS609" s="332" t="n"/>
      <c r="AT609" s="39" t="n"/>
    </row>
    <row r="610" ht="13.5" customHeight="1" s="279">
      <c r="B610" s="294" t="n"/>
      <c r="C610" s="29" t="inlineStr">
        <is>
          <t>r03</t>
        </is>
      </c>
      <c r="D610" s="191" t="n"/>
      <c r="E610" s="58" t="n"/>
      <c r="F610" s="192" t="n"/>
      <c r="G610" s="192" t="n"/>
      <c r="H610" s="192" t="n"/>
      <c r="I610" s="64" t="n"/>
      <c r="J610" s="64" t="n"/>
      <c r="K610" s="193" t="n"/>
      <c r="L610" s="357" t="n"/>
      <c r="M610" s="357" t="n"/>
      <c r="N610" s="58" t="n"/>
      <c r="O610" s="30" t="n"/>
      <c r="P610" s="58" t="n"/>
      <c r="Q610" s="30" t="n"/>
      <c r="R610" s="135" t="n"/>
      <c r="S610" s="301" t="n"/>
      <c r="T610" s="294" t="n"/>
      <c r="U610" s="29" t="inlineStr">
        <is>
          <t>r03</t>
        </is>
      </c>
      <c r="V610" s="191" t="n"/>
      <c r="W610" s="58" t="n"/>
      <c r="X610" s="192" t="n"/>
      <c r="Y610" s="192" t="n"/>
      <c r="Z610" s="192" t="n"/>
      <c r="AA610" s="64" t="n"/>
      <c r="AB610" s="64" t="n"/>
      <c r="AC610" s="193" t="n"/>
      <c r="AD610" s="357" t="n"/>
      <c r="AE610" s="357" t="n"/>
      <c r="AF610" s="58" t="n"/>
      <c r="AG610" s="30" t="n"/>
      <c r="AH610" s="58" t="n"/>
      <c r="AI610" s="30" t="n"/>
      <c r="AJ610" s="135" t="n"/>
      <c r="AK610" s="212" t="n"/>
      <c r="AL610" s="294" t="n"/>
      <c r="AM610" s="89">
        <f>IF(OR(X610="",F610=""),"",X610-F610)</f>
        <v/>
      </c>
      <c r="AN610" s="124">
        <f>IF(OR(Y610="",G610=""),"",Y610-G610)</f>
        <v/>
      </c>
      <c r="AO610" s="124">
        <f>IF(OR(Z610="",H610=""),"",Z610-H610)</f>
        <v/>
      </c>
      <c r="AP610" s="124">
        <f>IF(OR(AA610="",I610=""),"",AA610-I610)</f>
        <v/>
      </c>
      <c r="AQ610" s="90">
        <f>IF(OR(AB610="",J610=""),"",AB610-J610)</f>
        <v/>
      </c>
      <c r="AR610" s="39" t="n"/>
      <c r="AS610" s="332" t="n"/>
      <c r="AT610" s="39" t="n"/>
    </row>
    <row r="611" ht="13.5" customHeight="1" s="279">
      <c r="B611" s="294" t="n"/>
      <c r="C611" s="29" t="inlineStr">
        <is>
          <t>r04</t>
        </is>
      </c>
      <c r="D611" s="191" t="n"/>
      <c r="E611" s="58" t="n"/>
      <c r="F611" s="192" t="n"/>
      <c r="G611" s="192" t="n"/>
      <c r="H611" s="192" t="n"/>
      <c r="I611" s="64" t="n"/>
      <c r="J611" s="64" t="n"/>
      <c r="K611" s="193" t="n"/>
      <c r="L611" s="357" t="n"/>
      <c r="M611" s="357" t="n"/>
      <c r="N611" s="58" t="n"/>
      <c r="O611" s="30" t="n"/>
      <c r="P611" s="58" t="n"/>
      <c r="Q611" s="30" t="n"/>
      <c r="R611" s="135" t="n"/>
      <c r="S611" s="301" t="n"/>
      <c r="T611" s="294" t="n"/>
      <c r="U611" s="29" t="inlineStr">
        <is>
          <t>r04</t>
        </is>
      </c>
      <c r="V611" s="191" t="n"/>
      <c r="W611" s="58" t="n"/>
      <c r="X611" s="192" t="n"/>
      <c r="Y611" s="192" t="n"/>
      <c r="Z611" s="192" t="n"/>
      <c r="AA611" s="64" t="n"/>
      <c r="AB611" s="64" t="n"/>
      <c r="AC611" s="193" t="n"/>
      <c r="AD611" s="357" t="n"/>
      <c r="AE611" s="357" t="n"/>
      <c r="AF611" s="58" t="n"/>
      <c r="AG611" s="30" t="n"/>
      <c r="AH611" s="58" t="n"/>
      <c r="AI611" s="30" t="n"/>
      <c r="AJ611" s="135" t="n"/>
      <c r="AK611" s="212" t="n"/>
      <c r="AL611" s="294" t="n"/>
      <c r="AM611" s="89">
        <f>IF(OR(X611="",F611=""),"",X611-F611)</f>
        <v/>
      </c>
      <c r="AN611" s="124">
        <f>IF(OR(Y611="",G611=""),"",Y611-G611)</f>
        <v/>
      </c>
      <c r="AO611" s="124">
        <f>IF(OR(Z611="",H611=""),"",Z611-H611)</f>
        <v/>
      </c>
      <c r="AP611" s="124">
        <f>IF(OR(AA611="",I611=""),"",AA611-I611)</f>
        <v/>
      </c>
      <c r="AQ611" s="90">
        <f>IF(OR(AB611="",J611=""),"",AB611-J611)</f>
        <v/>
      </c>
      <c r="AR611" s="39" t="n"/>
      <c r="AS611" s="332" t="n"/>
      <c r="AT611" s="39" t="n"/>
    </row>
    <row r="612" ht="13.5" customHeight="1" s="279" thickBot="1">
      <c r="B612" s="295" t="n"/>
      <c r="C612" s="29" t="n"/>
      <c r="D612" s="191" t="n"/>
      <c r="E612" s="58" t="n"/>
      <c r="F612" s="194" t="n"/>
      <c r="G612" s="194" t="n"/>
      <c r="H612" s="194" t="n"/>
      <c r="I612" s="58" t="n"/>
      <c r="J612" s="58" t="n"/>
      <c r="K612" s="193" t="n"/>
      <c r="L612" s="357" t="n"/>
      <c r="M612" s="357" t="n"/>
      <c r="N612" s="58" t="n"/>
      <c r="O612" s="30" t="n"/>
      <c r="P612" s="58" t="n"/>
      <c r="Q612" s="30" t="n"/>
      <c r="R612" s="189" t="n"/>
      <c r="S612" s="301" t="n"/>
      <c r="T612" s="295" t="n"/>
      <c r="U612" s="29" t="n"/>
      <c r="V612" s="191" t="n"/>
      <c r="W612" s="58" t="n"/>
      <c r="X612" s="194" t="n"/>
      <c r="Y612" s="194" t="n"/>
      <c r="Z612" s="194" t="n"/>
      <c r="AA612" s="58" t="n"/>
      <c r="AB612" s="58" t="n"/>
      <c r="AC612" s="193" t="n"/>
      <c r="AD612" s="357" t="n"/>
      <c r="AE612" s="357" t="n"/>
      <c r="AF612" s="58" t="n"/>
      <c r="AG612" s="30" t="n"/>
      <c r="AH612" s="58" t="n"/>
      <c r="AI612" s="30" t="n"/>
      <c r="AJ612" s="189" t="n"/>
      <c r="AK612" s="212" t="n"/>
      <c r="AL612" s="295" t="n"/>
      <c r="AM612" s="125">
        <f>IF(OR(X612="",F612=""),"",X612-F612)</f>
        <v/>
      </c>
      <c r="AN612" s="126">
        <f>IF(OR(Y612="",G612=""),"",Y612-G612)</f>
        <v/>
      </c>
      <c r="AO612" s="126">
        <f>IF(OR(Z612="",H612=""),"",Z612-H612)</f>
        <v/>
      </c>
      <c r="AP612" s="126">
        <f>IF(OR(AA612="",I612=""),"",AA612-I612)</f>
        <v/>
      </c>
      <c r="AQ612" s="127">
        <f>IF(OR(AB612="",J612=""),"",AB612-J612)</f>
        <v/>
      </c>
      <c r="AR612" s="39" t="n"/>
      <c r="AS612" s="332" t="n"/>
      <c r="AT612" s="39" t="n"/>
    </row>
    <row r="613" ht="13.5" customHeight="1" s="279">
      <c r="B613" s="293" t="inlineStr">
        <is>
          <t>v116</t>
        </is>
      </c>
      <c r="C613" s="27" t="inlineStr">
        <is>
          <t>r01</t>
        </is>
      </c>
      <c r="D613" s="41" t="n"/>
      <c r="E613" s="57" t="n"/>
      <c r="F613" s="99" t="n"/>
      <c r="G613" s="99" t="n"/>
      <c r="H613" s="99" t="n"/>
      <c r="I613" s="62" t="n"/>
      <c r="J613" s="62" t="n"/>
      <c r="K613" s="63" t="n"/>
      <c r="L613" s="356" t="n"/>
      <c r="M613" s="356" t="n"/>
      <c r="N613" s="57" t="n"/>
      <c r="O613" s="28" t="n"/>
      <c r="P613" s="57" t="n"/>
      <c r="Q613" s="28" t="n"/>
      <c r="R613" s="134" t="n"/>
      <c r="S613" s="301" t="n"/>
      <c r="T613" s="293" t="inlineStr">
        <is>
          <t>v116</t>
        </is>
      </c>
      <c r="U613" s="27" t="inlineStr">
        <is>
          <t>r01</t>
        </is>
      </c>
      <c r="V613" s="41" t="n"/>
      <c r="W613" s="57" t="n"/>
      <c r="X613" s="99" t="n"/>
      <c r="Y613" s="99" t="n"/>
      <c r="Z613" s="99" t="n"/>
      <c r="AA613" s="62" t="n"/>
      <c r="AB613" s="62" t="n"/>
      <c r="AC613" s="63" t="n"/>
      <c r="AD613" s="356" t="n"/>
      <c r="AE613" s="356" t="n"/>
      <c r="AF613" s="57" t="n"/>
      <c r="AG613" s="28" t="n"/>
      <c r="AH613" s="57" t="n"/>
      <c r="AI613" s="28" t="n"/>
      <c r="AJ613" s="134" t="n"/>
      <c r="AK613" s="212" t="n"/>
      <c r="AL613" s="293" t="inlineStr">
        <is>
          <t>v116</t>
        </is>
      </c>
      <c r="AM613" s="122">
        <f>IF(OR(X613="",F613=""),"",X613-F613)</f>
        <v/>
      </c>
      <c r="AN613" s="98">
        <f>IF(OR(Y613="",G613=""),"",Y613-G613)</f>
        <v/>
      </c>
      <c r="AO613" s="98">
        <f>IF(OR(Z613="",H613=""),"",Z613-H613)</f>
        <v/>
      </c>
      <c r="AP613" s="98">
        <f>IF(OR(AA613="",I613=""),"",AA613-I613)</f>
        <v/>
      </c>
      <c r="AQ613" s="123">
        <f>IF(OR(AB613="",J613=""),"",AB613-J613)</f>
        <v/>
      </c>
      <c r="AR613" s="39" t="n"/>
      <c r="AS613" s="332" t="n"/>
      <c r="AT613" s="39" t="n"/>
    </row>
    <row r="614" ht="13.5" customHeight="1" s="279">
      <c r="B614" s="294" t="n"/>
      <c r="C614" s="29" t="inlineStr">
        <is>
          <t>r02</t>
        </is>
      </c>
      <c r="D614" s="191" t="n"/>
      <c r="E614" s="58" t="n"/>
      <c r="F614" s="192" t="n"/>
      <c r="G614" s="192" t="n"/>
      <c r="H614" s="192" t="n"/>
      <c r="I614" s="64" t="n"/>
      <c r="J614" s="64" t="n"/>
      <c r="K614" s="193" t="n"/>
      <c r="L614" s="357" t="n"/>
      <c r="M614" s="357" t="n"/>
      <c r="N614" s="58" t="n"/>
      <c r="O614" s="30" t="n"/>
      <c r="P614" s="58" t="n"/>
      <c r="Q614" s="30" t="n"/>
      <c r="R614" s="135" t="n"/>
      <c r="S614" s="301" t="n"/>
      <c r="T614" s="294" t="n"/>
      <c r="U614" s="29" t="inlineStr">
        <is>
          <t>r02</t>
        </is>
      </c>
      <c r="V614" s="191" t="n"/>
      <c r="W614" s="58" t="n"/>
      <c r="X614" s="192" t="n"/>
      <c r="Y614" s="192" t="n"/>
      <c r="Z614" s="192" t="n"/>
      <c r="AA614" s="64" t="n"/>
      <c r="AB614" s="64" t="n"/>
      <c r="AC614" s="193" t="n"/>
      <c r="AD614" s="357" t="n"/>
      <c r="AE614" s="357" t="n"/>
      <c r="AF614" s="58" t="n"/>
      <c r="AG614" s="30" t="n"/>
      <c r="AH614" s="58" t="n"/>
      <c r="AI614" s="30" t="n"/>
      <c r="AJ614" s="135" t="n"/>
      <c r="AK614" s="212" t="n"/>
      <c r="AL614" s="294" t="n"/>
      <c r="AM614" s="89">
        <f>IF(OR(X614="",F614=""),"",X614-F614)</f>
        <v/>
      </c>
      <c r="AN614" s="124">
        <f>IF(OR(Y614="",G614=""),"",Y614-G614)</f>
        <v/>
      </c>
      <c r="AO614" s="124">
        <f>IF(OR(Z614="",H614=""),"",Z614-H614)</f>
        <v/>
      </c>
      <c r="AP614" s="124">
        <f>IF(OR(AA614="",I614=""),"",AA614-I614)</f>
        <v/>
      </c>
      <c r="AQ614" s="90">
        <f>IF(OR(AB614="",J614=""),"",AB614-J614)</f>
        <v/>
      </c>
      <c r="AR614" s="39" t="n"/>
      <c r="AS614" s="332" t="n"/>
      <c r="AT614" s="39" t="n"/>
    </row>
    <row r="615" ht="13.5" customHeight="1" s="279">
      <c r="B615" s="294" t="n"/>
      <c r="C615" s="29" t="inlineStr">
        <is>
          <t>r03</t>
        </is>
      </c>
      <c r="D615" s="191" t="n"/>
      <c r="E615" s="58" t="n"/>
      <c r="F615" s="192" t="n"/>
      <c r="G615" s="192" t="n"/>
      <c r="H615" s="192" t="n"/>
      <c r="I615" s="64" t="n"/>
      <c r="J615" s="64" t="n"/>
      <c r="K615" s="193" t="n"/>
      <c r="L615" s="357" t="n"/>
      <c r="M615" s="357" t="n"/>
      <c r="N615" s="58" t="n"/>
      <c r="O615" s="30" t="n"/>
      <c r="P615" s="58" t="n"/>
      <c r="Q615" s="30" t="n"/>
      <c r="R615" s="135" t="n"/>
      <c r="S615" s="301" t="n"/>
      <c r="T615" s="294" t="n"/>
      <c r="U615" s="29" t="inlineStr">
        <is>
          <t>r03</t>
        </is>
      </c>
      <c r="V615" s="191" t="n"/>
      <c r="W615" s="58" t="n"/>
      <c r="X615" s="192" t="n"/>
      <c r="Y615" s="192" t="n"/>
      <c r="Z615" s="192" t="n"/>
      <c r="AA615" s="64" t="n"/>
      <c r="AB615" s="64" t="n"/>
      <c r="AC615" s="193" t="n"/>
      <c r="AD615" s="357" t="n"/>
      <c r="AE615" s="357" t="n"/>
      <c r="AF615" s="58" t="n"/>
      <c r="AG615" s="30" t="n"/>
      <c r="AH615" s="58" t="n"/>
      <c r="AI615" s="30" t="n"/>
      <c r="AJ615" s="135" t="n"/>
      <c r="AK615" s="212" t="n"/>
      <c r="AL615" s="294" t="n"/>
      <c r="AM615" s="89">
        <f>IF(OR(X615="",F615=""),"",X615-F615)</f>
        <v/>
      </c>
      <c r="AN615" s="124">
        <f>IF(OR(Y615="",G615=""),"",Y615-G615)</f>
        <v/>
      </c>
      <c r="AO615" s="124">
        <f>IF(OR(Z615="",H615=""),"",Z615-H615)</f>
        <v/>
      </c>
      <c r="AP615" s="124">
        <f>IF(OR(AA615="",I615=""),"",AA615-I615)</f>
        <v/>
      </c>
      <c r="AQ615" s="90">
        <f>IF(OR(AB615="",J615=""),"",AB615-J615)</f>
        <v/>
      </c>
      <c r="AR615" s="39" t="n"/>
      <c r="AS615" s="332" t="n"/>
      <c r="AT615" s="39" t="n"/>
    </row>
    <row r="616" ht="13.5" customHeight="1" s="279">
      <c r="B616" s="294" t="n"/>
      <c r="C616" s="29" t="inlineStr">
        <is>
          <t>r04</t>
        </is>
      </c>
      <c r="D616" s="191" t="n"/>
      <c r="E616" s="58" t="n"/>
      <c r="F616" s="192" t="n"/>
      <c r="G616" s="192" t="n"/>
      <c r="H616" s="192" t="n"/>
      <c r="I616" s="64" t="n"/>
      <c r="J616" s="64" t="n"/>
      <c r="K616" s="193" t="n"/>
      <c r="L616" s="357" t="n"/>
      <c r="M616" s="357" t="n"/>
      <c r="N616" s="58" t="n"/>
      <c r="O616" s="30" t="n"/>
      <c r="P616" s="58" t="n"/>
      <c r="Q616" s="30" t="n"/>
      <c r="R616" s="135" t="n"/>
      <c r="S616" s="301" t="n"/>
      <c r="T616" s="294" t="n"/>
      <c r="U616" s="29" t="inlineStr">
        <is>
          <t>r04</t>
        </is>
      </c>
      <c r="V616" s="191" t="n"/>
      <c r="W616" s="58" t="n"/>
      <c r="X616" s="192" t="n"/>
      <c r="Y616" s="192" t="n"/>
      <c r="Z616" s="192" t="n"/>
      <c r="AA616" s="64" t="n"/>
      <c r="AB616" s="64" t="n"/>
      <c r="AC616" s="193" t="n"/>
      <c r="AD616" s="357" t="n"/>
      <c r="AE616" s="357" t="n"/>
      <c r="AF616" s="58" t="n"/>
      <c r="AG616" s="30" t="n"/>
      <c r="AH616" s="58" t="n"/>
      <c r="AI616" s="30" t="n"/>
      <c r="AJ616" s="135" t="n"/>
      <c r="AK616" s="212" t="n"/>
      <c r="AL616" s="294" t="n"/>
      <c r="AM616" s="89">
        <f>IF(OR(X616="",F616=""),"",X616-F616)</f>
        <v/>
      </c>
      <c r="AN616" s="124">
        <f>IF(OR(Y616="",G616=""),"",Y616-G616)</f>
        <v/>
      </c>
      <c r="AO616" s="124">
        <f>IF(OR(Z616="",H616=""),"",Z616-H616)</f>
        <v/>
      </c>
      <c r="AP616" s="124">
        <f>IF(OR(AA616="",I616=""),"",AA616-I616)</f>
        <v/>
      </c>
      <c r="AQ616" s="90">
        <f>IF(OR(AB616="",J616=""),"",AB616-J616)</f>
        <v/>
      </c>
      <c r="AR616" s="39" t="n"/>
      <c r="AS616" s="332" t="n"/>
      <c r="AT616" s="39" t="n"/>
    </row>
    <row r="617" ht="13.5" customHeight="1" s="279" thickBot="1">
      <c r="B617" s="295" t="n"/>
      <c r="C617" s="29" t="n"/>
      <c r="D617" s="191" t="n"/>
      <c r="E617" s="58" t="n"/>
      <c r="F617" s="194" t="n"/>
      <c r="G617" s="194" t="n"/>
      <c r="H617" s="194" t="n"/>
      <c r="I617" s="58" t="n"/>
      <c r="J617" s="58" t="n"/>
      <c r="K617" s="193" t="n"/>
      <c r="L617" s="357" t="n"/>
      <c r="M617" s="357" t="n"/>
      <c r="N617" s="58" t="n"/>
      <c r="O617" s="30" t="n"/>
      <c r="P617" s="58" t="n"/>
      <c r="Q617" s="30" t="n"/>
      <c r="R617" s="189" t="n"/>
      <c r="S617" s="301" t="n"/>
      <c r="T617" s="295" t="n"/>
      <c r="U617" s="29" t="n"/>
      <c r="V617" s="191" t="n"/>
      <c r="W617" s="58" t="n"/>
      <c r="X617" s="194" t="n"/>
      <c r="Y617" s="194" t="n"/>
      <c r="Z617" s="194" t="n"/>
      <c r="AA617" s="58" t="n"/>
      <c r="AB617" s="58" t="n"/>
      <c r="AC617" s="193" t="n"/>
      <c r="AD617" s="357" t="n"/>
      <c r="AE617" s="357" t="n"/>
      <c r="AF617" s="58" t="n"/>
      <c r="AG617" s="30" t="n"/>
      <c r="AH617" s="58" t="n"/>
      <c r="AI617" s="30" t="n"/>
      <c r="AJ617" s="189" t="n"/>
      <c r="AK617" s="212" t="n"/>
      <c r="AL617" s="295" t="n"/>
      <c r="AM617" s="125">
        <f>IF(OR(X617="",F617=""),"",X617-F617)</f>
        <v/>
      </c>
      <c r="AN617" s="126">
        <f>IF(OR(Y617="",G617=""),"",Y617-G617)</f>
        <v/>
      </c>
      <c r="AO617" s="126">
        <f>IF(OR(Z617="",H617=""),"",Z617-H617)</f>
        <v/>
      </c>
      <c r="AP617" s="126">
        <f>IF(OR(AA617="",I617=""),"",AA617-I617)</f>
        <v/>
      </c>
      <c r="AQ617" s="127">
        <f>IF(OR(AB617="",J617=""),"",AB617-J617)</f>
        <v/>
      </c>
      <c r="AR617" s="39" t="n"/>
      <c r="AS617" s="332" t="n"/>
      <c r="AT617" s="39" t="n"/>
    </row>
    <row r="618" ht="13.5" customHeight="1" s="279">
      <c r="B618" s="293" t="inlineStr">
        <is>
          <t>v117</t>
        </is>
      </c>
      <c r="C618" s="27" t="inlineStr">
        <is>
          <t>r01</t>
        </is>
      </c>
      <c r="D618" s="41" t="n"/>
      <c r="E618" s="57" t="n"/>
      <c r="F618" s="99" t="n"/>
      <c r="G618" s="99" t="n"/>
      <c r="H618" s="99" t="n"/>
      <c r="I618" s="62" t="n"/>
      <c r="J618" s="62" t="n"/>
      <c r="K618" s="63" t="n"/>
      <c r="L618" s="356" t="n"/>
      <c r="M618" s="356" t="n"/>
      <c r="N618" s="57" t="n"/>
      <c r="O618" s="28" t="n"/>
      <c r="P618" s="57" t="n"/>
      <c r="Q618" s="28" t="n"/>
      <c r="R618" s="134" t="n"/>
      <c r="S618" s="301" t="n"/>
      <c r="T618" s="293" t="inlineStr">
        <is>
          <t>v117</t>
        </is>
      </c>
      <c r="U618" s="27" t="inlineStr">
        <is>
          <t>r01</t>
        </is>
      </c>
      <c r="V618" s="41" t="n"/>
      <c r="W618" s="57" t="n"/>
      <c r="X618" s="99" t="n"/>
      <c r="Y618" s="99" t="n"/>
      <c r="Z618" s="99" t="n"/>
      <c r="AA618" s="62" t="n"/>
      <c r="AB618" s="62" t="n"/>
      <c r="AC618" s="63" t="n"/>
      <c r="AD618" s="356" t="n"/>
      <c r="AE618" s="356" t="n"/>
      <c r="AF618" s="57" t="n"/>
      <c r="AG618" s="28" t="n"/>
      <c r="AH618" s="57" t="n"/>
      <c r="AI618" s="28" t="n"/>
      <c r="AJ618" s="134" t="n"/>
      <c r="AK618" s="212" t="n"/>
      <c r="AL618" s="293" t="inlineStr">
        <is>
          <t>v117</t>
        </is>
      </c>
      <c r="AM618" s="122">
        <f>IF(OR(X618="",F618=""),"",X618-F618)</f>
        <v/>
      </c>
      <c r="AN618" s="98">
        <f>IF(OR(Y618="",G618=""),"",Y618-G618)</f>
        <v/>
      </c>
      <c r="AO618" s="98">
        <f>IF(OR(Z618="",H618=""),"",Z618-H618)</f>
        <v/>
      </c>
      <c r="AP618" s="98">
        <f>IF(OR(AA618="",I618=""),"",AA618-I618)</f>
        <v/>
      </c>
      <c r="AQ618" s="123">
        <f>IF(OR(AB618="",J618=""),"",AB618-J618)</f>
        <v/>
      </c>
      <c r="AR618" s="39" t="n"/>
      <c r="AS618" s="332" t="n"/>
      <c r="AT618" s="39" t="n"/>
    </row>
    <row r="619" ht="13.5" customHeight="1" s="279">
      <c r="B619" s="294" t="n"/>
      <c r="C619" s="29" t="inlineStr">
        <is>
          <t>r02</t>
        </is>
      </c>
      <c r="D619" s="191" t="n"/>
      <c r="E619" s="58" t="n"/>
      <c r="F619" s="192" t="n"/>
      <c r="G619" s="192" t="n"/>
      <c r="H619" s="192" t="n"/>
      <c r="I619" s="64" t="n"/>
      <c r="J619" s="64" t="n"/>
      <c r="K619" s="193" t="n"/>
      <c r="L619" s="357" t="n"/>
      <c r="M619" s="357" t="n"/>
      <c r="N619" s="58" t="n"/>
      <c r="O619" s="30" t="n"/>
      <c r="P619" s="58" t="n"/>
      <c r="Q619" s="30" t="n"/>
      <c r="R619" s="135" t="n"/>
      <c r="S619" s="301" t="n"/>
      <c r="T619" s="294" t="n"/>
      <c r="U619" s="29" t="inlineStr">
        <is>
          <t>r02</t>
        </is>
      </c>
      <c r="V619" s="191" t="n"/>
      <c r="W619" s="58" t="n"/>
      <c r="X619" s="192" t="n"/>
      <c r="Y619" s="192" t="n"/>
      <c r="Z619" s="192" t="n"/>
      <c r="AA619" s="64" t="n"/>
      <c r="AB619" s="64" t="n"/>
      <c r="AC619" s="193" t="n"/>
      <c r="AD619" s="357" t="n"/>
      <c r="AE619" s="357" t="n"/>
      <c r="AF619" s="58" t="n"/>
      <c r="AG619" s="30" t="n"/>
      <c r="AH619" s="58" t="n"/>
      <c r="AI619" s="30" t="n"/>
      <c r="AJ619" s="135" t="n"/>
      <c r="AK619" s="212" t="n"/>
      <c r="AL619" s="294" t="n"/>
      <c r="AM619" s="89">
        <f>IF(OR(X619="",F619=""),"",X619-F619)</f>
        <v/>
      </c>
      <c r="AN619" s="124">
        <f>IF(OR(Y619="",G619=""),"",Y619-G619)</f>
        <v/>
      </c>
      <c r="AO619" s="124">
        <f>IF(OR(Z619="",H619=""),"",Z619-H619)</f>
        <v/>
      </c>
      <c r="AP619" s="124">
        <f>IF(OR(AA619="",I619=""),"",AA619-I619)</f>
        <v/>
      </c>
      <c r="AQ619" s="90">
        <f>IF(OR(AB619="",J619=""),"",AB619-J619)</f>
        <v/>
      </c>
      <c r="AR619" s="39" t="n"/>
      <c r="AS619" s="332" t="n"/>
      <c r="AT619" s="39" t="n"/>
    </row>
    <row r="620" ht="13.5" customHeight="1" s="279">
      <c r="B620" s="294" t="n"/>
      <c r="C620" s="29" t="inlineStr">
        <is>
          <t>r03</t>
        </is>
      </c>
      <c r="D620" s="191" t="n"/>
      <c r="E620" s="58" t="n"/>
      <c r="F620" s="192" t="n"/>
      <c r="G620" s="192" t="n"/>
      <c r="H620" s="192" t="n"/>
      <c r="I620" s="64" t="n"/>
      <c r="J620" s="64" t="n"/>
      <c r="K620" s="193" t="n"/>
      <c r="L620" s="357" t="n"/>
      <c r="M620" s="357" t="n"/>
      <c r="N620" s="58" t="n"/>
      <c r="O620" s="30" t="n"/>
      <c r="P620" s="58" t="n"/>
      <c r="Q620" s="30" t="n"/>
      <c r="R620" s="135" t="n"/>
      <c r="S620" s="301" t="n"/>
      <c r="T620" s="294" t="n"/>
      <c r="U620" s="29" t="inlineStr">
        <is>
          <t>r03</t>
        </is>
      </c>
      <c r="V620" s="191" t="n"/>
      <c r="W620" s="58" t="n"/>
      <c r="X620" s="192" t="n"/>
      <c r="Y620" s="192" t="n"/>
      <c r="Z620" s="192" t="n"/>
      <c r="AA620" s="64" t="n"/>
      <c r="AB620" s="64" t="n"/>
      <c r="AC620" s="193" t="n"/>
      <c r="AD620" s="357" t="n"/>
      <c r="AE620" s="357" t="n"/>
      <c r="AF620" s="58" t="n"/>
      <c r="AG620" s="30" t="n"/>
      <c r="AH620" s="58" t="n"/>
      <c r="AI620" s="30" t="n"/>
      <c r="AJ620" s="135" t="n"/>
      <c r="AK620" s="212" t="n"/>
      <c r="AL620" s="294" t="n"/>
      <c r="AM620" s="89">
        <f>IF(OR(X620="",F620=""),"",X620-F620)</f>
        <v/>
      </c>
      <c r="AN620" s="124">
        <f>IF(OR(Y620="",G620=""),"",Y620-G620)</f>
        <v/>
      </c>
      <c r="AO620" s="124">
        <f>IF(OR(Z620="",H620=""),"",Z620-H620)</f>
        <v/>
      </c>
      <c r="AP620" s="124">
        <f>IF(OR(AA620="",I620=""),"",AA620-I620)</f>
        <v/>
      </c>
      <c r="AQ620" s="90">
        <f>IF(OR(AB620="",J620=""),"",AB620-J620)</f>
        <v/>
      </c>
      <c r="AR620" s="39" t="n"/>
      <c r="AS620" s="332" t="n"/>
      <c r="AT620" s="39" t="n"/>
    </row>
    <row r="621" ht="13.5" customHeight="1" s="279">
      <c r="B621" s="294" t="n"/>
      <c r="C621" s="29" t="inlineStr">
        <is>
          <t>r04</t>
        </is>
      </c>
      <c r="D621" s="191" t="n"/>
      <c r="E621" s="58" t="n"/>
      <c r="F621" s="192" t="n"/>
      <c r="G621" s="192" t="n"/>
      <c r="H621" s="192" t="n"/>
      <c r="I621" s="64" t="n"/>
      <c r="J621" s="64" t="n"/>
      <c r="K621" s="193" t="n"/>
      <c r="L621" s="357" t="n"/>
      <c r="M621" s="357" t="n"/>
      <c r="N621" s="58" t="n"/>
      <c r="O621" s="30" t="n"/>
      <c r="P621" s="58" t="n"/>
      <c r="Q621" s="30" t="n"/>
      <c r="R621" s="135" t="n"/>
      <c r="S621" s="301" t="n"/>
      <c r="T621" s="294" t="n"/>
      <c r="U621" s="29" t="inlineStr">
        <is>
          <t>r04</t>
        </is>
      </c>
      <c r="V621" s="191" t="n"/>
      <c r="W621" s="58" t="n"/>
      <c r="X621" s="192" t="n"/>
      <c r="Y621" s="192" t="n"/>
      <c r="Z621" s="192" t="n"/>
      <c r="AA621" s="64" t="n"/>
      <c r="AB621" s="64" t="n"/>
      <c r="AC621" s="193" t="n"/>
      <c r="AD621" s="357" t="n"/>
      <c r="AE621" s="357" t="n"/>
      <c r="AF621" s="58" t="n"/>
      <c r="AG621" s="30" t="n"/>
      <c r="AH621" s="58" t="n"/>
      <c r="AI621" s="30" t="n"/>
      <c r="AJ621" s="135" t="n"/>
      <c r="AK621" s="212" t="n"/>
      <c r="AL621" s="294" t="n"/>
      <c r="AM621" s="89">
        <f>IF(OR(X621="",F621=""),"",X621-F621)</f>
        <v/>
      </c>
      <c r="AN621" s="124">
        <f>IF(OR(Y621="",G621=""),"",Y621-G621)</f>
        <v/>
      </c>
      <c r="AO621" s="124">
        <f>IF(OR(Z621="",H621=""),"",Z621-H621)</f>
        <v/>
      </c>
      <c r="AP621" s="124">
        <f>IF(OR(AA621="",I621=""),"",AA621-I621)</f>
        <v/>
      </c>
      <c r="AQ621" s="90">
        <f>IF(OR(AB621="",J621=""),"",AB621-J621)</f>
        <v/>
      </c>
      <c r="AR621" s="39" t="n"/>
      <c r="AS621" s="332" t="n"/>
      <c r="AT621" s="39" t="n"/>
    </row>
    <row r="622" ht="13.5" customHeight="1" s="279" thickBot="1">
      <c r="B622" s="295" t="n"/>
      <c r="C622" s="29" t="n"/>
      <c r="D622" s="191" t="n"/>
      <c r="E622" s="58" t="n"/>
      <c r="F622" s="194" t="n"/>
      <c r="G622" s="194" t="n"/>
      <c r="H622" s="194" t="n"/>
      <c r="I622" s="58" t="n"/>
      <c r="J622" s="58" t="n"/>
      <c r="K622" s="193" t="n"/>
      <c r="L622" s="357" t="n"/>
      <c r="M622" s="357" t="n"/>
      <c r="N622" s="58" t="n"/>
      <c r="O622" s="30" t="n"/>
      <c r="P622" s="58" t="n"/>
      <c r="Q622" s="30" t="n"/>
      <c r="R622" s="189" t="n"/>
      <c r="S622" s="301" t="n"/>
      <c r="T622" s="295" t="n"/>
      <c r="U622" s="29" t="n"/>
      <c r="V622" s="191" t="n"/>
      <c r="W622" s="58" t="n"/>
      <c r="X622" s="194" t="n"/>
      <c r="Y622" s="194" t="n"/>
      <c r="Z622" s="194" t="n"/>
      <c r="AA622" s="58" t="n"/>
      <c r="AB622" s="58" t="n"/>
      <c r="AC622" s="193" t="n"/>
      <c r="AD622" s="357" t="n"/>
      <c r="AE622" s="357" t="n"/>
      <c r="AF622" s="58" t="n"/>
      <c r="AG622" s="30" t="n"/>
      <c r="AH622" s="58" t="n"/>
      <c r="AI622" s="30" t="n"/>
      <c r="AJ622" s="189" t="n"/>
      <c r="AK622" s="212" t="n"/>
      <c r="AL622" s="295" t="n"/>
      <c r="AM622" s="125">
        <f>IF(OR(X622="",F622=""),"",X622-F622)</f>
        <v/>
      </c>
      <c r="AN622" s="126">
        <f>IF(OR(Y622="",G622=""),"",Y622-G622)</f>
        <v/>
      </c>
      <c r="AO622" s="126">
        <f>IF(OR(Z622="",H622=""),"",Z622-H622)</f>
        <v/>
      </c>
      <c r="AP622" s="126">
        <f>IF(OR(AA622="",I622=""),"",AA622-I622)</f>
        <v/>
      </c>
      <c r="AQ622" s="127">
        <f>IF(OR(AB622="",J622=""),"",AB622-J622)</f>
        <v/>
      </c>
      <c r="AR622" s="39" t="n"/>
      <c r="AS622" s="332" t="n"/>
      <c r="AT622" s="39" t="n"/>
    </row>
    <row r="623" ht="13.5" customHeight="1" s="279">
      <c r="B623" s="293" t="inlineStr">
        <is>
          <t>v118</t>
        </is>
      </c>
      <c r="C623" s="27" t="inlineStr">
        <is>
          <t>r01</t>
        </is>
      </c>
      <c r="D623" s="41" t="n"/>
      <c r="E623" s="57" t="n"/>
      <c r="F623" s="99" t="n"/>
      <c r="G623" s="99" t="n"/>
      <c r="H623" s="99" t="n"/>
      <c r="I623" s="62" t="n"/>
      <c r="J623" s="62" t="n"/>
      <c r="K623" s="63" t="n"/>
      <c r="L623" s="356" t="n"/>
      <c r="M623" s="356" t="n"/>
      <c r="N623" s="57" t="n"/>
      <c r="O623" s="28" t="n"/>
      <c r="P623" s="57" t="n"/>
      <c r="Q623" s="28" t="n"/>
      <c r="R623" s="134" t="n"/>
      <c r="S623" s="301" t="n"/>
      <c r="T623" s="293" t="inlineStr">
        <is>
          <t>v118</t>
        </is>
      </c>
      <c r="U623" s="27" t="inlineStr">
        <is>
          <t>r01</t>
        </is>
      </c>
      <c r="V623" s="41" t="n"/>
      <c r="W623" s="57" t="n"/>
      <c r="X623" s="99" t="n"/>
      <c r="Y623" s="99" t="n"/>
      <c r="Z623" s="99" t="n"/>
      <c r="AA623" s="62" t="n"/>
      <c r="AB623" s="62" t="n"/>
      <c r="AC623" s="63" t="n"/>
      <c r="AD623" s="356" t="n"/>
      <c r="AE623" s="356" t="n"/>
      <c r="AF623" s="57" t="n"/>
      <c r="AG623" s="28" t="n"/>
      <c r="AH623" s="57" t="n"/>
      <c r="AI623" s="28" t="n"/>
      <c r="AJ623" s="134" t="n"/>
      <c r="AK623" s="212" t="n"/>
      <c r="AL623" s="293" t="inlineStr">
        <is>
          <t>v118</t>
        </is>
      </c>
      <c r="AM623" s="122">
        <f>IF(OR(X623="",F623=""),"",X623-F623)</f>
        <v/>
      </c>
      <c r="AN623" s="98">
        <f>IF(OR(Y623="",G623=""),"",Y623-G623)</f>
        <v/>
      </c>
      <c r="AO623" s="98">
        <f>IF(OR(Z623="",H623=""),"",Z623-H623)</f>
        <v/>
      </c>
      <c r="AP623" s="98">
        <f>IF(OR(AA623="",I623=""),"",AA623-I623)</f>
        <v/>
      </c>
      <c r="AQ623" s="123">
        <f>IF(OR(AB623="",J623=""),"",AB623-J623)</f>
        <v/>
      </c>
      <c r="AR623" s="39" t="n"/>
      <c r="AS623" s="332" t="n"/>
      <c r="AT623" s="39" t="n"/>
    </row>
    <row r="624" ht="13.5" customHeight="1" s="279">
      <c r="B624" s="294" t="n"/>
      <c r="C624" s="29" t="inlineStr">
        <is>
          <t>r02</t>
        </is>
      </c>
      <c r="D624" s="191" t="n"/>
      <c r="E624" s="58" t="n"/>
      <c r="F624" s="192" t="n"/>
      <c r="G624" s="192" t="n"/>
      <c r="H624" s="192" t="n"/>
      <c r="I624" s="64" t="n"/>
      <c r="J624" s="64" t="n"/>
      <c r="K624" s="193" t="n"/>
      <c r="L624" s="357" t="n"/>
      <c r="M624" s="357" t="n"/>
      <c r="N624" s="58" t="n"/>
      <c r="O624" s="30" t="n"/>
      <c r="P624" s="58" t="n"/>
      <c r="Q624" s="30" t="n"/>
      <c r="R624" s="135" t="n"/>
      <c r="S624" s="301" t="n"/>
      <c r="T624" s="294" t="n"/>
      <c r="U624" s="29" t="inlineStr">
        <is>
          <t>r02</t>
        </is>
      </c>
      <c r="V624" s="191" t="n"/>
      <c r="W624" s="58" t="n"/>
      <c r="X624" s="192" t="n"/>
      <c r="Y624" s="192" t="n"/>
      <c r="Z624" s="192" t="n"/>
      <c r="AA624" s="64" t="n"/>
      <c r="AB624" s="64" t="n"/>
      <c r="AC624" s="193" t="n"/>
      <c r="AD624" s="357" t="n"/>
      <c r="AE624" s="357" t="n"/>
      <c r="AF624" s="58" t="n"/>
      <c r="AG624" s="30" t="n"/>
      <c r="AH624" s="58" t="n"/>
      <c r="AI624" s="30" t="n"/>
      <c r="AJ624" s="135" t="n"/>
      <c r="AK624" s="212" t="n"/>
      <c r="AL624" s="294" t="n"/>
      <c r="AM624" s="89">
        <f>IF(OR(X624="",F624=""),"",X624-F624)</f>
        <v/>
      </c>
      <c r="AN624" s="124">
        <f>IF(OR(Y624="",G624=""),"",Y624-G624)</f>
        <v/>
      </c>
      <c r="AO624" s="124">
        <f>IF(OR(Z624="",H624=""),"",Z624-H624)</f>
        <v/>
      </c>
      <c r="AP624" s="124">
        <f>IF(OR(AA624="",I624=""),"",AA624-I624)</f>
        <v/>
      </c>
      <c r="AQ624" s="90">
        <f>IF(OR(AB624="",J624=""),"",AB624-J624)</f>
        <v/>
      </c>
      <c r="AR624" s="39" t="n"/>
      <c r="AS624" s="332" t="n"/>
      <c r="AT624" s="39" t="n"/>
    </row>
    <row r="625" ht="13.5" customHeight="1" s="279">
      <c r="B625" s="294" t="n"/>
      <c r="C625" s="29" t="inlineStr">
        <is>
          <t>r03</t>
        </is>
      </c>
      <c r="D625" s="191" t="n"/>
      <c r="E625" s="58" t="n"/>
      <c r="F625" s="192" t="n"/>
      <c r="G625" s="192" t="n"/>
      <c r="H625" s="192" t="n"/>
      <c r="I625" s="64" t="n"/>
      <c r="J625" s="64" t="n"/>
      <c r="K625" s="193" t="n"/>
      <c r="L625" s="357" t="n"/>
      <c r="M625" s="357" t="n"/>
      <c r="N625" s="58" t="n"/>
      <c r="O625" s="30" t="n"/>
      <c r="P625" s="58" t="n"/>
      <c r="Q625" s="30" t="n"/>
      <c r="R625" s="135" t="n"/>
      <c r="S625" s="301" t="n"/>
      <c r="T625" s="294" t="n"/>
      <c r="U625" s="29" t="inlineStr">
        <is>
          <t>r03</t>
        </is>
      </c>
      <c r="V625" s="191" t="n"/>
      <c r="W625" s="58" t="n"/>
      <c r="X625" s="192" t="n"/>
      <c r="Y625" s="192" t="n"/>
      <c r="Z625" s="192" t="n"/>
      <c r="AA625" s="64" t="n"/>
      <c r="AB625" s="64" t="n"/>
      <c r="AC625" s="193" t="n"/>
      <c r="AD625" s="357" t="n"/>
      <c r="AE625" s="357" t="n"/>
      <c r="AF625" s="58" t="n"/>
      <c r="AG625" s="30" t="n"/>
      <c r="AH625" s="58" t="n"/>
      <c r="AI625" s="30" t="n"/>
      <c r="AJ625" s="135" t="n"/>
      <c r="AK625" s="212" t="n"/>
      <c r="AL625" s="294" t="n"/>
      <c r="AM625" s="89">
        <f>IF(OR(X625="",F625=""),"",X625-F625)</f>
        <v/>
      </c>
      <c r="AN625" s="124">
        <f>IF(OR(Y625="",G625=""),"",Y625-G625)</f>
        <v/>
      </c>
      <c r="AO625" s="124">
        <f>IF(OR(Z625="",H625=""),"",Z625-H625)</f>
        <v/>
      </c>
      <c r="AP625" s="124">
        <f>IF(OR(AA625="",I625=""),"",AA625-I625)</f>
        <v/>
      </c>
      <c r="AQ625" s="90">
        <f>IF(OR(AB625="",J625=""),"",AB625-J625)</f>
        <v/>
      </c>
      <c r="AR625" s="39" t="n"/>
      <c r="AS625" s="332" t="n"/>
      <c r="AT625" s="39" t="n"/>
    </row>
    <row r="626" ht="13.5" customHeight="1" s="279">
      <c r="B626" s="294" t="n"/>
      <c r="C626" s="29" t="inlineStr">
        <is>
          <t>r04</t>
        </is>
      </c>
      <c r="D626" s="191" t="n"/>
      <c r="E626" s="58" t="n"/>
      <c r="F626" s="192" t="n"/>
      <c r="G626" s="192" t="n"/>
      <c r="H626" s="192" t="n"/>
      <c r="I626" s="64" t="n"/>
      <c r="J626" s="64" t="n"/>
      <c r="K626" s="193" t="n"/>
      <c r="L626" s="357" t="n"/>
      <c r="M626" s="357" t="n"/>
      <c r="N626" s="58" t="n"/>
      <c r="O626" s="30" t="n"/>
      <c r="P626" s="58" t="n"/>
      <c r="Q626" s="30" t="n"/>
      <c r="R626" s="135" t="n"/>
      <c r="S626" s="301" t="n"/>
      <c r="T626" s="294" t="n"/>
      <c r="U626" s="29" t="inlineStr">
        <is>
          <t>r04</t>
        </is>
      </c>
      <c r="V626" s="191" t="n"/>
      <c r="W626" s="58" t="n"/>
      <c r="X626" s="192" t="n"/>
      <c r="Y626" s="192" t="n"/>
      <c r="Z626" s="192" t="n"/>
      <c r="AA626" s="64" t="n"/>
      <c r="AB626" s="64" t="n"/>
      <c r="AC626" s="193" t="n"/>
      <c r="AD626" s="357" t="n"/>
      <c r="AE626" s="357" t="n"/>
      <c r="AF626" s="58" t="n"/>
      <c r="AG626" s="30" t="n"/>
      <c r="AH626" s="58" t="n"/>
      <c r="AI626" s="30" t="n"/>
      <c r="AJ626" s="135" t="n"/>
      <c r="AK626" s="212" t="n"/>
      <c r="AL626" s="294" t="n"/>
      <c r="AM626" s="89">
        <f>IF(OR(X626="",F626=""),"",X626-F626)</f>
        <v/>
      </c>
      <c r="AN626" s="124">
        <f>IF(OR(Y626="",G626=""),"",Y626-G626)</f>
        <v/>
      </c>
      <c r="AO626" s="124">
        <f>IF(OR(Z626="",H626=""),"",Z626-H626)</f>
        <v/>
      </c>
      <c r="AP626" s="124">
        <f>IF(OR(AA626="",I626=""),"",AA626-I626)</f>
        <v/>
      </c>
      <c r="AQ626" s="90">
        <f>IF(OR(AB626="",J626=""),"",AB626-J626)</f>
        <v/>
      </c>
      <c r="AR626" s="39" t="n"/>
      <c r="AS626" s="332" t="n"/>
      <c r="AT626" s="39" t="n"/>
    </row>
    <row r="627" ht="13.5" customHeight="1" s="279" thickBot="1">
      <c r="B627" s="295" t="n"/>
      <c r="C627" s="29" t="n"/>
      <c r="D627" s="191" t="n"/>
      <c r="E627" s="58" t="n"/>
      <c r="F627" s="194" t="n"/>
      <c r="G627" s="194" t="n"/>
      <c r="H627" s="194" t="n"/>
      <c r="I627" s="58" t="n"/>
      <c r="J627" s="58" t="n"/>
      <c r="K627" s="193" t="n"/>
      <c r="L627" s="357" t="n"/>
      <c r="M627" s="357" t="n"/>
      <c r="N627" s="58" t="n"/>
      <c r="O627" s="30" t="n"/>
      <c r="P627" s="58" t="n"/>
      <c r="Q627" s="30" t="n"/>
      <c r="R627" s="189" t="n"/>
      <c r="S627" s="301" t="n"/>
      <c r="T627" s="295" t="n"/>
      <c r="U627" s="29" t="n"/>
      <c r="V627" s="191" t="n"/>
      <c r="W627" s="58" t="n"/>
      <c r="X627" s="194" t="n"/>
      <c r="Y627" s="194" t="n"/>
      <c r="Z627" s="194" t="n"/>
      <c r="AA627" s="58" t="n"/>
      <c r="AB627" s="58" t="n"/>
      <c r="AC627" s="193" t="n"/>
      <c r="AD627" s="357" t="n"/>
      <c r="AE627" s="357" t="n"/>
      <c r="AF627" s="58" t="n"/>
      <c r="AG627" s="30" t="n"/>
      <c r="AH627" s="58" t="n"/>
      <c r="AI627" s="30" t="n"/>
      <c r="AJ627" s="189" t="n"/>
      <c r="AK627" s="212" t="n"/>
      <c r="AL627" s="295" t="n"/>
      <c r="AM627" s="125">
        <f>IF(OR(X627="",F627=""),"",X627-F627)</f>
        <v/>
      </c>
      <c r="AN627" s="126">
        <f>IF(OR(Y627="",G627=""),"",Y627-G627)</f>
        <v/>
      </c>
      <c r="AO627" s="126">
        <f>IF(OR(Z627="",H627=""),"",Z627-H627)</f>
        <v/>
      </c>
      <c r="AP627" s="126">
        <f>IF(OR(AA627="",I627=""),"",AA627-I627)</f>
        <v/>
      </c>
      <c r="AQ627" s="127">
        <f>IF(OR(AB627="",J627=""),"",AB627-J627)</f>
        <v/>
      </c>
      <c r="AR627" s="39" t="n"/>
      <c r="AS627" s="332" t="n"/>
      <c r="AT627" s="39" t="n"/>
    </row>
    <row r="628" ht="13.5" customHeight="1" s="279">
      <c r="B628" s="293" t="inlineStr">
        <is>
          <t>v119</t>
        </is>
      </c>
      <c r="C628" s="27" t="inlineStr">
        <is>
          <t>r01</t>
        </is>
      </c>
      <c r="D628" s="41" t="n"/>
      <c r="E628" s="57" t="n"/>
      <c r="F628" s="99" t="n"/>
      <c r="G628" s="99" t="n"/>
      <c r="H628" s="99" t="n"/>
      <c r="I628" s="62" t="n"/>
      <c r="J628" s="62" t="n"/>
      <c r="K628" s="63" t="n"/>
      <c r="L628" s="356" t="n"/>
      <c r="M628" s="356" t="n"/>
      <c r="N628" s="57" t="n"/>
      <c r="O628" s="28" t="n"/>
      <c r="P628" s="57" t="n"/>
      <c r="Q628" s="28" t="n"/>
      <c r="R628" s="134" t="n"/>
      <c r="S628" s="301" t="n"/>
      <c r="T628" s="293" t="inlineStr">
        <is>
          <t>v119</t>
        </is>
      </c>
      <c r="U628" s="27" t="inlineStr">
        <is>
          <t>r01</t>
        </is>
      </c>
      <c r="V628" s="41" t="n"/>
      <c r="W628" s="57" t="n"/>
      <c r="X628" s="99" t="n"/>
      <c r="Y628" s="99" t="n"/>
      <c r="Z628" s="99" t="n"/>
      <c r="AA628" s="62" t="n"/>
      <c r="AB628" s="62" t="n"/>
      <c r="AC628" s="63" t="n"/>
      <c r="AD628" s="356" t="n"/>
      <c r="AE628" s="356" t="n"/>
      <c r="AF628" s="57" t="n"/>
      <c r="AG628" s="28" t="n"/>
      <c r="AH628" s="57" t="n"/>
      <c r="AI628" s="28" t="n"/>
      <c r="AJ628" s="134" t="n"/>
      <c r="AK628" s="212" t="n"/>
      <c r="AL628" s="293" t="inlineStr">
        <is>
          <t>v119</t>
        </is>
      </c>
      <c r="AM628" s="122">
        <f>IF(OR(X628="",F628=""),"",X628-F628)</f>
        <v/>
      </c>
      <c r="AN628" s="98">
        <f>IF(OR(Y628="",G628=""),"",Y628-G628)</f>
        <v/>
      </c>
      <c r="AO628" s="98">
        <f>IF(OR(Z628="",H628=""),"",Z628-H628)</f>
        <v/>
      </c>
      <c r="AP628" s="98">
        <f>IF(OR(AA628="",I628=""),"",AA628-I628)</f>
        <v/>
      </c>
      <c r="AQ628" s="123">
        <f>IF(OR(AB628="",J628=""),"",AB628-J628)</f>
        <v/>
      </c>
      <c r="AR628" s="39" t="n"/>
      <c r="AS628" s="332" t="n"/>
      <c r="AT628" s="39" t="n"/>
    </row>
    <row r="629" ht="13.5" customHeight="1" s="279">
      <c r="B629" s="294" t="n"/>
      <c r="C629" s="29" t="inlineStr">
        <is>
          <t>r02</t>
        </is>
      </c>
      <c r="D629" s="191" t="n"/>
      <c r="E629" s="58" t="n"/>
      <c r="F629" s="192" t="n"/>
      <c r="G629" s="192" t="n"/>
      <c r="H629" s="192" t="n"/>
      <c r="I629" s="64" t="n"/>
      <c r="J629" s="64" t="n"/>
      <c r="K629" s="193" t="n"/>
      <c r="L629" s="357" t="n"/>
      <c r="M629" s="357" t="n"/>
      <c r="N629" s="58" t="n"/>
      <c r="O629" s="30" t="n"/>
      <c r="P629" s="58" t="n"/>
      <c r="Q629" s="30" t="n"/>
      <c r="R629" s="135" t="n"/>
      <c r="S629" s="301" t="n"/>
      <c r="T629" s="294" t="n"/>
      <c r="U629" s="29" t="inlineStr">
        <is>
          <t>r02</t>
        </is>
      </c>
      <c r="V629" s="191" t="n"/>
      <c r="W629" s="58" t="n"/>
      <c r="X629" s="192" t="n"/>
      <c r="Y629" s="192" t="n"/>
      <c r="Z629" s="192" t="n"/>
      <c r="AA629" s="64" t="n"/>
      <c r="AB629" s="64" t="n"/>
      <c r="AC629" s="193" t="n"/>
      <c r="AD629" s="357" t="n"/>
      <c r="AE629" s="357" t="n"/>
      <c r="AF629" s="58" t="n"/>
      <c r="AG629" s="30" t="n"/>
      <c r="AH629" s="58" t="n"/>
      <c r="AI629" s="30" t="n"/>
      <c r="AJ629" s="135" t="n"/>
      <c r="AK629" s="212" t="n"/>
      <c r="AL629" s="294" t="n"/>
      <c r="AM629" s="89">
        <f>IF(OR(X629="",F629=""),"",X629-F629)</f>
        <v/>
      </c>
      <c r="AN629" s="124">
        <f>IF(OR(Y629="",G629=""),"",Y629-G629)</f>
        <v/>
      </c>
      <c r="AO629" s="124">
        <f>IF(OR(Z629="",H629=""),"",Z629-H629)</f>
        <v/>
      </c>
      <c r="AP629" s="124">
        <f>IF(OR(AA629="",I629=""),"",AA629-I629)</f>
        <v/>
      </c>
      <c r="AQ629" s="90">
        <f>IF(OR(AB629="",J629=""),"",AB629-J629)</f>
        <v/>
      </c>
      <c r="AR629" s="39" t="n"/>
      <c r="AS629" s="332" t="n"/>
      <c r="AT629" s="39" t="n"/>
    </row>
    <row r="630" ht="13.5" customHeight="1" s="279">
      <c r="B630" s="294" t="n"/>
      <c r="C630" s="29" t="inlineStr">
        <is>
          <t>r03</t>
        </is>
      </c>
      <c r="D630" s="191" t="n"/>
      <c r="E630" s="58" t="n"/>
      <c r="F630" s="192" t="n"/>
      <c r="G630" s="192" t="n"/>
      <c r="H630" s="192" t="n"/>
      <c r="I630" s="64" t="n"/>
      <c r="J630" s="64" t="n"/>
      <c r="K630" s="193" t="n"/>
      <c r="L630" s="357" t="n"/>
      <c r="M630" s="357" t="n"/>
      <c r="N630" s="58" t="n"/>
      <c r="O630" s="30" t="n"/>
      <c r="P630" s="58" t="n"/>
      <c r="Q630" s="30" t="n"/>
      <c r="R630" s="135" t="n"/>
      <c r="S630" s="301" t="n"/>
      <c r="T630" s="294" t="n"/>
      <c r="U630" s="29" t="inlineStr">
        <is>
          <t>r03</t>
        </is>
      </c>
      <c r="V630" s="191" t="n"/>
      <c r="W630" s="58" t="n"/>
      <c r="X630" s="192" t="n"/>
      <c r="Y630" s="192" t="n"/>
      <c r="Z630" s="192" t="n"/>
      <c r="AA630" s="64" t="n"/>
      <c r="AB630" s="64" t="n"/>
      <c r="AC630" s="193" t="n"/>
      <c r="AD630" s="357" t="n"/>
      <c r="AE630" s="357" t="n"/>
      <c r="AF630" s="58" t="n"/>
      <c r="AG630" s="30" t="n"/>
      <c r="AH630" s="58" t="n"/>
      <c r="AI630" s="30" t="n"/>
      <c r="AJ630" s="135" t="n"/>
      <c r="AK630" s="212" t="n"/>
      <c r="AL630" s="294" t="n"/>
      <c r="AM630" s="89">
        <f>IF(OR(X630="",F630=""),"",X630-F630)</f>
        <v/>
      </c>
      <c r="AN630" s="124">
        <f>IF(OR(Y630="",G630=""),"",Y630-G630)</f>
        <v/>
      </c>
      <c r="AO630" s="124">
        <f>IF(OR(Z630="",H630=""),"",Z630-H630)</f>
        <v/>
      </c>
      <c r="AP630" s="124">
        <f>IF(OR(AA630="",I630=""),"",AA630-I630)</f>
        <v/>
      </c>
      <c r="AQ630" s="90">
        <f>IF(OR(AB630="",J630=""),"",AB630-J630)</f>
        <v/>
      </c>
      <c r="AR630" s="39" t="n"/>
      <c r="AS630" s="332" t="n"/>
      <c r="AT630" s="39" t="n"/>
    </row>
    <row r="631" ht="13.5" customHeight="1" s="279">
      <c r="B631" s="294" t="n"/>
      <c r="C631" s="29" t="inlineStr">
        <is>
          <t>r04</t>
        </is>
      </c>
      <c r="D631" s="191" t="n"/>
      <c r="E631" s="58" t="n"/>
      <c r="F631" s="192" t="n"/>
      <c r="G631" s="192" t="n"/>
      <c r="H631" s="192" t="n"/>
      <c r="I631" s="64" t="n"/>
      <c r="J631" s="64" t="n"/>
      <c r="K631" s="193" t="n"/>
      <c r="L631" s="357" t="n"/>
      <c r="M631" s="357" t="n"/>
      <c r="N631" s="58" t="n"/>
      <c r="O631" s="30" t="n"/>
      <c r="P631" s="58" t="n"/>
      <c r="Q631" s="30" t="n"/>
      <c r="R631" s="135" t="n"/>
      <c r="S631" s="301" t="n"/>
      <c r="T631" s="294" t="n"/>
      <c r="U631" s="29" t="inlineStr">
        <is>
          <t>r04</t>
        </is>
      </c>
      <c r="V631" s="191" t="n"/>
      <c r="W631" s="58" t="n"/>
      <c r="X631" s="192" t="n"/>
      <c r="Y631" s="192" t="n"/>
      <c r="Z631" s="192" t="n"/>
      <c r="AA631" s="64" t="n"/>
      <c r="AB631" s="64" t="n"/>
      <c r="AC631" s="193" t="n"/>
      <c r="AD631" s="357" t="n"/>
      <c r="AE631" s="357" t="n"/>
      <c r="AF631" s="58" t="n"/>
      <c r="AG631" s="30" t="n"/>
      <c r="AH631" s="58" t="n"/>
      <c r="AI631" s="30" t="n"/>
      <c r="AJ631" s="135" t="n"/>
      <c r="AK631" s="212" t="n"/>
      <c r="AL631" s="294" t="n"/>
      <c r="AM631" s="89">
        <f>IF(OR(X631="",F631=""),"",X631-F631)</f>
        <v/>
      </c>
      <c r="AN631" s="124">
        <f>IF(OR(Y631="",G631=""),"",Y631-G631)</f>
        <v/>
      </c>
      <c r="AO631" s="124">
        <f>IF(OR(Z631="",H631=""),"",Z631-H631)</f>
        <v/>
      </c>
      <c r="AP631" s="124">
        <f>IF(OR(AA631="",I631=""),"",AA631-I631)</f>
        <v/>
      </c>
      <c r="AQ631" s="90">
        <f>IF(OR(AB631="",J631=""),"",AB631-J631)</f>
        <v/>
      </c>
      <c r="AR631" s="39" t="n"/>
      <c r="AS631" s="332" t="n"/>
      <c r="AT631" s="39" t="n"/>
    </row>
    <row r="632" ht="13.5" customHeight="1" s="279" thickBot="1">
      <c r="B632" s="295" t="n"/>
      <c r="C632" s="29" t="n"/>
      <c r="D632" s="191" t="n"/>
      <c r="E632" s="58" t="n"/>
      <c r="F632" s="194" t="n"/>
      <c r="G632" s="194" t="n"/>
      <c r="H632" s="194" t="n"/>
      <c r="I632" s="58" t="n"/>
      <c r="J632" s="58" t="n"/>
      <c r="K632" s="193" t="n"/>
      <c r="L632" s="357" t="n"/>
      <c r="M632" s="357" t="n"/>
      <c r="N632" s="58" t="n"/>
      <c r="O632" s="30" t="n"/>
      <c r="P632" s="58" t="n"/>
      <c r="Q632" s="30" t="n"/>
      <c r="R632" s="189" t="n"/>
      <c r="S632" s="301" t="n"/>
      <c r="T632" s="295" t="n"/>
      <c r="U632" s="29" t="n"/>
      <c r="V632" s="191" t="n"/>
      <c r="W632" s="58" t="n"/>
      <c r="X632" s="194" t="n"/>
      <c r="Y632" s="194" t="n"/>
      <c r="Z632" s="194" t="n"/>
      <c r="AA632" s="58" t="n"/>
      <c r="AB632" s="58" t="n"/>
      <c r="AC632" s="193" t="n"/>
      <c r="AD632" s="357" t="n"/>
      <c r="AE632" s="357" t="n"/>
      <c r="AF632" s="58" t="n"/>
      <c r="AG632" s="30" t="n"/>
      <c r="AH632" s="58" t="n"/>
      <c r="AI632" s="30" t="n"/>
      <c r="AJ632" s="189" t="n"/>
      <c r="AK632" s="212" t="n"/>
      <c r="AL632" s="295" t="n"/>
      <c r="AM632" s="125">
        <f>IF(OR(X632="",F632=""),"",X632-F632)</f>
        <v/>
      </c>
      <c r="AN632" s="126">
        <f>IF(OR(Y632="",G632=""),"",Y632-G632)</f>
        <v/>
      </c>
      <c r="AO632" s="126">
        <f>IF(OR(Z632="",H632=""),"",Z632-H632)</f>
        <v/>
      </c>
      <c r="AP632" s="126">
        <f>IF(OR(AA632="",I632=""),"",AA632-I632)</f>
        <v/>
      </c>
      <c r="AQ632" s="127">
        <f>IF(OR(AB632="",J632=""),"",AB632-J632)</f>
        <v/>
      </c>
      <c r="AR632" s="39" t="n"/>
      <c r="AS632" s="332" t="n"/>
      <c r="AT632" s="39" t="n"/>
    </row>
    <row r="633" ht="13.5" customHeight="1" s="279">
      <c r="B633" s="293" t="inlineStr">
        <is>
          <t>v120</t>
        </is>
      </c>
      <c r="C633" s="27" t="inlineStr">
        <is>
          <t>r01</t>
        </is>
      </c>
      <c r="D633" s="41" t="n"/>
      <c r="E633" s="57" t="n"/>
      <c r="F633" s="99" t="n"/>
      <c r="G633" s="99" t="n"/>
      <c r="H633" s="99" t="n"/>
      <c r="I633" s="62" t="n"/>
      <c r="J633" s="62" t="n"/>
      <c r="K633" s="63" t="n"/>
      <c r="L633" s="356" t="n"/>
      <c r="M633" s="356" t="n"/>
      <c r="N633" s="57" t="n"/>
      <c r="O633" s="28" t="n"/>
      <c r="P633" s="57" t="n"/>
      <c r="Q633" s="28" t="n"/>
      <c r="R633" s="134" t="n"/>
      <c r="S633" s="301" t="n"/>
      <c r="T633" s="293" t="inlineStr">
        <is>
          <t>v120</t>
        </is>
      </c>
      <c r="U633" s="27" t="inlineStr">
        <is>
          <t>r01</t>
        </is>
      </c>
      <c r="V633" s="41" t="n"/>
      <c r="W633" s="57" t="n"/>
      <c r="X633" s="99" t="n"/>
      <c r="Y633" s="99" t="n"/>
      <c r="Z633" s="99" t="n"/>
      <c r="AA633" s="62" t="n"/>
      <c r="AB633" s="62" t="n"/>
      <c r="AC633" s="63" t="n"/>
      <c r="AD633" s="356" t="n"/>
      <c r="AE633" s="356" t="n"/>
      <c r="AF633" s="57" t="n"/>
      <c r="AG633" s="28" t="n"/>
      <c r="AH633" s="57" t="n"/>
      <c r="AI633" s="28" t="n"/>
      <c r="AJ633" s="134" t="n"/>
      <c r="AK633" s="212" t="n"/>
      <c r="AL633" s="293" t="inlineStr">
        <is>
          <t>v120</t>
        </is>
      </c>
      <c r="AM633" s="122">
        <f>IF(OR(X633="",F633=""),"",X633-F633)</f>
        <v/>
      </c>
      <c r="AN633" s="98">
        <f>IF(OR(Y633="",G633=""),"",Y633-G633)</f>
        <v/>
      </c>
      <c r="AO633" s="98">
        <f>IF(OR(Z633="",H633=""),"",Z633-H633)</f>
        <v/>
      </c>
      <c r="AP633" s="98">
        <f>IF(OR(AA633="",I633=""),"",AA633-I633)</f>
        <v/>
      </c>
      <c r="AQ633" s="123">
        <f>IF(OR(AB633="",J633=""),"",AB633-J633)</f>
        <v/>
      </c>
      <c r="AR633" s="39" t="n"/>
      <c r="AS633" s="332" t="n"/>
      <c r="AT633" s="39" t="n"/>
    </row>
    <row r="634" ht="13.5" customHeight="1" s="279">
      <c r="B634" s="294" t="n"/>
      <c r="C634" s="29" t="inlineStr">
        <is>
          <t>r02</t>
        </is>
      </c>
      <c r="D634" s="191" t="n"/>
      <c r="E634" s="58" t="n"/>
      <c r="F634" s="192" t="n"/>
      <c r="G634" s="192" t="n"/>
      <c r="H634" s="192" t="n"/>
      <c r="I634" s="64" t="n"/>
      <c r="J634" s="64" t="n"/>
      <c r="K634" s="193" t="n"/>
      <c r="L634" s="357" t="n"/>
      <c r="M634" s="357" t="n"/>
      <c r="N634" s="58" t="n"/>
      <c r="O634" s="30" t="n"/>
      <c r="P634" s="58" t="n"/>
      <c r="Q634" s="30" t="n"/>
      <c r="R634" s="135" t="n"/>
      <c r="S634" s="301" t="n"/>
      <c r="T634" s="294" t="n"/>
      <c r="U634" s="29" t="inlineStr">
        <is>
          <t>r02</t>
        </is>
      </c>
      <c r="V634" s="191" t="n"/>
      <c r="W634" s="58" t="n"/>
      <c r="X634" s="192" t="n"/>
      <c r="Y634" s="192" t="n"/>
      <c r="Z634" s="192" t="n"/>
      <c r="AA634" s="64" t="n"/>
      <c r="AB634" s="64" t="n"/>
      <c r="AC634" s="193" t="n"/>
      <c r="AD634" s="357" t="n"/>
      <c r="AE634" s="357" t="n"/>
      <c r="AF634" s="58" t="n"/>
      <c r="AG634" s="30" t="n"/>
      <c r="AH634" s="58" t="n"/>
      <c r="AI634" s="30" t="n"/>
      <c r="AJ634" s="135" t="n"/>
      <c r="AK634" s="212" t="n"/>
      <c r="AL634" s="294" t="n"/>
      <c r="AM634" s="89">
        <f>IF(OR(X634="",F634=""),"",X634-F634)</f>
        <v/>
      </c>
      <c r="AN634" s="124">
        <f>IF(OR(Y634="",G634=""),"",Y634-G634)</f>
        <v/>
      </c>
      <c r="AO634" s="124">
        <f>IF(OR(Z634="",H634=""),"",Z634-H634)</f>
        <v/>
      </c>
      <c r="AP634" s="124">
        <f>IF(OR(AA634="",I634=""),"",AA634-I634)</f>
        <v/>
      </c>
      <c r="AQ634" s="90">
        <f>IF(OR(AB634="",J634=""),"",AB634-J634)</f>
        <v/>
      </c>
      <c r="AR634" s="39" t="n"/>
      <c r="AS634" s="332" t="n"/>
      <c r="AT634" s="39" t="n"/>
    </row>
    <row r="635" ht="13.5" customHeight="1" s="279">
      <c r="B635" s="294" t="n"/>
      <c r="C635" s="29" t="inlineStr">
        <is>
          <t>r03</t>
        </is>
      </c>
      <c r="D635" s="191" t="n"/>
      <c r="E635" s="58" t="n"/>
      <c r="F635" s="192" t="n"/>
      <c r="G635" s="192" t="n"/>
      <c r="H635" s="192" t="n"/>
      <c r="I635" s="64" t="n"/>
      <c r="J635" s="64" t="n"/>
      <c r="K635" s="193" t="n"/>
      <c r="L635" s="357" t="n"/>
      <c r="M635" s="357" t="n"/>
      <c r="N635" s="58" t="n"/>
      <c r="O635" s="30" t="n"/>
      <c r="P635" s="58" t="n"/>
      <c r="Q635" s="30" t="n"/>
      <c r="R635" s="135" t="n"/>
      <c r="S635" s="301" t="n"/>
      <c r="T635" s="294" t="n"/>
      <c r="U635" s="29" t="inlineStr">
        <is>
          <t>r03</t>
        </is>
      </c>
      <c r="V635" s="191" t="n"/>
      <c r="W635" s="58" t="n"/>
      <c r="X635" s="192" t="n"/>
      <c r="Y635" s="192" t="n"/>
      <c r="Z635" s="192" t="n"/>
      <c r="AA635" s="64" t="n"/>
      <c r="AB635" s="64" t="n"/>
      <c r="AC635" s="193" t="n"/>
      <c r="AD635" s="357" t="n"/>
      <c r="AE635" s="357" t="n"/>
      <c r="AF635" s="58" t="n"/>
      <c r="AG635" s="30" t="n"/>
      <c r="AH635" s="58" t="n"/>
      <c r="AI635" s="30" t="n"/>
      <c r="AJ635" s="135" t="n"/>
      <c r="AK635" s="212" t="n"/>
      <c r="AL635" s="294" t="n"/>
      <c r="AM635" s="89">
        <f>IF(OR(X635="",F635=""),"",X635-F635)</f>
        <v/>
      </c>
      <c r="AN635" s="124">
        <f>IF(OR(Y635="",G635=""),"",Y635-G635)</f>
        <v/>
      </c>
      <c r="AO635" s="124">
        <f>IF(OR(Z635="",H635=""),"",Z635-H635)</f>
        <v/>
      </c>
      <c r="AP635" s="124">
        <f>IF(OR(AA635="",I635=""),"",AA635-I635)</f>
        <v/>
      </c>
      <c r="AQ635" s="90">
        <f>IF(OR(AB635="",J635=""),"",AB635-J635)</f>
        <v/>
      </c>
      <c r="AR635" s="39" t="n"/>
      <c r="AS635" s="332" t="n"/>
      <c r="AT635" s="39" t="n"/>
    </row>
    <row r="636" ht="13.5" customHeight="1" s="279">
      <c r="B636" s="294" t="n"/>
      <c r="C636" s="29" t="inlineStr">
        <is>
          <t>r04</t>
        </is>
      </c>
      <c r="D636" s="191" t="n"/>
      <c r="E636" s="58" t="n"/>
      <c r="F636" s="192" t="n"/>
      <c r="G636" s="192" t="n"/>
      <c r="H636" s="192" t="n"/>
      <c r="I636" s="64" t="n"/>
      <c r="J636" s="64" t="n"/>
      <c r="K636" s="193" t="n"/>
      <c r="L636" s="357" t="n"/>
      <c r="M636" s="357" t="n"/>
      <c r="N636" s="58" t="n"/>
      <c r="O636" s="30" t="n"/>
      <c r="P636" s="58" t="n"/>
      <c r="Q636" s="30" t="n"/>
      <c r="R636" s="135" t="n"/>
      <c r="S636" s="301" t="n"/>
      <c r="T636" s="294" t="n"/>
      <c r="U636" s="29" t="inlineStr">
        <is>
          <t>r04</t>
        </is>
      </c>
      <c r="V636" s="191" t="n"/>
      <c r="W636" s="58" t="n"/>
      <c r="X636" s="192" t="n"/>
      <c r="Y636" s="192" t="n"/>
      <c r="Z636" s="192" t="n"/>
      <c r="AA636" s="64" t="n"/>
      <c r="AB636" s="64" t="n"/>
      <c r="AC636" s="193" t="n"/>
      <c r="AD636" s="357" t="n"/>
      <c r="AE636" s="357" t="n"/>
      <c r="AF636" s="58" t="n"/>
      <c r="AG636" s="30" t="n"/>
      <c r="AH636" s="58" t="n"/>
      <c r="AI636" s="30" t="n"/>
      <c r="AJ636" s="135" t="n"/>
      <c r="AK636" s="212" t="n"/>
      <c r="AL636" s="294" t="n"/>
      <c r="AM636" s="89">
        <f>IF(OR(X636="",F636=""),"",X636-F636)</f>
        <v/>
      </c>
      <c r="AN636" s="124">
        <f>IF(OR(Y636="",G636=""),"",Y636-G636)</f>
        <v/>
      </c>
      <c r="AO636" s="124">
        <f>IF(OR(Z636="",H636=""),"",Z636-H636)</f>
        <v/>
      </c>
      <c r="AP636" s="124">
        <f>IF(OR(AA636="",I636=""),"",AA636-I636)</f>
        <v/>
      </c>
      <c r="AQ636" s="90">
        <f>IF(OR(AB636="",J636=""),"",AB636-J636)</f>
        <v/>
      </c>
      <c r="AR636" s="39" t="n"/>
      <c r="AS636" s="332" t="n"/>
      <c r="AT636" s="39" t="n"/>
    </row>
    <row r="637" ht="13.5" customHeight="1" s="279" thickBot="1">
      <c r="B637" s="295" t="n"/>
      <c r="C637" s="31" t="n"/>
      <c r="D637" s="43" t="n"/>
      <c r="E637" s="60" t="n"/>
      <c r="F637" s="195" t="n"/>
      <c r="G637" s="195" t="n"/>
      <c r="H637" s="195" t="n"/>
      <c r="I637" s="60" t="n"/>
      <c r="J637" s="60" t="n"/>
      <c r="K637" s="65" t="n"/>
      <c r="L637" s="358" t="n"/>
      <c r="M637" s="358" t="n"/>
      <c r="N637" s="60" t="n"/>
      <c r="O637" s="37" t="n"/>
      <c r="P637" s="60" t="n"/>
      <c r="Q637" s="37" t="n"/>
      <c r="R637" s="185" t="n"/>
      <c r="S637" s="301" t="n"/>
      <c r="T637" s="295" t="n"/>
      <c r="U637" s="31" t="n"/>
      <c r="V637" s="43" t="n"/>
      <c r="W637" s="60" t="n"/>
      <c r="X637" s="195" t="n"/>
      <c r="Y637" s="195" t="n"/>
      <c r="Z637" s="195" t="n"/>
      <c r="AA637" s="60" t="n"/>
      <c r="AB637" s="60" t="n"/>
      <c r="AC637" s="65" t="n"/>
      <c r="AD637" s="358" t="n"/>
      <c r="AE637" s="358" t="n"/>
      <c r="AF637" s="60" t="n"/>
      <c r="AG637" s="37" t="n"/>
      <c r="AH637" s="60" t="n"/>
      <c r="AI637" s="37" t="n"/>
      <c r="AJ637" s="185" t="n"/>
      <c r="AK637" s="212" t="n"/>
      <c r="AL637" s="295" t="n"/>
      <c r="AM637" s="125">
        <f>IF(OR(X637="",F637=""),"",X637-F637)</f>
        <v/>
      </c>
      <c r="AN637" s="126">
        <f>IF(OR(Y637="",G637=""),"",Y637-G637)</f>
        <v/>
      </c>
      <c r="AO637" s="126">
        <f>IF(OR(Z637="",H637=""),"",Z637-H637)</f>
        <v/>
      </c>
      <c r="AP637" s="126">
        <f>IF(OR(AA637="",I637=""),"",AA637-I637)</f>
        <v/>
      </c>
      <c r="AQ637" s="127">
        <f>IF(OR(AB637="",J637=""),"",AB637-J637)</f>
        <v/>
      </c>
      <c r="AR637" s="39" t="n"/>
      <c r="AS637" s="332" t="n"/>
      <c r="AT637" s="39" t="n"/>
    </row>
    <row r="638" ht="13.5" customHeight="1" s="279" thickBot="1">
      <c r="B638" s="301" t="n"/>
      <c r="C638" s="301" t="n"/>
      <c r="D638" s="301" t="n"/>
      <c r="E638" s="301" t="n"/>
      <c r="F638" s="301" t="n"/>
      <c r="G638" s="301" t="n"/>
      <c r="H638" s="301" t="n"/>
      <c r="I638" s="301" t="n"/>
      <c r="J638" s="301" t="n"/>
      <c r="K638" s="301" t="n"/>
      <c r="L638" s="301" t="n"/>
      <c r="M638" s="301" t="n"/>
      <c r="N638" s="301" t="n"/>
      <c r="O638" s="348" t="n"/>
      <c r="P638" s="301" t="n"/>
      <c r="Q638" s="301" t="n"/>
      <c r="R638" s="94" t="n"/>
      <c r="S638" s="301" t="n"/>
      <c r="T638" s="301" t="n"/>
      <c r="U638" s="301" t="n"/>
      <c r="V638" s="301" t="n"/>
      <c r="W638" s="301" t="n"/>
      <c r="X638" s="301" t="n"/>
      <c r="Y638" s="301" t="n"/>
      <c r="Z638" s="301" t="n"/>
      <c r="AA638" s="301" t="n"/>
      <c r="AB638" s="301" t="n"/>
      <c r="AC638" s="301" t="n"/>
      <c r="AD638" s="301" t="n"/>
      <c r="AE638" s="301" t="n"/>
      <c r="AF638" s="301" t="n"/>
      <c r="AG638" s="348" t="n"/>
      <c r="AH638" s="301" t="n"/>
      <c r="AI638" s="301" t="n"/>
      <c r="AJ638" s="94" t="n"/>
      <c r="AK638" s="212" t="n"/>
      <c r="AL638" s="212" t="n"/>
      <c r="AM638" s="42" t="n"/>
      <c r="AN638" s="42" t="n"/>
      <c r="AO638" s="42" t="n"/>
      <c r="AP638" s="39" t="n"/>
      <c r="AQ638" s="39" t="n"/>
      <c r="AR638" s="39" t="n"/>
      <c r="AS638" s="332" t="n"/>
      <c r="AT638" s="39" t="n"/>
    </row>
    <row r="639" ht="13.95" customHeight="1" s="279">
      <c r="B639" s="142" t="n"/>
      <c r="C639" s="215" t="n"/>
      <c r="D639" s="104" t="n"/>
      <c r="E639" s="359" t="n"/>
      <c r="F639" s="32" t="inlineStr">
        <is>
          <t>Avg.</t>
        </is>
      </c>
      <c r="G639" s="216" t="inlineStr">
        <is>
          <t>Avg.</t>
        </is>
      </c>
      <c r="H639" s="216" t="inlineStr">
        <is>
          <t>Avg.</t>
        </is>
      </c>
      <c r="I639" s="216" t="inlineStr">
        <is>
          <t>Avg.</t>
        </is>
      </c>
      <c r="J639" s="216" t="inlineStr">
        <is>
          <t>Avg.</t>
        </is>
      </c>
      <c r="K639" s="105" t="n"/>
      <c r="L639" s="105" t="n"/>
      <c r="M639" s="105" t="n"/>
      <c r="N639" s="105" t="n"/>
      <c r="O639" s="350" t="n"/>
      <c r="P639" s="105" t="n"/>
      <c r="Q639" s="106" t="n"/>
      <c r="R639" s="107" t="n"/>
      <c r="T639" s="142" t="n"/>
      <c r="U639" s="215" t="n"/>
      <c r="V639" s="104" t="n"/>
      <c r="W639" s="359" t="n"/>
      <c r="X639" s="32" t="inlineStr">
        <is>
          <t>Avg.</t>
        </is>
      </c>
      <c r="Y639" s="216" t="inlineStr">
        <is>
          <t>Avg.</t>
        </is>
      </c>
      <c r="Z639" s="216" t="inlineStr">
        <is>
          <t>Avg.</t>
        </is>
      </c>
      <c r="AA639" s="216" t="inlineStr">
        <is>
          <t>Avg.</t>
        </is>
      </c>
      <c r="AB639" s="216" t="inlineStr">
        <is>
          <t>Avg.</t>
        </is>
      </c>
      <c r="AC639" s="105" t="n"/>
      <c r="AD639" s="105" t="n"/>
      <c r="AE639" s="105" t="n"/>
      <c r="AF639" s="105" t="n"/>
      <c r="AG639" s="350" t="n"/>
      <c r="AH639" s="105" t="n"/>
      <c r="AI639" s="106" t="n"/>
      <c r="AJ639" s="107" t="n"/>
    </row>
    <row r="640" ht="14.4" customHeight="1" s="279" thickBot="1">
      <c r="B640" s="143" t="n"/>
      <c r="C640" s="212" t="n"/>
      <c r="F640" s="93" t="inlineStr">
        <is>
          <t>RGB-PSNR</t>
        </is>
      </c>
      <c r="G640" s="348" t="inlineStr">
        <is>
          <t>YUV-PSNR</t>
        </is>
      </c>
      <c r="H640" s="348" t="inlineStr">
        <is>
          <t>YUV-SSIM</t>
        </is>
      </c>
      <c r="I640" s="348" t="inlineStr">
        <is>
          <t>YUV-IVSSIM</t>
        </is>
      </c>
      <c r="J640" s="348" t="inlineStr">
        <is>
          <t>LPIPS</t>
        </is>
      </c>
      <c r="R640" s="108" t="n"/>
      <c r="T640" s="143" t="n"/>
      <c r="U640" s="212" t="n"/>
      <c r="V640" s="8" t="n"/>
      <c r="W640" s="330" t="n"/>
      <c r="X640" s="93" t="inlineStr">
        <is>
          <t>RGB-PSNR</t>
        </is>
      </c>
      <c r="Y640" s="348" t="inlineStr">
        <is>
          <t>YUV-PSNR</t>
        </is>
      </c>
      <c r="Z640" s="348" t="inlineStr">
        <is>
          <t>YUV-SSIM</t>
        </is>
      </c>
      <c r="AA640" s="348" t="inlineStr">
        <is>
          <t>YUV-IVSSIM</t>
        </is>
      </c>
      <c r="AB640" s="348" t="inlineStr">
        <is>
          <t>LPIPS</t>
        </is>
      </c>
      <c r="AC640" s="12" t="n"/>
      <c r="AD640" s="12" t="n"/>
      <c r="AE640" s="12" t="n"/>
      <c r="AF640" s="12" t="n"/>
      <c r="AH640" s="12" t="n"/>
      <c r="AI640" s="13" t="n"/>
      <c r="AJ640" s="108" t="n"/>
    </row>
    <row r="641">
      <c r="B641" s="293" t="inlineStr">
        <is>
          <t>min</t>
        </is>
      </c>
      <c r="C641" s="27" t="inlineStr">
        <is>
          <t>r01</t>
        </is>
      </c>
      <c r="D641" s="109" t="n"/>
      <c r="E641" s="360" t="n"/>
      <c r="F641" s="138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138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138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138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138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12" t="n"/>
      <c r="L641" s="112" t="n"/>
      <c r="M641" s="112" t="n"/>
      <c r="N641" s="112" t="n"/>
      <c r="O641" s="361" t="n"/>
      <c r="P641" s="112" t="n"/>
      <c r="Q641" s="113" t="n"/>
      <c r="R641" s="114" t="n"/>
      <c r="T641" s="293" t="inlineStr">
        <is>
          <t>min</t>
        </is>
      </c>
      <c r="U641" s="27" t="inlineStr">
        <is>
          <t>r01</t>
        </is>
      </c>
      <c r="V641" s="109" t="n"/>
      <c r="W641" s="360" t="n"/>
      <c r="X641" s="138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138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138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138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138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12" t="n"/>
      <c r="AD641" s="112" t="n"/>
      <c r="AE641" s="112" t="n"/>
      <c r="AF641" s="112" t="n"/>
      <c r="AG641" s="361" t="n"/>
      <c r="AH641" s="112" t="n"/>
      <c r="AI641" s="113" t="n"/>
      <c r="AJ641" s="114" t="n"/>
    </row>
    <row r="642">
      <c r="B642" s="294" t="n"/>
      <c r="C642" s="29" t="inlineStr">
        <is>
          <t>r02</t>
        </is>
      </c>
      <c r="D642" s="110" t="n"/>
      <c r="E642" s="362" t="n"/>
      <c r="F642" s="20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20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20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20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20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15" t="n"/>
      <c r="L642" s="115" t="n"/>
      <c r="M642" s="115" t="n"/>
      <c r="N642" s="115" t="n"/>
      <c r="O642" s="363" t="n"/>
      <c r="P642" s="115" t="n"/>
      <c r="Q642" s="116" t="n"/>
      <c r="R642" s="117" t="n"/>
      <c r="T642" s="294" t="n"/>
      <c r="U642" s="29" t="inlineStr">
        <is>
          <t>r02</t>
        </is>
      </c>
      <c r="V642" s="110" t="n"/>
      <c r="W642" s="362" t="n"/>
      <c r="X642" s="20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20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20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20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20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15" t="n"/>
      <c r="AD642" s="115" t="n"/>
      <c r="AE642" s="115" t="n"/>
      <c r="AF642" s="115" t="n"/>
      <c r="AG642" s="363" t="n"/>
      <c r="AH642" s="115" t="n"/>
      <c r="AI642" s="116" t="n"/>
      <c r="AJ642" s="117" t="n"/>
    </row>
    <row r="643">
      <c r="B643" s="294" t="n"/>
      <c r="C643" s="29" t="inlineStr">
        <is>
          <t>r03</t>
        </is>
      </c>
      <c r="D643" s="110" t="n"/>
      <c r="E643" s="362" t="n"/>
      <c r="F643" s="20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20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20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20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20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15" t="n"/>
      <c r="L643" s="115" t="n"/>
      <c r="M643" s="115" t="n"/>
      <c r="N643" s="115" t="n"/>
      <c r="O643" s="363" t="n"/>
      <c r="P643" s="115" t="n"/>
      <c r="Q643" s="116" t="n"/>
      <c r="R643" s="117" t="n"/>
      <c r="T643" s="294" t="n"/>
      <c r="U643" s="29" t="inlineStr">
        <is>
          <t>r03</t>
        </is>
      </c>
      <c r="V643" s="110" t="n"/>
      <c r="W643" s="362" t="n"/>
      <c r="X643" s="20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20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20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20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20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15" t="n"/>
      <c r="AD643" s="115" t="n"/>
      <c r="AE643" s="115" t="n"/>
      <c r="AF643" s="115" t="n"/>
      <c r="AG643" s="363" t="n"/>
      <c r="AH643" s="115" t="n"/>
      <c r="AI643" s="116" t="n"/>
      <c r="AJ643" s="117" t="n"/>
    </row>
    <row r="644">
      <c r="B644" s="294" t="n"/>
      <c r="C644" s="29" t="inlineStr">
        <is>
          <t>r04</t>
        </is>
      </c>
      <c r="D644" s="110" t="n"/>
      <c r="E644" s="362" t="n"/>
      <c r="F644" s="20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20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20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20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20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15" t="n"/>
      <c r="L644" s="115" t="n"/>
      <c r="M644" s="115" t="n"/>
      <c r="N644" s="115" t="n"/>
      <c r="O644" s="363" t="n"/>
      <c r="P644" s="115" t="n"/>
      <c r="Q644" s="116" t="n"/>
      <c r="R644" s="117" t="n"/>
      <c r="T644" s="294" t="n"/>
      <c r="U644" s="29" t="inlineStr">
        <is>
          <t>r04</t>
        </is>
      </c>
      <c r="V644" s="110" t="n"/>
      <c r="W644" s="362" t="n"/>
      <c r="X644" s="20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20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20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20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20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15" t="n"/>
      <c r="AD644" s="115" t="n"/>
      <c r="AE644" s="115" t="n"/>
      <c r="AF644" s="115" t="n"/>
      <c r="AG644" s="363" t="n"/>
      <c r="AH644" s="115" t="n"/>
      <c r="AI644" s="116" t="n"/>
      <c r="AJ644" s="117" t="n"/>
    </row>
    <row r="645" ht="12.6" customHeight="1" s="279" thickBot="1">
      <c r="B645" s="295" t="n"/>
      <c r="C645" s="31" t="n"/>
      <c r="D645" s="111" t="n"/>
      <c r="E645" s="364" t="n"/>
      <c r="F645" s="190" t="n"/>
      <c r="G645" s="190" t="n"/>
      <c r="H645" s="190" t="n"/>
      <c r="I645" s="190" t="n"/>
      <c r="J645" s="190" t="n"/>
      <c r="K645" s="118" t="n"/>
      <c r="L645" s="118" t="n"/>
      <c r="M645" s="118" t="n"/>
      <c r="N645" s="118" t="n"/>
      <c r="O645" s="365" t="n"/>
      <c r="P645" s="118" t="n"/>
      <c r="Q645" s="119" t="n"/>
      <c r="R645" s="120" t="n"/>
      <c r="T645" s="295" t="n"/>
      <c r="U645" s="31" t="n"/>
      <c r="V645" s="111" t="n"/>
      <c r="W645" s="364" t="n"/>
      <c r="X645" s="190" t="n"/>
      <c r="Y645" s="190" t="n"/>
      <c r="Z645" s="190" t="n"/>
      <c r="AA645" s="190" t="n"/>
      <c r="AB645" s="190" t="n"/>
      <c r="AC645" s="118" t="n"/>
      <c r="AD645" s="118" t="n"/>
      <c r="AE645" s="118" t="n"/>
      <c r="AF645" s="118" t="n"/>
      <c r="AG645" s="365" t="n"/>
      <c r="AH645" s="118" t="n"/>
      <c r="AI645" s="119" t="n"/>
      <c r="AJ645" s="120" t="n"/>
    </row>
    <row r="646">
      <c r="B646" s="305" t="inlineStr">
        <is>
          <t>max</t>
        </is>
      </c>
      <c r="C646" s="27" t="inlineStr">
        <is>
          <t>r01</t>
        </is>
      </c>
      <c r="D646" s="109" t="n"/>
      <c r="E646" s="360" t="n"/>
      <c r="F646" s="138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138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138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138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138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12" t="n"/>
      <c r="L646" s="112" t="n"/>
      <c r="M646" s="112" t="n"/>
      <c r="N646" s="112" t="n"/>
      <c r="O646" s="361" t="n"/>
      <c r="P646" s="112" t="n"/>
      <c r="Q646" s="113" t="n"/>
      <c r="R646" s="114" t="n"/>
      <c r="T646" s="305" t="inlineStr">
        <is>
          <t>max</t>
        </is>
      </c>
      <c r="U646" s="27" t="inlineStr">
        <is>
          <t>r01</t>
        </is>
      </c>
      <c r="V646" s="109" t="n"/>
      <c r="W646" s="360" t="n"/>
      <c r="X646" s="138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138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138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138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138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12" t="n"/>
      <c r="AD646" s="112" t="n"/>
      <c r="AE646" s="112" t="n"/>
      <c r="AF646" s="112" t="n"/>
      <c r="AG646" s="361" t="n"/>
      <c r="AH646" s="112" t="n"/>
      <c r="AI646" s="113" t="n"/>
      <c r="AJ646" s="114" t="n"/>
    </row>
    <row r="647">
      <c r="B647" s="294" t="n"/>
      <c r="C647" s="29" t="inlineStr">
        <is>
          <t>r02</t>
        </is>
      </c>
      <c r="D647" s="110" t="n"/>
      <c r="E647" s="362" t="n"/>
      <c r="F647" s="20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20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20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20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20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15" t="n"/>
      <c r="L647" s="115" t="n"/>
      <c r="M647" s="115" t="n"/>
      <c r="N647" s="115" t="n"/>
      <c r="O647" s="363" t="n"/>
      <c r="P647" s="115" t="n"/>
      <c r="Q647" s="116" t="n"/>
      <c r="R647" s="117" t="n"/>
      <c r="T647" s="294" t="n"/>
      <c r="U647" s="29" t="inlineStr">
        <is>
          <t>r02</t>
        </is>
      </c>
      <c r="V647" s="110" t="n"/>
      <c r="W647" s="362" t="n"/>
      <c r="X647" s="20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20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20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20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20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15" t="n"/>
      <c r="AD647" s="115" t="n"/>
      <c r="AE647" s="115" t="n"/>
      <c r="AF647" s="115" t="n"/>
      <c r="AG647" s="363" t="n"/>
      <c r="AH647" s="115" t="n"/>
      <c r="AI647" s="116" t="n"/>
      <c r="AJ647" s="117" t="n"/>
    </row>
    <row r="648">
      <c r="B648" s="294" t="n"/>
      <c r="C648" s="29" t="inlineStr">
        <is>
          <t>r03</t>
        </is>
      </c>
      <c r="D648" s="110" t="n"/>
      <c r="E648" s="362" t="n"/>
      <c r="F648" s="20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20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20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20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20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15" t="n"/>
      <c r="L648" s="115" t="n"/>
      <c r="M648" s="115" t="n"/>
      <c r="N648" s="115" t="n"/>
      <c r="O648" s="363" t="n"/>
      <c r="P648" s="115" t="n"/>
      <c r="Q648" s="116" t="n"/>
      <c r="R648" s="117" t="n"/>
      <c r="T648" s="294" t="n"/>
      <c r="U648" s="29" t="inlineStr">
        <is>
          <t>r03</t>
        </is>
      </c>
      <c r="V648" s="110" t="n"/>
      <c r="W648" s="362" t="n"/>
      <c r="X648" s="20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20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20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20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20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15" t="n"/>
      <c r="AD648" s="115" t="n"/>
      <c r="AE648" s="115" t="n"/>
      <c r="AF648" s="115" t="n"/>
      <c r="AG648" s="363" t="n"/>
      <c r="AH648" s="115" t="n"/>
      <c r="AI648" s="116" t="n"/>
      <c r="AJ648" s="117" t="n"/>
    </row>
    <row r="649">
      <c r="B649" s="294" t="n"/>
      <c r="C649" s="29" t="inlineStr">
        <is>
          <t>r04</t>
        </is>
      </c>
      <c r="D649" s="110" t="n"/>
      <c r="E649" s="362" t="n"/>
      <c r="F649" s="20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20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20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20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20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15" t="n"/>
      <c r="L649" s="115" t="n"/>
      <c r="M649" s="115" t="n"/>
      <c r="N649" s="115" t="n"/>
      <c r="O649" s="363" t="n"/>
      <c r="P649" s="115" t="n"/>
      <c r="Q649" s="116" t="n"/>
      <c r="R649" s="117" t="n"/>
      <c r="T649" s="294" t="n"/>
      <c r="U649" s="29" t="inlineStr">
        <is>
          <t>r04</t>
        </is>
      </c>
      <c r="V649" s="110" t="n"/>
      <c r="W649" s="362" t="n"/>
      <c r="X649" s="20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20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20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20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20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15" t="n"/>
      <c r="AD649" s="115" t="n"/>
      <c r="AE649" s="115" t="n"/>
      <c r="AF649" s="115" t="n"/>
      <c r="AG649" s="363" t="n"/>
      <c r="AH649" s="115" t="n"/>
      <c r="AI649" s="116" t="n"/>
      <c r="AJ649" s="117" t="n"/>
    </row>
    <row r="650" ht="12.6" customHeight="1" s="279" thickBot="1">
      <c r="B650" s="295" t="n"/>
      <c r="C650" s="31" t="n"/>
      <c r="D650" s="111" t="n"/>
      <c r="E650" s="364" t="n"/>
      <c r="F650" s="190" t="n"/>
      <c r="G650" s="190" t="n"/>
      <c r="H650" s="190" t="n"/>
      <c r="I650" s="190" t="n"/>
      <c r="J650" s="190" t="n"/>
      <c r="K650" s="118" t="n"/>
      <c r="L650" s="118" t="n"/>
      <c r="M650" s="118" t="n"/>
      <c r="N650" s="118" t="n"/>
      <c r="O650" s="365" t="n"/>
      <c r="P650" s="118" t="n"/>
      <c r="Q650" s="119" t="n"/>
      <c r="R650" s="120" t="n"/>
      <c r="T650" s="295" t="n"/>
      <c r="U650" s="31" t="n"/>
      <c r="V650" s="111" t="n"/>
      <c r="W650" s="364" t="n"/>
      <c r="X650" s="190" t="n"/>
      <c r="Y650" s="190" t="n"/>
      <c r="Z650" s="190" t="n"/>
      <c r="AA650" s="190" t="n"/>
      <c r="AB650" s="190" t="n"/>
      <c r="AC650" s="118" t="n"/>
      <c r="AD650" s="118" t="n"/>
      <c r="AE650" s="118" t="n"/>
      <c r="AF650" s="118" t="n"/>
      <c r="AG650" s="365" t="n"/>
      <c r="AH650" s="118" t="n"/>
      <c r="AI650" s="119" t="n"/>
      <c r="AJ650" s="120" t="n"/>
    </row>
    <row r="651" ht="13.95" customHeight="1" s="279">
      <c r="B651" s="303" t="inlineStr">
        <is>
          <t>max - min</t>
        </is>
      </c>
      <c r="C651" s="27" t="inlineStr">
        <is>
          <t>r01</t>
        </is>
      </c>
      <c r="D651" s="109" t="n"/>
      <c r="E651" s="360" t="n"/>
      <c r="F651" s="138">
        <f>F646-F641</f>
        <v/>
      </c>
      <c r="G651" s="138">
        <f>G646-G641</f>
        <v/>
      </c>
      <c r="H651" s="138">
        <f>H646-H641</f>
        <v/>
      </c>
      <c r="I651" s="138">
        <f>I646-I641</f>
        <v/>
      </c>
      <c r="J651" s="138">
        <f>J646-J641</f>
        <v/>
      </c>
      <c r="K651" s="112" t="n"/>
      <c r="L651" s="112" t="n"/>
      <c r="M651" s="112" t="n"/>
      <c r="N651" s="112" t="n"/>
      <c r="O651" s="361" t="n"/>
      <c r="P651" s="112" t="n"/>
      <c r="Q651" s="113" t="n"/>
      <c r="R651" s="114" t="n"/>
      <c r="T651" s="303" t="inlineStr">
        <is>
          <t>max - min</t>
        </is>
      </c>
      <c r="U651" s="27" t="inlineStr">
        <is>
          <t>r01</t>
        </is>
      </c>
      <c r="V651" s="109" t="n"/>
      <c r="W651" s="360" t="n"/>
      <c r="X651" s="138">
        <f>X646-X641</f>
        <v/>
      </c>
      <c r="Y651" s="138">
        <f>Y646-Y641</f>
        <v/>
      </c>
      <c r="Z651" s="138">
        <f>Z646-Z641</f>
        <v/>
      </c>
      <c r="AA651" s="138">
        <f>AA646-AA641</f>
        <v/>
      </c>
      <c r="AB651" s="138">
        <f>AB646-AB641</f>
        <v/>
      </c>
      <c r="AC651" s="112" t="n"/>
      <c r="AD651" s="112" t="n"/>
      <c r="AE651" s="112" t="n"/>
      <c r="AF651" s="112" t="n"/>
      <c r="AG651" s="361" t="n"/>
      <c r="AH651" s="112" t="n"/>
      <c r="AI651" s="113" t="n"/>
      <c r="AJ651" s="114" t="n"/>
    </row>
    <row r="652">
      <c r="B652" s="294" t="n"/>
      <c r="C652" s="29" t="inlineStr">
        <is>
          <t>r02</t>
        </is>
      </c>
      <c r="D652" s="110" t="n"/>
      <c r="E652" s="362" t="n"/>
      <c r="F652" s="20">
        <f>F647-F642</f>
        <v/>
      </c>
      <c r="G652" s="20">
        <f>G647-G642</f>
        <v/>
      </c>
      <c r="H652" s="20">
        <f>H647-H642</f>
        <v/>
      </c>
      <c r="I652" s="20">
        <f>I647-I642</f>
        <v/>
      </c>
      <c r="J652" s="20">
        <f>J647-J642</f>
        <v/>
      </c>
      <c r="K652" s="115" t="n"/>
      <c r="L652" s="115" t="n"/>
      <c r="M652" s="115" t="n"/>
      <c r="N652" s="115" t="n"/>
      <c r="O652" s="363" t="n"/>
      <c r="P652" s="115" t="n"/>
      <c r="Q652" s="116" t="n"/>
      <c r="R652" s="117" t="n"/>
      <c r="T652" s="294" t="n"/>
      <c r="U652" s="29" t="inlineStr">
        <is>
          <t>r02</t>
        </is>
      </c>
      <c r="V652" s="110" t="n"/>
      <c r="W652" s="362" t="n"/>
      <c r="X652" s="20">
        <f>X647-X642</f>
        <v/>
      </c>
      <c r="Y652" s="20">
        <f>Y647-Y642</f>
        <v/>
      </c>
      <c r="Z652" s="20">
        <f>Z647-Z642</f>
        <v/>
      </c>
      <c r="AA652" s="20">
        <f>AA647-AA642</f>
        <v/>
      </c>
      <c r="AB652" s="20">
        <f>AB647-AB642</f>
        <v/>
      </c>
      <c r="AC652" s="115" t="n"/>
      <c r="AD652" s="115" t="n"/>
      <c r="AE652" s="115" t="n"/>
      <c r="AF652" s="115" t="n"/>
      <c r="AG652" s="363" t="n"/>
      <c r="AH652" s="115" t="n"/>
      <c r="AI652" s="116" t="n"/>
      <c r="AJ652" s="117" t="n"/>
    </row>
    <row r="653">
      <c r="B653" s="294" t="n"/>
      <c r="C653" s="29" t="inlineStr">
        <is>
          <t>r03</t>
        </is>
      </c>
      <c r="D653" s="110" t="n"/>
      <c r="E653" s="362" t="n"/>
      <c r="F653" s="20">
        <f>F648-F643</f>
        <v/>
      </c>
      <c r="G653" s="20">
        <f>G648-G643</f>
        <v/>
      </c>
      <c r="H653" s="20">
        <f>H648-H643</f>
        <v/>
      </c>
      <c r="I653" s="20">
        <f>I648-I643</f>
        <v/>
      </c>
      <c r="J653" s="20">
        <f>J648-J643</f>
        <v/>
      </c>
      <c r="K653" s="115" t="n"/>
      <c r="L653" s="115" t="n"/>
      <c r="M653" s="115" t="n"/>
      <c r="N653" s="115" t="n"/>
      <c r="O653" s="363" t="n"/>
      <c r="P653" s="115" t="n"/>
      <c r="Q653" s="116" t="n"/>
      <c r="R653" s="117" t="n"/>
      <c r="T653" s="294" t="n"/>
      <c r="U653" s="29" t="inlineStr">
        <is>
          <t>r03</t>
        </is>
      </c>
      <c r="V653" s="110" t="n"/>
      <c r="W653" s="362" t="n"/>
      <c r="X653" s="20">
        <f>X648-X643</f>
        <v/>
      </c>
      <c r="Y653" s="20">
        <f>Y648-Y643</f>
        <v/>
      </c>
      <c r="Z653" s="20">
        <f>Z648-Z643</f>
        <v/>
      </c>
      <c r="AA653" s="20">
        <f>AA648-AA643</f>
        <v/>
      </c>
      <c r="AB653" s="20">
        <f>AB648-AB643</f>
        <v/>
      </c>
      <c r="AC653" s="115" t="n"/>
      <c r="AD653" s="115" t="n"/>
      <c r="AE653" s="115" t="n"/>
      <c r="AF653" s="115" t="n"/>
      <c r="AG653" s="363" t="n"/>
      <c r="AH653" s="115" t="n"/>
      <c r="AI653" s="116" t="n"/>
      <c r="AJ653" s="117" t="n"/>
    </row>
    <row r="654">
      <c r="B654" s="294" t="n"/>
      <c r="C654" s="29" t="inlineStr">
        <is>
          <t>r04</t>
        </is>
      </c>
      <c r="D654" s="110" t="n"/>
      <c r="E654" s="362" t="n"/>
      <c r="F654" s="20">
        <f>F649-F644</f>
        <v/>
      </c>
      <c r="G654" s="20">
        <f>G649-G644</f>
        <v/>
      </c>
      <c r="H654" s="20">
        <f>H649-H644</f>
        <v/>
      </c>
      <c r="I654" s="20">
        <f>I649-I644</f>
        <v/>
      </c>
      <c r="J654" s="20">
        <f>J649-J644</f>
        <v/>
      </c>
      <c r="K654" s="115" t="n"/>
      <c r="L654" s="115" t="n"/>
      <c r="M654" s="115" t="n"/>
      <c r="N654" s="115" t="n"/>
      <c r="O654" s="363" t="n"/>
      <c r="P654" s="115" t="n"/>
      <c r="Q654" s="116" t="n"/>
      <c r="R654" s="117" t="n"/>
      <c r="T654" s="294" t="n"/>
      <c r="U654" s="29" t="inlineStr">
        <is>
          <t>r04</t>
        </is>
      </c>
      <c r="V654" s="110" t="n"/>
      <c r="W654" s="362" t="n"/>
      <c r="X654" s="20">
        <f>X649-X644</f>
        <v/>
      </c>
      <c r="Y654" s="20">
        <f>Y649-Y644</f>
        <v/>
      </c>
      <c r="Z654" s="20">
        <f>Z649-Z644</f>
        <v/>
      </c>
      <c r="AA654" s="20">
        <f>AA649-AA644</f>
        <v/>
      </c>
      <c r="AB654" s="20">
        <f>AB649-AB644</f>
        <v/>
      </c>
      <c r="AC654" s="115" t="n"/>
      <c r="AD654" s="115" t="n"/>
      <c r="AE654" s="115" t="n"/>
      <c r="AF654" s="115" t="n"/>
      <c r="AG654" s="363" t="n"/>
      <c r="AH654" s="115" t="n"/>
      <c r="AI654" s="116" t="n"/>
      <c r="AJ654" s="117" t="n"/>
    </row>
    <row r="655" ht="12.6" customHeight="1" s="279" thickBot="1">
      <c r="B655" s="295" t="n"/>
      <c r="C655" s="31" t="n"/>
      <c r="D655" s="111" t="n"/>
      <c r="E655" s="364" t="n"/>
      <c r="F655" s="190" t="n"/>
      <c r="G655" s="190" t="n"/>
      <c r="H655" s="190" t="n"/>
      <c r="I655" s="190" t="n"/>
      <c r="J655" s="190" t="n"/>
      <c r="K655" s="118" t="n"/>
      <c r="L655" s="118" t="n"/>
      <c r="M655" s="118" t="n"/>
      <c r="N655" s="118" t="n"/>
      <c r="O655" s="365" t="n"/>
      <c r="P655" s="118" t="n"/>
      <c r="Q655" s="119" t="n"/>
      <c r="R655" s="120" t="n"/>
      <c r="T655" s="295" t="n"/>
      <c r="U655" s="31" t="n"/>
      <c r="V655" s="111" t="n"/>
      <c r="W655" s="364" t="n"/>
      <c r="X655" s="190" t="n"/>
      <c r="Y655" s="190" t="n"/>
      <c r="Z655" s="190" t="n"/>
      <c r="AA655" s="190" t="n"/>
      <c r="AB655" s="190" t="n"/>
      <c r="AC655" s="118" t="n"/>
      <c r="AD655" s="118" t="n"/>
      <c r="AE655" s="118" t="n"/>
      <c r="AF655" s="118" t="n"/>
      <c r="AG655" s="365" t="n"/>
      <c r="AH655" s="118" t="n"/>
      <c r="AI655" s="119" t="n"/>
      <c r="AJ655" s="120" t="n"/>
    </row>
    <row r="675">
      <c r="B675" s="301" t="n"/>
      <c r="C675" s="301" t="n"/>
      <c r="D675" s="301" t="n"/>
      <c r="E675" s="93" t="n"/>
      <c r="F675" s="160" t="n"/>
      <c r="G675" s="160" t="n"/>
      <c r="H675" s="160" t="n"/>
      <c r="I675" s="93" t="n"/>
      <c r="J675" s="93" t="n"/>
    </row>
    <row r="676">
      <c r="C676" s="301" t="n"/>
      <c r="D676" s="301" t="n"/>
      <c r="E676" s="93" t="n"/>
      <c r="F676" s="160" t="n"/>
      <c r="G676" s="160" t="n"/>
      <c r="H676" s="160" t="n"/>
      <c r="I676" s="93" t="n"/>
      <c r="J676" s="93" t="n"/>
    </row>
    <row r="677">
      <c r="C677" s="301" t="n"/>
      <c r="D677" s="301" t="n"/>
      <c r="E677" s="93" t="n"/>
      <c r="F677" s="160" t="n"/>
      <c r="G677" s="160" t="n"/>
      <c r="H677" s="160" t="n"/>
      <c r="I677" s="93" t="n"/>
      <c r="J677" s="93" t="n"/>
    </row>
    <row r="678">
      <c r="C678" s="301" t="n"/>
      <c r="D678" s="301" t="n"/>
      <c r="E678" s="93" t="n"/>
      <c r="F678" s="160" t="n"/>
      <c r="G678" s="160" t="n"/>
      <c r="H678" s="160" t="n"/>
      <c r="I678" s="93" t="n"/>
      <c r="J678" s="93" t="n"/>
    </row>
    <row r="679">
      <c r="C679" s="301" t="n"/>
      <c r="D679" s="301" t="n"/>
      <c r="E679" s="93" t="n"/>
      <c r="F679" s="160" t="n"/>
      <c r="G679" s="160" t="n"/>
      <c r="H679" s="160" t="n"/>
      <c r="I679" s="93" t="n"/>
      <c r="J679" s="93" t="n"/>
    </row>
    <row r="680">
      <c r="B680" s="301" t="n"/>
      <c r="C680" s="301" t="n"/>
      <c r="D680" s="301" t="n"/>
      <c r="E680" s="93" t="n"/>
      <c r="F680" s="160" t="n"/>
      <c r="G680" s="160" t="n"/>
      <c r="H680" s="160" t="n"/>
      <c r="I680" s="160" t="n"/>
      <c r="J680" s="160" t="n"/>
    </row>
    <row r="681">
      <c r="C681" s="301" t="n"/>
      <c r="D681" s="301" t="n"/>
      <c r="E681" s="93" t="n"/>
      <c r="F681" s="160" t="n"/>
      <c r="G681" s="160" t="n"/>
      <c r="H681" s="160" t="n"/>
      <c r="I681" s="160" t="n"/>
      <c r="J681" s="160" t="n"/>
    </row>
    <row r="682">
      <c r="C682" s="301" t="n"/>
      <c r="D682" s="301" t="n"/>
      <c r="E682" s="93" t="n"/>
      <c r="F682" s="160" t="n"/>
      <c r="G682" s="160" t="n"/>
      <c r="H682" s="160" t="n"/>
      <c r="I682" s="160" t="n"/>
      <c r="J682" s="160" t="n"/>
    </row>
    <row r="683">
      <c r="C683" s="301" t="n"/>
      <c r="D683" s="301" t="n"/>
      <c r="E683" s="93" t="n"/>
      <c r="F683" s="160" t="n"/>
      <c r="G683" s="160" t="n"/>
      <c r="H683" s="160" t="n"/>
      <c r="I683" s="160" t="n"/>
      <c r="J683" s="160" t="n"/>
    </row>
    <row r="684">
      <c r="C684" s="301" t="n"/>
      <c r="D684" s="301" t="n"/>
      <c r="E684" s="93" t="n"/>
      <c r="F684" s="160" t="n"/>
      <c r="G684" s="160" t="n"/>
      <c r="H684" s="160" t="n"/>
      <c r="I684" s="160" t="n"/>
      <c r="J684" s="160" t="n"/>
    </row>
    <row r="685">
      <c r="B685" s="301" t="n"/>
      <c r="C685" s="301" t="n"/>
      <c r="D685" s="301" t="n"/>
      <c r="E685" s="93" t="n"/>
      <c r="F685" s="160" t="n"/>
      <c r="G685" s="160" t="n"/>
      <c r="H685" s="160" t="n"/>
      <c r="I685" s="160" t="n"/>
      <c r="J685" s="160" t="n"/>
    </row>
    <row r="686">
      <c r="C686" s="301" t="n"/>
      <c r="D686" s="301" t="n"/>
      <c r="E686" s="93" t="n"/>
      <c r="F686" s="160" t="n"/>
      <c r="G686" s="160" t="n"/>
      <c r="H686" s="160" t="n"/>
      <c r="I686" s="160" t="n"/>
      <c r="J686" s="160" t="n"/>
    </row>
    <row r="687">
      <c r="C687" s="301" t="n"/>
      <c r="D687" s="301" t="n"/>
      <c r="E687" s="93" t="n"/>
      <c r="F687" s="160" t="n"/>
      <c r="G687" s="160" t="n"/>
      <c r="H687" s="160" t="n"/>
      <c r="I687" s="160" t="n"/>
      <c r="J687" s="160" t="n"/>
    </row>
    <row r="688">
      <c r="C688" s="301" t="n"/>
      <c r="D688" s="301" t="n"/>
      <c r="E688" s="93" t="n"/>
      <c r="F688" s="160" t="n"/>
      <c r="G688" s="160" t="n"/>
      <c r="H688" s="160" t="n"/>
      <c r="I688" s="160" t="n"/>
      <c r="J688" s="160" t="n"/>
    </row>
    <row r="689">
      <c r="C689" s="301" t="n"/>
      <c r="D689" s="301" t="n"/>
      <c r="E689" s="93" t="n"/>
      <c r="F689" s="160" t="n"/>
      <c r="G689" s="160" t="n"/>
      <c r="H689" s="160" t="n"/>
      <c r="I689" s="160" t="n"/>
      <c r="J689" s="160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B538:B542"/>
    <mergeCell ref="T353:T357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B388:B392"/>
    <mergeCell ref="T203:T207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T418:T422"/>
    <mergeCell ref="AL208:AL21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B473:B477"/>
    <mergeCell ref="T641:T645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T458:T462"/>
    <mergeCell ref="AL248:AL252"/>
    <mergeCell ref="B168:B17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T618:T622"/>
    <mergeCell ref="AL433:AL437"/>
    <mergeCell ref="B213:B217"/>
    <mergeCell ref="B378:B382"/>
    <mergeCell ref="T568:T572"/>
    <mergeCell ref="AL383:AL387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Salahieh, Basel</dc:creator>
  <dcterms:created xsi:type="dcterms:W3CDTF">2019-01-30T11:59:02Z</dcterms:created>
  <dcterms:modified xsi:type="dcterms:W3CDTF">2025-06-03T07:57:19Z</dcterms:modified>
  <cp:lastModifiedBy>呦呦鹿鸣</cp:lastModifiedBy>
  <cp:keywords>CTPClassification=CTP_NT</cp:keywords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bcf26ed8-713a-4e6c-8a04-66607341a11c_Enabled" fmtid="{D5CDD505-2E9C-101B-9397-08002B2CF9AE}" pid="2">
    <vt:lpwstr>true</vt:lpwstr>
  </property>
  <property name="MSIP_Label_bcf26ed8-713a-4e6c-8a04-66607341a11c_SetDate" fmtid="{D5CDD505-2E9C-101B-9397-08002B2CF9AE}" pid="3">
    <vt:lpwstr>2025-01-07T10:48:37Z</vt:lpwstr>
  </property>
  <property name="MSIP_Label_bcf26ed8-713a-4e6c-8a04-66607341a11c_Method" fmtid="{D5CDD505-2E9C-101B-9397-08002B2CF9AE}" pid="4">
    <vt:lpwstr>Privileged</vt:lpwstr>
  </property>
  <property name="MSIP_Label_bcf26ed8-713a-4e6c-8a04-66607341a11c_Name" fmtid="{D5CDD505-2E9C-101B-9397-08002B2CF9AE}" pid="5">
    <vt:lpwstr>Public</vt:lpwstr>
  </property>
  <property name="MSIP_Label_bcf26ed8-713a-4e6c-8a04-66607341a11c_SiteId" fmtid="{D5CDD505-2E9C-101B-9397-08002B2CF9AE}" pid="6">
    <vt:lpwstr>e351b779-f6d5-4e50-8568-80e922d180ae</vt:lpwstr>
  </property>
  <property name="MSIP_Label_bcf26ed8-713a-4e6c-8a04-66607341a11c_ActionId" fmtid="{D5CDD505-2E9C-101B-9397-08002B2CF9AE}" pid="7">
    <vt:lpwstr>606e2e57-f98d-46fc-b854-9f62949457a7</vt:lpwstr>
  </property>
  <property name="MSIP_Label_bcf26ed8-713a-4e6c-8a04-66607341a11c_ContentBits" fmtid="{D5CDD505-2E9C-101B-9397-08002B2CF9AE}" pid="8">
    <vt:lpwstr>0</vt:lpwstr>
  </property>
  <property name="ContentTypeId" fmtid="{D5CDD505-2E9C-101B-9397-08002B2CF9AE}" pid="9">
    <vt:lpwstr>0x010100874E70BB84A6BC44A96C445804BDBCA1</vt:lpwstr>
  </property>
  <property name="MediaServiceImageTags" fmtid="{D5CDD505-2E9C-101B-9397-08002B2CF9AE}" pid="10">
    <vt:lpwstr/>
  </property>
</Properties>
</file>