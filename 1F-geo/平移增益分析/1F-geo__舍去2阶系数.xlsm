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1F-geo\"/>
    </mc:Choice>
  </mc:AlternateContent>
  <xr:revisionPtr revIDLastSave="0" documentId="13_ncr:1_{B2DF4595-05DD-48FE-8A8B-3AF0C3BBC29C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54" i="10" l="1"/>
  <c r="Y654" i="10"/>
  <c r="X654" i="10"/>
  <c r="J654" i="10"/>
  <c r="AB653" i="10"/>
  <c r="AA653" i="10"/>
  <c r="Z653" i="10"/>
  <c r="Z652" i="10"/>
  <c r="Y652" i="10"/>
  <c r="X652" i="10"/>
  <c r="J652" i="10"/>
  <c r="F652" i="10"/>
  <c r="AA651" i="10"/>
  <c r="Z651" i="10"/>
  <c r="Y651" i="10"/>
  <c r="G651" i="10"/>
  <c r="F651" i="10"/>
  <c r="AB649" i="10"/>
  <c r="AB654" i="10" s="1"/>
  <c r="AA649" i="10"/>
  <c r="Z649" i="10"/>
  <c r="Y649" i="10"/>
  <c r="X649" i="10"/>
  <c r="J649" i="10"/>
  <c r="I649" i="10"/>
  <c r="I654" i="10" s="1"/>
  <c r="H649" i="10"/>
  <c r="G649" i="10"/>
  <c r="G654" i="10" s="1"/>
  <c r="F649" i="10"/>
  <c r="F654" i="10" s="1"/>
  <c r="AB648" i="10"/>
  <c r="AA648" i="10"/>
  <c r="Z648" i="10"/>
  <c r="Y648" i="10"/>
  <c r="Y653" i="10" s="1"/>
  <c r="X648" i="10"/>
  <c r="X653" i="10" s="1"/>
  <c r="J648" i="10"/>
  <c r="J653" i="10" s="1"/>
  <c r="I648" i="10"/>
  <c r="H648" i="10"/>
  <c r="H653" i="10" s="1"/>
  <c r="G648" i="10"/>
  <c r="G653" i="10" s="1"/>
  <c r="F648" i="10"/>
  <c r="F653" i="10" s="1"/>
  <c r="AB647" i="10"/>
  <c r="AB652" i="10" s="1"/>
  <c r="AA647" i="10"/>
  <c r="AA652" i="10" s="1"/>
  <c r="Z647" i="10"/>
  <c r="Y647" i="10"/>
  <c r="X647" i="10"/>
  <c r="J647" i="10"/>
  <c r="I647" i="10"/>
  <c r="I652" i="10" s="1"/>
  <c r="H647" i="10"/>
  <c r="H652" i="10" s="1"/>
  <c r="G647" i="10"/>
  <c r="G652" i="10" s="1"/>
  <c r="F647" i="10"/>
  <c r="AB646" i="10"/>
  <c r="AA646" i="10"/>
  <c r="Z646" i="10"/>
  <c r="Y646" i="10"/>
  <c r="X646" i="10"/>
  <c r="X651" i="10" s="1"/>
  <c r="J646" i="10"/>
  <c r="J651" i="10" s="1"/>
  <c r="I646" i="10"/>
  <c r="I651" i="10" s="1"/>
  <c r="H646" i="10"/>
  <c r="H651" i="10" s="1"/>
  <c r="G646" i="10"/>
  <c r="F646" i="10"/>
  <c r="AB644" i="10"/>
  <c r="AA644" i="10"/>
  <c r="Z644" i="10"/>
  <c r="Z654" i="10" s="1"/>
  <c r="Y644" i="10"/>
  <c r="X644" i="10"/>
  <c r="J644" i="10"/>
  <c r="I644" i="10"/>
  <c r="H644" i="10"/>
  <c r="H654" i="10" s="1"/>
  <c r="G644" i="10"/>
  <c r="F644" i="10"/>
  <c r="AB643" i="10"/>
  <c r="AA643" i="10"/>
  <c r="Z643" i="10"/>
  <c r="Y643" i="10"/>
  <c r="X643" i="10"/>
  <c r="J643" i="10"/>
  <c r="I643" i="10"/>
  <c r="I653" i="10" s="1"/>
  <c r="H643" i="10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B651" i="10" s="1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E8" i="10" s="1"/>
  <c r="W25" i="10"/>
  <c r="W7" i="10" s="1"/>
  <c r="E25" i="10"/>
  <c r="E7" i="10" s="1"/>
  <c r="W24" i="10"/>
  <c r="E24" i="10"/>
  <c r="W23" i="10"/>
  <c r="W5" i="10" s="1"/>
  <c r="E23" i="10"/>
  <c r="U13" i="10"/>
  <c r="C13" i="10"/>
  <c r="AJ10" i="10"/>
  <c r="AH10" i="10"/>
  <c r="R10" i="10"/>
  <c r="AJ8" i="10"/>
  <c r="AI8" i="10"/>
  <c r="AI10" i="10" s="1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AJ7" i="10"/>
  <c r="AI7" i="10"/>
  <c r="AH7" i="10"/>
  <c r="AB7" i="10"/>
  <c r="AA7" i="10"/>
  <c r="Z7" i="10"/>
  <c r="Y7" i="10"/>
  <c r="X7" i="10"/>
  <c r="R7" i="10"/>
  <c r="Q7" i="10"/>
  <c r="P7" i="10"/>
  <c r="P10" i="10" s="1"/>
  <c r="J7" i="10"/>
  <c r="I7" i="10"/>
  <c r="H7" i="10"/>
  <c r="G7" i="10"/>
  <c r="F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E6" i="10"/>
  <c r="AJ5" i="10"/>
  <c r="AI5" i="10"/>
  <c r="AH5" i="10"/>
  <c r="AB5" i="10"/>
  <c r="AA5" i="10"/>
  <c r="Z5" i="10"/>
  <c r="Y5" i="10"/>
  <c r="X5" i="10"/>
  <c r="R5" i="10"/>
  <c r="Q5" i="10"/>
  <c r="Q10" i="10" s="1"/>
  <c r="P5" i="10"/>
  <c r="J5" i="10"/>
  <c r="I5" i="10"/>
  <c r="H5" i="10"/>
  <c r="G5" i="10"/>
  <c r="F5" i="10"/>
  <c r="E5" i="10"/>
  <c r="AL2" i="10"/>
  <c r="U2" i="10"/>
  <c r="T2" i="10"/>
  <c r="C2" i="10"/>
  <c r="X654" i="9"/>
  <c r="J654" i="9"/>
  <c r="I654" i="9"/>
  <c r="I653" i="9"/>
  <c r="X652" i="9"/>
  <c r="J652" i="9"/>
  <c r="I652" i="9"/>
  <c r="H652" i="9"/>
  <c r="AA651" i="9"/>
  <c r="Z651" i="9"/>
  <c r="Y651" i="9"/>
  <c r="X651" i="9"/>
  <c r="AB649" i="9"/>
  <c r="AA649" i="9"/>
  <c r="Z649" i="9"/>
  <c r="Y649" i="9"/>
  <c r="X649" i="9"/>
  <c r="J649" i="9"/>
  <c r="I649" i="9"/>
  <c r="H649" i="9"/>
  <c r="G649" i="9"/>
  <c r="F649" i="9"/>
  <c r="F654" i="9" s="1"/>
  <c r="AB648" i="9"/>
  <c r="AA648" i="9"/>
  <c r="AA653" i="9" s="1"/>
  <c r="Z648" i="9"/>
  <c r="Z653" i="9" s="1"/>
  <c r="Y648" i="9"/>
  <c r="Y653" i="9" s="1"/>
  <c r="X648" i="9"/>
  <c r="X653" i="9" s="1"/>
  <c r="J648" i="9"/>
  <c r="J653" i="9" s="1"/>
  <c r="I648" i="9"/>
  <c r="H648" i="9"/>
  <c r="H653" i="9" s="1"/>
  <c r="G648" i="9"/>
  <c r="G653" i="9" s="1"/>
  <c r="F648" i="9"/>
  <c r="F653" i="9" s="1"/>
  <c r="AB647" i="9"/>
  <c r="AB652" i="9" s="1"/>
  <c r="AA647" i="9"/>
  <c r="AA652" i="9" s="1"/>
  <c r="Z647" i="9"/>
  <c r="Z652" i="9" s="1"/>
  <c r="Y647" i="9"/>
  <c r="X647" i="9"/>
  <c r="J647" i="9"/>
  <c r="I647" i="9"/>
  <c r="H647" i="9"/>
  <c r="G647" i="9"/>
  <c r="F647" i="9"/>
  <c r="AB646" i="9"/>
  <c r="AA646" i="9"/>
  <c r="Z646" i="9"/>
  <c r="Y646" i="9"/>
  <c r="X646" i="9"/>
  <c r="J646" i="9"/>
  <c r="I646" i="9"/>
  <c r="H646" i="9"/>
  <c r="H651" i="9" s="1"/>
  <c r="G646" i="9"/>
  <c r="F646" i="9"/>
  <c r="F651" i="9" s="1"/>
  <c r="AB644" i="9"/>
  <c r="AB654" i="9" s="1"/>
  <c r="AA644" i="9"/>
  <c r="AA654" i="9" s="1"/>
  <c r="Z644" i="9"/>
  <c r="Z654" i="9" s="1"/>
  <c r="Y644" i="9"/>
  <c r="Y654" i="9" s="1"/>
  <c r="X644" i="9"/>
  <c r="J644" i="9"/>
  <c r="I644" i="9"/>
  <c r="H644" i="9"/>
  <c r="G644" i="9"/>
  <c r="F644" i="9"/>
  <c r="AB643" i="9"/>
  <c r="AB653" i="9" s="1"/>
  <c r="AA643" i="9"/>
  <c r="Z643" i="9"/>
  <c r="Y643" i="9"/>
  <c r="X643" i="9"/>
  <c r="J643" i="9"/>
  <c r="I643" i="9"/>
  <c r="H643" i="9"/>
  <c r="G643" i="9"/>
  <c r="F643" i="9"/>
  <c r="AB642" i="9"/>
  <c r="AA642" i="9"/>
  <c r="Z642" i="9"/>
  <c r="Y642" i="9"/>
  <c r="Y652" i="9" s="1"/>
  <c r="X642" i="9"/>
  <c r="J642" i="9"/>
  <c r="I642" i="9"/>
  <c r="H642" i="9"/>
  <c r="G642" i="9"/>
  <c r="G652" i="9" s="1"/>
  <c r="F642" i="9"/>
  <c r="F652" i="9" s="1"/>
  <c r="AB641" i="9"/>
  <c r="AB651" i="9" s="1"/>
  <c r="AA641" i="9"/>
  <c r="Z641" i="9"/>
  <c r="Y641" i="9"/>
  <c r="X641" i="9"/>
  <c r="J641" i="9"/>
  <c r="I641" i="9"/>
  <c r="H641" i="9"/>
  <c r="G641" i="9"/>
  <c r="G651" i="9" s="1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W25" i="9"/>
  <c r="W7" i="9" s="1"/>
  <c r="E25" i="9"/>
  <c r="W24" i="9"/>
  <c r="W6" i="9" s="1"/>
  <c r="E24" i="9"/>
  <c r="W23" i="9"/>
  <c r="W5" i="9" s="1"/>
  <c r="E23" i="9"/>
  <c r="U13" i="9"/>
  <c r="C13" i="9"/>
  <c r="AJ10" i="9"/>
  <c r="AI10" i="9"/>
  <c r="AH10" i="9"/>
  <c r="R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E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E6" i="9"/>
  <c r="AJ5" i="9"/>
  <c r="AI5" i="9"/>
  <c r="AH5" i="9"/>
  <c r="AB5" i="9"/>
  <c r="AA5" i="9"/>
  <c r="Z5" i="9"/>
  <c r="Y5" i="9"/>
  <c r="X5" i="9"/>
  <c r="R5" i="9"/>
  <c r="Q5" i="9"/>
  <c r="P5" i="9"/>
  <c r="P10" i="9" s="1"/>
  <c r="J5" i="9"/>
  <c r="I5" i="9"/>
  <c r="H5" i="9"/>
  <c r="G5" i="9"/>
  <c r="F5" i="9"/>
  <c r="E5" i="9"/>
  <c r="AL2" i="9"/>
  <c r="U2" i="9"/>
  <c r="T2" i="9"/>
  <c r="C2" i="9"/>
  <c r="Z654" i="8"/>
  <c r="AB653" i="8"/>
  <c r="Y653" i="8"/>
  <c r="G653" i="8"/>
  <c r="F653" i="8"/>
  <c r="AB652" i="8"/>
  <c r="G651" i="8"/>
  <c r="AB649" i="8"/>
  <c r="AA649" i="8"/>
  <c r="AA654" i="8" s="1"/>
  <c r="Z649" i="8"/>
  <c r="Y649" i="8"/>
  <c r="X649" i="8"/>
  <c r="J649" i="8"/>
  <c r="J654" i="8" s="1"/>
  <c r="I649" i="8"/>
  <c r="H649" i="8"/>
  <c r="H654" i="8" s="1"/>
  <c r="G649" i="8"/>
  <c r="G654" i="8" s="1"/>
  <c r="F649" i="8"/>
  <c r="F654" i="8" s="1"/>
  <c r="AB648" i="8"/>
  <c r="AA648" i="8"/>
  <c r="AA653" i="8" s="1"/>
  <c r="Z648" i="8"/>
  <c r="Z653" i="8" s="1"/>
  <c r="Y648" i="8"/>
  <c r="X648" i="8"/>
  <c r="X653" i="8" s="1"/>
  <c r="J648" i="8"/>
  <c r="J653" i="8" s="1"/>
  <c r="I648" i="8"/>
  <c r="I653" i="8" s="1"/>
  <c r="H648" i="8"/>
  <c r="G648" i="8"/>
  <c r="F648" i="8"/>
  <c r="AB647" i="8"/>
  <c r="AA647" i="8"/>
  <c r="AA652" i="8" s="1"/>
  <c r="Z647" i="8"/>
  <c r="Y647" i="8"/>
  <c r="X647" i="8"/>
  <c r="J647" i="8"/>
  <c r="I647" i="8"/>
  <c r="I652" i="8" s="1"/>
  <c r="H647" i="8"/>
  <c r="G647" i="8"/>
  <c r="F647" i="8"/>
  <c r="F652" i="8" s="1"/>
  <c r="AB646" i="8"/>
  <c r="AA646" i="8"/>
  <c r="Z646" i="8"/>
  <c r="Y646" i="8"/>
  <c r="Y651" i="8" s="1"/>
  <c r="X646" i="8"/>
  <c r="J646" i="8"/>
  <c r="J651" i="8" s="1"/>
  <c r="I646" i="8"/>
  <c r="I651" i="8" s="1"/>
  <c r="H646" i="8"/>
  <c r="H651" i="8" s="1"/>
  <c r="G646" i="8"/>
  <c r="F646" i="8"/>
  <c r="F651" i="8" s="1"/>
  <c r="AB644" i="8"/>
  <c r="AB654" i="8" s="1"/>
  <c r="AA644" i="8"/>
  <c r="Z644" i="8"/>
  <c r="Y644" i="8"/>
  <c r="X644" i="8"/>
  <c r="X654" i="8" s="1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H653" i="8" s="1"/>
  <c r="G643" i="8"/>
  <c r="F643" i="8"/>
  <c r="AB642" i="8"/>
  <c r="AA642" i="8"/>
  <c r="Z642" i="8"/>
  <c r="Z652" i="8" s="1"/>
  <c r="Y642" i="8"/>
  <c r="Y652" i="8" s="1"/>
  <c r="X642" i="8"/>
  <c r="X652" i="8" s="1"/>
  <c r="J642" i="8"/>
  <c r="J652" i="8" s="1"/>
  <c r="I642" i="8"/>
  <c r="H642" i="8"/>
  <c r="H652" i="8" s="1"/>
  <c r="G642" i="8"/>
  <c r="G652" i="8" s="1"/>
  <c r="F642" i="8"/>
  <c r="AB641" i="8"/>
  <c r="AB651" i="8" s="1"/>
  <c r="AA641" i="8"/>
  <c r="Z641" i="8"/>
  <c r="Z651" i="8" s="1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W25" i="8"/>
  <c r="W7" i="8" s="1"/>
  <c r="E25" i="8"/>
  <c r="E7" i="8" s="1"/>
  <c r="W24" i="8"/>
  <c r="W6" i="8" s="1"/>
  <c r="E24" i="8"/>
  <c r="E6" i="8" s="1"/>
  <c r="W23" i="8"/>
  <c r="W5" i="8" s="1"/>
  <c r="E23" i="8"/>
  <c r="U13" i="8"/>
  <c r="C13" i="8"/>
  <c r="AJ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H10" i="8" s="1"/>
  <c r="AB6" i="8"/>
  <c r="AA6" i="8"/>
  <c r="Z6" i="8"/>
  <c r="Y6" i="8"/>
  <c r="X6" i="8"/>
  <c r="R6" i="8"/>
  <c r="Q6" i="8"/>
  <c r="P6" i="8"/>
  <c r="J6" i="8"/>
  <c r="I6" i="8"/>
  <c r="H6" i="8"/>
  <c r="G6" i="8"/>
  <c r="F6" i="8"/>
  <c r="AJ5" i="8"/>
  <c r="AI5" i="8"/>
  <c r="AH5" i="8"/>
  <c r="AB5" i="8"/>
  <c r="AA5" i="8"/>
  <c r="Z5" i="8"/>
  <c r="Y5" i="8"/>
  <c r="X5" i="8"/>
  <c r="R5" i="8"/>
  <c r="R10" i="8" s="1"/>
  <c r="Q5" i="8"/>
  <c r="Q10" i="8" s="1"/>
  <c r="P5" i="8"/>
  <c r="J5" i="8"/>
  <c r="I5" i="8"/>
  <c r="H5" i="8"/>
  <c r="G5" i="8"/>
  <c r="F5" i="8"/>
  <c r="E5" i="8"/>
  <c r="AL2" i="8"/>
  <c r="U2" i="8"/>
  <c r="T2" i="8"/>
  <c r="C2" i="8"/>
  <c r="AA654" i="7"/>
  <c r="X654" i="7"/>
  <c r="Y653" i="7"/>
  <c r="I653" i="7"/>
  <c r="F653" i="7"/>
  <c r="X652" i="7"/>
  <c r="I652" i="7"/>
  <c r="H652" i="7"/>
  <c r="F652" i="7"/>
  <c r="Z651" i="7"/>
  <c r="Y651" i="7"/>
  <c r="J651" i="7"/>
  <c r="AB649" i="7"/>
  <c r="AA649" i="7"/>
  <c r="Z649" i="7"/>
  <c r="Y649" i="7"/>
  <c r="X649" i="7"/>
  <c r="J649" i="7"/>
  <c r="J654" i="7" s="1"/>
  <c r="I649" i="7"/>
  <c r="I654" i="7" s="1"/>
  <c r="H649" i="7"/>
  <c r="H654" i="7" s="1"/>
  <c r="G649" i="7"/>
  <c r="F649" i="7"/>
  <c r="F654" i="7" s="1"/>
  <c r="AB648" i="7"/>
  <c r="AA648" i="7"/>
  <c r="Z648" i="7"/>
  <c r="Z653" i="7" s="1"/>
  <c r="Y648" i="7"/>
  <c r="X648" i="7"/>
  <c r="X653" i="7" s="1"/>
  <c r="J648" i="7"/>
  <c r="J653" i="7" s="1"/>
  <c r="I648" i="7"/>
  <c r="H648" i="7"/>
  <c r="G648" i="7"/>
  <c r="F648" i="7"/>
  <c r="AB647" i="7"/>
  <c r="AB652" i="7" s="1"/>
  <c r="AA647" i="7"/>
  <c r="AA652" i="7" s="1"/>
  <c r="Z647" i="7"/>
  <c r="Y647" i="7"/>
  <c r="Y652" i="7" s="1"/>
  <c r="X647" i="7"/>
  <c r="J647" i="7"/>
  <c r="I647" i="7"/>
  <c r="H647" i="7"/>
  <c r="G647" i="7"/>
  <c r="F647" i="7"/>
  <c r="AB646" i="7"/>
  <c r="AA646" i="7"/>
  <c r="Z646" i="7"/>
  <c r="Y646" i="7"/>
  <c r="X646" i="7"/>
  <c r="X651" i="7" s="1"/>
  <c r="J646" i="7"/>
  <c r="I646" i="7"/>
  <c r="H646" i="7"/>
  <c r="H651" i="7" s="1"/>
  <c r="G646" i="7"/>
  <c r="F646" i="7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AA653" i="7" s="1"/>
  <c r="Z643" i="7"/>
  <c r="Y643" i="7"/>
  <c r="X643" i="7"/>
  <c r="J643" i="7"/>
  <c r="I643" i="7"/>
  <c r="H643" i="7"/>
  <c r="G643" i="7"/>
  <c r="G653" i="7" s="1"/>
  <c r="F643" i="7"/>
  <c r="AB642" i="7"/>
  <c r="AA642" i="7"/>
  <c r="Z642" i="7"/>
  <c r="Y642" i="7"/>
  <c r="X642" i="7"/>
  <c r="J642" i="7"/>
  <c r="J652" i="7" s="1"/>
  <c r="I642" i="7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F651" i="7" s="1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W25" i="7"/>
  <c r="E25" i="7"/>
  <c r="W24" i="7"/>
  <c r="W6" i="7" s="1"/>
  <c r="E24" i="7"/>
  <c r="W23" i="7"/>
  <c r="E23" i="7"/>
  <c r="U13" i="7"/>
  <c r="C13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R6" i="7"/>
  <c r="Q6" i="7"/>
  <c r="P6" i="7"/>
  <c r="J6" i="7"/>
  <c r="I6" i="7"/>
  <c r="H6" i="7"/>
  <c r="G6" i="7"/>
  <c r="F6" i="7"/>
  <c r="E6" i="7"/>
  <c r="AJ5" i="7"/>
  <c r="AJ10" i="7" s="1"/>
  <c r="AI5" i="7"/>
  <c r="AI10" i="7" s="1"/>
  <c r="AH5" i="7"/>
  <c r="AH10" i="7" s="1"/>
  <c r="AB5" i="7"/>
  <c r="AA5" i="7"/>
  <c r="Z5" i="7"/>
  <c r="Y5" i="7"/>
  <c r="X5" i="7"/>
  <c r="W5" i="7"/>
  <c r="R5" i="7"/>
  <c r="R10" i="7" s="1"/>
  <c r="Q5" i="7"/>
  <c r="Q10" i="7" s="1"/>
  <c r="P5" i="7"/>
  <c r="P10" i="7" s="1"/>
  <c r="J5" i="7"/>
  <c r="I5" i="7"/>
  <c r="H5" i="7"/>
  <c r="G5" i="7"/>
  <c r="F5" i="7"/>
  <c r="E5" i="7"/>
  <c r="AL2" i="7"/>
  <c r="U2" i="7"/>
  <c r="T2" i="7"/>
  <c r="C2" i="7"/>
  <c r="M112" i="6"/>
  <c r="L112" i="6"/>
  <c r="B106" i="6"/>
  <c r="F103" i="6"/>
  <c r="F106" i="6" s="1"/>
  <c r="F107" i="6" s="1"/>
  <c r="F108" i="6" s="1"/>
  <c r="F109" i="6" s="1"/>
  <c r="M101" i="6"/>
  <c r="L101" i="6"/>
  <c r="B95" i="6"/>
  <c r="L92" i="6"/>
  <c r="F92" i="6"/>
  <c r="F95" i="6" s="1"/>
  <c r="F96" i="6" s="1"/>
  <c r="F97" i="6" s="1"/>
  <c r="F98" i="6" s="1"/>
  <c r="M90" i="6"/>
  <c r="L90" i="6"/>
  <c r="F85" i="6"/>
  <c r="F86" i="6" s="1"/>
  <c r="F87" i="6" s="1"/>
  <c r="B85" i="6"/>
  <c r="F84" i="6"/>
  <c r="B84" i="6"/>
  <c r="L81" i="6"/>
  <c r="F81" i="6"/>
  <c r="M79" i="6"/>
  <c r="L79" i="6"/>
  <c r="B74" i="6"/>
  <c r="B75" i="6" s="1"/>
  <c r="B73" i="6"/>
  <c r="F70" i="6"/>
  <c r="F73" i="6" s="1"/>
  <c r="F74" i="6" s="1"/>
  <c r="F75" i="6" s="1"/>
  <c r="F76" i="6" s="1"/>
  <c r="M68" i="6"/>
  <c r="L68" i="6"/>
  <c r="F62" i="6"/>
  <c r="F63" i="6" s="1"/>
  <c r="F64" i="6" s="1"/>
  <c r="F65" i="6" s="1"/>
  <c r="B62" i="6"/>
  <c r="L61" i="6"/>
  <c r="L59" i="6"/>
  <c r="F59" i="6"/>
  <c r="M57" i="6"/>
  <c r="L57" i="6"/>
  <c r="F52" i="6"/>
  <c r="F53" i="6" s="1"/>
  <c r="F54" i="6" s="1"/>
  <c r="B52" i="6"/>
  <c r="B51" i="6"/>
  <c r="F48" i="6"/>
  <c r="F51" i="6" s="1"/>
  <c r="M46" i="6"/>
  <c r="L46" i="6"/>
  <c r="F41" i="6"/>
  <c r="F42" i="6" s="1"/>
  <c r="F43" i="6" s="1"/>
  <c r="B41" i="6"/>
  <c r="B40" i="6"/>
  <c r="F37" i="6"/>
  <c r="F40" i="6" s="1"/>
  <c r="M35" i="6"/>
  <c r="L35" i="6"/>
  <c r="F29" i="6"/>
  <c r="F30" i="6" s="1"/>
  <c r="F31" i="6" s="1"/>
  <c r="F32" i="6" s="1"/>
  <c r="B29" i="6"/>
  <c r="F26" i="6"/>
  <c r="L26" i="6" s="1"/>
  <c r="M24" i="6"/>
  <c r="L24" i="6"/>
  <c r="F21" i="6"/>
  <c r="F18" i="6"/>
  <c r="F19" i="6" s="1"/>
  <c r="F20" i="6" s="1"/>
  <c r="B18" i="6"/>
  <c r="M17" i="6"/>
  <c r="L15" i="6"/>
  <c r="F15" i="6"/>
  <c r="M13" i="6"/>
  <c r="L13" i="6"/>
  <c r="F7" i="6"/>
  <c r="F8" i="6" s="1"/>
  <c r="F9" i="6" s="1"/>
  <c r="F10" i="6" s="1"/>
  <c r="B7" i="6"/>
  <c r="L4" i="6"/>
  <c r="F4" i="6"/>
  <c r="F2" i="6"/>
  <c r="B2" i="6"/>
  <c r="M112" i="5"/>
  <c r="L112" i="5"/>
  <c r="F106" i="5"/>
  <c r="F107" i="5" s="1"/>
  <c r="F108" i="5" s="1"/>
  <c r="F109" i="5" s="1"/>
  <c r="B106" i="5"/>
  <c r="B107" i="5" s="1"/>
  <c r="M105" i="5"/>
  <c r="L103" i="5"/>
  <c r="F103" i="5"/>
  <c r="M101" i="5"/>
  <c r="L101" i="5"/>
  <c r="F96" i="5"/>
  <c r="F97" i="5" s="1"/>
  <c r="F98" i="5" s="1"/>
  <c r="B95" i="5"/>
  <c r="L92" i="5"/>
  <c r="M94" i="5" s="1"/>
  <c r="F92" i="5"/>
  <c r="F95" i="5" s="1"/>
  <c r="M90" i="5"/>
  <c r="L90" i="5"/>
  <c r="F84" i="5"/>
  <c r="F85" i="5" s="1"/>
  <c r="F86" i="5" s="1"/>
  <c r="F87" i="5" s="1"/>
  <c r="B84" i="5"/>
  <c r="F81" i="5"/>
  <c r="L81" i="5" s="1"/>
  <c r="M79" i="5"/>
  <c r="L79" i="5"/>
  <c r="F76" i="5"/>
  <c r="B74" i="5"/>
  <c r="F73" i="5"/>
  <c r="F74" i="5" s="1"/>
  <c r="F75" i="5" s="1"/>
  <c r="B73" i="5"/>
  <c r="M72" i="5"/>
  <c r="L72" i="5"/>
  <c r="F70" i="5"/>
  <c r="L70" i="5" s="1"/>
  <c r="M68" i="5"/>
  <c r="L68" i="5"/>
  <c r="F63" i="5"/>
  <c r="F64" i="5" s="1"/>
  <c r="F65" i="5" s="1"/>
  <c r="F62" i="5"/>
  <c r="B62" i="5"/>
  <c r="F59" i="5"/>
  <c r="L59" i="5" s="1"/>
  <c r="M57" i="5"/>
  <c r="L57" i="5"/>
  <c r="B52" i="5"/>
  <c r="B51" i="5"/>
  <c r="F48" i="5"/>
  <c r="M46" i="5"/>
  <c r="L46" i="5"/>
  <c r="F41" i="5"/>
  <c r="F42" i="5" s="1"/>
  <c r="F43" i="5" s="1"/>
  <c r="F40" i="5"/>
  <c r="B40" i="5"/>
  <c r="L37" i="5"/>
  <c r="M39" i="5" s="1"/>
  <c r="F37" i="5"/>
  <c r="M35" i="5"/>
  <c r="L35" i="5"/>
  <c r="F30" i="5"/>
  <c r="F31" i="5" s="1"/>
  <c r="F32" i="5" s="1"/>
  <c r="B30" i="5"/>
  <c r="F29" i="5"/>
  <c r="B29" i="5"/>
  <c r="L26" i="5"/>
  <c r="M28" i="5" s="1"/>
  <c r="F26" i="5"/>
  <c r="M24" i="5"/>
  <c r="L24" i="5"/>
  <c r="B18" i="5"/>
  <c r="B19" i="5" s="1"/>
  <c r="F15" i="5"/>
  <c r="F18" i="5" s="1"/>
  <c r="F19" i="5" s="1"/>
  <c r="F20" i="5" s="1"/>
  <c r="F21" i="5" s="1"/>
  <c r="M13" i="5"/>
  <c r="L13" i="5"/>
  <c r="F8" i="5"/>
  <c r="F9" i="5" s="1"/>
  <c r="F10" i="5" s="1"/>
  <c r="B8" i="5"/>
  <c r="B9" i="5" s="1"/>
  <c r="F7" i="5"/>
  <c r="B7" i="5"/>
  <c r="M6" i="5"/>
  <c r="L4" i="5"/>
  <c r="F4" i="5"/>
  <c r="F2" i="5"/>
  <c r="B2" i="5"/>
  <c r="L105" i="5" s="1"/>
  <c r="M112" i="4"/>
  <c r="L112" i="4"/>
  <c r="B106" i="4"/>
  <c r="F103" i="4"/>
  <c r="F106" i="4" s="1"/>
  <c r="F107" i="4" s="1"/>
  <c r="F108" i="4" s="1"/>
  <c r="F109" i="4" s="1"/>
  <c r="M101" i="4"/>
  <c r="L101" i="4"/>
  <c r="B96" i="4"/>
  <c r="B95" i="4"/>
  <c r="F92" i="4"/>
  <c r="M90" i="4"/>
  <c r="L90" i="4"/>
  <c r="B84" i="4"/>
  <c r="B85" i="4" s="1"/>
  <c r="B86" i="4" s="1"/>
  <c r="F81" i="4"/>
  <c r="M79" i="4"/>
  <c r="L79" i="4"/>
  <c r="B75" i="4"/>
  <c r="B74" i="4"/>
  <c r="B73" i="4"/>
  <c r="F70" i="4"/>
  <c r="M68" i="4"/>
  <c r="L68" i="4"/>
  <c r="F65" i="4"/>
  <c r="F62" i="4"/>
  <c r="F63" i="4" s="1"/>
  <c r="F64" i="4" s="1"/>
  <c r="B62" i="4"/>
  <c r="F59" i="4"/>
  <c r="L59" i="4" s="1"/>
  <c r="M61" i="4" s="1"/>
  <c r="M57" i="4"/>
  <c r="L57" i="4"/>
  <c r="F51" i="4"/>
  <c r="F52" i="4" s="1"/>
  <c r="F53" i="4" s="1"/>
  <c r="F54" i="4" s="1"/>
  <c r="B51" i="4"/>
  <c r="F48" i="4"/>
  <c r="L48" i="4" s="1"/>
  <c r="M50" i="4" s="1"/>
  <c r="M46" i="4"/>
  <c r="L46" i="4"/>
  <c r="F43" i="4"/>
  <c r="B40" i="4"/>
  <c r="F37" i="4"/>
  <c r="F40" i="4" s="1"/>
  <c r="F41" i="4" s="1"/>
  <c r="F42" i="4" s="1"/>
  <c r="M35" i="4"/>
  <c r="L35" i="4"/>
  <c r="F32" i="4"/>
  <c r="F31" i="4"/>
  <c r="F30" i="4"/>
  <c r="B30" i="4"/>
  <c r="F29" i="4"/>
  <c r="B29" i="4"/>
  <c r="M28" i="4"/>
  <c r="F26" i="4"/>
  <c r="L26" i="4" s="1"/>
  <c r="M24" i="4"/>
  <c r="L24" i="4"/>
  <c r="B18" i="4"/>
  <c r="L15" i="4"/>
  <c r="M17" i="4" s="1"/>
  <c r="F15" i="4"/>
  <c r="F18" i="4" s="1"/>
  <c r="F19" i="4" s="1"/>
  <c r="F20" i="4" s="1"/>
  <c r="F21" i="4" s="1"/>
  <c r="M13" i="4"/>
  <c r="L13" i="4"/>
  <c r="B9" i="4"/>
  <c r="B8" i="4"/>
  <c r="B7" i="4"/>
  <c r="F4" i="4"/>
  <c r="F2" i="4"/>
  <c r="B2" i="4"/>
  <c r="M112" i="3"/>
  <c r="L112" i="3"/>
  <c r="B108" i="3"/>
  <c r="F106" i="3"/>
  <c r="F107" i="3" s="1"/>
  <c r="F108" i="3" s="1"/>
  <c r="F109" i="3" s="1"/>
  <c r="B106" i="3"/>
  <c r="B107" i="3" s="1"/>
  <c r="M105" i="3"/>
  <c r="L103" i="3"/>
  <c r="L105" i="3" s="1"/>
  <c r="F103" i="3"/>
  <c r="M101" i="3"/>
  <c r="L101" i="3"/>
  <c r="B97" i="3"/>
  <c r="B96" i="3"/>
  <c r="F95" i="3"/>
  <c r="F96" i="3" s="1"/>
  <c r="F97" i="3" s="1"/>
  <c r="F98" i="3" s="1"/>
  <c r="B95" i="3"/>
  <c r="F92" i="3"/>
  <c r="L92" i="3" s="1"/>
  <c r="M90" i="3"/>
  <c r="L90" i="3"/>
  <c r="B85" i="3"/>
  <c r="B86" i="3" s="1"/>
  <c r="F84" i="3"/>
  <c r="F85" i="3" s="1"/>
  <c r="F86" i="3" s="1"/>
  <c r="F87" i="3" s="1"/>
  <c r="B84" i="3"/>
  <c r="F81" i="3"/>
  <c r="L81" i="3" s="1"/>
  <c r="M79" i="3"/>
  <c r="L79" i="3"/>
  <c r="B74" i="3"/>
  <c r="B73" i="3"/>
  <c r="F70" i="3"/>
  <c r="L70" i="3" s="1"/>
  <c r="L72" i="3" s="1"/>
  <c r="M68" i="3"/>
  <c r="L68" i="3"/>
  <c r="B63" i="3"/>
  <c r="B62" i="3"/>
  <c r="F59" i="3"/>
  <c r="F62" i="3" s="1"/>
  <c r="F63" i="3" s="1"/>
  <c r="F64" i="3" s="1"/>
  <c r="F65" i="3" s="1"/>
  <c r="M57" i="3"/>
  <c r="L57" i="3"/>
  <c r="F52" i="3"/>
  <c r="F53" i="3" s="1"/>
  <c r="F54" i="3" s="1"/>
  <c r="B52" i="3"/>
  <c r="B53" i="3" s="1"/>
  <c r="F51" i="3"/>
  <c r="B51" i="3"/>
  <c r="F48" i="3"/>
  <c r="L48" i="3" s="1"/>
  <c r="M46" i="3"/>
  <c r="L46" i="3"/>
  <c r="B42" i="3"/>
  <c r="B43" i="3" s="1"/>
  <c r="B41" i="3"/>
  <c r="B40" i="3"/>
  <c r="F37" i="3"/>
  <c r="F40" i="3" s="1"/>
  <c r="F41" i="3" s="1"/>
  <c r="F42" i="3" s="1"/>
  <c r="F43" i="3" s="1"/>
  <c r="M35" i="3"/>
  <c r="L35" i="3"/>
  <c r="B31" i="3"/>
  <c r="B30" i="3"/>
  <c r="B29" i="3"/>
  <c r="F26" i="3"/>
  <c r="L26" i="3" s="1"/>
  <c r="L28" i="3" s="1"/>
  <c r="M24" i="3"/>
  <c r="L24" i="3"/>
  <c r="F21" i="3"/>
  <c r="F18" i="3"/>
  <c r="F19" i="3" s="1"/>
  <c r="F20" i="3" s="1"/>
  <c r="B18" i="3"/>
  <c r="B19" i="3" s="1"/>
  <c r="M17" i="3"/>
  <c r="L15" i="3"/>
  <c r="L17" i="3" s="1"/>
  <c r="F15" i="3"/>
  <c r="M13" i="3"/>
  <c r="L13" i="3"/>
  <c r="B8" i="3"/>
  <c r="B9" i="3" s="1"/>
  <c r="F7" i="3"/>
  <c r="F8" i="3" s="1"/>
  <c r="F9" i="3" s="1"/>
  <c r="F10" i="3" s="1"/>
  <c r="B7" i="3"/>
  <c r="L6" i="3"/>
  <c r="F4" i="3"/>
  <c r="L4" i="3" s="1"/>
  <c r="F2" i="3"/>
  <c r="B2" i="3"/>
  <c r="L50" i="3" s="1"/>
  <c r="M112" i="2"/>
  <c r="L112" i="2"/>
  <c r="B106" i="2"/>
  <c r="F103" i="2"/>
  <c r="M101" i="2"/>
  <c r="L101" i="2"/>
  <c r="B95" i="2"/>
  <c r="L92" i="2"/>
  <c r="L94" i="2" s="1"/>
  <c r="F92" i="2"/>
  <c r="F95" i="2" s="1"/>
  <c r="F96" i="2" s="1"/>
  <c r="F97" i="2" s="1"/>
  <c r="F98" i="2" s="1"/>
  <c r="M90" i="2"/>
  <c r="L90" i="2"/>
  <c r="F84" i="2"/>
  <c r="F85" i="2" s="1"/>
  <c r="F86" i="2" s="1"/>
  <c r="F87" i="2" s="1"/>
  <c r="B84" i="2"/>
  <c r="B85" i="2" s="1"/>
  <c r="M83" i="2"/>
  <c r="L81" i="2"/>
  <c r="L83" i="2" s="1"/>
  <c r="F81" i="2"/>
  <c r="M79" i="2"/>
  <c r="L79" i="2"/>
  <c r="F74" i="2"/>
  <c r="F75" i="2" s="1"/>
  <c r="F76" i="2" s="1"/>
  <c r="B73" i="2"/>
  <c r="F70" i="2"/>
  <c r="F73" i="2" s="1"/>
  <c r="M68" i="2"/>
  <c r="L68" i="2"/>
  <c r="B62" i="2"/>
  <c r="B63" i="2" s="1"/>
  <c r="F59" i="2"/>
  <c r="F62" i="2" s="1"/>
  <c r="F63" i="2" s="1"/>
  <c r="F64" i="2" s="1"/>
  <c r="F65" i="2" s="1"/>
  <c r="M57" i="2"/>
  <c r="L57" i="2"/>
  <c r="F52" i="2"/>
  <c r="F53" i="2" s="1"/>
  <c r="F54" i="2" s="1"/>
  <c r="B51" i="2"/>
  <c r="F48" i="2"/>
  <c r="F51" i="2" s="1"/>
  <c r="M46" i="2"/>
  <c r="L46" i="2"/>
  <c r="F41" i="2"/>
  <c r="F42" i="2" s="1"/>
  <c r="F43" i="2" s="1"/>
  <c r="B41" i="2"/>
  <c r="F40" i="2"/>
  <c r="B40" i="2"/>
  <c r="M39" i="2"/>
  <c r="F37" i="2"/>
  <c r="L37" i="2" s="1"/>
  <c r="L39" i="2" s="1"/>
  <c r="M35" i="2"/>
  <c r="L35" i="2"/>
  <c r="B29" i="2"/>
  <c r="F26" i="2"/>
  <c r="F29" i="2" s="1"/>
  <c r="F30" i="2" s="1"/>
  <c r="F31" i="2" s="1"/>
  <c r="F32" i="2" s="1"/>
  <c r="M24" i="2"/>
  <c r="L24" i="2"/>
  <c r="F20" i="2"/>
  <c r="F21" i="2" s="1"/>
  <c r="F18" i="2"/>
  <c r="F19" i="2" s="1"/>
  <c r="B18" i="2"/>
  <c r="L15" i="2"/>
  <c r="L17" i="2" s="1"/>
  <c r="F15" i="2"/>
  <c r="M13" i="2"/>
  <c r="L13" i="2"/>
  <c r="F7" i="2"/>
  <c r="F8" i="2" s="1"/>
  <c r="F9" i="2" s="1"/>
  <c r="F10" i="2" s="1"/>
  <c r="B7" i="2"/>
  <c r="L6" i="2"/>
  <c r="F4" i="2"/>
  <c r="L4" i="2" s="1"/>
  <c r="F2" i="2"/>
  <c r="B2" i="2"/>
  <c r="AQ5" i="10"/>
  <c r="AQ5" i="9"/>
  <c r="AP5" i="10"/>
  <c r="AP5" i="9"/>
  <c r="AO5" i="10"/>
  <c r="AO5" i="9"/>
  <c r="AN5" i="10"/>
  <c r="AN5" i="9"/>
  <c r="AM5" i="10"/>
  <c r="AM5" i="9"/>
  <c r="AQ5" i="7"/>
  <c r="AP5" i="7"/>
  <c r="AP5" i="8"/>
  <c r="AM5" i="7"/>
  <c r="AO5" i="8"/>
  <c r="AO5" i="7"/>
  <c r="AQ5" i="8"/>
  <c r="AN5" i="7"/>
  <c r="AN5" i="8"/>
  <c r="AM5" i="8"/>
  <c r="B16" i="1"/>
  <c r="E11" i="1"/>
  <c r="G17" i="1"/>
  <c r="B13" i="1"/>
  <c r="E17" i="1"/>
  <c r="G12" i="1"/>
  <c r="E16" i="1"/>
  <c r="G11" i="1"/>
  <c r="H16" i="1"/>
  <c r="D11" i="1"/>
  <c r="H51" i="6"/>
  <c r="F13" i="1"/>
  <c r="H18" i="1"/>
  <c r="L95" i="3"/>
  <c r="H73" i="2"/>
  <c r="E13" i="1"/>
  <c r="D51" i="6"/>
  <c r="M84" i="3"/>
  <c r="G18" i="1"/>
  <c r="D13" i="1"/>
  <c r="L84" i="3"/>
  <c r="F18" i="1"/>
  <c r="H12" i="1"/>
  <c r="E18" i="1"/>
  <c r="F12" i="1"/>
  <c r="B14" i="1"/>
  <c r="H13" i="1"/>
  <c r="E12" i="1"/>
  <c r="H107" i="5"/>
  <c r="D106" i="2"/>
  <c r="D12" i="1"/>
  <c r="D107" i="5"/>
  <c r="D63" i="3"/>
  <c r="L63" i="2"/>
  <c r="L106" i="5"/>
  <c r="M7" i="4"/>
  <c r="M18" i="6"/>
  <c r="H52" i="5"/>
  <c r="H8" i="5"/>
  <c r="L75" i="4"/>
  <c r="L85" i="3"/>
  <c r="M31" i="3"/>
  <c r="H84" i="2"/>
  <c r="L29" i="6"/>
  <c r="L84" i="5"/>
  <c r="H106" i="2"/>
  <c r="G13" i="1"/>
  <c r="H19" i="5"/>
  <c r="H106" i="3"/>
  <c r="M52" i="3"/>
  <c r="F11" i="1"/>
  <c r="B12" i="1"/>
  <c r="H11" i="1"/>
  <c r="M7" i="6"/>
  <c r="H30" i="5"/>
  <c r="H86" i="4"/>
  <c r="L42" i="3"/>
  <c r="H18" i="6"/>
  <c r="L7" i="6"/>
  <c r="M106" i="5"/>
  <c r="D19" i="5"/>
  <c r="D86" i="4"/>
  <c r="H85" i="3"/>
  <c r="H42" i="3"/>
  <c r="L31" i="3"/>
  <c r="H63" i="2"/>
  <c r="D18" i="1"/>
  <c r="B11" i="1"/>
  <c r="D85" i="6"/>
  <c r="H7" i="6"/>
  <c r="M73" i="5"/>
  <c r="M52" i="5"/>
  <c r="M18" i="5"/>
  <c r="M85" i="4"/>
  <c r="H31" i="3"/>
  <c r="M62" i="2"/>
  <c r="H17" i="1"/>
  <c r="G10" i="1"/>
  <c r="F17" i="1"/>
  <c r="M73" i="6"/>
  <c r="H29" i="6"/>
  <c r="D18" i="6"/>
  <c r="H106" i="5"/>
  <c r="H84" i="5"/>
  <c r="L73" i="5"/>
  <c r="H62" i="5"/>
  <c r="L18" i="5"/>
  <c r="L85" i="4"/>
  <c r="D75" i="4"/>
  <c r="H95" i="3"/>
  <c r="M73" i="3"/>
  <c r="M62" i="3"/>
  <c r="M73" i="2"/>
  <c r="L62" i="2"/>
  <c r="F10" i="1"/>
  <c r="M84" i="6"/>
  <c r="L73" i="6"/>
  <c r="M51" i="6"/>
  <c r="L18" i="6"/>
  <c r="D7" i="6"/>
  <c r="H96" i="4"/>
  <c r="H84" i="3"/>
  <c r="L62" i="3"/>
  <c r="M41" i="3"/>
  <c r="L73" i="2"/>
  <c r="D17" i="1"/>
  <c r="E10" i="1"/>
  <c r="D84" i="5"/>
  <c r="M51" i="5"/>
  <c r="M29" i="5"/>
  <c r="M7" i="5"/>
  <c r="H85" i="4"/>
  <c r="H73" i="3"/>
  <c r="M51" i="2"/>
  <c r="B17" i="1"/>
  <c r="L62" i="6"/>
  <c r="L51" i="6"/>
  <c r="D62" i="5"/>
  <c r="H18" i="5"/>
  <c r="L41" i="3"/>
  <c r="H62" i="2"/>
  <c r="D10" i="1"/>
  <c r="L51" i="5"/>
  <c r="D84" i="3"/>
  <c r="G16" i="1"/>
  <c r="B10" i="1"/>
  <c r="M95" i="6"/>
  <c r="D18" i="5"/>
  <c r="D73" i="3"/>
  <c r="M51" i="3"/>
  <c r="D62" i="2"/>
  <c r="L40" i="2"/>
  <c r="F16" i="1"/>
  <c r="D29" i="3"/>
  <c r="D15" i="1"/>
  <c r="L74" i="4"/>
  <c r="D41" i="3"/>
  <c r="H9" i="1"/>
  <c r="M40" i="4"/>
  <c r="L73" i="3"/>
  <c r="D62" i="3"/>
  <c r="P62" i="3" s="1"/>
  <c r="M8" i="3"/>
  <c r="H51" i="2"/>
  <c r="D16" i="1"/>
  <c r="G9" i="1"/>
  <c r="L84" i="4"/>
  <c r="M40" i="3"/>
  <c r="D95" i="4"/>
  <c r="G14" i="1"/>
  <c r="L84" i="6"/>
  <c r="H15" i="1"/>
  <c r="F9" i="1"/>
  <c r="M95" i="4"/>
  <c r="G15" i="1"/>
  <c r="D8" i="3"/>
  <c r="E9" i="1"/>
  <c r="E15" i="1"/>
  <c r="D73" i="4"/>
  <c r="F15" i="1"/>
  <c r="D9" i="1"/>
  <c r="H84" i="4"/>
  <c r="L51" i="3"/>
  <c r="M29" i="2"/>
  <c r="B9" i="1"/>
  <c r="H30" i="4"/>
  <c r="L29" i="3"/>
  <c r="B15" i="1"/>
  <c r="M73" i="4"/>
  <c r="H14" i="1"/>
  <c r="H7" i="2"/>
  <c r="E14" i="1"/>
  <c r="H75" i="4"/>
  <c r="F14" i="1"/>
  <c r="D30" i="5"/>
  <c r="D42" i="3"/>
  <c r="B18" i="1"/>
  <c r="H7" i="3"/>
  <c r="H41" i="3"/>
  <c r="D14" i="1"/>
  <c r="D52" i="5"/>
  <c r="L40" i="4"/>
  <c r="M95" i="3"/>
  <c r="H10" i="1"/>
  <c r="M74" i="4"/>
  <c r="H40" i="4"/>
  <c r="M63" i="3"/>
  <c r="D74" i="5"/>
  <c r="D8" i="4"/>
  <c r="D84" i="2"/>
  <c r="H62" i="3"/>
  <c r="P65" i="3" s="1"/>
  <c r="L52" i="6"/>
  <c r="D85" i="3"/>
  <c r="M29" i="4"/>
  <c r="D8" i="5"/>
  <c r="D30" i="4"/>
  <c r="H41" i="2"/>
  <c r="D29" i="4"/>
  <c r="D106" i="3"/>
  <c r="M40" i="2"/>
  <c r="M96" i="3"/>
  <c r="D7" i="3"/>
  <c r="L9" i="3"/>
  <c r="H9" i="5"/>
  <c r="P87" i="5"/>
  <c r="P84" i="5"/>
  <c r="P51" i="6"/>
  <c r="P54" i="6"/>
  <c r="P87" i="3"/>
  <c r="P84" i="3"/>
  <c r="P65" i="2"/>
  <c r="P62" i="2"/>
  <c r="P73" i="3"/>
  <c r="P76" i="3"/>
  <c r="N40" i="2" l="1"/>
  <c r="J112" i="3"/>
  <c r="J111" i="3"/>
  <c r="J62" i="3"/>
  <c r="J90" i="2"/>
  <c r="J89" i="2"/>
  <c r="N74" i="4"/>
  <c r="H19" i="1"/>
  <c r="N95" i="3"/>
  <c r="J41" i="3"/>
  <c r="J7" i="3"/>
  <c r="J75" i="4"/>
  <c r="J30" i="4"/>
  <c r="J79" i="4"/>
  <c r="J78" i="4"/>
  <c r="J100" i="4"/>
  <c r="J101" i="4"/>
  <c r="J68" i="3"/>
  <c r="J67" i="3"/>
  <c r="N40" i="4"/>
  <c r="J68" i="2"/>
  <c r="J67" i="2"/>
  <c r="N51" i="3"/>
  <c r="J79" i="3"/>
  <c r="J78" i="3"/>
  <c r="J89" i="3"/>
  <c r="J90" i="3"/>
  <c r="D19" i="1"/>
  <c r="J62" i="2"/>
  <c r="J18" i="5"/>
  <c r="J68" i="5"/>
  <c r="J67" i="5"/>
  <c r="J73" i="3"/>
  <c r="N51" i="5"/>
  <c r="J90" i="5"/>
  <c r="J89" i="5"/>
  <c r="E19" i="1"/>
  <c r="N41" i="3"/>
  <c r="J84" i="3"/>
  <c r="N51" i="6"/>
  <c r="N84" i="6"/>
  <c r="F19" i="1"/>
  <c r="N73" i="2"/>
  <c r="N62" i="3"/>
  <c r="N73" i="3"/>
  <c r="J62" i="5"/>
  <c r="J84" i="5"/>
  <c r="N73" i="6"/>
  <c r="G19" i="1"/>
  <c r="N62" i="2"/>
  <c r="N85" i="4"/>
  <c r="N18" i="5"/>
  <c r="N73" i="5"/>
  <c r="J7" i="6"/>
  <c r="J42" i="3"/>
  <c r="J85" i="3"/>
  <c r="N106" i="5"/>
  <c r="J18" i="6"/>
  <c r="J86" i="4"/>
  <c r="J30" i="5"/>
  <c r="N7" i="6"/>
  <c r="J106" i="3"/>
  <c r="J19" i="5"/>
  <c r="J106" i="2"/>
  <c r="J84" i="2"/>
  <c r="N31" i="3"/>
  <c r="J8" i="5"/>
  <c r="J52" i="5"/>
  <c r="N18" i="6"/>
  <c r="J112" i="2"/>
  <c r="J111" i="2"/>
  <c r="J107" i="5"/>
  <c r="N84" i="3"/>
  <c r="J57" i="6"/>
  <c r="J56" i="6"/>
  <c r="J51" i="6"/>
  <c r="F106" i="2"/>
  <c r="F107" i="2" s="1"/>
  <c r="F108" i="2" s="1"/>
  <c r="F109" i="2" s="1"/>
  <c r="L103" i="2"/>
  <c r="B20" i="3"/>
  <c r="L92" i="4"/>
  <c r="M94" i="4" s="1"/>
  <c r="F95" i="4"/>
  <c r="F96" i="4" s="1"/>
  <c r="F97" i="4" s="1"/>
  <c r="F98" i="4" s="1"/>
  <c r="B54" i="3"/>
  <c r="B87" i="3"/>
  <c r="L61" i="4"/>
  <c r="B109" i="3"/>
  <c r="B63" i="4"/>
  <c r="L105" i="4"/>
  <c r="B19" i="2"/>
  <c r="M83" i="3"/>
  <c r="L83" i="3"/>
  <c r="L4" i="4"/>
  <c r="M6" i="4" s="1"/>
  <c r="F7" i="4"/>
  <c r="F8" i="4" s="1"/>
  <c r="F9" i="4" s="1"/>
  <c r="F10" i="4" s="1"/>
  <c r="B10" i="5"/>
  <c r="B86" i="2"/>
  <c r="B10" i="4"/>
  <c r="F84" i="4"/>
  <c r="F85" i="4" s="1"/>
  <c r="F86" i="4" s="1"/>
  <c r="F87" i="4" s="1"/>
  <c r="L81" i="4"/>
  <c r="B98" i="3"/>
  <c r="B75" i="3"/>
  <c r="B10" i="3"/>
  <c r="M83" i="5"/>
  <c r="L83" i="5"/>
  <c r="M61" i="5"/>
  <c r="L61" i="5"/>
  <c r="B52" i="4"/>
  <c r="B8" i="2"/>
  <c r="B87" i="4"/>
  <c r="L103" i="4"/>
  <c r="M105" i="4" s="1"/>
  <c r="L103" i="6"/>
  <c r="L105" i="6" s="1"/>
  <c r="L94" i="4"/>
  <c r="L26" i="2"/>
  <c r="L28" i="2" s="1"/>
  <c r="L37" i="3"/>
  <c r="L59" i="3"/>
  <c r="B107" i="4"/>
  <c r="B96" i="6"/>
  <c r="L48" i="2"/>
  <c r="L50" i="2" s="1"/>
  <c r="L59" i="2"/>
  <c r="L15" i="5"/>
  <c r="B107" i="6"/>
  <c r="B31" i="4"/>
  <c r="B52" i="2"/>
  <c r="L28" i="5"/>
  <c r="L39" i="5"/>
  <c r="F51" i="5"/>
  <c r="F52" i="5" s="1"/>
  <c r="F53" i="5" s="1"/>
  <c r="F54" i="5" s="1"/>
  <c r="L48" i="5"/>
  <c r="M50" i="5" s="1"/>
  <c r="F29" i="3"/>
  <c r="F30" i="3" s="1"/>
  <c r="F31" i="3" s="1"/>
  <c r="F32" i="3" s="1"/>
  <c r="B20" i="5"/>
  <c r="L50" i="6"/>
  <c r="L94" i="6"/>
  <c r="L28" i="6"/>
  <c r="L6" i="6"/>
  <c r="L39" i="6"/>
  <c r="L83" i="6"/>
  <c r="L70" i="6"/>
  <c r="M72" i="6" s="1"/>
  <c r="B41" i="5"/>
  <c r="B97" i="4"/>
  <c r="M94" i="6"/>
  <c r="M50" i="6"/>
  <c r="M28" i="6"/>
  <c r="M6" i="6"/>
  <c r="M83" i="6"/>
  <c r="M39" i="6"/>
  <c r="M105" i="6"/>
  <c r="L70" i="2"/>
  <c r="M72" i="2" s="1"/>
  <c r="F73" i="3"/>
  <c r="F74" i="3" s="1"/>
  <c r="F75" i="3" s="1"/>
  <c r="F76" i="3" s="1"/>
  <c r="B63" i="5"/>
  <c r="B85" i="5"/>
  <c r="L94" i="5"/>
  <c r="L17" i="6"/>
  <c r="L37" i="6"/>
  <c r="M61" i="6"/>
  <c r="B30" i="6"/>
  <c r="B32" i="3"/>
  <c r="B76" i="4"/>
  <c r="L28" i="4"/>
  <c r="B31" i="5"/>
  <c r="B86" i="6"/>
  <c r="L6" i="4"/>
  <c r="B96" i="2"/>
  <c r="B64" i="2"/>
  <c r="B107" i="2"/>
  <c r="B19" i="6"/>
  <c r="L17" i="4"/>
  <c r="Z652" i="7"/>
  <c r="B42" i="6"/>
  <c r="B19" i="4"/>
  <c r="B64" i="3"/>
  <c r="L39" i="4"/>
  <c r="B75" i="5"/>
  <c r="B42" i="2"/>
  <c r="B53" i="5"/>
  <c r="B8" i="6"/>
  <c r="L37" i="4"/>
  <c r="M39" i="4" s="1"/>
  <c r="M94" i="2"/>
  <c r="M50" i="2"/>
  <c r="M28" i="2"/>
  <c r="M6" i="2"/>
  <c r="M17" i="2"/>
  <c r="B53" i="6"/>
  <c r="B76" i="6"/>
  <c r="B63" i="6"/>
  <c r="L50" i="4"/>
  <c r="B41" i="4"/>
  <c r="P10" i="8"/>
  <c r="B30" i="2"/>
  <c r="B96" i="5"/>
  <c r="H653" i="7"/>
  <c r="AI10" i="8"/>
  <c r="B74" i="2"/>
  <c r="M94" i="3"/>
  <c r="M72" i="3"/>
  <c r="M50" i="3"/>
  <c r="M28" i="3"/>
  <c r="M6" i="3"/>
  <c r="L70" i="4"/>
  <c r="M72" i="4" s="1"/>
  <c r="F73" i="4"/>
  <c r="F74" i="4" s="1"/>
  <c r="F75" i="4" s="1"/>
  <c r="F76" i="4" s="1"/>
  <c r="L50" i="5"/>
  <c r="L48" i="6"/>
  <c r="L94" i="3"/>
  <c r="L6" i="5"/>
  <c r="I651" i="7"/>
  <c r="G654" i="7"/>
  <c r="I651" i="9"/>
  <c r="G654" i="9"/>
  <c r="J651" i="9"/>
  <c r="H654" i="9"/>
  <c r="Q10" i="9"/>
  <c r="AA651" i="7"/>
  <c r="Y654" i="7"/>
  <c r="AB651" i="7"/>
  <c r="Z654" i="7"/>
  <c r="G652" i="7"/>
  <c r="AB654" i="7"/>
  <c r="X651" i="8"/>
  <c r="I654" i="8"/>
  <c r="B108" i="5"/>
  <c r="AA651" i="8"/>
  <c r="Y654" i="8"/>
  <c r="G651" i="7"/>
  <c r="AB653" i="7"/>
  <c r="L85" i="2"/>
  <c r="L95" i="6"/>
  <c r="D62" i="6"/>
  <c r="P62" i="6" s="1"/>
  <c r="M84" i="2"/>
  <c r="H75" i="6"/>
  <c r="L29" i="4"/>
  <c r="H18" i="3"/>
  <c r="M74" i="6"/>
  <c r="M107" i="5"/>
  <c r="M95" i="2"/>
  <c r="L107" i="5"/>
  <c r="H108" i="3"/>
  <c r="L51" i="4"/>
  <c r="L40" i="5"/>
  <c r="L74" i="5"/>
  <c r="H106" i="4"/>
  <c r="M41" i="6"/>
  <c r="M8" i="4"/>
  <c r="L8" i="4"/>
  <c r="H30" i="3"/>
  <c r="L7" i="3"/>
  <c r="M43" i="3"/>
  <c r="M30" i="5"/>
  <c r="D7" i="2"/>
  <c r="L30" i="5"/>
  <c r="D18" i="3"/>
  <c r="D41" i="6"/>
  <c r="L73" i="4"/>
  <c r="H29" i="5"/>
  <c r="M52" i="6"/>
  <c r="H8" i="3"/>
  <c r="H95" i="5"/>
  <c r="L74" i="6"/>
  <c r="D108" i="3"/>
  <c r="H85" i="2"/>
  <c r="M7" i="2"/>
  <c r="D51" i="2"/>
  <c r="L30" i="4"/>
  <c r="D85" i="4"/>
  <c r="M41" i="2"/>
  <c r="H95" i="2"/>
  <c r="D75" i="6"/>
  <c r="H29" i="4"/>
  <c r="H29" i="2"/>
  <c r="L8" i="3"/>
  <c r="D96" i="4"/>
  <c r="D41" i="2"/>
  <c r="M74" i="5"/>
  <c r="L9" i="4"/>
  <c r="D40" i="5"/>
  <c r="L107" i="3"/>
  <c r="H9" i="4"/>
  <c r="H51" i="4"/>
  <c r="L63" i="3"/>
  <c r="L95" i="5"/>
  <c r="M19" i="3"/>
  <c r="D51" i="4"/>
  <c r="H73" i="5"/>
  <c r="D7" i="4"/>
  <c r="D29" i="2"/>
  <c r="M75" i="4"/>
  <c r="D84" i="6"/>
  <c r="P84" i="6" s="1"/>
  <c r="M108" i="3"/>
  <c r="M9" i="4"/>
  <c r="H51" i="3"/>
  <c r="H51" i="5"/>
  <c r="H74" i="4"/>
  <c r="D43" i="3"/>
  <c r="L52" i="5"/>
  <c r="M96" i="4"/>
  <c r="M7" i="3"/>
  <c r="H19" i="3"/>
  <c r="D19" i="3"/>
  <c r="M84" i="5"/>
  <c r="D29" i="5"/>
  <c r="M95" i="5"/>
  <c r="L108" i="3"/>
  <c r="M30" i="4"/>
  <c r="M29" i="3"/>
  <c r="M40" i="5"/>
  <c r="L7" i="5"/>
  <c r="L106" i="2"/>
  <c r="P109" i="2" s="1"/>
  <c r="M106" i="2"/>
  <c r="P106" i="2" s="1"/>
  <c r="H40" i="5"/>
  <c r="D51" i="5"/>
  <c r="D95" i="6"/>
  <c r="P95" i="6" s="1"/>
  <c r="D62" i="4"/>
  <c r="D40" i="4"/>
  <c r="H96" i="3"/>
  <c r="H74" i="5"/>
  <c r="H62" i="6"/>
  <c r="P65" i="6" s="1"/>
  <c r="L86" i="4"/>
  <c r="M85" i="6"/>
  <c r="M106" i="6"/>
  <c r="D18" i="2"/>
  <c r="D18" i="4"/>
  <c r="H95" i="6"/>
  <c r="P98" i="6" s="1"/>
  <c r="H107" i="3"/>
  <c r="M62" i="4"/>
  <c r="D9" i="4"/>
  <c r="M106" i="4"/>
  <c r="M84" i="4"/>
  <c r="M30" i="3"/>
  <c r="M62" i="5"/>
  <c r="H41" i="6"/>
  <c r="L106" i="3"/>
  <c r="P109" i="3" s="1"/>
  <c r="L84" i="2"/>
  <c r="L7" i="4"/>
  <c r="H62" i="4"/>
  <c r="L19" i="3"/>
  <c r="H52" i="6"/>
  <c r="L96" i="4"/>
  <c r="D95" i="3"/>
  <c r="M106" i="3"/>
  <c r="P106" i="3" s="1"/>
  <c r="D107" i="3"/>
  <c r="L62" i="4"/>
  <c r="H43" i="3"/>
  <c r="M51" i="4"/>
  <c r="L106" i="4"/>
  <c r="H7" i="5"/>
  <c r="L30" i="3"/>
  <c r="L62" i="5"/>
  <c r="H52" i="3"/>
  <c r="L8" i="5"/>
  <c r="M42" i="3"/>
  <c r="H8" i="4"/>
  <c r="L29" i="2"/>
  <c r="H7" i="4"/>
  <c r="D7" i="5"/>
  <c r="M85" i="3"/>
  <c r="D73" i="5"/>
  <c r="D106" i="5"/>
  <c r="M53" i="3"/>
  <c r="D40" i="2"/>
  <c r="H73" i="4"/>
  <c r="M97" i="3"/>
  <c r="D73" i="6"/>
  <c r="P73" i="6" s="1"/>
  <c r="L18" i="2"/>
  <c r="L97" i="3"/>
  <c r="M86" i="4"/>
  <c r="L18" i="3"/>
  <c r="M63" i="2"/>
  <c r="L29" i="5"/>
  <c r="H85" i="6"/>
  <c r="D96" i="3"/>
  <c r="D95" i="5"/>
  <c r="H29" i="3"/>
  <c r="H74" i="6"/>
  <c r="H40" i="3"/>
  <c r="L41" i="2"/>
  <c r="H63" i="3"/>
  <c r="H9" i="3"/>
  <c r="M107" i="3"/>
  <c r="M18" i="2"/>
  <c r="H97" i="3"/>
  <c r="D63" i="2"/>
  <c r="H84" i="6"/>
  <c r="P87" i="6" s="1"/>
  <c r="L43" i="3"/>
  <c r="M19" i="5"/>
  <c r="L40" i="6"/>
  <c r="D52" i="3"/>
  <c r="D85" i="2"/>
  <c r="D30" i="3"/>
  <c r="H18" i="2"/>
  <c r="D97" i="3"/>
  <c r="L40" i="3"/>
  <c r="L85" i="6"/>
  <c r="L75" i="6"/>
  <c r="D106" i="6"/>
  <c r="H74" i="3"/>
  <c r="D40" i="3"/>
  <c r="L19" i="5"/>
  <c r="M40" i="6"/>
  <c r="L52" i="3"/>
  <c r="M18" i="4"/>
  <c r="H18" i="4"/>
  <c r="M9" i="5"/>
  <c r="D106" i="4"/>
  <c r="D29" i="6"/>
  <c r="M8" i="5"/>
  <c r="H95" i="4"/>
  <c r="M62" i="6"/>
  <c r="L51" i="2"/>
  <c r="D95" i="2"/>
  <c r="L53" i="3"/>
  <c r="L7" i="2"/>
  <c r="D51" i="3"/>
  <c r="D40" i="6"/>
  <c r="L18" i="4"/>
  <c r="D73" i="2"/>
  <c r="M29" i="6"/>
  <c r="H53" i="3"/>
  <c r="D84" i="4"/>
  <c r="D9" i="3"/>
  <c r="M75" i="6"/>
  <c r="D53" i="3"/>
  <c r="M74" i="3"/>
  <c r="D74" i="4"/>
  <c r="H40" i="6"/>
  <c r="L74" i="3"/>
  <c r="L41" i="6"/>
  <c r="D52" i="6"/>
  <c r="H106" i="6"/>
  <c r="H40" i="2"/>
  <c r="L95" i="2"/>
  <c r="M86" i="3"/>
  <c r="L9" i="5"/>
  <c r="D74" i="3"/>
  <c r="L95" i="4"/>
  <c r="M85" i="2"/>
  <c r="L86" i="3"/>
  <c r="D9" i="5"/>
  <c r="D86" i="3"/>
  <c r="M9" i="3"/>
  <c r="L106" i="6"/>
  <c r="M18" i="3"/>
  <c r="H73" i="6"/>
  <c r="P76" i="6" s="1"/>
  <c r="D31" i="3"/>
  <c r="D74" i="6"/>
  <c r="L96" i="3"/>
  <c r="H86" i="3"/>
  <c r="P73" i="4"/>
  <c r="P76" i="4"/>
  <c r="P54" i="4"/>
  <c r="P51" i="4"/>
  <c r="P54" i="5"/>
  <c r="P51" i="5"/>
  <c r="P84" i="2"/>
  <c r="P87" i="2"/>
  <c r="P98" i="3"/>
  <c r="P95" i="3"/>
  <c r="P62" i="4"/>
  <c r="P65" i="4"/>
  <c r="P62" i="5"/>
  <c r="P65" i="5"/>
  <c r="P76" i="5"/>
  <c r="P73" i="5"/>
  <c r="P109" i="5"/>
  <c r="P106" i="5"/>
  <c r="P98" i="5"/>
  <c r="P95" i="5"/>
  <c r="P43" i="3"/>
  <c r="P40" i="3"/>
  <c r="P109" i="4"/>
  <c r="P106" i="4"/>
  <c r="P51" i="2"/>
  <c r="P54" i="2"/>
  <c r="P54" i="3"/>
  <c r="P51" i="3"/>
  <c r="P76" i="2"/>
  <c r="P73" i="2"/>
  <c r="P87" i="4"/>
  <c r="P84" i="4"/>
  <c r="P95" i="2"/>
  <c r="P98" i="2"/>
  <c r="P95" i="4"/>
  <c r="P98" i="4"/>
  <c r="P106" i="6"/>
  <c r="P109" i="6"/>
  <c r="J86" i="3" l="1"/>
  <c r="N96" i="3"/>
  <c r="J31" i="3"/>
  <c r="J73" i="6"/>
  <c r="N18" i="3"/>
  <c r="N9" i="3"/>
  <c r="J9" i="5"/>
  <c r="N85" i="2"/>
  <c r="N95" i="4"/>
  <c r="N86" i="3"/>
  <c r="J40" i="2"/>
  <c r="J106" i="6"/>
  <c r="J40" i="6"/>
  <c r="N74" i="3"/>
  <c r="N75" i="6"/>
  <c r="J90" i="4"/>
  <c r="J89" i="4"/>
  <c r="J84" i="4"/>
  <c r="J53" i="3"/>
  <c r="N29" i="6"/>
  <c r="J79" i="2"/>
  <c r="J78" i="2"/>
  <c r="J73" i="2"/>
  <c r="J57" i="3"/>
  <c r="J56" i="3"/>
  <c r="J101" i="2"/>
  <c r="J100" i="2"/>
  <c r="N51" i="2"/>
  <c r="N62" i="6"/>
  <c r="J95" i="4"/>
  <c r="N8" i="5"/>
  <c r="J29" i="6"/>
  <c r="J112" i="4"/>
  <c r="J111" i="4"/>
  <c r="N9" i="5"/>
  <c r="J18" i="4"/>
  <c r="N18" i="4"/>
  <c r="N52" i="3"/>
  <c r="N40" i="6"/>
  <c r="J46" i="3"/>
  <c r="J45" i="3"/>
  <c r="J74" i="3"/>
  <c r="J112" i="6"/>
  <c r="J111" i="6"/>
  <c r="N40" i="3"/>
  <c r="J18" i="2"/>
  <c r="N19" i="5"/>
  <c r="J84" i="6"/>
  <c r="J63" i="2"/>
  <c r="J97" i="3"/>
  <c r="N18" i="2"/>
  <c r="N107" i="3"/>
  <c r="J9" i="3"/>
  <c r="J63" i="3"/>
  <c r="J40" i="3"/>
  <c r="J74" i="6"/>
  <c r="J29" i="3"/>
  <c r="J101" i="5"/>
  <c r="J100" i="5"/>
  <c r="J85" i="6"/>
  <c r="N29" i="5"/>
  <c r="N63" i="2"/>
  <c r="N86" i="4"/>
  <c r="J79" i="6"/>
  <c r="J78" i="6"/>
  <c r="N97" i="3"/>
  <c r="J73" i="4"/>
  <c r="N53" i="3"/>
  <c r="J112" i="5"/>
  <c r="J111" i="5"/>
  <c r="J106" i="5"/>
  <c r="J79" i="5"/>
  <c r="J78" i="5"/>
  <c r="N85" i="3"/>
  <c r="J7" i="4"/>
  <c r="N29" i="2"/>
  <c r="J8" i="4"/>
  <c r="N42" i="3"/>
  <c r="J52" i="3"/>
  <c r="J7" i="5"/>
  <c r="N51" i="4"/>
  <c r="J43" i="3"/>
  <c r="N106" i="3"/>
  <c r="J101" i="3"/>
  <c r="J100" i="3"/>
  <c r="J95" i="3"/>
  <c r="J52" i="6"/>
  <c r="J62" i="4"/>
  <c r="N7" i="4"/>
  <c r="J41" i="6"/>
  <c r="N62" i="5"/>
  <c r="N30" i="3"/>
  <c r="N84" i="4"/>
  <c r="N106" i="4"/>
  <c r="N62" i="4"/>
  <c r="J107" i="3"/>
  <c r="J95" i="6"/>
  <c r="N106" i="6"/>
  <c r="N85" i="6"/>
  <c r="J62" i="6"/>
  <c r="J74" i="5"/>
  <c r="J96" i="3"/>
  <c r="J40" i="4"/>
  <c r="J68" i="4"/>
  <c r="J67" i="4"/>
  <c r="J100" i="6"/>
  <c r="J101" i="6"/>
  <c r="J57" i="5"/>
  <c r="J56" i="5"/>
  <c r="J40" i="5"/>
  <c r="N106" i="2"/>
  <c r="N7" i="5"/>
  <c r="N40" i="5"/>
  <c r="N29" i="3"/>
  <c r="N30" i="4"/>
  <c r="N95" i="5"/>
  <c r="N84" i="5"/>
  <c r="J19" i="3"/>
  <c r="N7" i="3"/>
  <c r="N96" i="4"/>
  <c r="N52" i="5"/>
  <c r="J74" i="4"/>
  <c r="J51" i="5"/>
  <c r="J51" i="3"/>
  <c r="N9" i="4"/>
  <c r="N108" i="3"/>
  <c r="J90" i="6"/>
  <c r="J89" i="6"/>
  <c r="N75" i="4"/>
  <c r="J73" i="5"/>
  <c r="J57" i="4"/>
  <c r="J56" i="4"/>
  <c r="N19" i="3"/>
  <c r="N63" i="3"/>
  <c r="J51" i="4"/>
  <c r="J9" i="4"/>
  <c r="N74" i="5"/>
  <c r="J41" i="2"/>
  <c r="J96" i="4"/>
  <c r="N8" i="3"/>
  <c r="J29" i="2"/>
  <c r="J29" i="4"/>
  <c r="J95" i="2"/>
  <c r="N41" i="2"/>
  <c r="J85" i="4"/>
  <c r="J57" i="2"/>
  <c r="J56" i="2"/>
  <c r="J51" i="2"/>
  <c r="N7" i="2"/>
  <c r="J85" i="2"/>
  <c r="J95" i="5"/>
  <c r="J8" i="3"/>
  <c r="N52" i="6"/>
  <c r="J29" i="5"/>
  <c r="N73" i="4"/>
  <c r="J7" i="2"/>
  <c r="N30" i="5"/>
  <c r="N43" i="3"/>
  <c r="J30" i="3"/>
  <c r="N8" i="4"/>
  <c r="N41" i="6"/>
  <c r="J106" i="4"/>
  <c r="J108" i="3"/>
  <c r="N95" i="2"/>
  <c r="N107" i="5"/>
  <c r="N74" i="6"/>
  <c r="J18" i="3"/>
  <c r="N29" i="4"/>
  <c r="J75" i="6"/>
  <c r="N84" i="2"/>
  <c r="J68" i="6"/>
  <c r="J67" i="6"/>
  <c r="N95" i="6"/>
  <c r="B32" i="4"/>
  <c r="B64" i="6"/>
  <c r="B108" i="6"/>
  <c r="L17" i="5"/>
  <c r="M17" i="5"/>
  <c r="B65" i="3"/>
  <c r="L72" i="6"/>
  <c r="L39" i="3"/>
  <c r="M39" i="3"/>
  <c r="L72" i="2"/>
  <c r="B54" i="6"/>
  <c r="B76" i="3"/>
  <c r="B65" i="2"/>
  <c r="B31" i="6"/>
  <c r="B75" i="2"/>
  <c r="B21" i="5"/>
  <c r="B20" i="4"/>
  <c r="B97" i="5"/>
  <c r="B43" i="6"/>
  <c r="B87" i="6"/>
  <c r="B21" i="3"/>
  <c r="B31" i="2"/>
  <c r="B86" i="5"/>
  <c r="B9" i="6"/>
  <c r="L61" i="2"/>
  <c r="M61" i="2"/>
  <c r="B9" i="2"/>
  <c r="B53" i="4"/>
  <c r="M105" i="2"/>
  <c r="L105" i="2"/>
  <c r="B98" i="4"/>
  <c r="B42" i="4"/>
  <c r="B108" i="4"/>
  <c r="B97" i="2"/>
  <c r="B43" i="2"/>
  <c r="B76" i="5"/>
  <c r="M83" i="4"/>
  <c r="L83" i="4"/>
  <c r="B54" i="5"/>
  <c r="B20" i="6"/>
  <c r="B97" i="6"/>
  <c r="B32" i="5"/>
  <c r="B64" i="5"/>
  <c r="B108" i="2"/>
  <c r="B109" i="5"/>
  <c r="B87" i="2"/>
  <c r="B20" i="2"/>
  <c r="B64" i="4"/>
  <c r="L72" i="4"/>
  <c r="B42" i="5"/>
  <c r="B53" i="2"/>
  <c r="M61" i="3"/>
  <c r="L61" i="3"/>
  <c r="L64" i="3"/>
  <c r="L75" i="3"/>
  <c r="M20" i="5"/>
  <c r="H52" i="4"/>
  <c r="M86" i="2"/>
  <c r="H109" i="3"/>
  <c r="M87" i="4"/>
  <c r="L10" i="3"/>
  <c r="L19" i="4"/>
  <c r="L42" i="2"/>
  <c r="H10" i="3"/>
  <c r="D85" i="5"/>
  <c r="D30" i="6"/>
  <c r="L19" i="2"/>
  <c r="L96" i="5"/>
  <c r="M76" i="6"/>
  <c r="D75" i="5"/>
  <c r="H87" i="3"/>
  <c r="M42" i="6"/>
  <c r="H63" i="4"/>
  <c r="L41" i="4"/>
  <c r="L76" i="4"/>
  <c r="H41" i="4"/>
  <c r="M107" i="4"/>
  <c r="L20" i="3"/>
  <c r="M52" i="4"/>
  <c r="H64" i="3"/>
  <c r="M75" i="3"/>
  <c r="D20" i="5"/>
  <c r="M30" i="2"/>
  <c r="M96" i="2"/>
  <c r="D19" i="6"/>
  <c r="D109" i="3"/>
  <c r="L109" i="3"/>
  <c r="M19" i="2"/>
  <c r="M96" i="6"/>
  <c r="D10" i="3"/>
  <c r="H85" i="5"/>
  <c r="L31" i="4"/>
  <c r="D42" i="2"/>
  <c r="L87" i="3"/>
  <c r="D97" i="4"/>
  <c r="H97" i="4"/>
  <c r="H63" i="6"/>
  <c r="H75" i="5"/>
  <c r="L74" i="2"/>
  <c r="H63" i="5"/>
  <c r="H107" i="6"/>
  <c r="L107" i="6"/>
  <c r="M108" i="5"/>
  <c r="H8" i="2"/>
  <c r="M19" i="6"/>
  <c r="H75" i="3"/>
  <c r="H20" i="5"/>
  <c r="L30" i="2"/>
  <c r="D52" i="4"/>
  <c r="D96" i="2"/>
  <c r="L19" i="6"/>
  <c r="L86" i="2"/>
  <c r="M109" i="3"/>
  <c r="M42" i="2"/>
  <c r="L87" i="4"/>
  <c r="D96" i="5"/>
  <c r="M31" i="5"/>
  <c r="M97" i="4"/>
  <c r="L30" i="6"/>
  <c r="L31" i="5"/>
  <c r="H96" i="5"/>
  <c r="H31" i="5"/>
  <c r="H42" i="6"/>
  <c r="M76" i="4"/>
  <c r="H98" i="3"/>
  <c r="L41" i="5"/>
  <c r="M32" i="3"/>
  <c r="M52" i="2"/>
  <c r="H53" i="6"/>
  <c r="H10" i="4"/>
  <c r="D10" i="4"/>
  <c r="D64" i="3"/>
  <c r="M64" i="2"/>
  <c r="H30" i="2"/>
  <c r="D87" i="4"/>
  <c r="L96" i="2"/>
  <c r="H96" i="6"/>
  <c r="H86" i="2"/>
  <c r="H19" i="4"/>
  <c r="D19" i="2"/>
  <c r="L85" i="5"/>
  <c r="D31" i="4"/>
  <c r="M87" i="3"/>
  <c r="L63" i="4"/>
  <c r="M30" i="6"/>
  <c r="M74" i="2"/>
  <c r="H74" i="2"/>
  <c r="M98" i="3"/>
  <c r="D8" i="6"/>
  <c r="M8" i="6"/>
  <c r="H86" i="6"/>
  <c r="L53" i="5"/>
  <c r="D108" i="5"/>
  <c r="D52" i="2"/>
  <c r="H52" i="2"/>
  <c r="M64" i="3"/>
  <c r="D19" i="4"/>
  <c r="D30" i="2"/>
  <c r="H87" i="4"/>
  <c r="H96" i="2"/>
  <c r="D96" i="6"/>
  <c r="D86" i="2"/>
  <c r="M10" i="3"/>
  <c r="M19" i="4"/>
  <c r="M85" i="5"/>
  <c r="H19" i="2"/>
  <c r="D64" i="2"/>
  <c r="L96" i="6"/>
  <c r="H30" i="6"/>
  <c r="H42" i="2"/>
  <c r="M96" i="5"/>
  <c r="L76" i="6"/>
  <c r="M63" i="4"/>
  <c r="D87" i="3"/>
  <c r="D63" i="6"/>
  <c r="D42" i="6"/>
  <c r="L98" i="3"/>
  <c r="D74" i="2"/>
  <c r="D98" i="3"/>
  <c r="H76" i="4"/>
  <c r="H54" i="3"/>
  <c r="H107" i="4"/>
  <c r="M8" i="2"/>
  <c r="D53" i="5"/>
  <c r="D20" i="3"/>
  <c r="L52" i="4"/>
  <c r="L64" i="2"/>
  <c r="M31" i="4"/>
  <c r="D76" i="6"/>
  <c r="M63" i="6"/>
  <c r="L75" i="5"/>
  <c r="L97" i="4"/>
  <c r="L63" i="6"/>
  <c r="L63" i="5"/>
  <c r="M41" i="5"/>
  <c r="M107" i="2"/>
  <c r="L53" i="6"/>
  <c r="H64" i="2"/>
  <c r="H41" i="5"/>
  <c r="L107" i="4"/>
  <c r="D31" i="5"/>
  <c r="L10" i="5"/>
  <c r="H31" i="4"/>
  <c r="H76" i="6"/>
  <c r="M75" i="5"/>
  <c r="M63" i="5"/>
  <c r="H108" i="5"/>
  <c r="L42" i="6"/>
  <c r="D63" i="4"/>
  <c r="H8" i="6"/>
  <c r="D63" i="5"/>
  <c r="M54" i="3"/>
  <c r="H10" i="5"/>
  <c r="D86" i="6"/>
  <c r="M20" i="3"/>
  <c r="D107" i="6"/>
  <c r="M41" i="4"/>
  <c r="D41" i="5"/>
  <c r="L32" i="3"/>
  <c r="D32" i="3"/>
  <c r="L108" i="5"/>
  <c r="D75" i="3"/>
  <c r="H19" i="6"/>
  <c r="M10" i="5"/>
  <c r="D41" i="4"/>
  <c r="L54" i="3"/>
  <c r="L107" i="2"/>
  <c r="M86" i="6"/>
  <c r="M10" i="4"/>
  <c r="L8" i="6"/>
  <c r="D76" i="4"/>
  <c r="L52" i="2"/>
  <c r="H32" i="3"/>
  <c r="H20" i="3"/>
  <c r="D10" i="5"/>
  <c r="M107" i="6"/>
  <c r="M53" i="6"/>
  <c r="D54" i="3"/>
  <c r="L86" i="6"/>
  <c r="D8" i="2"/>
  <c r="D107" i="4"/>
  <c r="M53" i="5"/>
  <c r="H107" i="2"/>
  <c r="D53" i="6"/>
  <c r="D107" i="2"/>
  <c r="H53" i="5"/>
  <c r="L8" i="2"/>
  <c r="L10" i="4"/>
  <c r="L20" i="5"/>
  <c r="P7" i="3"/>
  <c r="P10" i="3"/>
  <c r="P29" i="3"/>
  <c r="P32" i="3"/>
  <c r="P10" i="5"/>
  <c r="P7" i="5"/>
  <c r="P7" i="4"/>
  <c r="P10" i="4"/>
  <c r="J53" i="5" l="1"/>
  <c r="J107" i="2"/>
  <c r="N53" i="5"/>
  <c r="N53" i="6"/>
  <c r="N107" i="6"/>
  <c r="J13" i="5"/>
  <c r="J12" i="5"/>
  <c r="J20" i="3"/>
  <c r="J32" i="3"/>
  <c r="N10" i="4"/>
  <c r="N86" i="6"/>
  <c r="N10" i="5"/>
  <c r="J19" i="6"/>
  <c r="J34" i="3"/>
  <c r="J35" i="3"/>
  <c r="N41" i="4"/>
  <c r="N20" i="3"/>
  <c r="J10" i="5"/>
  <c r="N54" i="3"/>
  <c r="J8" i="6"/>
  <c r="J108" i="5"/>
  <c r="N63" i="5"/>
  <c r="N75" i="5"/>
  <c r="J76" i="6"/>
  <c r="J31" i="4"/>
  <c r="J41" i="5"/>
  <c r="J64" i="2"/>
  <c r="N107" i="2"/>
  <c r="N41" i="5"/>
  <c r="N63" i="6"/>
  <c r="N31" i="4"/>
  <c r="N8" i="2"/>
  <c r="J107" i="4"/>
  <c r="J54" i="3"/>
  <c r="J76" i="4"/>
  <c r="N63" i="4"/>
  <c r="N96" i="5"/>
  <c r="J42" i="2"/>
  <c r="J30" i="6"/>
  <c r="J19" i="2"/>
  <c r="N85" i="5"/>
  <c r="N19" i="4"/>
  <c r="N10" i="3"/>
  <c r="J96" i="2"/>
  <c r="J87" i="4"/>
  <c r="N64" i="3"/>
  <c r="J52" i="2"/>
  <c r="J86" i="6"/>
  <c r="N8" i="6"/>
  <c r="N98" i="3"/>
  <c r="J74" i="2"/>
  <c r="N74" i="2"/>
  <c r="N30" i="6"/>
  <c r="N87" i="3"/>
  <c r="J19" i="4"/>
  <c r="J86" i="2"/>
  <c r="J96" i="6"/>
  <c r="J30" i="2"/>
  <c r="N64" i="2"/>
  <c r="J13" i="4"/>
  <c r="J12" i="4"/>
  <c r="J10" i="4"/>
  <c r="J53" i="6"/>
  <c r="N52" i="2"/>
  <c r="N32" i="3"/>
  <c r="J98" i="3"/>
  <c r="N76" i="4"/>
  <c r="J42" i="6"/>
  <c r="J31" i="5"/>
  <c r="J96" i="5"/>
  <c r="N97" i="4"/>
  <c r="N31" i="5"/>
  <c r="N42" i="2"/>
  <c r="N109" i="3"/>
  <c r="J20" i="5"/>
  <c r="J75" i="3"/>
  <c r="N19" i="6"/>
  <c r="J8" i="2"/>
  <c r="N108" i="5"/>
  <c r="J107" i="6"/>
  <c r="J63" i="5"/>
  <c r="J75" i="5"/>
  <c r="J63" i="6"/>
  <c r="J97" i="4"/>
  <c r="J85" i="5"/>
  <c r="J12" i="3"/>
  <c r="J13" i="3"/>
  <c r="N96" i="6"/>
  <c r="N19" i="2"/>
  <c r="N96" i="2"/>
  <c r="N30" i="2"/>
  <c r="N75" i="3"/>
  <c r="J64" i="3"/>
  <c r="N52" i="4"/>
  <c r="N107" i="4"/>
  <c r="J41" i="4"/>
  <c r="J63" i="4"/>
  <c r="N42" i="6"/>
  <c r="J87" i="3"/>
  <c r="N76" i="6"/>
  <c r="J10" i="3"/>
  <c r="N87" i="4"/>
  <c r="J109" i="3"/>
  <c r="N86" i="2"/>
  <c r="J52" i="4"/>
  <c r="N20" i="5"/>
  <c r="B109" i="6"/>
  <c r="B54" i="2"/>
  <c r="B10" i="2"/>
  <c r="B43" i="4"/>
  <c r="B10" i="6"/>
  <c r="B76" i="2"/>
  <c r="B65" i="6"/>
  <c r="B109" i="2"/>
  <c r="B109" i="4"/>
  <c r="B98" i="5"/>
  <c r="B87" i="5"/>
  <c r="B65" i="5"/>
  <c r="B32" i="6"/>
  <c r="B98" i="6"/>
  <c r="B21" i="4"/>
  <c r="B43" i="5"/>
  <c r="B65" i="4"/>
  <c r="B54" i="4"/>
  <c r="B21" i="2"/>
  <c r="B21" i="6"/>
  <c r="B98" i="2"/>
  <c r="B32" i="2"/>
  <c r="H108" i="6"/>
  <c r="M9" i="6"/>
  <c r="L54" i="5"/>
  <c r="H53" i="4"/>
  <c r="H31" i="2"/>
  <c r="D65" i="3"/>
  <c r="L9" i="2"/>
  <c r="H9" i="2"/>
  <c r="D76" i="5"/>
  <c r="D20" i="2"/>
  <c r="L87" i="6"/>
  <c r="H43" i="2"/>
  <c r="L97" i="5"/>
  <c r="D76" i="3"/>
  <c r="D97" i="6"/>
  <c r="H87" i="2"/>
  <c r="M97" i="2"/>
  <c r="L42" i="4"/>
  <c r="D65" i="2"/>
  <c r="H53" i="2"/>
  <c r="M108" i="4"/>
  <c r="H54" i="5"/>
  <c r="M64" i="4"/>
  <c r="D53" i="4"/>
  <c r="D31" i="2"/>
  <c r="D64" i="5"/>
  <c r="H76" i="5"/>
  <c r="D9" i="2"/>
  <c r="H31" i="6"/>
  <c r="L21" i="3"/>
  <c r="M43" i="6"/>
  <c r="H97" i="6"/>
  <c r="M32" i="4"/>
  <c r="H86" i="5"/>
  <c r="L86" i="5"/>
  <c r="L97" i="2"/>
  <c r="M87" i="2"/>
  <c r="M53" i="4"/>
  <c r="D53" i="2"/>
  <c r="L9" i="6"/>
  <c r="H108" i="4"/>
  <c r="D54" i="5"/>
  <c r="L64" i="4"/>
  <c r="D54" i="6"/>
  <c r="M53" i="2"/>
  <c r="L76" i="5"/>
  <c r="M65" i="3"/>
  <c r="M98" i="4"/>
  <c r="M21" i="3"/>
  <c r="D98" i="4"/>
  <c r="H98" i="4"/>
  <c r="M64" i="6"/>
  <c r="H43" i="6"/>
  <c r="H108" i="2"/>
  <c r="L65" i="2"/>
  <c r="H42" i="5"/>
  <c r="L108" i="6"/>
  <c r="H9" i="6"/>
  <c r="D108" i="4"/>
  <c r="H64" i="4"/>
  <c r="M54" i="6"/>
  <c r="H75" i="2"/>
  <c r="D75" i="2"/>
  <c r="H65" i="3"/>
  <c r="M64" i="5"/>
  <c r="L20" i="2"/>
  <c r="H21" i="3"/>
  <c r="H64" i="6"/>
  <c r="M97" i="6"/>
  <c r="L97" i="6"/>
  <c r="D20" i="6"/>
  <c r="H21" i="5"/>
  <c r="D43" i="6"/>
  <c r="L21" i="5"/>
  <c r="L108" i="2"/>
  <c r="M42" i="5"/>
  <c r="L42" i="5"/>
  <c r="L53" i="4"/>
  <c r="L53" i="2"/>
  <c r="D9" i="6"/>
  <c r="L108" i="4"/>
  <c r="H64" i="5"/>
  <c r="D64" i="4"/>
  <c r="H54" i="6"/>
  <c r="M76" i="5"/>
  <c r="L54" i="6"/>
  <c r="L64" i="5"/>
  <c r="M20" i="2"/>
  <c r="L65" i="3"/>
  <c r="M75" i="2"/>
  <c r="H20" i="2"/>
  <c r="D31" i="6"/>
  <c r="D21" i="3"/>
  <c r="M97" i="5"/>
  <c r="D43" i="2"/>
  <c r="D87" i="6"/>
  <c r="D97" i="5"/>
  <c r="L76" i="3"/>
  <c r="H20" i="6"/>
  <c r="M20" i="4"/>
  <c r="L32" i="4"/>
  <c r="L20" i="4"/>
  <c r="D20" i="4"/>
  <c r="D108" i="6"/>
  <c r="D32" i="5"/>
  <c r="D42" i="4"/>
  <c r="L75" i="2"/>
  <c r="L98" i="4"/>
  <c r="M87" i="6"/>
  <c r="M31" i="6"/>
  <c r="M20" i="6"/>
  <c r="L31" i="6"/>
  <c r="D64" i="6"/>
  <c r="L43" i="2"/>
  <c r="H87" i="6"/>
  <c r="L43" i="6"/>
  <c r="D21" i="5"/>
  <c r="H76" i="3"/>
  <c r="L109" i="5"/>
  <c r="H20" i="4"/>
  <c r="D109" i="5"/>
  <c r="H97" i="2"/>
  <c r="M76" i="3"/>
  <c r="D87" i="2"/>
  <c r="L87" i="2"/>
  <c r="H42" i="4"/>
  <c r="M9" i="2"/>
  <c r="L64" i="6"/>
  <c r="M43" i="2"/>
  <c r="H97" i="5"/>
  <c r="M21" i="5"/>
  <c r="M65" i="2"/>
  <c r="M42" i="4"/>
  <c r="L20" i="6"/>
  <c r="H32" i="4"/>
  <c r="H109" i="5"/>
  <c r="H65" i="2"/>
  <c r="H32" i="5"/>
  <c r="M86" i="5"/>
  <c r="M32" i="5"/>
  <c r="M109" i="5"/>
  <c r="M108" i="2"/>
  <c r="D32" i="4"/>
  <c r="D108" i="2"/>
  <c r="D42" i="5"/>
  <c r="M108" i="6"/>
  <c r="L31" i="2"/>
  <c r="M31" i="2"/>
  <c r="D97" i="2"/>
  <c r="D86" i="5"/>
  <c r="L32" i="5"/>
  <c r="M54" i="5"/>
  <c r="P21" i="3"/>
  <c r="P18" i="3"/>
  <c r="P40" i="6"/>
  <c r="P43" i="6"/>
  <c r="P43" i="2"/>
  <c r="P40" i="2"/>
  <c r="P18" i="5"/>
  <c r="P21" i="5"/>
  <c r="P32" i="4"/>
  <c r="P29" i="4"/>
  <c r="P29" i="5"/>
  <c r="P32" i="5"/>
  <c r="N54" i="5" l="1"/>
  <c r="N31" i="2"/>
  <c r="N108" i="6"/>
  <c r="J34" i="4"/>
  <c r="J35" i="4"/>
  <c r="N108" i="2"/>
  <c r="N109" i="5"/>
  <c r="N32" i="5"/>
  <c r="N86" i="5"/>
  <c r="J32" i="5"/>
  <c r="J65" i="2"/>
  <c r="J109" i="5"/>
  <c r="J32" i="4"/>
  <c r="N42" i="4"/>
  <c r="N65" i="2"/>
  <c r="N21" i="5"/>
  <c r="J97" i="5"/>
  <c r="N43" i="2"/>
  <c r="N9" i="2"/>
  <c r="J42" i="4"/>
  <c r="N76" i="3"/>
  <c r="J97" i="2"/>
  <c r="J20" i="4"/>
  <c r="J76" i="3"/>
  <c r="J23" i="5"/>
  <c r="J24" i="5"/>
  <c r="J87" i="6"/>
  <c r="N20" i="6"/>
  <c r="N31" i="6"/>
  <c r="N87" i="6"/>
  <c r="J35" i="5"/>
  <c r="J34" i="5"/>
  <c r="N20" i="4"/>
  <c r="J20" i="6"/>
  <c r="J46" i="2"/>
  <c r="J45" i="2"/>
  <c r="N97" i="5"/>
  <c r="J24" i="3"/>
  <c r="J23" i="3"/>
  <c r="J20" i="2"/>
  <c r="N75" i="2"/>
  <c r="N20" i="2"/>
  <c r="N76" i="5"/>
  <c r="J54" i="6"/>
  <c r="J64" i="5"/>
  <c r="N42" i="5"/>
  <c r="J46" i="6"/>
  <c r="J45" i="6"/>
  <c r="J21" i="5"/>
  <c r="N97" i="6"/>
  <c r="J64" i="6"/>
  <c r="J21" i="3"/>
  <c r="N64" i="5"/>
  <c r="J65" i="3"/>
  <c r="J75" i="2"/>
  <c r="N54" i="6"/>
  <c r="J64" i="4"/>
  <c r="J9" i="6"/>
  <c r="J42" i="5"/>
  <c r="J108" i="2"/>
  <c r="J43" i="6"/>
  <c r="N64" i="6"/>
  <c r="J98" i="4"/>
  <c r="N21" i="3"/>
  <c r="N98" i="4"/>
  <c r="N65" i="3"/>
  <c r="N53" i="2"/>
  <c r="J108" i="4"/>
  <c r="N53" i="4"/>
  <c r="N87" i="2"/>
  <c r="J86" i="5"/>
  <c r="N32" i="4"/>
  <c r="J97" i="6"/>
  <c r="N43" i="6"/>
  <c r="J31" i="6"/>
  <c r="J76" i="5"/>
  <c r="N64" i="4"/>
  <c r="J54" i="5"/>
  <c r="N108" i="4"/>
  <c r="J53" i="2"/>
  <c r="N97" i="2"/>
  <c r="J87" i="2"/>
  <c r="J43" i="2"/>
  <c r="J9" i="2"/>
  <c r="J31" i="2"/>
  <c r="J53" i="4"/>
  <c r="N9" i="6"/>
  <c r="J108" i="6"/>
  <c r="L32" i="2"/>
  <c r="H10" i="2"/>
  <c r="L10" i="6"/>
  <c r="L98" i="5"/>
  <c r="M65" i="5"/>
  <c r="M54" i="4"/>
  <c r="L98" i="6"/>
  <c r="H32" i="6"/>
  <c r="H98" i="2"/>
  <c r="L109" i="2"/>
  <c r="D109" i="2"/>
  <c r="L21" i="4"/>
  <c r="H65" i="4"/>
  <c r="D87" i="5"/>
  <c r="M43" i="4"/>
  <c r="D76" i="2"/>
  <c r="H32" i="2"/>
  <c r="D10" i="2"/>
  <c r="M10" i="6"/>
  <c r="D43" i="5"/>
  <c r="D98" i="5"/>
  <c r="D98" i="6"/>
  <c r="L54" i="2"/>
  <c r="H54" i="4"/>
  <c r="D98" i="2"/>
  <c r="M98" i="2"/>
  <c r="H21" i="6"/>
  <c r="D21" i="6"/>
  <c r="M65" i="4"/>
  <c r="D43" i="4"/>
  <c r="H43" i="4"/>
  <c r="M98" i="5"/>
  <c r="H65" i="5"/>
  <c r="M43" i="5"/>
  <c r="H43" i="5"/>
  <c r="L54" i="4"/>
  <c r="M98" i="6"/>
  <c r="D54" i="4"/>
  <c r="D32" i="6"/>
  <c r="L32" i="6"/>
  <c r="M109" i="2"/>
  <c r="H109" i="2"/>
  <c r="M21" i="4"/>
  <c r="H21" i="4"/>
  <c r="M76" i="2"/>
  <c r="L10" i="2"/>
  <c r="H98" i="5"/>
  <c r="D65" i="5"/>
  <c r="L43" i="5"/>
  <c r="L65" i="5"/>
  <c r="D54" i="2"/>
  <c r="H98" i="6"/>
  <c r="H54" i="2"/>
  <c r="L109" i="6"/>
  <c r="M109" i="6"/>
  <c r="H109" i="6"/>
  <c r="M32" i="6"/>
  <c r="M21" i="2"/>
  <c r="L21" i="2"/>
  <c r="D21" i="2"/>
  <c r="L65" i="4"/>
  <c r="L87" i="5"/>
  <c r="D65" i="4"/>
  <c r="M109" i="4"/>
  <c r="L76" i="2"/>
  <c r="D65" i="6"/>
  <c r="D32" i="2"/>
  <c r="L98" i="2"/>
  <c r="L21" i="6"/>
  <c r="H21" i="2"/>
  <c r="M87" i="5"/>
  <c r="H76" i="2"/>
  <c r="L109" i="4"/>
  <c r="H65" i="6"/>
  <c r="L43" i="4"/>
  <c r="M54" i="2"/>
  <c r="M21" i="6"/>
  <c r="H87" i="5"/>
  <c r="H109" i="4"/>
  <c r="D109" i="4"/>
  <c r="D10" i="6"/>
  <c r="H10" i="6"/>
  <c r="D109" i="6"/>
  <c r="D21" i="4"/>
  <c r="M65" i="6"/>
  <c r="M10" i="2"/>
  <c r="L65" i="6"/>
  <c r="M32" i="2"/>
  <c r="P40" i="5"/>
  <c r="P43" i="5"/>
  <c r="P32" i="6"/>
  <c r="P29" i="6"/>
  <c r="P18" i="2"/>
  <c r="P21" i="2"/>
  <c r="P40" i="4"/>
  <c r="P43" i="4"/>
  <c r="P21" i="6"/>
  <c r="P18" i="6"/>
  <c r="P7" i="6"/>
  <c r="P10" i="6"/>
  <c r="P21" i="4"/>
  <c r="P18" i="4"/>
  <c r="P10" i="2"/>
  <c r="P7" i="2"/>
  <c r="P29" i="2"/>
  <c r="P32" i="2"/>
  <c r="N32" i="2" l="1"/>
  <c r="N10" i="2"/>
  <c r="N65" i="6"/>
  <c r="J24" i="4"/>
  <c r="J23" i="4"/>
  <c r="J10" i="6"/>
  <c r="J12" i="6"/>
  <c r="J13" i="6"/>
  <c r="J109" i="4"/>
  <c r="J87" i="5"/>
  <c r="N21" i="6"/>
  <c r="N54" i="2"/>
  <c r="J65" i="6"/>
  <c r="J76" i="2"/>
  <c r="N87" i="5"/>
  <c r="J21" i="2"/>
  <c r="J34" i="2"/>
  <c r="J35" i="2"/>
  <c r="N109" i="4"/>
  <c r="J24" i="2"/>
  <c r="J23" i="2"/>
  <c r="N21" i="2"/>
  <c r="N32" i="6"/>
  <c r="J109" i="6"/>
  <c r="N109" i="6"/>
  <c r="J54" i="2"/>
  <c r="J98" i="6"/>
  <c r="J98" i="5"/>
  <c r="N76" i="2"/>
  <c r="J21" i="4"/>
  <c r="N21" i="4"/>
  <c r="J109" i="2"/>
  <c r="N109" i="2"/>
  <c r="J34" i="6"/>
  <c r="J35" i="6"/>
  <c r="N98" i="6"/>
  <c r="J43" i="5"/>
  <c r="N43" i="5"/>
  <c r="J65" i="5"/>
  <c r="N98" i="5"/>
  <c r="J43" i="4"/>
  <c r="J45" i="4"/>
  <c r="J46" i="4"/>
  <c r="N65" i="4"/>
  <c r="J23" i="6"/>
  <c r="J24" i="6"/>
  <c r="J21" i="6"/>
  <c r="N98" i="2"/>
  <c r="J54" i="4"/>
  <c r="J45" i="5"/>
  <c r="J46" i="5"/>
  <c r="N10" i="6"/>
  <c r="J13" i="2"/>
  <c r="J12" i="2"/>
  <c r="J32" i="2"/>
  <c r="N43" i="4"/>
  <c r="J65" i="4"/>
  <c r="J98" i="2"/>
  <c r="J32" i="6"/>
  <c r="N54" i="4"/>
  <c r="N65" i="5"/>
  <c r="J10" i="2"/>
</calcChain>
</file>

<file path=xl/sharedStrings.xml><?xml version="1.0" encoding="utf-8"?>
<sst xmlns="http://schemas.openxmlformats.org/spreadsheetml/2006/main" count="7258" uniqueCount="189">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</sst>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CE-4095-8C81-5CAF07BD78E3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36.929687999999999</c:v>
                </c:pt>
                <c:pt idx="1">
                  <c:v>51.176952000000007</c:v>
                </c:pt>
                <c:pt idx="2">
                  <c:v>70.646455999999986</c:v>
                </c:pt>
                <c:pt idx="3">
                  <c:v>96.075095999999988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28.809088933333332</c:v>
                </c:pt>
                <c:pt idx="1">
                  <c:v>31.520607399999999</c:v>
                </c:pt>
                <c:pt idx="2">
                  <c:v>34.132448066666662</c:v>
                </c:pt>
                <c:pt idx="3">
                  <c:v>35.617291133333339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CE-4095-8C81-5CAF07BD78E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CE-4095-8C81-5CAF07BD78E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CE-4095-8C81-5CAF07BD7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07-42DC-AB2B-541BE62BCA0A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27.093352000000003</c:v>
                </c:pt>
                <c:pt idx="1">
                  <c:v>37.804071999999998</c:v>
                </c:pt>
                <c:pt idx="2">
                  <c:v>53.605311999999998</c:v>
                </c:pt>
                <c:pt idx="3">
                  <c:v>74.599312000000012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30.821317333333337</c:v>
                </c:pt>
                <c:pt idx="1">
                  <c:v>32.987687666666666</c:v>
                </c:pt>
                <c:pt idx="2">
                  <c:v>34.80651376190476</c:v>
                </c:pt>
                <c:pt idx="3">
                  <c:v>36.537869047619061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07-42DC-AB2B-541BE62BCA0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27.093352000000003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07-42DC-AB2B-541BE62BCA0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27.093352000000003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07-42DC-AB2B-541BE62BC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AF-4D42-BAD3-8C9404B7CAAE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27.923015999999997</c:v>
                </c:pt>
                <c:pt idx="1">
                  <c:v>39.027680000000004</c:v>
                </c:pt>
                <c:pt idx="2">
                  <c:v>55.482768</c:v>
                </c:pt>
                <c:pt idx="3">
                  <c:v>77.242784000000015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30.728528809523812</c:v>
                </c:pt>
                <c:pt idx="1">
                  <c:v>32.962726142857143</c:v>
                </c:pt>
                <c:pt idx="2">
                  <c:v>34.902720619047621</c:v>
                </c:pt>
                <c:pt idx="3">
                  <c:v>36.295967238095237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AF-4D42-BAD3-8C9404B7CAA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27.923015999999997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AF-4D42-BAD3-8C9404B7CAA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27.923015999999997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AF-4D42-BAD3-8C9404B7C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08-4738-9B29-9BA3F78D7311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08-4738-9B29-9BA3F78D731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08-4738-9B29-9BA3F78D731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08-4738-9B29-9BA3F78D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A9-414B-8707-CF23ECD6AE90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A9-414B-8707-CF23ECD6AE9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A9-414B-8707-CF23ECD6AE9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A9-414B-8707-CF23ECD6A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C6-4AA0-BDB2-5BB24FB99543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C6-4AA0-BDB2-5BB24FB9954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C6-4AA0-BDB2-5BB24FB9954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5C6-4AA0-BDB2-5BB24FB99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FD-4EE7-94BC-DEF8A3DA20A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FD-4EE7-94BC-DEF8A3DA20A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FD-4EE7-94BC-DEF8A3DA2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60-4B92-90DD-8E3A63E3C6C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60-4B92-90DD-8E3A63E3C6C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60-4B92-90DD-8E3A63E3C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89-40DF-AE1C-D07490617C9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89-40DF-AE1C-D07490617C9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89-40DF-AE1C-D07490617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7B-41CE-B8D2-80C004702829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36.080551999999997</c:v>
                </c:pt>
                <c:pt idx="1">
                  <c:v>49.944600000000008</c:v>
                </c:pt>
                <c:pt idx="2">
                  <c:v>68.826216000000002</c:v>
                </c:pt>
                <c:pt idx="3">
                  <c:v>93.552303999999992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28.855451466666672</c:v>
                </c:pt>
                <c:pt idx="1">
                  <c:v>31.525228200000001</c:v>
                </c:pt>
                <c:pt idx="2">
                  <c:v>34.23229873333333</c:v>
                </c:pt>
                <c:pt idx="3">
                  <c:v>35.787499133333327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7B-41CE-B8D2-80C00470282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7B-41CE-B8D2-80C00470282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7B-41CE-B8D2-80C004702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1-49CD-9435-252714A4EF63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36.929687999999999</c:v>
                </c:pt>
                <c:pt idx="1">
                  <c:v>51.176952000000007</c:v>
                </c:pt>
                <c:pt idx="2">
                  <c:v>70.646455999999986</c:v>
                </c:pt>
                <c:pt idx="3">
                  <c:v>96.075095999999988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33.520221866666674</c:v>
                </c:pt>
                <c:pt idx="1">
                  <c:v>35.899458733333333</c:v>
                </c:pt>
                <c:pt idx="2">
                  <c:v>38.2937534</c:v>
                </c:pt>
                <c:pt idx="3">
                  <c:v>39.669791600000003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1-49CD-9435-252714A4EF6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1-49CD-9435-252714A4EF6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1-49CD-9435-252714A4E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06-40B8-8063-5FA417F79411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27.093352000000003</c:v>
                </c:pt>
                <c:pt idx="1">
                  <c:v>37.804071999999998</c:v>
                </c:pt>
                <c:pt idx="2">
                  <c:v>53.605311999999998</c:v>
                </c:pt>
                <c:pt idx="3">
                  <c:v>74.599312000000012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34.467592190476196</c:v>
                </c:pt>
                <c:pt idx="1">
                  <c:v>36.647682333333336</c:v>
                </c:pt>
                <c:pt idx="2">
                  <c:v>38.630839761904767</c:v>
                </c:pt>
                <c:pt idx="3">
                  <c:v>40.395503809523802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06-40B8-8063-5FA417F7941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27.093352000000003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06-40B8-8063-5FA417F7941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27.093352000000003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06-40B8-8063-5FA417F79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AC-4813-925B-633A3C97B4D0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27.923015999999997</c:v>
                </c:pt>
                <c:pt idx="1">
                  <c:v>39.027680000000004</c:v>
                </c:pt>
                <c:pt idx="2">
                  <c:v>55.482768</c:v>
                </c:pt>
                <c:pt idx="3">
                  <c:v>77.242784000000015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34.378089476190475</c:v>
                </c:pt>
                <c:pt idx="1">
                  <c:v>36.601413428571426</c:v>
                </c:pt>
                <c:pt idx="2">
                  <c:v>38.717956142857147</c:v>
                </c:pt>
                <c:pt idx="3">
                  <c:v>40.202405238095238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AC-4813-925B-633A3C97B4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27.923015999999997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AC-4813-925B-633A3C97B4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27.923015999999997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AC-4813-925B-633A3C97B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D90-A059-173B97A1035B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64-4D90-A059-173B97A1035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64-4D90-A059-173B97A1035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64-4D90-A059-173B97A1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80-45C3-B815-777E27EDBB88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80-45C3-B815-777E27EDBB8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80-45C3-B815-777E27EDBB8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80-45C3-B815-777E27ED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BF-4E55-B148-99292E733FD6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BF-4E55-B148-99292E733FD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BF-4E55-B148-99292E733FD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BF-4E55-B148-99292E733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79-47C9-9BAD-BA97AAC15C5F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79-47C9-9BAD-BA97AAC15C5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79-47C9-9BAD-BA97AAC15C5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79-47C9-9BAD-BA97AAC15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C1-472E-A391-B39AA6C15D01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C1-472E-A391-B39AA6C15D0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C1-472E-A391-B39AA6C15D0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C1-472E-A391-B39AA6C15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75-4E3F-A4D0-75DCCFA2289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75-4E3F-A4D0-75DCCFA2289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75-4E3F-A4D0-75DCCFA22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86-49BE-8157-4143A4891C72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36.080551999999997</c:v>
                </c:pt>
                <c:pt idx="1">
                  <c:v>49.944600000000008</c:v>
                </c:pt>
                <c:pt idx="2">
                  <c:v>68.826216000000002</c:v>
                </c:pt>
                <c:pt idx="3">
                  <c:v>93.552303999999992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33.721150666666666</c:v>
                </c:pt>
                <c:pt idx="1">
                  <c:v>35.997784866666663</c:v>
                </c:pt>
                <c:pt idx="2">
                  <c:v>38.395517333333338</c:v>
                </c:pt>
                <c:pt idx="3">
                  <c:v>39.835546066666666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86-49BE-8157-4143A4891C7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86-49BE-8157-4143A4891C7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86-49BE-8157-4143A4891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7-456E-B7D2-9CDA4CB8BCAA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36.929687999999999</c:v>
                </c:pt>
                <c:pt idx="1">
                  <c:v>51.176952000000007</c:v>
                </c:pt>
                <c:pt idx="2">
                  <c:v>70.646455999999986</c:v>
                </c:pt>
                <c:pt idx="3">
                  <c:v>96.075095999999988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0.96114106933333332</c:v>
                </c:pt>
                <c:pt idx="1">
                  <c:v>0.97659475533333329</c:v>
                </c:pt>
                <c:pt idx="2">
                  <c:v>0.98570097333333329</c:v>
                </c:pt>
                <c:pt idx="3">
                  <c:v>0.98935919866666666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7-456E-B7D2-9CDA4CB8BCA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7-456E-B7D2-9CDA4CB8BCA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7-456E-B7D2-9CDA4CB8B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E-4AE1-9438-D81AAC97B6F7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27.093352000000003</c:v>
                </c:pt>
                <c:pt idx="1">
                  <c:v>37.804071999999998</c:v>
                </c:pt>
                <c:pt idx="2">
                  <c:v>53.605311999999998</c:v>
                </c:pt>
                <c:pt idx="3">
                  <c:v>74.599312000000012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0.96859301428571443</c:v>
                </c:pt>
                <c:pt idx="1">
                  <c:v>0.98047810904761912</c:v>
                </c:pt>
                <c:pt idx="2">
                  <c:v>0.98780344333333303</c:v>
                </c:pt>
                <c:pt idx="3">
                  <c:v>0.99186254809523811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DE-4AE1-9438-D81AAC97B6F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27.093352000000003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DE-4AE1-9438-D81AAC97B6F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27.093352000000003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DE-4AE1-9438-D81AAC97B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53-485E-91BD-8932A777064C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27.923015999999997</c:v>
                </c:pt>
                <c:pt idx="1">
                  <c:v>39.027680000000004</c:v>
                </c:pt>
                <c:pt idx="2">
                  <c:v>55.482768</c:v>
                </c:pt>
                <c:pt idx="3">
                  <c:v>77.242784000000015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0.96765219999999985</c:v>
                </c:pt>
                <c:pt idx="1">
                  <c:v>0.9796706723809524</c:v>
                </c:pt>
                <c:pt idx="2">
                  <c:v>0.9874947557142858</c:v>
                </c:pt>
                <c:pt idx="3">
                  <c:v>0.99150315095238095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53-485E-91BD-8932A777064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27.923015999999997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53-485E-91BD-8932A777064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27.923015999999997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553-485E-91BD-8932A7770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50-4C3F-A69C-D9BEB2E45E08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50-4C3F-A69C-D9BEB2E45E0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50-4C3F-A69C-D9BEB2E45E0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C50-4C3F-A69C-D9BEB2E45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7C-48AC-A02D-E811D37CADA0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7C-48AC-A02D-E811D37CADA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7C-48AC-A02D-E811D37CADA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7C-48AC-A02D-E811D37CA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4AD-BD84-D74F4CE44210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4AD-BD84-D74F4CE4421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41-44AD-BD84-D74F4CE4421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341-44AD-BD84-D74F4CE44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74-4942-B2FB-42003DAAD3A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74-4942-B2FB-42003DAAD3A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74-4942-B2FB-42003DAAD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EE-4E3F-A3CD-C40CCEDA046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EE-4E3F-A3CD-C40CCEDA046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EE-4E3F-A3CD-C40CCEDA0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C3-470A-B31F-E7571F78946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C3-470A-B31F-E7571F78946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C3-470A-B31F-E7571F789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13-4B33-BF66-2FEE73C0C830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36.080551999999997</c:v>
                </c:pt>
                <c:pt idx="1">
                  <c:v>49.944600000000008</c:v>
                </c:pt>
                <c:pt idx="2">
                  <c:v>68.826216000000002</c:v>
                </c:pt>
                <c:pt idx="3">
                  <c:v>93.552303999999992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0.9622685379999999</c:v>
                </c:pt>
                <c:pt idx="1">
                  <c:v>0.97729309800000019</c:v>
                </c:pt>
                <c:pt idx="2">
                  <c:v>0.98619513266666681</c:v>
                </c:pt>
                <c:pt idx="3">
                  <c:v>0.98986790800000002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13-4B33-BF66-2FEE73C0C83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13-4B33-BF66-2FEE73C0C83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413-4B33-BF66-2FEE73C0C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47-4D71-8FED-285C729C580F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36.929687999999999</c:v>
                </c:pt>
                <c:pt idx="1">
                  <c:v>51.176952000000007</c:v>
                </c:pt>
                <c:pt idx="2">
                  <c:v>70.646455999999986</c:v>
                </c:pt>
                <c:pt idx="3">
                  <c:v>96.075095999999988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0.96402087199999997</c:v>
                </c:pt>
                <c:pt idx="1">
                  <c:v>0.97699744666666677</c:v>
                </c:pt>
                <c:pt idx="2">
                  <c:v>0.98744735799999994</c:v>
                </c:pt>
                <c:pt idx="3">
                  <c:v>0.99150106933333326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47-4D71-8FED-285C729C580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47-4D71-8FED-285C729C580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47-4D71-8FED-285C729C5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6-4C7F-8360-9BE782339376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27.093352000000003</c:v>
                </c:pt>
                <c:pt idx="1">
                  <c:v>37.804071999999998</c:v>
                </c:pt>
                <c:pt idx="2">
                  <c:v>53.605311999999998</c:v>
                </c:pt>
                <c:pt idx="3">
                  <c:v>74.599312000000012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0.97644992761904759</c:v>
                </c:pt>
                <c:pt idx="1">
                  <c:v>0.98484394095238093</c:v>
                </c:pt>
                <c:pt idx="2">
                  <c:v>0.99029851714285722</c:v>
                </c:pt>
                <c:pt idx="3">
                  <c:v>0.99329998714285717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06-4C7F-8360-9BE78233937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27.093352000000003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06-4C7F-8360-9BE78233937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27.093352000000003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06-4C7F-8360-9BE782339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94-4B99-AF27-867900479459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27.923015999999997</c:v>
                </c:pt>
                <c:pt idx="1">
                  <c:v>39.027680000000004</c:v>
                </c:pt>
                <c:pt idx="2">
                  <c:v>55.482768</c:v>
                </c:pt>
                <c:pt idx="3">
                  <c:v>77.242784000000015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0.97582162380952386</c:v>
                </c:pt>
                <c:pt idx="1">
                  <c:v>0.98450436285714304</c:v>
                </c:pt>
                <c:pt idx="2">
                  <c:v>0.99028014714285717</c:v>
                </c:pt>
                <c:pt idx="3">
                  <c:v>0.9931514419047619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94-4B99-AF27-86790047945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27.923015999999997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94-4B99-AF27-86790047945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27.923015999999997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94-4B99-AF27-867900479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A0-45E0-83E5-4DDFC5DB13DD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0-45E0-83E5-4DDFC5DB13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A0-45E0-83E5-4DDFC5DB13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0-45E0-83E5-4DDFC5DB1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76-4E79-81E3-27260A1E0448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76-4E79-81E3-27260A1E044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76-4E79-81E3-27260A1E044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76-4E79-81E3-27260A1E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69-4B32-B5BB-397E3C51D3B8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69-4B32-B5BB-397E3C51D3B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69-4B32-B5BB-397E3C51D3B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69-4B32-B5BB-397E3C51D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34-4084-91F6-4DB2E776613F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34-4084-91F6-4DB2E776613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34-4084-91F6-4DB2E776613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34-4084-91F6-4DB2E7766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A7-4EB5-839C-2F3765C1D18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A7-4EB5-839C-2F3765C1D18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A7-4EB5-839C-2F3765C1D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DC-49AD-A5B8-4923A383C50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DC-49AD-A5B8-4923A383C50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DC-49AD-A5B8-4923A383C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A9-41A3-B41B-B5E6FB04412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A9-41A3-B41B-B5E6FB04412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A9-41A3-B41B-B5E6FB044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44-4E6B-8807-93AB04167DC4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36.080551999999997</c:v>
                </c:pt>
                <c:pt idx="1">
                  <c:v>49.944600000000008</c:v>
                </c:pt>
                <c:pt idx="2">
                  <c:v>68.826216000000002</c:v>
                </c:pt>
                <c:pt idx="3">
                  <c:v>93.552303999999992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0.96402235200000008</c:v>
                </c:pt>
                <c:pt idx="1">
                  <c:v>0.97756611199999999</c:v>
                </c:pt>
                <c:pt idx="2">
                  <c:v>0.98786601333333346</c:v>
                </c:pt>
                <c:pt idx="3">
                  <c:v>0.99148172533333334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44-4E6B-8807-93AB04167DC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44-4E6B-8807-93AB04167DC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44-4E6B-8807-93AB04167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0B-49F9-B0A6-6AED1E41350F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36.929687999999999</c:v>
                </c:pt>
                <c:pt idx="1">
                  <c:v>51.176952000000007</c:v>
                </c:pt>
                <c:pt idx="2">
                  <c:v>70.646455999999986</c:v>
                </c:pt>
                <c:pt idx="3">
                  <c:v>96.075095999999988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6.0892489066666666E-2</c:v>
                </c:pt>
                <c:pt idx="1">
                  <c:v>3.8689525600000003E-2</c:v>
                </c:pt>
                <c:pt idx="2">
                  <c:v>2.6221722666666669E-2</c:v>
                </c:pt>
                <c:pt idx="3">
                  <c:v>2.0872531799999997E-2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0B-49F9-B0A6-6AED1E41350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0B-49F9-B0A6-6AED1E41350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0B-49F9-B0A6-6AED1E413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48-4608-A4E0-DABDBBA9B200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27.093352000000003</c:v>
                </c:pt>
                <c:pt idx="1">
                  <c:v>37.804071999999998</c:v>
                </c:pt>
                <c:pt idx="2">
                  <c:v>53.605311999999998</c:v>
                </c:pt>
                <c:pt idx="3">
                  <c:v>74.599312000000012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5.9540917809523801E-2</c:v>
                </c:pt>
                <c:pt idx="1">
                  <c:v>4.0687687714285707E-2</c:v>
                </c:pt>
                <c:pt idx="2">
                  <c:v>2.7940223619047619E-2</c:v>
                </c:pt>
                <c:pt idx="3">
                  <c:v>1.7371124952380954E-2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48-4608-A4E0-DABDBBA9B20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27.093352000000003</c:v>
                </c:pt>
                <c:pt idx="1">
                  <c:v>86.991584000000003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48-4608-A4E0-DABDBBA9B20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27.093352000000003</c:v>
                </c:pt>
                <c:pt idx="1">
                  <c:v>86.991584000000003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48-4608-A4E0-DABDBBA9B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9-49C8-AB8B-10678B5E68D7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27.923015999999997</c:v>
                </c:pt>
                <c:pt idx="1">
                  <c:v>39.027680000000004</c:v>
                </c:pt>
                <c:pt idx="2">
                  <c:v>55.482768</c:v>
                </c:pt>
                <c:pt idx="3">
                  <c:v>77.242784000000015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6.2227755428571431E-2</c:v>
                </c:pt>
                <c:pt idx="1">
                  <c:v>4.1794698619047624E-2</c:v>
                </c:pt>
                <c:pt idx="2">
                  <c:v>2.8273191809523802E-2</c:v>
                </c:pt>
                <c:pt idx="3">
                  <c:v>1.8625600761904764E-2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9-49C8-AB8B-10678B5E68D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27.923015999999997</c:v>
                </c:pt>
                <c:pt idx="1">
                  <c:v>90.416760000000011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9-49C8-AB8B-10678B5E68D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27.923015999999997</c:v>
                </c:pt>
                <c:pt idx="1">
                  <c:v>90.416760000000011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29-49C8-AB8B-10678B5E6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D-4FED-A558-1091A160976D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D-4FED-A558-1091A160976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D-4FED-A558-1091A160976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CD-4FED-A558-1091A160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B7-4F55-93B8-205F12DE7C3B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B7-4F55-93B8-205F12DE7C3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B7-4F55-93B8-205F12DE7C3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B7-4F55-93B8-205F12DE7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EE-4C15-BAE5-117696103FA3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EE-4C15-BAE5-117696103FA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EE-4C15-BAE5-117696103FA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EE-4C15-BAE5-117696103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97-458C-800F-2C1BFD155D0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97-458C-800F-2C1BFD155D0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97-458C-800F-2C1BFD155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29-42F9-A83D-141F9A6D72B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29-42F9-A83D-141F9A6D72B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29-42F9-A83D-141F9A6D7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08-4959-A297-29951F06117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08-4959-A297-29951F06117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08-4959-A297-29951F061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BE-4D47-8AD8-1D1F18563DB3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36.080551999999997</c:v>
                </c:pt>
                <c:pt idx="1">
                  <c:v>49.944600000000008</c:v>
                </c:pt>
                <c:pt idx="2">
                  <c:v>68.826216000000002</c:v>
                </c:pt>
                <c:pt idx="3">
                  <c:v>93.552303999999992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5.8015276666666678E-2</c:v>
                </c:pt>
                <c:pt idx="1">
                  <c:v>3.7260645000000002E-2</c:v>
                </c:pt>
                <c:pt idx="2">
                  <c:v>2.5788369799999999E-2</c:v>
                </c:pt>
                <c:pt idx="3">
                  <c:v>1.9905273533333333E-2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BE-4D47-8AD8-1D1F18563DB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BE-4D47-8AD8-1D1F18563DB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36.929687999999999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BE-4D47-8AD8-1D1F18563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E12" sqref="E12"/>
    </sheetView>
  </sheetViews>
  <sheetFormatPr defaultColWidth="8.59765625" defaultRowHeight="14.4" x14ac:dyDescent="0.25"/>
  <cols>
    <col min="1" max="1" width="1.59765625" style="209" bestFit="1" customWidth="1"/>
    <col min="2" max="2" width="30.69921875" style="209" customWidth="1"/>
    <col min="3" max="3" width="9.59765625" style="209" hidden="1" customWidth="1"/>
    <col min="4" max="5" width="9.59765625" style="209" bestFit="1" customWidth="1"/>
    <col min="6" max="6" width="8.19921875" style="209" customWidth="1"/>
    <col min="7" max="7" width="9.69921875" style="209" customWidth="1"/>
    <col min="8" max="8" width="7.09765625" style="209" customWidth="1"/>
    <col min="9" max="9" width="7.19921875" style="209" customWidth="1"/>
    <col min="10" max="11" width="8.59765625" style="209" customWidth="1"/>
    <col min="12" max="16384" width="8.59765625" style="209"/>
  </cols>
  <sheetData>
    <row r="1" spans="1:9" x14ac:dyDescent="0.25">
      <c r="A1" s="171"/>
      <c r="B1" s="166"/>
      <c r="C1" s="166"/>
      <c r="D1" s="171"/>
      <c r="E1" s="171"/>
      <c r="F1" s="171"/>
      <c r="G1" s="171"/>
      <c r="H1" s="171"/>
      <c r="I1" s="171"/>
    </row>
    <row r="2" spans="1:9" x14ac:dyDescent="0.25">
      <c r="A2" s="166"/>
      <c r="B2" s="5"/>
      <c r="C2" s="148"/>
      <c r="D2" s="166"/>
      <c r="E2" s="166"/>
      <c r="F2" s="166"/>
      <c r="G2" s="166"/>
      <c r="H2" s="166"/>
      <c r="I2" s="166"/>
    </row>
    <row r="3" spans="1:9" x14ac:dyDescent="0.25">
      <c r="A3" s="166"/>
      <c r="B3" s="5" t="s">
        <v>0</v>
      </c>
      <c r="C3" s="274" t="s">
        <v>1</v>
      </c>
      <c r="D3" s="275"/>
      <c r="E3" s="275"/>
      <c r="F3" s="275"/>
      <c r="G3" s="275"/>
      <c r="H3" s="275"/>
      <c r="I3" s="166"/>
    </row>
    <row r="4" spans="1:9" x14ac:dyDescent="0.25">
      <c r="A4" s="166"/>
      <c r="B4" s="5" t="s">
        <v>2</v>
      </c>
      <c r="C4" s="274" t="s">
        <v>3</v>
      </c>
      <c r="D4" s="275"/>
      <c r="E4" s="275"/>
      <c r="F4" s="275"/>
      <c r="G4" s="275"/>
      <c r="H4" s="275"/>
      <c r="I4" s="166"/>
    </row>
    <row r="5" spans="1:9" x14ac:dyDescent="0.25">
      <c r="A5" s="166"/>
      <c r="B5" s="5"/>
      <c r="C5" s="148"/>
      <c r="D5" s="166"/>
      <c r="E5" s="166"/>
      <c r="F5" s="166"/>
      <c r="G5" s="166"/>
      <c r="H5" s="166"/>
      <c r="I5" s="166"/>
    </row>
    <row r="6" spans="1:9" x14ac:dyDescent="0.25">
      <c r="A6" s="166"/>
      <c r="B6" s="2"/>
      <c r="C6" s="2"/>
      <c r="D6" s="166"/>
      <c r="E6" s="166"/>
      <c r="F6" s="166"/>
      <c r="G6" s="166"/>
      <c r="H6" s="166"/>
      <c r="I6" s="166"/>
    </row>
    <row r="7" spans="1:9" s="15" customFormat="1" ht="16.5" customHeight="1" thickBot="1" x14ac:dyDescent="0.3">
      <c r="A7" s="172"/>
      <c r="B7" s="276"/>
      <c r="C7" s="277"/>
      <c r="D7" s="277"/>
      <c r="E7" s="277"/>
      <c r="F7" s="277"/>
      <c r="G7" s="277"/>
      <c r="H7" s="277"/>
      <c r="I7" s="172"/>
    </row>
    <row r="8" spans="1:9" ht="30" customHeight="1" thickBot="1" x14ac:dyDescent="0.3">
      <c r="A8" s="166"/>
      <c r="B8" s="208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6" t="s">
        <v>9</v>
      </c>
      <c r="I8" s="14"/>
    </row>
    <row r="9" spans="1:9" ht="15.75" customHeight="1" x14ac:dyDescent="0.25">
      <c r="A9" s="166"/>
      <c r="B9" s="173" t="str">
        <f t="shared" ref="B9:B18" ca="1" si="0">INDIRECT(C9&amp;"!B2")</f>
        <v>breakfast_track</v>
      </c>
      <c r="C9" s="194" t="s">
        <v>10</v>
      </c>
      <c r="D9" s="218">
        <f t="shared" ref="D9:D18" ca="1" si="1">INDIRECT($C9&amp;"!AM$5")</f>
        <v>-9.0106935210172545E-2</v>
      </c>
      <c r="E9" s="218">
        <f t="shared" ref="E9:E18" ca="1" si="2">INDIRECT($C9&amp;"!AN$5")</f>
        <v>-8.4150443895011584E-2</v>
      </c>
      <c r="F9" s="218">
        <f t="shared" ref="F9:F18" ca="1" si="3">INDIRECT($C9&amp;"!AO$5")</f>
        <v>-7.5823256383121151E-2</v>
      </c>
      <c r="G9" s="218">
        <f t="shared" ref="G9:G18" ca="1" si="4">INDIRECT($C9&amp;"!AP$5")</f>
        <v>-0.11921005269618568</v>
      </c>
      <c r="H9" s="219">
        <f t="shared" ref="H9:H18" ca="1" si="5">INDIRECT($C9&amp;"!AQ$5")</f>
        <v>-0.1067355698123964</v>
      </c>
      <c r="I9" s="220"/>
    </row>
    <row r="10" spans="1:9" ht="15.75" customHeight="1" x14ac:dyDescent="0.25">
      <c r="A10" s="166"/>
      <c r="B10" s="173" t="str">
        <f t="shared" ca="1" si="0"/>
        <v>breakfast_semitrack</v>
      </c>
      <c r="C10" s="194" t="s">
        <v>11</v>
      </c>
      <c r="D10" s="218">
        <f t="shared" ca="1" si="1"/>
        <v>-8.6075871971112994E-2</v>
      </c>
      <c r="E10" s="218">
        <f t="shared" ca="1" si="2"/>
        <v>-8.1149337095274943E-2</v>
      </c>
      <c r="F10" s="218">
        <f t="shared" ca="1" si="3"/>
        <v>-8.0037415418390823E-2</v>
      </c>
      <c r="G10" s="218">
        <f t="shared" ca="1" si="4"/>
        <v>-0.11698039774490876</v>
      </c>
      <c r="H10" s="221">
        <f t="shared" ca="1" si="5"/>
        <v>-0.10714413904058095</v>
      </c>
      <c r="I10" s="220"/>
    </row>
    <row r="11" spans="1:9" ht="15.75" customHeight="1" x14ac:dyDescent="0.25">
      <c r="A11" s="166"/>
      <c r="B11" s="173" t="str">
        <f t="shared" ca="1" si="0"/>
        <v>cinema_track</v>
      </c>
      <c r="C11" s="194" t="s">
        <v>12</v>
      </c>
      <c r="D11" s="218">
        <f t="shared" ca="1" si="1"/>
        <v>1.9408449064227673E-2</v>
      </c>
      <c r="E11" s="218">
        <f t="shared" ca="1" si="2"/>
        <v>1.3090002307520443E-2</v>
      </c>
      <c r="F11" s="218">
        <f t="shared" ca="1" si="3"/>
        <v>-5.0031027467604794E-2</v>
      </c>
      <c r="G11" s="218">
        <f t="shared" ca="1" si="4"/>
        <v>-4.3961703862434254E-2</v>
      </c>
      <c r="H11" s="221">
        <f t="shared" ca="1" si="5"/>
        <v>-8.7847897218752857E-2</v>
      </c>
      <c r="I11" s="220"/>
    </row>
    <row r="12" spans="1:9" ht="15.75" customHeight="1" x14ac:dyDescent="0.25">
      <c r="A12" s="166"/>
      <c r="B12" s="173" t="str">
        <f t="shared" ca="1" si="0"/>
        <v>cinema_semitrack</v>
      </c>
      <c r="C12" s="195" t="s">
        <v>13</v>
      </c>
      <c r="D12" s="218">
        <f t="shared" ca="1" si="1"/>
        <v>3.6109745108068303E-3</v>
      </c>
      <c r="E12" s="218">
        <f t="shared" ca="1" si="2"/>
        <v>-7.8175887098241859E-5</v>
      </c>
      <c r="F12" s="218">
        <f t="shared" ca="1" si="3"/>
        <v>-5.6906825910539749E-2</v>
      </c>
      <c r="G12" s="218">
        <f t="shared" ca="1" si="4"/>
        <v>-5.3806727344516636E-2</v>
      </c>
      <c r="H12" s="221">
        <f t="shared" ca="1" si="5"/>
        <v>-9.0818467292631433E-2</v>
      </c>
      <c r="I12" s="220"/>
    </row>
    <row r="13" spans="1:9" ht="15.75" customHeight="1" x14ac:dyDescent="0.25">
      <c r="A13" s="166"/>
      <c r="B13" s="173" t="e">
        <f t="shared" ca="1" si="0"/>
        <v>#REF!</v>
      </c>
      <c r="C13" s="195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6"/>
      <c r="B14" s="173" t="e">
        <f t="shared" ca="1" si="0"/>
        <v>#REF!</v>
      </c>
      <c r="C14" s="194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6"/>
      <c r="B15" s="173" t="e">
        <f t="shared" ca="1" si="0"/>
        <v>#REF!</v>
      </c>
      <c r="C15" s="194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6"/>
      <c r="B16" s="173" t="e">
        <f t="shared" ca="1" si="0"/>
        <v>#REF!</v>
      </c>
      <c r="C16" s="194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6"/>
      <c r="B17" s="173" t="e">
        <f t="shared" ca="1" si="0"/>
        <v>#REF!</v>
      </c>
      <c r="C17" s="194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6"/>
      <c r="B18" s="173" t="e">
        <f t="shared" ca="1" si="0"/>
        <v>#REF!</v>
      </c>
      <c r="C18" s="194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6"/>
      <c r="B19" s="272" t="s">
        <v>14</v>
      </c>
      <c r="C19" s="273"/>
      <c r="D19" s="222" t="e">
        <f ca="1">IF(COUNTIF(D10:D15,"=0")&gt;0,0,AVERAGE(D10:D15))</f>
        <v>#REF!</v>
      </c>
      <c r="E19" s="222" t="e">
        <f ca="1">IF(COUNTIF(E10:E15,"=0")&gt;0,0,AVERAGE(E10:E15))</f>
        <v>#REF!</v>
      </c>
      <c r="F19" s="222" t="e">
        <f ca="1">IF(COUNTIF(F10:F15,"=0")&gt;0,0,AVERAGE(F10:F15))</f>
        <v>#REF!</v>
      </c>
      <c r="G19" s="222" t="e">
        <f ca="1">IF(COUNTIF(G10:G15,"=0")&gt;0,0,AVERAGE(G10:G15))</f>
        <v>#REF!</v>
      </c>
      <c r="H19" s="223" t="e">
        <f ca="1">IF(COUNTIF(H10:H15,"=0")&gt;0,0,AVERAGE(H10:H15))</f>
        <v>#REF!</v>
      </c>
      <c r="I19" s="220"/>
    </row>
    <row r="20" spans="1:9" ht="15.75" customHeight="1" x14ac:dyDescent="0.25">
      <c r="B20" s="174"/>
      <c r="C20" s="175"/>
      <c r="D20" s="220"/>
      <c r="E20" s="220"/>
      <c r="F20" s="220"/>
      <c r="G20" s="220"/>
      <c r="H20" s="220"/>
      <c r="I20" s="220"/>
    </row>
    <row r="21" spans="1:9" ht="15.75" customHeight="1" x14ac:dyDescent="0.25">
      <c r="B21" s="174"/>
      <c r="C21" s="175"/>
      <c r="D21" s="220"/>
      <c r="E21" s="220"/>
      <c r="F21" s="220"/>
      <c r="G21" s="220"/>
      <c r="H21" s="220"/>
      <c r="I21" s="220"/>
    </row>
    <row r="22" spans="1:9" ht="15.75" customHeight="1" x14ac:dyDescent="0.25">
      <c r="B22" s="86"/>
      <c r="D22" s="224"/>
      <c r="E22" s="224"/>
      <c r="F22" s="224"/>
      <c r="G22" s="224"/>
      <c r="H22" s="224"/>
      <c r="I22" s="172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19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18.5" style="210" bestFit="1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21.5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9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18</v>
      </c>
      <c r="M3" s="85" t="s">
        <v>19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23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36.080551999999997</v>
      </c>
      <c r="I7" s="10"/>
      <c r="J7" s="228">
        <f ca="1">H7/D7-1</f>
        <v>-2.57313167936295E-2</v>
      </c>
      <c r="L7" s="74">
        <f ca="1">INDIRECT($B7&amp;"!"&amp;L$3&amp;"5")</f>
        <v>27.262733600000001</v>
      </c>
      <c r="M7" s="75">
        <f ca="1">INDIRECT($B7&amp;"!"&amp;M$3&amp;"5")</f>
        <v>28.855451466666672</v>
      </c>
      <c r="N7" s="76">
        <f ca="1">M7-L7</f>
        <v>1.5927178666666713</v>
      </c>
      <c r="O7" s="226"/>
      <c r="P7" s="228">
        <f ca="1">bdrate(D7:D10,L7:L10,H7:H10,M7:M10)</f>
        <v>-9.010693521017632E-2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49.944600000000008</v>
      </c>
      <c r="I8" s="10"/>
      <c r="J8" s="228">
        <f ca="1">H8/D8-1</f>
        <v>-6.1957115893107262E-2</v>
      </c>
      <c r="L8" s="74">
        <f ca="1">INDIRECT($B8&amp;"!"&amp;L$3&amp;"6")</f>
        <v>30.5955504</v>
      </c>
      <c r="M8" s="75">
        <f ca="1">INDIRECT($B8&amp;"!"&amp;M$3&amp;"6")</f>
        <v>31.525228200000001</v>
      </c>
      <c r="N8" s="76">
        <f ca="1">M8-L8</f>
        <v>0.92967780000000033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68.826216000000002</v>
      </c>
      <c r="I9" s="10"/>
      <c r="J9" s="228">
        <f ca="1">H9/D9-1</f>
        <v>-0.10351406378902184</v>
      </c>
      <c r="L9" s="74">
        <f ca="1">INDIRECT($B9&amp;"!"&amp;L$3&amp;"7")</f>
        <v>35.178384000000008</v>
      </c>
      <c r="M9" s="75">
        <f ca="1">INDIRECT($B9&amp;"!"&amp;M$3&amp;"7")</f>
        <v>34.23229873333333</v>
      </c>
      <c r="N9" s="76">
        <f ca="1">M9-L9</f>
        <v>-0.94608526666667814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93.552303999999992</v>
      </c>
      <c r="I10" s="10"/>
      <c r="J10" s="228">
        <f ca="1">H10/D10-1</f>
        <v>-0.14063467164069099</v>
      </c>
      <c r="L10" s="74">
        <f ca="1">INDIRECT($B10&amp;"!"&amp;L$3&amp;"8")</f>
        <v>37.847506266666663</v>
      </c>
      <c r="M10" s="75">
        <f ca="1">INDIRECT($B10&amp;"!"&amp;M$3&amp;"8")</f>
        <v>35.787499133333327</v>
      </c>
      <c r="N10" s="76">
        <f ca="1">M10-L10</f>
        <v>-2.0600071333333361</v>
      </c>
      <c r="O10" s="226"/>
      <c r="P10" s="231">
        <f ca="1">bdrate(L7:L10,D7:D10,M7:M10,H7:H10)</f>
        <v>1.9285831451969937E-2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36.080551999999997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201"/>
      <c r="C14" s="201"/>
      <c r="D14" s="235"/>
      <c r="E14" s="226"/>
      <c r="F14" s="201"/>
      <c r="G14" s="201"/>
      <c r="H14" s="235"/>
      <c r="I14" s="10"/>
      <c r="J14" s="198"/>
      <c r="L14" s="199"/>
      <c r="M14" s="199"/>
      <c r="N14" s="200"/>
      <c r="O14" s="226"/>
      <c r="P14" s="211"/>
      <c r="Q14" s="226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23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36.929687999999999</v>
      </c>
      <c r="I18" s="10"/>
      <c r="J18" s="228">
        <f ca="1">H18/D18-1</f>
        <v>-2.6762799666297798E-2</v>
      </c>
      <c r="L18" s="74">
        <f ca="1">INDIRECT($B18&amp;"!"&amp;L$3&amp;"5")</f>
        <v>27.225800466666666</v>
      </c>
      <c r="M18" s="75">
        <f ca="1">INDIRECT($B18&amp;"!"&amp;M$3&amp;"5")</f>
        <v>28.809088933333332</v>
      </c>
      <c r="N18" s="76">
        <f ca="1">M18-L18</f>
        <v>1.5832884666666658</v>
      </c>
      <c r="O18" s="226"/>
      <c r="P18" s="228">
        <f ca="1">bdrate(D18:D21,L18:L21,H18:H21,M18:M21)</f>
        <v>-8.6075871971110218E-2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51.176952000000007</v>
      </c>
      <c r="I19" s="10"/>
      <c r="J19" s="228">
        <f ca="1">H19/D19-1</f>
        <v>-6.4091358901778306E-2</v>
      </c>
      <c r="L19" s="74">
        <f ca="1">INDIRECT($B19&amp;"!"&amp;L$3&amp;"6")</f>
        <v>30.717614933333337</v>
      </c>
      <c r="M19" s="75">
        <f ca="1">INDIRECT($B19&amp;"!"&amp;M$3&amp;"6")</f>
        <v>31.520607399999999</v>
      </c>
      <c r="N19" s="76">
        <f ca="1">M19-L19</f>
        <v>0.80299246666666235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70.646455999999986</v>
      </c>
      <c r="I20" s="10"/>
      <c r="J20" s="228">
        <f ca="1">H20/D20-1</f>
        <v>-0.10620257954905121</v>
      </c>
      <c r="L20" s="74">
        <f ca="1">INDIRECT($B20&amp;"!"&amp;L$3&amp;"7")</f>
        <v>35.108155866666671</v>
      </c>
      <c r="M20" s="75">
        <f ca="1">INDIRECT($B20&amp;"!"&amp;M$3&amp;"7")</f>
        <v>34.132448066666662</v>
      </c>
      <c r="N20" s="76">
        <f ca="1">M20-L20</f>
        <v>-0.97570780000000923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96.075095999999988</v>
      </c>
      <c r="I21" s="10"/>
      <c r="J21" s="228">
        <f ca="1">H21/D21-1</f>
        <v>-0.14329002411251623</v>
      </c>
      <c r="L21" s="74">
        <f ca="1">INDIRECT($B21&amp;"!"&amp;L$3&amp;"8")</f>
        <v>37.605895933333336</v>
      </c>
      <c r="M21" s="75">
        <f ca="1">INDIRECT($B21&amp;"!"&amp;M$3&amp;"8")</f>
        <v>35.617291133333339</v>
      </c>
      <c r="N21" s="76">
        <f ca="1">M21-L21</f>
        <v>-1.9886047999999974</v>
      </c>
      <c r="O21" s="226"/>
      <c r="P21" s="231">
        <f ca="1">bdrate(L18:L21,D18:D21,M18:M21,H18:H21)</f>
        <v>1.7448613540669511E-2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36.929687999999999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23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27.093352000000003</v>
      </c>
      <c r="I29" s="10"/>
      <c r="J29" s="228">
        <f ca="1">H29/D29-1</f>
        <v>-1.3254910461685698E-2</v>
      </c>
      <c r="L29" s="74">
        <f ca="1">INDIRECT($B29&amp;"!"&amp;L$3&amp;"5")</f>
        <v>30.246270333333335</v>
      </c>
      <c r="M29" s="75">
        <f ca="1">INDIRECT($B29&amp;"!"&amp;M$3&amp;"5")</f>
        <v>30.821317333333337</v>
      </c>
      <c r="N29" s="76">
        <f ca="1">M29-L29</f>
        <v>0.57504700000000142</v>
      </c>
      <c r="O29" s="226"/>
      <c r="P29" s="228">
        <f ca="1">bdrate(D29:D32,L29:L32,H29:H32,M29:M32)</f>
        <v>1.9408449064229227E-2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37.804071999999998</v>
      </c>
      <c r="I30" s="10"/>
      <c r="J30" s="228">
        <f ca="1">H30/D30-1</f>
        <v>-4.8518325073281354E-2</v>
      </c>
      <c r="L30" s="74">
        <f ca="1">INDIRECT($B30&amp;"!"&amp;L$3&amp;"6")</f>
        <v>33.072678761904761</v>
      </c>
      <c r="M30" s="75">
        <f ca="1">INDIRECT($B30&amp;"!"&amp;M$3&amp;"6")</f>
        <v>32.987687666666666</v>
      </c>
      <c r="N30" s="76">
        <f ca="1">M30-L30</f>
        <v>-8.4991095238095227E-2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53.605311999999998</v>
      </c>
      <c r="I31" s="10"/>
      <c r="J31" s="228">
        <f ca="1">H31/D31-1</f>
        <v>-9.9856824249549891E-2</v>
      </c>
      <c r="L31" s="74">
        <f ca="1">INDIRECT($B31&amp;"!"&amp;L$3&amp;"7")</f>
        <v>36.281602476190471</v>
      </c>
      <c r="M31" s="75">
        <f ca="1">INDIRECT($B31&amp;"!"&amp;M$3&amp;"7")</f>
        <v>34.80651376190476</v>
      </c>
      <c r="N31" s="76">
        <f ca="1">M31-L31</f>
        <v>-1.475088714285711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74.599312000000012</v>
      </c>
      <c r="I32" s="10"/>
      <c r="J32" s="228">
        <f ca="1">H32/D32-1</f>
        <v>-0.14245368839358064</v>
      </c>
      <c r="L32" s="74">
        <f ca="1">INDIRECT($B32&amp;"!"&amp;L$3&amp;"8")</f>
        <v>39.436459095238085</v>
      </c>
      <c r="M32" s="75">
        <f ca="1">INDIRECT($B32&amp;"!"&amp;M$3&amp;"8")</f>
        <v>36.537869047619061</v>
      </c>
      <c r="N32" s="76">
        <f ca="1">M32-L32</f>
        <v>-2.8985900476190238</v>
      </c>
      <c r="O32" s="226"/>
      <c r="P32" s="231">
        <f ca="1">bdrate(L29:L32,D29:D32,M29:M32,H29:H32)</f>
        <v>-1.1748335501362561E-2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27.093352000000003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23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27.923015999999997</v>
      </c>
      <c r="I40" s="10"/>
      <c r="J40" s="228">
        <f ca="1">H40/D40-1</f>
        <v>-1.3908045132706937E-2</v>
      </c>
      <c r="L40" s="74">
        <f ca="1">INDIRECT($B40&amp;"!"&amp;L$3&amp;"5")</f>
        <v>30.214093190476195</v>
      </c>
      <c r="M40" s="75">
        <f ca="1">INDIRECT($B40&amp;"!"&amp;M$3&amp;"5")</f>
        <v>30.728528809523812</v>
      </c>
      <c r="N40" s="76">
        <f ca="1">M40-L40</f>
        <v>0.51443561904761737</v>
      </c>
      <c r="O40" s="226"/>
      <c r="P40" s="228">
        <f ca="1">bdrate(D40:D43,L40:L43,H40:H43,M40:M43)</f>
        <v>3.6109745108097169E-3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39.027680000000004</v>
      </c>
      <c r="I41" s="10"/>
      <c r="J41" s="228">
        <f ca="1">H41/D41-1</f>
        <v>-5.1032813895086515E-2</v>
      </c>
      <c r="L41" s="74">
        <f ca="1">INDIRECT($B41&amp;"!"&amp;L$3&amp;"6")</f>
        <v>32.999578714285725</v>
      </c>
      <c r="M41" s="75">
        <f ca="1">INDIRECT($B41&amp;"!"&amp;M$3&amp;"6")</f>
        <v>32.962726142857143</v>
      </c>
      <c r="N41" s="76">
        <f ca="1">M41-L41</f>
        <v>-3.6852571428582337E-2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55.482768</v>
      </c>
      <c r="I42" s="10"/>
      <c r="J42" s="228">
        <f ca="1">H42/D42-1</f>
        <v>-0.10316443665113606</v>
      </c>
      <c r="L42" s="74">
        <f ca="1">INDIRECT($B42&amp;"!"&amp;L$3&amp;"7")</f>
        <v>36.248342999999991</v>
      </c>
      <c r="M42" s="75">
        <f ca="1">INDIRECT($B42&amp;"!"&amp;M$3&amp;"7")</f>
        <v>34.902720619047621</v>
      </c>
      <c r="N42" s="76">
        <f ca="1">M42-L42</f>
        <v>-1.3456223809523706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77.242784000000015</v>
      </c>
      <c r="I43" s="10"/>
      <c r="J43" s="228">
        <f ca="1">H43/D43-1</f>
        <v>-0.1457028099657629</v>
      </c>
      <c r="L43" s="74">
        <f ca="1">INDIRECT($B43&amp;"!"&amp;L$3&amp;"8")</f>
        <v>39.028174857142858</v>
      </c>
      <c r="M43" s="75">
        <f ca="1">INDIRECT($B43&amp;"!"&amp;M$3&amp;"8")</f>
        <v>36.295967238095237</v>
      </c>
      <c r="N43" s="76">
        <f ca="1">M43-L43</f>
        <v>-2.732207619047621</v>
      </c>
      <c r="O43" s="226"/>
      <c r="P43" s="231">
        <f ca="1">bdrate(L40:L43,D40:D43,M40:M43,H40:H43)</f>
        <v>-9.5873368129080205E-3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27.923015999999997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23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23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23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23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23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23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1"/>
      <c r="C182" s="181"/>
      <c r="D182" s="3"/>
      <c r="E182" s="3"/>
      <c r="F182" s="3"/>
      <c r="G182" s="3"/>
      <c r="H182" s="3"/>
      <c r="I182" s="3"/>
      <c r="J182" s="3"/>
      <c r="L182" s="181"/>
      <c r="M182" s="181"/>
      <c r="N182" s="3"/>
      <c r="O182" s="3"/>
      <c r="P182" s="3"/>
      <c r="Q182" s="3"/>
      <c r="R182" s="3"/>
      <c r="S182" s="3"/>
      <c r="T182" s="3"/>
      <c r="U182" s="3"/>
      <c r="V182" s="3"/>
      <c r="X182" s="181"/>
      <c r="Y182" s="181"/>
      <c r="Z182" s="181"/>
    </row>
    <row r="183" spans="2:28" x14ac:dyDescent="0.25">
      <c r="B183" s="38"/>
      <c r="C183" s="181"/>
      <c r="D183" s="226"/>
      <c r="E183" s="226"/>
      <c r="F183" s="226"/>
      <c r="G183" s="226"/>
      <c r="H183" s="10"/>
      <c r="I183" s="10"/>
      <c r="J183" s="10"/>
      <c r="L183" s="38"/>
      <c r="M183" s="181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4"/>
      <c r="AB183" s="230"/>
    </row>
    <row r="184" spans="2:28" x14ac:dyDescent="0.25">
      <c r="B184" s="38"/>
      <c r="C184" s="181"/>
      <c r="D184" s="226"/>
      <c r="E184" s="226"/>
      <c r="F184" s="226"/>
      <c r="G184" s="226"/>
      <c r="H184" s="10"/>
      <c r="I184" s="10"/>
      <c r="J184" s="10"/>
      <c r="L184" s="38"/>
      <c r="M184" s="181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4"/>
    </row>
    <row r="185" spans="2:28" x14ac:dyDescent="0.25">
      <c r="B185" s="38"/>
      <c r="C185" s="181"/>
      <c r="D185" s="226"/>
      <c r="E185" s="226"/>
      <c r="F185" s="226"/>
      <c r="G185" s="226"/>
      <c r="H185" s="10"/>
      <c r="I185" s="10"/>
      <c r="J185" s="10"/>
      <c r="L185" s="38"/>
      <c r="M185" s="181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4"/>
    </row>
    <row r="186" spans="2:28" ht="16.5" customHeight="1" x14ac:dyDescent="0.25">
      <c r="B186" s="38"/>
      <c r="C186" s="181"/>
      <c r="D186" s="226"/>
      <c r="E186" s="226"/>
      <c r="F186" s="226"/>
      <c r="G186" s="226"/>
      <c r="H186" s="10"/>
      <c r="I186" s="10"/>
      <c r="J186" s="10"/>
      <c r="L186" s="38"/>
      <c r="M186" s="181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4"/>
      <c r="AB186" s="230"/>
    </row>
    <row r="187" spans="2:28" x14ac:dyDescent="0.25">
      <c r="B187" s="38"/>
      <c r="C187" s="181"/>
      <c r="D187" s="226"/>
      <c r="E187" s="226"/>
      <c r="F187" s="226"/>
      <c r="G187" s="226"/>
      <c r="H187" s="10"/>
      <c r="I187" s="10"/>
      <c r="J187" s="10"/>
      <c r="L187" s="38"/>
      <c r="M187" s="181"/>
      <c r="N187" s="226"/>
      <c r="O187" s="226"/>
      <c r="P187" s="226"/>
      <c r="Q187" s="226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6"/>
      <c r="E188" s="226"/>
      <c r="F188" s="226"/>
      <c r="G188" s="226"/>
      <c r="H188" s="10"/>
      <c r="I188" s="10"/>
      <c r="J188" s="10"/>
      <c r="L188" s="38"/>
      <c r="M188" s="181"/>
      <c r="N188" s="226"/>
      <c r="O188" s="226"/>
      <c r="P188" s="226"/>
      <c r="Q188" s="226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32</v>
      </c>
      <c r="M3" s="85" t="s">
        <v>33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34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36.080551999999997</v>
      </c>
      <c r="I7" s="10"/>
      <c r="J7" s="228">
        <f ca="1">H7/D7-1</f>
        <v>-2.57313167936295E-2</v>
      </c>
      <c r="L7" s="74">
        <f ca="1">INDIRECT($B7&amp;"!"&amp;L$3&amp;"5")</f>
        <v>32.469316800000001</v>
      </c>
      <c r="M7" s="75">
        <f ca="1">INDIRECT($B7&amp;"!"&amp;M$3&amp;"5")</f>
        <v>33.721150666666666</v>
      </c>
      <c r="N7" s="76">
        <f ca="1">M7-L7</f>
        <v>1.2518338666666651</v>
      </c>
      <c r="O7" s="226"/>
      <c r="P7" s="228">
        <f ca="1">bdrate(D7:D10,L7:L10,H7:H10,M7:M10)</f>
        <v>-8.4150443895011584E-2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49.944600000000008</v>
      </c>
      <c r="I8" s="10"/>
      <c r="J8" s="228">
        <f ca="1">H8/D8-1</f>
        <v>-6.1957115893107262E-2</v>
      </c>
      <c r="L8" s="74">
        <f ca="1">INDIRECT($B8&amp;"!"&amp;L$3&amp;"6")</f>
        <v>35.243102133333331</v>
      </c>
      <c r="M8" s="75">
        <f ca="1">INDIRECT($B8&amp;"!"&amp;M$3&amp;"6")</f>
        <v>35.997784866666663</v>
      </c>
      <c r="N8" s="76">
        <f ca="1">M8-L8</f>
        <v>0.75468273333333258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68.826216000000002</v>
      </c>
      <c r="I9" s="10"/>
      <c r="J9" s="228">
        <f ca="1">H9/D9-1</f>
        <v>-0.10351406378902184</v>
      </c>
      <c r="L9" s="74">
        <f ca="1">INDIRECT($B9&amp;"!"&amp;L$3&amp;"7")</f>
        <v>39.28737146666667</v>
      </c>
      <c r="M9" s="75">
        <f ca="1">INDIRECT($B9&amp;"!"&amp;M$3&amp;"7")</f>
        <v>38.395517333333338</v>
      </c>
      <c r="N9" s="76">
        <f ca="1">M9-L9</f>
        <v>-0.8918541333333323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93.552303999999992</v>
      </c>
      <c r="I10" s="10"/>
      <c r="J10" s="228">
        <f ca="1">H10/D10-1</f>
        <v>-0.14063467164069099</v>
      </c>
      <c r="L10" s="74">
        <f ca="1">INDIRECT($B10&amp;"!"&amp;L$3&amp;"8")</f>
        <v>41.929521733333331</v>
      </c>
      <c r="M10" s="75">
        <f ca="1">INDIRECT($B10&amp;"!"&amp;M$3&amp;"8")</f>
        <v>39.835546066666666</v>
      </c>
      <c r="N10" s="76">
        <f ca="1">M10-L10</f>
        <v>-2.0939756666666653</v>
      </c>
      <c r="O10" s="226"/>
      <c r="P10" s="231">
        <f ca="1">bdrate(L7:L10,D7:D10,M7:M10,H7:H10)</f>
        <v>1.2608988561821022E-2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36.080551999999997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34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36.929687999999999</v>
      </c>
      <c r="I18" s="10"/>
      <c r="J18" s="228">
        <f ca="1">H18/D18-1</f>
        <v>-2.6762799666297798E-2</v>
      </c>
      <c r="L18" s="74">
        <f ca="1">INDIRECT($B18&amp;"!"&amp;L$3&amp;"5")</f>
        <v>32.321196866666668</v>
      </c>
      <c r="M18" s="75">
        <f ca="1">INDIRECT($B18&amp;"!"&amp;M$3&amp;"5")</f>
        <v>33.520221866666674</v>
      </c>
      <c r="N18" s="76">
        <f ca="1">M18-L18</f>
        <v>1.199025000000006</v>
      </c>
      <c r="O18" s="226"/>
      <c r="P18" s="228">
        <f ca="1">bdrate(D18:D21,L18:L21,H18:H21,M18:M21)</f>
        <v>-8.1149337095277385E-2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51.176952000000007</v>
      </c>
      <c r="I19" s="10"/>
      <c r="J19" s="228">
        <f ca="1">H19/D19-1</f>
        <v>-6.4091358901778306E-2</v>
      </c>
      <c r="L19" s="74">
        <f ca="1">INDIRECT($B19&amp;"!"&amp;L$3&amp;"6")</f>
        <v>35.232715600000006</v>
      </c>
      <c r="M19" s="75">
        <f ca="1">INDIRECT($B19&amp;"!"&amp;M$3&amp;"6")</f>
        <v>35.899458733333333</v>
      </c>
      <c r="N19" s="76">
        <f ca="1">M19-L19</f>
        <v>0.66674313333332691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70.646455999999986</v>
      </c>
      <c r="I20" s="10"/>
      <c r="J20" s="228">
        <f ca="1">H20/D20-1</f>
        <v>-0.10620257954905121</v>
      </c>
      <c r="L20" s="74">
        <f ca="1">INDIRECT($B20&amp;"!"&amp;L$3&amp;"7")</f>
        <v>39.210842266666667</v>
      </c>
      <c r="M20" s="75">
        <f ca="1">INDIRECT($B20&amp;"!"&amp;M$3&amp;"7")</f>
        <v>38.2937534</v>
      </c>
      <c r="N20" s="76">
        <f ca="1">M20-L20</f>
        <v>-0.917088866666667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96.075095999999988</v>
      </c>
      <c r="I21" s="10"/>
      <c r="J21" s="228">
        <f ca="1">H21/D21-1</f>
        <v>-0.14329002411251623</v>
      </c>
      <c r="L21" s="74">
        <f ca="1">INDIRECT($B21&amp;"!"&amp;L$3&amp;"8")</f>
        <v>41.687570999999998</v>
      </c>
      <c r="M21" s="75">
        <f ca="1">INDIRECT($B21&amp;"!"&amp;M$3&amp;"8")</f>
        <v>39.669791600000003</v>
      </c>
      <c r="N21" s="76">
        <f ca="1">M21-L21</f>
        <v>-2.0177793999999949</v>
      </c>
      <c r="O21" s="226"/>
      <c r="P21" s="231">
        <f ca="1">bdrate(L18:L21,D18:D21,M18:M21,H18:H21)</f>
        <v>1.1706469248777385E-2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36.929687999999999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34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27.093352000000003</v>
      </c>
      <c r="I29" s="10"/>
      <c r="J29" s="228">
        <f ca="1">H29/D29-1</f>
        <v>-1.3254910461685698E-2</v>
      </c>
      <c r="L29" s="74">
        <f ca="1">INDIRECT($B29&amp;"!"&amp;L$3&amp;"5")</f>
        <v>33.862599857142854</v>
      </c>
      <c r="M29" s="75">
        <f ca="1">INDIRECT($B29&amp;"!"&amp;M$3&amp;"5")</f>
        <v>34.467592190476196</v>
      </c>
      <c r="N29" s="76">
        <f ca="1">M29-L29</f>
        <v>0.60499233333334246</v>
      </c>
      <c r="O29" s="226"/>
      <c r="P29" s="228">
        <f ca="1">bdrate(D29:D32,L29:L32,H29:H32,M29:M32)</f>
        <v>1.3090002307521775E-2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37.804071999999998</v>
      </c>
      <c r="I30" s="10"/>
      <c r="J30" s="228">
        <f ca="1">H30/D30-1</f>
        <v>-4.8518325073281354E-2</v>
      </c>
      <c r="L30" s="74">
        <f ca="1">INDIRECT($B30&amp;"!"&amp;L$3&amp;"6")</f>
        <v>36.632195285714296</v>
      </c>
      <c r="M30" s="75">
        <f ca="1">INDIRECT($B30&amp;"!"&amp;M$3&amp;"6")</f>
        <v>36.647682333333336</v>
      </c>
      <c r="N30" s="76">
        <f ca="1">M30-L30</f>
        <v>1.5487047619039629E-2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53.605311999999998</v>
      </c>
      <c r="I31" s="10"/>
      <c r="J31" s="228">
        <f ca="1">H31/D31-1</f>
        <v>-9.9856824249549891E-2</v>
      </c>
      <c r="L31" s="74">
        <f ca="1">INDIRECT($B31&amp;"!"&amp;L$3&amp;"7")</f>
        <v>40.251414476190476</v>
      </c>
      <c r="M31" s="75">
        <f ca="1">INDIRECT($B31&amp;"!"&amp;M$3&amp;"7")</f>
        <v>38.630839761904767</v>
      </c>
      <c r="N31" s="76">
        <f ca="1">M31-L31</f>
        <v>-1.6205747142857092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74.599312000000012</v>
      </c>
      <c r="I32" s="10"/>
      <c r="J32" s="228">
        <f ca="1">H32/D32-1</f>
        <v>-0.14245368839358064</v>
      </c>
      <c r="L32" s="74">
        <f ca="1">INDIRECT($B32&amp;"!"&amp;L$3&amp;"8")</f>
        <v>43.588469761904761</v>
      </c>
      <c r="M32" s="75">
        <f ca="1">INDIRECT($B32&amp;"!"&amp;M$3&amp;"8")</f>
        <v>40.395503809523802</v>
      </c>
      <c r="N32" s="76">
        <f ca="1">M32-L32</f>
        <v>-3.192965952380959</v>
      </c>
      <c r="O32" s="226"/>
      <c r="P32" s="231">
        <f ca="1">bdrate(L29:L32,D29:D32,M29:M32,H29:H32)</f>
        <v>-1.1249997323029337E-2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27.093352000000003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34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27.923015999999997</v>
      </c>
      <c r="I40" s="10"/>
      <c r="J40" s="228">
        <f ca="1">H40/D40-1</f>
        <v>-1.3908045132706937E-2</v>
      </c>
      <c r="L40" s="74">
        <f ca="1">INDIRECT($B40&amp;"!"&amp;L$3&amp;"5")</f>
        <v>33.832055285714283</v>
      </c>
      <c r="M40" s="75">
        <f ca="1">INDIRECT($B40&amp;"!"&amp;M$3&amp;"5")</f>
        <v>34.378089476190475</v>
      </c>
      <c r="N40" s="76">
        <f ca="1">M40-L40</f>
        <v>0.54603419047619184</v>
      </c>
      <c r="O40" s="226"/>
      <c r="P40" s="228">
        <f ca="1">bdrate(D40:D43,L40:L43,H40:H43,M40:M43)</f>
        <v>-7.8175887096687546E-5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39.027680000000004</v>
      </c>
      <c r="I41" s="10"/>
      <c r="J41" s="228">
        <f ca="1">H41/D41-1</f>
        <v>-5.1032813895086515E-2</v>
      </c>
      <c r="L41" s="74">
        <f ca="1">INDIRECT($B41&amp;"!"&amp;L$3&amp;"6")</f>
        <v>36.531831238095236</v>
      </c>
      <c r="M41" s="75">
        <f ca="1">INDIRECT($B41&amp;"!"&amp;M$3&amp;"6")</f>
        <v>36.601413428571426</v>
      </c>
      <c r="N41" s="76">
        <f ca="1">M41-L41</f>
        <v>6.9582190476189965E-2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55.482768</v>
      </c>
      <c r="I42" s="10"/>
      <c r="J42" s="228">
        <f ca="1">H42/D42-1</f>
        <v>-0.10316443665113606</v>
      </c>
      <c r="L42" s="74">
        <f ca="1">INDIRECT($B42&amp;"!"&amp;L$3&amp;"7")</f>
        <v>40.276491190476186</v>
      </c>
      <c r="M42" s="75">
        <f ca="1">INDIRECT($B42&amp;"!"&amp;M$3&amp;"7")</f>
        <v>38.717956142857147</v>
      </c>
      <c r="N42" s="76">
        <f ca="1">M42-L42</f>
        <v>-1.5585350476190385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77.242784000000015</v>
      </c>
      <c r="I43" s="10"/>
      <c r="J43" s="228">
        <f ca="1">H43/D43-1</f>
        <v>-0.1457028099657629</v>
      </c>
      <c r="L43" s="74">
        <f ca="1">INDIRECT($B43&amp;"!"&amp;L$3&amp;"8")</f>
        <v>43.229996952380951</v>
      </c>
      <c r="M43" s="75">
        <f ca="1">INDIRECT($B43&amp;"!"&amp;M$3&amp;"8")</f>
        <v>40.202405238095238</v>
      </c>
      <c r="N43" s="76">
        <f ca="1">M43-L43</f>
        <v>-3.0275917142857125</v>
      </c>
      <c r="O43" s="226"/>
      <c r="P43" s="231">
        <f ca="1">bdrate(L40:L43,D40:D43,M40:M43,H40:H43)</f>
        <v>-9.8120297978554483E-3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27.923015999999997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34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34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34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34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34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34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8" style="210" bestFit="1" customWidth="1"/>
    <col min="15" max="15" width="4.59765625" style="210" customWidth="1"/>
    <col min="16" max="16" width="9.6992187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35</v>
      </c>
      <c r="M3" s="85" t="s">
        <v>36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37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36.080551999999997</v>
      </c>
      <c r="I7" s="10"/>
      <c r="J7" s="228">
        <f ca="1">H7/D7-1</f>
        <v>-2.57313167936295E-2</v>
      </c>
      <c r="L7" s="74">
        <f ca="1">INDIRECT($B7&amp;"!"&amp;L$3&amp;"5")</f>
        <v>0.95834516733333319</v>
      </c>
      <c r="M7" s="75">
        <f ca="1">INDIRECT($B7&amp;"!"&amp;M$3&amp;"5")</f>
        <v>0.9622685379999999</v>
      </c>
      <c r="N7" s="76">
        <f ca="1">M7-L7</f>
        <v>3.9233706666667034E-3</v>
      </c>
      <c r="O7" s="226"/>
      <c r="P7" s="228">
        <f ca="1">bdrate(D7:D10,L7:L10,H7:H10,M7:M10)</f>
        <v>-7.5823256383117266E-2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49.944600000000008</v>
      </c>
      <c r="I8" s="10"/>
      <c r="J8" s="228">
        <f ca="1">H8/D8-1</f>
        <v>-6.1957115893107262E-2</v>
      </c>
      <c r="L8" s="74">
        <f ca="1">INDIRECT($B8&amp;"!"&amp;L$3&amp;"6")</f>
        <v>0.97572819666666666</v>
      </c>
      <c r="M8" s="75">
        <f ca="1">INDIRECT($B8&amp;"!"&amp;M$3&amp;"6")</f>
        <v>0.97729309800000019</v>
      </c>
      <c r="N8" s="76">
        <f ca="1">M8-L8</f>
        <v>1.5649013333335349E-3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68.826216000000002</v>
      </c>
      <c r="I9" s="10"/>
      <c r="J9" s="228">
        <f ca="1">H9/D9-1</f>
        <v>-0.10351406378902184</v>
      </c>
      <c r="L9" s="74">
        <f ca="1">INDIRECT($B9&amp;"!"&amp;L$3&amp;"7")</f>
        <v>0.98810945533333316</v>
      </c>
      <c r="M9" s="75">
        <f ca="1">INDIRECT($B9&amp;"!"&amp;M$3&amp;"7")</f>
        <v>0.98619513266666681</v>
      </c>
      <c r="N9" s="76">
        <f ca="1">M9-L9</f>
        <v>-1.9143226666663571E-3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93.552303999999992</v>
      </c>
      <c r="I10" s="10"/>
      <c r="J10" s="228">
        <f ca="1">H10/D10-1</f>
        <v>-0.14063467164069099</v>
      </c>
      <c r="L10" s="74">
        <f ca="1">INDIRECT($B10&amp;"!"&amp;L$3&amp;"8")</f>
        <v>0.99241337466666668</v>
      </c>
      <c r="M10" s="75">
        <f ca="1">INDIRECT($B10&amp;"!"&amp;M$3&amp;"8")</f>
        <v>0.98986790800000002</v>
      </c>
      <c r="N10" s="76">
        <f ca="1">M10-L10</f>
        <v>-2.5454666666666625E-3</v>
      </c>
      <c r="O10" s="226"/>
      <c r="P10" s="231">
        <f ca="1">bdrate(L7:L10,D7:D10,M7:M10,H7:H10)</f>
        <v>1.9465433709460189E-3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36.080551999999997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37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36.929687999999999</v>
      </c>
      <c r="I18" s="10"/>
      <c r="J18" s="228">
        <f ca="1">H18/D18-1</f>
        <v>-2.6762799666297798E-2</v>
      </c>
      <c r="L18" s="74">
        <f ca="1">INDIRECT($B18&amp;"!"&amp;L$3&amp;"5")</f>
        <v>0.95700066866666644</v>
      </c>
      <c r="M18" s="75">
        <f ca="1">INDIRECT($B18&amp;"!"&amp;M$3&amp;"5")</f>
        <v>0.96114106933333332</v>
      </c>
      <c r="N18" s="76">
        <f ca="1">M18-L18</f>
        <v>4.1404006666668769E-3</v>
      </c>
      <c r="O18" s="226"/>
      <c r="P18" s="228">
        <f ca="1">bdrate(D18:D21,L18:L21,H18:H21,M18:M21)</f>
        <v>-8.0037415418389823E-2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51.176952000000007</v>
      </c>
      <c r="I19" s="10"/>
      <c r="J19" s="228">
        <f ca="1">H19/D19-1</f>
        <v>-6.4091358901778306E-2</v>
      </c>
      <c r="L19" s="74">
        <f ca="1">INDIRECT($B19&amp;"!"&amp;L$3&amp;"6")</f>
        <v>0.97492547266666674</v>
      </c>
      <c r="M19" s="75">
        <f ca="1">INDIRECT($B19&amp;"!"&amp;M$3&amp;"6")</f>
        <v>0.97659475533333329</v>
      </c>
      <c r="N19" s="76">
        <f ca="1">M19-L19</f>
        <v>1.6692826666665495E-3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70.646455999999986</v>
      </c>
      <c r="I20" s="10"/>
      <c r="J20" s="228">
        <f ca="1">H20/D20-1</f>
        <v>-0.10620257954905121</v>
      </c>
      <c r="L20" s="74">
        <f ca="1">INDIRECT($B20&amp;"!"&amp;L$3&amp;"7")</f>
        <v>0.98757465333333327</v>
      </c>
      <c r="M20" s="75">
        <f ca="1">INDIRECT($B20&amp;"!"&amp;M$3&amp;"7")</f>
        <v>0.98570097333333329</v>
      </c>
      <c r="N20" s="76">
        <f ca="1">M20-L20</f>
        <v>-1.8736799999999887E-3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96.075095999999988</v>
      </c>
      <c r="I21" s="10"/>
      <c r="J21" s="228">
        <f ca="1">H21/D21-1</f>
        <v>-0.14329002411251623</v>
      </c>
      <c r="L21" s="74">
        <f ca="1">INDIRECT($B21&amp;"!"&amp;L$3&amp;"8")</f>
        <v>0.99193363933333345</v>
      </c>
      <c r="M21" s="75">
        <f ca="1">INDIRECT($B21&amp;"!"&amp;M$3&amp;"8")</f>
        <v>0.98935919866666666</v>
      </c>
      <c r="N21" s="76">
        <f ca="1">M21-L21</f>
        <v>-2.5744406666667885E-3</v>
      </c>
      <c r="O21" s="226"/>
      <c r="P21" s="231">
        <f ca="1">bdrate(L18:L21,D18:D21,M18:M21,H18:H21)</f>
        <v>2.1264407053460666E-3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36.929687999999999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37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27.093352000000003</v>
      </c>
      <c r="I29" s="10"/>
      <c r="J29" s="228">
        <f ca="1">H29/D29-1</f>
        <v>-1.3254910461685698E-2</v>
      </c>
      <c r="L29" s="74">
        <f ca="1">INDIRECT($B29&amp;"!"&amp;L$3&amp;"5")</f>
        <v>0.96684382285714265</v>
      </c>
      <c r="M29" s="75">
        <f ca="1">INDIRECT($B29&amp;"!"&amp;M$3&amp;"5")</f>
        <v>0.96859301428571443</v>
      </c>
      <c r="N29" s="76">
        <f ca="1">M29-L29</f>
        <v>1.7491914285717725E-3</v>
      </c>
      <c r="O29" s="226"/>
      <c r="P29" s="228">
        <f ca="1">bdrate(D29:D32,L29:L32,H29:H32,M29:M32)</f>
        <v>-5.0031027467601685E-2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37.804071999999998</v>
      </c>
      <c r="I30" s="10"/>
      <c r="J30" s="228">
        <f ca="1">H30/D30-1</f>
        <v>-4.8518325073281354E-2</v>
      </c>
      <c r="L30" s="74">
        <f ca="1">INDIRECT($B30&amp;"!"&amp;L$3&amp;"6")</f>
        <v>0.98000114238095259</v>
      </c>
      <c r="M30" s="75">
        <f ca="1">INDIRECT($B30&amp;"!"&amp;M$3&amp;"6")</f>
        <v>0.98047810904761912</v>
      </c>
      <c r="N30" s="76">
        <f ca="1">M30-L30</f>
        <v>4.7696666666652288E-4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53.605311999999998</v>
      </c>
      <c r="I31" s="10"/>
      <c r="J31" s="228">
        <f ca="1">H31/D31-1</f>
        <v>-9.9856824249549891E-2</v>
      </c>
      <c r="L31" s="74">
        <f ca="1">INDIRECT($B31&amp;"!"&amp;L$3&amp;"7")</f>
        <v>0.98903340333333323</v>
      </c>
      <c r="M31" s="75">
        <f ca="1">INDIRECT($B31&amp;"!"&amp;M$3&amp;"7")</f>
        <v>0.98780344333333303</v>
      </c>
      <c r="N31" s="76">
        <f ca="1">M31-L31</f>
        <v>-1.2299600000001965E-3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74.599312000000012</v>
      </c>
      <c r="I32" s="10"/>
      <c r="J32" s="228">
        <f ca="1">H32/D32-1</f>
        <v>-0.14245368839358064</v>
      </c>
      <c r="L32" s="74">
        <f ca="1">INDIRECT($B32&amp;"!"&amp;L$3&amp;"8")</f>
        <v>0.99375173238095238</v>
      </c>
      <c r="M32" s="75">
        <f ca="1">INDIRECT($B32&amp;"!"&amp;M$3&amp;"8")</f>
        <v>0.99186254809523811</v>
      </c>
      <c r="N32" s="76">
        <f ca="1">M32-L32</f>
        <v>-1.8891842857142738E-3</v>
      </c>
      <c r="O32" s="226"/>
      <c r="P32" s="231">
        <f ca="1">bdrate(L29:L32,D29:D32,M29:M32,H29:H32)</f>
        <v>1.0302652612332874E-3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27.093352000000003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37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27.923015999999997</v>
      </c>
      <c r="I40" s="10"/>
      <c r="J40" s="228">
        <f ca="1">H40/D40-1</f>
        <v>-1.3908045132706937E-2</v>
      </c>
      <c r="L40" s="74">
        <f ca="1">INDIRECT($B40&amp;"!"&amp;L$3&amp;"5")</f>
        <v>0.96582942476190481</v>
      </c>
      <c r="M40" s="75">
        <f ca="1">INDIRECT($B40&amp;"!"&amp;M$3&amp;"5")</f>
        <v>0.96765219999999985</v>
      </c>
      <c r="N40" s="76">
        <f ca="1">M40-L40</f>
        <v>1.8227752380950424E-3</v>
      </c>
      <c r="O40" s="226"/>
      <c r="P40" s="228">
        <f ca="1">bdrate(D40:D43,L40:L43,H40:H43,M40:M43)</f>
        <v>-5.6906825910534642E-2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39.027680000000004</v>
      </c>
      <c r="I41" s="10"/>
      <c r="J41" s="228">
        <f ca="1">H41/D41-1</f>
        <v>-5.1032813895086515E-2</v>
      </c>
      <c r="L41" s="74">
        <f ca="1">INDIRECT($B41&amp;"!"&amp;L$3&amp;"6")</f>
        <v>0.97901262523809529</v>
      </c>
      <c r="M41" s="75">
        <f ca="1">INDIRECT($B41&amp;"!"&amp;M$3&amp;"6")</f>
        <v>0.9796706723809524</v>
      </c>
      <c r="N41" s="76">
        <f ca="1">M41-L41</f>
        <v>6.5804714285710997E-4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55.482768</v>
      </c>
      <c r="I42" s="10"/>
      <c r="J42" s="228">
        <f ca="1">H42/D42-1</f>
        <v>-0.10316443665113606</v>
      </c>
      <c r="L42" s="74">
        <f ca="1">INDIRECT($B42&amp;"!"&amp;L$3&amp;"7")</f>
        <v>0.98868709857142867</v>
      </c>
      <c r="M42" s="75">
        <f ca="1">INDIRECT($B42&amp;"!"&amp;M$3&amp;"7")</f>
        <v>0.9874947557142858</v>
      </c>
      <c r="N42" s="76">
        <f ca="1">M42-L42</f>
        <v>-1.1923428571428696E-3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77.242784000000015</v>
      </c>
      <c r="I43" s="10"/>
      <c r="J43" s="228">
        <f ca="1">H43/D43-1</f>
        <v>-0.1457028099657629</v>
      </c>
      <c r="L43" s="74">
        <f ca="1">INDIRECT($B43&amp;"!"&amp;L$3&amp;"8")</f>
        <v>0.99344393809523812</v>
      </c>
      <c r="M43" s="75">
        <f ca="1">INDIRECT($B43&amp;"!"&amp;M$3&amp;"8")</f>
        <v>0.99150315095238095</v>
      </c>
      <c r="N43" s="76">
        <f ca="1">M43-L43</f>
        <v>-1.9407871428571699E-3</v>
      </c>
      <c r="O43" s="226"/>
      <c r="P43" s="231">
        <f ca="1">bdrate(L40:L43,D40:D43,M40:M43,H40:H43)</f>
        <v>1.2269266069107054E-3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27.923015999999997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37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37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37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37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37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37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38</v>
      </c>
      <c r="M3" s="85" t="s">
        <v>39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36.080551999999997</v>
      </c>
      <c r="I7" s="10"/>
      <c r="J7" s="228">
        <f ca="1">H7/D7-1</f>
        <v>-2.57313167936295E-2</v>
      </c>
      <c r="L7" s="74">
        <f ca="1">INDIRECT($B7&amp;"!"&amp;L$3&amp;"5")</f>
        <v>0.95456353799999993</v>
      </c>
      <c r="M7" s="75">
        <f ca="1">INDIRECT($B7&amp;"!"&amp;M$3&amp;"5")</f>
        <v>0.96402235200000008</v>
      </c>
      <c r="N7" s="76">
        <f ca="1">M7-L7</f>
        <v>9.4588140000001486E-3</v>
      </c>
      <c r="O7" s="226"/>
      <c r="P7" s="228">
        <f ca="1">bdrate(D7:D10,L7:L10,H7:H10,M7:M10)</f>
        <v>-0.11921005269618512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49.944600000000008</v>
      </c>
      <c r="I8" s="10"/>
      <c r="J8" s="228">
        <f ca="1">H8/D8-1</f>
        <v>-6.1957115893107262E-2</v>
      </c>
      <c r="L8" s="74">
        <f ca="1">INDIRECT($B8&amp;"!"&amp;L$3&amp;"6")</f>
        <v>0.97258593333333343</v>
      </c>
      <c r="M8" s="75">
        <f ca="1">INDIRECT($B8&amp;"!"&amp;M$3&amp;"6")</f>
        <v>0.97756611199999999</v>
      </c>
      <c r="N8" s="76">
        <f ca="1">M8-L8</f>
        <v>4.9801786666665571E-3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68.826216000000002</v>
      </c>
      <c r="I9" s="10"/>
      <c r="J9" s="228">
        <f ca="1">H9/D9-1</f>
        <v>-0.10351406378902184</v>
      </c>
      <c r="L9" s="74">
        <f ca="1">INDIRECT($B9&amp;"!"&amp;L$3&amp;"7")</f>
        <v>0.99038261466666655</v>
      </c>
      <c r="M9" s="75">
        <f ca="1">INDIRECT($B9&amp;"!"&amp;M$3&amp;"7")</f>
        <v>0.98786601333333346</v>
      </c>
      <c r="N9" s="76">
        <f ca="1">M9-L9</f>
        <v>-2.5166013333330906E-3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93.552303999999992</v>
      </c>
      <c r="I10" s="10"/>
      <c r="J10" s="228">
        <f ca="1">H10/D10-1</f>
        <v>-0.14063467164069099</v>
      </c>
      <c r="L10" s="74">
        <f ca="1">INDIRECT($B10&amp;"!"&amp;L$3&amp;"8")</f>
        <v>0.99521364000000001</v>
      </c>
      <c r="M10" s="75">
        <f ca="1">INDIRECT($B10&amp;"!"&amp;M$3&amp;"8")</f>
        <v>0.99148172533333334</v>
      </c>
      <c r="N10" s="76">
        <f ca="1">M10-L10</f>
        <v>-3.7319146666666692E-3</v>
      </c>
      <c r="O10" s="226"/>
      <c r="P10" s="231">
        <f ca="1">bdrate(L7:L10,D7:D10,M7:M10,H7:H10)</f>
        <v>3.6199520332136359E-3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36.080551999999997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36.929687999999999</v>
      </c>
      <c r="I18" s="10"/>
      <c r="J18" s="228">
        <f ca="1">H18/D18-1</f>
        <v>-2.6762799666297798E-2</v>
      </c>
      <c r="L18" s="74">
        <f ca="1">INDIRECT($B18&amp;"!"&amp;L$3&amp;"5")</f>
        <v>0.95395936733333342</v>
      </c>
      <c r="M18" s="75">
        <f ca="1">INDIRECT($B18&amp;"!"&amp;M$3&amp;"5")</f>
        <v>0.96402087199999997</v>
      </c>
      <c r="N18" s="76">
        <f ca="1">M18-L18</f>
        <v>1.0061504666666554E-2</v>
      </c>
      <c r="O18" s="226"/>
      <c r="P18" s="228">
        <f ca="1">bdrate(D18:D21,L18:L21,H18:H21,M18:M21)</f>
        <v>-0.11698039774490776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51.176952000000007</v>
      </c>
      <c r="I19" s="10"/>
      <c r="J19" s="228">
        <f ca="1">H19/D19-1</f>
        <v>-6.4091358901778306E-2</v>
      </c>
      <c r="L19" s="74">
        <f ca="1">INDIRECT($B19&amp;"!"&amp;L$3&amp;"6")</f>
        <v>0.97223756466666666</v>
      </c>
      <c r="M19" s="75">
        <f ca="1">INDIRECT($B19&amp;"!"&amp;M$3&amp;"6")</f>
        <v>0.97699744666666677</v>
      </c>
      <c r="N19" s="76">
        <f ca="1">M19-L19</f>
        <v>4.7598820000001041E-3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70.646455999999986</v>
      </c>
      <c r="I20" s="10"/>
      <c r="J20" s="228">
        <f ca="1">H20/D20-1</f>
        <v>-0.10620257954905121</v>
      </c>
      <c r="L20" s="74">
        <f ca="1">INDIRECT($B20&amp;"!"&amp;L$3&amp;"7")</f>
        <v>0.99005189866666643</v>
      </c>
      <c r="M20" s="75">
        <f ca="1">INDIRECT($B20&amp;"!"&amp;M$3&amp;"7")</f>
        <v>0.98744735799999994</v>
      </c>
      <c r="N20" s="76">
        <f ca="1">M20-L20</f>
        <v>-2.6045406666664883E-3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96.075095999999988</v>
      </c>
      <c r="I21" s="10"/>
      <c r="J21" s="228">
        <f ca="1">H21/D21-1</f>
        <v>-0.14329002411251623</v>
      </c>
      <c r="L21" s="74">
        <f ca="1">INDIRECT($B21&amp;"!"&amp;L$3&amp;"8")</f>
        <v>0.99515773399999985</v>
      </c>
      <c r="M21" s="75">
        <f ca="1">INDIRECT($B21&amp;"!"&amp;M$3&amp;"8")</f>
        <v>0.99150106933333326</v>
      </c>
      <c r="N21" s="76">
        <f ca="1">M21-L21</f>
        <v>-3.656664666666587E-3</v>
      </c>
      <c r="O21" s="226"/>
      <c r="P21" s="231">
        <f ca="1">bdrate(L18:L21,D18:D21,M18:M21,H18:H21)</f>
        <v>3.7161456200909271E-3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36.929687999999999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27.093352000000003</v>
      </c>
      <c r="I29" s="10"/>
      <c r="J29" s="228">
        <f ca="1">H29/D29-1</f>
        <v>-1.3254910461685698E-2</v>
      </c>
      <c r="L29" s="74">
        <f ca="1">INDIRECT($B29&amp;"!"&amp;L$3&amp;"5")</f>
        <v>0.97327361047619032</v>
      </c>
      <c r="M29" s="75">
        <f ca="1">INDIRECT($B29&amp;"!"&amp;M$3&amp;"5")</f>
        <v>0.97644992761904759</v>
      </c>
      <c r="N29" s="76">
        <f ca="1">M29-L29</f>
        <v>3.1763171428572656E-3</v>
      </c>
      <c r="O29" s="226"/>
      <c r="P29" s="228">
        <f ca="1">bdrate(D29:D32,L29:L32,H29:H32,M29:M32)</f>
        <v>-4.396170386243381E-2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37.804071999999998</v>
      </c>
      <c r="I30" s="10"/>
      <c r="J30" s="228">
        <f ca="1">H30/D30-1</f>
        <v>-4.8518325073281354E-2</v>
      </c>
      <c r="L30" s="74">
        <f ca="1">INDIRECT($B30&amp;"!"&amp;L$3&amp;"6")</f>
        <v>0.98426155285714267</v>
      </c>
      <c r="M30" s="75">
        <f ca="1">INDIRECT($B30&amp;"!"&amp;M$3&amp;"6")</f>
        <v>0.98484394095238093</v>
      </c>
      <c r="N30" s="76">
        <f ca="1">M30-L30</f>
        <v>5.8238809523825097E-4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53.605311999999998</v>
      </c>
      <c r="I31" s="10"/>
      <c r="J31" s="228">
        <f ca="1">H31/D31-1</f>
        <v>-9.9856824249549891E-2</v>
      </c>
      <c r="L31" s="74">
        <f ca="1">INDIRECT($B31&amp;"!"&amp;L$3&amp;"7")</f>
        <v>0.99228081523809508</v>
      </c>
      <c r="M31" s="75">
        <f ca="1">INDIRECT($B31&amp;"!"&amp;M$3&amp;"7")</f>
        <v>0.99029851714285722</v>
      </c>
      <c r="N31" s="76">
        <f ca="1">M31-L31</f>
        <v>-1.9822980952378666E-3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74.599312000000012</v>
      </c>
      <c r="I32" s="10"/>
      <c r="J32" s="228">
        <f ca="1">H32/D32-1</f>
        <v>-0.14245368839358064</v>
      </c>
      <c r="L32" s="74">
        <f ca="1">INDIRECT($B32&amp;"!"&amp;L$3&amp;"8")</f>
        <v>0.99594449714285727</v>
      </c>
      <c r="M32" s="75">
        <f ca="1">INDIRECT($B32&amp;"!"&amp;M$3&amp;"8")</f>
        <v>0.99329998714285717</v>
      </c>
      <c r="N32" s="76">
        <f ca="1">M32-L32</f>
        <v>-2.6445100000000998E-3</v>
      </c>
      <c r="O32" s="226"/>
      <c r="P32" s="231">
        <f ca="1">bdrate(L29:L32,D29:D32,M29:M32,H29:H32)</f>
        <v>4.0967021559201733E-4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27.093352000000003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27.923015999999997</v>
      </c>
      <c r="I40" s="10"/>
      <c r="J40" s="228">
        <f ca="1">H40/D40-1</f>
        <v>-1.3908045132706937E-2</v>
      </c>
      <c r="L40" s="74">
        <f ca="1">INDIRECT($B40&amp;"!"&amp;L$3&amp;"5")</f>
        <v>0.9725471133333331</v>
      </c>
      <c r="M40" s="75">
        <f ca="1">INDIRECT($B40&amp;"!"&amp;M$3&amp;"5")</f>
        <v>0.97582162380952386</v>
      </c>
      <c r="N40" s="76">
        <f ca="1">M40-L40</f>
        <v>3.2745104761907617E-3</v>
      </c>
      <c r="O40" s="226"/>
      <c r="P40" s="228">
        <f ca="1">bdrate(D40:D43,L40:L43,H40:H43,M40:M43)</f>
        <v>-5.3806727344510863E-2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39.027680000000004</v>
      </c>
      <c r="I41" s="10"/>
      <c r="J41" s="228">
        <f ca="1">H41/D41-1</f>
        <v>-5.1032813895086515E-2</v>
      </c>
      <c r="L41" s="74">
        <f ca="1">INDIRECT($B41&amp;"!"&amp;L$3&amp;"6")</f>
        <v>0.98376468238095238</v>
      </c>
      <c r="M41" s="75">
        <f ca="1">INDIRECT($B41&amp;"!"&amp;M$3&amp;"6")</f>
        <v>0.98450436285714304</v>
      </c>
      <c r="N41" s="76">
        <f ca="1">M41-L41</f>
        <v>7.3968047619066279E-4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55.482768</v>
      </c>
      <c r="I42" s="10"/>
      <c r="J42" s="228">
        <f ca="1">H42/D42-1</f>
        <v>-0.10316443665113606</v>
      </c>
      <c r="L42" s="74">
        <f ca="1">INDIRECT($B42&amp;"!"&amp;L$3&amp;"7")</f>
        <v>0.99210457047619049</v>
      </c>
      <c r="M42" s="75">
        <f ca="1">INDIRECT($B42&amp;"!"&amp;M$3&amp;"7")</f>
        <v>0.99028014714285717</v>
      </c>
      <c r="N42" s="76">
        <f ca="1">M42-L42</f>
        <v>-1.8244233333333248E-3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77.242784000000015</v>
      </c>
      <c r="I43" s="10"/>
      <c r="J43" s="228">
        <f ca="1">H43/D43-1</f>
        <v>-0.1457028099657629</v>
      </c>
      <c r="L43" s="74">
        <f ca="1">INDIRECT($B43&amp;"!"&amp;L$3&amp;"8")</f>
        <v>0.99578089857142849</v>
      </c>
      <c r="M43" s="75">
        <f ca="1">INDIRECT($B43&amp;"!"&amp;M$3&amp;"8")</f>
        <v>0.9931514419047619</v>
      </c>
      <c r="N43" s="76">
        <f ca="1">M43-L43</f>
        <v>-2.6294566666665853E-3</v>
      </c>
      <c r="O43" s="226"/>
      <c r="P43" s="231">
        <f ca="1">bdrate(L40:L43,D40:D43,M40:M43,H40:H43)</f>
        <v>6.285524680236243E-4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27.923015999999997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40" width="9" style="210" customWidth="1"/>
    <col min="41" max="16384" width="9" style="210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41</v>
      </c>
      <c r="M3" s="85" t="s">
        <v>42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36.080551999999997</v>
      </c>
      <c r="I7" s="10"/>
      <c r="J7" s="228">
        <f ca="1">H7/D7-1</f>
        <v>-2.57313167936295E-2</v>
      </c>
      <c r="L7" s="74">
        <f ca="1">INDIRECT($B7&amp;"!"&amp;L$3&amp;"5")</f>
        <v>6.6124997733333329E-2</v>
      </c>
      <c r="M7" s="75">
        <f ca="1">INDIRECT($B7&amp;"!"&amp;M$3&amp;"5")</f>
        <v>5.8015276666666678E-2</v>
      </c>
      <c r="N7" s="76">
        <f ca="1">M7-L7</f>
        <v>-8.1097210666666517E-3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49.944600000000008</v>
      </c>
      <c r="I8" s="10"/>
      <c r="J8" s="228">
        <f ca="1">H8/D8-1</f>
        <v>-6.1957115893107262E-2</v>
      </c>
      <c r="L8" s="74">
        <f ca="1">INDIRECT($B8&amp;"!"&amp;L$3&amp;"6")</f>
        <v>4.1026583800000009E-2</v>
      </c>
      <c r="M8" s="75">
        <f ca="1">INDIRECT($B8&amp;"!"&amp;M$3&amp;"6")</f>
        <v>3.7260645000000002E-2</v>
      </c>
      <c r="N8" s="76">
        <f ca="1">M8-L8</f>
        <v>-3.7659388000000071E-3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68.826216000000002</v>
      </c>
      <c r="I9" s="10"/>
      <c r="J9" s="228">
        <f ca="1">H9/D9-1</f>
        <v>-0.10351406378902184</v>
      </c>
      <c r="L9" s="74">
        <f ca="1">INDIRECT($B9&amp;"!"&amp;L$3&amp;"7")</f>
        <v>2.4438632800000002E-2</v>
      </c>
      <c r="M9" s="75">
        <f ca="1">INDIRECT($B9&amp;"!"&amp;M$3&amp;"7")</f>
        <v>2.5788369799999999E-2</v>
      </c>
      <c r="N9" s="76">
        <f ca="1">M9-L9</f>
        <v>1.3497369999999967E-3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93.552303999999992</v>
      </c>
      <c r="I10" s="10"/>
      <c r="J10" s="228">
        <f ca="1">H10/D10-1</f>
        <v>-0.14063467164069099</v>
      </c>
      <c r="L10" s="74">
        <f ca="1">INDIRECT($B10&amp;"!"&amp;L$3&amp;"8")</f>
        <v>1.7444335733333333E-2</v>
      </c>
      <c r="M10" s="75">
        <f ca="1">INDIRECT($B10&amp;"!"&amp;M$3&amp;"8")</f>
        <v>1.9905273533333333E-2</v>
      </c>
      <c r="N10" s="76">
        <f ca="1">M10-L10</f>
        <v>2.4609378000000001E-3</v>
      </c>
      <c r="O10" s="226"/>
      <c r="P10" s="231">
        <f ca="1">bdrate(L7:L10,D7:D10,M7:M10,H7:H10)</f>
        <v>-0.10077686349443526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36.080551999999997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36.929687999999999</v>
      </c>
      <c r="I18" s="10"/>
      <c r="J18" s="228">
        <f ca="1">H18/D18-1</f>
        <v>-2.6762799666297798E-2</v>
      </c>
      <c r="L18" s="74">
        <f ca="1">INDIRECT($B18&amp;"!"&amp;L$3&amp;"5")</f>
        <v>6.8758821599999992E-2</v>
      </c>
      <c r="M18" s="75">
        <f ca="1">INDIRECT($B18&amp;"!"&amp;M$3&amp;"5")</f>
        <v>6.0892489066666666E-2</v>
      </c>
      <c r="N18" s="76">
        <f ca="1">M18-L18</f>
        <v>-7.8663325333333256E-3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51.176952000000007</v>
      </c>
      <c r="I19" s="10"/>
      <c r="J19" s="228">
        <f ca="1">H19/D19-1</f>
        <v>-6.4091358901778306E-2</v>
      </c>
      <c r="L19" s="74">
        <f ca="1">INDIRECT($B19&amp;"!"&amp;L$3&amp;"6")</f>
        <v>4.2517676533333333E-2</v>
      </c>
      <c r="M19" s="75">
        <f ca="1">INDIRECT($B19&amp;"!"&amp;M$3&amp;"6")</f>
        <v>3.8689525600000003E-2</v>
      </c>
      <c r="N19" s="76">
        <f ca="1">M19-L19</f>
        <v>-3.8281509333333297E-3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70.646455999999986</v>
      </c>
      <c r="I20" s="10"/>
      <c r="J20" s="228">
        <f ca="1">H20/D20-1</f>
        <v>-0.10620257954905121</v>
      </c>
      <c r="L20" s="74">
        <f ca="1">INDIRECT($B20&amp;"!"&amp;L$3&amp;"7")</f>
        <v>2.4925761000000001E-2</v>
      </c>
      <c r="M20" s="75">
        <f ca="1">INDIRECT($B20&amp;"!"&amp;M$3&amp;"7")</f>
        <v>2.6221722666666669E-2</v>
      </c>
      <c r="N20" s="76">
        <f ca="1">M20-L20</f>
        <v>1.295961666666668E-3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96.075095999999988</v>
      </c>
      <c r="I21" s="10"/>
      <c r="J21" s="228">
        <f ca="1">H21/D21-1</f>
        <v>-0.14329002411251623</v>
      </c>
      <c r="L21" s="74">
        <f ca="1">INDIRECT($B21&amp;"!"&amp;L$3&amp;"8")</f>
        <v>1.8274979066666665E-2</v>
      </c>
      <c r="M21" s="75">
        <f ca="1">INDIRECT($B21&amp;"!"&amp;M$3&amp;"8")</f>
        <v>2.0872531799999997E-2</v>
      </c>
      <c r="N21" s="76">
        <f ca="1">M21-L21</f>
        <v>2.5975527333333311E-3</v>
      </c>
      <c r="O21" s="226"/>
      <c r="P21" s="231">
        <f ca="1">bdrate(L18:L21,D18:D21,M18:M21,H18:H21)</f>
        <v>-0.10190815780458284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36.929687999999999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27.093352000000003</v>
      </c>
      <c r="I29" s="10"/>
      <c r="J29" s="228">
        <f ca="1">H29/D29-1</f>
        <v>-1.3254910461685698E-2</v>
      </c>
      <c r="L29" s="74">
        <f ca="1">INDIRECT($B29&amp;"!"&amp;L$3&amp;"5")</f>
        <v>6.4074182428571436E-2</v>
      </c>
      <c r="M29" s="75">
        <f ca="1">INDIRECT($B29&amp;"!"&amp;M$3&amp;"5")</f>
        <v>5.9540917809523801E-2</v>
      </c>
      <c r="N29" s="76">
        <f ca="1">M29-L29</f>
        <v>-4.5332646190476347E-3</v>
      </c>
      <c r="O29" s="226"/>
      <c r="P29" s="228">
        <f ca="1">bdrate(D29:D32,L29:L32,H29:H32,M29:M32)</f>
        <v>0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37.804071999999998</v>
      </c>
      <c r="I30" s="10"/>
      <c r="J30" s="228">
        <f ca="1">H30/D30-1</f>
        <v>-4.8518325073281354E-2</v>
      </c>
      <c r="L30" s="74">
        <f ca="1">INDIRECT($B30&amp;"!"&amp;L$3&amp;"6")</f>
        <v>4.3200263047619043E-2</v>
      </c>
      <c r="M30" s="75">
        <f ca="1">INDIRECT($B30&amp;"!"&amp;M$3&amp;"6")</f>
        <v>4.0687687714285707E-2</v>
      </c>
      <c r="N30" s="76">
        <f ca="1">M30-L30</f>
        <v>-2.5125753333333362E-3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53.605311999999998</v>
      </c>
      <c r="I31" s="10"/>
      <c r="J31" s="228">
        <f ca="1">H31/D31-1</f>
        <v>-9.9856824249549891E-2</v>
      </c>
      <c r="L31" s="74">
        <f ca="1">INDIRECT($B31&amp;"!"&amp;L$3&amp;"7")</f>
        <v>2.7228831333333335E-2</v>
      </c>
      <c r="M31" s="75">
        <f ca="1">INDIRECT($B31&amp;"!"&amp;M$3&amp;"7")</f>
        <v>2.7940223619047619E-2</v>
      </c>
      <c r="N31" s="76">
        <f ca="1">M31-L31</f>
        <v>7.1139228571428376E-4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74.599312000000012</v>
      </c>
      <c r="I32" s="10"/>
      <c r="J32" s="228">
        <f ca="1">H32/D32-1</f>
        <v>-0.14245368839358064</v>
      </c>
      <c r="L32" s="74">
        <f ca="1">INDIRECT($B32&amp;"!"&amp;L$3&amp;"8")</f>
        <v>1.4458101000000004E-2</v>
      </c>
      <c r="M32" s="75">
        <f ca="1">INDIRECT($B32&amp;"!"&amp;M$3&amp;"8")</f>
        <v>1.7371124952380954E-2</v>
      </c>
      <c r="N32" s="76">
        <f ca="1">M32-L32</f>
        <v>2.9130239523809491E-3</v>
      </c>
      <c r="O32" s="226"/>
      <c r="P32" s="231">
        <f ca="1">bdrate(L29:L32,D29:D32,M29:M32,H29:H32)</f>
        <v>-0.10223525688364521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27.093352000000003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27.923015999999997</v>
      </c>
      <c r="I40" s="10"/>
      <c r="J40" s="228">
        <f ca="1">H40/D40-1</f>
        <v>-1.3908045132706937E-2</v>
      </c>
      <c r="L40" s="74">
        <f ca="1">INDIRECT($B40&amp;"!"&amp;L$3&amp;"5")</f>
        <v>6.5973396238095255E-2</v>
      </c>
      <c r="M40" s="75">
        <f ca="1">INDIRECT($B40&amp;"!"&amp;M$3&amp;"5")</f>
        <v>6.2227755428571431E-2</v>
      </c>
      <c r="N40" s="76">
        <f ca="1">M40-L40</f>
        <v>-3.7456408095238244E-3</v>
      </c>
      <c r="O40" s="226"/>
      <c r="P40" s="228">
        <f ca="1">bdrate(D40:D43,L40:L43,H40:H43,M40:M43)</f>
        <v>0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39.027680000000004</v>
      </c>
      <c r="I41" s="10"/>
      <c r="J41" s="228">
        <f ca="1">H41/D41-1</f>
        <v>-5.1032813895086515E-2</v>
      </c>
      <c r="L41" s="74">
        <f ca="1">INDIRECT($B41&amp;"!"&amp;L$3&amp;"6")</f>
        <v>4.448833447619048E-2</v>
      </c>
      <c r="M41" s="75">
        <f ca="1">INDIRECT($B41&amp;"!"&amp;M$3&amp;"6")</f>
        <v>4.1794698619047624E-2</v>
      </c>
      <c r="N41" s="76">
        <f ca="1">M41-L41</f>
        <v>-2.6936358571428565E-3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55.482768</v>
      </c>
      <c r="I42" s="10"/>
      <c r="J42" s="228">
        <f ca="1">H42/D42-1</f>
        <v>-0.10316443665113606</v>
      </c>
      <c r="L42" s="74">
        <f ca="1">INDIRECT($B42&amp;"!"&amp;L$3&amp;"7")</f>
        <v>2.7850360190476191E-2</v>
      </c>
      <c r="M42" s="75">
        <f ca="1">INDIRECT($B42&amp;"!"&amp;M$3&amp;"7")</f>
        <v>2.8273191809523802E-2</v>
      </c>
      <c r="N42" s="76">
        <f ca="1">M42-L42</f>
        <v>4.228316190476103E-4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77.242784000000015</v>
      </c>
      <c r="I43" s="10"/>
      <c r="J43" s="228">
        <f ca="1">H43/D43-1</f>
        <v>-0.1457028099657629</v>
      </c>
      <c r="L43" s="74">
        <f ca="1">INDIRECT($B43&amp;"!"&amp;L$3&amp;"8")</f>
        <v>1.5608584595238097E-2</v>
      </c>
      <c r="M43" s="75">
        <f ca="1">INDIRECT($B43&amp;"!"&amp;M$3&amp;"8")</f>
        <v>1.8625600761904764E-2</v>
      </c>
      <c r="N43" s="76">
        <f ca="1">M43-L43</f>
        <v>3.0170161666666674E-3</v>
      </c>
      <c r="O43" s="226"/>
      <c r="P43" s="231">
        <f ca="1">bdrate(L40:L43,D40:D43,M40:M43,H40:H43)</f>
        <v>-0.10516607244205689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27.923015999999997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10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0">
        <f t="shared" si="0"/>
        <v>32.469316800000001</v>
      </c>
      <c r="H5" s="30">
        <f t="shared" si="0"/>
        <v>0.95834516733333319</v>
      </c>
      <c r="I5" s="91">
        <f t="shared" si="0"/>
        <v>0.95456353799999993</v>
      </c>
      <c r="J5" s="91">
        <f t="shared" si="0"/>
        <v>6.6124997733333329E-2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36080.551999999996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28.855451466666672</v>
      </c>
      <c r="Y5" s="30">
        <f t="shared" si="2"/>
        <v>33.721150666666666</v>
      </c>
      <c r="Z5" s="30">
        <f t="shared" si="2"/>
        <v>0.9622685379999999</v>
      </c>
      <c r="AA5" s="91">
        <f t="shared" si="2"/>
        <v>0.96402235200000008</v>
      </c>
      <c r="AB5" s="91">
        <f t="shared" si="2"/>
        <v>5.8015276666666678E-2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-9.0106935210172545E-2</v>
      </c>
      <c r="AN5" s="245">
        <f>bdrate($E5:$E8,G5:G8,$W5:$W8,Y5:Y8)</f>
        <v>-8.4150443895011584E-2</v>
      </c>
      <c r="AO5" s="245">
        <f>bdrate($E5:$E8,H5:H8,$W5:$W8,Z5:Z8)</f>
        <v>-7.5823256383121151E-2</v>
      </c>
      <c r="AP5" s="245">
        <f>bdrate($E5:$E8,I5:I8,$W5:$W8,AA5:AA8)</f>
        <v>-0.11921005269618568</v>
      </c>
      <c r="AQ5" s="246">
        <f>bdrateInverted($E5:$E8,J5:J8,$W5:$W8,AB5:AB8)</f>
        <v>-0.1067355698123964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53243.408000000003</v>
      </c>
      <c r="F6" s="91">
        <f t="shared" si="0"/>
        <v>30.5955504</v>
      </c>
      <c r="G6" s="91">
        <f t="shared" si="0"/>
        <v>35.243102133333331</v>
      </c>
      <c r="H6" s="91">
        <f t="shared" si="0"/>
        <v>0.97572819666666666</v>
      </c>
      <c r="I6" s="91">
        <f t="shared" si="0"/>
        <v>0.97258593333333343</v>
      </c>
      <c r="J6" s="91">
        <f t="shared" si="0"/>
        <v>4.1026583800000009E-2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49944.600000000006</v>
      </c>
      <c r="X6" s="91">
        <f t="shared" si="2"/>
        <v>31.525228200000001</v>
      </c>
      <c r="Y6" s="91">
        <f t="shared" si="2"/>
        <v>35.997784866666663</v>
      </c>
      <c r="Z6" s="91">
        <f t="shared" si="2"/>
        <v>0.97729309800000019</v>
      </c>
      <c r="AA6" s="91">
        <f t="shared" si="2"/>
        <v>0.97756611199999999</v>
      </c>
      <c r="AB6" s="91">
        <f t="shared" si="2"/>
        <v>3.7260645000000002E-2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76773.33600000001</v>
      </c>
      <c r="F7" s="91">
        <f t="shared" si="0"/>
        <v>35.178384000000008</v>
      </c>
      <c r="G7" s="91">
        <f t="shared" si="0"/>
        <v>39.28737146666667</v>
      </c>
      <c r="H7" s="91">
        <f t="shared" si="0"/>
        <v>0.98810945533333316</v>
      </c>
      <c r="I7" s="91">
        <f t="shared" si="0"/>
        <v>0.99038261466666655</v>
      </c>
      <c r="J7" s="91">
        <f t="shared" si="0"/>
        <v>2.4438632800000002E-2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68826.216</v>
      </c>
      <c r="X7" s="91">
        <f t="shared" si="2"/>
        <v>34.23229873333333</v>
      </c>
      <c r="Y7" s="91">
        <f t="shared" si="2"/>
        <v>38.395517333333338</v>
      </c>
      <c r="Z7" s="91">
        <f t="shared" si="2"/>
        <v>0.98619513266666681</v>
      </c>
      <c r="AA7" s="91">
        <f t="shared" si="2"/>
        <v>0.98786601333333346</v>
      </c>
      <c r="AB7" s="91">
        <f t="shared" si="2"/>
        <v>2.5788369799999999E-2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108862.088</v>
      </c>
      <c r="F8" s="91">
        <f t="shared" si="0"/>
        <v>37.847506266666663</v>
      </c>
      <c r="G8" s="91">
        <f t="shared" si="0"/>
        <v>41.929521733333331</v>
      </c>
      <c r="H8" s="91">
        <f t="shared" si="0"/>
        <v>0.99241337466666668</v>
      </c>
      <c r="I8" s="91">
        <f t="shared" si="0"/>
        <v>0.99521364000000001</v>
      </c>
      <c r="J8" s="91">
        <f t="shared" si="0"/>
        <v>1.7444335733333333E-2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93552.303999999989</v>
      </c>
      <c r="X8" s="91">
        <f t="shared" si="2"/>
        <v>35.787499133333327</v>
      </c>
      <c r="Y8" s="91">
        <f t="shared" si="2"/>
        <v>39.835546066666666</v>
      </c>
      <c r="Z8" s="91">
        <f t="shared" si="2"/>
        <v>0.98986790800000002</v>
      </c>
      <c r="AA8" s="91">
        <f t="shared" si="2"/>
        <v>0.99148172533333334</v>
      </c>
      <c r="AB8" s="91">
        <f t="shared" si="2"/>
        <v>1.9905273533333333E-2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5941.2240000000002</v>
      </c>
      <c r="F16" s="167">
        <v>6950.84</v>
      </c>
      <c r="G16" s="167">
        <v>2479.192</v>
      </c>
      <c r="H16" s="167">
        <v>925.62400000000002</v>
      </c>
      <c r="I16" s="167">
        <v>107.456</v>
      </c>
      <c r="J16" s="167">
        <v>11102.456</v>
      </c>
      <c r="K16" s="60">
        <v>7159.68</v>
      </c>
      <c r="L16" s="60">
        <v>2367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5941.2240000000002</v>
      </c>
      <c r="X16" s="167">
        <v>6950.84</v>
      </c>
      <c r="Y16" s="167">
        <v>1550.336</v>
      </c>
      <c r="Z16" s="167">
        <v>919.86400000000003</v>
      </c>
      <c r="AA16" s="167">
        <v>89.152000000000001</v>
      </c>
      <c r="AB16" s="167">
        <v>11102.456</v>
      </c>
      <c r="AC16" s="60">
        <v>7159.68</v>
      </c>
      <c r="AD16" s="60">
        <v>2367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5941.2240000000002</v>
      </c>
      <c r="F17" s="168">
        <v>9208.8799999999992</v>
      </c>
      <c r="G17" s="168">
        <v>6678.36</v>
      </c>
      <c r="H17" s="168">
        <v>3445.2959999999998</v>
      </c>
      <c r="I17" s="168">
        <v>1066.664</v>
      </c>
      <c r="J17" s="168">
        <v>14290.28</v>
      </c>
      <c r="K17" s="62">
        <v>9490.9040000000005</v>
      </c>
      <c r="L17" s="62">
        <v>3121.8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5941.2240000000002</v>
      </c>
      <c r="X17" s="168">
        <v>9208.8799999999992</v>
      </c>
      <c r="Y17" s="168">
        <v>3730.5279999999998</v>
      </c>
      <c r="Z17" s="168">
        <v>3326.2</v>
      </c>
      <c r="AA17" s="168">
        <v>834.78399999999999</v>
      </c>
      <c r="AB17" s="168">
        <v>14290.28</v>
      </c>
      <c r="AC17" s="62">
        <v>9490.9040000000005</v>
      </c>
      <c r="AD17" s="62">
        <v>3121.8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5941.2240000000002</v>
      </c>
      <c r="F18" s="168">
        <v>11523.68</v>
      </c>
      <c r="G18" s="168">
        <v>12327.76</v>
      </c>
      <c r="H18" s="168">
        <v>8552.0319999999992</v>
      </c>
      <c r="I18" s="168">
        <v>5014.3599999999997</v>
      </c>
      <c r="J18" s="168">
        <v>17597.624</v>
      </c>
      <c r="K18" s="62">
        <v>11921.12</v>
      </c>
      <c r="L18" s="62">
        <v>3895.5360000000001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5941.2240000000002</v>
      </c>
      <c r="X18" s="168">
        <v>11523.68</v>
      </c>
      <c r="Y18" s="168">
        <v>6371.7280000000001</v>
      </c>
      <c r="Z18" s="168">
        <v>7759.3440000000001</v>
      </c>
      <c r="AA18" s="168">
        <v>3815.96</v>
      </c>
      <c r="AB18" s="168">
        <v>17597.624</v>
      </c>
      <c r="AC18" s="62">
        <v>11921.12</v>
      </c>
      <c r="AD18" s="62">
        <v>3895.5360000000001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5941.2240000000002</v>
      </c>
      <c r="F19" s="168">
        <v>13726.208000000001</v>
      </c>
      <c r="G19" s="168">
        <v>18542.392</v>
      </c>
      <c r="H19" s="168">
        <v>16488.648000000001</v>
      </c>
      <c r="I19" s="168">
        <v>13983.656000000001</v>
      </c>
      <c r="J19" s="168">
        <v>21009.472000000002</v>
      </c>
      <c r="K19" s="62">
        <v>14466.144</v>
      </c>
      <c r="L19" s="62">
        <v>4704.3440000000001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5941.2240000000002</v>
      </c>
      <c r="X19" s="168">
        <v>13726.208000000001</v>
      </c>
      <c r="Y19" s="168">
        <v>9198.9519999999993</v>
      </c>
      <c r="Z19" s="168">
        <v>13901.992</v>
      </c>
      <c r="AA19" s="168">
        <v>10603.968000000001</v>
      </c>
      <c r="AB19" s="168">
        <v>21009.472000000002</v>
      </c>
      <c r="AC19" s="62">
        <v>14466.144</v>
      </c>
      <c r="AD19" s="62">
        <v>4704.3440000000001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36080.551999999996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49944.600000000006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68826.216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93552.303999999989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26.798352000000001</v>
      </c>
      <c r="G33" s="97">
        <v>32.055731000000002</v>
      </c>
      <c r="H33" s="97">
        <v>0.95811588999999997</v>
      </c>
      <c r="I33" s="60">
        <v>0.95013263999999997</v>
      </c>
      <c r="J33" s="60">
        <v>7.0629709999999998E-2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28.706278999999999</v>
      </c>
      <c r="Y33" s="97">
        <v>33.551203999999998</v>
      </c>
      <c r="Z33" s="97">
        <v>0.96276337000000001</v>
      </c>
      <c r="AA33" s="60">
        <v>0.96284877999999996</v>
      </c>
      <c r="AB33" s="60">
        <v>6.0544856000000001E-2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1.9079269999999973</v>
      </c>
      <c r="AN33" s="96">
        <f t="shared" ref="AN33:AN96" si="5">IF(OR(Y33="",G33=""),"",Y33-G33)</f>
        <v>1.4954729999999969</v>
      </c>
      <c r="AO33" s="96">
        <f t="shared" ref="AO33:AO96" si="6">IF(OR(Z33="",H33=""),"",Z33-H33)</f>
        <v>4.6474800000000371E-3</v>
      </c>
      <c r="AP33" s="96">
        <f t="shared" ref="AP33:AP96" si="7">IF(OR(AA33="",I33=""),"",AA33-I33)</f>
        <v>1.2716139999999987E-2</v>
      </c>
      <c r="AQ33" s="121">
        <f t="shared" ref="AQ33:AQ96" si="8">IF(OR(AB33="",J33=""),"",AB33-J33)</f>
        <v>-1.0084853999999997E-2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30.683052</v>
      </c>
      <c r="G34" s="190">
        <v>35.189309000000002</v>
      </c>
      <c r="H34" s="190">
        <v>0.97566372999999995</v>
      </c>
      <c r="I34" s="62">
        <v>0.97241995999999997</v>
      </c>
      <c r="J34" s="62">
        <v>4.3773934E-2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31.637608</v>
      </c>
      <c r="Y34" s="190">
        <v>36.007851000000002</v>
      </c>
      <c r="Z34" s="190">
        <v>0.97745183000000002</v>
      </c>
      <c r="AA34" s="62">
        <v>0.97606280000000001</v>
      </c>
      <c r="AB34" s="62">
        <v>3.9051488000000002E-2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0.95455600000000018</v>
      </c>
      <c r="AN34" s="122">
        <f t="shared" si="5"/>
        <v>0.81854200000000077</v>
      </c>
      <c r="AO34" s="122">
        <f t="shared" si="6"/>
        <v>1.7881000000000702E-3</v>
      </c>
      <c r="AP34" s="122">
        <f t="shared" si="7"/>
        <v>3.642840000000036E-3</v>
      </c>
      <c r="AQ34" s="88">
        <f t="shared" si="8"/>
        <v>-4.7224459999999982E-3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35.245213</v>
      </c>
      <c r="G35" s="190">
        <v>39.325405000000003</v>
      </c>
      <c r="H35" s="190">
        <v>0.98802478000000005</v>
      </c>
      <c r="I35" s="62">
        <v>0.99024721999999998</v>
      </c>
      <c r="J35" s="62">
        <v>2.5878713000000001E-2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34.359484000000002</v>
      </c>
      <c r="Y35" s="190">
        <v>38.484405000000002</v>
      </c>
      <c r="Z35" s="190">
        <v>0.98656314000000001</v>
      </c>
      <c r="AA35" s="62">
        <v>0.98825841999999997</v>
      </c>
      <c r="AB35" s="62">
        <v>2.6492251000000001E-2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-0.88572899999999777</v>
      </c>
      <c r="AN35" s="122">
        <f t="shared" si="5"/>
        <v>-0.84100000000000108</v>
      </c>
      <c r="AO35" s="122">
        <f t="shared" si="6"/>
        <v>-1.4616400000000418E-3</v>
      </c>
      <c r="AP35" s="122">
        <f t="shared" si="7"/>
        <v>-1.9888000000000128E-3</v>
      </c>
      <c r="AQ35" s="88">
        <f t="shared" si="8"/>
        <v>6.1353800000000028E-4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37.978982000000002</v>
      </c>
      <c r="G36" s="190">
        <v>42.071568999999997</v>
      </c>
      <c r="H36" s="190">
        <v>0.99232673999999998</v>
      </c>
      <c r="I36" s="62">
        <v>0.99516832</v>
      </c>
      <c r="J36" s="62">
        <v>1.8133216000000001E-2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35.973905999999999</v>
      </c>
      <c r="Y36" s="190">
        <v>40.024811</v>
      </c>
      <c r="Z36" s="190">
        <v>0.99014259999999998</v>
      </c>
      <c r="AA36" s="62">
        <v>0.99207898999999999</v>
      </c>
      <c r="AB36" s="62">
        <v>2.0131221000000001E-2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-2.0050760000000025</v>
      </c>
      <c r="AN36" s="122">
        <f t="shared" si="5"/>
        <v>-2.046757999999997</v>
      </c>
      <c r="AO36" s="122">
        <f t="shared" si="6"/>
        <v>-2.1841400000000011E-3</v>
      </c>
      <c r="AP36" s="122">
        <f t="shared" si="7"/>
        <v>-3.0893300000000012E-3</v>
      </c>
      <c r="AQ36" s="88">
        <f t="shared" si="8"/>
        <v>1.9980050000000006E-3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27.159337000000001</v>
      </c>
      <c r="G38" s="97">
        <v>32.313654</v>
      </c>
      <c r="H38" s="97">
        <v>0.95913261000000005</v>
      </c>
      <c r="I38" s="60">
        <v>0.95348164999999996</v>
      </c>
      <c r="J38" s="60">
        <v>6.7650589999999997E-2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28.915942000000001</v>
      </c>
      <c r="Y38" s="97">
        <v>33.699917999999997</v>
      </c>
      <c r="Z38" s="97">
        <v>0.96371980999999995</v>
      </c>
      <c r="AA38" s="60">
        <v>0.96437888999999999</v>
      </c>
      <c r="AB38" s="60">
        <v>5.8233093E-2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1.7566050000000004</v>
      </c>
      <c r="AN38" s="96">
        <f t="shared" si="5"/>
        <v>1.3862639999999971</v>
      </c>
      <c r="AO38" s="96">
        <f t="shared" si="6"/>
        <v>4.5871999999999025E-3</v>
      </c>
      <c r="AP38" s="96">
        <f t="shared" si="7"/>
        <v>1.089724000000003E-2</v>
      </c>
      <c r="AQ38" s="121">
        <f t="shared" si="8"/>
        <v>-9.4174969999999969E-3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30.61149</v>
      </c>
      <c r="G39" s="190">
        <v>35.125819999999997</v>
      </c>
      <c r="H39" s="190">
        <v>0.97554803000000001</v>
      </c>
      <c r="I39" s="62">
        <v>0.97318223999999998</v>
      </c>
      <c r="J39" s="62">
        <v>4.2904842999999998E-2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31.605965999999999</v>
      </c>
      <c r="Y39" s="190">
        <v>35.984530999999997</v>
      </c>
      <c r="Z39" s="190">
        <v>0.97754284999999996</v>
      </c>
      <c r="AA39" s="62">
        <v>0.97700387</v>
      </c>
      <c r="AB39" s="62">
        <v>3.8036115000000002E-2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0.99447599999999881</v>
      </c>
      <c r="AN39" s="122">
        <f t="shared" si="5"/>
        <v>0.85871099999999956</v>
      </c>
      <c r="AO39" s="122">
        <f t="shared" si="6"/>
        <v>1.9948199999999527E-3</v>
      </c>
      <c r="AP39" s="122">
        <f t="shared" si="7"/>
        <v>3.8216300000000203E-3</v>
      </c>
      <c r="AQ39" s="88">
        <f t="shared" si="8"/>
        <v>-4.8687279999999958E-3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35.104630999999998</v>
      </c>
      <c r="G40" s="190">
        <v>39.205773999999998</v>
      </c>
      <c r="H40" s="190">
        <v>0.98771967999999999</v>
      </c>
      <c r="I40" s="62">
        <v>0.99035198999999996</v>
      </c>
      <c r="J40" s="62">
        <v>2.6291702E-2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34.257083000000002</v>
      </c>
      <c r="Y40" s="190">
        <v>38.401750999999997</v>
      </c>
      <c r="Z40" s="190">
        <v>0.98629425999999998</v>
      </c>
      <c r="AA40" s="62">
        <v>0.98846367000000002</v>
      </c>
      <c r="AB40" s="62">
        <v>2.6688855000000001E-2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-0.84754799999999619</v>
      </c>
      <c r="AN40" s="122">
        <f t="shared" si="5"/>
        <v>-0.80402300000000082</v>
      </c>
      <c r="AO40" s="122">
        <f t="shared" si="6"/>
        <v>-1.4254200000000106E-3</v>
      </c>
      <c r="AP40" s="122">
        <f t="shared" si="7"/>
        <v>-1.8883199999999434E-3</v>
      </c>
      <c r="AQ40" s="88">
        <f t="shared" si="8"/>
        <v>3.9715300000000078E-4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37.772447</v>
      </c>
      <c r="G41" s="190">
        <v>41.887455000000003</v>
      </c>
      <c r="H41" s="190">
        <v>0.99197133000000004</v>
      </c>
      <c r="I41" s="62">
        <v>0.99512036000000004</v>
      </c>
      <c r="J41" s="62">
        <v>1.8893559000000001E-2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35.879761999999999</v>
      </c>
      <c r="Y41" s="190">
        <v>39.940904000000003</v>
      </c>
      <c r="Z41" s="190">
        <v>0.98983125999999999</v>
      </c>
      <c r="AA41" s="62">
        <v>0.99208297999999995</v>
      </c>
      <c r="AB41" s="62">
        <v>2.0656507000000001E-2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-1.8926850000000002</v>
      </c>
      <c r="AN41" s="122">
        <f t="shared" si="5"/>
        <v>-1.9465509999999995</v>
      </c>
      <c r="AO41" s="122">
        <f t="shared" si="6"/>
        <v>-2.1400700000000494E-3</v>
      </c>
      <c r="AP41" s="122">
        <f t="shared" si="7"/>
        <v>-3.0373800000000895E-3</v>
      </c>
      <c r="AQ41" s="88">
        <f t="shared" si="8"/>
        <v>1.7629480000000003E-3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27.477209999999999</v>
      </c>
      <c r="G43" s="97">
        <v>32.542786</v>
      </c>
      <c r="H43" s="97">
        <v>0.95888883000000003</v>
      </c>
      <c r="I43" s="60">
        <v>0.95585540999999996</v>
      </c>
      <c r="J43" s="60">
        <v>6.4157270000000002E-2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29.094321000000001</v>
      </c>
      <c r="Y43" s="97">
        <v>33.823937000000001</v>
      </c>
      <c r="Z43" s="97">
        <v>0.96299097</v>
      </c>
      <c r="AA43" s="60">
        <v>0.96525159000000005</v>
      </c>
      <c r="AB43" s="60">
        <v>5.6135245E-2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1.6171110000000013</v>
      </c>
      <c r="AN43" s="96">
        <f t="shared" si="5"/>
        <v>1.2811510000000013</v>
      </c>
      <c r="AO43" s="96">
        <f t="shared" si="6"/>
        <v>4.1021399999999764E-3</v>
      </c>
      <c r="AP43" s="96">
        <f t="shared" si="7"/>
        <v>9.3961800000000872E-3</v>
      </c>
      <c r="AQ43" s="121">
        <f t="shared" si="8"/>
        <v>-8.0220250000000021E-3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30.589345999999999</v>
      </c>
      <c r="G44" s="190">
        <v>35.108955000000002</v>
      </c>
      <c r="H44" s="190">
        <v>0.97530395000000003</v>
      </c>
      <c r="I44" s="62">
        <v>0.97331946999999996</v>
      </c>
      <c r="J44" s="62">
        <v>4.0674977000000001E-2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31.553764000000001</v>
      </c>
      <c r="Y44" s="190">
        <v>35.939303000000002</v>
      </c>
      <c r="Z44" s="190">
        <v>0.97724261999999995</v>
      </c>
      <c r="AA44" s="62">
        <v>0.97852815000000004</v>
      </c>
      <c r="AB44" s="62">
        <v>3.6687395999999997E-2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0.964418000000002</v>
      </c>
      <c r="AN44" s="122">
        <f t="shared" si="5"/>
        <v>0.83034800000000075</v>
      </c>
      <c r="AO44" s="122">
        <f t="shared" si="6"/>
        <v>1.9386699999999202E-3</v>
      </c>
      <c r="AP44" s="122">
        <f t="shared" si="7"/>
        <v>5.2086800000000766E-3</v>
      </c>
      <c r="AQ44" s="88">
        <f t="shared" si="8"/>
        <v>-3.9875810000000039E-3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35.185032</v>
      </c>
      <c r="G45" s="190">
        <v>39.267468999999998</v>
      </c>
      <c r="H45" s="190">
        <v>0.98778604999999997</v>
      </c>
      <c r="I45" s="62">
        <v>0.99048533999999999</v>
      </c>
      <c r="J45" s="62">
        <v>2.4693282E-2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34.240369999999999</v>
      </c>
      <c r="Y45" s="190">
        <v>38.384551000000002</v>
      </c>
      <c r="Z45" s="190">
        <v>0.98616853000000004</v>
      </c>
      <c r="AA45" s="62">
        <v>0.98817781000000005</v>
      </c>
      <c r="AB45" s="62">
        <v>2.5446015999999998E-2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-0.944662000000001</v>
      </c>
      <c r="AN45" s="122">
        <f t="shared" si="5"/>
        <v>-0.88291799999999654</v>
      </c>
      <c r="AO45" s="122">
        <f t="shared" si="6"/>
        <v>-1.6175199999999279E-3</v>
      </c>
      <c r="AP45" s="122">
        <f t="shared" si="7"/>
        <v>-2.3075299999999466E-3</v>
      </c>
      <c r="AQ45" s="88">
        <f t="shared" si="8"/>
        <v>7.5273399999999796E-4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37.841410000000003</v>
      </c>
      <c r="G46" s="190">
        <v>41.947217999999999</v>
      </c>
      <c r="H46" s="190">
        <v>0.99210927000000004</v>
      </c>
      <c r="I46" s="62">
        <v>0.99513594999999999</v>
      </c>
      <c r="J46" s="62">
        <v>1.7724297999999999E-2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35.820253000000001</v>
      </c>
      <c r="Y46" s="190">
        <v>39.878697000000003</v>
      </c>
      <c r="Z46" s="190">
        <v>0.98980520000000005</v>
      </c>
      <c r="AA46" s="62">
        <v>0.99156842999999995</v>
      </c>
      <c r="AB46" s="62">
        <v>1.9720491E-2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-2.0211570000000023</v>
      </c>
      <c r="AN46" s="122">
        <f t="shared" si="5"/>
        <v>-2.0685209999999969</v>
      </c>
      <c r="AO46" s="122">
        <f t="shared" si="6"/>
        <v>-2.3040699999999914E-3</v>
      </c>
      <c r="AP46" s="122">
        <f t="shared" si="7"/>
        <v>-3.5675200000000462E-3</v>
      </c>
      <c r="AQ46" s="88">
        <f t="shared" si="8"/>
        <v>1.9961930000000003E-3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27.528514999999999</v>
      </c>
      <c r="G48" s="97">
        <v>32.573352999999997</v>
      </c>
      <c r="H48" s="97">
        <v>0.95889004</v>
      </c>
      <c r="I48" s="60">
        <v>0.95552258000000001</v>
      </c>
      <c r="J48" s="60">
        <v>6.5119479999999993E-2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29.066701999999999</v>
      </c>
      <c r="Y48" s="97">
        <v>33.789997999999997</v>
      </c>
      <c r="Z48" s="97">
        <v>0.96279846999999996</v>
      </c>
      <c r="AA48" s="60">
        <v>0.96510443999999995</v>
      </c>
      <c r="AB48" s="60">
        <v>5.7574008000000003E-2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1.5381870000000006</v>
      </c>
      <c r="AN48" s="96">
        <f t="shared" si="5"/>
        <v>1.2166449999999998</v>
      </c>
      <c r="AO48" s="96">
        <f t="shared" si="6"/>
        <v>3.9084299999999628E-3</v>
      </c>
      <c r="AP48" s="96">
        <f t="shared" si="7"/>
        <v>9.5818599999999421E-3</v>
      </c>
      <c r="AQ48" s="121">
        <f t="shared" si="8"/>
        <v>-7.5454719999999906E-3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30.364004000000001</v>
      </c>
      <c r="G49" s="190">
        <v>34.911343000000002</v>
      </c>
      <c r="H49" s="190">
        <v>0.97482051000000003</v>
      </c>
      <c r="I49" s="62">
        <v>0.97217198999999999</v>
      </c>
      <c r="J49" s="62">
        <v>4.2943962000000002E-2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31.312123</v>
      </c>
      <c r="Y49" s="190">
        <v>35.730286999999997</v>
      </c>
      <c r="Z49" s="190">
        <v>0.97688065999999996</v>
      </c>
      <c r="AA49" s="62">
        <v>0.97749699999999995</v>
      </c>
      <c r="AB49" s="62">
        <v>3.8458659999999999E-2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0.94811899999999838</v>
      </c>
      <c r="AN49" s="122">
        <f t="shared" si="5"/>
        <v>0.81894399999999479</v>
      </c>
      <c r="AO49" s="122">
        <f t="shared" si="6"/>
        <v>2.0601499999999273E-3</v>
      </c>
      <c r="AP49" s="122">
        <f t="shared" si="7"/>
        <v>5.3250099999999634E-3</v>
      </c>
      <c r="AQ49" s="88">
        <f t="shared" si="8"/>
        <v>-4.4853020000000035E-3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35.178787999999997</v>
      </c>
      <c r="G50" s="190">
        <v>39.253574999999998</v>
      </c>
      <c r="H50" s="190">
        <v>0.98766487000000003</v>
      </c>
      <c r="I50" s="62">
        <v>0.99047030999999996</v>
      </c>
      <c r="J50" s="62">
        <v>2.5777917000000001E-2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34.156863000000001</v>
      </c>
      <c r="Y50" s="190">
        <v>38.309770999999998</v>
      </c>
      <c r="Z50" s="190">
        <v>0.98596859000000003</v>
      </c>
      <c r="AA50" s="62">
        <v>0.98785416999999998</v>
      </c>
      <c r="AB50" s="62">
        <v>2.6486632999999999E-2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-1.021924999999996</v>
      </c>
      <c r="AN50" s="122">
        <f t="shared" si="5"/>
        <v>-0.94380400000000009</v>
      </c>
      <c r="AO50" s="122">
        <f t="shared" si="6"/>
        <v>-1.6962799999999945E-3</v>
      </c>
      <c r="AP50" s="122">
        <f t="shared" si="7"/>
        <v>-2.616139999999989E-3</v>
      </c>
      <c r="AQ50" s="88">
        <f t="shared" si="8"/>
        <v>7.0871599999999813E-4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37.787498999999997</v>
      </c>
      <c r="G51" s="190">
        <v>41.886262000000002</v>
      </c>
      <c r="H51" s="190">
        <v>0.99195458999999997</v>
      </c>
      <c r="I51" s="62">
        <v>0.99506357999999995</v>
      </c>
      <c r="J51" s="62">
        <v>1.8612420000000001E-2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35.653689999999997</v>
      </c>
      <c r="Y51" s="190">
        <v>39.720095999999998</v>
      </c>
      <c r="Z51" s="190">
        <v>0.98965937000000004</v>
      </c>
      <c r="AA51" s="62">
        <v>0.99108304000000003</v>
      </c>
      <c r="AB51" s="62">
        <v>2.0377137E-2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-2.1338089999999994</v>
      </c>
      <c r="AN51" s="122">
        <f t="shared" si="5"/>
        <v>-2.166166000000004</v>
      </c>
      <c r="AO51" s="122">
        <f t="shared" si="6"/>
        <v>-2.2952199999999312E-3</v>
      </c>
      <c r="AP51" s="122">
        <f t="shared" si="7"/>
        <v>-3.9805399999999214E-3</v>
      </c>
      <c r="AQ51" s="88">
        <f t="shared" si="8"/>
        <v>1.764716999999999E-3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27.637274999999999</v>
      </c>
      <c r="G53" s="97">
        <v>32.603611000000001</v>
      </c>
      <c r="H53" s="97">
        <v>0.95685091</v>
      </c>
      <c r="I53" s="60">
        <v>0.95639452000000003</v>
      </c>
      <c r="J53" s="60">
        <v>6.8590330000000005E-2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29.034766999999999</v>
      </c>
      <c r="Y53" s="97">
        <v>33.703864000000003</v>
      </c>
      <c r="Z53" s="97">
        <v>0.96030112999999995</v>
      </c>
      <c r="AA53" s="60">
        <v>0.96535671999999995</v>
      </c>
      <c r="AB53" s="60">
        <v>6.1413799999999998E-2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1.3974919999999997</v>
      </c>
      <c r="AN53" s="96">
        <f t="shared" si="5"/>
        <v>1.1002530000000021</v>
      </c>
      <c r="AO53" s="96">
        <f t="shared" si="6"/>
        <v>3.4502199999999483E-3</v>
      </c>
      <c r="AP53" s="96">
        <f t="shared" si="7"/>
        <v>8.9621999999999202E-3</v>
      </c>
      <c r="AQ53" s="121">
        <f t="shared" si="8"/>
        <v>-7.1765300000000073E-3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30.342054999999998</v>
      </c>
      <c r="G54" s="190">
        <v>34.873162999999998</v>
      </c>
      <c r="H54" s="190">
        <v>0.97403954999999998</v>
      </c>
      <c r="I54" s="62">
        <v>0.97253383000000004</v>
      </c>
      <c r="J54" s="62">
        <v>4.5010433000000002E-2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31.232796</v>
      </c>
      <c r="Y54" s="190">
        <v>35.626581999999999</v>
      </c>
      <c r="Z54" s="190">
        <v>0.97593940999999995</v>
      </c>
      <c r="AA54" s="62">
        <v>0.97765398999999997</v>
      </c>
      <c r="AB54" s="62">
        <v>4.0512065999999999E-2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0.890741000000002</v>
      </c>
      <c r="AN54" s="122">
        <f t="shared" si="5"/>
        <v>0.75341900000000095</v>
      </c>
      <c r="AO54" s="122">
        <f t="shared" si="6"/>
        <v>1.8998599999999755E-3</v>
      </c>
      <c r="AP54" s="122">
        <f t="shared" si="7"/>
        <v>5.1201599999999292E-3</v>
      </c>
      <c r="AQ54" s="88">
        <f t="shared" si="8"/>
        <v>-4.4983670000000031E-3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34.994120000000002</v>
      </c>
      <c r="G55" s="190">
        <v>39.061014999999998</v>
      </c>
      <c r="H55" s="190">
        <v>0.98708828999999998</v>
      </c>
      <c r="I55" s="62">
        <v>0.99036941000000001</v>
      </c>
      <c r="J55" s="62">
        <v>2.7586917999999998E-2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33.951690999999997</v>
      </c>
      <c r="Y55" s="190">
        <v>38.084963999999999</v>
      </c>
      <c r="Z55" s="190">
        <v>0.98524480000000003</v>
      </c>
      <c r="AA55" s="62">
        <v>0.98758237999999998</v>
      </c>
      <c r="AB55" s="62">
        <v>2.8222210000000001E-2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-1.0424290000000056</v>
      </c>
      <c r="AN55" s="122">
        <f t="shared" si="5"/>
        <v>-0.97605099999999823</v>
      </c>
      <c r="AO55" s="122">
        <f t="shared" si="6"/>
        <v>-1.8434899999999477E-3</v>
      </c>
      <c r="AP55" s="122">
        <f t="shared" si="7"/>
        <v>-2.7870300000000237E-3</v>
      </c>
      <c r="AQ55" s="88">
        <f t="shared" si="8"/>
        <v>6.3529200000000258E-4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37.432068999999998</v>
      </c>
      <c r="G56" s="190">
        <v>41.503722000000003</v>
      </c>
      <c r="H56" s="190">
        <v>0.99142965999999999</v>
      </c>
      <c r="I56" s="62">
        <v>0.99482473000000005</v>
      </c>
      <c r="J56" s="62">
        <v>1.9992592E-2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35.330092</v>
      </c>
      <c r="Y56" s="190">
        <v>39.378787000000003</v>
      </c>
      <c r="Z56" s="190">
        <v>0.98894086000000003</v>
      </c>
      <c r="AA56" s="62">
        <v>0.99072130999999997</v>
      </c>
      <c r="AB56" s="62">
        <v>2.1988127E-2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-2.101976999999998</v>
      </c>
      <c r="AN56" s="122">
        <f t="shared" si="5"/>
        <v>-2.1249350000000007</v>
      </c>
      <c r="AO56" s="122">
        <f t="shared" si="6"/>
        <v>-2.4887999999999577E-3</v>
      </c>
      <c r="AP56" s="122">
        <f t="shared" si="7"/>
        <v>-4.1034200000000798E-3</v>
      </c>
      <c r="AQ56" s="88">
        <f t="shared" si="8"/>
        <v>1.9955349999999997E-3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26.894822000000001</v>
      </c>
      <c r="G58" s="97">
        <v>32.264718000000002</v>
      </c>
      <c r="H58" s="97">
        <v>0.95867438000000005</v>
      </c>
      <c r="I58" s="60">
        <v>0.95391572999999996</v>
      </c>
      <c r="J58" s="60">
        <v>6.9243559999999996E-2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28.697067000000001</v>
      </c>
      <c r="Y58" s="97">
        <v>33.676316999999997</v>
      </c>
      <c r="Z58" s="97">
        <v>0.96286041</v>
      </c>
      <c r="AA58" s="60">
        <v>0.96470327</v>
      </c>
      <c r="AB58" s="60">
        <v>5.9282700000000001E-2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1.8022449999999992</v>
      </c>
      <c r="AN58" s="96">
        <f t="shared" si="5"/>
        <v>1.4115989999999954</v>
      </c>
      <c r="AO58" s="96">
        <f t="shared" si="6"/>
        <v>4.1860299999999517E-3</v>
      </c>
      <c r="AP58" s="96">
        <f t="shared" si="7"/>
        <v>1.078754000000004E-2</v>
      </c>
      <c r="AQ58" s="121">
        <f t="shared" si="8"/>
        <v>-9.960859999999995E-3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30.816381</v>
      </c>
      <c r="G59" s="190">
        <v>35.493073000000003</v>
      </c>
      <c r="H59" s="190">
        <v>0.97644447999999995</v>
      </c>
      <c r="I59" s="62">
        <v>0.97494440999999998</v>
      </c>
      <c r="J59" s="62">
        <v>4.1013528E-2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31.792859</v>
      </c>
      <c r="Y59" s="190">
        <v>36.285065000000003</v>
      </c>
      <c r="Z59" s="190">
        <v>0.97791229000000002</v>
      </c>
      <c r="AA59" s="62">
        <v>0.98007443999999999</v>
      </c>
      <c r="AB59" s="62">
        <v>3.7168766999999998E-2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0.97647800000000018</v>
      </c>
      <c r="AN59" s="122">
        <f t="shared" si="5"/>
        <v>0.79199200000000047</v>
      </c>
      <c r="AO59" s="122">
        <f t="shared" si="6"/>
        <v>1.4678100000000693E-3</v>
      </c>
      <c r="AP59" s="122">
        <f t="shared" si="7"/>
        <v>5.1300300000000076E-3</v>
      </c>
      <c r="AQ59" s="88">
        <f t="shared" si="8"/>
        <v>-3.8447610000000021E-3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35.293846000000002</v>
      </c>
      <c r="G60" s="190">
        <v>39.390680000000003</v>
      </c>
      <c r="H60" s="190">
        <v>0.98864724999999998</v>
      </c>
      <c r="I60" s="62">
        <v>0.99094232000000004</v>
      </c>
      <c r="J60" s="62">
        <v>2.3807272000000001E-2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34.513941000000003</v>
      </c>
      <c r="Y60" s="190">
        <v>38.648479999999999</v>
      </c>
      <c r="Z60" s="190">
        <v>0.98673449999999996</v>
      </c>
      <c r="AA60" s="62">
        <v>0.98933294000000005</v>
      </c>
      <c r="AB60" s="62">
        <v>2.536043E-2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-0.7799049999999994</v>
      </c>
      <c r="AN60" s="122">
        <f t="shared" si="5"/>
        <v>-0.74220000000000397</v>
      </c>
      <c r="AO60" s="122">
        <f t="shared" si="6"/>
        <v>-1.9127500000000186E-3</v>
      </c>
      <c r="AP60" s="122">
        <f t="shared" si="7"/>
        <v>-1.6093799999999936E-3</v>
      </c>
      <c r="AQ60" s="88">
        <f t="shared" si="8"/>
        <v>1.5531579999999989E-3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37.956538999999999</v>
      </c>
      <c r="G61" s="190">
        <v>42.040222</v>
      </c>
      <c r="H61" s="190">
        <v>0.99285303000000003</v>
      </c>
      <c r="I61" s="62">
        <v>0.99569479000000005</v>
      </c>
      <c r="J61" s="62">
        <v>1.6822651000000001E-2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36.103895999999999</v>
      </c>
      <c r="Y61" s="190">
        <v>40.139722999999996</v>
      </c>
      <c r="Z61" s="190">
        <v>0.9903438</v>
      </c>
      <c r="AA61" s="62">
        <v>0.99295358</v>
      </c>
      <c r="AB61" s="62">
        <v>1.9559013E-2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-1.8526430000000005</v>
      </c>
      <c r="AN61" s="122">
        <f t="shared" si="5"/>
        <v>-1.9004990000000035</v>
      </c>
      <c r="AO61" s="122">
        <f t="shared" si="6"/>
        <v>-2.5092300000000289E-3</v>
      </c>
      <c r="AP61" s="122">
        <f t="shared" si="7"/>
        <v>-2.7412100000000494E-3</v>
      </c>
      <c r="AQ61" s="88">
        <f t="shared" si="8"/>
        <v>2.7363619999999991E-3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27.080069000000002</v>
      </c>
      <c r="G63" s="97">
        <v>32.41377</v>
      </c>
      <c r="H63" s="97">
        <v>0.95950606000000005</v>
      </c>
      <c r="I63" s="60">
        <v>0.95407178000000004</v>
      </c>
      <c r="J63" s="60">
        <v>6.5351699999999999E-2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28.784994999999999</v>
      </c>
      <c r="Y63" s="97">
        <v>33.752687000000002</v>
      </c>
      <c r="Z63" s="97">
        <v>0.96380374000000002</v>
      </c>
      <c r="AA63" s="60">
        <v>0.96341078000000002</v>
      </c>
      <c r="AB63" s="60">
        <v>5.6243910000000001E-2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1.7049259999999968</v>
      </c>
      <c r="AN63" s="96">
        <f t="shared" si="5"/>
        <v>1.3389170000000021</v>
      </c>
      <c r="AO63" s="96">
        <f t="shared" si="6"/>
        <v>4.2976799999999704E-3</v>
      </c>
      <c r="AP63" s="96">
        <f t="shared" si="7"/>
        <v>9.3389999999999862E-3</v>
      </c>
      <c r="AQ63" s="121">
        <f t="shared" si="8"/>
        <v>-9.1077899999999976E-3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30.646644999999999</v>
      </c>
      <c r="G64" s="190">
        <v>35.377361000000001</v>
      </c>
      <c r="H64" s="190">
        <v>0.97647065</v>
      </c>
      <c r="I64" s="62">
        <v>0.97207644000000004</v>
      </c>
      <c r="J64" s="62">
        <v>3.9864033E-2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31.652913000000002</v>
      </c>
      <c r="Y64" s="190">
        <v>36.180391</v>
      </c>
      <c r="Z64" s="190">
        <v>0.97815107000000001</v>
      </c>
      <c r="AA64" s="62">
        <v>0.97766902</v>
      </c>
      <c r="AB64" s="62">
        <v>3.5891667000000002E-2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1.0062680000000022</v>
      </c>
      <c r="AN64" s="122">
        <f t="shared" si="5"/>
        <v>0.80302999999999969</v>
      </c>
      <c r="AO64" s="122">
        <f t="shared" si="6"/>
        <v>1.6804200000000158E-3</v>
      </c>
      <c r="AP64" s="122">
        <f t="shared" si="7"/>
        <v>5.5925799999999581E-3</v>
      </c>
      <c r="AQ64" s="88">
        <f t="shared" si="8"/>
        <v>-3.972365999999998E-3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35.304288999999997</v>
      </c>
      <c r="G65" s="190">
        <v>39.427394</v>
      </c>
      <c r="H65" s="190">
        <v>0.98858228000000004</v>
      </c>
      <c r="I65" s="62">
        <v>0.99053734999999998</v>
      </c>
      <c r="J65" s="62">
        <v>2.3588745000000001E-2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34.482385000000001</v>
      </c>
      <c r="Y65" s="190">
        <v>38.636237999999999</v>
      </c>
      <c r="Z65" s="190">
        <v>0.98677793999999996</v>
      </c>
      <c r="AA65" s="62">
        <v>0.98791700999999998</v>
      </c>
      <c r="AB65" s="62">
        <v>2.5110593E-2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-0.82190399999999642</v>
      </c>
      <c r="AN65" s="122">
        <f t="shared" si="5"/>
        <v>-0.79115600000000086</v>
      </c>
      <c r="AO65" s="122">
        <f t="shared" si="6"/>
        <v>-1.8043400000000709E-3</v>
      </c>
      <c r="AP65" s="122">
        <f t="shared" si="7"/>
        <v>-2.6203399999999988E-3</v>
      </c>
      <c r="AQ65" s="88">
        <f t="shared" si="8"/>
        <v>1.5218479999999993E-3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37.940697999999998</v>
      </c>
      <c r="G66" s="190">
        <v>42.042659999999998</v>
      </c>
      <c r="H66" s="190">
        <v>0.99273867999999998</v>
      </c>
      <c r="I66" s="62">
        <v>0.99535589000000002</v>
      </c>
      <c r="J66" s="62">
        <v>1.67075E-2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36.051426999999997</v>
      </c>
      <c r="Y66" s="190">
        <v>40.083033999999998</v>
      </c>
      <c r="Z66" s="190">
        <v>0.99034805999999997</v>
      </c>
      <c r="AA66" s="62">
        <v>0.99137960999999997</v>
      </c>
      <c r="AB66" s="62">
        <v>1.9178945999999999E-2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-1.8892710000000008</v>
      </c>
      <c r="AN66" s="122">
        <f t="shared" si="5"/>
        <v>-1.9596260000000001</v>
      </c>
      <c r="AO66" s="122">
        <f t="shared" si="6"/>
        <v>-2.39062000000001E-3</v>
      </c>
      <c r="AP66" s="122">
        <f t="shared" si="7"/>
        <v>-3.9762800000000542E-3</v>
      </c>
      <c r="AQ66" s="88">
        <f t="shared" si="8"/>
        <v>2.4714459999999987E-3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27.339936999999999</v>
      </c>
      <c r="G68" s="97">
        <v>32.598719000000003</v>
      </c>
      <c r="H68" s="97">
        <v>0.95952139999999997</v>
      </c>
      <c r="I68" s="60">
        <v>0.95485657000000002</v>
      </c>
      <c r="J68" s="60">
        <v>6.2930345999999998E-2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28.954104000000001</v>
      </c>
      <c r="Y68" s="97">
        <v>33.872354999999999</v>
      </c>
      <c r="Z68" s="97">
        <v>0.96356098999999995</v>
      </c>
      <c r="AA68" s="60">
        <v>0.96359755000000002</v>
      </c>
      <c r="AB68" s="60">
        <v>5.4519360000000003E-2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1.6141670000000019</v>
      </c>
      <c r="AN68" s="96">
        <f t="shared" si="5"/>
        <v>1.2736359999999962</v>
      </c>
      <c r="AO68" s="96">
        <f t="shared" si="6"/>
        <v>4.0395899999999818E-3</v>
      </c>
      <c r="AP68" s="96">
        <f t="shared" si="7"/>
        <v>8.7409800000000093E-3</v>
      </c>
      <c r="AQ68" s="121">
        <f t="shared" si="8"/>
        <v>-8.4109859999999953E-3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30.699698999999999</v>
      </c>
      <c r="G69" s="190">
        <v>35.41825</v>
      </c>
      <c r="H69" s="190">
        <v>0.97609678</v>
      </c>
      <c r="I69" s="62">
        <v>0.97140773999999996</v>
      </c>
      <c r="J69" s="62">
        <v>3.9092842000000003E-2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31.659461</v>
      </c>
      <c r="Y69" s="190">
        <v>36.175663999999998</v>
      </c>
      <c r="Z69" s="190">
        <v>0.97774289999999997</v>
      </c>
      <c r="AA69" s="62">
        <v>0.97684139000000003</v>
      </c>
      <c r="AB69" s="62">
        <v>3.5204906000000001E-2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0.95976200000000134</v>
      </c>
      <c r="AN69" s="122">
        <f t="shared" si="5"/>
        <v>0.75741399999999715</v>
      </c>
      <c r="AO69" s="122">
        <f t="shared" si="6"/>
        <v>1.6461199999999732E-3</v>
      </c>
      <c r="AP69" s="122">
        <f t="shared" si="7"/>
        <v>5.4336500000000676E-3</v>
      </c>
      <c r="AQ69" s="88">
        <f t="shared" si="8"/>
        <v>-3.8879360000000016E-3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35.325892000000003</v>
      </c>
      <c r="G70" s="190">
        <v>39.444445999999999</v>
      </c>
      <c r="H70" s="190">
        <v>0.98833272999999999</v>
      </c>
      <c r="I70" s="62">
        <v>0.99000381999999998</v>
      </c>
      <c r="J70" s="62">
        <v>2.3051122E-2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34.425358000000003</v>
      </c>
      <c r="Y70" s="190">
        <v>38.587876999999999</v>
      </c>
      <c r="Z70" s="190">
        <v>0.98645262</v>
      </c>
      <c r="AA70" s="62">
        <v>0.98695843999999999</v>
      </c>
      <c r="AB70" s="62">
        <v>2.4468726E-2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-0.90053400000000039</v>
      </c>
      <c r="AN70" s="122">
        <f t="shared" si="5"/>
        <v>-0.85656900000000036</v>
      </c>
      <c r="AO70" s="122">
        <f t="shared" si="6"/>
        <v>-1.8801099999999904E-3</v>
      </c>
      <c r="AP70" s="122">
        <f t="shared" si="7"/>
        <v>-3.0453799999999864E-3</v>
      </c>
      <c r="AQ70" s="88">
        <f t="shared" si="8"/>
        <v>1.4176039999999994E-3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37.918970000000002</v>
      </c>
      <c r="G71" s="190">
        <v>42.010599999999997</v>
      </c>
      <c r="H71" s="190">
        <v>0.99260009999999999</v>
      </c>
      <c r="I71" s="62">
        <v>0.99502447999999999</v>
      </c>
      <c r="J71" s="62">
        <v>1.6604715999999999E-2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35.954929</v>
      </c>
      <c r="Y71" s="190">
        <v>39.986113000000003</v>
      </c>
      <c r="Z71" s="190">
        <v>0.99008366999999997</v>
      </c>
      <c r="AA71" s="62">
        <v>0.99050070999999995</v>
      </c>
      <c r="AB71" s="62">
        <v>1.8912223999999998E-2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-1.9640410000000017</v>
      </c>
      <c r="AN71" s="122">
        <f t="shared" si="5"/>
        <v>-2.0244869999999935</v>
      </c>
      <c r="AO71" s="122">
        <f t="shared" si="6"/>
        <v>-2.5164300000000139E-3</v>
      </c>
      <c r="AP71" s="122">
        <f t="shared" si="7"/>
        <v>-4.523770000000038E-3</v>
      </c>
      <c r="AQ71" s="88">
        <f t="shared" si="8"/>
        <v>2.3075079999999998E-3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27.454829</v>
      </c>
      <c r="G73" s="97">
        <v>32.661768000000002</v>
      </c>
      <c r="H73" s="97">
        <v>0.95952678999999996</v>
      </c>
      <c r="I73" s="60">
        <v>0.95506356000000003</v>
      </c>
      <c r="J73" s="60">
        <v>6.2677319999999995E-2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29.026340999999999</v>
      </c>
      <c r="Y73" s="97">
        <v>33.900283000000002</v>
      </c>
      <c r="Z73" s="97">
        <v>0.96354684000000002</v>
      </c>
      <c r="AA73" s="60">
        <v>0.96395012000000002</v>
      </c>
      <c r="AB73" s="60">
        <v>5.4917460000000001E-2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1.5715119999999985</v>
      </c>
      <c r="AN73" s="96">
        <f t="shared" si="5"/>
        <v>1.2385149999999996</v>
      </c>
      <c r="AO73" s="96">
        <f t="shared" si="6"/>
        <v>4.0200500000000527E-3</v>
      </c>
      <c r="AP73" s="96">
        <f t="shared" si="7"/>
        <v>8.8865599999999878E-3</v>
      </c>
      <c r="AQ73" s="121">
        <f t="shared" si="8"/>
        <v>-7.7598599999999934E-3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30.660633000000001</v>
      </c>
      <c r="G74" s="190">
        <v>35.361564999999999</v>
      </c>
      <c r="H74" s="190">
        <v>0.97577809999999998</v>
      </c>
      <c r="I74" s="62">
        <v>0.97108329999999998</v>
      </c>
      <c r="J74" s="62">
        <v>3.9405763000000003E-2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31.587852999999999</v>
      </c>
      <c r="Y74" s="190">
        <v>36.094121000000001</v>
      </c>
      <c r="Z74" s="190">
        <v>0.97750731999999996</v>
      </c>
      <c r="AA74" s="62">
        <v>0.97657948999999999</v>
      </c>
      <c r="AB74" s="62">
        <v>3.5913960000000002E-2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0.92721999999999838</v>
      </c>
      <c r="AN74" s="122">
        <f t="shared" si="5"/>
        <v>0.73255600000000243</v>
      </c>
      <c r="AO74" s="122">
        <f t="shared" si="6"/>
        <v>1.7292199999999758E-3</v>
      </c>
      <c r="AP74" s="122">
        <f t="shared" si="7"/>
        <v>5.4961900000000119E-3</v>
      </c>
      <c r="AQ74" s="88">
        <f t="shared" si="8"/>
        <v>-3.4918030000000017E-3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35.314210000000003</v>
      </c>
      <c r="G75" s="190">
        <v>39.431275999999997</v>
      </c>
      <c r="H75" s="190">
        <v>0.98818454</v>
      </c>
      <c r="I75" s="62">
        <v>0.99008035000000005</v>
      </c>
      <c r="J75" s="62">
        <v>2.3250916999999999E-2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34.353670999999999</v>
      </c>
      <c r="Y75" s="190">
        <v>38.526063999999998</v>
      </c>
      <c r="Z75" s="190">
        <v>0.98632951000000002</v>
      </c>
      <c r="AA75" s="62">
        <v>0.98706190000000005</v>
      </c>
      <c r="AB75" s="62">
        <v>2.4498235E-2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-0.96053900000000425</v>
      </c>
      <c r="AN75" s="122">
        <f t="shared" si="5"/>
        <v>-0.9052119999999988</v>
      </c>
      <c r="AO75" s="122">
        <f t="shared" si="6"/>
        <v>-1.8550299999999798E-3</v>
      </c>
      <c r="AP75" s="122">
        <f t="shared" si="7"/>
        <v>-3.0184500000000059E-3</v>
      </c>
      <c r="AQ75" s="88">
        <f t="shared" si="8"/>
        <v>1.2473180000000007E-3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37.881673999999997</v>
      </c>
      <c r="G76" s="190">
        <v>41.968682999999999</v>
      </c>
      <c r="H76" s="190">
        <v>0.99242516999999997</v>
      </c>
      <c r="I76" s="62">
        <v>0.99507888</v>
      </c>
      <c r="J76" s="62">
        <v>1.6820214999999999E-2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35.844369</v>
      </c>
      <c r="Y76" s="190">
        <v>39.896515999999998</v>
      </c>
      <c r="Z76" s="190">
        <v>0.98993770000000003</v>
      </c>
      <c r="AA76" s="62">
        <v>0.99065818999999999</v>
      </c>
      <c r="AB76" s="62">
        <v>1.9099214999999999E-2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-2.0373049999999964</v>
      </c>
      <c r="AN76" s="122">
        <f t="shared" si="5"/>
        <v>-2.0721670000000003</v>
      </c>
      <c r="AO76" s="122">
        <f t="shared" si="6"/>
        <v>-2.4874699999999361E-3</v>
      </c>
      <c r="AP76" s="122">
        <f t="shared" si="7"/>
        <v>-4.4206900000000049E-3</v>
      </c>
      <c r="AQ76" s="88">
        <f t="shared" si="8"/>
        <v>2.2789999999999998E-3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27.508752999999999</v>
      </c>
      <c r="G78" s="97">
        <v>32.618156999999997</v>
      </c>
      <c r="H78" s="97">
        <v>0.95760783999999999</v>
      </c>
      <c r="I78" s="60">
        <v>0.95567822000000002</v>
      </c>
      <c r="J78" s="60">
        <v>6.6164829999999994E-2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28.961106000000001</v>
      </c>
      <c r="Y78" s="97">
        <v>33.750884999999997</v>
      </c>
      <c r="Z78" s="97">
        <v>0.96125609999999995</v>
      </c>
      <c r="AA78" s="60">
        <v>0.96424476000000003</v>
      </c>
      <c r="AB78" s="60">
        <v>5.9132190000000001E-2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1.4523530000000022</v>
      </c>
      <c r="AN78" s="96">
        <f t="shared" si="5"/>
        <v>1.1327280000000002</v>
      </c>
      <c r="AO78" s="96">
        <f t="shared" si="6"/>
        <v>3.6482599999999588E-3</v>
      </c>
      <c r="AP78" s="96">
        <f t="shared" si="7"/>
        <v>8.5665400000000114E-3</v>
      </c>
      <c r="AQ78" s="121">
        <f t="shared" si="8"/>
        <v>-7.0326399999999928E-3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30.58878</v>
      </c>
      <c r="G79" s="190">
        <v>35.228861999999999</v>
      </c>
      <c r="H79" s="190">
        <v>0.97467068999999995</v>
      </c>
      <c r="I79" s="62">
        <v>0.97195218000000005</v>
      </c>
      <c r="J79" s="62">
        <v>4.2794770000000003E-2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31.471807999999999</v>
      </c>
      <c r="Y79" s="190">
        <v>35.918008</v>
      </c>
      <c r="Z79" s="190">
        <v>0.97630795999999997</v>
      </c>
      <c r="AA79" s="62">
        <v>0.97706963999999996</v>
      </c>
      <c r="AB79" s="62">
        <v>3.9138489999999998E-2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0.88302799999999948</v>
      </c>
      <c r="AN79" s="122">
        <f t="shared" si="5"/>
        <v>0.68914600000000092</v>
      </c>
      <c r="AO79" s="122">
        <f t="shared" si="6"/>
        <v>1.637270000000024E-3</v>
      </c>
      <c r="AP79" s="122">
        <f t="shared" si="7"/>
        <v>5.1174599999999071E-3</v>
      </c>
      <c r="AQ79" s="88">
        <f t="shared" si="8"/>
        <v>-3.6562800000000048E-3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35.130313999999998</v>
      </c>
      <c r="G80" s="190">
        <v>39.225898000000001</v>
      </c>
      <c r="H80" s="190">
        <v>0.98737633000000002</v>
      </c>
      <c r="I80" s="62">
        <v>0.99017668999999997</v>
      </c>
      <c r="J80" s="62">
        <v>2.5149195999999999E-2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34.146577000000001</v>
      </c>
      <c r="Y80" s="190">
        <v>38.292164</v>
      </c>
      <c r="Z80" s="190">
        <v>0.98540941000000004</v>
      </c>
      <c r="AA80" s="62">
        <v>0.98726776999999999</v>
      </c>
      <c r="AB80" s="62">
        <v>2.6836782999999999E-2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-0.98373699999999786</v>
      </c>
      <c r="AN80" s="122">
        <f t="shared" si="5"/>
        <v>-0.93373400000000117</v>
      </c>
      <c r="AO80" s="122">
        <f t="shared" si="6"/>
        <v>-1.9669199999999831E-3</v>
      </c>
      <c r="AP80" s="122">
        <f t="shared" si="7"/>
        <v>-2.9089199999999815E-3</v>
      </c>
      <c r="AQ80" s="88">
        <f t="shared" si="8"/>
        <v>1.6875870000000008E-3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37.597346999999999</v>
      </c>
      <c r="G81" s="190">
        <v>41.652251999999997</v>
      </c>
      <c r="H81" s="190">
        <v>0.99169160999999995</v>
      </c>
      <c r="I81" s="62">
        <v>0.99492577000000004</v>
      </c>
      <c r="J81" s="62">
        <v>1.8485120000000001E-2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35.560429999999997</v>
      </c>
      <c r="Y81" s="190">
        <v>39.596125000000001</v>
      </c>
      <c r="Z81" s="190">
        <v>0.98906411999999999</v>
      </c>
      <c r="AA81" s="62">
        <v>0.99073429000000002</v>
      </c>
      <c r="AB81" s="62">
        <v>2.1210823E-2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-2.0369170000000025</v>
      </c>
      <c r="AN81" s="122">
        <f t="shared" si="5"/>
        <v>-2.0561269999999965</v>
      </c>
      <c r="AO81" s="122">
        <f t="shared" si="6"/>
        <v>-2.6274899999999546E-3</v>
      </c>
      <c r="AP81" s="122">
        <f t="shared" si="7"/>
        <v>-4.1914800000000252E-3</v>
      </c>
      <c r="AQ81" s="88">
        <f t="shared" si="8"/>
        <v>2.7257029999999995E-3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26.979896</v>
      </c>
      <c r="G83" s="97">
        <v>32.325276000000002</v>
      </c>
      <c r="H83" s="97">
        <v>0.95656841999999997</v>
      </c>
      <c r="I83" s="60">
        <v>0.95544583999999999</v>
      </c>
      <c r="J83" s="60">
        <v>7.0422929999999995E-2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28.473179999999999</v>
      </c>
      <c r="Y83" s="97">
        <v>33.496599000000003</v>
      </c>
      <c r="Z83" s="97">
        <v>0.96010032999999995</v>
      </c>
      <c r="AA83" s="60">
        <v>0.96406837999999995</v>
      </c>
      <c r="AB83" s="60">
        <v>6.2156982999999999E-2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1.4932839999999992</v>
      </c>
      <c r="AN83" s="96">
        <f t="shared" si="5"/>
        <v>1.171323000000001</v>
      </c>
      <c r="AO83" s="96">
        <f t="shared" si="6"/>
        <v>3.5319099999999715E-3</v>
      </c>
      <c r="AP83" s="96">
        <f t="shared" si="7"/>
        <v>8.6225399999999564E-3</v>
      </c>
      <c r="AQ83" s="121">
        <f t="shared" si="8"/>
        <v>-8.2659469999999957E-3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30.509104000000001</v>
      </c>
      <c r="G84" s="190">
        <v>35.275841999999997</v>
      </c>
      <c r="H84" s="190">
        <v>0.97609805000000005</v>
      </c>
      <c r="I84" s="62">
        <v>0.97458858000000004</v>
      </c>
      <c r="J84" s="62">
        <v>4.1022700000000002E-2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31.298390000000001</v>
      </c>
      <c r="Y84" s="190">
        <v>35.890737999999999</v>
      </c>
      <c r="Z84" s="190">
        <v>0.97699875999999997</v>
      </c>
      <c r="AA84" s="62">
        <v>0.97819743000000003</v>
      </c>
      <c r="AB84" s="62">
        <v>3.810989E-2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0.7892860000000006</v>
      </c>
      <c r="AN84" s="122">
        <f t="shared" si="5"/>
        <v>0.61489600000000166</v>
      </c>
      <c r="AO84" s="122">
        <f t="shared" si="6"/>
        <v>9.0070999999991574E-4</v>
      </c>
      <c r="AP84" s="122">
        <f t="shared" si="7"/>
        <v>3.6088499999999968E-3</v>
      </c>
      <c r="AQ84" s="88">
        <f t="shared" si="8"/>
        <v>-2.9128100000000018E-3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34.995499000000002</v>
      </c>
      <c r="G85" s="190">
        <v>39.131517000000002</v>
      </c>
      <c r="H85" s="190">
        <v>0.98857499999999998</v>
      </c>
      <c r="I85" s="62">
        <v>0.99112529000000005</v>
      </c>
      <c r="J85" s="62">
        <v>2.3768081999999999E-2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33.920901000000001</v>
      </c>
      <c r="Y85" s="190">
        <v>38.142522</v>
      </c>
      <c r="Z85" s="190">
        <v>0.98608867</v>
      </c>
      <c r="AA85" s="62">
        <v>0.98899082999999999</v>
      </c>
      <c r="AB85" s="62">
        <v>2.6026932999999999E-2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-1.0745980000000017</v>
      </c>
      <c r="AN85" s="122">
        <f t="shared" si="5"/>
        <v>-0.98899500000000273</v>
      </c>
      <c r="AO85" s="122">
        <f t="shared" si="6"/>
        <v>-2.4863299999999811E-3</v>
      </c>
      <c r="AP85" s="122">
        <f t="shared" si="7"/>
        <v>-2.1344600000000602E-3</v>
      </c>
      <c r="AQ85" s="88">
        <f t="shared" si="8"/>
        <v>2.2588509999999992E-3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37.818874999999998</v>
      </c>
      <c r="G86" s="190">
        <v>41.873576999999997</v>
      </c>
      <c r="H86" s="190">
        <v>0.99298096999999996</v>
      </c>
      <c r="I86" s="62">
        <v>0.99568495999999995</v>
      </c>
      <c r="J86" s="62">
        <v>1.6779754000000001E-2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35.513285000000003</v>
      </c>
      <c r="Y86" s="190">
        <v>39.571120000000001</v>
      </c>
      <c r="Z86" s="190">
        <v>0.98995403999999998</v>
      </c>
      <c r="AA86" s="62">
        <v>0.99251427999999997</v>
      </c>
      <c r="AB86" s="62">
        <v>2.0066725000000001E-2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-2.3055899999999951</v>
      </c>
      <c r="AN86" s="122">
        <f t="shared" si="5"/>
        <v>-2.3024569999999969</v>
      </c>
      <c r="AO86" s="122">
        <f t="shared" si="6"/>
        <v>-3.0269299999999832E-3</v>
      </c>
      <c r="AP86" s="122">
        <f t="shared" si="7"/>
        <v>-3.1706799999999813E-3</v>
      </c>
      <c r="AQ86" s="88">
        <f t="shared" si="8"/>
        <v>3.2869709999999996E-3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27.070197</v>
      </c>
      <c r="G88" s="97">
        <v>32.407620000000001</v>
      </c>
      <c r="H88" s="97">
        <v>0.95771629000000003</v>
      </c>
      <c r="I88" s="60">
        <v>0.95467356000000003</v>
      </c>
      <c r="J88" s="60">
        <v>6.6683199999999998E-2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28.647345000000001</v>
      </c>
      <c r="Y88" s="97">
        <v>33.648395999999998</v>
      </c>
      <c r="Z88" s="97">
        <v>0.96145387000000004</v>
      </c>
      <c r="AA88" s="60">
        <v>0.96353281000000002</v>
      </c>
      <c r="AB88" s="60">
        <v>5.8726750000000001E-2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1.5771480000000011</v>
      </c>
      <c r="AN88" s="96">
        <f t="shared" si="5"/>
        <v>1.2407759999999968</v>
      </c>
      <c r="AO88" s="96">
        <f t="shared" si="6"/>
        <v>3.7375800000000181E-3</v>
      </c>
      <c r="AP88" s="96">
        <f t="shared" si="7"/>
        <v>8.8592499999999852E-3</v>
      </c>
      <c r="AQ88" s="121">
        <f t="shared" si="8"/>
        <v>-7.9564499999999969E-3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30.588432000000001</v>
      </c>
      <c r="G89" s="190">
        <v>35.345520999999998</v>
      </c>
      <c r="H89" s="190">
        <v>0.97624431</v>
      </c>
      <c r="I89" s="62">
        <v>0.97311336999999998</v>
      </c>
      <c r="J89" s="62">
        <v>3.9928037999999999E-2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31.506792000000001</v>
      </c>
      <c r="Y89" s="190">
        <v>36.072037999999999</v>
      </c>
      <c r="Z89" s="190">
        <v>0.97751213000000003</v>
      </c>
      <c r="AA89" s="62">
        <v>0.97844313999999999</v>
      </c>
      <c r="AB89" s="62">
        <v>3.6465655999999999E-2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0.91835999999999984</v>
      </c>
      <c r="AN89" s="122">
        <f t="shared" si="5"/>
        <v>0.72651700000000119</v>
      </c>
      <c r="AO89" s="122">
        <f t="shared" si="6"/>
        <v>1.2678200000000306E-3</v>
      </c>
      <c r="AP89" s="122">
        <f t="shared" si="7"/>
        <v>5.3297700000000114E-3</v>
      </c>
      <c r="AQ89" s="88">
        <f t="shared" si="8"/>
        <v>-3.462382E-3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35.127245000000002</v>
      </c>
      <c r="G90" s="190">
        <v>39.274521999999997</v>
      </c>
      <c r="H90" s="190">
        <v>0.98853159999999995</v>
      </c>
      <c r="I90" s="62">
        <v>0.99071746999999999</v>
      </c>
      <c r="J90" s="62">
        <v>2.3596168000000001E-2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34.219316999999997</v>
      </c>
      <c r="Y90" s="190">
        <v>38.418016000000001</v>
      </c>
      <c r="Z90" s="190">
        <v>0.98635377999999996</v>
      </c>
      <c r="AA90" s="62">
        <v>0.98834611999999999</v>
      </c>
      <c r="AB90" s="62">
        <v>2.5503755999999999E-2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-0.9079280000000054</v>
      </c>
      <c r="AN90" s="122">
        <f t="shared" si="5"/>
        <v>-0.85650599999999599</v>
      </c>
      <c r="AO90" s="122">
        <f t="shared" si="6"/>
        <v>-2.177819999999997E-3</v>
      </c>
      <c r="AP90" s="122">
        <f t="shared" si="7"/>
        <v>-2.3713499999999943E-3</v>
      </c>
      <c r="AQ90" s="88">
        <f t="shared" si="8"/>
        <v>1.9075879999999983E-3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37.913257999999999</v>
      </c>
      <c r="G91" s="190">
        <v>41.991973000000002</v>
      </c>
      <c r="H91" s="190">
        <v>0.99289779</v>
      </c>
      <c r="I91" s="62">
        <v>0.99545550999999999</v>
      </c>
      <c r="J91" s="62">
        <v>1.6695475000000001E-2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35.863357000000001</v>
      </c>
      <c r="Y91" s="190">
        <v>39.907651999999999</v>
      </c>
      <c r="Z91" s="190">
        <v>0.99013353000000004</v>
      </c>
      <c r="AA91" s="62">
        <v>0.99211156</v>
      </c>
      <c r="AB91" s="62">
        <v>1.9604973000000001E-2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-2.0499009999999984</v>
      </c>
      <c r="AN91" s="122">
        <f t="shared" si="5"/>
        <v>-2.0843210000000028</v>
      </c>
      <c r="AO91" s="122">
        <f t="shared" si="6"/>
        <v>-2.7642599999999629E-3</v>
      </c>
      <c r="AP91" s="122">
        <f t="shared" si="7"/>
        <v>-3.3439499999999844E-3</v>
      </c>
      <c r="AQ91" s="88">
        <f t="shared" si="8"/>
        <v>2.9094979999999999E-3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27.229775</v>
      </c>
      <c r="G93" s="97">
        <v>32.531092999999998</v>
      </c>
      <c r="H93" s="97">
        <v>0.95857614000000002</v>
      </c>
      <c r="I93" s="60">
        <v>0.95339068000000005</v>
      </c>
      <c r="J93" s="60">
        <v>6.3512570000000004E-2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28.779620999999999</v>
      </c>
      <c r="Y93" s="97">
        <v>33.751773</v>
      </c>
      <c r="Z93" s="97">
        <v>0.96209535999999996</v>
      </c>
      <c r="AA93" s="60">
        <v>0.96236330999999997</v>
      </c>
      <c r="AB93" s="60">
        <v>5.6030370000000003E-2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1.5498459999999987</v>
      </c>
      <c r="AN93" s="96">
        <f t="shared" si="5"/>
        <v>1.2206800000000015</v>
      </c>
      <c r="AO93" s="96">
        <f t="shared" si="6"/>
        <v>3.5192199999999341E-3</v>
      </c>
      <c r="AP93" s="96">
        <f t="shared" si="7"/>
        <v>8.9726299999999259E-3</v>
      </c>
      <c r="AQ93" s="121">
        <f t="shared" si="8"/>
        <v>-7.4822000000000013E-3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30.689409000000001</v>
      </c>
      <c r="G94" s="190">
        <v>35.411991</v>
      </c>
      <c r="H94" s="190">
        <v>0.97657391999999998</v>
      </c>
      <c r="I94" s="62">
        <v>0.97131582999999999</v>
      </c>
      <c r="J94" s="62">
        <v>3.8080454E-2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31.619315</v>
      </c>
      <c r="Y94" s="190">
        <v>36.150725000000001</v>
      </c>
      <c r="Z94" s="190">
        <v>0.97767040000000005</v>
      </c>
      <c r="AA94" s="62">
        <v>0.97686459999999997</v>
      </c>
      <c r="AB94" s="62">
        <v>3.5063959999999998E-2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0.92990599999999901</v>
      </c>
      <c r="AN94" s="122">
        <f t="shared" si="5"/>
        <v>0.73873400000000089</v>
      </c>
      <c r="AO94" s="122">
        <f t="shared" si="6"/>
        <v>1.0964800000000663E-3</v>
      </c>
      <c r="AP94" s="122">
        <f t="shared" si="7"/>
        <v>5.5487699999999807E-3</v>
      </c>
      <c r="AQ94" s="88">
        <f t="shared" si="8"/>
        <v>-3.0164940000000015E-3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35.329490999999997</v>
      </c>
      <c r="G95" s="190">
        <v>39.454034</v>
      </c>
      <c r="H95" s="190">
        <v>0.98865216</v>
      </c>
      <c r="I95" s="62">
        <v>0.99013810999999996</v>
      </c>
      <c r="J95" s="62">
        <v>2.2565854999999999E-2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34.339803000000003</v>
      </c>
      <c r="Y95" s="190">
        <v>38.520995999999997</v>
      </c>
      <c r="Z95" s="190">
        <v>0.98642700000000005</v>
      </c>
      <c r="AA95" s="62">
        <v>0.98712606999999997</v>
      </c>
      <c r="AB95" s="62">
        <v>2.4617797E-2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-0.98968799999999391</v>
      </c>
      <c r="AN95" s="122">
        <f t="shared" si="5"/>
        <v>-0.93303800000000336</v>
      </c>
      <c r="AO95" s="122">
        <f t="shared" si="6"/>
        <v>-2.2251599999999483E-3</v>
      </c>
      <c r="AP95" s="122">
        <f t="shared" si="7"/>
        <v>-3.0120399999999936E-3</v>
      </c>
      <c r="AQ95" s="88">
        <f t="shared" si="8"/>
        <v>2.051942000000001E-3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38.081161000000002</v>
      </c>
      <c r="G96" s="190">
        <v>42.150010000000002</v>
      </c>
      <c r="H96" s="190">
        <v>0.99293012999999997</v>
      </c>
      <c r="I96" s="62">
        <v>0.99516192999999997</v>
      </c>
      <c r="J96" s="62">
        <v>1.6004402000000001E-2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35.95214</v>
      </c>
      <c r="Y96" s="190">
        <v>39.987161</v>
      </c>
      <c r="Z96" s="190">
        <v>0.99011526000000005</v>
      </c>
      <c r="AA96" s="62">
        <v>0.99101466999999999</v>
      </c>
      <c r="AB96" s="62">
        <v>1.8905252000000001E-2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-2.1290210000000016</v>
      </c>
      <c r="AN96" s="122">
        <f t="shared" si="5"/>
        <v>-2.1628490000000014</v>
      </c>
      <c r="AO96" s="122">
        <f t="shared" si="6"/>
        <v>-2.8148699999999138E-3</v>
      </c>
      <c r="AP96" s="122">
        <f t="shared" si="7"/>
        <v>-4.147259999999986E-3</v>
      </c>
      <c r="AQ96" s="88">
        <f t="shared" si="8"/>
        <v>2.90085E-3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27.399815</v>
      </c>
      <c r="G98" s="97">
        <v>32.661893999999997</v>
      </c>
      <c r="H98" s="97">
        <v>0.95872363000000005</v>
      </c>
      <c r="I98" s="60">
        <v>0.95469424000000003</v>
      </c>
      <c r="J98" s="60">
        <v>6.3374124000000004E-2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28.930475000000001</v>
      </c>
      <c r="Y98" s="97">
        <v>33.869284999999998</v>
      </c>
      <c r="Z98" s="97">
        <v>0.96245601999999997</v>
      </c>
      <c r="AA98" s="60">
        <v>0.96368081000000005</v>
      </c>
      <c r="AB98" s="60">
        <v>5.6290198E-2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1.530660000000001</v>
      </c>
      <c r="AN98" s="96">
        <f t="shared" si="15"/>
        <v>1.2073910000000012</v>
      </c>
      <c r="AO98" s="96">
        <f t="shared" si="16"/>
        <v>3.7323899999999188E-3</v>
      </c>
      <c r="AP98" s="96">
        <f t="shared" si="17"/>
        <v>8.986570000000027E-3</v>
      </c>
      <c r="AQ98" s="121">
        <f t="shared" si="18"/>
        <v>-7.0839260000000043E-3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30.650919999999999</v>
      </c>
      <c r="G99" s="190">
        <v>35.392978999999997</v>
      </c>
      <c r="H99" s="190">
        <v>0.97648904000000003</v>
      </c>
      <c r="I99" s="62">
        <v>0.97186671000000002</v>
      </c>
      <c r="J99" s="62">
        <v>3.8674027E-2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31.590333000000001</v>
      </c>
      <c r="Y99" s="190">
        <v>36.134599000000001</v>
      </c>
      <c r="Z99" s="190">
        <v>0.97777174</v>
      </c>
      <c r="AA99" s="62">
        <v>0.97731928000000001</v>
      </c>
      <c r="AB99" s="62">
        <v>3.5494893999999999E-2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0.93941300000000183</v>
      </c>
      <c r="AN99" s="122">
        <f t="shared" si="15"/>
        <v>0.74162000000000461</v>
      </c>
      <c r="AO99" s="122">
        <f t="shared" si="16"/>
        <v>1.28269999999997E-3</v>
      </c>
      <c r="AP99" s="122">
        <f t="shared" si="17"/>
        <v>5.4525699999999899E-3</v>
      </c>
      <c r="AQ99" s="88">
        <f t="shared" si="18"/>
        <v>-3.1791330000000007E-3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35.226109000000001</v>
      </c>
      <c r="G100" s="190">
        <v>39.377243999999997</v>
      </c>
      <c r="H100" s="190">
        <v>0.98856973000000004</v>
      </c>
      <c r="I100" s="62">
        <v>0.99010825999999996</v>
      </c>
      <c r="J100" s="62">
        <v>2.3301473E-2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34.245758000000002</v>
      </c>
      <c r="Y100" s="190">
        <v>38.463501000000001</v>
      </c>
      <c r="Z100" s="190">
        <v>0.98646100999999997</v>
      </c>
      <c r="AA100" s="62">
        <v>0.98740594000000004</v>
      </c>
      <c r="AB100" s="62">
        <v>2.4879946999999999E-2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-0.98035099999999886</v>
      </c>
      <c r="AN100" s="122">
        <f t="shared" si="15"/>
        <v>-0.91374299999999664</v>
      </c>
      <c r="AO100" s="122">
        <f t="shared" si="16"/>
        <v>-2.1087200000000639E-3</v>
      </c>
      <c r="AP100" s="122">
        <f t="shared" si="17"/>
        <v>-2.7023199999999248E-3</v>
      </c>
      <c r="AQ100" s="88">
        <f t="shared" si="18"/>
        <v>1.5784739999999998E-3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38.028995000000002</v>
      </c>
      <c r="G101" s="190">
        <v>42.107762000000001</v>
      </c>
      <c r="H101" s="190">
        <v>0.99285833000000001</v>
      </c>
      <c r="I101" s="62">
        <v>0.99530067</v>
      </c>
      <c r="J101" s="62">
        <v>1.6391024000000001E-2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35.867089</v>
      </c>
      <c r="Y101" s="190">
        <v>39.943342000000001</v>
      </c>
      <c r="Z101" s="190">
        <v>0.99014818999999998</v>
      </c>
      <c r="AA101" s="62">
        <v>0.99147560999999995</v>
      </c>
      <c r="AB101" s="62">
        <v>1.9071167E-2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-2.1619060000000019</v>
      </c>
      <c r="AN101" s="122">
        <f t="shared" si="15"/>
        <v>-2.1644199999999998</v>
      </c>
      <c r="AO101" s="122">
        <f t="shared" si="16"/>
        <v>-2.7101400000000275E-3</v>
      </c>
      <c r="AP101" s="122">
        <f t="shared" si="17"/>
        <v>-3.8250600000000468E-3</v>
      </c>
      <c r="AQ101" s="88">
        <f t="shared" si="18"/>
        <v>2.6801429999999994E-3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27.382221999999999</v>
      </c>
      <c r="G103" s="97">
        <v>32.467601999999999</v>
      </c>
      <c r="H103" s="97">
        <v>0.95687827999999997</v>
      </c>
      <c r="I103" s="60">
        <v>0.95527609000000002</v>
      </c>
      <c r="J103" s="60">
        <v>6.5367006000000005E-2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28.759526999999999</v>
      </c>
      <c r="Y103" s="97">
        <v>33.529758999999999</v>
      </c>
      <c r="Z103" s="97">
        <v>0.96032066000000005</v>
      </c>
      <c r="AA103" s="60">
        <v>0.96384307000000002</v>
      </c>
      <c r="AB103" s="60">
        <v>5.9028227000000003E-2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1.3773049999999998</v>
      </c>
      <c r="AN103" s="96">
        <f t="shared" si="15"/>
        <v>1.0621569999999991</v>
      </c>
      <c r="AO103" s="96">
        <f t="shared" si="16"/>
        <v>3.4423800000000782E-3</v>
      </c>
      <c r="AP103" s="96">
        <f t="shared" si="17"/>
        <v>8.5669800000000018E-3</v>
      </c>
      <c r="AQ103" s="121">
        <f t="shared" si="18"/>
        <v>-6.3387790000000027E-3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30.493306</v>
      </c>
      <c r="G104" s="190">
        <v>35.132497999999998</v>
      </c>
      <c r="H104" s="190">
        <v>0.97568116000000005</v>
      </c>
      <c r="I104" s="62">
        <v>0.97281295000000001</v>
      </c>
      <c r="J104" s="62">
        <v>4.0214452999999997E-2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31.356442000000001</v>
      </c>
      <c r="Y104" s="190">
        <v>35.776870000000002</v>
      </c>
      <c r="Z104" s="190">
        <v>0.97676452999999996</v>
      </c>
      <c r="AA104" s="62">
        <v>0.97768743999999996</v>
      </c>
      <c r="AB104" s="62">
        <v>3.7711759999999997E-2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0.86313600000000079</v>
      </c>
      <c r="AN104" s="122">
        <f t="shared" si="15"/>
        <v>0.64437200000000416</v>
      </c>
      <c r="AO104" s="122">
        <f t="shared" si="16"/>
        <v>1.0833699999999169E-3</v>
      </c>
      <c r="AP104" s="122">
        <f t="shared" si="17"/>
        <v>4.8744899999999536E-3</v>
      </c>
      <c r="AQ104" s="88">
        <f t="shared" si="18"/>
        <v>-2.5026930000000003E-3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34.921081000000001</v>
      </c>
      <c r="G105" s="190">
        <v>39.040323000000001</v>
      </c>
      <c r="H105" s="190">
        <v>0.98790654</v>
      </c>
      <c r="I105" s="62">
        <v>0.98998529000000002</v>
      </c>
      <c r="J105" s="62">
        <v>2.4272129999999999E-2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33.871279000000001</v>
      </c>
      <c r="Y105" s="190">
        <v>38.031460000000003</v>
      </c>
      <c r="Z105" s="190">
        <v>0.98565323000000005</v>
      </c>
      <c r="AA105" s="62">
        <v>0.98724672999999996</v>
      </c>
      <c r="AB105" s="62">
        <v>2.6186382000000001E-2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-1.0498019999999997</v>
      </c>
      <c r="AN105" s="122">
        <f t="shared" si="15"/>
        <v>-1.0088629999999981</v>
      </c>
      <c r="AO105" s="122">
        <f t="shared" si="16"/>
        <v>-2.2533099999999529E-3</v>
      </c>
      <c r="AP105" s="122">
        <f t="shared" si="17"/>
        <v>-2.7385600000000565E-3</v>
      </c>
      <c r="AQ105" s="88">
        <f t="shared" si="18"/>
        <v>1.9142520000000017E-3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37.76267</v>
      </c>
      <c r="G106" s="190">
        <v>41.808861</v>
      </c>
      <c r="H106" s="190">
        <v>0.99243322</v>
      </c>
      <c r="I106" s="62">
        <v>0.99520878000000002</v>
      </c>
      <c r="J106" s="62">
        <v>1.6998093999999998E-2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35.443862000000003</v>
      </c>
      <c r="Y106" s="190">
        <v>39.479109999999999</v>
      </c>
      <c r="Z106" s="190">
        <v>0.98951096000000005</v>
      </c>
      <c r="AA106" s="62">
        <v>0.99134862999999995</v>
      </c>
      <c r="AB106" s="62">
        <v>2.0097282000000001E-2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-2.3188079999999971</v>
      </c>
      <c r="AN106" s="122">
        <f t="shared" si="15"/>
        <v>-2.3297510000000017</v>
      </c>
      <c r="AO106" s="122">
        <f t="shared" si="16"/>
        <v>-2.9222599999999543E-3</v>
      </c>
      <c r="AP106" s="122">
        <f t="shared" si="17"/>
        <v>-3.8601500000000621E-3</v>
      </c>
      <c r="AQ106" s="88">
        <f t="shared" si="18"/>
        <v>3.0991880000000027E-3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6">
        <f t="shared" si="59"/>
        <v>32.055731000000002</v>
      </c>
      <c r="H641" s="136">
        <f t="shared" si="59"/>
        <v>0.95656841999999997</v>
      </c>
      <c r="I641" s="136">
        <f t="shared" si="59"/>
        <v>0.95013263999999997</v>
      </c>
      <c r="J641" s="136">
        <f t="shared" si="59"/>
        <v>6.2677319999999995E-2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28.473179999999999</v>
      </c>
      <c r="Y641" s="136">
        <f t="shared" si="60"/>
        <v>33.496599000000003</v>
      </c>
      <c r="Z641" s="136">
        <f t="shared" si="60"/>
        <v>0.96010032999999995</v>
      </c>
      <c r="AA641" s="136">
        <f t="shared" si="60"/>
        <v>0.96236330999999997</v>
      </c>
      <c r="AB641" s="136">
        <f t="shared" si="60"/>
        <v>5.4519360000000003E-2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30.342054999999998</v>
      </c>
      <c r="G642" s="18">
        <f t="shared" si="59"/>
        <v>34.873162999999998</v>
      </c>
      <c r="H642" s="18">
        <f t="shared" si="59"/>
        <v>0.97403954999999998</v>
      </c>
      <c r="I642" s="18">
        <f t="shared" si="59"/>
        <v>0.97108329999999998</v>
      </c>
      <c r="J642" s="18">
        <f t="shared" si="59"/>
        <v>3.8080454E-2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31.232796</v>
      </c>
      <c r="Y642" s="18">
        <f t="shared" si="60"/>
        <v>35.626581999999999</v>
      </c>
      <c r="Z642" s="18">
        <f t="shared" si="60"/>
        <v>0.97593940999999995</v>
      </c>
      <c r="AA642" s="18">
        <f t="shared" si="60"/>
        <v>0.97606280000000001</v>
      </c>
      <c r="AB642" s="18">
        <f t="shared" si="60"/>
        <v>3.5063959999999998E-2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34.921081000000001</v>
      </c>
      <c r="G643" s="18">
        <f t="shared" si="59"/>
        <v>39.040323000000001</v>
      </c>
      <c r="H643" s="18">
        <f t="shared" si="59"/>
        <v>0.98708828999999998</v>
      </c>
      <c r="I643" s="18">
        <f t="shared" si="59"/>
        <v>0.98998529000000002</v>
      </c>
      <c r="J643" s="18">
        <f t="shared" si="59"/>
        <v>2.2565854999999999E-2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33.871279000000001</v>
      </c>
      <c r="Y643" s="18">
        <f t="shared" si="60"/>
        <v>38.031460000000003</v>
      </c>
      <c r="Z643" s="18">
        <f t="shared" si="60"/>
        <v>0.98524480000000003</v>
      </c>
      <c r="AA643" s="18">
        <f t="shared" si="60"/>
        <v>0.98695843999999999</v>
      </c>
      <c r="AB643" s="18">
        <f t="shared" si="60"/>
        <v>2.4468726E-2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37.432068999999998</v>
      </c>
      <c r="G644" s="18">
        <f t="shared" si="59"/>
        <v>41.503722000000003</v>
      </c>
      <c r="H644" s="18">
        <f t="shared" si="59"/>
        <v>0.99142965999999999</v>
      </c>
      <c r="I644" s="18">
        <f t="shared" si="59"/>
        <v>0.99482473000000005</v>
      </c>
      <c r="J644" s="18">
        <f t="shared" si="59"/>
        <v>1.6004402000000001E-2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35.330092</v>
      </c>
      <c r="Y644" s="18">
        <f t="shared" si="60"/>
        <v>39.378787000000003</v>
      </c>
      <c r="Z644" s="18">
        <f t="shared" si="60"/>
        <v>0.98894086000000003</v>
      </c>
      <c r="AA644" s="18">
        <f t="shared" si="60"/>
        <v>0.99050070999999995</v>
      </c>
      <c r="AB644" s="18">
        <f t="shared" si="60"/>
        <v>1.8905252000000001E-2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6">
        <f t="shared" si="61"/>
        <v>32.661893999999997</v>
      </c>
      <c r="H646" s="136">
        <f t="shared" si="61"/>
        <v>0.95952678999999996</v>
      </c>
      <c r="I646" s="136">
        <f t="shared" si="61"/>
        <v>0.95639452000000003</v>
      </c>
      <c r="J646" s="136">
        <f t="shared" si="61"/>
        <v>7.0629709999999998E-2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29.094321000000001</v>
      </c>
      <c r="Y646" s="136">
        <f t="shared" si="62"/>
        <v>33.900283000000002</v>
      </c>
      <c r="Z646" s="136">
        <f t="shared" si="62"/>
        <v>0.96380374000000002</v>
      </c>
      <c r="AA646" s="136">
        <f t="shared" si="62"/>
        <v>0.96535671999999995</v>
      </c>
      <c r="AB646" s="136">
        <f t="shared" si="62"/>
        <v>6.2156982999999999E-2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30.816381</v>
      </c>
      <c r="G647" s="18">
        <f t="shared" si="61"/>
        <v>35.493073000000003</v>
      </c>
      <c r="H647" s="18">
        <f t="shared" si="61"/>
        <v>0.97657391999999998</v>
      </c>
      <c r="I647" s="18">
        <f t="shared" si="61"/>
        <v>0.97494440999999998</v>
      </c>
      <c r="J647" s="18">
        <f t="shared" si="61"/>
        <v>4.5010433000000002E-2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31.792859</v>
      </c>
      <c r="Y647" s="18">
        <f t="shared" si="62"/>
        <v>36.285065000000003</v>
      </c>
      <c r="Z647" s="18">
        <f t="shared" si="62"/>
        <v>0.97815107000000001</v>
      </c>
      <c r="AA647" s="18">
        <f t="shared" si="62"/>
        <v>0.98007443999999999</v>
      </c>
      <c r="AB647" s="18">
        <f t="shared" si="62"/>
        <v>4.0512065999999999E-2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35.329490999999997</v>
      </c>
      <c r="G648" s="18">
        <f t="shared" si="61"/>
        <v>39.454034</v>
      </c>
      <c r="H648" s="18">
        <f t="shared" si="61"/>
        <v>0.98865216</v>
      </c>
      <c r="I648" s="18">
        <f t="shared" si="61"/>
        <v>0.99112529000000005</v>
      </c>
      <c r="J648" s="18">
        <f t="shared" si="61"/>
        <v>2.7586917999999998E-2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34.513941000000003</v>
      </c>
      <c r="Y648" s="18">
        <f t="shared" si="62"/>
        <v>38.648479999999999</v>
      </c>
      <c r="Z648" s="18">
        <f t="shared" si="62"/>
        <v>0.98677793999999996</v>
      </c>
      <c r="AA648" s="18">
        <f t="shared" si="62"/>
        <v>0.98933294000000005</v>
      </c>
      <c r="AB648" s="18">
        <f t="shared" si="62"/>
        <v>2.8222210000000001E-2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38.081161000000002</v>
      </c>
      <c r="G649" s="18">
        <f t="shared" si="61"/>
        <v>42.150010000000002</v>
      </c>
      <c r="H649" s="18">
        <f t="shared" si="61"/>
        <v>0.99298096999999996</v>
      </c>
      <c r="I649" s="18">
        <f t="shared" si="61"/>
        <v>0.99569479000000005</v>
      </c>
      <c r="J649" s="18">
        <f t="shared" si="61"/>
        <v>1.9992592E-2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36.103895999999999</v>
      </c>
      <c r="Y649" s="18">
        <f t="shared" si="62"/>
        <v>40.139722999999996</v>
      </c>
      <c r="Z649" s="18">
        <f t="shared" si="62"/>
        <v>0.99034805999999997</v>
      </c>
      <c r="AA649" s="18">
        <f t="shared" si="62"/>
        <v>0.99295358</v>
      </c>
      <c r="AB649" s="18">
        <f t="shared" si="62"/>
        <v>2.1988127E-2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0.83892299999999764</v>
      </c>
      <c r="G651" s="136">
        <f t="shared" si="63"/>
        <v>0.60616299999999512</v>
      </c>
      <c r="H651" s="136">
        <f t="shared" si="63"/>
        <v>2.958369999999988E-3</v>
      </c>
      <c r="I651" s="136">
        <f t="shared" si="63"/>
        <v>6.261880000000053E-3</v>
      </c>
      <c r="J651" s="136">
        <f t="shared" si="63"/>
        <v>7.9523900000000036E-3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0.6211410000000015</v>
      </c>
      <c r="Y651" s="136">
        <f t="shared" si="64"/>
        <v>0.40368399999999838</v>
      </c>
      <c r="Z651" s="136">
        <f t="shared" si="64"/>
        <v>3.7034100000000736E-3</v>
      </c>
      <c r="AA651" s="136">
        <f t="shared" si="64"/>
        <v>2.9934099999999741E-3</v>
      </c>
      <c r="AB651" s="136">
        <f t="shared" si="64"/>
        <v>7.6376229999999962E-3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0.47432600000000136</v>
      </c>
      <c r="G652" s="18">
        <f t="shared" si="63"/>
        <v>0.6199100000000044</v>
      </c>
      <c r="H652" s="18">
        <f t="shared" si="63"/>
        <v>2.534370000000008E-3</v>
      </c>
      <c r="I652" s="18">
        <f t="shared" si="63"/>
        <v>3.8611100000000009E-3</v>
      </c>
      <c r="J652" s="18">
        <f t="shared" si="63"/>
        <v>6.9299790000000028E-3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0.56006299999999953</v>
      </c>
      <c r="Y652" s="18">
        <f t="shared" si="64"/>
        <v>0.65848300000000393</v>
      </c>
      <c r="Z652" s="18">
        <f t="shared" si="64"/>
        <v>2.2116600000000597E-3</v>
      </c>
      <c r="AA652" s="18">
        <f t="shared" si="64"/>
        <v>4.011639999999983E-3</v>
      </c>
      <c r="AB652" s="18">
        <f t="shared" si="64"/>
        <v>5.4481060000000012E-3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0.40840999999999639</v>
      </c>
      <c r="G653" s="18">
        <f t="shared" si="63"/>
        <v>0.41371099999999927</v>
      </c>
      <c r="H653" s="18">
        <f t="shared" si="63"/>
        <v>1.5638700000000227E-3</v>
      </c>
      <c r="I653" s="18">
        <f t="shared" si="63"/>
        <v>1.1400000000000299E-3</v>
      </c>
      <c r="J653" s="18">
        <f t="shared" si="63"/>
        <v>5.0210629999999992E-3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0.6426620000000014</v>
      </c>
      <c r="Y653" s="18">
        <f t="shared" si="64"/>
        <v>0.61701999999999657</v>
      </c>
      <c r="Z653" s="18">
        <f t="shared" si="64"/>
        <v>1.5331399999999329E-3</v>
      </c>
      <c r="AA653" s="18">
        <f t="shared" si="64"/>
        <v>2.3745000000000571E-3</v>
      </c>
      <c r="AB653" s="18">
        <f t="shared" si="64"/>
        <v>3.7534840000000014E-3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0.64909200000000311</v>
      </c>
      <c r="G654" s="18">
        <f t="shared" si="63"/>
        <v>0.64628799999999842</v>
      </c>
      <c r="H654" s="18">
        <f t="shared" si="63"/>
        <v>1.5513099999999724E-3</v>
      </c>
      <c r="I654" s="18">
        <f t="shared" si="63"/>
        <v>8.7006000000000583E-4</v>
      </c>
      <c r="J654" s="18">
        <f t="shared" si="63"/>
        <v>3.9881899999999991E-3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0.77380399999999838</v>
      </c>
      <c r="Y654" s="18">
        <f t="shared" si="64"/>
        <v>0.76093599999999384</v>
      </c>
      <c r="Z654" s="18">
        <f t="shared" si="64"/>
        <v>1.4071999999999418E-3</v>
      </c>
      <c r="AA654" s="18">
        <f t="shared" si="64"/>
        <v>2.4528700000000514E-3</v>
      </c>
      <c r="AB654" s="18">
        <f t="shared" si="64"/>
        <v>3.0828749999999988E-3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11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0">
        <f t="shared" si="0"/>
        <v>32.321196866666668</v>
      </c>
      <c r="H5" s="30">
        <f t="shared" si="0"/>
        <v>0.95700066866666644</v>
      </c>
      <c r="I5" s="91">
        <f t="shared" si="0"/>
        <v>0.95395936733333342</v>
      </c>
      <c r="J5" s="91">
        <f t="shared" si="0"/>
        <v>6.8758821599999992E-2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36929.687999999995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28.809088933333332</v>
      </c>
      <c r="Y5" s="30">
        <f t="shared" si="2"/>
        <v>33.520221866666674</v>
      </c>
      <c r="Z5" s="30">
        <f t="shared" si="2"/>
        <v>0.96114106933333332</v>
      </c>
      <c r="AA5" s="91">
        <f t="shared" si="2"/>
        <v>0.96402087199999997</v>
      </c>
      <c r="AB5" s="91">
        <f t="shared" si="2"/>
        <v>6.0892489066666666E-2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-8.6075871971112994E-2</v>
      </c>
      <c r="AN5" s="245">
        <f>bdrate($E5:$E8,G5:G8,$W5:$W8,Y5:Y8)</f>
        <v>-8.1149337095274943E-2</v>
      </c>
      <c r="AO5" s="245">
        <f>bdrate($E5:$E8,H5:H8,$W5:$W8,Z5:Z8)</f>
        <v>-8.0037415418390823E-2</v>
      </c>
      <c r="AP5" s="245">
        <f>bdrate($E5:$E8,I5:I8,$W5:$W8,AA5:AA8)</f>
        <v>-0.11698039774490876</v>
      </c>
      <c r="AQ5" s="246">
        <f>bdrateInverted($E5:$E8,J5:J8,$W5:$W8,AB5:AB8)</f>
        <v>-0.10714413904058095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54681.568000000007</v>
      </c>
      <c r="F6" s="91">
        <f t="shared" si="0"/>
        <v>30.717614933333337</v>
      </c>
      <c r="G6" s="91">
        <f t="shared" si="0"/>
        <v>35.232715600000006</v>
      </c>
      <c r="H6" s="91">
        <f t="shared" si="0"/>
        <v>0.97492547266666674</v>
      </c>
      <c r="I6" s="91">
        <f t="shared" si="0"/>
        <v>0.97223756466666666</v>
      </c>
      <c r="J6" s="91">
        <f t="shared" si="0"/>
        <v>4.2517676533333333E-2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51176.952000000005</v>
      </c>
      <c r="X6" s="91">
        <f t="shared" si="2"/>
        <v>31.520607399999999</v>
      </c>
      <c r="Y6" s="91">
        <f t="shared" si="2"/>
        <v>35.899458733333333</v>
      </c>
      <c r="Z6" s="91">
        <f t="shared" si="2"/>
        <v>0.97659475533333329</v>
      </c>
      <c r="AA6" s="91">
        <f t="shared" si="2"/>
        <v>0.97699744666666677</v>
      </c>
      <c r="AB6" s="91">
        <f t="shared" si="2"/>
        <v>3.8689525600000003E-2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79040.792000000001</v>
      </c>
      <c r="F7" s="91">
        <f t="shared" si="0"/>
        <v>35.108155866666671</v>
      </c>
      <c r="G7" s="91">
        <f t="shared" si="0"/>
        <v>39.210842266666667</v>
      </c>
      <c r="H7" s="91">
        <f t="shared" si="0"/>
        <v>0.98757465333333327</v>
      </c>
      <c r="I7" s="91">
        <f t="shared" si="0"/>
        <v>0.99005189866666643</v>
      </c>
      <c r="J7" s="91">
        <f t="shared" si="0"/>
        <v>2.4925761000000001E-2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70646.455999999991</v>
      </c>
      <c r="X7" s="91">
        <f t="shared" si="2"/>
        <v>34.132448066666662</v>
      </c>
      <c r="Y7" s="91">
        <f t="shared" si="2"/>
        <v>38.2937534</v>
      </c>
      <c r="Z7" s="91">
        <f t="shared" si="2"/>
        <v>0.98570097333333329</v>
      </c>
      <c r="AA7" s="91">
        <f t="shared" si="2"/>
        <v>0.98744735799999994</v>
      </c>
      <c r="AB7" s="91">
        <f t="shared" si="2"/>
        <v>2.6221722666666669E-2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112144.24799999999</v>
      </c>
      <c r="F8" s="91">
        <f t="shared" si="0"/>
        <v>37.605895933333336</v>
      </c>
      <c r="G8" s="91">
        <f t="shared" si="0"/>
        <v>41.687570999999998</v>
      </c>
      <c r="H8" s="91">
        <f t="shared" si="0"/>
        <v>0.99193363933333345</v>
      </c>
      <c r="I8" s="91">
        <f t="shared" si="0"/>
        <v>0.99515773399999985</v>
      </c>
      <c r="J8" s="91">
        <f t="shared" si="0"/>
        <v>1.8274979066666665E-2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96075.09599999999</v>
      </c>
      <c r="X8" s="91">
        <f t="shared" si="2"/>
        <v>35.617291133333339</v>
      </c>
      <c r="Y8" s="91">
        <f t="shared" si="2"/>
        <v>39.669791600000003</v>
      </c>
      <c r="Z8" s="91">
        <f t="shared" si="2"/>
        <v>0.98935919866666666</v>
      </c>
      <c r="AA8" s="91">
        <f t="shared" si="2"/>
        <v>0.99150106933333326</v>
      </c>
      <c r="AB8" s="91">
        <f t="shared" si="2"/>
        <v>2.0872531799999997E-2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6005.9040000000005</v>
      </c>
      <c r="F16" s="167">
        <v>7153.4160000000002</v>
      </c>
      <c r="G16" s="167">
        <v>2634.0320000000002</v>
      </c>
      <c r="H16" s="167">
        <v>989.23199999999997</v>
      </c>
      <c r="I16" s="167">
        <v>123.896</v>
      </c>
      <c r="J16" s="167">
        <v>11311.216</v>
      </c>
      <c r="K16" s="60">
        <v>7332.1279999999997</v>
      </c>
      <c r="L16" s="60">
        <v>2395.384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6005.9040000000005</v>
      </c>
      <c r="X16" s="167">
        <v>7153.4160000000002</v>
      </c>
      <c r="Y16" s="167">
        <v>1646.232</v>
      </c>
      <c r="Z16" s="167">
        <v>982.62400000000002</v>
      </c>
      <c r="AA16" s="167">
        <v>102.78400000000001</v>
      </c>
      <c r="AB16" s="167">
        <v>11311.216</v>
      </c>
      <c r="AC16" s="60">
        <v>7332.1279999999997</v>
      </c>
      <c r="AD16" s="60">
        <v>2395.384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6005.9040000000005</v>
      </c>
      <c r="F17" s="168">
        <v>9431.2160000000003</v>
      </c>
      <c r="G17" s="168">
        <v>7009.32</v>
      </c>
      <c r="H17" s="168">
        <v>3661.576</v>
      </c>
      <c r="I17" s="168">
        <v>1207.752</v>
      </c>
      <c r="J17" s="168">
        <v>14528.6</v>
      </c>
      <c r="K17" s="62">
        <v>9682.3680000000004</v>
      </c>
      <c r="L17" s="62">
        <v>3154.8319999999999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6005.9040000000005</v>
      </c>
      <c r="X17" s="168">
        <v>9431.2160000000003</v>
      </c>
      <c r="Y17" s="168">
        <v>3903.2640000000001</v>
      </c>
      <c r="Z17" s="168">
        <v>3525.9839999999999</v>
      </c>
      <c r="AA17" s="168">
        <v>944.78399999999999</v>
      </c>
      <c r="AB17" s="168">
        <v>14528.6</v>
      </c>
      <c r="AC17" s="62">
        <v>9682.3680000000004</v>
      </c>
      <c r="AD17" s="62">
        <v>3154.8319999999999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6005.9040000000005</v>
      </c>
      <c r="F18" s="168">
        <v>11769.8</v>
      </c>
      <c r="G18" s="168">
        <v>12782.183999999999</v>
      </c>
      <c r="H18" s="168">
        <v>9017.9439999999995</v>
      </c>
      <c r="I18" s="168">
        <v>5526.9520000000002</v>
      </c>
      <c r="J18" s="168">
        <v>17869.975999999999</v>
      </c>
      <c r="K18" s="62">
        <v>12136.968000000001</v>
      </c>
      <c r="L18" s="62">
        <v>3931.0639999999999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6005.9040000000005</v>
      </c>
      <c r="X18" s="168">
        <v>11769.8</v>
      </c>
      <c r="Y18" s="168">
        <v>6588.5919999999996</v>
      </c>
      <c r="Z18" s="168">
        <v>8145.64</v>
      </c>
      <c r="AA18" s="168">
        <v>4198.5119999999997</v>
      </c>
      <c r="AB18" s="168">
        <v>17869.975999999999</v>
      </c>
      <c r="AC18" s="62">
        <v>12136.968000000001</v>
      </c>
      <c r="AD18" s="62">
        <v>3931.0639999999999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6005.9040000000005</v>
      </c>
      <c r="F19" s="168">
        <v>13995.472</v>
      </c>
      <c r="G19" s="168">
        <v>19073.768</v>
      </c>
      <c r="H19" s="168">
        <v>17235.536</v>
      </c>
      <c r="I19" s="168">
        <v>15068.224</v>
      </c>
      <c r="J19" s="168">
        <v>21317.200000000001</v>
      </c>
      <c r="K19" s="62">
        <v>14705.208000000001</v>
      </c>
      <c r="L19" s="62">
        <v>4742.9359999999997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6005.9040000000005</v>
      </c>
      <c r="X19" s="168">
        <v>13995.472</v>
      </c>
      <c r="Y19" s="168">
        <v>9446.2960000000003</v>
      </c>
      <c r="Z19" s="168">
        <v>14448.52</v>
      </c>
      <c r="AA19" s="168">
        <v>11413.56</v>
      </c>
      <c r="AB19" s="168">
        <v>21317.200000000001</v>
      </c>
      <c r="AC19" s="62">
        <v>14705.208000000001</v>
      </c>
      <c r="AD19" s="62">
        <v>4742.9359999999997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36929.687999999995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51176.952000000005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70646.455999999991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96075.09599999999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26.822709</v>
      </c>
      <c r="G33" s="97">
        <v>31.894273999999999</v>
      </c>
      <c r="H33" s="97">
        <v>0.95634443000000002</v>
      </c>
      <c r="I33" s="60">
        <v>0.94974391000000002</v>
      </c>
      <c r="J33" s="60">
        <v>7.3161770000000001E-2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28.651108000000001</v>
      </c>
      <c r="Y33" s="97">
        <v>33.297972000000001</v>
      </c>
      <c r="Z33" s="97">
        <v>0.96126630999999996</v>
      </c>
      <c r="AA33" s="60">
        <v>0.96257197999999999</v>
      </c>
      <c r="AB33" s="60">
        <v>6.3806860000000007E-2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1.828399000000001</v>
      </c>
      <c r="AN33" s="96">
        <f t="shared" ref="AN33:AN96" si="5">IF(OR(Y33="",G33=""),"",Y33-G33)</f>
        <v>1.4036980000000021</v>
      </c>
      <c r="AO33" s="96">
        <f t="shared" ref="AO33:AO96" si="6">IF(OR(Z33="",H33=""),"",Z33-H33)</f>
        <v>4.9218799999999341E-3</v>
      </c>
      <c r="AP33" s="96">
        <f t="shared" ref="AP33:AP96" si="7">IF(OR(AA33="",I33=""),"",AA33-I33)</f>
        <v>1.2828069999999969E-2</v>
      </c>
      <c r="AQ33" s="121">
        <f t="shared" ref="AQ33:AQ96" si="8">IF(OR(AB33="",J33=""),"",AB33-J33)</f>
        <v>-9.3549099999999941E-3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30.718677</v>
      </c>
      <c r="G34" s="190">
        <v>35.105764999999998</v>
      </c>
      <c r="H34" s="190">
        <v>0.97493397999999998</v>
      </c>
      <c r="I34" s="62">
        <v>0.97260873999999997</v>
      </c>
      <c r="J34" s="62">
        <v>4.5003712000000001E-2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31.535816000000001</v>
      </c>
      <c r="Y34" s="190">
        <v>35.809708000000001</v>
      </c>
      <c r="Z34" s="190">
        <v>0.97669457000000004</v>
      </c>
      <c r="AA34" s="62">
        <v>0.97594066000000002</v>
      </c>
      <c r="AB34" s="62">
        <v>4.0584660000000002E-2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0.81713900000000095</v>
      </c>
      <c r="AN34" s="122">
        <f t="shared" si="5"/>
        <v>0.70394300000000243</v>
      </c>
      <c r="AO34" s="122">
        <f t="shared" si="6"/>
        <v>1.7605900000000618E-3</v>
      </c>
      <c r="AP34" s="122">
        <f t="shared" si="7"/>
        <v>3.3319200000000437E-3</v>
      </c>
      <c r="AQ34" s="88">
        <f t="shared" si="8"/>
        <v>-4.4190519999999997E-3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35.208333000000003</v>
      </c>
      <c r="G35" s="190">
        <v>39.272649000000001</v>
      </c>
      <c r="H35" s="190">
        <v>0.98740145999999995</v>
      </c>
      <c r="I35" s="62">
        <v>0.99000586999999995</v>
      </c>
      <c r="J35" s="62">
        <v>2.6539271999999999E-2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34.261854999999997</v>
      </c>
      <c r="Y35" s="190">
        <v>38.386325999999997</v>
      </c>
      <c r="Z35" s="190">
        <v>0.98592718000000001</v>
      </c>
      <c r="AA35" s="62">
        <v>0.98803949000000002</v>
      </c>
      <c r="AB35" s="62">
        <v>2.7234367999999998E-2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-0.94647800000000615</v>
      </c>
      <c r="AN35" s="122">
        <f t="shared" si="5"/>
        <v>-0.88632300000000441</v>
      </c>
      <c r="AO35" s="122">
        <f t="shared" si="6"/>
        <v>-1.474279999999939E-3</v>
      </c>
      <c r="AP35" s="122">
        <f t="shared" si="7"/>
        <v>-1.9663799999999343E-3</v>
      </c>
      <c r="AQ35" s="88">
        <f t="shared" si="8"/>
        <v>6.9509599999999921E-4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37.821803000000003</v>
      </c>
      <c r="G36" s="190">
        <v>41.911560999999999</v>
      </c>
      <c r="H36" s="190">
        <v>0.99184024999999998</v>
      </c>
      <c r="I36" s="62">
        <v>0.99521393000000002</v>
      </c>
      <c r="J36" s="62">
        <v>1.8475004E-2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35.847299999999997</v>
      </c>
      <c r="Y36" s="190">
        <v>39.898294999999997</v>
      </c>
      <c r="Z36" s="190">
        <v>0.98959774</v>
      </c>
      <c r="AA36" s="62">
        <v>0.99216886999999998</v>
      </c>
      <c r="AB36" s="62">
        <v>2.0949990000000002E-2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-1.9745030000000057</v>
      </c>
      <c r="AN36" s="122">
        <f t="shared" si="5"/>
        <v>-2.0132660000000016</v>
      </c>
      <c r="AO36" s="122">
        <f t="shared" si="6"/>
        <v>-2.2425099999999754E-3</v>
      </c>
      <c r="AP36" s="122">
        <f t="shared" si="7"/>
        <v>-3.0450600000000438E-3</v>
      </c>
      <c r="AQ36" s="88">
        <f t="shared" si="8"/>
        <v>2.4749860000000019E-3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27.15503</v>
      </c>
      <c r="G38" s="97">
        <v>32.206569000000002</v>
      </c>
      <c r="H38" s="97">
        <v>0.95730325999999999</v>
      </c>
      <c r="I38" s="60">
        <v>0.95267179000000002</v>
      </c>
      <c r="J38" s="60">
        <v>7.0389090000000001E-2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28.870954000000001</v>
      </c>
      <c r="Y38" s="97">
        <v>33.518048</v>
      </c>
      <c r="Z38" s="97">
        <v>0.96218634999999997</v>
      </c>
      <c r="AA38" s="60">
        <v>0.96419809000000001</v>
      </c>
      <c r="AB38" s="60">
        <v>6.1398837999999997E-2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1.7159240000000011</v>
      </c>
      <c r="AN38" s="96">
        <f t="shared" si="5"/>
        <v>1.3114789999999985</v>
      </c>
      <c r="AO38" s="96">
        <f t="shared" si="6"/>
        <v>4.8830899999999788E-3</v>
      </c>
      <c r="AP38" s="96">
        <f t="shared" si="7"/>
        <v>1.1526299999999989E-2</v>
      </c>
      <c r="AQ38" s="121">
        <f t="shared" si="8"/>
        <v>-8.9902520000000041E-3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30.670563000000001</v>
      </c>
      <c r="G39" s="190">
        <v>35.084049</v>
      </c>
      <c r="H39" s="190">
        <v>0.97492584000000004</v>
      </c>
      <c r="I39" s="62">
        <v>0.97300891</v>
      </c>
      <c r="J39" s="62">
        <v>4.4366464000000001E-2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31.529184000000001</v>
      </c>
      <c r="Y39" s="190">
        <v>35.833872999999997</v>
      </c>
      <c r="Z39" s="190">
        <v>0.97687621000000002</v>
      </c>
      <c r="AA39" s="62">
        <v>0.97830768999999995</v>
      </c>
      <c r="AB39" s="62">
        <v>3.9675333E-2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0.85862099999999941</v>
      </c>
      <c r="AN39" s="122">
        <f t="shared" si="5"/>
        <v>0.74982399999999672</v>
      </c>
      <c r="AO39" s="122">
        <f t="shared" si="6"/>
        <v>1.9503699999999791E-3</v>
      </c>
      <c r="AP39" s="122">
        <f t="shared" si="7"/>
        <v>5.2987799999999474E-3</v>
      </c>
      <c r="AQ39" s="88">
        <f t="shared" si="8"/>
        <v>-4.6911310000000012E-3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35.082214999999998</v>
      </c>
      <c r="G40" s="190">
        <v>39.175049000000001</v>
      </c>
      <c r="H40" s="190">
        <v>0.98721407000000005</v>
      </c>
      <c r="I40" s="62">
        <v>0.99041206999999998</v>
      </c>
      <c r="J40" s="62">
        <v>2.6983492000000001E-2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34.211798000000002</v>
      </c>
      <c r="Y40" s="190">
        <v>38.347634999999997</v>
      </c>
      <c r="Z40" s="190">
        <v>0.98576366999999998</v>
      </c>
      <c r="AA40" s="62">
        <v>0.98839100999999996</v>
      </c>
      <c r="AB40" s="62">
        <v>2.7411914999999999E-2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-0.87041699999999622</v>
      </c>
      <c r="AN40" s="122">
        <f t="shared" si="5"/>
        <v>-0.82741400000000453</v>
      </c>
      <c r="AO40" s="122">
        <f t="shared" si="6"/>
        <v>-1.4504000000000739E-3</v>
      </c>
      <c r="AP40" s="122">
        <f t="shared" si="7"/>
        <v>-2.021060000000019E-3</v>
      </c>
      <c r="AQ40" s="88">
        <f t="shared" si="8"/>
        <v>4.2842299999999722E-4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37.564022999999999</v>
      </c>
      <c r="G41" s="190">
        <v>41.673532999999999</v>
      </c>
      <c r="H41" s="190">
        <v>0.99154982999999997</v>
      </c>
      <c r="I41" s="62">
        <v>0.99517491999999996</v>
      </c>
      <c r="J41" s="62">
        <v>1.9391849999999999E-2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35.727438999999997</v>
      </c>
      <c r="Y41" s="190">
        <v>39.782304000000003</v>
      </c>
      <c r="Z41" s="190">
        <v>0.98934591999999999</v>
      </c>
      <c r="AA41" s="62">
        <v>0.99217449000000002</v>
      </c>
      <c r="AB41" s="62">
        <v>2.1505400000000001E-2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-1.836584000000002</v>
      </c>
      <c r="AN41" s="122">
        <f t="shared" si="5"/>
        <v>-1.8912289999999956</v>
      </c>
      <c r="AO41" s="122">
        <f t="shared" si="6"/>
        <v>-2.2039099999999756E-3</v>
      </c>
      <c r="AP41" s="122">
        <f t="shared" si="7"/>
        <v>-3.0004299999999429E-3</v>
      </c>
      <c r="AQ41" s="88">
        <f t="shared" si="8"/>
        <v>2.1135500000000022E-3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27.395927</v>
      </c>
      <c r="G43" s="97">
        <v>32.426301000000002</v>
      </c>
      <c r="H43" s="97">
        <v>0.95755312000000004</v>
      </c>
      <c r="I43" s="60">
        <v>0.95498380999999999</v>
      </c>
      <c r="J43" s="60">
        <v>6.5477439999999998E-2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29.008976000000001</v>
      </c>
      <c r="Y43" s="97">
        <v>33.654927000000001</v>
      </c>
      <c r="Z43" s="97">
        <v>0.96181229999999995</v>
      </c>
      <c r="AA43" s="60">
        <v>0.96502385000000002</v>
      </c>
      <c r="AB43" s="60">
        <v>5.7751312999999999E-2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1.6130490000000002</v>
      </c>
      <c r="AN43" s="96">
        <f t="shared" si="5"/>
        <v>1.2286259999999984</v>
      </c>
      <c r="AO43" s="96">
        <f t="shared" si="6"/>
        <v>4.259179999999918E-3</v>
      </c>
      <c r="AP43" s="96">
        <f t="shared" si="7"/>
        <v>1.0040040000000028E-2</v>
      </c>
      <c r="AQ43" s="121">
        <f t="shared" si="8"/>
        <v>-7.7261269999999993E-3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30.697759000000001</v>
      </c>
      <c r="G44" s="190">
        <v>35.114454000000002</v>
      </c>
      <c r="H44" s="190">
        <v>0.97455362999999995</v>
      </c>
      <c r="I44" s="62">
        <v>0.97301749000000004</v>
      </c>
      <c r="J44" s="62">
        <v>4.1261587000000002E-2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31.531798999999999</v>
      </c>
      <c r="Y44" s="190">
        <v>35.848469999999999</v>
      </c>
      <c r="Z44" s="190">
        <v>0.97652676000000005</v>
      </c>
      <c r="AA44" s="62">
        <v>0.97800191999999997</v>
      </c>
      <c r="AB44" s="62">
        <v>3.7314380000000001E-2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0.83403999999999812</v>
      </c>
      <c r="AN44" s="122">
        <f t="shared" si="5"/>
        <v>0.73401599999999689</v>
      </c>
      <c r="AO44" s="122">
        <f t="shared" si="6"/>
        <v>1.9731300000001006E-3</v>
      </c>
      <c r="AP44" s="122">
        <f t="shared" si="7"/>
        <v>4.9844299999999286E-3</v>
      </c>
      <c r="AQ44" s="88">
        <f t="shared" si="8"/>
        <v>-3.9472070000000012E-3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35.193804999999998</v>
      </c>
      <c r="G45" s="190">
        <v>39.255200000000002</v>
      </c>
      <c r="H45" s="190">
        <v>0.98722105000000004</v>
      </c>
      <c r="I45" s="62">
        <v>0.99038409999999999</v>
      </c>
      <c r="J45" s="62">
        <v>2.4934814999999999E-2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34.241459999999996</v>
      </c>
      <c r="Y45" s="190">
        <v>38.359326000000003</v>
      </c>
      <c r="Z45" s="190">
        <v>0.98557669000000003</v>
      </c>
      <c r="AA45" s="62">
        <v>0.98793160999999996</v>
      </c>
      <c r="AB45" s="62">
        <v>2.5696380000000001E-2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-0.95234500000000111</v>
      </c>
      <c r="AN45" s="122">
        <f t="shared" si="5"/>
        <v>-0.89587399999999917</v>
      </c>
      <c r="AO45" s="122">
        <f t="shared" si="6"/>
        <v>-1.6443600000000114E-3</v>
      </c>
      <c r="AP45" s="122">
        <f t="shared" si="7"/>
        <v>-2.4524900000000294E-3</v>
      </c>
      <c r="AQ45" s="88">
        <f t="shared" si="8"/>
        <v>7.6156500000000224E-4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37.602215000000001</v>
      </c>
      <c r="G46" s="190">
        <v>41.690871000000001</v>
      </c>
      <c r="H46" s="190">
        <v>0.99160048999999995</v>
      </c>
      <c r="I46" s="62">
        <v>0.99513750999999995</v>
      </c>
      <c r="J46" s="62">
        <v>1.8027644999999998E-2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35.687466000000001</v>
      </c>
      <c r="Y46" s="190">
        <v>39.742336999999999</v>
      </c>
      <c r="Z46" s="190">
        <v>0.98927500000000002</v>
      </c>
      <c r="AA46" s="62">
        <v>0.99163802000000001</v>
      </c>
      <c r="AB46" s="62">
        <v>2.0101576999999999E-2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-1.9147490000000005</v>
      </c>
      <c r="AN46" s="122">
        <f t="shared" si="5"/>
        <v>-1.9485340000000022</v>
      </c>
      <c r="AO46" s="122">
        <f t="shared" si="6"/>
        <v>-2.3254899999999301E-3</v>
      </c>
      <c r="AP46" s="122">
        <f t="shared" si="7"/>
        <v>-3.4994899999999385E-3</v>
      </c>
      <c r="AQ46" s="88">
        <f t="shared" si="8"/>
        <v>2.0739320000000006E-3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27.406086999999999</v>
      </c>
      <c r="G48" s="97">
        <v>32.42689</v>
      </c>
      <c r="H48" s="97">
        <v>0.95777323000000003</v>
      </c>
      <c r="I48" s="60">
        <v>0.95496380999999997</v>
      </c>
      <c r="J48" s="60">
        <v>6.7140969999999994E-2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28.959996</v>
      </c>
      <c r="Y48" s="97">
        <v>33.610086000000003</v>
      </c>
      <c r="Z48" s="97">
        <v>0.96193039000000002</v>
      </c>
      <c r="AA48" s="60">
        <v>0.96512766000000005</v>
      </c>
      <c r="AB48" s="60">
        <v>5.9733122999999999E-2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1.5539090000000009</v>
      </c>
      <c r="AN48" s="96">
        <f t="shared" si="5"/>
        <v>1.1831960000000024</v>
      </c>
      <c r="AO48" s="96">
        <f t="shared" si="6"/>
        <v>4.1571599999999931E-3</v>
      </c>
      <c r="AP48" s="96">
        <f t="shared" si="7"/>
        <v>1.0163850000000085E-2</v>
      </c>
      <c r="AQ48" s="121">
        <f t="shared" si="8"/>
        <v>-7.4078469999999952E-3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30.551265000000001</v>
      </c>
      <c r="G49" s="190">
        <v>34.978853999999998</v>
      </c>
      <c r="H49" s="190">
        <v>0.97408086000000005</v>
      </c>
      <c r="I49" s="62">
        <v>0.97217920000000002</v>
      </c>
      <c r="J49" s="62">
        <v>4.3624606000000003E-2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31.374645000000001</v>
      </c>
      <c r="Y49" s="190">
        <v>35.712252999999997</v>
      </c>
      <c r="Z49" s="190">
        <v>0.97617560000000003</v>
      </c>
      <c r="AA49" s="62">
        <v>0.9770934</v>
      </c>
      <c r="AB49" s="62">
        <v>3.9365009999999999E-2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0.82338000000000022</v>
      </c>
      <c r="AN49" s="122">
        <f t="shared" si="5"/>
        <v>0.73339899999999858</v>
      </c>
      <c r="AO49" s="122">
        <f t="shared" si="6"/>
        <v>2.0947399999999838E-3</v>
      </c>
      <c r="AP49" s="122">
        <f t="shared" si="7"/>
        <v>4.9141999999999797E-3</v>
      </c>
      <c r="AQ49" s="88">
        <f t="shared" si="8"/>
        <v>-4.2595960000000044E-3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35.215649999999997</v>
      </c>
      <c r="G50" s="190">
        <v>39.264226000000001</v>
      </c>
      <c r="H50" s="190">
        <v>0.98699548000000004</v>
      </c>
      <c r="I50" s="62">
        <v>0.99021384999999995</v>
      </c>
      <c r="J50" s="62">
        <v>2.6084713999999998E-2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34.151287000000004</v>
      </c>
      <c r="Y50" s="190">
        <v>38.273147000000002</v>
      </c>
      <c r="Z50" s="190">
        <v>0.98531765000000004</v>
      </c>
      <c r="AA50" s="62">
        <v>0.98734615999999997</v>
      </c>
      <c r="AB50" s="62">
        <v>2.6865888000000001E-2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-1.0643629999999931</v>
      </c>
      <c r="AN50" s="122">
        <f t="shared" si="5"/>
        <v>-0.99107899999999916</v>
      </c>
      <c r="AO50" s="122">
        <f t="shared" si="6"/>
        <v>-1.6778299999999913E-3</v>
      </c>
      <c r="AP50" s="122">
        <f t="shared" si="7"/>
        <v>-2.8676899999999783E-3</v>
      </c>
      <c r="AQ50" s="88">
        <f t="shared" si="8"/>
        <v>7.8117400000000253E-4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37.544877</v>
      </c>
      <c r="G51" s="190">
        <v>41.619892999999998</v>
      </c>
      <c r="H51" s="190">
        <v>0.99138831000000005</v>
      </c>
      <c r="I51" s="62">
        <v>0.99507394000000005</v>
      </c>
      <c r="J51" s="62">
        <v>1.9179547000000002E-2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35.530245000000001</v>
      </c>
      <c r="Y51" s="190">
        <v>39.591088999999997</v>
      </c>
      <c r="Z51" s="190">
        <v>0.98906828000000002</v>
      </c>
      <c r="AA51" s="62">
        <v>0.99108065000000001</v>
      </c>
      <c r="AB51" s="62">
        <v>2.1188695E-2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-2.0146319999999989</v>
      </c>
      <c r="AN51" s="122">
        <f t="shared" si="5"/>
        <v>-2.0288040000000009</v>
      </c>
      <c r="AO51" s="122">
        <f t="shared" si="6"/>
        <v>-2.3200300000000285E-3</v>
      </c>
      <c r="AP51" s="122">
        <f t="shared" si="7"/>
        <v>-3.9932900000000382E-3</v>
      </c>
      <c r="AQ51" s="88">
        <f t="shared" si="8"/>
        <v>2.0091479999999988E-3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27.461846000000001</v>
      </c>
      <c r="G53" s="97">
        <v>32.418275000000001</v>
      </c>
      <c r="H53" s="97">
        <v>0.95585049</v>
      </c>
      <c r="I53" s="60">
        <v>0.95539302999999998</v>
      </c>
      <c r="J53" s="60">
        <v>7.0979009999999995E-2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28.880994000000001</v>
      </c>
      <c r="Y53" s="97">
        <v>33.488905000000003</v>
      </c>
      <c r="Z53" s="97">
        <v>0.95946626999999995</v>
      </c>
      <c r="AA53" s="60">
        <v>0.96489314000000004</v>
      </c>
      <c r="AB53" s="60">
        <v>6.3737130000000003E-2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1.4191479999999999</v>
      </c>
      <c r="AN53" s="96">
        <f t="shared" si="5"/>
        <v>1.0706300000000013</v>
      </c>
      <c r="AO53" s="96">
        <f t="shared" si="6"/>
        <v>3.6157799999999574E-3</v>
      </c>
      <c r="AP53" s="96">
        <f t="shared" si="7"/>
        <v>9.5001100000000616E-3</v>
      </c>
      <c r="AQ53" s="121">
        <f t="shared" si="8"/>
        <v>-7.2418799999999922E-3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30.535499999999999</v>
      </c>
      <c r="G54" s="190">
        <v>34.941802000000003</v>
      </c>
      <c r="H54" s="190">
        <v>0.97325649000000003</v>
      </c>
      <c r="I54" s="62">
        <v>0.97258571999999999</v>
      </c>
      <c r="J54" s="62">
        <v>4.5896985000000001E-2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31.307815000000002</v>
      </c>
      <c r="Y54" s="190">
        <v>35.617491000000001</v>
      </c>
      <c r="Z54" s="190">
        <v>0.97530866999999999</v>
      </c>
      <c r="AA54" s="62">
        <v>0.97727231999999997</v>
      </c>
      <c r="AB54" s="62">
        <v>4.1321464000000002E-2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0.77231500000000253</v>
      </c>
      <c r="AN54" s="122">
        <f t="shared" si="5"/>
        <v>0.67568899999999843</v>
      </c>
      <c r="AO54" s="122">
        <f t="shared" si="6"/>
        <v>2.052179999999959E-3</v>
      </c>
      <c r="AP54" s="122">
        <f t="shared" si="7"/>
        <v>4.6865999999999852E-3</v>
      </c>
      <c r="AQ54" s="88">
        <f t="shared" si="8"/>
        <v>-4.5755209999999991E-3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34.999614000000001</v>
      </c>
      <c r="G55" s="190">
        <v>39.030625000000001</v>
      </c>
      <c r="H55" s="190">
        <v>0.98639427000000002</v>
      </c>
      <c r="I55" s="62">
        <v>0.98987499000000001</v>
      </c>
      <c r="J55" s="62">
        <v>2.7892190000000001E-2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33.915812000000003</v>
      </c>
      <c r="Y55" s="190">
        <v>38.015056000000001</v>
      </c>
      <c r="Z55" s="190">
        <v>0.98455552000000002</v>
      </c>
      <c r="AA55" s="62">
        <v>0.98692997999999998</v>
      </c>
      <c r="AB55" s="62">
        <v>2.8714452000000001E-2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-1.0838019999999986</v>
      </c>
      <c r="AN55" s="122">
        <f t="shared" si="5"/>
        <v>-1.0155689999999993</v>
      </c>
      <c r="AO55" s="122">
        <f t="shared" si="6"/>
        <v>-1.8387500000000001E-3</v>
      </c>
      <c r="AP55" s="122">
        <f t="shared" si="7"/>
        <v>-2.9450100000000257E-3</v>
      </c>
      <c r="AQ55" s="88">
        <f t="shared" si="8"/>
        <v>8.2226200000000069E-4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37.247562000000002</v>
      </c>
      <c r="G56" s="190">
        <v>41.294356000000001</v>
      </c>
      <c r="H56" s="190">
        <v>0.99092533999999999</v>
      </c>
      <c r="I56" s="62">
        <v>0.99484271999999996</v>
      </c>
      <c r="J56" s="62">
        <v>2.0623737999999999E-2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35.248856000000004</v>
      </c>
      <c r="Y56" s="190">
        <v>39.289212999999997</v>
      </c>
      <c r="Z56" s="190">
        <v>0.98844264000000004</v>
      </c>
      <c r="AA56" s="62">
        <v>0.99069368000000002</v>
      </c>
      <c r="AB56" s="62">
        <v>2.2604447E-2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-1.9987059999999985</v>
      </c>
      <c r="AN56" s="122">
        <f t="shared" si="5"/>
        <v>-2.0051430000000039</v>
      </c>
      <c r="AO56" s="122">
        <f t="shared" si="6"/>
        <v>-2.4826999999999488E-3</v>
      </c>
      <c r="AP56" s="122">
        <f t="shared" si="7"/>
        <v>-4.1490399999999372E-3</v>
      </c>
      <c r="AQ56" s="88">
        <f t="shared" si="8"/>
        <v>1.9807090000000006E-3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27.015913000000001</v>
      </c>
      <c r="G58" s="97">
        <v>32.128841000000001</v>
      </c>
      <c r="H58" s="97">
        <v>0.95702016000000001</v>
      </c>
      <c r="I58" s="60">
        <v>0.95447514</v>
      </c>
      <c r="J58" s="60">
        <v>7.3451680000000005E-2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28.754968000000002</v>
      </c>
      <c r="Y58" s="97">
        <v>33.457255000000004</v>
      </c>
      <c r="Z58" s="97">
        <v>0.96144865999999995</v>
      </c>
      <c r="AA58" s="60">
        <v>0.96472718000000002</v>
      </c>
      <c r="AB58" s="60">
        <v>6.4040840000000002E-2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1.7390550000000005</v>
      </c>
      <c r="AN58" s="96">
        <f t="shared" si="5"/>
        <v>1.3284140000000022</v>
      </c>
      <c r="AO58" s="96">
        <f t="shared" si="6"/>
        <v>4.4284999999999464E-3</v>
      </c>
      <c r="AP58" s="96">
        <f t="shared" si="7"/>
        <v>1.0252040000000018E-2</v>
      </c>
      <c r="AQ58" s="121">
        <f t="shared" si="8"/>
        <v>-9.4108400000000036E-3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30.87134</v>
      </c>
      <c r="G59" s="190">
        <v>35.404367000000001</v>
      </c>
      <c r="H59" s="190">
        <v>0.97574711000000003</v>
      </c>
      <c r="I59" s="62">
        <v>0.97445409000000005</v>
      </c>
      <c r="J59" s="62">
        <v>4.3537956000000003E-2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31.713031000000001</v>
      </c>
      <c r="Y59" s="190">
        <v>36.098647999999997</v>
      </c>
      <c r="Z59" s="190">
        <v>0.97726780999999996</v>
      </c>
      <c r="AA59" s="62">
        <v>0.97937311000000005</v>
      </c>
      <c r="AB59" s="62">
        <v>3.9766139999999998E-2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0.84169100000000086</v>
      </c>
      <c r="AN59" s="122">
        <f t="shared" si="5"/>
        <v>0.6942809999999966</v>
      </c>
      <c r="AO59" s="122">
        <f t="shared" si="6"/>
        <v>1.5206999999999304E-3</v>
      </c>
      <c r="AP59" s="122">
        <f t="shared" si="7"/>
        <v>4.9190199999999962E-3</v>
      </c>
      <c r="AQ59" s="88">
        <f t="shared" si="8"/>
        <v>-3.7718160000000042E-3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35.184916000000001</v>
      </c>
      <c r="G60" s="190">
        <v>39.299033000000001</v>
      </c>
      <c r="H60" s="190">
        <v>0.98817891999999996</v>
      </c>
      <c r="I60" s="62">
        <v>0.99054430999999998</v>
      </c>
      <c r="J60" s="62">
        <v>2.4527107999999999E-2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34.355508</v>
      </c>
      <c r="Y60" s="190">
        <v>38.518653999999998</v>
      </c>
      <c r="Z60" s="190">
        <v>0.98635923999999997</v>
      </c>
      <c r="AA60" s="62">
        <v>0.98879269999999997</v>
      </c>
      <c r="AB60" s="62">
        <v>2.5975145000000002E-2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-0.82940800000000081</v>
      </c>
      <c r="AN60" s="122">
        <f t="shared" si="5"/>
        <v>-0.78037900000000349</v>
      </c>
      <c r="AO60" s="122">
        <f t="shared" si="6"/>
        <v>-1.8196799999999902E-3</v>
      </c>
      <c r="AP60" s="122">
        <f t="shared" si="7"/>
        <v>-1.7516100000000145E-3</v>
      </c>
      <c r="AQ60" s="88">
        <f t="shared" si="8"/>
        <v>1.4480370000000027E-3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37.748719000000001</v>
      </c>
      <c r="G61" s="190">
        <v>41.856163000000002</v>
      </c>
      <c r="H61" s="190">
        <v>0.99245578999999995</v>
      </c>
      <c r="I61" s="62">
        <v>0.99554823000000003</v>
      </c>
      <c r="J61" s="62">
        <v>1.7698684999999999E-2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35.880150999999998</v>
      </c>
      <c r="Y61" s="190">
        <v>39.929377000000002</v>
      </c>
      <c r="Z61" s="190">
        <v>0.98990230000000001</v>
      </c>
      <c r="AA61" s="62">
        <v>0.99279055999999999</v>
      </c>
      <c r="AB61" s="62">
        <v>2.0659149000000002E-2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-1.8685680000000033</v>
      </c>
      <c r="AN61" s="122">
        <f t="shared" si="5"/>
        <v>-1.9267859999999999</v>
      </c>
      <c r="AO61" s="122">
        <f t="shared" si="6"/>
        <v>-2.5534899999999361E-3</v>
      </c>
      <c r="AP61" s="122">
        <f t="shared" si="7"/>
        <v>-2.7576700000000454E-3</v>
      </c>
      <c r="AQ61" s="88">
        <f t="shared" si="8"/>
        <v>2.9604640000000029E-3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27.141102</v>
      </c>
      <c r="G63" s="97">
        <v>32.32602</v>
      </c>
      <c r="H63" s="97">
        <v>0.95799069000000003</v>
      </c>
      <c r="I63" s="60">
        <v>0.95360668000000004</v>
      </c>
      <c r="J63" s="60">
        <v>6.721154E-2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28.835267000000002</v>
      </c>
      <c r="Y63" s="97">
        <v>33.608307000000003</v>
      </c>
      <c r="Z63" s="97">
        <v>0.96260416999999998</v>
      </c>
      <c r="AA63" s="60">
        <v>0.96354518</v>
      </c>
      <c r="AB63" s="60">
        <v>5.858199E-2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1.6941650000000017</v>
      </c>
      <c r="AN63" s="96">
        <f t="shared" si="5"/>
        <v>1.2822870000000037</v>
      </c>
      <c r="AO63" s="96">
        <f t="shared" si="6"/>
        <v>4.6134799999999476E-3</v>
      </c>
      <c r="AP63" s="96">
        <f t="shared" si="7"/>
        <v>9.9384999999999613E-3</v>
      </c>
      <c r="AQ63" s="121">
        <f t="shared" si="8"/>
        <v>-8.6295499999999997E-3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30.764541000000001</v>
      </c>
      <c r="G64" s="190">
        <v>35.355891</v>
      </c>
      <c r="H64" s="190">
        <v>0.97554759999999996</v>
      </c>
      <c r="I64" s="62">
        <v>0.97143144000000003</v>
      </c>
      <c r="J64" s="62">
        <v>4.1654070000000001E-2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31.641096000000001</v>
      </c>
      <c r="Y64" s="190">
        <v>36.065621999999998</v>
      </c>
      <c r="Z64" s="190">
        <v>0.97736650000000003</v>
      </c>
      <c r="AA64" s="62">
        <v>0.97681967999999997</v>
      </c>
      <c r="AB64" s="62">
        <v>3.7394624000000001E-2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0.87655499999999975</v>
      </c>
      <c r="AN64" s="122">
        <f t="shared" si="5"/>
        <v>0.70973099999999789</v>
      </c>
      <c r="AO64" s="122">
        <f t="shared" si="6"/>
        <v>1.8189000000000677E-3</v>
      </c>
      <c r="AP64" s="122">
        <f t="shared" si="7"/>
        <v>5.3882399999999331E-3</v>
      </c>
      <c r="AQ64" s="88">
        <f t="shared" si="8"/>
        <v>-4.2594460000000001E-3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35.208038000000002</v>
      </c>
      <c r="G65" s="190">
        <v>39.335859999999997</v>
      </c>
      <c r="H65" s="190">
        <v>0.9880755</v>
      </c>
      <c r="I65" s="62">
        <v>0.99014009000000003</v>
      </c>
      <c r="J65" s="62">
        <v>2.3809284E-2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34.341222999999999</v>
      </c>
      <c r="Y65" s="190">
        <v>38.505026999999998</v>
      </c>
      <c r="Z65" s="190">
        <v>0.98635435000000005</v>
      </c>
      <c r="AA65" s="62">
        <v>0.98740123000000002</v>
      </c>
      <c r="AB65" s="62">
        <v>2.4951916000000001E-2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-0.86681500000000256</v>
      </c>
      <c r="AN65" s="122">
        <f t="shared" si="5"/>
        <v>-0.83083299999999838</v>
      </c>
      <c r="AO65" s="122">
        <f t="shared" si="6"/>
        <v>-1.7211499999999491E-3</v>
      </c>
      <c r="AP65" s="122">
        <f t="shared" si="7"/>
        <v>-2.7388600000000096E-3</v>
      </c>
      <c r="AQ65" s="88">
        <f t="shared" si="8"/>
        <v>1.1426320000000011E-3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37.707915999999997</v>
      </c>
      <c r="G66" s="190">
        <v>41.820720999999999</v>
      </c>
      <c r="H66" s="190">
        <v>0.99227363000000002</v>
      </c>
      <c r="I66" s="62">
        <v>0.99525814999999995</v>
      </c>
      <c r="J66" s="62">
        <v>1.7411407E-2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35.875950000000003</v>
      </c>
      <c r="Y66" s="190">
        <v>39.920935999999998</v>
      </c>
      <c r="Z66" s="190">
        <v>0.98986225999999999</v>
      </c>
      <c r="AA66" s="62">
        <v>0.99147004999999999</v>
      </c>
      <c r="AB66" s="62">
        <v>2.0003070000000001E-2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-1.8319659999999942</v>
      </c>
      <c r="AN66" s="122">
        <f t="shared" si="5"/>
        <v>-1.8997850000000014</v>
      </c>
      <c r="AO66" s="122">
        <f t="shared" si="6"/>
        <v>-2.4113700000000238E-3</v>
      </c>
      <c r="AP66" s="122">
        <f t="shared" si="7"/>
        <v>-3.7880999999999609E-3</v>
      </c>
      <c r="AQ66" s="88">
        <f t="shared" si="8"/>
        <v>2.591663000000001E-3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27.331707999999999</v>
      </c>
      <c r="G68" s="97">
        <v>32.507140999999997</v>
      </c>
      <c r="H68" s="97">
        <v>0.95828665000000002</v>
      </c>
      <c r="I68" s="60">
        <v>0.95433583</v>
      </c>
      <c r="J68" s="60">
        <v>6.4277420000000002E-2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28.960118000000001</v>
      </c>
      <c r="Y68" s="97">
        <v>33.734681999999999</v>
      </c>
      <c r="Z68" s="97">
        <v>0.96254695000000001</v>
      </c>
      <c r="AA68" s="60">
        <v>0.96375979000000001</v>
      </c>
      <c r="AB68" s="60">
        <v>5.636124E-2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1.6284100000000024</v>
      </c>
      <c r="AN68" s="96">
        <f t="shared" si="5"/>
        <v>1.2275410000000022</v>
      </c>
      <c r="AO68" s="96">
        <f t="shared" si="6"/>
        <v>4.2602999999999946E-3</v>
      </c>
      <c r="AP68" s="96">
        <f t="shared" si="7"/>
        <v>9.423960000000009E-3</v>
      </c>
      <c r="AQ68" s="121">
        <f t="shared" si="8"/>
        <v>-7.9161800000000018E-3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30.849554000000001</v>
      </c>
      <c r="G69" s="190">
        <v>35.446496000000003</v>
      </c>
      <c r="H69" s="190">
        <v>0.97521000000000002</v>
      </c>
      <c r="I69" s="62">
        <v>0.97091852999999995</v>
      </c>
      <c r="J69" s="62">
        <v>4.0489222999999998E-2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31.662293999999999</v>
      </c>
      <c r="Y69" s="190">
        <v>36.099490000000003</v>
      </c>
      <c r="Z69" s="190">
        <v>0.97704248000000005</v>
      </c>
      <c r="AA69" s="62">
        <v>0.97601996999999996</v>
      </c>
      <c r="AB69" s="62">
        <v>3.6547660000000003E-2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0.81273999999999802</v>
      </c>
      <c r="AN69" s="122">
        <f t="shared" si="5"/>
        <v>0.65299399999999963</v>
      </c>
      <c r="AO69" s="122">
        <f t="shared" si="6"/>
        <v>1.8324800000000252E-3</v>
      </c>
      <c r="AP69" s="122">
        <f t="shared" si="7"/>
        <v>5.1014400000000126E-3</v>
      </c>
      <c r="AQ69" s="88">
        <f t="shared" si="8"/>
        <v>-3.9415629999999952E-3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35.232550000000003</v>
      </c>
      <c r="G70" s="190">
        <v>39.349832999999997</v>
      </c>
      <c r="H70" s="190">
        <v>0.98786896000000002</v>
      </c>
      <c r="I70" s="62">
        <v>0.98967539999999998</v>
      </c>
      <c r="J70" s="62">
        <v>2.3408874999999999E-2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34.296809000000003</v>
      </c>
      <c r="Y70" s="190">
        <v>38.462825000000002</v>
      </c>
      <c r="Z70" s="190">
        <v>0.98603921000000005</v>
      </c>
      <c r="AA70" s="62">
        <v>0.98652028999999997</v>
      </c>
      <c r="AB70" s="62">
        <v>2.4687918E-2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-0.93574100000000016</v>
      </c>
      <c r="AN70" s="122">
        <f t="shared" si="5"/>
        <v>-0.88700799999999447</v>
      </c>
      <c r="AO70" s="122">
        <f t="shared" si="6"/>
        <v>-1.8297499999999634E-3</v>
      </c>
      <c r="AP70" s="122">
        <f t="shared" si="7"/>
        <v>-3.1551100000000165E-3</v>
      </c>
      <c r="AQ70" s="88">
        <f t="shared" si="8"/>
        <v>1.2790430000000005E-3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37.644455000000001</v>
      </c>
      <c r="G71" s="190">
        <v>41.736614000000003</v>
      </c>
      <c r="H71" s="190">
        <v>0.99211748</v>
      </c>
      <c r="I71" s="62">
        <v>0.99504283999999998</v>
      </c>
      <c r="J71" s="62">
        <v>1.7363079999999999E-2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35.776445000000002</v>
      </c>
      <c r="Y71" s="190">
        <v>39.820163000000001</v>
      </c>
      <c r="Z71" s="190">
        <v>0.98961505000000005</v>
      </c>
      <c r="AA71" s="62">
        <v>0.99068398000000002</v>
      </c>
      <c r="AB71" s="62">
        <v>1.9819944999999999E-2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-1.8680099999999982</v>
      </c>
      <c r="AN71" s="122">
        <f t="shared" si="5"/>
        <v>-1.9164510000000021</v>
      </c>
      <c r="AO71" s="122">
        <f t="shared" si="6"/>
        <v>-2.5024299999999444E-3</v>
      </c>
      <c r="AP71" s="122">
        <f t="shared" si="7"/>
        <v>-4.3588599999999644E-3</v>
      </c>
      <c r="AQ71" s="88">
        <f t="shared" si="8"/>
        <v>2.456864999999999E-3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27.364538</v>
      </c>
      <c r="G73" s="97">
        <v>32.512600999999997</v>
      </c>
      <c r="H73" s="97">
        <v>0.95837852999999995</v>
      </c>
      <c r="I73" s="60">
        <v>0.95343144999999996</v>
      </c>
      <c r="J73" s="60">
        <v>6.4443570000000006E-2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28.955062999999999</v>
      </c>
      <c r="Y73" s="97">
        <v>33.709933999999997</v>
      </c>
      <c r="Z73" s="97">
        <v>0.96259461999999996</v>
      </c>
      <c r="AA73" s="60">
        <v>0.96381421</v>
      </c>
      <c r="AB73" s="60">
        <v>5.6834016000000001E-2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1.5905249999999995</v>
      </c>
      <c r="AN73" s="96">
        <f t="shared" si="5"/>
        <v>1.1973330000000004</v>
      </c>
      <c r="AO73" s="96">
        <f t="shared" si="6"/>
        <v>4.2160900000000057E-3</v>
      </c>
      <c r="AP73" s="96">
        <f t="shared" si="7"/>
        <v>1.0382760000000046E-2</v>
      </c>
      <c r="AQ73" s="121">
        <f t="shared" si="8"/>
        <v>-7.6095540000000045E-3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30.842153</v>
      </c>
      <c r="G74" s="190">
        <v>35.410561000000001</v>
      </c>
      <c r="H74" s="190">
        <v>0.97501534000000001</v>
      </c>
      <c r="I74" s="62">
        <v>0.97086282999999995</v>
      </c>
      <c r="J74" s="62">
        <v>4.0640425000000001E-2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31.628910999999999</v>
      </c>
      <c r="Y74" s="190">
        <v>36.047359999999998</v>
      </c>
      <c r="Z74" s="190">
        <v>0.97688107999999996</v>
      </c>
      <c r="AA74" s="62">
        <v>0.97588114999999998</v>
      </c>
      <c r="AB74" s="62">
        <v>3.6833606999999997E-2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0.78675799999999896</v>
      </c>
      <c r="AN74" s="122">
        <f t="shared" si="5"/>
        <v>0.63679899999999634</v>
      </c>
      <c r="AO74" s="122">
        <f t="shared" si="6"/>
        <v>1.8657399999999491E-3</v>
      </c>
      <c r="AP74" s="122">
        <f t="shared" si="7"/>
        <v>5.0183200000000205E-3</v>
      </c>
      <c r="AQ74" s="88">
        <f t="shared" si="8"/>
        <v>-3.8068180000000035E-3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35.254483</v>
      </c>
      <c r="G75" s="190">
        <v>39.365321999999999</v>
      </c>
      <c r="H75" s="190">
        <v>0.98775367999999997</v>
      </c>
      <c r="I75" s="62">
        <v>0.98964447</v>
      </c>
      <c r="J75" s="62">
        <v>2.3678798000000001E-2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34.239829999999998</v>
      </c>
      <c r="Y75" s="190">
        <v>38.408552999999998</v>
      </c>
      <c r="Z75" s="190">
        <v>0.98591393999999999</v>
      </c>
      <c r="AA75" s="62">
        <v>0.98651226000000003</v>
      </c>
      <c r="AB75" s="62">
        <v>2.4922382E-2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-1.0146530000000027</v>
      </c>
      <c r="AN75" s="122">
        <f t="shared" si="5"/>
        <v>-0.95676900000000131</v>
      </c>
      <c r="AO75" s="122">
        <f t="shared" si="6"/>
        <v>-1.8397399999999786E-3</v>
      </c>
      <c r="AP75" s="122">
        <f t="shared" si="7"/>
        <v>-3.1322099999999686E-3</v>
      </c>
      <c r="AQ75" s="88">
        <f t="shared" si="8"/>
        <v>1.243583999999999E-3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37.627288</v>
      </c>
      <c r="G76" s="190">
        <v>41.707580999999998</v>
      </c>
      <c r="H76" s="190">
        <v>0.99200524999999995</v>
      </c>
      <c r="I76" s="62">
        <v>0.99508116999999996</v>
      </c>
      <c r="J76" s="62">
        <v>1.7650628000000002E-2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35.680984000000002</v>
      </c>
      <c r="Y76" s="190">
        <v>39.735106999999999</v>
      </c>
      <c r="Z76" s="190">
        <v>0.98950340000000003</v>
      </c>
      <c r="AA76" s="62">
        <v>0.99074631000000002</v>
      </c>
      <c r="AB76" s="62">
        <v>2.0012707000000001E-2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-1.9463039999999978</v>
      </c>
      <c r="AN76" s="122">
        <f t="shared" si="5"/>
        <v>-1.9724739999999983</v>
      </c>
      <c r="AO76" s="122">
        <f t="shared" si="6"/>
        <v>-2.5018499999999166E-3</v>
      </c>
      <c r="AP76" s="122">
        <f t="shared" si="7"/>
        <v>-4.3348599999999404E-3</v>
      </c>
      <c r="AQ76" s="88">
        <f t="shared" si="8"/>
        <v>2.3620789999999996E-3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27.405705000000001</v>
      </c>
      <c r="G78" s="97">
        <v>32.457841999999999</v>
      </c>
      <c r="H78" s="97">
        <v>0.95638084000000001</v>
      </c>
      <c r="I78" s="60">
        <v>0.95399014000000004</v>
      </c>
      <c r="J78" s="60">
        <v>6.8317509999999998E-2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28.873788000000001</v>
      </c>
      <c r="Y78" s="97">
        <v>33.553243000000002</v>
      </c>
      <c r="Z78" s="97">
        <v>0.96017606</v>
      </c>
      <c r="AA78" s="60">
        <v>0.96414277999999998</v>
      </c>
      <c r="AB78" s="60">
        <v>6.1637137000000002E-2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1.468083</v>
      </c>
      <c r="AN78" s="96">
        <f t="shared" si="5"/>
        <v>1.0954010000000025</v>
      </c>
      <c r="AO78" s="96">
        <f t="shared" si="6"/>
        <v>3.795219999999988E-3</v>
      </c>
      <c r="AP78" s="96">
        <f t="shared" si="7"/>
        <v>1.0152639999999935E-2</v>
      </c>
      <c r="AQ78" s="121">
        <f t="shared" si="8"/>
        <v>-6.6803729999999964E-3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30.773243999999998</v>
      </c>
      <c r="G79" s="190">
        <v>35.277866000000003</v>
      </c>
      <c r="H79" s="190">
        <v>0.97366498000000001</v>
      </c>
      <c r="I79" s="62">
        <v>0.97176437999999998</v>
      </c>
      <c r="J79" s="62">
        <v>4.4094090000000002E-2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31.517457</v>
      </c>
      <c r="Y79" s="190">
        <v>35.873078</v>
      </c>
      <c r="Z79" s="190">
        <v>0.97540603999999997</v>
      </c>
      <c r="AA79" s="62">
        <v>0.97641633999999999</v>
      </c>
      <c r="AB79" s="62">
        <v>4.0510549999999999E-2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0.74421300000000201</v>
      </c>
      <c r="AN79" s="122">
        <f t="shared" si="5"/>
        <v>0.59521199999999652</v>
      </c>
      <c r="AO79" s="122">
        <f t="shared" si="6"/>
        <v>1.741059999999961E-3</v>
      </c>
      <c r="AP79" s="122">
        <f t="shared" si="7"/>
        <v>4.6519600000000105E-3</v>
      </c>
      <c r="AQ79" s="88">
        <f t="shared" si="8"/>
        <v>-3.5835400000000031E-3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35.080210999999998</v>
      </c>
      <c r="G80" s="190">
        <v>39.169288000000002</v>
      </c>
      <c r="H80" s="190">
        <v>0.98669481999999997</v>
      </c>
      <c r="I80" s="62">
        <v>0.98969298000000006</v>
      </c>
      <c r="J80" s="62">
        <v>2.6203364E-2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34.026282999999999</v>
      </c>
      <c r="Y80" s="190">
        <v>38.169817000000002</v>
      </c>
      <c r="Z80" s="190">
        <v>0.98468076000000004</v>
      </c>
      <c r="AA80" s="62">
        <v>0.98669779000000002</v>
      </c>
      <c r="AB80" s="62">
        <v>2.8175955999999999E-2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-1.0539279999999991</v>
      </c>
      <c r="AN80" s="122">
        <f t="shared" si="5"/>
        <v>-0.99947099999999978</v>
      </c>
      <c r="AO80" s="122">
        <f t="shared" si="6"/>
        <v>-2.0140599999999287E-3</v>
      </c>
      <c r="AP80" s="122">
        <f t="shared" si="7"/>
        <v>-2.9951900000000364E-3</v>
      </c>
      <c r="AQ80" s="88">
        <f t="shared" si="8"/>
        <v>1.9725919999999987E-3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37.360393999999999</v>
      </c>
      <c r="G81" s="190">
        <v>41.401468999999999</v>
      </c>
      <c r="H81" s="190">
        <v>0.99109287000000001</v>
      </c>
      <c r="I81" s="62">
        <v>0.99487776999999999</v>
      </c>
      <c r="J81" s="62">
        <v>1.9950002000000001E-2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35.416058999999997</v>
      </c>
      <c r="Y81" s="190">
        <v>39.453310999999999</v>
      </c>
      <c r="Z81" s="190">
        <v>0.98843576</v>
      </c>
      <c r="AA81" s="62">
        <v>0.99073482000000002</v>
      </c>
      <c r="AB81" s="62">
        <v>2.2872182000000001E-2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-1.9443350000000024</v>
      </c>
      <c r="AN81" s="122">
        <f t="shared" si="5"/>
        <v>-1.9481579999999994</v>
      </c>
      <c r="AO81" s="122">
        <f t="shared" si="6"/>
        <v>-2.6571100000000181E-3</v>
      </c>
      <c r="AP81" s="122">
        <f t="shared" si="7"/>
        <v>-4.1429499999999786E-3</v>
      </c>
      <c r="AQ81" s="88">
        <f t="shared" si="8"/>
        <v>2.9221799999999999E-3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26.963075</v>
      </c>
      <c r="G83" s="97">
        <v>32.120189000000003</v>
      </c>
      <c r="H83" s="97">
        <v>0.95462179999999996</v>
      </c>
      <c r="I83" s="60">
        <v>0.95483320000000005</v>
      </c>
      <c r="J83" s="60">
        <v>7.4974540000000006E-2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28.377576999999999</v>
      </c>
      <c r="Y83" s="97">
        <v>33.189841000000001</v>
      </c>
      <c r="Z83" s="97">
        <v>0.95835647000000002</v>
      </c>
      <c r="AA83" s="60">
        <v>0.96412286000000003</v>
      </c>
      <c r="AB83" s="60">
        <v>6.7095580000000002E-2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1.4145019999999988</v>
      </c>
      <c r="AN83" s="96">
        <f t="shared" si="5"/>
        <v>1.0696519999999978</v>
      </c>
      <c r="AO83" s="96">
        <f t="shared" si="6"/>
        <v>3.734670000000051E-3</v>
      </c>
      <c r="AP83" s="96">
        <f t="shared" si="7"/>
        <v>9.2896599999999774E-3</v>
      </c>
      <c r="AQ83" s="121">
        <f t="shared" si="8"/>
        <v>-7.8789600000000043E-3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30.591602999999999</v>
      </c>
      <c r="G84" s="190">
        <v>35.207272000000003</v>
      </c>
      <c r="H84" s="190">
        <v>0.97541928</v>
      </c>
      <c r="I84" s="62">
        <v>0.97389921999999995</v>
      </c>
      <c r="J84" s="62">
        <v>4.3672200000000001E-2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31.276979999999998</v>
      </c>
      <c r="Y84" s="190">
        <v>35.755856999999999</v>
      </c>
      <c r="Z84" s="190">
        <v>0.97639030000000004</v>
      </c>
      <c r="AA84" s="62">
        <v>0.97736575999999997</v>
      </c>
      <c r="AB84" s="62">
        <v>4.0535483999999997E-2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0.68537699999999901</v>
      </c>
      <c r="AN84" s="122">
        <f t="shared" si="5"/>
        <v>0.54858499999999566</v>
      </c>
      <c r="AO84" s="122">
        <f t="shared" si="6"/>
        <v>9.7102000000004463E-4</v>
      </c>
      <c r="AP84" s="122">
        <f t="shared" si="7"/>
        <v>3.4665400000000179E-3</v>
      </c>
      <c r="AQ84" s="88">
        <f t="shared" si="8"/>
        <v>-3.1367160000000047E-3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34.832658000000002</v>
      </c>
      <c r="G85" s="190">
        <v>38.982447999999998</v>
      </c>
      <c r="H85" s="190">
        <v>0.98804689000000001</v>
      </c>
      <c r="I85" s="62">
        <v>0.99057287000000005</v>
      </c>
      <c r="J85" s="62">
        <v>2.4423534E-2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33.743791000000002</v>
      </c>
      <c r="Y85" s="190">
        <v>37.982602</v>
      </c>
      <c r="Z85" s="190">
        <v>0.98565802999999996</v>
      </c>
      <c r="AA85" s="62">
        <v>0.98842328999999995</v>
      </c>
      <c r="AB85" s="62">
        <v>2.6534347E-2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-1.0888670000000005</v>
      </c>
      <c r="AN85" s="122">
        <f t="shared" si="5"/>
        <v>-0.99984599999999801</v>
      </c>
      <c r="AO85" s="122">
        <f t="shared" si="6"/>
        <v>-2.3888600000000482E-3</v>
      </c>
      <c r="AP85" s="122">
        <f t="shared" si="7"/>
        <v>-2.1495800000000953E-3</v>
      </c>
      <c r="AQ85" s="88">
        <f t="shared" si="8"/>
        <v>2.1108129999999996E-3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37.568697999999998</v>
      </c>
      <c r="G86" s="190">
        <v>41.660629999999998</v>
      </c>
      <c r="H86" s="190">
        <v>0.99250609000000001</v>
      </c>
      <c r="I86" s="62">
        <v>0.99544147000000005</v>
      </c>
      <c r="J86" s="62">
        <v>1.7680545999999998E-2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35.243729999999999</v>
      </c>
      <c r="Y86" s="190">
        <v>39.320554999999999</v>
      </c>
      <c r="Z86" s="190">
        <v>0.98940156999999995</v>
      </c>
      <c r="AA86" s="62">
        <v>0.99231314999999998</v>
      </c>
      <c r="AB86" s="62">
        <v>2.1168064E-2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-2.3249679999999984</v>
      </c>
      <c r="AN86" s="122">
        <f t="shared" si="5"/>
        <v>-2.3400749999999988</v>
      </c>
      <c r="AO86" s="122">
        <f t="shared" si="6"/>
        <v>-3.104520000000055E-3</v>
      </c>
      <c r="AP86" s="122">
        <f t="shared" si="7"/>
        <v>-3.1283200000000733E-3</v>
      </c>
      <c r="AQ86" s="88">
        <f t="shared" si="8"/>
        <v>3.4875180000000019E-3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27.114550000000001</v>
      </c>
      <c r="G88" s="97">
        <v>32.271419999999999</v>
      </c>
      <c r="H88" s="97">
        <v>0.95618983000000002</v>
      </c>
      <c r="I88" s="60">
        <v>0.95408546999999999</v>
      </c>
      <c r="J88" s="60">
        <v>7.0601225000000004E-2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28.677869000000001</v>
      </c>
      <c r="Y88" s="97">
        <v>33.454872000000002</v>
      </c>
      <c r="Z88" s="97">
        <v>0.96028248000000005</v>
      </c>
      <c r="AA88" s="60">
        <v>0.96368045000000002</v>
      </c>
      <c r="AB88" s="60">
        <v>6.2584429999999996E-2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1.5633189999999999</v>
      </c>
      <c r="AN88" s="96">
        <f t="shared" si="5"/>
        <v>1.1834520000000026</v>
      </c>
      <c r="AO88" s="96">
        <f t="shared" si="6"/>
        <v>4.092650000000031E-3</v>
      </c>
      <c r="AP88" s="96">
        <f t="shared" si="7"/>
        <v>9.5949800000000307E-3</v>
      </c>
      <c r="AQ88" s="121">
        <f t="shared" si="8"/>
        <v>-8.0167950000000071E-3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30.671133999999999</v>
      </c>
      <c r="G89" s="190">
        <v>35.282074000000001</v>
      </c>
      <c r="H89" s="190">
        <v>0.97538983000000001</v>
      </c>
      <c r="I89" s="62">
        <v>0.97235013000000003</v>
      </c>
      <c r="J89" s="62">
        <v>4.2192522000000003E-2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31.49127</v>
      </c>
      <c r="Y89" s="190">
        <v>35.946620000000003</v>
      </c>
      <c r="Z89" s="190">
        <v>0.97682473999999997</v>
      </c>
      <c r="AA89" s="62">
        <v>0.97746235000000004</v>
      </c>
      <c r="AB89" s="62">
        <v>3.8621112999999999E-2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0.82013600000000153</v>
      </c>
      <c r="AN89" s="122">
        <f t="shared" si="5"/>
        <v>0.66454600000000141</v>
      </c>
      <c r="AO89" s="122">
        <f t="shared" si="6"/>
        <v>1.4349099999999559E-3</v>
      </c>
      <c r="AP89" s="122">
        <f t="shared" si="7"/>
        <v>5.1122200000000007E-3</v>
      </c>
      <c r="AQ89" s="88">
        <f t="shared" si="8"/>
        <v>-3.5714090000000046E-3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34.997312999999998</v>
      </c>
      <c r="G90" s="190">
        <v>39.150410000000001</v>
      </c>
      <c r="H90" s="190">
        <v>0.98810282000000005</v>
      </c>
      <c r="I90" s="62">
        <v>0.99037629000000005</v>
      </c>
      <c r="J90" s="62">
        <v>2.4090877E-2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34.095134999999999</v>
      </c>
      <c r="Y90" s="190">
        <v>38.303285000000002</v>
      </c>
      <c r="Z90" s="190">
        <v>0.98604742000000001</v>
      </c>
      <c r="AA90" s="62">
        <v>0.98801293000000001</v>
      </c>
      <c r="AB90" s="62">
        <v>2.5802543000000001E-2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-0.90217799999999926</v>
      </c>
      <c r="AN90" s="122">
        <f t="shared" si="5"/>
        <v>-0.84712499999999835</v>
      </c>
      <c r="AO90" s="122">
        <f t="shared" si="6"/>
        <v>-2.0554000000000405E-3</v>
      </c>
      <c r="AP90" s="122">
        <f t="shared" si="7"/>
        <v>-2.3633600000000365E-3</v>
      </c>
      <c r="AQ90" s="88">
        <f t="shared" si="8"/>
        <v>1.7116660000000006E-3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37.661011000000002</v>
      </c>
      <c r="G91" s="190">
        <v>41.763508999999999</v>
      </c>
      <c r="H91" s="190">
        <v>0.99246385999999998</v>
      </c>
      <c r="I91" s="62">
        <v>0.99532761999999997</v>
      </c>
      <c r="J91" s="62">
        <v>1.7785002000000001E-2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35.645814000000001</v>
      </c>
      <c r="Y91" s="190">
        <v>39.705128000000002</v>
      </c>
      <c r="Z91" s="190">
        <v>0.98967742999999997</v>
      </c>
      <c r="AA91" s="62">
        <v>0.99207444</v>
      </c>
      <c r="AB91" s="62">
        <v>2.0787822000000001E-2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-2.0151970000000006</v>
      </c>
      <c r="AN91" s="122">
        <f t="shared" si="5"/>
        <v>-2.0583809999999971</v>
      </c>
      <c r="AO91" s="122">
        <f t="shared" si="6"/>
        <v>-2.7864300000000064E-3</v>
      </c>
      <c r="AP91" s="122">
        <f t="shared" si="7"/>
        <v>-3.2531799999999667E-3</v>
      </c>
      <c r="AQ91" s="88">
        <f t="shared" si="8"/>
        <v>3.0028199999999998E-3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27.202297999999999</v>
      </c>
      <c r="G93" s="97">
        <v>32.386859000000001</v>
      </c>
      <c r="H93" s="97">
        <v>0.95735431999999998</v>
      </c>
      <c r="I93" s="60">
        <v>0.95384888999999995</v>
      </c>
      <c r="J93" s="60">
        <v>6.6542840000000006E-2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28.777031999999998</v>
      </c>
      <c r="Y93" s="97">
        <v>33.574019</v>
      </c>
      <c r="Z93" s="97">
        <v>0.96115249000000003</v>
      </c>
      <c r="AA93" s="60">
        <v>0.96273969000000004</v>
      </c>
      <c r="AB93" s="60">
        <v>5.8776736000000003E-2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1.5747339999999994</v>
      </c>
      <c r="AN93" s="96">
        <f t="shared" si="5"/>
        <v>1.1871599999999987</v>
      </c>
      <c r="AO93" s="96">
        <f t="shared" si="6"/>
        <v>3.7981700000000451E-3</v>
      </c>
      <c r="AP93" s="96">
        <f t="shared" si="7"/>
        <v>8.8908000000000875E-3</v>
      </c>
      <c r="AQ93" s="121">
        <f t="shared" si="8"/>
        <v>-7.7661040000000028E-3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30.801442999999999</v>
      </c>
      <c r="G94" s="190">
        <v>35.390521</v>
      </c>
      <c r="H94" s="190">
        <v>0.97566615999999995</v>
      </c>
      <c r="I94" s="62">
        <v>0.97055415</v>
      </c>
      <c r="J94" s="62">
        <v>3.9504091999999998E-2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31.600028999999999</v>
      </c>
      <c r="Y94" s="190">
        <v>36.040464</v>
      </c>
      <c r="Z94" s="190">
        <v>0.97694130999999995</v>
      </c>
      <c r="AA94" s="62">
        <v>0.97576375999999998</v>
      </c>
      <c r="AB94" s="62">
        <v>3.6178744999999998E-2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0.79858600000000024</v>
      </c>
      <c r="AN94" s="122">
        <f t="shared" si="5"/>
        <v>0.64994300000000038</v>
      </c>
      <c r="AO94" s="122">
        <f t="shared" si="6"/>
        <v>1.2751500000000027E-3</v>
      </c>
      <c r="AP94" s="122">
        <f t="shared" si="7"/>
        <v>5.2096099999999756E-3</v>
      </c>
      <c r="AQ94" s="88">
        <f t="shared" si="8"/>
        <v>-3.3253469999999993E-3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35.196044999999998</v>
      </c>
      <c r="G95" s="190">
        <v>39.323577999999998</v>
      </c>
      <c r="H95" s="190">
        <v>0.98820056999999994</v>
      </c>
      <c r="I95" s="62">
        <v>0.98988584000000002</v>
      </c>
      <c r="J95" s="62">
        <v>2.2761915000000001E-2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34.216853999999998</v>
      </c>
      <c r="Y95" s="190">
        <v>38.405822999999998</v>
      </c>
      <c r="Z95" s="190">
        <v>0.98605184999999995</v>
      </c>
      <c r="AA95" s="62">
        <v>0.98683114999999999</v>
      </c>
      <c r="AB95" s="62">
        <v>2.4639682999999999E-2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-0.97919100000000014</v>
      </c>
      <c r="AN95" s="122">
        <f t="shared" si="5"/>
        <v>-0.91775499999999965</v>
      </c>
      <c r="AO95" s="122">
        <f t="shared" si="6"/>
        <v>-2.1487199999999929E-3</v>
      </c>
      <c r="AP95" s="122">
        <f t="shared" si="7"/>
        <v>-3.0546900000000266E-3</v>
      </c>
      <c r="AQ95" s="88">
        <f t="shared" si="8"/>
        <v>1.8777679999999984E-3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37.755116000000001</v>
      </c>
      <c r="G96" s="190">
        <v>41.835341</v>
      </c>
      <c r="H96" s="190">
        <v>0.99243813999999997</v>
      </c>
      <c r="I96" s="62">
        <v>0.99515463000000004</v>
      </c>
      <c r="J96" s="62">
        <v>1.6902469999999999E-2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35.731095000000003</v>
      </c>
      <c r="Y96" s="190">
        <v>39.782133000000002</v>
      </c>
      <c r="Z96" s="190">
        <v>0.98959121000000005</v>
      </c>
      <c r="AA96" s="62">
        <v>0.99114122000000004</v>
      </c>
      <c r="AB96" s="62">
        <v>1.9885946000000002E-2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-2.0240209999999976</v>
      </c>
      <c r="AN96" s="122">
        <f t="shared" si="5"/>
        <v>-2.0532079999999979</v>
      </c>
      <c r="AO96" s="122">
        <f t="shared" si="6"/>
        <v>-2.8469299999999143E-3</v>
      </c>
      <c r="AP96" s="122">
        <f t="shared" si="7"/>
        <v>-4.013409999999995E-3</v>
      </c>
      <c r="AQ96" s="88">
        <f t="shared" si="8"/>
        <v>2.9834760000000023E-3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27.328194</v>
      </c>
      <c r="G98" s="97">
        <v>32.482353000000003</v>
      </c>
      <c r="H98" s="97">
        <v>0.95786501999999996</v>
      </c>
      <c r="I98" s="60">
        <v>0.95428961999999995</v>
      </c>
      <c r="J98" s="60">
        <v>6.6073634000000006E-2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28.886063</v>
      </c>
      <c r="Y98" s="97">
        <v>33.658928000000003</v>
      </c>
      <c r="Z98" s="97">
        <v>0.96171972999999999</v>
      </c>
      <c r="AA98" s="60">
        <v>0.96400213000000001</v>
      </c>
      <c r="AB98" s="60">
        <v>5.8991670000000003E-2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1.5578690000000002</v>
      </c>
      <c r="AN98" s="96">
        <f t="shared" si="15"/>
        <v>1.1765749999999997</v>
      </c>
      <c r="AO98" s="96">
        <f t="shared" si="16"/>
        <v>3.8547100000000389E-3</v>
      </c>
      <c r="AP98" s="96">
        <f t="shared" si="17"/>
        <v>9.712510000000063E-3</v>
      </c>
      <c r="AQ98" s="121">
        <f t="shared" si="18"/>
        <v>-7.0819640000000031E-3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30.811927000000001</v>
      </c>
      <c r="G99" s="190">
        <v>35.395769999999999</v>
      </c>
      <c r="H99" s="190">
        <v>0.9757072</v>
      </c>
      <c r="I99" s="62">
        <v>0.97141584999999997</v>
      </c>
      <c r="J99" s="62">
        <v>4.015581E-2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31.630614999999999</v>
      </c>
      <c r="Y99" s="190">
        <v>36.061736000000003</v>
      </c>
      <c r="Z99" s="190">
        <v>0.97713295</v>
      </c>
      <c r="AA99" s="62">
        <v>0.97639989999999999</v>
      </c>
      <c r="AB99" s="62">
        <v>3.6870676999999998E-2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0.81868799999999808</v>
      </c>
      <c r="AN99" s="122">
        <f t="shared" si="15"/>
        <v>0.6659660000000045</v>
      </c>
      <c r="AO99" s="122">
        <f t="shared" si="16"/>
        <v>1.4257500000000034E-3</v>
      </c>
      <c r="AP99" s="122">
        <f t="shared" si="17"/>
        <v>4.9840500000000176E-3</v>
      </c>
      <c r="AQ99" s="88">
        <f t="shared" si="18"/>
        <v>-3.2851330000000026E-3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35.137132000000001</v>
      </c>
      <c r="G100" s="190">
        <v>39.275651000000003</v>
      </c>
      <c r="H100" s="190">
        <v>0.98814093000000003</v>
      </c>
      <c r="I100" s="62">
        <v>0.98978166999999995</v>
      </c>
      <c r="J100" s="62">
        <v>2.3735850999999999E-2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34.151502000000001</v>
      </c>
      <c r="Y100" s="190">
        <v>38.364162</v>
      </c>
      <c r="Z100" s="190">
        <v>0.98609685999999996</v>
      </c>
      <c r="AA100" s="62">
        <v>0.98700251999999999</v>
      </c>
      <c r="AB100" s="62">
        <v>2.5172106999999999E-2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-0.98563000000000045</v>
      </c>
      <c r="AN100" s="122">
        <f t="shared" si="15"/>
        <v>-0.9114890000000031</v>
      </c>
      <c r="AO100" s="122">
        <f t="shared" si="16"/>
        <v>-2.0440700000000644E-3</v>
      </c>
      <c r="AP100" s="122">
        <f t="shared" si="17"/>
        <v>-2.7791499999999525E-3</v>
      </c>
      <c r="AQ100" s="88">
        <f t="shared" si="18"/>
        <v>1.4362560000000003E-3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37.754162000000001</v>
      </c>
      <c r="G101" s="190">
        <v>41.827857999999999</v>
      </c>
      <c r="H101" s="190">
        <v>0.99244491999999995</v>
      </c>
      <c r="I101" s="62">
        <v>0.99522845999999998</v>
      </c>
      <c r="J101" s="62">
        <v>1.7600418999999999E-2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35.693181000000003</v>
      </c>
      <c r="Y101" s="190">
        <v>39.767552000000002</v>
      </c>
      <c r="Z101" s="190">
        <v>0.98970785999999999</v>
      </c>
      <c r="AA101" s="62">
        <v>0.99152764000000004</v>
      </c>
      <c r="AB101" s="62">
        <v>2.0297486E-2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-2.0609809999999982</v>
      </c>
      <c r="AN101" s="122">
        <f t="shared" si="15"/>
        <v>-2.0603059999999971</v>
      </c>
      <c r="AO101" s="122">
        <f t="shared" si="16"/>
        <v>-2.7370599999999579E-3</v>
      </c>
      <c r="AP101" s="122">
        <f t="shared" si="17"/>
        <v>-3.700819999999938E-3</v>
      </c>
      <c r="AQ101" s="88">
        <f t="shared" si="18"/>
        <v>2.6970670000000009E-3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27.278324999999999</v>
      </c>
      <c r="G103" s="97">
        <v>32.252378</v>
      </c>
      <c r="H103" s="97">
        <v>0.95609765999999996</v>
      </c>
      <c r="I103" s="60">
        <v>0.95473774</v>
      </c>
      <c r="J103" s="60">
        <v>6.8340084999999995E-2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28.666561000000002</v>
      </c>
      <c r="Y103" s="97">
        <v>33.292309000000003</v>
      </c>
      <c r="Z103" s="97">
        <v>0.95957278999999995</v>
      </c>
      <c r="AA103" s="60">
        <v>0.96396409000000005</v>
      </c>
      <c r="AB103" s="60">
        <v>6.2056433000000001E-2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1.3882360000000027</v>
      </c>
      <c r="AN103" s="96">
        <f t="shared" si="15"/>
        <v>1.0399310000000028</v>
      </c>
      <c r="AO103" s="96">
        <f t="shared" si="16"/>
        <v>3.4751299999999929E-3</v>
      </c>
      <c r="AP103" s="96">
        <f t="shared" si="17"/>
        <v>9.2263500000000498E-3</v>
      </c>
      <c r="AQ103" s="121">
        <f t="shared" si="18"/>
        <v>-6.2836519999999937E-3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30.613520999999999</v>
      </c>
      <c r="G104" s="190">
        <v>35.094991999999998</v>
      </c>
      <c r="H104" s="190">
        <v>0.97476379000000002</v>
      </c>
      <c r="I104" s="62">
        <v>0.97251279000000002</v>
      </c>
      <c r="J104" s="62">
        <v>4.1671406000000001E-2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31.368169000000002</v>
      </c>
      <c r="Y104" s="190">
        <v>35.681210999999998</v>
      </c>
      <c r="Z104" s="190">
        <v>0.97608631000000001</v>
      </c>
      <c r="AA104" s="62">
        <v>0.97684369000000004</v>
      </c>
      <c r="AB104" s="62">
        <v>3.8823437000000002E-2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0.75464800000000309</v>
      </c>
      <c r="AN104" s="122">
        <f t="shared" si="15"/>
        <v>0.58621899999999982</v>
      </c>
      <c r="AO104" s="122">
        <f t="shared" si="16"/>
        <v>1.3225199999999937E-3</v>
      </c>
      <c r="AP104" s="122">
        <f t="shared" si="17"/>
        <v>4.3309000000000264E-3</v>
      </c>
      <c r="AQ104" s="88">
        <f t="shared" si="18"/>
        <v>-2.8479689999999988E-3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34.799374999999998</v>
      </c>
      <c r="G105" s="190">
        <v>38.913462000000003</v>
      </c>
      <c r="H105" s="190">
        <v>0.98733037999999995</v>
      </c>
      <c r="I105" s="62">
        <v>0.98957368000000001</v>
      </c>
      <c r="J105" s="62">
        <v>2.4812325999999999E-2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33.737574000000002</v>
      </c>
      <c r="Y105" s="190">
        <v>37.904063000000001</v>
      </c>
      <c r="Z105" s="190">
        <v>0.98517222999999998</v>
      </c>
      <c r="AA105" s="62">
        <v>0.98687796000000005</v>
      </c>
      <c r="AB105" s="62">
        <v>2.654084E-2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-1.0618009999999956</v>
      </c>
      <c r="AN105" s="122">
        <f t="shared" si="15"/>
        <v>-1.0093990000000019</v>
      </c>
      <c r="AO105" s="122">
        <f t="shared" si="16"/>
        <v>-2.1581499999999698E-3</v>
      </c>
      <c r="AP105" s="122">
        <f t="shared" si="17"/>
        <v>-2.695719999999957E-3</v>
      </c>
      <c r="AQ105" s="88">
        <f t="shared" si="18"/>
        <v>1.7285140000000004E-3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37.480200000000004</v>
      </c>
      <c r="G106" s="190">
        <v>41.513464999999997</v>
      </c>
      <c r="H106" s="190">
        <v>0.99190233999999999</v>
      </c>
      <c r="I106" s="62">
        <v>0.99496264999999995</v>
      </c>
      <c r="J106" s="62">
        <v>1.8384662999999999E-2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35.274652000000003</v>
      </c>
      <c r="Y106" s="190">
        <v>39.309373999999998</v>
      </c>
      <c r="Z106" s="190">
        <v>0.98896156000000002</v>
      </c>
      <c r="AA106" s="62">
        <v>0.99127816000000002</v>
      </c>
      <c r="AB106" s="62">
        <v>2.1231496999999998E-2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-2.2055480000000003</v>
      </c>
      <c r="AN106" s="122">
        <f t="shared" si="15"/>
        <v>-2.2040909999999982</v>
      </c>
      <c r="AO106" s="122">
        <f t="shared" si="16"/>
        <v>-2.9407799999999762E-3</v>
      </c>
      <c r="AP106" s="122">
        <f t="shared" si="17"/>
        <v>-3.6844899999999292E-3</v>
      </c>
      <c r="AQ106" s="88">
        <f t="shared" si="18"/>
        <v>2.8468339999999995E-3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6">
        <f t="shared" si="59"/>
        <v>31.894273999999999</v>
      </c>
      <c r="H641" s="136">
        <f t="shared" si="59"/>
        <v>0.95462179999999996</v>
      </c>
      <c r="I641" s="136">
        <f t="shared" si="59"/>
        <v>0.94974391000000002</v>
      </c>
      <c r="J641" s="136">
        <f t="shared" si="59"/>
        <v>6.4277420000000002E-2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28.377576999999999</v>
      </c>
      <c r="Y641" s="136">
        <f t="shared" si="60"/>
        <v>33.189841000000001</v>
      </c>
      <c r="Z641" s="136">
        <f t="shared" si="60"/>
        <v>0.95835647000000002</v>
      </c>
      <c r="AA641" s="136">
        <f t="shared" si="60"/>
        <v>0.96257197999999999</v>
      </c>
      <c r="AB641" s="136">
        <f t="shared" si="60"/>
        <v>5.636124E-2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30.535499999999999</v>
      </c>
      <c r="G642" s="18">
        <f t="shared" si="59"/>
        <v>34.941802000000003</v>
      </c>
      <c r="H642" s="18">
        <f t="shared" si="59"/>
        <v>0.97325649000000003</v>
      </c>
      <c r="I642" s="18">
        <f t="shared" si="59"/>
        <v>0.97055415</v>
      </c>
      <c r="J642" s="18">
        <f t="shared" si="59"/>
        <v>3.9504091999999998E-2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31.276979999999998</v>
      </c>
      <c r="Y642" s="18">
        <f t="shared" si="60"/>
        <v>35.617491000000001</v>
      </c>
      <c r="Z642" s="18">
        <f t="shared" si="60"/>
        <v>0.97530866999999999</v>
      </c>
      <c r="AA642" s="18">
        <f t="shared" si="60"/>
        <v>0.97576375999999998</v>
      </c>
      <c r="AB642" s="18">
        <f t="shared" si="60"/>
        <v>3.6178744999999998E-2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34.799374999999998</v>
      </c>
      <c r="G643" s="18">
        <f t="shared" si="59"/>
        <v>38.913462000000003</v>
      </c>
      <c r="H643" s="18">
        <f t="shared" si="59"/>
        <v>0.98639427000000002</v>
      </c>
      <c r="I643" s="18">
        <f t="shared" si="59"/>
        <v>0.98957368000000001</v>
      </c>
      <c r="J643" s="18">
        <f t="shared" si="59"/>
        <v>2.2761915000000001E-2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33.737574000000002</v>
      </c>
      <c r="Y643" s="18">
        <f t="shared" si="60"/>
        <v>37.904063000000001</v>
      </c>
      <c r="Z643" s="18">
        <f t="shared" si="60"/>
        <v>0.98455552000000002</v>
      </c>
      <c r="AA643" s="18">
        <f t="shared" si="60"/>
        <v>0.98651226000000003</v>
      </c>
      <c r="AB643" s="18">
        <f t="shared" si="60"/>
        <v>2.4639682999999999E-2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37.247562000000002</v>
      </c>
      <c r="G644" s="18">
        <f t="shared" si="59"/>
        <v>41.294356000000001</v>
      </c>
      <c r="H644" s="18">
        <f t="shared" si="59"/>
        <v>0.99092533999999999</v>
      </c>
      <c r="I644" s="18">
        <f t="shared" si="59"/>
        <v>0.99484271999999996</v>
      </c>
      <c r="J644" s="18">
        <f t="shared" si="59"/>
        <v>1.6902469999999999E-2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35.243729999999999</v>
      </c>
      <c r="Y644" s="18">
        <f t="shared" si="60"/>
        <v>39.289212999999997</v>
      </c>
      <c r="Z644" s="18">
        <f t="shared" si="60"/>
        <v>0.98843576</v>
      </c>
      <c r="AA644" s="18">
        <f t="shared" si="60"/>
        <v>0.99068398000000002</v>
      </c>
      <c r="AB644" s="18">
        <f t="shared" si="60"/>
        <v>1.9819944999999999E-2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6">
        <f t="shared" si="61"/>
        <v>32.512600999999997</v>
      </c>
      <c r="H646" s="136">
        <f t="shared" si="61"/>
        <v>0.95837852999999995</v>
      </c>
      <c r="I646" s="136">
        <f t="shared" si="61"/>
        <v>0.95539302999999998</v>
      </c>
      <c r="J646" s="136">
        <f t="shared" si="61"/>
        <v>7.4974540000000006E-2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29.008976000000001</v>
      </c>
      <c r="Y646" s="136">
        <f t="shared" si="62"/>
        <v>33.734681999999999</v>
      </c>
      <c r="Z646" s="136">
        <f t="shared" si="62"/>
        <v>0.96260416999999998</v>
      </c>
      <c r="AA646" s="136">
        <f t="shared" si="62"/>
        <v>0.96512766000000005</v>
      </c>
      <c r="AB646" s="136">
        <f t="shared" si="62"/>
        <v>6.7095580000000002E-2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30.87134</v>
      </c>
      <c r="G647" s="18">
        <f t="shared" si="61"/>
        <v>35.446496000000003</v>
      </c>
      <c r="H647" s="18">
        <f t="shared" si="61"/>
        <v>0.97574711000000003</v>
      </c>
      <c r="I647" s="18">
        <f t="shared" si="61"/>
        <v>0.97445409000000005</v>
      </c>
      <c r="J647" s="18">
        <f t="shared" si="61"/>
        <v>4.5896985000000001E-2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31.713031000000001</v>
      </c>
      <c r="Y647" s="18">
        <f t="shared" si="62"/>
        <v>36.099490000000003</v>
      </c>
      <c r="Z647" s="18">
        <f t="shared" si="62"/>
        <v>0.97736650000000003</v>
      </c>
      <c r="AA647" s="18">
        <f t="shared" si="62"/>
        <v>0.97937311000000005</v>
      </c>
      <c r="AB647" s="18">
        <f t="shared" si="62"/>
        <v>4.1321464000000002E-2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35.254483</v>
      </c>
      <c r="G648" s="18">
        <f t="shared" si="61"/>
        <v>39.365321999999999</v>
      </c>
      <c r="H648" s="18">
        <f t="shared" si="61"/>
        <v>0.98820056999999994</v>
      </c>
      <c r="I648" s="18">
        <f t="shared" si="61"/>
        <v>0.99057287000000005</v>
      </c>
      <c r="J648" s="18">
        <f t="shared" si="61"/>
        <v>2.7892190000000001E-2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34.355508</v>
      </c>
      <c r="Y648" s="18">
        <f t="shared" si="62"/>
        <v>38.518653999999998</v>
      </c>
      <c r="Z648" s="18">
        <f t="shared" si="62"/>
        <v>0.98635923999999997</v>
      </c>
      <c r="AA648" s="18">
        <f t="shared" si="62"/>
        <v>0.98879269999999997</v>
      </c>
      <c r="AB648" s="18">
        <f t="shared" si="62"/>
        <v>2.8714452000000001E-2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37.821803000000003</v>
      </c>
      <c r="G649" s="18">
        <f t="shared" si="61"/>
        <v>41.911560999999999</v>
      </c>
      <c r="H649" s="18">
        <f t="shared" si="61"/>
        <v>0.99250609000000001</v>
      </c>
      <c r="I649" s="18">
        <f t="shared" si="61"/>
        <v>0.99554823000000003</v>
      </c>
      <c r="J649" s="18">
        <f t="shared" si="61"/>
        <v>2.0623737999999999E-2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35.880150999999998</v>
      </c>
      <c r="Y649" s="18">
        <f t="shared" si="62"/>
        <v>39.929377000000002</v>
      </c>
      <c r="Z649" s="18">
        <f t="shared" si="62"/>
        <v>0.98990230000000001</v>
      </c>
      <c r="AA649" s="18">
        <f t="shared" si="62"/>
        <v>0.99279055999999999</v>
      </c>
      <c r="AB649" s="18">
        <f t="shared" si="62"/>
        <v>2.2872182000000001E-2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0.63913700000000162</v>
      </c>
      <c r="G651" s="136">
        <f t="shared" si="63"/>
        <v>0.61832699999999718</v>
      </c>
      <c r="H651" s="136">
        <f t="shared" si="63"/>
        <v>3.7567299999999859E-3</v>
      </c>
      <c r="I651" s="136">
        <f t="shared" si="63"/>
        <v>5.649119999999952E-3</v>
      </c>
      <c r="J651" s="136">
        <f t="shared" si="63"/>
        <v>1.0697120000000004E-2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0.63139900000000182</v>
      </c>
      <c r="Y651" s="136">
        <f t="shared" si="64"/>
        <v>0.54484099999999813</v>
      </c>
      <c r="Z651" s="136">
        <f t="shared" si="64"/>
        <v>4.2476999999999654E-3</v>
      </c>
      <c r="AA651" s="136">
        <f t="shared" si="64"/>
        <v>2.5556800000000601E-3</v>
      </c>
      <c r="AB651" s="136">
        <f t="shared" si="64"/>
        <v>1.0734340000000002E-2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0.33584000000000103</v>
      </c>
      <c r="G652" s="18">
        <f t="shared" si="63"/>
        <v>0.50469400000000064</v>
      </c>
      <c r="H652" s="18">
        <f t="shared" si="63"/>
        <v>2.4906199999999989E-3</v>
      </c>
      <c r="I652" s="18">
        <f t="shared" si="63"/>
        <v>3.8999400000000461E-3</v>
      </c>
      <c r="J652" s="18">
        <f t="shared" si="63"/>
        <v>6.3928930000000037E-3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0.43605100000000263</v>
      </c>
      <c r="Y652" s="18">
        <f t="shared" si="64"/>
        <v>0.48199900000000184</v>
      </c>
      <c r="Z652" s="18">
        <f t="shared" si="64"/>
        <v>2.0578300000000382E-3</v>
      </c>
      <c r="AA652" s="18">
        <f t="shared" si="64"/>
        <v>3.6093500000000667E-3</v>
      </c>
      <c r="AB652" s="18">
        <f t="shared" si="64"/>
        <v>5.1427190000000039E-3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0.45510800000000273</v>
      </c>
      <c r="G653" s="18">
        <f t="shared" si="63"/>
        <v>0.45185999999999638</v>
      </c>
      <c r="H653" s="18">
        <f t="shared" si="63"/>
        <v>1.8062999999999274E-3</v>
      </c>
      <c r="I653" s="18">
        <f t="shared" si="63"/>
        <v>9.9919000000003866E-4</v>
      </c>
      <c r="J653" s="18">
        <f t="shared" si="63"/>
        <v>5.1302750000000001E-3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0.61793399999999821</v>
      </c>
      <c r="Y653" s="18">
        <f t="shared" si="64"/>
        <v>0.61459099999999722</v>
      </c>
      <c r="Z653" s="18">
        <f t="shared" si="64"/>
        <v>1.8037199999999531E-3</v>
      </c>
      <c r="AA653" s="18">
        <f t="shared" si="64"/>
        <v>2.2804399999999392E-3</v>
      </c>
      <c r="AB653" s="18">
        <f t="shared" si="64"/>
        <v>4.0747690000000024E-3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0.57424100000000067</v>
      </c>
      <c r="G654" s="18">
        <f t="shared" si="63"/>
        <v>0.61720499999999845</v>
      </c>
      <c r="H654" s="18">
        <f t="shared" si="63"/>
        <v>1.5807500000000196E-3</v>
      </c>
      <c r="I654" s="18">
        <f t="shared" si="63"/>
        <v>7.055100000000758E-4</v>
      </c>
      <c r="J654" s="18">
        <f t="shared" si="63"/>
        <v>3.7212679999999998E-3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0.63642099999999857</v>
      </c>
      <c r="Y654" s="18">
        <f t="shared" si="64"/>
        <v>0.64016400000000573</v>
      </c>
      <c r="Z654" s="18">
        <f t="shared" si="64"/>
        <v>1.4665400000000162E-3</v>
      </c>
      <c r="AA654" s="18">
        <f t="shared" si="64"/>
        <v>2.106579999999969E-3</v>
      </c>
      <c r="AB654" s="18">
        <f t="shared" si="64"/>
        <v>3.0522370000000028E-3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>
      <selection activeCell="U33" sqref="U33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12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0">
        <f t="shared" si="0"/>
        <v>33.862599857142854</v>
      </c>
      <c r="H5" s="30">
        <f t="shared" si="0"/>
        <v>0.96684382285714265</v>
      </c>
      <c r="I5" s="91">
        <f t="shared" si="0"/>
        <v>0.97327361047619032</v>
      </c>
      <c r="J5" s="91">
        <f t="shared" si="0"/>
        <v>6.4074182428571436E-2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27093.352000000003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30.821317333333337</v>
      </c>
      <c r="Y5" s="30">
        <f t="shared" si="2"/>
        <v>34.467592190476196</v>
      </c>
      <c r="Z5" s="30">
        <f t="shared" si="2"/>
        <v>0.96859301428571443</v>
      </c>
      <c r="AA5" s="91">
        <f t="shared" si="2"/>
        <v>0.97644992761904759</v>
      </c>
      <c r="AB5" s="91">
        <f t="shared" si="2"/>
        <v>5.9540917809523801E-2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1.9408449064227673E-2</v>
      </c>
      <c r="AN5" s="245">
        <f>bdrate($E5:$E8,G5:G8,$W5:$W8,Y5:Y8)</f>
        <v>1.3090002307520443E-2</v>
      </c>
      <c r="AO5" s="245">
        <f>bdrate($E5:$E8,H5:H8,$W5:$W8,Z5:Z8)</f>
        <v>-5.0031027467604794E-2</v>
      </c>
      <c r="AP5" s="245">
        <f>bdrate($E5:$E8,I5:I8,$W5:$W8,AA5:AA8)</f>
        <v>-4.3961703862434254E-2</v>
      </c>
      <c r="AQ5" s="246">
        <f>bdrateInverted($E5:$E8,J5:J8,$W5:$W8,AB5:AB8)</f>
        <v>-8.7847897218752857E-2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39731.792000000001</v>
      </c>
      <c r="F6" s="91">
        <f t="shared" si="0"/>
        <v>33.072678761904761</v>
      </c>
      <c r="G6" s="91">
        <f t="shared" si="0"/>
        <v>36.632195285714296</v>
      </c>
      <c r="H6" s="91">
        <f t="shared" si="0"/>
        <v>0.98000114238095259</v>
      </c>
      <c r="I6" s="91">
        <f t="shared" si="0"/>
        <v>0.98426155285714267</v>
      </c>
      <c r="J6" s="91">
        <f t="shared" si="0"/>
        <v>4.3200263047619043E-2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37804.072</v>
      </c>
      <c r="X6" s="91">
        <f t="shared" si="2"/>
        <v>32.987687666666666</v>
      </c>
      <c r="Y6" s="91">
        <f t="shared" si="2"/>
        <v>36.647682333333336</v>
      </c>
      <c r="Z6" s="91">
        <f t="shared" si="2"/>
        <v>0.98047810904761912</v>
      </c>
      <c r="AA6" s="91">
        <f t="shared" si="2"/>
        <v>0.98484394095238093</v>
      </c>
      <c r="AB6" s="91">
        <f t="shared" si="2"/>
        <v>4.0687687714285707E-2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59551.984000000004</v>
      </c>
      <c r="F7" s="91">
        <f t="shared" si="0"/>
        <v>36.281602476190471</v>
      </c>
      <c r="G7" s="91">
        <f t="shared" si="0"/>
        <v>40.251414476190476</v>
      </c>
      <c r="H7" s="91">
        <f t="shared" si="0"/>
        <v>0.98903340333333323</v>
      </c>
      <c r="I7" s="91">
        <f t="shared" si="0"/>
        <v>0.99228081523809508</v>
      </c>
      <c r="J7" s="91">
        <f t="shared" si="0"/>
        <v>2.7228831333333335E-2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53605.311999999998</v>
      </c>
      <c r="X7" s="91">
        <f t="shared" si="2"/>
        <v>34.80651376190476</v>
      </c>
      <c r="Y7" s="91">
        <f t="shared" si="2"/>
        <v>38.630839761904767</v>
      </c>
      <c r="Z7" s="91">
        <f t="shared" si="2"/>
        <v>0.98780344333333303</v>
      </c>
      <c r="AA7" s="91">
        <f t="shared" si="2"/>
        <v>0.99029851714285722</v>
      </c>
      <c r="AB7" s="91">
        <f t="shared" si="2"/>
        <v>2.7940223619047619E-2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86991.584000000003</v>
      </c>
      <c r="F8" s="91">
        <f t="shared" si="0"/>
        <v>39.436459095238085</v>
      </c>
      <c r="G8" s="91">
        <f t="shared" si="0"/>
        <v>43.588469761904761</v>
      </c>
      <c r="H8" s="91">
        <f t="shared" si="0"/>
        <v>0.99375173238095238</v>
      </c>
      <c r="I8" s="91">
        <f t="shared" si="0"/>
        <v>0.99594449714285727</v>
      </c>
      <c r="J8" s="91">
        <f t="shared" si="0"/>
        <v>1.4458101000000004E-2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74599.312000000005</v>
      </c>
      <c r="X8" s="91">
        <f t="shared" si="2"/>
        <v>36.537869047619061</v>
      </c>
      <c r="Y8" s="91">
        <f t="shared" si="2"/>
        <v>40.395503809523802</v>
      </c>
      <c r="Z8" s="91">
        <f t="shared" si="2"/>
        <v>0.99186254809523811</v>
      </c>
      <c r="AA8" s="91">
        <f t="shared" si="2"/>
        <v>0.99329998714285717</v>
      </c>
      <c r="AB8" s="91">
        <f t="shared" si="2"/>
        <v>1.7371124952380954E-2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4622.4719999999998</v>
      </c>
      <c r="F16" s="167">
        <v>5835.96</v>
      </c>
      <c r="G16" s="167">
        <v>1040.24</v>
      </c>
      <c r="H16" s="167">
        <v>357.512</v>
      </c>
      <c r="I16" s="167">
        <v>150.14400000000001</v>
      </c>
      <c r="J16" s="167">
        <v>8571.3119999999999</v>
      </c>
      <c r="K16" s="60">
        <v>5024.0240000000003</v>
      </c>
      <c r="L16" s="60">
        <v>1855.6320000000001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4622.4719999999998</v>
      </c>
      <c r="X16" s="167">
        <v>5835.96</v>
      </c>
      <c r="Y16" s="167">
        <v>705.57600000000002</v>
      </c>
      <c r="Z16" s="167">
        <v>352.18400000000003</v>
      </c>
      <c r="AA16" s="167">
        <v>126.19199999999999</v>
      </c>
      <c r="AB16" s="167">
        <v>8571.3119999999999</v>
      </c>
      <c r="AC16" s="60">
        <v>5024.0240000000003</v>
      </c>
      <c r="AD16" s="60">
        <v>1855.6320000000001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4622.4719999999998</v>
      </c>
      <c r="F17" s="168">
        <v>7698.6719999999996</v>
      </c>
      <c r="G17" s="168">
        <v>3755.4879999999998</v>
      </c>
      <c r="H17" s="168">
        <v>1880.1759999999999</v>
      </c>
      <c r="I17" s="168">
        <v>1357.768</v>
      </c>
      <c r="J17" s="168">
        <v>11094.191999999999</v>
      </c>
      <c r="K17" s="62">
        <v>6863.848</v>
      </c>
      <c r="L17" s="62">
        <v>2459.1759999999999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4622.4719999999998</v>
      </c>
      <c r="X17" s="168">
        <v>7698.6719999999996</v>
      </c>
      <c r="Y17" s="168">
        <v>2230.7040000000002</v>
      </c>
      <c r="Z17" s="168">
        <v>1786.048</v>
      </c>
      <c r="AA17" s="168">
        <v>1048.96</v>
      </c>
      <c r="AB17" s="168">
        <v>11094.191999999999</v>
      </c>
      <c r="AC17" s="62">
        <v>6863.848</v>
      </c>
      <c r="AD17" s="62">
        <v>2459.1759999999999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4622.4719999999998</v>
      </c>
      <c r="F18" s="168">
        <v>9632.4240000000009</v>
      </c>
      <c r="G18" s="168">
        <v>8173.3760000000002</v>
      </c>
      <c r="H18" s="168">
        <v>5921.192</v>
      </c>
      <c r="I18" s="168">
        <v>5643.4080000000004</v>
      </c>
      <c r="J18" s="168">
        <v>13694.736000000001</v>
      </c>
      <c r="K18" s="62">
        <v>8782.8880000000008</v>
      </c>
      <c r="L18" s="62">
        <v>3081.4879999999998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4622.4719999999998</v>
      </c>
      <c r="X18" s="168">
        <v>9632.4240000000009</v>
      </c>
      <c r="Y18" s="168">
        <v>4362.5280000000002</v>
      </c>
      <c r="Z18" s="168">
        <v>5215.8</v>
      </c>
      <c r="AA18" s="168">
        <v>4212.9759999999997</v>
      </c>
      <c r="AB18" s="168">
        <v>13694.736000000001</v>
      </c>
      <c r="AC18" s="62">
        <v>8782.8880000000008</v>
      </c>
      <c r="AD18" s="62">
        <v>3081.4879999999998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4622.4719999999998</v>
      </c>
      <c r="F19" s="168">
        <v>11479.904</v>
      </c>
      <c r="G19" s="168">
        <v>13301.456</v>
      </c>
      <c r="H19" s="168">
        <v>12617.896000000001</v>
      </c>
      <c r="I19" s="168">
        <v>14033.632</v>
      </c>
      <c r="J19" s="168">
        <v>16403.704000000002</v>
      </c>
      <c r="K19" s="62">
        <v>10804.575999999999</v>
      </c>
      <c r="L19" s="62">
        <v>3727.944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4622.4719999999998</v>
      </c>
      <c r="X19" s="168">
        <v>11479.904</v>
      </c>
      <c r="Y19" s="168">
        <v>6701.92</v>
      </c>
      <c r="Z19" s="168">
        <v>10331.368</v>
      </c>
      <c r="AA19" s="168">
        <v>10527.424000000001</v>
      </c>
      <c r="AB19" s="168">
        <v>16403.704000000002</v>
      </c>
      <c r="AC19" s="62">
        <v>10804.575999999999</v>
      </c>
      <c r="AD19" s="62">
        <v>3727.944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27093.352000000003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37804.072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53605.311999999998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74599.312000000005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26.906856000000001</v>
      </c>
      <c r="G33" s="97">
        <v>30.367884</v>
      </c>
      <c r="H33" s="97">
        <v>0.95871066000000005</v>
      </c>
      <c r="I33" s="60">
        <v>0.96455597999999998</v>
      </c>
      <c r="J33" s="60">
        <v>8.2726759999999996E-2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27.376529000000001</v>
      </c>
      <c r="Y33" s="97">
        <v>30.897919000000002</v>
      </c>
      <c r="Z33" s="97">
        <v>0.96081207000000002</v>
      </c>
      <c r="AA33" s="60">
        <v>0.96899250999999997</v>
      </c>
      <c r="AB33" s="60">
        <v>7.5701450000000003E-2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0.46967300000000023</v>
      </c>
      <c r="AN33" s="96">
        <f t="shared" ref="AN33:AN96" si="5">IF(OR(Y33="",G33=""),"",Y33-G33)</f>
        <v>0.53003500000000159</v>
      </c>
      <c r="AO33" s="96">
        <f t="shared" ref="AO33:AO96" si="6">IF(OR(Z33="",H33=""),"",Z33-H33)</f>
        <v>2.1014099999999702E-3</v>
      </c>
      <c r="AP33" s="96">
        <f t="shared" ref="AP33:AP96" si="7">IF(OR(AA33="",I33=""),"",AA33-I33)</f>
        <v>4.4365299999999941E-3</v>
      </c>
      <c r="AQ33" s="121">
        <f t="shared" ref="AQ33:AQ96" si="8">IF(OR(AB33="",J33=""),"",AB33-J33)</f>
        <v>-7.0253099999999929E-3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30.790431000000002</v>
      </c>
      <c r="G34" s="190">
        <v>34.198450999999999</v>
      </c>
      <c r="H34" s="190">
        <v>0.97776145000000003</v>
      </c>
      <c r="I34" s="62">
        <v>0.98092376000000003</v>
      </c>
      <c r="J34" s="62">
        <v>5.6608659999999998E-2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30.481971999999999</v>
      </c>
      <c r="Y34" s="190">
        <v>34.081786999999998</v>
      </c>
      <c r="Z34" s="190">
        <v>0.97812414000000003</v>
      </c>
      <c r="AA34" s="62">
        <v>0.98249615000000001</v>
      </c>
      <c r="AB34" s="62">
        <v>5.1855320000000003E-2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-0.3084590000000027</v>
      </c>
      <c r="AN34" s="122">
        <f t="shared" si="5"/>
        <v>-0.1166640000000001</v>
      </c>
      <c r="AO34" s="122">
        <f t="shared" si="6"/>
        <v>3.6268999999999885E-4</v>
      </c>
      <c r="AP34" s="122">
        <f t="shared" si="7"/>
        <v>1.5723899999999791E-3</v>
      </c>
      <c r="AQ34" s="88">
        <f t="shared" si="8"/>
        <v>-4.7533399999999948E-3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33.798454999999997</v>
      </c>
      <c r="G35" s="190">
        <v>37.850261000000003</v>
      </c>
      <c r="H35" s="190">
        <v>0.98821081</v>
      </c>
      <c r="I35" s="62">
        <v>0.99115816999999995</v>
      </c>
      <c r="J35" s="62">
        <v>3.3108838000000002E-2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32.041142000000001</v>
      </c>
      <c r="Y35" s="190">
        <v>35.920099</v>
      </c>
      <c r="Z35" s="190">
        <v>0.98643795000000001</v>
      </c>
      <c r="AA35" s="62">
        <v>0.98891662999999996</v>
      </c>
      <c r="AB35" s="62">
        <v>3.4446070000000002E-2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-1.7573129999999964</v>
      </c>
      <c r="AN35" s="122">
        <f t="shared" si="5"/>
        <v>-1.9301620000000028</v>
      </c>
      <c r="AO35" s="122">
        <f t="shared" si="6"/>
        <v>-1.7728599999999872E-3</v>
      </c>
      <c r="AP35" s="122">
        <f t="shared" si="7"/>
        <v>-2.2415399999999863E-3</v>
      </c>
      <c r="AQ35" s="88">
        <f t="shared" si="8"/>
        <v>1.3372320000000007E-3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37.759284000000001</v>
      </c>
      <c r="G36" s="190">
        <v>42.061574999999998</v>
      </c>
      <c r="H36" s="190">
        <v>0.99373683999999995</v>
      </c>
      <c r="I36" s="62">
        <v>0.99582391999999997</v>
      </c>
      <c r="J36" s="62">
        <v>1.6167026000000001E-2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34.262188000000002</v>
      </c>
      <c r="Y36" s="190">
        <v>38.183894000000002</v>
      </c>
      <c r="Z36" s="190">
        <v>0.99133431000000005</v>
      </c>
      <c r="AA36" s="62">
        <v>0.99255811000000005</v>
      </c>
      <c r="AB36" s="62">
        <v>1.9972842000000001E-2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-3.4970959999999991</v>
      </c>
      <c r="AN36" s="122">
        <f t="shared" si="5"/>
        <v>-3.8776809999999955</v>
      </c>
      <c r="AO36" s="122">
        <f t="shared" si="6"/>
        <v>-2.4025299999999028E-3</v>
      </c>
      <c r="AP36" s="122">
        <f t="shared" si="7"/>
        <v>-3.2658099999999246E-3</v>
      </c>
      <c r="AQ36" s="88">
        <f t="shared" si="8"/>
        <v>3.8058160000000001E-3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27.200422</v>
      </c>
      <c r="G38" s="97">
        <v>31.087743</v>
      </c>
      <c r="H38" s="97">
        <v>0.96085849999999995</v>
      </c>
      <c r="I38" s="60">
        <v>0.96518318000000003</v>
      </c>
      <c r="J38" s="60">
        <v>7.4697630000000001E-2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27.64152</v>
      </c>
      <c r="Y38" s="97">
        <v>31.609860000000001</v>
      </c>
      <c r="Z38" s="97">
        <v>0.96325623000000005</v>
      </c>
      <c r="AA38" s="60">
        <v>0.96983284000000003</v>
      </c>
      <c r="AB38" s="60">
        <v>6.7787260000000002E-2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0.44109800000000021</v>
      </c>
      <c r="AN38" s="96">
        <f t="shared" si="5"/>
        <v>0.5221170000000015</v>
      </c>
      <c r="AO38" s="96">
        <f t="shared" si="6"/>
        <v>2.3977300000000978E-3</v>
      </c>
      <c r="AP38" s="96">
        <f t="shared" si="7"/>
        <v>4.6496599999999999E-3</v>
      </c>
      <c r="AQ38" s="121">
        <f t="shared" si="8"/>
        <v>-6.910369999999999E-3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31.362172000000001</v>
      </c>
      <c r="G39" s="190">
        <v>34.855811000000003</v>
      </c>
      <c r="H39" s="190">
        <v>0.97830549</v>
      </c>
      <c r="I39" s="62">
        <v>0.98107862000000001</v>
      </c>
      <c r="J39" s="62">
        <v>5.2833669999999999E-2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31.130409</v>
      </c>
      <c r="Y39" s="190">
        <v>34.821078999999997</v>
      </c>
      <c r="Z39" s="190">
        <v>0.97885531000000003</v>
      </c>
      <c r="AA39" s="62">
        <v>0.98228780000000004</v>
      </c>
      <c r="AB39" s="62">
        <v>4.7760117999999997E-2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-0.23176300000000083</v>
      </c>
      <c r="AN39" s="122">
        <f t="shared" si="5"/>
        <v>-3.4732000000005314E-2</v>
      </c>
      <c r="AO39" s="122">
        <f t="shared" si="6"/>
        <v>5.4982000000003417E-4</v>
      </c>
      <c r="AP39" s="122">
        <f t="shared" si="7"/>
        <v>1.2091800000000319E-3</v>
      </c>
      <c r="AQ39" s="88">
        <f t="shared" si="8"/>
        <v>-5.073552000000002E-3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34.821733000000002</v>
      </c>
      <c r="G40" s="190">
        <v>38.854044000000002</v>
      </c>
      <c r="H40" s="190">
        <v>0.98842865999999996</v>
      </c>
      <c r="I40" s="62">
        <v>0.99141953999999999</v>
      </c>
      <c r="J40" s="62">
        <v>3.1363530000000001E-2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33.064413000000002</v>
      </c>
      <c r="Y40" s="190">
        <v>36.956995999999997</v>
      </c>
      <c r="Z40" s="190">
        <v>0.98672000999999998</v>
      </c>
      <c r="AA40" s="62">
        <v>0.98850788000000001</v>
      </c>
      <c r="AB40" s="62">
        <v>3.1613860000000001E-2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-1.75732</v>
      </c>
      <c r="AN40" s="122">
        <f t="shared" si="5"/>
        <v>-1.8970480000000052</v>
      </c>
      <c r="AO40" s="122">
        <f t="shared" si="6"/>
        <v>-1.7086499999999782E-3</v>
      </c>
      <c r="AP40" s="122">
        <f t="shared" si="7"/>
        <v>-2.9116599999999826E-3</v>
      </c>
      <c r="AQ40" s="88">
        <f t="shared" si="8"/>
        <v>2.5033E-4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37.943613999999997</v>
      </c>
      <c r="G41" s="190">
        <v>42.295147999999998</v>
      </c>
      <c r="H41" s="190">
        <v>0.99364967999999998</v>
      </c>
      <c r="I41" s="62">
        <v>0.99573507999999999</v>
      </c>
      <c r="J41" s="62">
        <v>1.7374005000000001E-2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34.583758000000003</v>
      </c>
      <c r="Y41" s="190">
        <v>38.597681000000001</v>
      </c>
      <c r="Z41" s="190">
        <v>0.99115774999999995</v>
      </c>
      <c r="AA41" s="62">
        <v>0.99236544999999998</v>
      </c>
      <c r="AB41" s="62">
        <v>2.0204944999999998E-2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-3.3598559999999935</v>
      </c>
      <c r="AN41" s="122">
        <f t="shared" si="5"/>
        <v>-3.6974669999999961</v>
      </c>
      <c r="AO41" s="122">
        <f t="shared" si="6"/>
        <v>-2.4919300000000311E-3</v>
      </c>
      <c r="AP41" s="122">
        <f t="shared" si="7"/>
        <v>-3.3696300000000123E-3</v>
      </c>
      <c r="AQ41" s="88">
        <f t="shared" si="8"/>
        <v>2.8309399999999971E-3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28.65916</v>
      </c>
      <c r="G43" s="97">
        <v>32.372030000000002</v>
      </c>
      <c r="H43" s="97">
        <v>0.96303813000000005</v>
      </c>
      <c r="I43" s="60">
        <v>0.96806577000000005</v>
      </c>
      <c r="J43" s="60">
        <v>7.2121119999999997E-2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29.172692000000001</v>
      </c>
      <c r="Y43" s="97">
        <v>32.978186000000001</v>
      </c>
      <c r="Z43" s="97">
        <v>0.96540840999999999</v>
      </c>
      <c r="AA43" s="60">
        <v>0.97235857999999997</v>
      </c>
      <c r="AB43" s="60">
        <v>6.5931649999999994E-2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0.51353200000000143</v>
      </c>
      <c r="AN43" s="96">
        <f t="shared" si="5"/>
        <v>0.60615599999999858</v>
      </c>
      <c r="AO43" s="96">
        <f t="shared" si="6"/>
        <v>2.3702799999999469E-3</v>
      </c>
      <c r="AP43" s="96">
        <f t="shared" si="7"/>
        <v>4.2928099999999247E-3</v>
      </c>
      <c r="AQ43" s="121">
        <f t="shared" si="8"/>
        <v>-6.1894700000000025E-3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31.796644000000001</v>
      </c>
      <c r="G44" s="190">
        <v>35.372275999999999</v>
      </c>
      <c r="H44" s="190">
        <v>0.97867174000000001</v>
      </c>
      <c r="I44" s="62">
        <v>0.98156958000000005</v>
      </c>
      <c r="J44" s="62">
        <v>4.9679883000000001E-2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31.543284</v>
      </c>
      <c r="Y44" s="190">
        <v>35.268202000000002</v>
      </c>
      <c r="Z44" s="190">
        <v>0.97929500000000003</v>
      </c>
      <c r="AA44" s="62">
        <v>0.98243714999999998</v>
      </c>
      <c r="AB44" s="62">
        <v>4.5422650000000002E-2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-0.2533600000000007</v>
      </c>
      <c r="AN44" s="122">
        <f t="shared" si="5"/>
        <v>-0.10407399999999711</v>
      </c>
      <c r="AO44" s="122">
        <f t="shared" si="6"/>
        <v>6.2326000000001436E-4</v>
      </c>
      <c r="AP44" s="122">
        <f t="shared" si="7"/>
        <v>8.6756999999992868E-4</v>
      </c>
      <c r="AQ44" s="88">
        <f t="shared" si="8"/>
        <v>-4.2572329999999992E-3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35.22092</v>
      </c>
      <c r="G45" s="190">
        <v>39.357385000000001</v>
      </c>
      <c r="H45" s="190">
        <v>0.98861547999999999</v>
      </c>
      <c r="I45" s="62">
        <v>0.99154975000000001</v>
      </c>
      <c r="J45" s="62">
        <v>3.1610447999999999E-2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33.391092999999998</v>
      </c>
      <c r="Y45" s="190">
        <v>37.327005</v>
      </c>
      <c r="Z45" s="190">
        <v>0.98712009999999994</v>
      </c>
      <c r="AA45" s="62">
        <v>0.98856118999999998</v>
      </c>
      <c r="AB45" s="62">
        <v>3.12295E-2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-1.8298270000000016</v>
      </c>
      <c r="AN45" s="122">
        <f t="shared" si="5"/>
        <v>-2.030380000000001</v>
      </c>
      <c r="AO45" s="122">
        <f t="shared" si="6"/>
        <v>-1.4953800000000461E-3</v>
      </c>
      <c r="AP45" s="122">
        <f t="shared" si="7"/>
        <v>-2.988560000000029E-3</v>
      </c>
      <c r="AQ45" s="88">
        <f t="shared" si="8"/>
        <v>-3.8094799999999901E-4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38.417346000000002</v>
      </c>
      <c r="G46" s="190">
        <v>42.767448000000002</v>
      </c>
      <c r="H46" s="190">
        <v>0.99367030999999995</v>
      </c>
      <c r="I46" s="62">
        <v>0.99572028000000001</v>
      </c>
      <c r="J46" s="62">
        <v>1.6581476000000001E-2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34.980609999999999</v>
      </c>
      <c r="Y46" s="190">
        <v>38.984969999999997</v>
      </c>
      <c r="Z46" s="190">
        <v>0.99148418999999999</v>
      </c>
      <c r="AA46" s="62">
        <v>0.99192468</v>
      </c>
      <c r="AB46" s="62">
        <v>1.8524278000000002E-2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-3.4367360000000033</v>
      </c>
      <c r="AN46" s="122">
        <f t="shared" si="5"/>
        <v>-3.7824780000000047</v>
      </c>
      <c r="AO46" s="122">
        <f t="shared" si="6"/>
        <v>-2.1861199999999581E-3</v>
      </c>
      <c r="AP46" s="122">
        <f t="shared" si="7"/>
        <v>-3.7956000000000101E-3</v>
      </c>
      <c r="AQ46" s="88">
        <f t="shared" si="8"/>
        <v>1.9428020000000004E-3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29.745839</v>
      </c>
      <c r="G48" s="97">
        <v>33.225439999999999</v>
      </c>
      <c r="H48" s="97">
        <v>0.96386821</v>
      </c>
      <c r="I48" s="60">
        <v>0.96959516999999995</v>
      </c>
      <c r="J48" s="60">
        <v>6.3522994999999999E-2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30.405142000000001</v>
      </c>
      <c r="Y48" s="97">
        <v>33.914766999999998</v>
      </c>
      <c r="Z48" s="97">
        <v>0.96614314999999995</v>
      </c>
      <c r="AA48" s="60">
        <v>0.97328082000000005</v>
      </c>
      <c r="AB48" s="60">
        <v>5.8234760000000003E-2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0.6593030000000013</v>
      </c>
      <c r="AN48" s="96">
        <f t="shared" si="5"/>
        <v>0.68932699999999869</v>
      </c>
      <c r="AO48" s="96">
        <f t="shared" si="6"/>
        <v>2.2749399999999476E-3</v>
      </c>
      <c r="AP48" s="96">
        <f t="shared" si="7"/>
        <v>3.6856500000000958E-3</v>
      </c>
      <c r="AQ48" s="121">
        <f t="shared" si="8"/>
        <v>-5.2882349999999953E-3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32.735086000000003</v>
      </c>
      <c r="G49" s="190">
        <v>36.205340999999997</v>
      </c>
      <c r="H49" s="190">
        <v>0.97830682000000002</v>
      </c>
      <c r="I49" s="62">
        <v>0.98237512999999999</v>
      </c>
      <c r="J49" s="62">
        <v>4.2703564999999999E-2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32.563775999999997</v>
      </c>
      <c r="Y49" s="190">
        <v>36.122988999999997</v>
      </c>
      <c r="Z49" s="190">
        <v>0.97915240000000003</v>
      </c>
      <c r="AA49" s="62">
        <v>0.98250126000000004</v>
      </c>
      <c r="AB49" s="62">
        <v>3.9325619999999999E-2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-0.1713100000000054</v>
      </c>
      <c r="AN49" s="122">
        <f t="shared" si="5"/>
        <v>-8.2352000000000203E-2</v>
      </c>
      <c r="AO49" s="122">
        <f t="shared" si="6"/>
        <v>8.4558000000001243E-4</v>
      </c>
      <c r="AP49" s="122">
        <f t="shared" si="7"/>
        <v>1.2613000000005758E-4</v>
      </c>
      <c r="AQ49" s="88">
        <f t="shared" si="8"/>
        <v>-3.3779450000000003E-3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35.967500999999999</v>
      </c>
      <c r="G50" s="190">
        <v>40.04759</v>
      </c>
      <c r="H50" s="190">
        <v>0.98835806999999998</v>
      </c>
      <c r="I50" s="62">
        <v>0.99156557000000001</v>
      </c>
      <c r="J50" s="62">
        <v>2.797852E-2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34.386842999999999</v>
      </c>
      <c r="Y50" s="190">
        <v>38.203453000000003</v>
      </c>
      <c r="Z50" s="190">
        <v>0.98718583000000004</v>
      </c>
      <c r="AA50" s="62">
        <v>0.98947295000000002</v>
      </c>
      <c r="AB50" s="62">
        <v>2.7365506000000001E-2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-1.5806579999999997</v>
      </c>
      <c r="AN50" s="122">
        <f t="shared" si="5"/>
        <v>-1.8441369999999964</v>
      </c>
      <c r="AO50" s="122">
        <f t="shared" si="6"/>
        <v>-1.1722399999999356E-3</v>
      </c>
      <c r="AP50" s="122">
        <f t="shared" si="7"/>
        <v>-2.0926199999999895E-3</v>
      </c>
      <c r="AQ50" s="88">
        <f t="shared" si="8"/>
        <v>-6.1301399999999853E-4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38.887250000000002</v>
      </c>
      <c r="G51" s="190">
        <v>43.177607999999999</v>
      </c>
      <c r="H51" s="190">
        <v>0.99349167000000005</v>
      </c>
      <c r="I51" s="62">
        <v>0.99565446999999996</v>
      </c>
      <c r="J51" s="62">
        <v>1.4722479E-2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35.858862000000002</v>
      </c>
      <c r="Y51" s="190">
        <v>39.748615000000001</v>
      </c>
      <c r="Z51" s="190">
        <v>0.99156957999999995</v>
      </c>
      <c r="AA51" s="62">
        <v>0.99259043999999996</v>
      </c>
      <c r="AB51" s="62">
        <v>1.6572297E-2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-3.0283879999999996</v>
      </c>
      <c r="AN51" s="122">
        <f t="shared" si="5"/>
        <v>-3.4289929999999984</v>
      </c>
      <c r="AO51" s="122">
        <f t="shared" si="6"/>
        <v>-1.9220900000000984E-3</v>
      </c>
      <c r="AP51" s="122">
        <f t="shared" si="7"/>
        <v>-3.0640299999999954E-3</v>
      </c>
      <c r="AQ51" s="88">
        <f t="shared" si="8"/>
        <v>1.8498179999999996E-3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29.693740999999999</v>
      </c>
      <c r="G53" s="97">
        <v>33.267111</v>
      </c>
      <c r="H53" s="97">
        <v>0.96388675000000001</v>
      </c>
      <c r="I53" s="60">
        <v>0.97028398999999999</v>
      </c>
      <c r="J53" s="60">
        <v>6.3975333999999995E-2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30.294505000000001</v>
      </c>
      <c r="Y53" s="97">
        <v>33.907932000000002</v>
      </c>
      <c r="Z53" s="97">
        <v>0.96617903000000005</v>
      </c>
      <c r="AA53" s="60">
        <v>0.97348520999999999</v>
      </c>
      <c r="AB53" s="60">
        <v>5.9150107E-2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0.60076400000000163</v>
      </c>
      <c r="AN53" s="96">
        <f t="shared" si="5"/>
        <v>0.64082100000000253</v>
      </c>
      <c r="AO53" s="96">
        <f t="shared" si="6"/>
        <v>2.2922800000000354E-3</v>
      </c>
      <c r="AP53" s="96">
        <f t="shared" si="7"/>
        <v>3.2012200000000046E-3</v>
      </c>
      <c r="AQ53" s="121">
        <f t="shared" si="8"/>
        <v>-4.8252269999999944E-3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32.605066000000001</v>
      </c>
      <c r="G54" s="190">
        <v>36.147630999999997</v>
      </c>
      <c r="H54" s="190">
        <v>0.97824115</v>
      </c>
      <c r="I54" s="62">
        <v>0.98248981999999996</v>
      </c>
      <c r="J54" s="62">
        <v>4.2394076000000003E-2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32.420591000000002</v>
      </c>
      <c r="Y54" s="190">
        <v>36.061883999999999</v>
      </c>
      <c r="Z54" s="190">
        <v>0.97900880999999995</v>
      </c>
      <c r="AA54" s="62">
        <v>0.98292963</v>
      </c>
      <c r="AB54" s="62">
        <v>3.9324507000000002E-2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-0.18447499999999906</v>
      </c>
      <c r="AN54" s="122">
        <f t="shared" si="5"/>
        <v>-8.5746999999997797E-2</v>
      </c>
      <c r="AO54" s="122">
        <f t="shared" si="6"/>
        <v>7.6765999999994783E-4</v>
      </c>
      <c r="AP54" s="122">
        <f t="shared" si="7"/>
        <v>4.3981000000004045E-4</v>
      </c>
      <c r="AQ54" s="88">
        <f t="shared" si="8"/>
        <v>-3.0695690000000012E-3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35.849721000000002</v>
      </c>
      <c r="G55" s="190">
        <v>39.937669</v>
      </c>
      <c r="H55" s="190">
        <v>0.98815037999999999</v>
      </c>
      <c r="I55" s="62">
        <v>0.99146029000000002</v>
      </c>
      <c r="J55" s="62">
        <v>2.8317743999999999E-2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34.396769999999997</v>
      </c>
      <c r="Y55" s="190">
        <v>38.227285999999999</v>
      </c>
      <c r="Z55" s="190">
        <v>0.98710231000000004</v>
      </c>
      <c r="AA55" s="62">
        <v>0.98951928</v>
      </c>
      <c r="AB55" s="62">
        <v>2.7288324999999999E-2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-1.4529510000000059</v>
      </c>
      <c r="AN55" s="122">
        <f t="shared" si="5"/>
        <v>-1.7103830000000002</v>
      </c>
      <c r="AO55" s="122">
        <f t="shared" si="6"/>
        <v>-1.0480699999999565E-3</v>
      </c>
      <c r="AP55" s="122">
        <f t="shared" si="7"/>
        <v>-1.9410100000000208E-3</v>
      </c>
      <c r="AQ55" s="88">
        <f t="shared" si="8"/>
        <v>-1.0294190000000002E-3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39.036290000000001</v>
      </c>
      <c r="G56" s="190">
        <v>43.205052999999999</v>
      </c>
      <c r="H56" s="190">
        <v>0.99343181000000003</v>
      </c>
      <c r="I56" s="62">
        <v>0.99556213000000005</v>
      </c>
      <c r="J56" s="62">
        <v>1.35627E-2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35.896922000000004</v>
      </c>
      <c r="Y56" s="190">
        <v>39.784930000000003</v>
      </c>
      <c r="Z56" s="190">
        <v>0.99156073</v>
      </c>
      <c r="AA56" s="62">
        <v>0.99269021000000002</v>
      </c>
      <c r="AB56" s="62">
        <v>1.6255421999999999E-2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-3.1393679999999975</v>
      </c>
      <c r="AN56" s="122">
        <f t="shared" si="5"/>
        <v>-3.4201229999999967</v>
      </c>
      <c r="AO56" s="122">
        <f t="shared" si="6"/>
        <v>-1.8710800000000249E-3</v>
      </c>
      <c r="AP56" s="122">
        <f t="shared" si="7"/>
        <v>-2.8719200000000278E-3</v>
      </c>
      <c r="AQ56" s="88">
        <f t="shared" si="8"/>
        <v>2.6927219999999981E-3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29.889361999999998</v>
      </c>
      <c r="G58" s="97">
        <v>33.443480000000001</v>
      </c>
      <c r="H58" s="97">
        <v>0.96353847000000004</v>
      </c>
      <c r="I58" s="60">
        <v>0.97093255000000001</v>
      </c>
      <c r="J58" s="60">
        <v>6.4833710000000003E-2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30.382883</v>
      </c>
      <c r="Y58" s="97">
        <v>33.982776999999999</v>
      </c>
      <c r="Z58" s="97">
        <v>0.96591667000000003</v>
      </c>
      <c r="AA58" s="60">
        <v>0.97373646000000003</v>
      </c>
      <c r="AB58" s="60">
        <v>6.0291793000000003E-2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0.49352100000000121</v>
      </c>
      <c r="AN58" s="96">
        <f t="shared" si="5"/>
        <v>0.53929699999999769</v>
      </c>
      <c r="AO58" s="96">
        <f t="shared" si="6"/>
        <v>2.378199999999997E-3</v>
      </c>
      <c r="AP58" s="96">
        <f t="shared" si="7"/>
        <v>2.8039100000000206E-3</v>
      </c>
      <c r="AQ58" s="121">
        <f t="shared" si="8"/>
        <v>-4.5419169999999995E-3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32.757964000000001</v>
      </c>
      <c r="G59" s="190">
        <v>36.271399000000002</v>
      </c>
      <c r="H59" s="190">
        <v>0.97812847999999997</v>
      </c>
      <c r="I59" s="62">
        <v>0.98300646999999997</v>
      </c>
      <c r="J59" s="62">
        <v>4.2763035999999997E-2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32.551712000000002</v>
      </c>
      <c r="Y59" s="190">
        <v>36.170341000000001</v>
      </c>
      <c r="Z59" s="190">
        <v>0.97891620000000001</v>
      </c>
      <c r="AA59" s="62">
        <v>0.98347006999999997</v>
      </c>
      <c r="AB59" s="62">
        <v>3.9752915999999999E-2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-0.20625199999999921</v>
      </c>
      <c r="AN59" s="122">
        <f t="shared" si="5"/>
        <v>-0.10105800000000187</v>
      </c>
      <c r="AO59" s="122">
        <f t="shared" si="6"/>
        <v>7.8772000000004727E-4</v>
      </c>
      <c r="AP59" s="122">
        <f t="shared" si="7"/>
        <v>4.6360000000000845E-4</v>
      </c>
      <c r="AQ59" s="88">
        <f t="shared" si="8"/>
        <v>-3.0101199999999981E-3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35.903069000000002</v>
      </c>
      <c r="G60" s="190">
        <v>39.942720999999999</v>
      </c>
      <c r="H60" s="190">
        <v>0.98819625</v>
      </c>
      <c r="I60" s="62">
        <v>0.99141855000000001</v>
      </c>
      <c r="J60" s="62">
        <v>2.8687609999999999E-2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34.523125999999998</v>
      </c>
      <c r="Y60" s="190">
        <v>38.293613999999998</v>
      </c>
      <c r="Z60" s="190">
        <v>0.98711216999999996</v>
      </c>
      <c r="AA60" s="62">
        <v>0.98956692000000002</v>
      </c>
      <c r="AB60" s="62">
        <v>2.7701133999999999E-2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-1.3799430000000044</v>
      </c>
      <c r="AN60" s="122">
        <f t="shared" si="5"/>
        <v>-1.6491070000000008</v>
      </c>
      <c r="AO60" s="122">
        <f t="shared" si="6"/>
        <v>-1.0840800000000428E-3</v>
      </c>
      <c r="AP60" s="122">
        <f t="shared" si="7"/>
        <v>-1.851629999999993E-3</v>
      </c>
      <c r="AQ60" s="88">
        <f t="shared" si="8"/>
        <v>-9.8647600000000002E-4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39.331583999999999</v>
      </c>
      <c r="G61" s="190">
        <v>43.395305</v>
      </c>
      <c r="H61" s="190">
        <v>0.99347154999999998</v>
      </c>
      <c r="I61" s="62">
        <v>0.99553382999999995</v>
      </c>
      <c r="J61" s="62">
        <v>1.3033723000000001E-2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36.203096000000002</v>
      </c>
      <c r="Y61" s="190">
        <v>40.000528000000003</v>
      </c>
      <c r="Z61" s="190">
        <v>0.99155077000000003</v>
      </c>
      <c r="AA61" s="62">
        <v>0.99262466999999999</v>
      </c>
      <c r="AB61" s="62">
        <v>1.5929906000000001E-2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-3.1284879999999973</v>
      </c>
      <c r="AN61" s="122">
        <f t="shared" si="5"/>
        <v>-3.3947769999999977</v>
      </c>
      <c r="AO61" s="122">
        <f t="shared" si="6"/>
        <v>-1.9207799999999553E-3</v>
      </c>
      <c r="AP61" s="122">
        <f t="shared" si="7"/>
        <v>-2.9091599999999662E-3</v>
      </c>
      <c r="AQ61" s="88">
        <f t="shared" si="8"/>
        <v>2.8961830000000001E-3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30.192778000000001</v>
      </c>
      <c r="G63" s="97">
        <v>33.849732000000003</v>
      </c>
      <c r="H63" s="97">
        <v>0.96250073000000003</v>
      </c>
      <c r="I63" s="60">
        <v>0.97161414999999995</v>
      </c>
      <c r="J63" s="60">
        <v>6.3317520000000002E-2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30.614899999999999</v>
      </c>
      <c r="Y63" s="97">
        <v>34.285471999999999</v>
      </c>
      <c r="Z63" s="97">
        <v>0.96462722999999995</v>
      </c>
      <c r="AA63" s="60">
        <v>0.97432848000000005</v>
      </c>
      <c r="AB63" s="60">
        <v>5.9484879999999997E-2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0.42212199999999811</v>
      </c>
      <c r="AN63" s="96">
        <f t="shared" si="5"/>
        <v>0.43573999999999558</v>
      </c>
      <c r="AO63" s="96">
        <f t="shared" si="6"/>
        <v>2.1264999999999201E-3</v>
      </c>
      <c r="AP63" s="96">
        <f t="shared" si="7"/>
        <v>2.7143300000000981E-3</v>
      </c>
      <c r="AQ63" s="121">
        <f t="shared" si="8"/>
        <v>-3.8326400000000052E-3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33.275219999999997</v>
      </c>
      <c r="G64" s="190">
        <v>36.688637</v>
      </c>
      <c r="H64" s="190">
        <v>0.97791008000000001</v>
      </c>
      <c r="I64" s="62">
        <v>0.98319962999999999</v>
      </c>
      <c r="J64" s="62">
        <v>4.0474116999999997E-2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32.986539</v>
      </c>
      <c r="Y64" s="190">
        <v>36.539307999999998</v>
      </c>
      <c r="Z64" s="190">
        <v>0.97846314000000001</v>
      </c>
      <c r="AA64" s="62">
        <v>0.98355086000000003</v>
      </c>
      <c r="AB64" s="62">
        <v>3.825659E-2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-0.28868099999999686</v>
      </c>
      <c r="AN64" s="122">
        <f t="shared" si="5"/>
        <v>-0.1493290000000016</v>
      </c>
      <c r="AO64" s="122">
        <f t="shared" si="6"/>
        <v>5.5305999999999411E-4</v>
      </c>
      <c r="AP64" s="122">
        <f t="shared" si="7"/>
        <v>3.5123000000003568E-4</v>
      </c>
      <c r="AQ64" s="88">
        <f t="shared" si="8"/>
        <v>-2.2175269999999969E-3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36.537548999999999</v>
      </c>
      <c r="G65" s="190">
        <v>40.389308</v>
      </c>
      <c r="H65" s="190">
        <v>0.98837861000000005</v>
      </c>
      <c r="I65" s="62">
        <v>0.99179441999999995</v>
      </c>
      <c r="J65" s="62">
        <v>2.6841093E-2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35.104092000000001</v>
      </c>
      <c r="Y65" s="190">
        <v>38.753337000000002</v>
      </c>
      <c r="Z65" s="190">
        <v>0.98709608999999998</v>
      </c>
      <c r="AA65" s="62">
        <v>0.98958683000000003</v>
      </c>
      <c r="AB65" s="62">
        <v>2.570339E-2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-1.4334569999999971</v>
      </c>
      <c r="AN65" s="122">
        <f t="shared" si="5"/>
        <v>-1.6359709999999978</v>
      </c>
      <c r="AO65" s="122">
        <f t="shared" si="6"/>
        <v>-1.2825200000000647E-3</v>
      </c>
      <c r="AP65" s="122">
        <f t="shared" si="7"/>
        <v>-2.207589999999926E-3</v>
      </c>
      <c r="AQ65" s="88">
        <f t="shared" si="8"/>
        <v>-1.1377030000000003E-3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40.025813999999997</v>
      </c>
      <c r="G66" s="190">
        <v>43.876637000000002</v>
      </c>
      <c r="H66" s="190">
        <v>0.99360501999999995</v>
      </c>
      <c r="I66" s="62">
        <v>0.99574750000000001</v>
      </c>
      <c r="J66" s="62">
        <v>1.2267765999999999E-2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36.729970000000002</v>
      </c>
      <c r="Y66" s="190">
        <v>40.422218999999998</v>
      </c>
      <c r="Z66" s="190">
        <v>0.99149955999999995</v>
      </c>
      <c r="AA66" s="62">
        <v>0.99252342000000005</v>
      </c>
      <c r="AB66" s="62">
        <v>1.461382E-2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-3.2958439999999953</v>
      </c>
      <c r="AN66" s="122">
        <f t="shared" si="5"/>
        <v>-3.454418000000004</v>
      </c>
      <c r="AO66" s="122">
        <f t="shared" si="6"/>
        <v>-2.1054600000000034E-3</v>
      </c>
      <c r="AP66" s="122">
        <f t="shared" si="7"/>
        <v>-3.2240799999999625E-3</v>
      </c>
      <c r="AQ66" s="88">
        <f t="shared" si="8"/>
        <v>2.3460540000000002E-3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28.758030000000002</v>
      </c>
      <c r="G68" s="97">
        <v>32.175871000000001</v>
      </c>
      <c r="H68" s="97">
        <v>0.96246520000000002</v>
      </c>
      <c r="I68" s="60">
        <v>0.96850700999999995</v>
      </c>
      <c r="J68" s="60">
        <v>7.027593E-2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29.446411999999999</v>
      </c>
      <c r="Y68" s="97">
        <v>32.877749000000001</v>
      </c>
      <c r="Z68" s="97">
        <v>0.96462791999999997</v>
      </c>
      <c r="AA68" s="60">
        <v>0.97353511000000004</v>
      </c>
      <c r="AB68" s="60">
        <v>6.4978935000000002E-2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0.68838199999999716</v>
      </c>
      <c r="AN68" s="96">
        <f t="shared" si="5"/>
        <v>0.70187800000000067</v>
      </c>
      <c r="AO68" s="96">
        <f t="shared" si="6"/>
        <v>2.1627199999999513E-3</v>
      </c>
      <c r="AP68" s="96">
        <f t="shared" si="7"/>
        <v>5.0281000000000908E-3</v>
      </c>
      <c r="AQ68" s="121">
        <f t="shared" si="8"/>
        <v>-5.2969949999999988E-3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31.994530000000001</v>
      </c>
      <c r="G69" s="190">
        <v>35.559193</v>
      </c>
      <c r="H69" s="190">
        <v>0.97834412999999998</v>
      </c>
      <c r="I69" s="62">
        <v>0.98252963000000004</v>
      </c>
      <c r="J69" s="62">
        <v>4.7107913000000001E-2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31.928518</v>
      </c>
      <c r="Y69" s="190">
        <v>35.584606999999998</v>
      </c>
      <c r="Z69" s="190">
        <v>0.97880442999999995</v>
      </c>
      <c r="AA69" s="62">
        <v>0.98383339999999997</v>
      </c>
      <c r="AB69" s="62">
        <v>4.4820458000000001E-2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-6.6012000000000626E-2</v>
      </c>
      <c r="AN69" s="122">
        <f t="shared" si="5"/>
        <v>2.5413999999997827E-2</v>
      </c>
      <c r="AO69" s="122">
        <f t="shared" si="6"/>
        <v>4.6029999999996907E-4</v>
      </c>
      <c r="AP69" s="122">
        <f t="shared" si="7"/>
        <v>1.3037699999999264E-3</v>
      </c>
      <c r="AQ69" s="88">
        <f t="shared" si="8"/>
        <v>-2.2874550000000007E-3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34.840690000000002</v>
      </c>
      <c r="G70" s="190">
        <v>39.056075999999997</v>
      </c>
      <c r="H70" s="190">
        <v>0.98872780999999998</v>
      </c>
      <c r="I70" s="62">
        <v>0.99181105999999997</v>
      </c>
      <c r="J70" s="62">
        <v>2.9465063E-2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33.516010999999999</v>
      </c>
      <c r="Y70" s="190">
        <v>37.432330999999998</v>
      </c>
      <c r="Z70" s="190">
        <v>0.98703684999999997</v>
      </c>
      <c r="AA70" s="62">
        <v>0.98958312000000004</v>
      </c>
      <c r="AB70" s="62">
        <v>3.1307330000000001E-2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-1.3246790000000033</v>
      </c>
      <c r="AN70" s="122">
        <f t="shared" si="5"/>
        <v>-1.6237449999999995</v>
      </c>
      <c r="AO70" s="122">
        <f t="shared" si="6"/>
        <v>-1.6909600000000191E-3</v>
      </c>
      <c r="AP70" s="122">
        <f t="shared" si="7"/>
        <v>-2.2279399999999283E-3</v>
      </c>
      <c r="AQ70" s="88">
        <f t="shared" si="8"/>
        <v>1.8422670000000016E-3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38.082653000000001</v>
      </c>
      <c r="G71" s="190">
        <v>42.416034000000003</v>
      </c>
      <c r="H71" s="190">
        <v>0.99370533999999999</v>
      </c>
      <c r="I71" s="62">
        <v>0.99579413000000006</v>
      </c>
      <c r="J71" s="62">
        <v>1.4960887000000001E-2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35.334974000000003</v>
      </c>
      <c r="Y71" s="190">
        <v>39.277341</v>
      </c>
      <c r="Z71" s="190">
        <v>0.99139997999999996</v>
      </c>
      <c r="AA71" s="62">
        <v>0.99278666999999998</v>
      </c>
      <c r="AB71" s="62">
        <v>1.9069958000000001E-2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-2.747678999999998</v>
      </c>
      <c r="AN71" s="122">
        <f t="shared" si="5"/>
        <v>-3.1386930000000035</v>
      </c>
      <c r="AO71" s="122">
        <f t="shared" si="6"/>
        <v>-2.305360000000034E-3</v>
      </c>
      <c r="AP71" s="122">
        <f t="shared" si="7"/>
        <v>-3.0074600000000729E-3</v>
      </c>
      <c r="AQ71" s="88">
        <f t="shared" si="8"/>
        <v>4.1090710000000006E-3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29.721824999999999</v>
      </c>
      <c r="G73" s="97">
        <v>33.441149000000003</v>
      </c>
      <c r="H73" s="97">
        <v>0.96528581999999996</v>
      </c>
      <c r="I73" s="60">
        <v>0.96971233999999995</v>
      </c>
      <c r="J73" s="60">
        <v>6.1627384E-2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30.538806999999998</v>
      </c>
      <c r="Y73" s="97">
        <v>34.243851999999997</v>
      </c>
      <c r="Z73" s="97">
        <v>0.96741884</v>
      </c>
      <c r="AA73" s="60">
        <v>0.97452589999999994</v>
      </c>
      <c r="AB73" s="60">
        <v>5.6077525000000003E-2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0.81698199999999943</v>
      </c>
      <c r="AN73" s="96">
        <f t="shared" si="5"/>
        <v>0.80270299999999395</v>
      </c>
      <c r="AO73" s="96">
        <f t="shared" si="6"/>
        <v>2.133020000000041E-3</v>
      </c>
      <c r="AP73" s="96">
        <f t="shared" si="7"/>
        <v>4.8135599999999945E-3</v>
      </c>
      <c r="AQ73" s="121">
        <f t="shared" si="8"/>
        <v>-5.5498589999999973E-3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32.559113000000004</v>
      </c>
      <c r="G74" s="190">
        <v>36.275317999999999</v>
      </c>
      <c r="H74" s="190">
        <v>0.97913749999999999</v>
      </c>
      <c r="I74" s="62">
        <v>0.98275504999999996</v>
      </c>
      <c r="J74" s="62">
        <v>4.1051560000000001E-2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32.536394999999999</v>
      </c>
      <c r="Y74" s="190">
        <v>36.298861000000002</v>
      </c>
      <c r="Z74" s="190">
        <v>0.97973723999999995</v>
      </c>
      <c r="AA74" s="62">
        <v>0.98349664999999997</v>
      </c>
      <c r="AB74" s="62">
        <v>3.8394619999999997E-2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-2.2718000000004679E-2</v>
      </c>
      <c r="AN74" s="122">
        <f t="shared" si="5"/>
        <v>2.3543000000003644E-2</v>
      </c>
      <c r="AO74" s="122">
        <f t="shared" si="6"/>
        <v>5.9973999999995975E-4</v>
      </c>
      <c r="AP74" s="122">
        <f t="shared" si="7"/>
        <v>7.4160000000000892E-4</v>
      </c>
      <c r="AQ74" s="88">
        <f t="shared" si="8"/>
        <v>-2.6569400000000035E-3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36.264294</v>
      </c>
      <c r="G75" s="190">
        <v>40.258662000000001</v>
      </c>
      <c r="H75" s="190">
        <v>0.98887616</v>
      </c>
      <c r="I75" s="62">
        <v>0.99184554999999996</v>
      </c>
      <c r="J75" s="62">
        <v>2.3844425999999998E-2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34.648083</v>
      </c>
      <c r="Y75" s="190">
        <v>38.479770000000002</v>
      </c>
      <c r="Z75" s="190">
        <v>0.98741042000000001</v>
      </c>
      <c r="AA75" s="62">
        <v>0.98950070999999995</v>
      </c>
      <c r="AB75" s="62">
        <v>2.5212778000000002E-2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-1.6162109999999998</v>
      </c>
      <c r="AN75" s="122">
        <f t="shared" si="5"/>
        <v>-1.778891999999999</v>
      </c>
      <c r="AO75" s="122">
        <f t="shared" si="6"/>
        <v>-1.4657399999999932E-3</v>
      </c>
      <c r="AP75" s="122">
        <f t="shared" si="7"/>
        <v>-2.3448400000000147E-3</v>
      </c>
      <c r="AQ75" s="88">
        <f t="shared" si="8"/>
        <v>1.3683520000000032E-3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38.274569</v>
      </c>
      <c r="G76" s="190">
        <v>42.696556999999999</v>
      </c>
      <c r="H76" s="190">
        <v>0.99367722000000003</v>
      </c>
      <c r="I76" s="62">
        <v>0.99576049</v>
      </c>
      <c r="J76" s="62">
        <v>1.6243509999999999E-2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35.616585000000001</v>
      </c>
      <c r="Y76" s="190">
        <v>39.613315</v>
      </c>
      <c r="Z76" s="190">
        <v>0.99155329999999997</v>
      </c>
      <c r="AA76" s="62">
        <v>0.99264361000000001</v>
      </c>
      <c r="AB76" s="62">
        <v>1.9078797000000002E-2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-2.657983999999999</v>
      </c>
      <c r="AN76" s="122">
        <f t="shared" si="5"/>
        <v>-3.0832419999999985</v>
      </c>
      <c r="AO76" s="122">
        <f t="shared" si="6"/>
        <v>-2.1239200000000569E-3</v>
      </c>
      <c r="AP76" s="122">
        <f t="shared" si="7"/>
        <v>-3.1168799999999885E-3</v>
      </c>
      <c r="AQ76" s="88">
        <f t="shared" si="8"/>
        <v>2.8352870000000023E-3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29.816041999999999</v>
      </c>
      <c r="G78" s="97">
        <v>33.506577999999998</v>
      </c>
      <c r="H78" s="97">
        <v>0.96681386999999996</v>
      </c>
      <c r="I78" s="60">
        <v>0.97138119999999994</v>
      </c>
      <c r="J78" s="60">
        <v>6.4323430000000001E-2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30.537946999999999</v>
      </c>
      <c r="Y78" s="97">
        <v>34.253203999999997</v>
      </c>
      <c r="Z78" s="97">
        <v>0.96871523000000004</v>
      </c>
      <c r="AA78" s="60">
        <v>0.97521287999999995</v>
      </c>
      <c r="AB78" s="60">
        <v>5.8921304000000001E-2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0.72190499999999957</v>
      </c>
      <c r="AN78" s="96">
        <f t="shared" si="5"/>
        <v>0.74662599999999912</v>
      </c>
      <c r="AO78" s="96">
        <f t="shared" si="6"/>
        <v>1.9013600000000741E-3</v>
      </c>
      <c r="AP78" s="96">
        <f t="shared" si="7"/>
        <v>3.831680000000004E-3</v>
      </c>
      <c r="AQ78" s="121">
        <f t="shared" si="8"/>
        <v>-5.4021260000000001E-3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32.388849</v>
      </c>
      <c r="G79" s="190">
        <v>36.199632000000001</v>
      </c>
      <c r="H79" s="190">
        <v>0.97959214999999999</v>
      </c>
      <c r="I79" s="62">
        <v>0.98290674</v>
      </c>
      <c r="J79" s="62">
        <v>4.2779789999999998E-2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32.412573000000002</v>
      </c>
      <c r="Y79" s="190">
        <v>36.248013999999998</v>
      </c>
      <c r="Z79" s="190">
        <v>0.98028406999999995</v>
      </c>
      <c r="AA79" s="62">
        <v>0.98357687999999999</v>
      </c>
      <c r="AB79" s="62">
        <v>4.0052037999999998E-2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2.3724000000001411E-2</v>
      </c>
      <c r="AN79" s="122">
        <f t="shared" si="5"/>
        <v>4.8381999999996594E-2</v>
      </c>
      <c r="AO79" s="122">
        <f t="shared" si="6"/>
        <v>6.9191999999995701E-4</v>
      </c>
      <c r="AP79" s="122">
        <f t="shared" si="7"/>
        <v>6.7013999999998575E-4</v>
      </c>
      <c r="AQ79" s="88">
        <f t="shared" si="8"/>
        <v>-2.727752E-3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35.932589999999998</v>
      </c>
      <c r="G80" s="190">
        <v>40.137836999999998</v>
      </c>
      <c r="H80" s="190">
        <v>0.98902133999999997</v>
      </c>
      <c r="I80" s="62">
        <v>0.99188843999999998</v>
      </c>
      <c r="J80" s="62">
        <v>2.7310178000000001E-2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34.311866999999999</v>
      </c>
      <c r="Y80" s="190">
        <v>38.313077</v>
      </c>
      <c r="Z80" s="190">
        <v>0.98782877999999996</v>
      </c>
      <c r="AA80" s="62">
        <v>0.98979627000000003</v>
      </c>
      <c r="AB80" s="62">
        <v>2.8044876E-2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-1.6207229999999981</v>
      </c>
      <c r="AN80" s="122">
        <f t="shared" si="5"/>
        <v>-1.8247599999999977</v>
      </c>
      <c r="AO80" s="122">
        <f t="shared" si="6"/>
        <v>-1.1925600000000092E-3</v>
      </c>
      <c r="AP80" s="122">
        <f t="shared" si="7"/>
        <v>-2.0921699999999488E-3</v>
      </c>
      <c r="AQ80" s="88">
        <f t="shared" si="8"/>
        <v>7.3469799999999891E-4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38.685720000000003</v>
      </c>
      <c r="G81" s="190">
        <v>43.108693000000002</v>
      </c>
      <c r="H81" s="190">
        <v>0.99371940000000003</v>
      </c>
      <c r="I81" s="62">
        <v>0.99581129999999995</v>
      </c>
      <c r="J81" s="62">
        <v>1.559665E-2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35.847752999999997</v>
      </c>
      <c r="Y81" s="190">
        <v>39.877882</v>
      </c>
      <c r="Z81" s="190">
        <v>0.99188989999999999</v>
      </c>
      <c r="AA81" s="62">
        <v>0.99293675999999997</v>
      </c>
      <c r="AB81" s="62">
        <v>1.7807666E-2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-2.8379670000000061</v>
      </c>
      <c r="AN81" s="122">
        <f t="shared" si="5"/>
        <v>-3.2308110000000028</v>
      </c>
      <c r="AO81" s="122">
        <f t="shared" si="6"/>
        <v>-1.8295000000000394E-3</v>
      </c>
      <c r="AP81" s="122">
        <f t="shared" si="7"/>
        <v>-2.874539999999981E-3</v>
      </c>
      <c r="AQ81" s="88">
        <f t="shared" si="8"/>
        <v>2.2110159999999997E-3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30.504632000000001</v>
      </c>
      <c r="G83" s="97">
        <v>33.855038999999998</v>
      </c>
      <c r="H83" s="97">
        <v>0.96774022000000004</v>
      </c>
      <c r="I83" s="60">
        <v>0.97337149000000001</v>
      </c>
      <c r="J83" s="60">
        <v>5.9574283999999998E-2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31.247444999999999</v>
      </c>
      <c r="Y83" s="97">
        <v>34.572690999999999</v>
      </c>
      <c r="Z83" s="97">
        <v>0.96960888000000001</v>
      </c>
      <c r="AA83" s="60">
        <v>0.97626429000000003</v>
      </c>
      <c r="AB83" s="60">
        <v>5.4976490000000003E-2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0.74281299999999817</v>
      </c>
      <c r="AN83" s="96">
        <f t="shared" si="5"/>
        <v>0.71765200000000107</v>
      </c>
      <c r="AO83" s="96">
        <f t="shared" si="6"/>
        <v>1.8686599999999665E-3</v>
      </c>
      <c r="AP83" s="96">
        <f t="shared" si="7"/>
        <v>2.8928000000000287E-3</v>
      </c>
      <c r="AQ83" s="121">
        <f t="shared" si="8"/>
        <v>-4.5977939999999953E-3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33.225603</v>
      </c>
      <c r="G84" s="190">
        <v>36.723312999999997</v>
      </c>
      <c r="H84" s="190">
        <v>0.98014716999999996</v>
      </c>
      <c r="I84" s="62">
        <v>0.98407553000000003</v>
      </c>
      <c r="J84" s="62">
        <v>3.9376434000000002E-2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33.212760000000003</v>
      </c>
      <c r="Y84" s="190">
        <v>36.742539999999998</v>
      </c>
      <c r="Z84" s="190">
        <v>0.98090361000000004</v>
      </c>
      <c r="AA84" s="62">
        <v>0.98457556000000002</v>
      </c>
      <c r="AB84" s="62">
        <v>3.6868256000000002E-2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-1.2842999999996607E-2</v>
      </c>
      <c r="AN84" s="122">
        <f t="shared" si="5"/>
        <v>1.9227000000000771E-2</v>
      </c>
      <c r="AO84" s="122">
        <f t="shared" si="6"/>
        <v>7.5644000000008038E-4</v>
      </c>
      <c r="AP84" s="122">
        <f t="shared" si="7"/>
        <v>5.0002999999998465E-4</v>
      </c>
      <c r="AQ84" s="88">
        <f t="shared" si="8"/>
        <v>-2.5081779999999998E-3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36.298963999999998</v>
      </c>
      <c r="G85" s="190">
        <v>40.418304999999997</v>
      </c>
      <c r="H85" s="190">
        <v>0.9888728</v>
      </c>
      <c r="I85" s="62">
        <v>0.99219478000000005</v>
      </c>
      <c r="J85" s="62">
        <v>2.5791584999999999E-2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34.902757000000001</v>
      </c>
      <c r="Y85" s="190">
        <v>38.775849000000001</v>
      </c>
      <c r="Z85" s="190">
        <v>0.98793869999999995</v>
      </c>
      <c r="AA85" s="62">
        <v>0.99024555999999997</v>
      </c>
      <c r="AB85" s="62">
        <v>2.6246822999999999E-2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-1.3962069999999969</v>
      </c>
      <c r="AN85" s="122">
        <f t="shared" si="5"/>
        <v>-1.6424559999999957</v>
      </c>
      <c r="AO85" s="122">
        <f t="shared" si="6"/>
        <v>-9.3410000000004878E-4</v>
      </c>
      <c r="AP85" s="122">
        <f t="shared" si="7"/>
        <v>-1.9492200000000848E-3</v>
      </c>
      <c r="AQ85" s="88">
        <f t="shared" si="8"/>
        <v>4.5523800000000017E-4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39.179333999999997</v>
      </c>
      <c r="G86" s="190">
        <v>43.472152999999999</v>
      </c>
      <c r="H86" s="190">
        <v>0.99356557999999995</v>
      </c>
      <c r="I86" s="62">
        <v>0.99577068999999996</v>
      </c>
      <c r="J86" s="62">
        <v>1.3926925999999999E-2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36.547829999999998</v>
      </c>
      <c r="Y86" s="190">
        <v>40.428725999999997</v>
      </c>
      <c r="Z86" s="190">
        <v>0.99193255000000002</v>
      </c>
      <c r="AA86" s="62">
        <v>0.99315293999999998</v>
      </c>
      <c r="AB86" s="62">
        <v>1.6175467999999998E-2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-2.6315039999999996</v>
      </c>
      <c r="AN86" s="122">
        <f t="shared" si="5"/>
        <v>-3.0434270000000012</v>
      </c>
      <c r="AO86" s="122">
        <f t="shared" si="6"/>
        <v>-1.6330299999999243E-3</v>
      </c>
      <c r="AP86" s="122">
        <f t="shared" si="7"/>
        <v>-2.6177499999999743E-3</v>
      </c>
      <c r="AQ86" s="88">
        <f t="shared" si="8"/>
        <v>2.2485419999999992E-3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30.506453</v>
      </c>
      <c r="G88" s="97">
        <v>34.065699000000002</v>
      </c>
      <c r="H88" s="97">
        <v>0.96813229000000001</v>
      </c>
      <c r="I88" s="60">
        <v>0.97347740000000005</v>
      </c>
      <c r="J88" s="60">
        <v>5.7891036999999999E-2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31.170361</v>
      </c>
      <c r="Y88" s="97">
        <v>34.707965999999999</v>
      </c>
      <c r="Z88" s="97">
        <v>0.97018786999999995</v>
      </c>
      <c r="AA88" s="60">
        <v>0.97668706000000005</v>
      </c>
      <c r="AB88" s="60">
        <v>5.3554303999999997E-2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0.66390799999999928</v>
      </c>
      <c r="AN88" s="96">
        <f t="shared" si="5"/>
        <v>0.64226699999999681</v>
      </c>
      <c r="AO88" s="96">
        <f t="shared" si="6"/>
        <v>2.0555799999999458E-3</v>
      </c>
      <c r="AP88" s="96">
        <f t="shared" si="7"/>
        <v>3.2096600000000031E-3</v>
      </c>
      <c r="AQ88" s="121">
        <f t="shared" si="8"/>
        <v>-4.3367330000000023E-3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33.477825000000003</v>
      </c>
      <c r="G89" s="190">
        <v>36.947403999999999</v>
      </c>
      <c r="H89" s="190">
        <v>0.98062110000000002</v>
      </c>
      <c r="I89" s="62">
        <v>0.98461038000000001</v>
      </c>
      <c r="J89" s="62">
        <v>3.7740704E-2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33.401172000000003</v>
      </c>
      <c r="Y89" s="190">
        <v>36.917169000000001</v>
      </c>
      <c r="Z89" s="190">
        <v>0.98138426000000001</v>
      </c>
      <c r="AA89" s="62">
        <v>0.98473765999999996</v>
      </c>
      <c r="AB89" s="62">
        <v>3.5172604000000003E-2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-7.6653000000000304E-2</v>
      </c>
      <c r="AN89" s="122">
        <f t="shared" si="5"/>
        <v>-3.0234999999997569E-2</v>
      </c>
      <c r="AO89" s="122">
        <f t="shared" si="6"/>
        <v>7.6315999999998496E-4</v>
      </c>
      <c r="AP89" s="122">
        <f t="shared" si="7"/>
        <v>1.2727999999995188E-4</v>
      </c>
      <c r="AQ89" s="88">
        <f t="shared" si="8"/>
        <v>-2.5680999999999968E-3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36.749054000000001</v>
      </c>
      <c r="G90" s="190">
        <v>40.726500999999999</v>
      </c>
      <c r="H90" s="190">
        <v>0.98907822000000001</v>
      </c>
      <c r="I90" s="62">
        <v>0.99218974999999998</v>
      </c>
      <c r="J90" s="62">
        <v>2.3785336000000001E-2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35.262304999999998</v>
      </c>
      <c r="Y90" s="190">
        <v>39.060667000000002</v>
      </c>
      <c r="Z90" s="190">
        <v>0.98826533000000005</v>
      </c>
      <c r="AA90" s="62">
        <v>0.99039783000000003</v>
      </c>
      <c r="AB90" s="62">
        <v>2.4154775E-2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-1.4867490000000032</v>
      </c>
      <c r="AN90" s="122">
        <f t="shared" si="5"/>
        <v>-1.6658339999999967</v>
      </c>
      <c r="AO90" s="122">
        <f t="shared" si="6"/>
        <v>-8.1288999999995504E-4</v>
      </c>
      <c r="AP90" s="122">
        <f t="shared" si="7"/>
        <v>-1.7919199999999469E-3</v>
      </c>
      <c r="AQ90" s="88">
        <f t="shared" si="8"/>
        <v>3.6943899999999918E-4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39.673329000000003</v>
      </c>
      <c r="G91" s="190">
        <v>43.851545000000002</v>
      </c>
      <c r="H91" s="190">
        <v>0.99377333999999995</v>
      </c>
      <c r="I91" s="62">
        <v>0.99585747999999996</v>
      </c>
      <c r="J91" s="62">
        <v>1.2670857000000001E-2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36.652445999999998</v>
      </c>
      <c r="Y91" s="190">
        <v>40.533965000000002</v>
      </c>
      <c r="Z91" s="190">
        <v>0.99217348999999999</v>
      </c>
      <c r="AA91" s="62">
        <v>0.9932067</v>
      </c>
      <c r="AB91" s="62">
        <v>1.5942464E-2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-3.0208830000000049</v>
      </c>
      <c r="AN91" s="122">
        <f t="shared" si="5"/>
        <v>-3.3175799999999995</v>
      </c>
      <c r="AO91" s="122">
        <f t="shared" si="6"/>
        <v>-1.5998499999999582E-3</v>
      </c>
      <c r="AP91" s="122">
        <f t="shared" si="7"/>
        <v>-2.6507799999999637E-3</v>
      </c>
      <c r="AQ91" s="88">
        <f t="shared" si="8"/>
        <v>3.2716069999999993E-3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30.692250999999999</v>
      </c>
      <c r="G93" s="97">
        <v>34.376691000000001</v>
      </c>
      <c r="H93" s="97">
        <v>0.96842532999999997</v>
      </c>
      <c r="I93" s="60">
        <v>0.97444523000000005</v>
      </c>
      <c r="J93" s="60">
        <v>5.9075086999999998E-2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31.225639999999999</v>
      </c>
      <c r="Y93" s="97">
        <v>34.902776000000003</v>
      </c>
      <c r="Z93" s="97">
        <v>0.97057676999999998</v>
      </c>
      <c r="AA93" s="60">
        <v>0.97733115000000004</v>
      </c>
      <c r="AB93" s="60">
        <v>5.4870464000000001E-2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0.53338899999999967</v>
      </c>
      <c r="AN93" s="96">
        <f t="shared" si="5"/>
        <v>0.52608500000000191</v>
      </c>
      <c r="AO93" s="96">
        <f t="shared" si="6"/>
        <v>2.1514400000000045E-3</v>
      </c>
      <c r="AP93" s="96">
        <f t="shared" si="7"/>
        <v>2.8859199999999863E-3</v>
      </c>
      <c r="AQ93" s="121">
        <f t="shared" si="8"/>
        <v>-4.2046229999999976E-3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33.522762999999998</v>
      </c>
      <c r="G94" s="190">
        <v>37.168640000000003</v>
      </c>
      <c r="H94" s="190">
        <v>0.98070608999999997</v>
      </c>
      <c r="I94" s="62">
        <v>0.98510531000000001</v>
      </c>
      <c r="J94" s="62">
        <v>3.8282968000000001E-2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33.325139</v>
      </c>
      <c r="Y94" s="190">
        <v>37.008363000000003</v>
      </c>
      <c r="Z94" s="190">
        <v>0.98150179000000004</v>
      </c>
      <c r="AA94" s="62">
        <v>0.98551968999999995</v>
      </c>
      <c r="AB94" s="62">
        <v>3.5995899999999997E-2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-0.19762399999999758</v>
      </c>
      <c r="AN94" s="122">
        <f t="shared" si="5"/>
        <v>-0.16027700000000067</v>
      </c>
      <c r="AO94" s="122">
        <f t="shared" si="6"/>
        <v>7.957000000000658E-4</v>
      </c>
      <c r="AP94" s="122">
        <f t="shared" si="7"/>
        <v>4.1437999999993647E-4</v>
      </c>
      <c r="AQ94" s="88">
        <f t="shared" si="8"/>
        <v>-2.2870680000000032E-3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36.743402000000003</v>
      </c>
      <c r="G95" s="190">
        <v>40.670453000000002</v>
      </c>
      <c r="H95" s="190">
        <v>0.98922787000000001</v>
      </c>
      <c r="I95" s="62">
        <v>0.99235998999999997</v>
      </c>
      <c r="J95" s="62">
        <v>2.4386208999999999E-2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35.173724999999997</v>
      </c>
      <c r="Y95" s="190">
        <v>38.966389999999997</v>
      </c>
      <c r="Z95" s="190">
        <v>0.98839659999999996</v>
      </c>
      <c r="AA95" s="62">
        <v>0.99058864000000002</v>
      </c>
      <c r="AB95" s="62">
        <v>2.5306909999999998E-2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-1.5696770000000058</v>
      </c>
      <c r="AN95" s="122">
        <f t="shared" si="5"/>
        <v>-1.704063000000005</v>
      </c>
      <c r="AO95" s="122">
        <f t="shared" si="6"/>
        <v>-8.3127000000005058E-4</v>
      </c>
      <c r="AP95" s="122">
        <f t="shared" si="7"/>
        <v>-1.7713499999999494E-3</v>
      </c>
      <c r="AQ95" s="88">
        <f t="shared" si="8"/>
        <v>9.2070099999999946E-4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39.985708000000002</v>
      </c>
      <c r="G96" s="190">
        <v>44.116194999999998</v>
      </c>
      <c r="H96" s="190">
        <v>0.99387769999999998</v>
      </c>
      <c r="I96" s="62">
        <v>0.99593662000000005</v>
      </c>
      <c r="J96" s="62">
        <v>1.2287433E-2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36.812989000000002</v>
      </c>
      <c r="Y96" s="190">
        <v>40.651930999999998</v>
      </c>
      <c r="Z96" s="190">
        <v>0.99226780999999997</v>
      </c>
      <c r="AA96" s="62">
        <v>0.99326594999999995</v>
      </c>
      <c r="AB96" s="62">
        <v>1.6097039E-2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-3.1727190000000007</v>
      </c>
      <c r="AN96" s="122">
        <f t="shared" si="5"/>
        <v>-3.464264</v>
      </c>
      <c r="AO96" s="122">
        <f t="shared" si="6"/>
        <v>-1.6098900000000027E-3</v>
      </c>
      <c r="AP96" s="122">
        <f t="shared" si="7"/>
        <v>-2.6706700000000971E-3</v>
      </c>
      <c r="AQ96" s="88">
        <f t="shared" si="8"/>
        <v>3.8096060000000001E-3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31.200097</v>
      </c>
      <c r="G98" s="97">
        <v>35.032724999999999</v>
      </c>
      <c r="H98" s="97">
        <v>0.96768799999999999</v>
      </c>
      <c r="I98" s="60">
        <v>0.97495796999999995</v>
      </c>
      <c r="J98" s="60">
        <v>5.6385610000000003E-2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31.668885</v>
      </c>
      <c r="Y98" s="97">
        <v>35.463943999999998</v>
      </c>
      <c r="Z98" s="97">
        <v>0.96960042000000002</v>
      </c>
      <c r="AA98" s="60">
        <v>0.97739244999999997</v>
      </c>
      <c r="AB98" s="60">
        <v>5.2724615000000002E-2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0.46878799999999998</v>
      </c>
      <c r="AN98" s="96">
        <f t="shared" si="15"/>
        <v>0.43121899999999869</v>
      </c>
      <c r="AO98" s="96">
        <f t="shared" si="16"/>
        <v>1.9124200000000258E-3</v>
      </c>
      <c r="AP98" s="96">
        <f t="shared" si="17"/>
        <v>2.4344800000000166E-3</v>
      </c>
      <c r="AQ98" s="121">
        <f t="shared" si="18"/>
        <v>-3.6609950000000002E-3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34.226730000000003</v>
      </c>
      <c r="G99" s="190">
        <v>37.816426</v>
      </c>
      <c r="H99" s="190">
        <v>0.98047395000000004</v>
      </c>
      <c r="I99" s="62">
        <v>0.98535510999999998</v>
      </c>
      <c r="J99" s="62">
        <v>3.5571985E-2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33.947671</v>
      </c>
      <c r="Y99" s="190">
        <v>37.590063000000001</v>
      </c>
      <c r="Z99" s="190">
        <v>0.98104161000000001</v>
      </c>
      <c r="AA99" s="62">
        <v>0.98569582</v>
      </c>
      <c r="AB99" s="62">
        <v>3.3749166999999997E-2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-0.27905900000000372</v>
      </c>
      <c r="AN99" s="122">
        <f t="shared" si="15"/>
        <v>-0.2263629999999992</v>
      </c>
      <c r="AO99" s="122">
        <f t="shared" si="16"/>
        <v>5.6765999999996986E-4</v>
      </c>
      <c r="AP99" s="122">
        <f t="shared" si="17"/>
        <v>3.4071000000002183E-4</v>
      </c>
      <c r="AQ99" s="88">
        <f t="shared" si="18"/>
        <v>-1.8228180000000038E-3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37.317253999999998</v>
      </c>
      <c r="G100" s="190">
        <v>41.042479999999998</v>
      </c>
      <c r="H100" s="190">
        <v>0.98930030000000002</v>
      </c>
      <c r="I100" s="62">
        <v>0.99247538999999996</v>
      </c>
      <c r="J100" s="62">
        <v>2.2819249999999999E-2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35.788946000000003</v>
      </c>
      <c r="Y100" s="190">
        <v>39.414473999999998</v>
      </c>
      <c r="Z100" s="190">
        <v>0.98833572999999997</v>
      </c>
      <c r="AA100" s="62">
        <v>0.99075042999999996</v>
      </c>
      <c r="AB100" s="62">
        <v>2.296016E-2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-1.5283079999999956</v>
      </c>
      <c r="AN100" s="122">
        <f t="shared" si="15"/>
        <v>-1.6280059999999992</v>
      </c>
      <c r="AO100" s="122">
        <f t="shared" si="16"/>
        <v>-9.6457000000005344E-4</v>
      </c>
      <c r="AP100" s="122">
        <f t="shared" si="17"/>
        <v>-1.7249599999999976E-3</v>
      </c>
      <c r="AQ100" s="88">
        <f t="shared" si="18"/>
        <v>1.4091000000000103E-4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40.763637000000003</v>
      </c>
      <c r="G101" s="190">
        <v>44.629862000000003</v>
      </c>
      <c r="H101" s="190">
        <v>0.99400851000000001</v>
      </c>
      <c r="I101" s="62">
        <v>0.99606444999999999</v>
      </c>
      <c r="J101" s="62">
        <v>1.1500524E-2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37.562848000000002</v>
      </c>
      <c r="Y101" s="190">
        <v>41.196412000000002</v>
      </c>
      <c r="Z101" s="190">
        <v>0.99223209999999995</v>
      </c>
      <c r="AA101" s="62">
        <v>0.99332383999999996</v>
      </c>
      <c r="AB101" s="62">
        <v>1.3869217E-2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-3.2007890000000003</v>
      </c>
      <c r="AN101" s="122">
        <f t="shared" si="15"/>
        <v>-3.4334500000000006</v>
      </c>
      <c r="AO101" s="122">
        <f t="shared" si="16"/>
        <v>-1.7764100000000616E-3</v>
      </c>
      <c r="AP101" s="122">
        <f t="shared" si="17"/>
        <v>-2.7406100000000322E-3</v>
      </c>
      <c r="AQ101" s="88">
        <f t="shared" si="18"/>
        <v>2.3686929999999998E-3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30.891673999999998</v>
      </c>
      <c r="G103" s="97">
        <v>34.286845999999997</v>
      </c>
      <c r="H103" s="97">
        <v>0.96876554000000004</v>
      </c>
      <c r="I103" s="60">
        <v>0.97717799000000005</v>
      </c>
      <c r="J103" s="60">
        <v>7.1601090000000006E-2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31.386548000000001</v>
      </c>
      <c r="Y103" s="97">
        <v>34.959631999999999</v>
      </c>
      <c r="Z103" s="97">
        <v>0.96978708999999996</v>
      </c>
      <c r="AA103" s="60">
        <v>0.97948471999999998</v>
      </c>
      <c r="AB103" s="60">
        <v>6.7845269999999999E-2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0.49487400000000292</v>
      </c>
      <c r="AN103" s="96">
        <f t="shared" si="15"/>
        <v>0.6727860000000021</v>
      </c>
      <c r="AO103" s="96">
        <f t="shared" si="16"/>
        <v>1.0215499999999267E-3</v>
      </c>
      <c r="AP103" s="96">
        <f t="shared" si="17"/>
        <v>2.3067299999999236E-3</v>
      </c>
      <c r="AQ103" s="121">
        <f t="shared" si="18"/>
        <v>-3.7558200000000069E-3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33.513888000000001</v>
      </c>
      <c r="G104" s="190">
        <v>36.932178999999998</v>
      </c>
      <c r="H104" s="190">
        <v>0.98103441000000002</v>
      </c>
      <c r="I104" s="62">
        <v>0.98645523999999996</v>
      </c>
      <c r="J104" s="62">
        <v>4.8445635000000001E-2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33.338667999999998</v>
      </c>
      <c r="Y104" s="190">
        <v>37.020761999999998</v>
      </c>
      <c r="Z104" s="190">
        <v>0.98075853000000002</v>
      </c>
      <c r="AA104" s="62">
        <v>0.98651206000000002</v>
      </c>
      <c r="AB104" s="62">
        <v>4.8408277E-2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-0.17522000000000304</v>
      </c>
      <c r="AN104" s="122">
        <f t="shared" si="15"/>
        <v>8.8582999999999856E-2</v>
      </c>
      <c r="AO104" s="122">
        <f t="shared" si="16"/>
        <v>-2.7588000000000612E-4</v>
      </c>
      <c r="AP104" s="122">
        <f t="shared" si="17"/>
        <v>5.6820000000068482E-5</v>
      </c>
      <c r="AQ104" s="88">
        <f t="shared" si="18"/>
        <v>-3.7358000000001224E-5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36.028989000000003</v>
      </c>
      <c r="G105" s="190">
        <v>40.189062</v>
      </c>
      <c r="H105" s="190">
        <v>0.98975290999999999</v>
      </c>
      <c r="I105" s="62">
        <v>0.99311974000000003</v>
      </c>
      <c r="J105" s="62">
        <v>3.1016476000000001E-2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34.675477000000001</v>
      </c>
      <c r="Y105" s="190">
        <v>38.632606000000003</v>
      </c>
      <c r="Z105" s="190">
        <v>0.98812995000000003</v>
      </c>
      <c r="AA105" s="62">
        <v>0.99113008000000002</v>
      </c>
      <c r="AB105" s="62">
        <v>3.3469855999999999E-2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-1.353512000000002</v>
      </c>
      <c r="AN105" s="122">
        <f t="shared" si="15"/>
        <v>-1.5564559999999972</v>
      </c>
      <c r="AO105" s="122">
        <f t="shared" si="16"/>
        <v>-1.6229599999999511E-3</v>
      </c>
      <c r="AP105" s="122">
        <f t="shared" si="17"/>
        <v>-1.9896600000000042E-3</v>
      </c>
      <c r="AQ105" s="88">
        <f t="shared" si="18"/>
        <v>2.4533799999999981E-3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39.088518000000001</v>
      </c>
      <c r="G106" s="190">
        <v>43.431870000000004</v>
      </c>
      <c r="H106" s="190">
        <v>0.99384706</v>
      </c>
      <c r="I106" s="62">
        <v>0.99622750999999998</v>
      </c>
      <c r="J106" s="62">
        <v>1.6748056000000001E-2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36.636339999999997</v>
      </c>
      <c r="Y106" s="190">
        <v>40.546160999999998</v>
      </c>
      <c r="Z106" s="190">
        <v>0.99183100000000002</v>
      </c>
      <c r="AA106" s="62">
        <v>0.99379890999999998</v>
      </c>
      <c r="AB106" s="62">
        <v>2.0436969999999999E-2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-2.4521780000000035</v>
      </c>
      <c r="AN106" s="122">
        <f t="shared" si="15"/>
        <v>-2.8857090000000056</v>
      </c>
      <c r="AO106" s="122">
        <f t="shared" si="16"/>
        <v>-2.0160599999999862E-3</v>
      </c>
      <c r="AP106" s="122">
        <f t="shared" si="17"/>
        <v>-2.428600000000003E-3</v>
      </c>
      <c r="AQ106" s="88">
        <f t="shared" si="18"/>
        <v>3.688913999999998E-3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31.290185999999999</v>
      </c>
      <c r="G108" s="97">
        <v>34.809119000000003</v>
      </c>
      <c r="H108" s="97">
        <v>0.97069452000000001</v>
      </c>
      <c r="I108" s="60">
        <v>0.97828090000000001</v>
      </c>
      <c r="J108" s="60">
        <v>6.2942780000000004E-2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32.028548000000001</v>
      </c>
      <c r="Y108" s="97">
        <v>35.619109000000002</v>
      </c>
      <c r="Z108" s="97">
        <v>0.97179684</v>
      </c>
      <c r="AA108" s="60">
        <v>0.98074965000000003</v>
      </c>
      <c r="AB108" s="60">
        <v>5.9093513E-2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0.73836200000000218</v>
      </c>
      <c r="AN108" s="96">
        <f t="shared" si="15"/>
        <v>0.8099899999999991</v>
      </c>
      <c r="AO108" s="96">
        <f t="shared" si="16"/>
        <v>1.10231999999999E-3</v>
      </c>
      <c r="AP108" s="96">
        <f t="shared" si="17"/>
        <v>2.4687500000000195E-3</v>
      </c>
      <c r="AQ108" s="121">
        <f t="shared" si="18"/>
        <v>-3.8492670000000034E-3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33.972735</v>
      </c>
      <c r="G109" s="190">
        <v>37.300522999999998</v>
      </c>
      <c r="H109" s="190">
        <v>0.98153665999999995</v>
      </c>
      <c r="I109" s="62">
        <v>0.98666723999999995</v>
      </c>
      <c r="J109" s="62">
        <v>4.3309010000000002E-2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34.073175999999997</v>
      </c>
      <c r="Y109" s="190">
        <v>37.639961</v>
      </c>
      <c r="Z109" s="190">
        <v>0.98167819999999995</v>
      </c>
      <c r="AA109" s="62">
        <v>0.98687860999999999</v>
      </c>
      <c r="AB109" s="62">
        <v>4.2052206000000002E-2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0.10044099999999645</v>
      </c>
      <c r="AN109" s="122">
        <f t="shared" si="15"/>
        <v>0.33943800000000124</v>
      </c>
      <c r="AO109" s="122">
        <f t="shared" si="16"/>
        <v>1.4153999999999556E-4</v>
      </c>
      <c r="AP109" s="122">
        <f t="shared" si="17"/>
        <v>2.1137000000004402E-4</v>
      </c>
      <c r="AQ109" s="88">
        <f t="shared" si="18"/>
        <v>-1.2568040000000003E-3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37.349426000000001</v>
      </c>
      <c r="G110" s="190">
        <v>41.120111000000001</v>
      </c>
      <c r="H110" s="190">
        <v>0.98968685999999995</v>
      </c>
      <c r="I110" s="62">
        <v>0.99314919000000002</v>
      </c>
      <c r="J110" s="62">
        <v>2.641162E-2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35.804876999999998</v>
      </c>
      <c r="Y110" s="190">
        <v>39.596612</v>
      </c>
      <c r="Z110" s="190">
        <v>0.98836005999999998</v>
      </c>
      <c r="AA110" s="62">
        <v>0.99115485999999997</v>
      </c>
      <c r="AB110" s="62">
        <v>2.8363759999999998E-2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-1.5445490000000035</v>
      </c>
      <c r="AN110" s="122">
        <f t="shared" si="15"/>
        <v>-1.523499000000001</v>
      </c>
      <c r="AO110" s="122">
        <f t="shared" si="16"/>
        <v>-1.3267999999999613E-3</v>
      </c>
      <c r="AP110" s="122">
        <f t="shared" si="17"/>
        <v>-1.9943300000000441E-3</v>
      </c>
      <c r="AQ110" s="88">
        <f t="shared" si="18"/>
        <v>1.952139999999998E-3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39.203989999999997</v>
      </c>
      <c r="G111" s="190">
        <v>43.63984</v>
      </c>
      <c r="H111" s="190">
        <v>0.99384304999999995</v>
      </c>
      <c r="I111" s="62">
        <v>0.99611203000000004</v>
      </c>
      <c r="J111" s="62">
        <v>1.8621081000000001E-2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36.996493000000001</v>
      </c>
      <c r="Y111" s="190">
        <v>40.951836</v>
      </c>
      <c r="Z111" s="190">
        <v>0.99204526000000004</v>
      </c>
      <c r="AA111" s="62">
        <v>0.99405867000000003</v>
      </c>
      <c r="AB111" s="62">
        <v>2.1156918E-2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-2.2074969999999965</v>
      </c>
      <c r="AN111" s="122">
        <f t="shared" si="15"/>
        <v>-2.6880039999999994</v>
      </c>
      <c r="AO111" s="122">
        <f t="shared" si="16"/>
        <v>-1.7977899999999103E-3</v>
      </c>
      <c r="AP111" s="122">
        <f t="shared" si="17"/>
        <v>-2.0533600000000041E-3</v>
      </c>
      <c r="AQ111" s="88">
        <f t="shared" si="18"/>
        <v>2.5358369999999991E-3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31.307379000000001</v>
      </c>
      <c r="G113" s="97">
        <v>34.876389000000003</v>
      </c>
      <c r="H113" s="97">
        <v>0.97152119000000003</v>
      </c>
      <c r="I113" s="60">
        <v>0.97890670999999996</v>
      </c>
      <c r="J113" s="60">
        <v>6.5662070000000003E-2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31.854018</v>
      </c>
      <c r="Y113" s="97">
        <v>35.572284000000003</v>
      </c>
      <c r="Z113" s="97">
        <v>0.97262521999999996</v>
      </c>
      <c r="AA113" s="60">
        <v>0.98107716</v>
      </c>
      <c r="AB113" s="60">
        <v>6.2135059999999999E-2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0.54663899999999899</v>
      </c>
      <c r="AN113" s="96">
        <f t="shared" si="15"/>
        <v>0.69589500000000015</v>
      </c>
      <c r="AO113" s="96">
        <f t="shared" si="16"/>
        <v>1.1040299999999226E-3</v>
      </c>
      <c r="AP113" s="96">
        <f t="shared" si="17"/>
        <v>2.170450000000046E-3</v>
      </c>
      <c r="AQ113" s="121">
        <f t="shared" si="18"/>
        <v>-3.527010000000004E-3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33.510789000000003</v>
      </c>
      <c r="G114" s="190">
        <v>37.230671999999998</v>
      </c>
      <c r="H114" s="190">
        <v>0.98188275999999997</v>
      </c>
      <c r="I114" s="62">
        <v>0.98655720999999996</v>
      </c>
      <c r="J114" s="62">
        <v>4.6633880000000003E-2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33.496695000000003</v>
      </c>
      <c r="Y114" s="190">
        <v>37.403539000000002</v>
      </c>
      <c r="Z114" s="190">
        <v>0.98213388000000001</v>
      </c>
      <c r="AA114" s="62">
        <v>0.98719924999999997</v>
      </c>
      <c r="AB114" s="62">
        <v>4.5354467000000002E-2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-1.4094000000000051E-2</v>
      </c>
      <c r="AN114" s="122">
        <f t="shared" si="15"/>
        <v>0.17286700000000366</v>
      </c>
      <c r="AO114" s="122">
        <f t="shared" si="16"/>
        <v>2.5112000000004908E-4</v>
      </c>
      <c r="AP114" s="122">
        <f t="shared" si="17"/>
        <v>6.4204000000001038E-4</v>
      </c>
      <c r="AQ114" s="88">
        <f t="shared" si="18"/>
        <v>-1.2794130000000001E-3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36.542417</v>
      </c>
      <c r="G115" s="190">
        <v>40.676073000000002</v>
      </c>
      <c r="H115" s="190">
        <v>0.98963670000000004</v>
      </c>
      <c r="I115" s="62">
        <v>0.99317381999999998</v>
      </c>
      <c r="J115" s="62">
        <v>3.080979E-2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34.976162000000002</v>
      </c>
      <c r="Y115" s="190">
        <v>39.060929000000002</v>
      </c>
      <c r="Z115" s="190">
        <v>0.98852077000000005</v>
      </c>
      <c r="AA115" s="62">
        <v>0.99142317999999996</v>
      </c>
      <c r="AB115" s="62">
        <v>3.2356537999999997E-2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-1.5662549999999982</v>
      </c>
      <c r="AN115" s="122">
        <f t="shared" si="15"/>
        <v>-1.6151440000000008</v>
      </c>
      <c r="AO115" s="122">
        <f t="shared" si="16"/>
        <v>-1.1159299999999872E-3</v>
      </c>
      <c r="AP115" s="122">
        <f t="shared" si="17"/>
        <v>-1.7506400000000255E-3</v>
      </c>
      <c r="AQ115" s="88">
        <f t="shared" si="18"/>
        <v>1.5467479999999971E-3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39.554364999999997</v>
      </c>
      <c r="G116" s="190">
        <v>43.849491999999998</v>
      </c>
      <c r="H116" s="190">
        <v>0.99387789000000004</v>
      </c>
      <c r="I116" s="62">
        <v>0.99627235999999997</v>
      </c>
      <c r="J116" s="62">
        <v>1.6568935999999999E-2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36.874755999999998</v>
      </c>
      <c r="Y116" s="190">
        <v>40.924374999999998</v>
      </c>
      <c r="Z116" s="190">
        <v>0.99224882000000003</v>
      </c>
      <c r="AA116" s="62">
        <v>0.99434681999999996</v>
      </c>
      <c r="AB116" s="62">
        <v>1.9105433000000002E-2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-2.6796089999999992</v>
      </c>
      <c r="AN116" s="122">
        <f t="shared" si="15"/>
        <v>-2.9251170000000002</v>
      </c>
      <c r="AO116" s="122">
        <f t="shared" si="16"/>
        <v>-1.6290700000000102E-3</v>
      </c>
      <c r="AP116" s="122">
        <f t="shared" si="17"/>
        <v>-1.9255400000000034E-3</v>
      </c>
      <c r="AQ116" s="88">
        <f t="shared" si="18"/>
        <v>2.5364970000000021E-3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31.977093</v>
      </c>
      <c r="G118" s="97">
        <v>35.379707000000003</v>
      </c>
      <c r="H118" s="97">
        <v>0.97230981000000005</v>
      </c>
      <c r="I118" s="60">
        <v>0.97998803000000001</v>
      </c>
      <c r="J118" s="60">
        <v>5.8553763000000002E-2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32.517108</v>
      </c>
      <c r="Y118" s="97">
        <v>35.998412999999999</v>
      </c>
      <c r="Z118" s="97">
        <v>0.97303463999999995</v>
      </c>
      <c r="AA118" s="60">
        <v>0.98212842</v>
      </c>
      <c r="AB118" s="60">
        <v>5.5624936E-2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0.54001500000000036</v>
      </c>
      <c r="AN118" s="96">
        <f t="shared" si="15"/>
        <v>0.61870599999999598</v>
      </c>
      <c r="AO118" s="96">
        <f t="shared" si="16"/>
        <v>7.2482999999989861E-4</v>
      </c>
      <c r="AP118" s="96">
        <f t="shared" si="17"/>
        <v>2.140389999999992E-3</v>
      </c>
      <c r="AQ118" s="121">
        <f t="shared" si="18"/>
        <v>-2.9288270000000019E-3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34.003112999999999</v>
      </c>
      <c r="G119" s="190">
        <v>37.584052999999997</v>
      </c>
      <c r="H119" s="190">
        <v>0.98210790999999997</v>
      </c>
      <c r="I119" s="62">
        <v>0.98699572000000002</v>
      </c>
      <c r="J119" s="62">
        <v>4.1352739999999999E-2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34.030498999999999</v>
      </c>
      <c r="Y119" s="190">
        <v>37.772855999999997</v>
      </c>
      <c r="Z119" s="190">
        <v>0.98229359000000005</v>
      </c>
      <c r="AA119" s="62">
        <v>0.98759945000000005</v>
      </c>
      <c r="AB119" s="62">
        <v>3.9617732000000003E-2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2.738599999999991E-2</v>
      </c>
      <c r="AN119" s="122">
        <f t="shared" si="15"/>
        <v>0.18880300000000005</v>
      </c>
      <c r="AO119" s="122">
        <f t="shared" si="16"/>
        <v>1.8568000000007689E-4</v>
      </c>
      <c r="AP119" s="122">
        <f t="shared" si="17"/>
        <v>6.0373000000002452E-4</v>
      </c>
      <c r="AQ119" s="88">
        <f t="shared" si="18"/>
        <v>-1.7350079999999962E-3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36.893611</v>
      </c>
      <c r="G120" s="190">
        <v>40.868147</v>
      </c>
      <c r="H120" s="190">
        <v>0.98948150000000001</v>
      </c>
      <c r="I120" s="62">
        <v>0.99334911999999997</v>
      </c>
      <c r="J120" s="62">
        <v>2.718684E-2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35.439936000000003</v>
      </c>
      <c r="Y120" s="190">
        <v>39.399943</v>
      </c>
      <c r="Z120" s="190">
        <v>0.98848374000000006</v>
      </c>
      <c r="AA120" s="62">
        <v>0.99192806</v>
      </c>
      <c r="AB120" s="62">
        <v>2.8334913999999999E-2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-1.4536749999999969</v>
      </c>
      <c r="AN120" s="122">
        <f t="shared" si="15"/>
        <v>-1.4682040000000001</v>
      </c>
      <c r="AO120" s="122">
        <f t="shared" si="16"/>
        <v>-9.9775999999995868E-4</v>
      </c>
      <c r="AP120" s="122">
        <f t="shared" si="17"/>
        <v>-1.421059999999974E-3</v>
      </c>
      <c r="AQ120" s="88">
        <f t="shared" si="18"/>
        <v>1.1480739999999989E-3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40.228369000000001</v>
      </c>
      <c r="G121" s="190">
        <v>44.318052999999999</v>
      </c>
      <c r="H121" s="190">
        <v>0.99376142999999995</v>
      </c>
      <c r="I121" s="62">
        <v>0.99625306000000002</v>
      </c>
      <c r="J121" s="62">
        <v>1.4041791E-2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37.583461</v>
      </c>
      <c r="Y121" s="190">
        <v>41.486356999999998</v>
      </c>
      <c r="Z121" s="190">
        <v>0.99221824999999997</v>
      </c>
      <c r="AA121" s="62">
        <v>0.99471664000000004</v>
      </c>
      <c r="AB121" s="62">
        <v>1.6779957000000002E-2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-2.6449080000000009</v>
      </c>
      <c r="AN121" s="122">
        <f t="shared" si="15"/>
        <v>-2.8316960000000009</v>
      </c>
      <c r="AO121" s="122">
        <f t="shared" si="16"/>
        <v>-1.5431799999999773E-3</v>
      </c>
      <c r="AP121" s="122">
        <f t="shared" si="17"/>
        <v>-1.5364199999999828E-3</v>
      </c>
      <c r="AQ121" s="88">
        <f t="shared" si="18"/>
        <v>2.7381660000000019E-3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32.061478999999999</v>
      </c>
      <c r="G123" s="97">
        <v>35.686695999999998</v>
      </c>
      <c r="H123" s="97">
        <v>0.97253480999999997</v>
      </c>
      <c r="I123" s="60">
        <v>0.9796861</v>
      </c>
      <c r="J123" s="60">
        <v>5.7089634E-2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32.599874999999997</v>
      </c>
      <c r="Y123" s="97">
        <v>36.231586999999998</v>
      </c>
      <c r="Z123" s="97">
        <v>0.97348102999999997</v>
      </c>
      <c r="AA123" s="60">
        <v>0.98160926000000004</v>
      </c>
      <c r="AB123" s="60">
        <v>5.3871922000000003E-2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0.53839599999999876</v>
      </c>
      <c r="AN123" s="96">
        <f t="shared" si="15"/>
        <v>0.54489099999999979</v>
      </c>
      <c r="AO123" s="96">
        <f t="shared" si="16"/>
        <v>9.4621999999999762E-4</v>
      </c>
      <c r="AP123" s="96">
        <f t="shared" si="17"/>
        <v>1.9231600000000348E-3</v>
      </c>
      <c r="AQ123" s="121">
        <f t="shared" si="18"/>
        <v>-3.2177119999999976E-3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34.271987000000003</v>
      </c>
      <c r="G124" s="190">
        <v>37.723033000000001</v>
      </c>
      <c r="H124" s="190">
        <v>0.98226100000000005</v>
      </c>
      <c r="I124" s="62">
        <v>0.98712575000000002</v>
      </c>
      <c r="J124" s="62">
        <v>4.0143422999999998E-2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34.503121999999998</v>
      </c>
      <c r="Y124" s="190">
        <v>38.042642999999998</v>
      </c>
      <c r="Z124" s="190">
        <v>0.98259313000000004</v>
      </c>
      <c r="AA124" s="62">
        <v>0.98737070999999998</v>
      </c>
      <c r="AB124" s="62">
        <v>3.7813715999999997E-2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0.23113499999999476</v>
      </c>
      <c r="AN124" s="122">
        <f t="shared" si="15"/>
        <v>0.31960999999999729</v>
      </c>
      <c r="AO124" s="122">
        <f t="shared" si="16"/>
        <v>3.3212999999998605E-4</v>
      </c>
      <c r="AP124" s="122">
        <f t="shared" si="17"/>
        <v>2.4495999999996076E-4</v>
      </c>
      <c r="AQ124" s="88">
        <f t="shared" si="18"/>
        <v>-2.3297070000000003E-3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37.606946999999998</v>
      </c>
      <c r="G125" s="190">
        <v>41.306640000000002</v>
      </c>
      <c r="H125" s="190">
        <v>0.98966821000000005</v>
      </c>
      <c r="I125" s="62">
        <v>0.99336617999999999</v>
      </c>
      <c r="J125" s="62">
        <v>2.4599116000000001E-2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36.331744</v>
      </c>
      <c r="Y125" s="190">
        <v>40.060201999999997</v>
      </c>
      <c r="Z125" s="190">
        <v>0.98868407999999997</v>
      </c>
      <c r="AA125" s="62">
        <v>0.99182347000000004</v>
      </c>
      <c r="AB125" s="62">
        <v>2.6011506E-2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-1.2752029999999976</v>
      </c>
      <c r="AN125" s="122">
        <f t="shared" si="15"/>
        <v>-1.2464380000000048</v>
      </c>
      <c r="AO125" s="122">
        <f t="shared" si="16"/>
        <v>-9.8413000000008299E-4</v>
      </c>
      <c r="AP125" s="122">
        <f t="shared" si="17"/>
        <v>-1.5427099999999472E-3</v>
      </c>
      <c r="AQ125" s="88">
        <f t="shared" si="18"/>
        <v>1.4123899999999995E-3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41.030496999999997</v>
      </c>
      <c r="G126" s="190">
        <v>44.857125000000003</v>
      </c>
      <c r="H126" s="190">
        <v>0.99390120999999998</v>
      </c>
      <c r="I126" s="62">
        <v>0.99640275</v>
      </c>
      <c r="J126" s="62">
        <v>1.287598E-2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38.427176000000003</v>
      </c>
      <c r="Y126" s="190">
        <v>42.151936999999997</v>
      </c>
      <c r="Z126" s="190">
        <v>0.99237176000000005</v>
      </c>
      <c r="AA126" s="62">
        <v>0.99464810999999997</v>
      </c>
      <c r="AB126" s="62">
        <v>1.6505122000000001E-2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-2.603320999999994</v>
      </c>
      <c r="AN126" s="122">
        <f t="shared" si="15"/>
        <v>-2.7051880000000068</v>
      </c>
      <c r="AO126" s="122">
        <f t="shared" si="16"/>
        <v>-1.5294499999999323E-3</v>
      </c>
      <c r="AP126" s="122">
        <f t="shared" si="17"/>
        <v>-1.7546400000000295E-3</v>
      </c>
      <c r="AQ126" s="88">
        <f t="shared" si="18"/>
        <v>3.6291420000000001E-3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32.031561000000004</v>
      </c>
      <c r="G128" s="97">
        <v>35.852595000000001</v>
      </c>
      <c r="H128" s="97">
        <v>0.97304522000000004</v>
      </c>
      <c r="I128" s="60">
        <v>0.97958460999999997</v>
      </c>
      <c r="J128" s="60">
        <v>5.7230093000000003E-2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32.496164</v>
      </c>
      <c r="Y128" s="97">
        <v>36.277361999999997</v>
      </c>
      <c r="Z128" s="97">
        <v>0.97395944999999995</v>
      </c>
      <c r="AA128" s="60">
        <v>0.98201601999999999</v>
      </c>
      <c r="AB128" s="60">
        <v>5.4265406000000002E-2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0.46460299999999677</v>
      </c>
      <c r="AN128" s="96">
        <f t="shared" si="15"/>
        <v>0.42476699999999568</v>
      </c>
      <c r="AO128" s="96">
        <f t="shared" si="16"/>
        <v>9.1422999999990484E-4</v>
      </c>
      <c r="AP128" s="96">
        <f t="shared" si="17"/>
        <v>2.4314100000000227E-3</v>
      </c>
      <c r="AQ128" s="121">
        <f t="shared" si="18"/>
        <v>-2.9646870000000006E-3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34.099704000000003</v>
      </c>
      <c r="G129" s="190">
        <v>37.834556999999997</v>
      </c>
      <c r="H129" s="190">
        <v>0.98252967000000002</v>
      </c>
      <c r="I129" s="62">
        <v>0.98692391999999995</v>
      </c>
      <c r="J129" s="62">
        <v>3.9563358E-2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34.275722999999999</v>
      </c>
      <c r="Y129" s="190">
        <v>37.972928000000003</v>
      </c>
      <c r="Z129" s="190">
        <v>0.98277892</v>
      </c>
      <c r="AA129" s="62">
        <v>0.98771483999999998</v>
      </c>
      <c r="AB129" s="62">
        <v>3.7752849999999998E-2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0.17601899999999659</v>
      </c>
      <c r="AN129" s="122">
        <f t="shared" si="15"/>
        <v>0.13837100000000646</v>
      </c>
      <c r="AO129" s="122">
        <f t="shared" si="16"/>
        <v>2.4924999999997866E-4</v>
      </c>
      <c r="AP129" s="122">
        <f t="shared" si="17"/>
        <v>7.9092000000002827E-4</v>
      </c>
      <c r="AQ129" s="88">
        <f t="shared" si="18"/>
        <v>-1.8105080000000023E-3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37.463017999999998</v>
      </c>
      <c r="G130" s="190">
        <v>41.130343000000003</v>
      </c>
      <c r="H130" s="190">
        <v>0.98992318999999995</v>
      </c>
      <c r="I130" s="62">
        <v>0.99325134000000004</v>
      </c>
      <c r="J130" s="62">
        <v>2.3462706999999999E-2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36.405298999999999</v>
      </c>
      <c r="Y130" s="190">
        <v>40.07208</v>
      </c>
      <c r="Z130" s="190">
        <v>0.98887742000000001</v>
      </c>
      <c r="AA130" s="62">
        <v>0.99188350999999997</v>
      </c>
      <c r="AB130" s="62">
        <v>2.5249924999999999E-2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-1.0577189999999987</v>
      </c>
      <c r="AN130" s="122">
        <f t="shared" si="15"/>
        <v>-1.0582630000000037</v>
      </c>
      <c r="AO130" s="122">
        <f t="shared" si="16"/>
        <v>-1.0457699999999459E-3</v>
      </c>
      <c r="AP130" s="122">
        <f t="shared" si="17"/>
        <v>-1.3678300000000698E-3</v>
      </c>
      <c r="AQ130" s="88">
        <f t="shared" si="18"/>
        <v>1.7872180000000001E-3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41.309367999999999</v>
      </c>
      <c r="G131" s="190">
        <v>44.999827000000003</v>
      </c>
      <c r="H131" s="190">
        <v>0.99404751999999996</v>
      </c>
      <c r="I131" s="62">
        <v>0.99638674999999999</v>
      </c>
      <c r="J131" s="62">
        <v>1.1929257E-2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38.698518999999997</v>
      </c>
      <c r="Y131" s="190">
        <v>42.345551999999998</v>
      </c>
      <c r="Z131" s="190">
        <v>0.99244443000000004</v>
      </c>
      <c r="AA131" s="62">
        <v>0.99459971000000003</v>
      </c>
      <c r="AB131" s="62">
        <v>1.5878080999999999E-2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-2.6108490000000018</v>
      </c>
      <c r="AN131" s="122">
        <f t="shared" si="15"/>
        <v>-2.6542750000000055</v>
      </c>
      <c r="AO131" s="122">
        <f t="shared" si="16"/>
        <v>-1.6030899999999182E-3</v>
      </c>
      <c r="AP131" s="122">
        <f t="shared" si="17"/>
        <v>-1.787039999999962E-3</v>
      </c>
      <c r="AQ131" s="88">
        <f t="shared" si="18"/>
        <v>3.9488239999999983E-3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32.124817</v>
      </c>
      <c r="G133" s="97">
        <v>36.156072999999999</v>
      </c>
      <c r="H133" s="97">
        <v>0.97189700999999995</v>
      </c>
      <c r="I133" s="60">
        <v>0.97903804999999999</v>
      </c>
      <c r="J133" s="60">
        <v>5.8130569999999999E-2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32.641734999999997</v>
      </c>
      <c r="Y133" s="97">
        <v>36.561954</v>
      </c>
      <c r="Z133" s="97">
        <v>0.97269030999999995</v>
      </c>
      <c r="AA133" s="60">
        <v>0.98141951000000005</v>
      </c>
      <c r="AB133" s="60">
        <v>5.4837629999999998E-2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0.51691799999999688</v>
      </c>
      <c r="AN133" s="96">
        <f t="shared" si="15"/>
        <v>0.40588100000000082</v>
      </c>
      <c r="AO133" s="96">
        <f t="shared" si="16"/>
        <v>7.9329999999999679E-4</v>
      </c>
      <c r="AP133" s="96">
        <f t="shared" si="17"/>
        <v>2.3814600000000574E-3</v>
      </c>
      <c r="AQ133" s="121">
        <f t="shared" si="18"/>
        <v>-3.2929400000000011E-3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34.436042</v>
      </c>
      <c r="G134" s="190">
        <v>38.241612000000003</v>
      </c>
      <c r="H134" s="190">
        <v>0.98232428000000005</v>
      </c>
      <c r="I134" s="62">
        <v>0.98678677000000004</v>
      </c>
      <c r="J134" s="62">
        <v>3.8389117E-2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34.581046999999998</v>
      </c>
      <c r="Y134" s="190">
        <v>38.293433</v>
      </c>
      <c r="Z134" s="190">
        <v>0.98233203000000002</v>
      </c>
      <c r="AA134" s="62">
        <v>0.98733926000000005</v>
      </c>
      <c r="AB134" s="62">
        <v>3.6691429999999997E-2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0.14500499999999761</v>
      </c>
      <c r="AN134" s="122">
        <f t="shared" si="15"/>
        <v>5.1820999999996786E-2</v>
      </c>
      <c r="AO134" s="122">
        <f t="shared" si="16"/>
        <v>7.7499999999730562E-6</v>
      </c>
      <c r="AP134" s="122">
        <f t="shared" si="17"/>
        <v>5.5249000000001658E-4</v>
      </c>
      <c r="AQ134" s="88">
        <f t="shared" si="18"/>
        <v>-1.6976870000000033E-3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37.784047999999999</v>
      </c>
      <c r="G135" s="190">
        <v>41.300035999999999</v>
      </c>
      <c r="H135" s="190">
        <v>0.99010933999999995</v>
      </c>
      <c r="I135" s="62">
        <v>0.99335647999999999</v>
      </c>
      <c r="J135" s="62">
        <v>2.3009079000000002E-2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36.792121000000002</v>
      </c>
      <c r="Y135" s="190">
        <v>40.300915000000003</v>
      </c>
      <c r="Z135" s="190">
        <v>0.98882941999999996</v>
      </c>
      <c r="AA135" s="62">
        <v>0.99193145999999999</v>
      </c>
      <c r="AB135" s="62">
        <v>2.4376760000000001E-2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-0.99192699999999689</v>
      </c>
      <c r="AN135" s="122">
        <f t="shared" si="15"/>
        <v>-0.99912099999999526</v>
      </c>
      <c r="AO135" s="122">
        <f t="shared" si="16"/>
        <v>-1.27991999999999E-3</v>
      </c>
      <c r="AP135" s="122">
        <f t="shared" si="17"/>
        <v>-1.4250199999999991E-3</v>
      </c>
      <c r="AQ135" s="88">
        <f t="shared" si="18"/>
        <v>1.3676809999999991E-3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41.704402000000002</v>
      </c>
      <c r="G136" s="190">
        <v>45.191845000000001</v>
      </c>
      <c r="H136" s="190">
        <v>0.99412425000000004</v>
      </c>
      <c r="I136" s="62">
        <v>0.99640761</v>
      </c>
      <c r="J136" s="62">
        <v>1.1939058000000001E-2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39.187674000000001</v>
      </c>
      <c r="Y136" s="190">
        <v>42.596952999999999</v>
      </c>
      <c r="Z136" s="190">
        <v>0.99234796999999997</v>
      </c>
      <c r="AA136" s="62">
        <v>0.99453742000000001</v>
      </c>
      <c r="AB136" s="62">
        <v>1.4817024E-2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-2.5167280000000005</v>
      </c>
      <c r="AN136" s="122">
        <f t="shared" si="15"/>
        <v>-2.5948920000000015</v>
      </c>
      <c r="AO136" s="122">
        <f t="shared" si="16"/>
        <v>-1.7762800000000745E-3</v>
      </c>
      <c r="AP136" s="122">
        <f t="shared" si="17"/>
        <v>-1.8701899999999938E-3</v>
      </c>
      <c r="AQ136" s="88">
        <f t="shared" si="18"/>
        <v>2.8779659999999992E-3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6">
        <f t="shared" si="59"/>
        <v>30.367884</v>
      </c>
      <c r="H641" s="136">
        <f t="shared" si="59"/>
        <v>0.95871066000000005</v>
      </c>
      <c r="I641" s="136">
        <f t="shared" si="59"/>
        <v>0.96455597999999998</v>
      </c>
      <c r="J641" s="136">
        <f t="shared" si="59"/>
        <v>5.6385610000000003E-2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27.376529000000001</v>
      </c>
      <c r="Y641" s="136">
        <f t="shared" si="60"/>
        <v>30.897919000000002</v>
      </c>
      <c r="Z641" s="136">
        <f t="shared" si="60"/>
        <v>0.96081207000000002</v>
      </c>
      <c r="AA641" s="136">
        <f t="shared" si="60"/>
        <v>0.96899250999999997</v>
      </c>
      <c r="AB641" s="136">
        <f t="shared" si="60"/>
        <v>5.2724615000000002E-2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30.790431000000002</v>
      </c>
      <c r="G642" s="18">
        <f t="shared" si="59"/>
        <v>34.198450999999999</v>
      </c>
      <c r="H642" s="18">
        <f t="shared" si="59"/>
        <v>0.97776145000000003</v>
      </c>
      <c r="I642" s="18">
        <f t="shared" si="59"/>
        <v>0.98092376000000003</v>
      </c>
      <c r="J642" s="18">
        <f t="shared" si="59"/>
        <v>3.5571985E-2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30.481971999999999</v>
      </c>
      <c r="Y642" s="18">
        <f t="shared" si="60"/>
        <v>34.081786999999998</v>
      </c>
      <c r="Z642" s="18">
        <f t="shared" si="60"/>
        <v>0.97812414000000003</v>
      </c>
      <c r="AA642" s="18">
        <f t="shared" si="60"/>
        <v>0.98228780000000004</v>
      </c>
      <c r="AB642" s="18">
        <f t="shared" si="60"/>
        <v>3.3749166999999997E-2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33.798454999999997</v>
      </c>
      <c r="G643" s="18">
        <f t="shared" si="59"/>
        <v>37.850261000000003</v>
      </c>
      <c r="H643" s="18">
        <f t="shared" si="59"/>
        <v>0.98815037999999999</v>
      </c>
      <c r="I643" s="18">
        <f t="shared" si="59"/>
        <v>0.99115816999999995</v>
      </c>
      <c r="J643" s="18">
        <f t="shared" si="59"/>
        <v>2.2819249999999999E-2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32.041142000000001</v>
      </c>
      <c r="Y643" s="18">
        <f t="shared" si="60"/>
        <v>35.920099</v>
      </c>
      <c r="Z643" s="18">
        <f t="shared" si="60"/>
        <v>0.98643795000000001</v>
      </c>
      <c r="AA643" s="18">
        <f t="shared" si="60"/>
        <v>0.98850788000000001</v>
      </c>
      <c r="AB643" s="18">
        <f t="shared" si="60"/>
        <v>2.296016E-2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37.759284000000001</v>
      </c>
      <c r="G644" s="18">
        <f t="shared" si="59"/>
        <v>42.061574999999998</v>
      </c>
      <c r="H644" s="18">
        <f t="shared" si="59"/>
        <v>0.99343181000000003</v>
      </c>
      <c r="I644" s="18">
        <f t="shared" si="59"/>
        <v>0.99553382999999995</v>
      </c>
      <c r="J644" s="18">
        <f t="shared" si="59"/>
        <v>1.1500524E-2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34.262188000000002</v>
      </c>
      <c r="Y644" s="18">
        <f t="shared" si="60"/>
        <v>38.183894000000002</v>
      </c>
      <c r="Z644" s="18">
        <f t="shared" si="60"/>
        <v>0.99115774999999995</v>
      </c>
      <c r="AA644" s="18">
        <f t="shared" si="60"/>
        <v>0.99192468</v>
      </c>
      <c r="AB644" s="18">
        <f t="shared" si="60"/>
        <v>1.3869217E-2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6">
        <f t="shared" si="61"/>
        <v>36.156072999999999</v>
      </c>
      <c r="H646" s="136">
        <f t="shared" si="61"/>
        <v>0.97304522000000004</v>
      </c>
      <c r="I646" s="136">
        <f t="shared" si="61"/>
        <v>0.97998803000000001</v>
      </c>
      <c r="J646" s="136">
        <f t="shared" si="61"/>
        <v>8.2726759999999996E-2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32.641734999999997</v>
      </c>
      <c r="Y646" s="136">
        <f t="shared" si="62"/>
        <v>36.561954</v>
      </c>
      <c r="Z646" s="136">
        <f t="shared" si="62"/>
        <v>0.97395944999999995</v>
      </c>
      <c r="AA646" s="136">
        <f t="shared" si="62"/>
        <v>0.98212842</v>
      </c>
      <c r="AB646" s="136">
        <f t="shared" si="62"/>
        <v>7.5701450000000003E-2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34.436042</v>
      </c>
      <c r="G647" s="18">
        <f t="shared" si="61"/>
        <v>38.241612000000003</v>
      </c>
      <c r="H647" s="18">
        <f t="shared" si="61"/>
        <v>0.98252967000000002</v>
      </c>
      <c r="I647" s="18">
        <f t="shared" si="61"/>
        <v>0.98712575000000002</v>
      </c>
      <c r="J647" s="18">
        <f t="shared" si="61"/>
        <v>5.6608659999999998E-2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34.581046999999998</v>
      </c>
      <c r="Y647" s="18">
        <f t="shared" si="62"/>
        <v>38.293433</v>
      </c>
      <c r="Z647" s="18">
        <f t="shared" si="62"/>
        <v>0.98277892</v>
      </c>
      <c r="AA647" s="18">
        <f t="shared" si="62"/>
        <v>0.98771483999999998</v>
      </c>
      <c r="AB647" s="18">
        <f t="shared" si="62"/>
        <v>5.1855320000000003E-2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37.784047999999999</v>
      </c>
      <c r="G648" s="18">
        <f t="shared" si="61"/>
        <v>41.306640000000002</v>
      </c>
      <c r="H648" s="18">
        <f t="shared" si="61"/>
        <v>0.99010933999999995</v>
      </c>
      <c r="I648" s="18">
        <f t="shared" si="61"/>
        <v>0.99336617999999999</v>
      </c>
      <c r="J648" s="18">
        <f t="shared" si="61"/>
        <v>3.3108838000000002E-2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36.792121000000002</v>
      </c>
      <c r="Y648" s="18">
        <f t="shared" si="62"/>
        <v>40.300915000000003</v>
      </c>
      <c r="Z648" s="18">
        <f t="shared" si="62"/>
        <v>0.98887742000000001</v>
      </c>
      <c r="AA648" s="18">
        <f t="shared" si="62"/>
        <v>0.99193145999999999</v>
      </c>
      <c r="AB648" s="18">
        <f t="shared" si="62"/>
        <v>3.4446070000000002E-2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41.704402000000002</v>
      </c>
      <c r="G649" s="18">
        <f t="shared" si="61"/>
        <v>45.191845000000001</v>
      </c>
      <c r="H649" s="18">
        <f t="shared" si="61"/>
        <v>0.99412425000000004</v>
      </c>
      <c r="I649" s="18">
        <f t="shared" si="61"/>
        <v>0.99640761</v>
      </c>
      <c r="J649" s="18">
        <f t="shared" si="61"/>
        <v>1.8621081000000001E-2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39.187674000000001</v>
      </c>
      <c r="Y649" s="18">
        <f t="shared" si="62"/>
        <v>42.596952999999999</v>
      </c>
      <c r="Z649" s="18">
        <f t="shared" si="62"/>
        <v>0.99244443000000004</v>
      </c>
      <c r="AA649" s="18">
        <f t="shared" si="62"/>
        <v>0.99471664000000004</v>
      </c>
      <c r="AB649" s="18">
        <f t="shared" si="62"/>
        <v>2.1156918E-2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5.217960999999999</v>
      </c>
      <c r="G651" s="136">
        <f t="shared" si="63"/>
        <v>5.7881889999999991</v>
      </c>
      <c r="H651" s="136">
        <f t="shared" si="63"/>
        <v>1.4334559999999996E-2</v>
      </c>
      <c r="I651" s="136">
        <f t="shared" si="63"/>
        <v>1.543205000000003E-2</v>
      </c>
      <c r="J651" s="136">
        <f t="shared" si="63"/>
        <v>2.6341149999999994E-2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5.2652059999999956</v>
      </c>
      <c r="Y651" s="136">
        <f t="shared" si="64"/>
        <v>5.6640349999999984</v>
      </c>
      <c r="Z651" s="136">
        <f t="shared" si="64"/>
        <v>1.3147379999999931E-2</v>
      </c>
      <c r="AA651" s="136">
        <f t="shared" si="64"/>
        <v>1.3135910000000028E-2</v>
      </c>
      <c r="AB651" s="136">
        <f t="shared" si="64"/>
        <v>2.2976835000000001E-2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3.6456109999999988</v>
      </c>
      <c r="G652" s="18">
        <f t="shared" si="63"/>
        <v>4.0431610000000049</v>
      </c>
      <c r="H652" s="18">
        <f t="shared" si="63"/>
        <v>4.7682199999999897E-3</v>
      </c>
      <c r="I652" s="18">
        <f t="shared" si="63"/>
        <v>6.2019899999999906E-3</v>
      </c>
      <c r="J652" s="18">
        <f t="shared" si="63"/>
        <v>2.1036674999999998E-2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4.0990749999999991</v>
      </c>
      <c r="Y652" s="18">
        <f t="shared" si="64"/>
        <v>4.2116460000000018</v>
      </c>
      <c r="Z652" s="18">
        <f t="shared" si="64"/>
        <v>4.6547799999999695E-3</v>
      </c>
      <c r="AA652" s="18">
        <f t="shared" si="64"/>
        <v>5.4270399999999386E-3</v>
      </c>
      <c r="AB652" s="18">
        <f t="shared" si="64"/>
        <v>1.8106153000000007E-2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3.9855930000000015</v>
      </c>
      <c r="G653" s="18">
        <f t="shared" si="63"/>
        <v>3.4563789999999983</v>
      </c>
      <c r="H653" s="18">
        <f t="shared" si="63"/>
        <v>1.9589599999999541E-3</v>
      </c>
      <c r="I653" s="18">
        <f t="shared" si="63"/>
        <v>2.208010000000038E-3</v>
      </c>
      <c r="J653" s="18">
        <f t="shared" si="63"/>
        <v>1.0289588000000002E-2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4.750979000000001</v>
      </c>
      <c r="Y653" s="18">
        <f t="shared" si="64"/>
        <v>4.3808160000000029</v>
      </c>
      <c r="Z653" s="18">
        <f t="shared" si="64"/>
        <v>2.4394699999999991E-3</v>
      </c>
      <c r="AA653" s="18">
        <f t="shared" si="64"/>
        <v>3.4235799999999816E-3</v>
      </c>
      <c r="AB653" s="18">
        <f t="shared" si="64"/>
        <v>1.1485910000000002E-2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3.9451180000000008</v>
      </c>
      <c r="G654" s="18">
        <f t="shared" si="63"/>
        <v>3.130270000000003</v>
      </c>
      <c r="H654" s="18">
        <f t="shared" si="63"/>
        <v>6.9244000000001638E-4</v>
      </c>
      <c r="I654" s="18">
        <f t="shared" si="63"/>
        <v>8.7378000000004619E-4</v>
      </c>
      <c r="J654" s="18">
        <f t="shared" si="63"/>
        <v>7.1205570000000013E-3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4.9254859999999994</v>
      </c>
      <c r="Y654" s="18">
        <f t="shared" si="64"/>
        <v>4.413058999999997</v>
      </c>
      <c r="Z654" s="18">
        <f t="shared" si="64"/>
        <v>1.2866800000000955E-3</v>
      </c>
      <c r="AA654" s="18">
        <f t="shared" si="64"/>
        <v>2.7919600000000377E-3</v>
      </c>
      <c r="AB654" s="18">
        <f t="shared" si="64"/>
        <v>7.2877010000000006E-3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13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0">
        <f t="shared" si="0"/>
        <v>33.832055285714283</v>
      </c>
      <c r="H5" s="30">
        <f t="shared" si="0"/>
        <v>0.96582942476190481</v>
      </c>
      <c r="I5" s="91">
        <f t="shared" si="0"/>
        <v>0.9725471133333331</v>
      </c>
      <c r="J5" s="91">
        <f t="shared" si="0"/>
        <v>6.5973396238095255E-2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27923.015999999996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30.728528809523812</v>
      </c>
      <c r="Y5" s="30">
        <f t="shared" si="2"/>
        <v>34.378089476190475</v>
      </c>
      <c r="Z5" s="30">
        <f t="shared" si="2"/>
        <v>0.96765219999999985</v>
      </c>
      <c r="AA5" s="91">
        <f t="shared" si="2"/>
        <v>0.97582162380952386</v>
      </c>
      <c r="AB5" s="91">
        <f t="shared" si="2"/>
        <v>6.2227755428571431E-2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3.6109745108068303E-3</v>
      </c>
      <c r="AN5" s="245">
        <f>bdrate($E5:$E8,G5:G8,$W5:$W8,Y5:Y8)</f>
        <v>-7.8175887098241859E-5</v>
      </c>
      <c r="AO5" s="245">
        <f>bdrate($E5:$E8,H5:H8,$W5:$W8,Z5:Z8)</f>
        <v>-5.6906825910539749E-2</v>
      </c>
      <c r="AP5" s="245">
        <f>bdrate($E5:$E8,I5:I8,$W5:$W8,AA5:AA8)</f>
        <v>-5.3806727344516636E-2</v>
      </c>
      <c r="AQ5" s="246">
        <f>bdrateInverted($E5:$E8,J5:J8,$W5:$W8,AB5:AB8)</f>
        <v>-9.0818467292631433E-2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41126.480000000003</v>
      </c>
      <c r="F6" s="91">
        <f t="shared" si="0"/>
        <v>32.999578714285725</v>
      </c>
      <c r="G6" s="91">
        <f t="shared" si="0"/>
        <v>36.531831238095236</v>
      </c>
      <c r="H6" s="91">
        <f t="shared" si="0"/>
        <v>0.97901262523809529</v>
      </c>
      <c r="I6" s="91">
        <f t="shared" si="0"/>
        <v>0.98376468238095238</v>
      </c>
      <c r="J6" s="91">
        <f t="shared" si="0"/>
        <v>4.448833447619048E-2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39027.68</v>
      </c>
      <c r="X6" s="91">
        <f t="shared" si="2"/>
        <v>32.962726142857143</v>
      </c>
      <c r="Y6" s="91">
        <f t="shared" si="2"/>
        <v>36.601413428571426</v>
      </c>
      <c r="Z6" s="91">
        <f t="shared" si="2"/>
        <v>0.9796706723809524</v>
      </c>
      <c r="AA6" s="91">
        <f t="shared" si="2"/>
        <v>0.98450436285714304</v>
      </c>
      <c r="AB6" s="91">
        <f t="shared" si="2"/>
        <v>4.1794698619047624E-2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61865.04</v>
      </c>
      <c r="F7" s="91">
        <f t="shared" si="0"/>
        <v>36.248342999999991</v>
      </c>
      <c r="G7" s="91">
        <f t="shared" si="0"/>
        <v>40.276491190476186</v>
      </c>
      <c r="H7" s="91">
        <f t="shared" si="0"/>
        <v>0.98868709857142867</v>
      </c>
      <c r="I7" s="91">
        <f t="shared" si="0"/>
        <v>0.99210457047619049</v>
      </c>
      <c r="J7" s="91">
        <f t="shared" si="0"/>
        <v>2.7850360190476191E-2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55482.767999999996</v>
      </c>
      <c r="X7" s="91">
        <f t="shared" si="2"/>
        <v>34.902720619047621</v>
      </c>
      <c r="Y7" s="91">
        <f t="shared" si="2"/>
        <v>38.717956142857147</v>
      </c>
      <c r="Z7" s="91">
        <f t="shared" si="2"/>
        <v>0.9874947557142858</v>
      </c>
      <c r="AA7" s="91">
        <f t="shared" si="2"/>
        <v>0.99028014714285717</v>
      </c>
      <c r="AB7" s="91">
        <f t="shared" si="2"/>
        <v>2.8273191809523802E-2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90416.760000000009</v>
      </c>
      <c r="F8" s="91">
        <f t="shared" si="0"/>
        <v>39.028174857142858</v>
      </c>
      <c r="G8" s="91">
        <f t="shared" si="0"/>
        <v>43.229996952380951</v>
      </c>
      <c r="H8" s="91">
        <f t="shared" si="0"/>
        <v>0.99344393809523812</v>
      </c>
      <c r="I8" s="91">
        <f t="shared" si="0"/>
        <v>0.99578089857142849</v>
      </c>
      <c r="J8" s="91">
        <f t="shared" si="0"/>
        <v>1.5608584595238097E-2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77242.784000000014</v>
      </c>
      <c r="X8" s="91">
        <f t="shared" si="2"/>
        <v>36.295967238095237</v>
      </c>
      <c r="Y8" s="91">
        <f t="shared" si="2"/>
        <v>40.202405238095238</v>
      </c>
      <c r="Z8" s="91">
        <f t="shared" si="2"/>
        <v>0.99150315095238095</v>
      </c>
      <c r="AA8" s="91">
        <f t="shared" si="2"/>
        <v>0.9931514419047619</v>
      </c>
      <c r="AB8" s="91">
        <f t="shared" si="2"/>
        <v>1.8625600761904764E-2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4688.8959999999997</v>
      </c>
      <c r="F16" s="167">
        <v>6056.2079999999996</v>
      </c>
      <c r="G16" s="167">
        <v>1130.7760000000001</v>
      </c>
      <c r="H16" s="167">
        <v>388.36</v>
      </c>
      <c r="I16" s="167">
        <v>167.80799999999999</v>
      </c>
      <c r="J16" s="167">
        <v>8771.848</v>
      </c>
      <c r="K16" s="60">
        <v>5224.8</v>
      </c>
      <c r="L16" s="60">
        <v>1888.152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4688.8959999999997</v>
      </c>
      <c r="X16" s="167">
        <v>6056.2079999999996</v>
      </c>
      <c r="Y16" s="167">
        <v>769.64</v>
      </c>
      <c r="Z16" s="167">
        <v>382.45600000000002</v>
      </c>
      <c r="AA16" s="167">
        <v>141.01599999999999</v>
      </c>
      <c r="AB16" s="167">
        <v>8771.848</v>
      </c>
      <c r="AC16" s="60">
        <v>5224.8</v>
      </c>
      <c r="AD16" s="60">
        <v>1888.152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4688.8959999999997</v>
      </c>
      <c r="F17" s="168">
        <v>7941.5919999999996</v>
      </c>
      <c r="G17" s="168">
        <v>4043.28</v>
      </c>
      <c r="H17" s="168">
        <v>2044.9680000000001</v>
      </c>
      <c r="I17" s="168">
        <v>1498.336</v>
      </c>
      <c r="J17" s="168">
        <v>11323.12</v>
      </c>
      <c r="K17" s="62">
        <v>7088.4719999999998</v>
      </c>
      <c r="L17" s="62">
        <v>2497.8159999999998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4688.8959999999997</v>
      </c>
      <c r="X17" s="168">
        <v>7941.5919999999996</v>
      </c>
      <c r="Y17" s="168">
        <v>2395.4079999999999</v>
      </c>
      <c r="Z17" s="168">
        <v>1936.3040000000001</v>
      </c>
      <c r="AA17" s="168">
        <v>1156.0719999999999</v>
      </c>
      <c r="AB17" s="168">
        <v>11323.12</v>
      </c>
      <c r="AC17" s="62">
        <v>7088.4719999999998</v>
      </c>
      <c r="AD17" s="62">
        <v>2497.8159999999998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4688.8959999999997</v>
      </c>
      <c r="F18" s="168">
        <v>9902.32</v>
      </c>
      <c r="G18" s="168">
        <v>8648.4</v>
      </c>
      <c r="H18" s="168">
        <v>6395.5360000000001</v>
      </c>
      <c r="I18" s="168">
        <v>6107.9359999999997</v>
      </c>
      <c r="J18" s="168">
        <v>13961.536</v>
      </c>
      <c r="K18" s="62">
        <v>9035.2880000000005</v>
      </c>
      <c r="L18" s="62">
        <v>3125.1280000000002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4688.8959999999997</v>
      </c>
      <c r="X18" s="168">
        <v>9902.32</v>
      </c>
      <c r="Y18" s="168">
        <v>4594.5360000000001</v>
      </c>
      <c r="Z18" s="168">
        <v>5611.8879999999999</v>
      </c>
      <c r="AA18" s="168">
        <v>4563.1760000000004</v>
      </c>
      <c r="AB18" s="168">
        <v>13961.536</v>
      </c>
      <c r="AC18" s="62">
        <v>9035.2880000000005</v>
      </c>
      <c r="AD18" s="62">
        <v>3125.1280000000002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4688.8959999999997</v>
      </c>
      <c r="F19" s="168">
        <v>11776.415999999999</v>
      </c>
      <c r="G19" s="168">
        <v>13866.175999999999</v>
      </c>
      <c r="H19" s="168">
        <v>13459.6</v>
      </c>
      <c r="I19" s="168">
        <v>15053.32</v>
      </c>
      <c r="J19" s="168">
        <v>16708.376</v>
      </c>
      <c r="K19" s="62">
        <v>11084.592000000001</v>
      </c>
      <c r="L19" s="62">
        <v>3779.384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4688.8959999999997</v>
      </c>
      <c r="X19" s="168">
        <v>11776.415999999999</v>
      </c>
      <c r="Y19" s="168">
        <v>6969.2</v>
      </c>
      <c r="Z19" s="168">
        <v>10940.216</v>
      </c>
      <c r="AA19" s="168">
        <v>11295.704</v>
      </c>
      <c r="AB19" s="168">
        <v>16708.376</v>
      </c>
      <c r="AC19" s="62">
        <v>11084.592000000001</v>
      </c>
      <c r="AD19" s="62">
        <v>3779.384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27923.015999999996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39027.68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55482.767999999996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77242.784000000014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27.577456000000002</v>
      </c>
      <c r="G33" s="97">
        <v>31.134187000000001</v>
      </c>
      <c r="H33" s="97">
        <v>0.95943495000000001</v>
      </c>
      <c r="I33" s="60">
        <v>0.96601981000000003</v>
      </c>
      <c r="J33" s="60">
        <v>8.3524169999999995E-2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28.040407999999999</v>
      </c>
      <c r="Y33" s="97">
        <v>31.701028999999998</v>
      </c>
      <c r="Z33" s="97">
        <v>0.96165069000000003</v>
      </c>
      <c r="AA33" s="60">
        <v>0.97090805000000002</v>
      </c>
      <c r="AB33" s="60">
        <v>7.8055910000000006E-2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0.46295199999999781</v>
      </c>
      <c r="AN33" s="96">
        <f t="shared" ref="AN33:AN96" si="5">IF(OR(Y33="",G33=""),"",Y33-G33)</f>
        <v>0.56684199999999763</v>
      </c>
      <c r="AO33" s="96">
        <f t="shared" ref="AO33:AO96" si="6">IF(OR(Z33="",H33=""),"",Z33-H33)</f>
        <v>2.2157400000000216E-3</v>
      </c>
      <c r="AP33" s="96">
        <f t="shared" ref="AP33:AP96" si="7">IF(OR(AA33="",I33=""),"",AA33-I33)</f>
        <v>4.8882399999999882E-3</v>
      </c>
      <c r="AQ33" s="121">
        <f t="shared" ref="AQ33:AQ96" si="8">IF(OR(AB33="",J33=""),"",AB33-J33)</f>
        <v>-5.4682599999999887E-3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30.759060000000002</v>
      </c>
      <c r="G34" s="190">
        <v>34.076340999999999</v>
      </c>
      <c r="H34" s="190">
        <v>0.97693960999999996</v>
      </c>
      <c r="I34" s="62">
        <v>0.98018503000000001</v>
      </c>
      <c r="J34" s="62">
        <v>5.8090188000000001E-2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30.504573000000001</v>
      </c>
      <c r="Y34" s="190">
        <v>34.009259999999998</v>
      </c>
      <c r="Z34" s="190">
        <v>0.97753213999999999</v>
      </c>
      <c r="AA34" s="62">
        <v>0.98211674000000004</v>
      </c>
      <c r="AB34" s="62">
        <v>5.2946948000000001E-2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-0.25448700000000102</v>
      </c>
      <c r="AN34" s="122">
        <f t="shared" si="5"/>
        <v>-6.7081000000001723E-2</v>
      </c>
      <c r="AO34" s="122">
        <f t="shared" si="6"/>
        <v>5.9253000000003553E-4</v>
      </c>
      <c r="AP34" s="122">
        <f t="shared" si="7"/>
        <v>1.9317100000000309E-3</v>
      </c>
      <c r="AQ34" s="88">
        <f t="shared" si="8"/>
        <v>-5.1432400000000003E-3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34.701622</v>
      </c>
      <c r="G35" s="190">
        <v>39.048186000000001</v>
      </c>
      <c r="H35" s="190">
        <v>0.98871198000000005</v>
      </c>
      <c r="I35" s="62">
        <v>0.99178215999999997</v>
      </c>
      <c r="J35" s="62">
        <v>3.3094823000000002E-2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32.823729</v>
      </c>
      <c r="Y35" s="190">
        <v>36.756205000000001</v>
      </c>
      <c r="Z35" s="190">
        <v>0.98689937000000005</v>
      </c>
      <c r="AA35" s="62">
        <v>0.98939535999999995</v>
      </c>
      <c r="AB35" s="62">
        <v>3.3950273000000003E-2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-1.8778930000000003</v>
      </c>
      <c r="AN35" s="122">
        <f t="shared" si="5"/>
        <v>-2.2919809999999998</v>
      </c>
      <c r="AO35" s="122">
        <f t="shared" si="6"/>
        <v>-1.8126099999999923E-3</v>
      </c>
      <c r="AP35" s="122">
        <f t="shared" si="7"/>
        <v>-2.3868000000000222E-3</v>
      </c>
      <c r="AQ35" s="88">
        <f t="shared" si="8"/>
        <v>8.5545000000000065E-4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37.285139999999998</v>
      </c>
      <c r="G36" s="190">
        <v>41.695649000000003</v>
      </c>
      <c r="H36" s="190">
        <v>0.99349675000000004</v>
      </c>
      <c r="I36" s="62">
        <v>0.99566268000000002</v>
      </c>
      <c r="J36" s="62">
        <v>1.9023346E-2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33.965564999999998</v>
      </c>
      <c r="Y36" s="190">
        <v>38.007921000000003</v>
      </c>
      <c r="Z36" s="190">
        <v>0.99097038999999998</v>
      </c>
      <c r="AA36" s="62">
        <v>0.99224824</v>
      </c>
      <c r="AB36" s="62">
        <v>2.32698E-2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-3.3195750000000004</v>
      </c>
      <c r="AN36" s="122">
        <f t="shared" si="5"/>
        <v>-3.6877279999999999</v>
      </c>
      <c r="AO36" s="122">
        <f t="shared" si="6"/>
        <v>-2.5263600000000608E-3</v>
      </c>
      <c r="AP36" s="122">
        <f t="shared" si="7"/>
        <v>-3.4144400000000186E-3</v>
      </c>
      <c r="AQ36" s="88">
        <f t="shared" si="8"/>
        <v>4.2464540000000002E-3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28.193349000000001</v>
      </c>
      <c r="G38" s="97">
        <v>31.808422</v>
      </c>
      <c r="H38" s="97">
        <v>0.96085564000000001</v>
      </c>
      <c r="I38" s="60">
        <v>0.96608455999999998</v>
      </c>
      <c r="J38" s="60">
        <v>7.6065703999999998E-2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28.608999000000001</v>
      </c>
      <c r="Y38" s="97">
        <v>32.324463000000002</v>
      </c>
      <c r="Z38" s="97">
        <v>0.96341723000000001</v>
      </c>
      <c r="AA38" s="60">
        <v>0.97070734999999997</v>
      </c>
      <c r="AB38" s="60">
        <v>6.9941840000000005E-2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0.41564999999999941</v>
      </c>
      <c r="AN38" s="96">
        <f t="shared" si="5"/>
        <v>0.5160410000000013</v>
      </c>
      <c r="AO38" s="96">
        <f t="shared" si="6"/>
        <v>2.5615900000000025E-3</v>
      </c>
      <c r="AP38" s="96">
        <f t="shared" si="7"/>
        <v>4.6227899999999877E-3</v>
      </c>
      <c r="AQ38" s="121">
        <f t="shared" si="8"/>
        <v>-6.1238639999999928E-3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31.252689</v>
      </c>
      <c r="G39" s="190">
        <v>34.732500999999999</v>
      </c>
      <c r="H39" s="190">
        <v>0.97719151000000004</v>
      </c>
      <c r="I39" s="62">
        <v>0.98035265999999999</v>
      </c>
      <c r="J39" s="62">
        <v>5.4013060000000002E-2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30.996403000000001</v>
      </c>
      <c r="Y39" s="190">
        <v>34.645488999999998</v>
      </c>
      <c r="Z39" s="190">
        <v>0.97800014000000002</v>
      </c>
      <c r="AA39" s="62">
        <v>0.98173604999999997</v>
      </c>
      <c r="AB39" s="62">
        <v>4.8926167E-2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-0.25628599999999935</v>
      </c>
      <c r="AN39" s="122">
        <f t="shared" si="5"/>
        <v>-8.7012000000001422E-2</v>
      </c>
      <c r="AO39" s="122">
        <f t="shared" si="6"/>
        <v>8.0862999999997687E-4</v>
      </c>
      <c r="AP39" s="122">
        <f t="shared" si="7"/>
        <v>1.3833899999999844E-3</v>
      </c>
      <c r="AQ39" s="88">
        <f t="shared" si="8"/>
        <v>-5.0868930000000021E-3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35.001336999999999</v>
      </c>
      <c r="G40" s="190">
        <v>39.219678999999999</v>
      </c>
      <c r="H40" s="190">
        <v>0.98841422000000001</v>
      </c>
      <c r="I40" s="62">
        <v>0.9914191</v>
      </c>
      <c r="J40" s="62">
        <v>3.1824815999999999E-2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33.180670999999997</v>
      </c>
      <c r="Y40" s="190">
        <v>37.079763999999997</v>
      </c>
      <c r="Z40" s="190">
        <v>0.98674770999999994</v>
      </c>
      <c r="AA40" s="62">
        <v>0.98892935999999998</v>
      </c>
      <c r="AB40" s="62">
        <v>3.1557713000000001E-2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-1.8206660000000028</v>
      </c>
      <c r="AN40" s="122">
        <f t="shared" si="5"/>
        <v>-2.139915000000002</v>
      </c>
      <c r="AO40" s="122">
        <f t="shared" si="6"/>
        <v>-1.6665100000000654E-3</v>
      </c>
      <c r="AP40" s="122">
        <f t="shared" si="7"/>
        <v>-2.489740000000018E-3</v>
      </c>
      <c r="AQ40" s="88">
        <f t="shared" si="8"/>
        <v>-2.671029999999977E-4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37.389982000000003</v>
      </c>
      <c r="G41" s="190">
        <v>41.763351</v>
      </c>
      <c r="H41" s="190">
        <v>0.99333020999999999</v>
      </c>
      <c r="I41" s="62">
        <v>0.99550910000000004</v>
      </c>
      <c r="J41" s="62">
        <v>1.8921693999999999E-2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34.173206999999998</v>
      </c>
      <c r="Y41" s="190">
        <v>38.232996999999997</v>
      </c>
      <c r="Z41" s="190">
        <v>0.99084866999999999</v>
      </c>
      <c r="AA41" s="62">
        <v>0.99165225000000001</v>
      </c>
      <c r="AB41" s="62">
        <v>2.216011E-2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-3.2167750000000055</v>
      </c>
      <c r="AN41" s="122">
        <f t="shared" si="5"/>
        <v>-3.5303540000000027</v>
      </c>
      <c r="AO41" s="122">
        <f t="shared" si="6"/>
        <v>-2.4815400000000043E-3</v>
      </c>
      <c r="AP41" s="122">
        <f t="shared" si="7"/>
        <v>-3.8568500000000228E-3</v>
      </c>
      <c r="AQ41" s="88">
        <f t="shared" si="8"/>
        <v>3.2384160000000009E-3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28.768204000000001</v>
      </c>
      <c r="G43" s="97">
        <v>32.409649999999999</v>
      </c>
      <c r="H43" s="97">
        <v>0.96211438999999999</v>
      </c>
      <c r="I43" s="60">
        <v>0.96779749999999998</v>
      </c>
      <c r="J43" s="60">
        <v>7.4610220000000005E-2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29.211034999999999</v>
      </c>
      <c r="Y43" s="97">
        <v>32.953110000000002</v>
      </c>
      <c r="Z43" s="97">
        <v>0.96453825000000004</v>
      </c>
      <c r="AA43" s="60">
        <v>0.97171832000000002</v>
      </c>
      <c r="AB43" s="60">
        <v>6.9259169999999995E-2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0.4428309999999982</v>
      </c>
      <c r="AN43" s="96">
        <f t="shared" si="5"/>
        <v>0.54346000000000316</v>
      </c>
      <c r="AO43" s="96">
        <f t="shared" si="6"/>
        <v>2.4238600000000554E-3</v>
      </c>
      <c r="AP43" s="96">
        <f t="shared" si="7"/>
        <v>3.920820000000047E-3</v>
      </c>
      <c r="AQ43" s="121">
        <f t="shared" si="8"/>
        <v>-5.35105000000001E-3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31.693356999999999</v>
      </c>
      <c r="G44" s="190">
        <v>35.252952999999998</v>
      </c>
      <c r="H44" s="190">
        <v>0.97751454999999998</v>
      </c>
      <c r="I44" s="62">
        <v>0.98098412000000001</v>
      </c>
      <c r="J44" s="62">
        <v>5.0052739999999998E-2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31.441642000000002</v>
      </c>
      <c r="Y44" s="190">
        <v>35.135086999999999</v>
      </c>
      <c r="Z44" s="190">
        <v>0.97839222000000003</v>
      </c>
      <c r="AA44" s="62">
        <v>0.98213154999999996</v>
      </c>
      <c r="AB44" s="62">
        <v>4.5677750000000003E-2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-0.25171499999999725</v>
      </c>
      <c r="AN44" s="122">
        <f t="shared" si="5"/>
        <v>-0.11786599999999936</v>
      </c>
      <c r="AO44" s="122">
        <f t="shared" si="6"/>
        <v>8.7767000000005257E-4</v>
      </c>
      <c r="AP44" s="122">
        <f t="shared" si="7"/>
        <v>1.1474299999999493E-3</v>
      </c>
      <c r="AQ44" s="88">
        <f t="shared" si="8"/>
        <v>-4.3749899999999953E-3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35.019258999999998</v>
      </c>
      <c r="G45" s="190">
        <v>39.286160000000002</v>
      </c>
      <c r="H45" s="190">
        <v>0.98840072000000001</v>
      </c>
      <c r="I45" s="62">
        <v>0.99148994999999995</v>
      </c>
      <c r="J45" s="62">
        <v>3.2509700000000002E-2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33.284635000000002</v>
      </c>
      <c r="Y45" s="190">
        <v>37.240582000000003</v>
      </c>
      <c r="Z45" s="190">
        <v>0.98685471000000002</v>
      </c>
      <c r="AA45" s="62">
        <v>0.98856449000000002</v>
      </c>
      <c r="AB45" s="62">
        <v>3.1227950000000001E-2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-1.7346239999999966</v>
      </c>
      <c r="AN45" s="122">
        <f t="shared" si="5"/>
        <v>-2.045577999999999</v>
      </c>
      <c r="AO45" s="122">
        <f t="shared" si="6"/>
        <v>-1.5460099999999866E-3</v>
      </c>
      <c r="AP45" s="122">
        <f t="shared" si="7"/>
        <v>-2.9254599999999353E-3</v>
      </c>
      <c r="AQ45" s="88">
        <f t="shared" si="8"/>
        <v>-1.2817500000000016E-3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37.792676</v>
      </c>
      <c r="G46" s="190">
        <v>42.168708000000002</v>
      </c>
      <c r="H46" s="190">
        <v>0.99332200999999998</v>
      </c>
      <c r="I46" s="62">
        <v>0.99553944999999999</v>
      </c>
      <c r="J46" s="62">
        <v>1.8137565000000001E-2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34.598010000000002</v>
      </c>
      <c r="Y46" s="190">
        <v>38.652327999999997</v>
      </c>
      <c r="Z46" s="190">
        <v>0.99098209000000004</v>
      </c>
      <c r="AA46" s="62">
        <v>0.99165060999999999</v>
      </c>
      <c r="AB46" s="62">
        <v>2.0557240000000001E-2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-3.194665999999998</v>
      </c>
      <c r="AN46" s="122">
        <f t="shared" si="5"/>
        <v>-3.5163800000000052</v>
      </c>
      <c r="AO46" s="122">
        <f t="shared" si="6"/>
        <v>-2.3399199999999398E-3</v>
      </c>
      <c r="AP46" s="122">
        <f t="shared" si="7"/>
        <v>-3.8888400000000045E-3</v>
      </c>
      <c r="AQ46" s="88">
        <f t="shared" si="8"/>
        <v>2.4196749999999996E-3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29.646042999999999</v>
      </c>
      <c r="G48" s="97">
        <v>33.106610000000003</v>
      </c>
      <c r="H48" s="97">
        <v>0.96270007999999996</v>
      </c>
      <c r="I48" s="60">
        <v>0.96883207999999998</v>
      </c>
      <c r="J48" s="60">
        <v>6.692476E-2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30.197596999999998</v>
      </c>
      <c r="Y48" s="97">
        <v>33.698928000000002</v>
      </c>
      <c r="Z48" s="97">
        <v>0.96513720999999997</v>
      </c>
      <c r="AA48" s="60">
        <v>0.97217949000000004</v>
      </c>
      <c r="AB48" s="60">
        <v>6.1845842999999998E-2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0.55155399999999943</v>
      </c>
      <c r="AN48" s="96">
        <f t="shared" si="5"/>
        <v>0.59231799999999879</v>
      </c>
      <c r="AO48" s="96">
        <f t="shared" si="6"/>
        <v>2.4371300000000096E-3</v>
      </c>
      <c r="AP48" s="96">
        <f t="shared" si="7"/>
        <v>3.3474100000000506E-3</v>
      </c>
      <c r="AQ48" s="121">
        <f t="shared" si="8"/>
        <v>-5.0789170000000022E-3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32.635077000000003</v>
      </c>
      <c r="G49" s="190">
        <v>36.090877999999996</v>
      </c>
      <c r="H49" s="190">
        <v>0.97698622000000002</v>
      </c>
      <c r="I49" s="62">
        <v>0.98179987999999996</v>
      </c>
      <c r="J49" s="62">
        <v>4.4159416E-2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32.595238000000002</v>
      </c>
      <c r="Y49" s="190">
        <v>36.116596999999999</v>
      </c>
      <c r="Z49" s="190">
        <v>0.97811278000000001</v>
      </c>
      <c r="AA49" s="62">
        <v>0.98259856000000001</v>
      </c>
      <c r="AB49" s="62">
        <v>4.0592986999999997E-2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-3.9839000000000624E-2</v>
      </c>
      <c r="AN49" s="122">
        <f t="shared" si="5"/>
        <v>2.5719000000002268E-2</v>
      </c>
      <c r="AO49" s="122">
        <f t="shared" si="6"/>
        <v>1.1265599999999987E-3</v>
      </c>
      <c r="AP49" s="122">
        <f t="shared" si="7"/>
        <v>7.9868000000005157E-4</v>
      </c>
      <c r="AQ49" s="88">
        <f t="shared" si="8"/>
        <v>-3.5664290000000029E-3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35.634103000000003</v>
      </c>
      <c r="G50" s="190">
        <v>39.809362999999998</v>
      </c>
      <c r="H50" s="190">
        <v>0.98790906999999994</v>
      </c>
      <c r="I50" s="62">
        <v>0.99133842999999999</v>
      </c>
      <c r="J50" s="62">
        <v>2.9285403000000002E-2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34.293351000000001</v>
      </c>
      <c r="Y50" s="190">
        <v>38.112960000000001</v>
      </c>
      <c r="Z50" s="190">
        <v>0.98673354999999996</v>
      </c>
      <c r="AA50" s="62">
        <v>0.98920532000000005</v>
      </c>
      <c r="AB50" s="62">
        <v>2.8092364000000002E-2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-1.3407520000000019</v>
      </c>
      <c r="AN50" s="122">
        <f t="shared" si="5"/>
        <v>-1.6964029999999966</v>
      </c>
      <c r="AO50" s="122">
        <f t="shared" si="6"/>
        <v>-1.1755199999999855E-3</v>
      </c>
      <c r="AP50" s="122">
        <f t="shared" si="7"/>
        <v>-2.1331099999999381E-3</v>
      </c>
      <c r="AQ50" s="88">
        <f t="shared" si="8"/>
        <v>-1.1930389999999999E-3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38.367744000000002</v>
      </c>
      <c r="G51" s="190">
        <v>42.722358</v>
      </c>
      <c r="H51" s="190">
        <v>0.99321422999999998</v>
      </c>
      <c r="I51" s="62">
        <v>0.99548629</v>
      </c>
      <c r="J51" s="62">
        <v>1.6130444000000001E-2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35.461753000000002</v>
      </c>
      <c r="Y51" s="190">
        <v>39.422922</v>
      </c>
      <c r="Z51" s="190">
        <v>0.99114895999999997</v>
      </c>
      <c r="AA51" s="62">
        <v>0.99235717000000001</v>
      </c>
      <c r="AB51" s="62">
        <v>1.8611629000000001E-2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-2.9059910000000002</v>
      </c>
      <c r="AN51" s="122">
        <f t="shared" si="5"/>
        <v>-3.299436</v>
      </c>
      <c r="AO51" s="122">
        <f t="shared" si="6"/>
        <v>-2.0652700000000079E-3</v>
      </c>
      <c r="AP51" s="122">
        <f t="shared" si="7"/>
        <v>-3.1291199999999852E-3</v>
      </c>
      <c r="AQ51" s="88">
        <f t="shared" si="8"/>
        <v>2.4811850000000003E-3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29.522048999999999</v>
      </c>
      <c r="G53" s="97">
        <v>33.095426000000003</v>
      </c>
      <c r="H53" s="97">
        <v>0.96237687000000005</v>
      </c>
      <c r="I53" s="60">
        <v>0.96936633999999999</v>
      </c>
      <c r="J53" s="60">
        <v>6.6631360000000001E-2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30.053951999999999</v>
      </c>
      <c r="Y53" s="97">
        <v>33.673775999999997</v>
      </c>
      <c r="Z53" s="97">
        <v>0.96478814999999996</v>
      </c>
      <c r="AA53" s="60">
        <v>0.97278074999999997</v>
      </c>
      <c r="AB53" s="60">
        <v>6.2250409999999999E-2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0.53190299999999979</v>
      </c>
      <c r="AN53" s="96">
        <f t="shared" si="5"/>
        <v>0.57834999999999326</v>
      </c>
      <c r="AO53" s="96">
        <f t="shared" si="6"/>
        <v>2.4112799999999046E-3</v>
      </c>
      <c r="AP53" s="96">
        <f t="shared" si="7"/>
        <v>3.4144099999999789E-3</v>
      </c>
      <c r="AQ53" s="121">
        <f t="shared" si="8"/>
        <v>-4.3809500000000015E-3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32.458666999999998</v>
      </c>
      <c r="G54" s="190">
        <v>35.984918</v>
      </c>
      <c r="H54" s="190">
        <v>0.97689793999999996</v>
      </c>
      <c r="I54" s="62">
        <v>0.98175643000000001</v>
      </c>
      <c r="J54" s="62">
        <v>4.4433027999999999E-2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32.296309999999998</v>
      </c>
      <c r="Y54" s="190">
        <v>35.928967</v>
      </c>
      <c r="Z54" s="190">
        <v>0.97783542999999995</v>
      </c>
      <c r="AA54" s="62">
        <v>0.98184207000000001</v>
      </c>
      <c r="AB54" s="62">
        <v>4.1008197000000003E-2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-0.16235700000000008</v>
      </c>
      <c r="AN54" s="122">
        <f t="shared" si="5"/>
        <v>-5.5951000000000306E-2</v>
      </c>
      <c r="AO54" s="122">
        <f t="shared" si="6"/>
        <v>9.3748999999998528E-4</v>
      </c>
      <c r="AP54" s="122">
        <f t="shared" si="7"/>
        <v>8.563999999999794E-5</v>
      </c>
      <c r="AQ54" s="88">
        <f t="shared" si="8"/>
        <v>-3.4248309999999962E-3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35.679766000000001</v>
      </c>
      <c r="G55" s="190">
        <v>39.763469000000001</v>
      </c>
      <c r="H55" s="190">
        <v>0.98777605999999996</v>
      </c>
      <c r="I55" s="62">
        <v>0.99115679999999995</v>
      </c>
      <c r="J55" s="62">
        <v>2.8534828000000002E-2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34.309150000000002</v>
      </c>
      <c r="Y55" s="190">
        <v>38.132705999999999</v>
      </c>
      <c r="Z55" s="190">
        <v>0.98668449000000003</v>
      </c>
      <c r="AA55" s="62">
        <v>0.98923322999999996</v>
      </c>
      <c r="AB55" s="62">
        <v>2.7528467000000001E-2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-1.3706159999999983</v>
      </c>
      <c r="AN55" s="122">
        <f t="shared" si="5"/>
        <v>-1.6307630000000017</v>
      </c>
      <c r="AO55" s="122">
        <f t="shared" si="6"/>
        <v>-1.0915699999999307E-3</v>
      </c>
      <c r="AP55" s="122">
        <f t="shared" si="7"/>
        <v>-1.9235699999999856E-3</v>
      </c>
      <c r="AQ55" s="88">
        <f t="shared" si="8"/>
        <v>-1.0063610000000008E-3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38.597504999999998</v>
      </c>
      <c r="G56" s="190">
        <v>42.825226999999998</v>
      </c>
      <c r="H56" s="190">
        <v>0.99314466000000001</v>
      </c>
      <c r="I56" s="62">
        <v>0.99536809000000004</v>
      </c>
      <c r="J56" s="62">
        <v>1.4998801000000001E-2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35.641945999999997</v>
      </c>
      <c r="Y56" s="190">
        <v>39.559120999999998</v>
      </c>
      <c r="Z56" s="190">
        <v>0.99115470000000006</v>
      </c>
      <c r="AA56" s="62">
        <v>0.99243314999999999</v>
      </c>
      <c r="AB56" s="62">
        <v>1.7667957000000001E-2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-2.9555590000000009</v>
      </c>
      <c r="AN56" s="122">
        <f t="shared" si="5"/>
        <v>-3.2661060000000006</v>
      </c>
      <c r="AO56" s="122">
        <f t="shared" si="6"/>
        <v>-1.9899599999999573E-3</v>
      </c>
      <c r="AP56" s="122">
        <f t="shared" si="7"/>
        <v>-2.9349400000000525E-3</v>
      </c>
      <c r="AQ56" s="88">
        <f t="shared" si="8"/>
        <v>2.6691560000000007E-3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29.68233</v>
      </c>
      <c r="G58" s="97">
        <v>33.258108999999997</v>
      </c>
      <c r="H58" s="97">
        <v>0.96183008999999997</v>
      </c>
      <c r="I58" s="60">
        <v>0.96960731</v>
      </c>
      <c r="J58" s="60">
        <v>6.7332400000000001E-2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30.142430000000001</v>
      </c>
      <c r="Y58" s="97">
        <v>33.763134000000001</v>
      </c>
      <c r="Z58" s="97">
        <v>0.96429100000000001</v>
      </c>
      <c r="AA58" s="60">
        <v>0.97271110999999999</v>
      </c>
      <c r="AB58" s="60">
        <v>6.3422140000000002E-2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0.46010000000000062</v>
      </c>
      <c r="AN58" s="96">
        <f t="shared" si="5"/>
        <v>0.50502500000000339</v>
      </c>
      <c r="AO58" s="96">
        <f t="shared" si="6"/>
        <v>2.4609100000000383E-3</v>
      </c>
      <c r="AP58" s="96">
        <f t="shared" si="7"/>
        <v>3.1037999999999899E-3</v>
      </c>
      <c r="AQ58" s="121">
        <f t="shared" si="8"/>
        <v>-3.9102599999999987E-3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32.585791999999998</v>
      </c>
      <c r="G59" s="190">
        <v>36.097355999999998</v>
      </c>
      <c r="H59" s="190">
        <v>0.97665292000000004</v>
      </c>
      <c r="I59" s="62">
        <v>0.98189451000000005</v>
      </c>
      <c r="J59" s="62">
        <v>4.5003085999999998E-2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32.305680000000002</v>
      </c>
      <c r="Y59" s="190">
        <v>35.934477000000001</v>
      </c>
      <c r="Z59" s="190">
        <v>0.97753783999999999</v>
      </c>
      <c r="AA59" s="62">
        <v>0.98188301</v>
      </c>
      <c r="AB59" s="62">
        <v>4.2251683999999998E-2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-0.28011199999999548</v>
      </c>
      <c r="AN59" s="122">
        <f t="shared" si="5"/>
        <v>-0.16287899999999667</v>
      </c>
      <c r="AO59" s="122">
        <f t="shared" si="6"/>
        <v>8.8491999999995574E-4</v>
      </c>
      <c r="AP59" s="122">
        <f t="shared" si="7"/>
        <v>-1.1500000000053134E-5</v>
      </c>
      <c r="AQ59" s="88">
        <f t="shared" si="8"/>
        <v>-2.751402E-3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35.839658</v>
      </c>
      <c r="G60" s="190">
        <v>39.831609</v>
      </c>
      <c r="H60" s="190">
        <v>0.98778858000000003</v>
      </c>
      <c r="I60" s="62">
        <v>0.99115125999999998</v>
      </c>
      <c r="J60" s="62">
        <v>2.8406635E-2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34.459412999999998</v>
      </c>
      <c r="Y60" s="190">
        <v>38.206952000000001</v>
      </c>
      <c r="Z60" s="190">
        <v>0.98665974000000001</v>
      </c>
      <c r="AA60" s="62">
        <v>0.98920927999999997</v>
      </c>
      <c r="AB60" s="62">
        <v>2.7754469E-2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-1.3802450000000022</v>
      </c>
      <c r="AN60" s="122">
        <f t="shared" si="5"/>
        <v>-1.6246569999999991</v>
      </c>
      <c r="AO60" s="122">
        <f t="shared" si="6"/>
        <v>-1.1288400000000198E-3</v>
      </c>
      <c r="AP60" s="122">
        <f t="shared" si="7"/>
        <v>-1.9419800000000098E-3</v>
      </c>
      <c r="AQ60" s="88">
        <f t="shared" si="8"/>
        <v>-6.5216599999999916E-4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39.007764000000002</v>
      </c>
      <c r="G61" s="190">
        <v>43.125194</v>
      </c>
      <c r="H61" s="190">
        <v>0.99317886</v>
      </c>
      <c r="I61" s="62">
        <v>0.99532387</v>
      </c>
      <c r="J61" s="62">
        <v>1.4320851000000001E-2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35.977179999999997</v>
      </c>
      <c r="Y61" s="190">
        <v>39.786501999999999</v>
      </c>
      <c r="Z61" s="190">
        <v>0.99115478999999995</v>
      </c>
      <c r="AA61" s="62">
        <v>0.99237427</v>
      </c>
      <c r="AB61" s="62">
        <v>1.7317398000000001E-2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-3.0305840000000046</v>
      </c>
      <c r="AN61" s="122">
        <f t="shared" si="5"/>
        <v>-3.3386920000000018</v>
      </c>
      <c r="AO61" s="122">
        <f t="shared" si="6"/>
        <v>-2.0240700000000444E-3</v>
      </c>
      <c r="AP61" s="122">
        <f t="shared" si="7"/>
        <v>-2.9495999999999967E-3</v>
      </c>
      <c r="AQ61" s="88">
        <f t="shared" si="8"/>
        <v>2.9965470000000004E-3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29.997012999999999</v>
      </c>
      <c r="G63" s="97">
        <v>33.660482000000002</v>
      </c>
      <c r="H63" s="97">
        <v>0.96114701999999996</v>
      </c>
      <c r="I63" s="60">
        <v>0.97034967999999999</v>
      </c>
      <c r="J63" s="60">
        <v>6.5846375999999998E-2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30.396941999999999</v>
      </c>
      <c r="Y63" s="97">
        <v>34.070787000000003</v>
      </c>
      <c r="Z63" s="97">
        <v>0.96327514000000003</v>
      </c>
      <c r="AA63" s="60">
        <v>0.97329458000000002</v>
      </c>
      <c r="AB63" s="60">
        <v>6.2499084000000003E-2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0.3999290000000002</v>
      </c>
      <c r="AN63" s="96">
        <f t="shared" si="5"/>
        <v>0.41030500000000103</v>
      </c>
      <c r="AO63" s="96">
        <f t="shared" si="6"/>
        <v>2.1281200000000666E-3</v>
      </c>
      <c r="AP63" s="96">
        <f t="shared" si="7"/>
        <v>2.9449000000000281E-3</v>
      </c>
      <c r="AQ63" s="121">
        <f t="shared" si="8"/>
        <v>-3.3472919999999948E-3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33.147660000000002</v>
      </c>
      <c r="G64" s="190">
        <v>36.565246999999999</v>
      </c>
      <c r="H64" s="190">
        <v>0.97660387999999998</v>
      </c>
      <c r="I64" s="62">
        <v>0.98222423000000003</v>
      </c>
      <c r="J64" s="62">
        <v>4.1996222E-2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32.742241</v>
      </c>
      <c r="Y64" s="190">
        <v>36.306364000000002</v>
      </c>
      <c r="Z64" s="190">
        <v>0.97722171999999996</v>
      </c>
      <c r="AA64" s="62">
        <v>0.98242437999999999</v>
      </c>
      <c r="AB64" s="62">
        <v>4.0164235999999999E-2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-0.40541900000000197</v>
      </c>
      <c r="AN64" s="122">
        <f t="shared" si="5"/>
        <v>-0.25888299999999731</v>
      </c>
      <c r="AO64" s="122">
        <f t="shared" si="6"/>
        <v>6.1783999999998063E-4</v>
      </c>
      <c r="AP64" s="122">
        <f t="shared" si="7"/>
        <v>2.0014999999995453E-4</v>
      </c>
      <c r="AQ64" s="88">
        <f t="shared" si="8"/>
        <v>-1.8319860000000007E-3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36.391508000000002</v>
      </c>
      <c r="G65" s="190">
        <v>40.252209000000001</v>
      </c>
      <c r="H65" s="190">
        <v>0.98797999000000003</v>
      </c>
      <c r="I65" s="62">
        <v>0.99132962000000002</v>
      </c>
      <c r="J65" s="62">
        <v>2.6921328000000001E-2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34.958772000000003</v>
      </c>
      <c r="Y65" s="190">
        <v>38.597904</v>
      </c>
      <c r="Z65" s="190">
        <v>0.98666511000000001</v>
      </c>
      <c r="AA65" s="62">
        <v>0.98931815000000001</v>
      </c>
      <c r="AB65" s="62">
        <v>2.6163312000000001E-2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-1.4327359999999985</v>
      </c>
      <c r="AN65" s="122">
        <f t="shared" si="5"/>
        <v>-1.6543050000000008</v>
      </c>
      <c r="AO65" s="122">
        <f t="shared" si="6"/>
        <v>-1.3148800000000183E-3</v>
      </c>
      <c r="AP65" s="122">
        <f t="shared" si="7"/>
        <v>-2.0114700000000152E-3</v>
      </c>
      <c r="AQ65" s="88">
        <f t="shared" si="8"/>
        <v>-7.5801600000000025E-4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39.687700999999997</v>
      </c>
      <c r="G66" s="190">
        <v>43.589041999999999</v>
      </c>
      <c r="H66" s="190">
        <v>0.99332034000000002</v>
      </c>
      <c r="I66" s="62">
        <v>0.9955522</v>
      </c>
      <c r="J66" s="62">
        <v>1.3120456000000001E-2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36.585554000000002</v>
      </c>
      <c r="Y66" s="190">
        <v>40.272807</v>
      </c>
      <c r="Z66" s="190">
        <v>0.99110478000000002</v>
      </c>
      <c r="AA66" s="62">
        <v>0.99241036000000005</v>
      </c>
      <c r="AB66" s="62">
        <v>1.5549395000000001E-2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-3.1021469999999951</v>
      </c>
      <c r="AN66" s="122">
        <f t="shared" si="5"/>
        <v>-3.3162349999999989</v>
      </c>
      <c r="AO66" s="122">
        <f t="shared" si="6"/>
        <v>-2.2155600000000053E-3</v>
      </c>
      <c r="AP66" s="122">
        <f t="shared" si="7"/>
        <v>-3.1418399999999513E-3</v>
      </c>
      <c r="AQ66" s="88">
        <f t="shared" si="8"/>
        <v>2.4289389999999998E-3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28.984580000000001</v>
      </c>
      <c r="G68" s="97">
        <v>32.458784000000001</v>
      </c>
      <c r="H68" s="97">
        <v>0.96228798000000004</v>
      </c>
      <c r="I68" s="60">
        <v>0.96817421999999997</v>
      </c>
      <c r="J68" s="60">
        <v>7.1367040000000007E-2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29.570065</v>
      </c>
      <c r="Y68" s="97">
        <v>33.070286000000003</v>
      </c>
      <c r="Z68" s="97">
        <v>0.96440232000000004</v>
      </c>
      <c r="AA68" s="60">
        <v>0.97341677999999998</v>
      </c>
      <c r="AB68" s="60">
        <v>6.7764304999999997E-2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0.58548499999999848</v>
      </c>
      <c r="AN68" s="96">
        <f t="shared" si="5"/>
        <v>0.61150200000000154</v>
      </c>
      <c r="AO68" s="96">
        <f t="shared" si="6"/>
        <v>2.1143399999999923E-3</v>
      </c>
      <c r="AP68" s="96">
        <f t="shared" si="7"/>
        <v>5.2425600000000072E-3</v>
      </c>
      <c r="AQ68" s="121">
        <f t="shared" si="8"/>
        <v>-3.6027350000000097E-3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31.978733999999999</v>
      </c>
      <c r="G69" s="190">
        <v>35.560954000000002</v>
      </c>
      <c r="H69" s="190">
        <v>0.97750647999999996</v>
      </c>
      <c r="I69" s="62">
        <v>0.98177000999999997</v>
      </c>
      <c r="J69" s="62">
        <v>4.6866390000000001E-2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32.048406</v>
      </c>
      <c r="Y69" s="190">
        <v>35.699564000000002</v>
      </c>
      <c r="Z69" s="190">
        <v>0.97816391000000003</v>
      </c>
      <c r="AA69" s="62">
        <v>0.98352848000000004</v>
      </c>
      <c r="AB69" s="62">
        <v>4.3979160000000003E-2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6.9672000000000622E-2</v>
      </c>
      <c r="AN69" s="122">
        <f t="shared" si="5"/>
        <v>0.1386099999999999</v>
      </c>
      <c r="AO69" s="122">
        <f t="shared" si="6"/>
        <v>6.574300000000699E-4</v>
      </c>
      <c r="AP69" s="122">
        <f t="shared" si="7"/>
        <v>1.7584700000000675E-3</v>
      </c>
      <c r="AQ69" s="88">
        <f t="shared" si="8"/>
        <v>-2.8872299999999976E-3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35.082237999999997</v>
      </c>
      <c r="G70" s="190">
        <v>39.436193000000003</v>
      </c>
      <c r="H70" s="190">
        <v>0.98856533000000002</v>
      </c>
      <c r="I70" s="62">
        <v>0.99181430999999998</v>
      </c>
      <c r="J70" s="62">
        <v>3.004592E-2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33.697299000000001</v>
      </c>
      <c r="Y70" s="190">
        <v>37.678620000000002</v>
      </c>
      <c r="Z70" s="190">
        <v>0.98683949000000004</v>
      </c>
      <c r="AA70" s="62">
        <v>0.98963838999999998</v>
      </c>
      <c r="AB70" s="62">
        <v>3.1946123E-2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-1.3849389999999957</v>
      </c>
      <c r="AN70" s="122">
        <f t="shared" si="5"/>
        <v>-1.7575730000000007</v>
      </c>
      <c r="AO70" s="122">
        <f t="shared" si="6"/>
        <v>-1.7258399999999785E-3</v>
      </c>
      <c r="AP70" s="122">
        <f t="shared" si="7"/>
        <v>-2.1759199999999979E-3</v>
      </c>
      <c r="AQ70" s="88">
        <f t="shared" si="8"/>
        <v>1.9002029999999996E-3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37.543035000000003</v>
      </c>
      <c r="G71" s="190">
        <v>41.983271999999999</v>
      </c>
      <c r="H71" s="190">
        <v>0.99337465000000003</v>
      </c>
      <c r="I71" s="62">
        <v>0.99564514999999998</v>
      </c>
      <c r="J71" s="62">
        <v>1.7582047999999999E-2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34.898645999999999</v>
      </c>
      <c r="Y71" s="190">
        <v>38.970143</v>
      </c>
      <c r="Z71" s="190">
        <v>0.99098569000000003</v>
      </c>
      <c r="AA71" s="62">
        <v>0.99264050000000004</v>
      </c>
      <c r="AB71" s="62">
        <v>2.1727538000000001E-2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-2.6443890000000039</v>
      </c>
      <c r="AN71" s="122">
        <f t="shared" si="5"/>
        <v>-3.0131289999999993</v>
      </c>
      <c r="AO71" s="122">
        <f t="shared" si="6"/>
        <v>-2.3889599999999955E-3</v>
      </c>
      <c r="AP71" s="122">
        <f t="shared" si="7"/>
        <v>-3.0046499999999421E-3</v>
      </c>
      <c r="AQ71" s="88">
        <f t="shared" si="8"/>
        <v>4.1454900000000017E-3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29.526973000000002</v>
      </c>
      <c r="G73" s="97">
        <v>33.266182000000001</v>
      </c>
      <c r="H73" s="97">
        <v>0.96416942000000005</v>
      </c>
      <c r="I73" s="60">
        <v>0.96878752999999995</v>
      </c>
      <c r="J73" s="60">
        <v>6.4007090000000003E-2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30.229237999999999</v>
      </c>
      <c r="Y73" s="97">
        <v>33.942022999999999</v>
      </c>
      <c r="Z73" s="97">
        <v>0.96636683000000001</v>
      </c>
      <c r="AA73" s="60">
        <v>0.97357241999999999</v>
      </c>
      <c r="AB73" s="60">
        <v>5.9160557000000003E-2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0.70226499999999703</v>
      </c>
      <c r="AN73" s="96">
        <f t="shared" si="5"/>
        <v>0.67584099999999836</v>
      </c>
      <c r="AO73" s="96">
        <f t="shared" si="6"/>
        <v>2.1974099999999552E-3</v>
      </c>
      <c r="AP73" s="96">
        <f t="shared" si="7"/>
        <v>4.7848900000000416E-3</v>
      </c>
      <c r="AQ73" s="121">
        <f t="shared" si="8"/>
        <v>-4.8465330000000001E-3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32.283003000000001</v>
      </c>
      <c r="G74" s="190">
        <v>36.011023999999999</v>
      </c>
      <c r="H74" s="190">
        <v>0.97811376000000005</v>
      </c>
      <c r="I74" s="62">
        <v>0.98162729999999998</v>
      </c>
      <c r="J74" s="62">
        <v>4.2279504000000002E-2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32.378979999999999</v>
      </c>
      <c r="Y74" s="190">
        <v>36.131959000000002</v>
      </c>
      <c r="Z74" s="190">
        <v>0.97890831</v>
      </c>
      <c r="AA74" s="62">
        <v>0.98283553000000001</v>
      </c>
      <c r="AB74" s="62">
        <v>3.9322271999999998E-2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9.5976999999997759E-2</v>
      </c>
      <c r="AN74" s="122">
        <f t="shared" si="5"/>
        <v>0.1209350000000029</v>
      </c>
      <c r="AO74" s="122">
        <f t="shared" si="6"/>
        <v>7.9454999999994946E-4</v>
      </c>
      <c r="AP74" s="122">
        <f t="shared" si="7"/>
        <v>1.2082300000000323E-3</v>
      </c>
      <c r="AQ74" s="88">
        <f t="shared" si="8"/>
        <v>-2.9572320000000041E-3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35.978337000000003</v>
      </c>
      <c r="G75" s="190">
        <v>40.064262999999997</v>
      </c>
      <c r="H75" s="190">
        <v>0.98843513999999999</v>
      </c>
      <c r="I75" s="62">
        <v>0.99156294</v>
      </c>
      <c r="J75" s="62">
        <v>2.5514245000000001E-2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34.519010000000002</v>
      </c>
      <c r="Y75" s="190">
        <v>38.347462</v>
      </c>
      <c r="Z75" s="190">
        <v>0.98697665000000001</v>
      </c>
      <c r="AA75" s="62">
        <v>0.98926946000000004</v>
      </c>
      <c r="AB75" s="62">
        <v>2.6242893E-2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-1.4593270000000018</v>
      </c>
      <c r="AN75" s="122">
        <f t="shared" si="5"/>
        <v>-1.7168009999999967</v>
      </c>
      <c r="AO75" s="122">
        <f t="shared" si="6"/>
        <v>-1.458489999999979E-3</v>
      </c>
      <c r="AP75" s="122">
        <f t="shared" si="7"/>
        <v>-2.2934799999999589E-3</v>
      </c>
      <c r="AQ75" s="88">
        <f t="shared" si="8"/>
        <v>7.2864799999999841E-4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37.902993000000002</v>
      </c>
      <c r="G76" s="190">
        <v>42.288583000000003</v>
      </c>
      <c r="H76" s="190">
        <v>0.99335713999999997</v>
      </c>
      <c r="I76" s="62">
        <v>0.99562839000000003</v>
      </c>
      <c r="J76" s="62">
        <v>1.6562795000000002E-2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35.313763999999999</v>
      </c>
      <c r="Y76" s="190">
        <v>39.357328000000003</v>
      </c>
      <c r="Z76" s="190">
        <v>0.99115332</v>
      </c>
      <c r="AA76" s="62">
        <v>0.99247171999999995</v>
      </c>
      <c r="AB76" s="62">
        <v>1.9531913000000001E-2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-2.5892290000000031</v>
      </c>
      <c r="AN76" s="122">
        <f t="shared" si="5"/>
        <v>-2.9312550000000002</v>
      </c>
      <c r="AO76" s="122">
        <f t="shared" si="6"/>
        <v>-2.2038199999999675E-3</v>
      </c>
      <c r="AP76" s="122">
        <f t="shared" si="7"/>
        <v>-3.1566700000000836E-3</v>
      </c>
      <c r="AQ76" s="88">
        <f t="shared" si="8"/>
        <v>2.9691179999999998E-3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29.636751</v>
      </c>
      <c r="G78" s="97">
        <v>33.338917000000002</v>
      </c>
      <c r="H78" s="97">
        <v>0.96574822999999999</v>
      </c>
      <c r="I78" s="60">
        <v>0.97007438000000001</v>
      </c>
      <c r="J78" s="60">
        <v>6.6473134000000003E-2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30.294861000000001</v>
      </c>
      <c r="Y78" s="97">
        <v>34.025596999999998</v>
      </c>
      <c r="Z78" s="97">
        <v>0.96781855000000006</v>
      </c>
      <c r="AA78" s="60">
        <v>0.97429363000000002</v>
      </c>
      <c r="AB78" s="60">
        <v>6.1677075999999997E-2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0.65811000000000064</v>
      </c>
      <c r="AN78" s="96">
        <f t="shared" si="5"/>
        <v>0.68667999999999552</v>
      </c>
      <c r="AO78" s="96">
        <f t="shared" si="6"/>
        <v>2.0703200000000699E-3</v>
      </c>
      <c r="AP78" s="96">
        <f t="shared" si="7"/>
        <v>4.2192500000000077E-3</v>
      </c>
      <c r="AQ78" s="121">
        <f t="shared" si="8"/>
        <v>-4.7960580000000058E-3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32.240988999999999</v>
      </c>
      <c r="G79" s="190">
        <v>36.054644000000003</v>
      </c>
      <c r="H79" s="190">
        <v>0.97868995000000003</v>
      </c>
      <c r="I79" s="62">
        <v>0.98222352000000002</v>
      </c>
      <c r="J79" s="62">
        <v>4.4221000000000003E-2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32.404349000000003</v>
      </c>
      <c r="Y79" s="190">
        <v>36.229287999999997</v>
      </c>
      <c r="Z79" s="190">
        <v>0.97964499999999999</v>
      </c>
      <c r="AA79" s="62">
        <v>0.98329080999999996</v>
      </c>
      <c r="AB79" s="62">
        <v>4.1173290000000001E-2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0.16336000000000439</v>
      </c>
      <c r="AN79" s="122">
        <f t="shared" si="5"/>
        <v>0.17464399999999358</v>
      </c>
      <c r="AO79" s="122">
        <f t="shared" si="6"/>
        <v>9.5504999999995732E-4</v>
      </c>
      <c r="AP79" s="122">
        <f t="shared" si="7"/>
        <v>1.067289999999943E-3</v>
      </c>
      <c r="AQ79" s="88">
        <f t="shared" si="8"/>
        <v>-3.0477100000000021E-3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35.561171999999999</v>
      </c>
      <c r="G80" s="190">
        <v>39.869092999999999</v>
      </c>
      <c r="H80" s="190">
        <v>0.98851942000000004</v>
      </c>
      <c r="I80" s="62">
        <v>0.99173741000000004</v>
      </c>
      <c r="J80" s="62">
        <v>2.9034961000000001E-2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34.178711</v>
      </c>
      <c r="Y80" s="190">
        <v>38.195897000000002</v>
      </c>
      <c r="Z80" s="190">
        <v>0.98737613000000002</v>
      </c>
      <c r="AA80" s="62">
        <v>0.98965890999999995</v>
      </c>
      <c r="AB80" s="62">
        <v>2.8662592000000001E-2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-1.3824609999999993</v>
      </c>
      <c r="AN80" s="122">
        <f t="shared" si="5"/>
        <v>-1.6731959999999972</v>
      </c>
      <c r="AO80" s="122">
        <f t="shared" si="6"/>
        <v>-1.143290000000019E-3</v>
      </c>
      <c r="AP80" s="122">
        <f t="shared" si="7"/>
        <v>-2.0785000000000942E-3</v>
      </c>
      <c r="AQ80" s="88">
        <f t="shared" si="8"/>
        <v>-3.7236900000000087E-4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38.317521999999997</v>
      </c>
      <c r="G81" s="190">
        <v>42.705719999999999</v>
      </c>
      <c r="H81" s="190">
        <v>0.99340107</v>
      </c>
      <c r="I81" s="62">
        <v>0.99566867999999997</v>
      </c>
      <c r="J81" s="62">
        <v>1.6119537999999999E-2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35.639848999999998</v>
      </c>
      <c r="Y81" s="190">
        <v>39.677014999999997</v>
      </c>
      <c r="Z81" s="190">
        <v>0.99150300999999996</v>
      </c>
      <c r="AA81" s="62">
        <v>0.99271587999999999</v>
      </c>
      <c r="AB81" s="62">
        <v>1.8405556999999999E-2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-2.6776729999999986</v>
      </c>
      <c r="AN81" s="122">
        <f t="shared" si="5"/>
        <v>-3.0287050000000022</v>
      </c>
      <c r="AO81" s="122">
        <f t="shared" si="6"/>
        <v>-1.8980600000000347E-3</v>
      </c>
      <c r="AP81" s="122">
        <f t="shared" si="7"/>
        <v>-2.9527999999999777E-3</v>
      </c>
      <c r="AQ81" s="88">
        <f t="shared" si="8"/>
        <v>2.2860190000000002E-3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30.346667</v>
      </c>
      <c r="G83" s="97">
        <v>33.698810000000002</v>
      </c>
      <c r="H83" s="97">
        <v>0.96659404000000004</v>
      </c>
      <c r="I83" s="60">
        <v>0.97200211999999997</v>
      </c>
      <c r="J83" s="60">
        <v>6.1710282999999998E-2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31.032975</v>
      </c>
      <c r="Y83" s="97">
        <v>34.362602000000003</v>
      </c>
      <c r="Z83" s="97">
        <v>0.96864265999999999</v>
      </c>
      <c r="AA83" s="60">
        <v>0.97522843000000003</v>
      </c>
      <c r="AB83" s="60">
        <v>5.7670433E-2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0.68630800000000036</v>
      </c>
      <c r="AN83" s="96">
        <f t="shared" si="5"/>
        <v>0.66379200000000083</v>
      </c>
      <c r="AO83" s="96">
        <f t="shared" si="6"/>
        <v>2.0486199999999455E-3</v>
      </c>
      <c r="AP83" s="96">
        <f t="shared" si="7"/>
        <v>3.2263100000000655E-3</v>
      </c>
      <c r="AQ83" s="121">
        <f t="shared" si="8"/>
        <v>-4.0398499999999976E-3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33.197960999999999</v>
      </c>
      <c r="G84" s="190">
        <v>36.642747</v>
      </c>
      <c r="H84" s="190">
        <v>0.97917063999999998</v>
      </c>
      <c r="I84" s="62">
        <v>0.98362461999999995</v>
      </c>
      <c r="J84" s="62">
        <v>4.063746E-2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33.372188999999999</v>
      </c>
      <c r="Y84" s="190">
        <v>36.850842999999998</v>
      </c>
      <c r="Z84" s="190">
        <v>0.98008861000000003</v>
      </c>
      <c r="AA84" s="62">
        <v>0.98451759999999999</v>
      </c>
      <c r="AB84" s="62">
        <v>3.7900629999999998E-2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0.17422799999999938</v>
      </c>
      <c r="AN84" s="122">
        <f t="shared" si="5"/>
        <v>0.20809599999999762</v>
      </c>
      <c r="AO84" s="122">
        <f t="shared" si="6"/>
        <v>9.1797000000004569E-4</v>
      </c>
      <c r="AP84" s="122">
        <f t="shared" si="7"/>
        <v>8.9298000000004318E-4</v>
      </c>
      <c r="AQ84" s="88">
        <f t="shared" si="8"/>
        <v>-2.7368300000000026E-3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36.323225000000001</v>
      </c>
      <c r="G85" s="190">
        <v>40.461047000000001</v>
      </c>
      <c r="H85" s="190">
        <v>0.98836796999999998</v>
      </c>
      <c r="I85" s="62">
        <v>0.99187791999999997</v>
      </c>
      <c r="J85" s="62">
        <v>2.5983978000000001E-2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35.170096999999998</v>
      </c>
      <c r="Y85" s="190">
        <v>38.971457999999998</v>
      </c>
      <c r="Z85" s="190">
        <v>0.98753382999999995</v>
      </c>
      <c r="AA85" s="62">
        <v>0.99005606999999995</v>
      </c>
      <c r="AB85" s="62">
        <v>2.5969586999999999E-2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-1.1531280000000024</v>
      </c>
      <c r="AN85" s="122">
        <f t="shared" si="5"/>
        <v>-1.4895890000000023</v>
      </c>
      <c r="AO85" s="122">
        <f t="shared" si="6"/>
        <v>-8.3414000000003874E-4</v>
      </c>
      <c r="AP85" s="122">
        <f t="shared" si="7"/>
        <v>-1.8218500000000137E-3</v>
      </c>
      <c r="AQ85" s="88">
        <f t="shared" si="8"/>
        <v>-1.4391000000002485E-5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38.604658000000001</v>
      </c>
      <c r="G86" s="190">
        <v>42.987068999999998</v>
      </c>
      <c r="H86" s="190">
        <v>0.99325755999999998</v>
      </c>
      <c r="I86" s="62">
        <v>0.99559222999999997</v>
      </c>
      <c r="J86" s="62">
        <v>1.5268248999999999E-2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36.255563000000002</v>
      </c>
      <c r="Y86" s="190">
        <v>40.197411000000002</v>
      </c>
      <c r="Z86" s="190">
        <v>0.99157726999999996</v>
      </c>
      <c r="AA86" s="62">
        <v>0.99301839999999997</v>
      </c>
      <c r="AB86" s="62">
        <v>1.7145434000000001E-2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-2.3490949999999984</v>
      </c>
      <c r="AN86" s="122">
        <f t="shared" si="5"/>
        <v>-2.7896579999999958</v>
      </c>
      <c r="AO86" s="122">
        <f t="shared" si="6"/>
        <v>-1.6802900000000287E-3</v>
      </c>
      <c r="AP86" s="122">
        <f t="shared" si="7"/>
        <v>-2.5738299999999992E-3</v>
      </c>
      <c r="AQ86" s="88">
        <f t="shared" si="8"/>
        <v>1.8771850000000017E-3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30.330774999999999</v>
      </c>
      <c r="G88" s="97">
        <v>33.888913000000002</v>
      </c>
      <c r="H88" s="97">
        <v>0.96718583999999996</v>
      </c>
      <c r="I88" s="60">
        <v>0.97233603999999996</v>
      </c>
      <c r="J88" s="60">
        <v>6.0269896000000003E-2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30.93505</v>
      </c>
      <c r="Y88" s="97">
        <v>34.481467000000002</v>
      </c>
      <c r="Z88" s="97">
        <v>0.96926387999999997</v>
      </c>
      <c r="AA88" s="60">
        <v>0.97577709000000001</v>
      </c>
      <c r="AB88" s="60">
        <v>5.6628709999999999E-2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0.60427500000000123</v>
      </c>
      <c r="AN88" s="96">
        <f t="shared" si="5"/>
        <v>0.5925539999999998</v>
      </c>
      <c r="AO88" s="96">
        <f t="shared" si="6"/>
        <v>2.0780400000000032E-3</v>
      </c>
      <c r="AP88" s="96">
        <f t="shared" si="7"/>
        <v>3.4410500000000566E-3</v>
      </c>
      <c r="AQ88" s="121">
        <f t="shared" si="8"/>
        <v>-3.6411860000000046E-3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33.457307999999998</v>
      </c>
      <c r="G89" s="190">
        <v>36.880572999999998</v>
      </c>
      <c r="H89" s="190">
        <v>0.97968538999999999</v>
      </c>
      <c r="I89" s="62">
        <v>0.98436557999999996</v>
      </c>
      <c r="J89" s="62">
        <v>3.9441094000000003E-2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33.501145999999999</v>
      </c>
      <c r="Y89" s="190">
        <v>36.995040000000003</v>
      </c>
      <c r="Z89" s="190">
        <v>0.98062673</v>
      </c>
      <c r="AA89" s="62">
        <v>0.98469152000000004</v>
      </c>
      <c r="AB89" s="62">
        <v>3.6466770000000003E-2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4.3838000000000932E-2</v>
      </c>
      <c r="AN89" s="122">
        <f t="shared" si="5"/>
        <v>0.11446700000000476</v>
      </c>
      <c r="AO89" s="122">
        <f t="shared" si="6"/>
        <v>9.4134000000001272E-4</v>
      </c>
      <c r="AP89" s="122">
        <f t="shared" si="7"/>
        <v>3.2594000000008005E-4</v>
      </c>
      <c r="AQ89" s="88">
        <f t="shared" si="8"/>
        <v>-2.9743240000000004E-3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36.753244000000002</v>
      </c>
      <c r="G90" s="190">
        <v>40.748925999999997</v>
      </c>
      <c r="H90" s="190">
        <v>0.98862737000000001</v>
      </c>
      <c r="I90" s="62">
        <v>0.99193087000000002</v>
      </c>
      <c r="J90" s="62">
        <v>2.4453229999999999E-2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35.487924</v>
      </c>
      <c r="Y90" s="190">
        <v>39.253506000000002</v>
      </c>
      <c r="Z90" s="190">
        <v>0.98791589999999996</v>
      </c>
      <c r="AA90" s="62">
        <v>0.99034398999999995</v>
      </c>
      <c r="AB90" s="62">
        <v>2.4831895E-2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-1.2653200000000027</v>
      </c>
      <c r="AN90" s="122">
        <f t="shared" si="5"/>
        <v>-1.4954199999999958</v>
      </c>
      <c r="AO90" s="122">
        <f t="shared" si="6"/>
        <v>-7.1147000000004734E-4</v>
      </c>
      <c r="AP90" s="122">
        <f t="shared" si="7"/>
        <v>-1.5868800000000682E-3</v>
      </c>
      <c r="AQ90" s="88">
        <f t="shared" si="8"/>
        <v>3.7866500000000025E-4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39.221527999999999</v>
      </c>
      <c r="G91" s="190">
        <v>43.491194999999998</v>
      </c>
      <c r="H91" s="190">
        <v>0.99348431000000004</v>
      </c>
      <c r="I91" s="62">
        <v>0.99572461000000001</v>
      </c>
      <c r="J91" s="62">
        <v>1.3737254000000001E-2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36.47439</v>
      </c>
      <c r="Y91" s="190">
        <v>40.402431</v>
      </c>
      <c r="Z91" s="190">
        <v>0.99189930000000004</v>
      </c>
      <c r="AA91" s="62">
        <v>0.99313351000000005</v>
      </c>
      <c r="AB91" s="62">
        <v>1.6697494E-2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-2.7471379999999996</v>
      </c>
      <c r="AN91" s="122">
        <f t="shared" si="5"/>
        <v>-3.0887639999999976</v>
      </c>
      <c r="AO91" s="122">
        <f t="shared" si="6"/>
        <v>-1.5850099999999978E-3</v>
      </c>
      <c r="AP91" s="122">
        <f t="shared" si="7"/>
        <v>-2.5910999999999573E-3</v>
      </c>
      <c r="AQ91" s="88">
        <f t="shared" si="8"/>
        <v>2.9602399999999994E-3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30.403388</v>
      </c>
      <c r="G93" s="97">
        <v>34.113942000000002</v>
      </c>
      <c r="H93" s="97">
        <v>0.96725786000000002</v>
      </c>
      <c r="I93" s="60">
        <v>0.97287062000000002</v>
      </c>
      <c r="J93" s="60">
        <v>6.1141807999999999E-2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30.881982000000001</v>
      </c>
      <c r="Y93" s="97">
        <v>34.597223999999997</v>
      </c>
      <c r="Z93" s="97">
        <v>0.96942094999999995</v>
      </c>
      <c r="AA93" s="60">
        <v>0.97590606999999996</v>
      </c>
      <c r="AB93" s="60">
        <v>5.7780873000000003E-2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0.47859400000000107</v>
      </c>
      <c r="AN93" s="96">
        <f t="shared" si="5"/>
        <v>0.48328199999999555</v>
      </c>
      <c r="AO93" s="96">
        <f t="shared" si="6"/>
        <v>2.1630899999999231E-3</v>
      </c>
      <c r="AP93" s="96">
        <f t="shared" si="7"/>
        <v>3.0354499999999396E-3</v>
      </c>
      <c r="AQ93" s="121">
        <f t="shared" si="8"/>
        <v>-3.3609349999999955E-3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33.436641000000002</v>
      </c>
      <c r="G94" s="190">
        <v>37.069685999999997</v>
      </c>
      <c r="H94" s="190">
        <v>0.97984364000000002</v>
      </c>
      <c r="I94" s="62">
        <v>0.98470243000000002</v>
      </c>
      <c r="J94" s="62">
        <v>4.0614147000000003E-2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33.273276000000003</v>
      </c>
      <c r="Y94" s="190">
        <v>36.956667000000003</v>
      </c>
      <c r="Z94" s="190">
        <v>0.98073969000000005</v>
      </c>
      <c r="AA94" s="62">
        <v>0.98509469000000005</v>
      </c>
      <c r="AB94" s="62">
        <v>3.7850137999999998E-2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-0.16336499999999887</v>
      </c>
      <c r="AN94" s="122">
        <f t="shared" si="5"/>
        <v>-0.11301899999999421</v>
      </c>
      <c r="AO94" s="122">
        <f t="shared" si="6"/>
        <v>8.9605000000003709E-4</v>
      </c>
      <c r="AP94" s="122">
        <f t="shared" si="7"/>
        <v>3.9226000000003314E-4</v>
      </c>
      <c r="AQ94" s="88">
        <f t="shared" si="8"/>
        <v>-2.7640090000000048E-3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36.790162000000002</v>
      </c>
      <c r="G95" s="190">
        <v>40.713656999999998</v>
      </c>
      <c r="H95" s="190">
        <v>0.98878248000000002</v>
      </c>
      <c r="I95" s="62">
        <v>0.99217164999999996</v>
      </c>
      <c r="J95" s="62">
        <v>2.4706522000000002E-2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35.407136999999999</v>
      </c>
      <c r="Y95" s="190">
        <v>39.170265000000001</v>
      </c>
      <c r="Z95" s="190">
        <v>0.98803591000000002</v>
      </c>
      <c r="AA95" s="62">
        <v>0.99063893999999997</v>
      </c>
      <c r="AB95" s="62">
        <v>2.5284629999999999E-2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-1.3830250000000035</v>
      </c>
      <c r="AN95" s="122">
        <f t="shared" si="5"/>
        <v>-1.5433919999999972</v>
      </c>
      <c r="AO95" s="122">
        <f t="shared" si="6"/>
        <v>-7.4657000000000195E-4</v>
      </c>
      <c r="AP95" s="122">
        <f t="shared" si="7"/>
        <v>-1.5327099999999927E-3</v>
      </c>
      <c r="AQ95" s="88">
        <f t="shared" si="8"/>
        <v>5.7810799999999732E-4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39.709640999999998</v>
      </c>
      <c r="G96" s="190">
        <v>43.892923000000003</v>
      </c>
      <c r="H96" s="190">
        <v>0.99356986999999997</v>
      </c>
      <c r="I96" s="62">
        <v>0.99571025000000002</v>
      </c>
      <c r="J96" s="62">
        <v>1.3260409000000001E-2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36.723165000000002</v>
      </c>
      <c r="Y96" s="190">
        <v>40.575226999999998</v>
      </c>
      <c r="Z96" s="190">
        <v>0.99195153000000003</v>
      </c>
      <c r="AA96" s="62">
        <v>0.99312814000000005</v>
      </c>
      <c r="AB96" s="62">
        <v>1.6586374000000001E-2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-2.9864759999999961</v>
      </c>
      <c r="AN96" s="122">
        <f t="shared" si="5"/>
        <v>-3.3176960000000051</v>
      </c>
      <c r="AO96" s="122">
        <f t="shared" si="6"/>
        <v>-1.6183399999999404E-3</v>
      </c>
      <c r="AP96" s="122">
        <f t="shared" si="7"/>
        <v>-2.5821099999999708E-3</v>
      </c>
      <c r="AQ96" s="88">
        <f t="shared" si="8"/>
        <v>3.3259650000000002E-3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30.862511999999999</v>
      </c>
      <c r="G98" s="97">
        <v>34.720914999999998</v>
      </c>
      <c r="H98" s="97">
        <v>0.96609047999999997</v>
      </c>
      <c r="I98" s="60">
        <v>0.97317480999999995</v>
      </c>
      <c r="J98" s="60">
        <v>5.9064909999999998E-2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31.306778999999999</v>
      </c>
      <c r="Y98" s="97">
        <v>35.121288</v>
      </c>
      <c r="Z98" s="97">
        <v>0.96806192999999996</v>
      </c>
      <c r="AA98" s="60">
        <v>0.97566810000000004</v>
      </c>
      <c r="AB98" s="60">
        <v>5.5750236000000002E-2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0.44426699999999997</v>
      </c>
      <c r="AN98" s="96">
        <f t="shared" si="15"/>
        <v>0.40037300000000187</v>
      </c>
      <c r="AO98" s="96">
        <f t="shared" si="16"/>
        <v>1.9714499999999857E-3</v>
      </c>
      <c r="AP98" s="96">
        <f t="shared" si="17"/>
        <v>2.4932900000000924E-3</v>
      </c>
      <c r="AQ98" s="121">
        <f t="shared" si="18"/>
        <v>-3.3146739999999966E-3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34.109063999999996</v>
      </c>
      <c r="G99" s="190">
        <v>37.640196000000003</v>
      </c>
      <c r="H99" s="190">
        <v>0.97953049000000003</v>
      </c>
      <c r="I99" s="62">
        <v>0.98471628</v>
      </c>
      <c r="J99" s="62">
        <v>3.7864416999999997E-2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33.824460000000002</v>
      </c>
      <c r="Y99" s="190">
        <v>37.439846000000003</v>
      </c>
      <c r="Z99" s="190">
        <v>0.98020644000000001</v>
      </c>
      <c r="AA99" s="62">
        <v>0.98508876999999995</v>
      </c>
      <c r="AB99" s="62">
        <v>3.5841341999999998E-2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-0.28460399999999453</v>
      </c>
      <c r="AN99" s="122">
        <f t="shared" si="15"/>
        <v>-0.20035000000000025</v>
      </c>
      <c r="AO99" s="122">
        <f t="shared" si="16"/>
        <v>6.7594999999998073E-4</v>
      </c>
      <c r="AP99" s="122">
        <f t="shared" si="17"/>
        <v>3.7248999999994759E-4</v>
      </c>
      <c r="AQ99" s="88">
        <f t="shared" si="18"/>
        <v>-2.0230749999999992E-3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37.278939999999999</v>
      </c>
      <c r="G100" s="190">
        <v>40.99606</v>
      </c>
      <c r="H100" s="190">
        <v>0.98883938000000005</v>
      </c>
      <c r="I100" s="62">
        <v>0.99227198000000005</v>
      </c>
      <c r="J100" s="62">
        <v>2.3715215000000001E-2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35.896312999999999</v>
      </c>
      <c r="Y100" s="190">
        <v>39.497698</v>
      </c>
      <c r="Z100" s="190">
        <v>0.98795149000000004</v>
      </c>
      <c r="AA100" s="62">
        <v>0.99069622999999996</v>
      </c>
      <c r="AB100" s="62">
        <v>2.3638025E-2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-1.3826269999999994</v>
      </c>
      <c r="AN100" s="122">
        <f t="shared" si="15"/>
        <v>-1.4983620000000002</v>
      </c>
      <c r="AO100" s="122">
        <f t="shared" si="16"/>
        <v>-8.8789000000000229E-4</v>
      </c>
      <c r="AP100" s="122">
        <f t="shared" si="17"/>
        <v>-1.5757500000000979E-3</v>
      </c>
      <c r="AQ100" s="88">
        <f t="shared" si="18"/>
        <v>-7.7190000000001285E-5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40.434356999999999</v>
      </c>
      <c r="G101" s="190">
        <v>44.347915999999998</v>
      </c>
      <c r="H101" s="190">
        <v>0.99364368999999997</v>
      </c>
      <c r="I101" s="62">
        <v>0.99585778999999996</v>
      </c>
      <c r="J101" s="62">
        <v>1.2499240999999999E-2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37.441025000000003</v>
      </c>
      <c r="Y101" s="190">
        <v>41.095140000000001</v>
      </c>
      <c r="Z101" s="190">
        <v>0.99186459000000005</v>
      </c>
      <c r="AA101" s="62">
        <v>0.99324846</v>
      </c>
      <c r="AB101" s="62">
        <v>1.4572959999999999E-2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-2.9933319999999952</v>
      </c>
      <c r="AN101" s="122">
        <f t="shared" si="15"/>
        <v>-3.2527759999999972</v>
      </c>
      <c r="AO101" s="122">
        <f t="shared" si="16"/>
        <v>-1.7790999999999224E-3</v>
      </c>
      <c r="AP101" s="122">
        <f t="shared" si="17"/>
        <v>-2.6093299999999653E-3</v>
      </c>
      <c r="AQ101" s="88">
        <f t="shared" si="18"/>
        <v>2.0737189999999999E-3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30.720379000000001</v>
      </c>
      <c r="G103" s="97">
        <v>34.296075000000002</v>
      </c>
      <c r="H103" s="97">
        <v>0.96751726000000005</v>
      </c>
      <c r="I103" s="60">
        <v>0.97575869999999998</v>
      </c>
      <c r="J103" s="60">
        <v>7.2852150000000004E-2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31.039504999999998</v>
      </c>
      <c r="Y103" s="97">
        <v>34.755166000000003</v>
      </c>
      <c r="Z103" s="97">
        <v>0.96847753000000003</v>
      </c>
      <c r="AA103" s="60">
        <v>0.97786408000000002</v>
      </c>
      <c r="AB103" s="60">
        <v>7.0777450000000006E-2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0.31912599999999713</v>
      </c>
      <c r="AN103" s="96">
        <f t="shared" si="15"/>
        <v>0.4590910000000008</v>
      </c>
      <c r="AO103" s="96">
        <f t="shared" si="16"/>
        <v>9.602699999999853E-4</v>
      </c>
      <c r="AP103" s="96">
        <f t="shared" si="17"/>
        <v>2.1053800000000455E-3</v>
      </c>
      <c r="AQ103" s="121">
        <f t="shared" si="18"/>
        <v>-2.0746999999999988E-3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33.470007000000003</v>
      </c>
      <c r="G104" s="190">
        <v>36.901752000000002</v>
      </c>
      <c r="H104" s="190">
        <v>0.98006360000000003</v>
      </c>
      <c r="I104" s="62">
        <v>0.98599756000000005</v>
      </c>
      <c r="J104" s="62">
        <v>4.7936079999999999E-2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33.359535000000001</v>
      </c>
      <c r="Y104" s="190">
        <v>37.026308</v>
      </c>
      <c r="Z104" s="190">
        <v>0.97994501000000001</v>
      </c>
      <c r="AA104" s="62">
        <v>0.98619290999999998</v>
      </c>
      <c r="AB104" s="62">
        <v>4.7869213000000001E-2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-0.11047200000000146</v>
      </c>
      <c r="AN104" s="122">
        <f t="shared" si="15"/>
        <v>0.12455599999999833</v>
      </c>
      <c r="AO104" s="122">
        <f t="shared" si="16"/>
        <v>-1.1859000000002951E-4</v>
      </c>
      <c r="AP104" s="122">
        <f t="shared" si="17"/>
        <v>1.9534999999992753E-4</v>
      </c>
      <c r="AQ104" s="88">
        <f t="shared" si="18"/>
        <v>-6.6866999999998233E-5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35.999310999999999</v>
      </c>
      <c r="G105" s="190">
        <v>40.200256000000003</v>
      </c>
      <c r="H105" s="190">
        <v>0.98932509000000002</v>
      </c>
      <c r="I105" s="62">
        <v>0.99290555999999996</v>
      </c>
      <c r="J105" s="62">
        <v>3.1772059999999998E-2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34.667186000000001</v>
      </c>
      <c r="Y105" s="190">
        <v>38.60604</v>
      </c>
      <c r="Z105" s="190">
        <v>0.98772265000000004</v>
      </c>
      <c r="AA105" s="62">
        <v>0.99094384000000002</v>
      </c>
      <c r="AB105" s="62">
        <v>3.4641709999999999E-2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-1.3321249999999978</v>
      </c>
      <c r="AN105" s="122">
        <f t="shared" si="15"/>
        <v>-1.594216000000003</v>
      </c>
      <c r="AO105" s="122">
        <f t="shared" si="16"/>
        <v>-1.6024399999999828E-3</v>
      </c>
      <c r="AP105" s="122">
        <f t="shared" si="17"/>
        <v>-1.9617199999999446E-3</v>
      </c>
      <c r="AQ105" s="88">
        <f t="shared" si="18"/>
        <v>2.8696500000000014E-3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38.535500999999996</v>
      </c>
      <c r="G106" s="190">
        <v>42.921599999999998</v>
      </c>
      <c r="H106" s="190">
        <v>0.99352770999999995</v>
      </c>
      <c r="I106" s="62">
        <v>0.99604459999999995</v>
      </c>
      <c r="J106" s="62">
        <v>1.9031455999999999E-2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36.092776999999998</v>
      </c>
      <c r="Y106" s="190">
        <v>40.119466000000003</v>
      </c>
      <c r="Z106" s="190">
        <v>0.99143954000000001</v>
      </c>
      <c r="AA106" s="62">
        <v>0.99366575999999995</v>
      </c>
      <c r="AB106" s="62">
        <v>2.3623346999999999E-2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-2.4427239999999983</v>
      </c>
      <c r="AN106" s="122">
        <f t="shared" si="15"/>
        <v>-2.8021339999999952</v>
      </c>
      <c r="AO106" s="122">
        <f t="shared" si="16"/>
        <v>-2.0881699999999448E-3</v>
      </c>
      <c r="AP106" s="122">
        <f t="shared" si="17"/>
        <v>-2.3788399999999932E-3</v>
      </c>
      <c r="AQ106" s="88">
        <f t="shared" si="18"/>
        <v>4.5918910000000007E-3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31.097268</v>
      </c>
      <c r="G108" s="97">
        <v>34.729168999999999</v>
      </c>
      <c r="H108" s="97">
        <v>0.96944311000000005</v>
      </c>
      <c r="I108" s="60">
        <v>0.97736369999999995</v>
      </c>
      <c r="J108" s="60">
        <v>6.4543030000000001E-2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31.721720000000001</v>
      </c>
      <c r="Y108" s="97">
        <v>35.396090000000001</v>
      </c>
      <c r="Z108" s="97">
        <v>0.97063010000000005</v>
      </c>
      <c r="AA108" s="60">
        <v>0.97981993000000001</v>
      </c>
      <c r="AB108" s="60">
        <v>6.177357E-2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0.62445200000000156</v>
      </c>
      <c r="AN108" s="96">
        <f t="shared" si="15"/>
        <v>0.6669210000000021</v>
      </c>
      <c r="AO108" s="96">
        <f t="shared" si="16"/>
        <v>1.1869899999999989E-3</v>
      </c>
      <c r="AP108" s="96">
        <f t="shared" si="17"/>
        <v>2.4562300000000592E-3</v>
      </c>
      <c r="AQ108" s="121">
        <f t="shared" si="18"/>
        <v>-2.7694600000000014E-3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33.926485999999997</v>
      </c>
      <c r="G109" s="190">
        <v>37.319012999999998</v>
      </c>
      <c r="H109" s="190">
        <v>0.98074671999999996</v>
      </c>
      <c r="I109" s="62">
        <v>0.98647187000000003</v>
      </c>
      <c r="J109" s="62">
        <v>4.3211847999999997E-2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34.047203000000003</v>
      </c>
      <c r="Y109" s="190">
        <v>37.642878000000003</v>
      </c>
      <c r="Z109" s="190">
        <v>0.98108043</v>
      </c>
      <c r="AA109" s="62">
        <v>0.98683419999999999</v>
      </c>
      <c r="AB109" s="62">
        <v>4.2152059999999998E-2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0.12071700000000618</v>
      </c>
      <c r="AN109" s="122">
        <f t="shared" si="15"/>
        <v>0.32386500000000495</v>
      </c>
      <c r="AO109" s="122">
        <f t="shared" si="16"/>
        <v>3.3371000000004258E-4</v>
      </c>
      <c r="AP109" s="122">
        <f t="shared" si="17"/>
        <v>3.6232999999996629E-4</v>
      </c>
      <c r="AQ109" s="88">
        <f t="shared" si="18"/>
        <v>-1.059787999999999E-3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37.230013999999997</v>
      </c>
      <c r="G110" s="190">
        <v>41.028703999999998</v>
      </c>
      <c r="H110" s="190">
        <v>0.98925010999999996</v>
      </c>
      <c r="I110" s="62">
        <v>0.99290849999999997</v>
      </c>
      <c r="J110" s="62">
        <v>2.6501916E-2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35.862603</v>
      </c>
      <c r="Y110" s="190">
        <v>39.613503000000001</v>
      </c>
      <c r="Z110" s="190">
        <v>0.98800595000000002</v>
      </c>
      <c r="AA110" s="62">
        <v>0.99099101000000001</v>
      </c>
      <c r="AB110" s="62">
        <v>2.8327147E-2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-1.367410999999997</v>
      </c>
      <c r="AN110" s="122">
        <f t="shared" si="15"/>
        <v>-1.4152009999999962</v>
      </c>
      <c r="AO110" s="122">
        <f t="shared" si="16"/>
        <v>-1.2441599999999386E-3</v>
      </c>
      <c r="AP110" s="122">
        <f t="shared" si="17"/>
        <v>-1.9174899999999662E-3</v>
      </c>
      <c r="AQ110" s="88">
        <f t="shared" si="18"/>
        <v>1.8252310000000001E-3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39.028179999999999</v>
      </c>
      <c r="G111" s="190">
        <v>43.349167000000001</v>
      </c>
      <c r="H111" s="190">
        <v>0.99353923</v>
      </c>
      <c r="I111" s="62">
        <v>0.99602281999999998</v>
      </c>
      <c r="J111" s="62">
        <v>1.8346011999999998E-2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36.805289000000002</v>
      </c>
      <c r="Y111" s="190">
        <v>40.791324000000003</v>
      </c>
      <c r="Z111" s="190">
        <v>0.99171794999999996</v>
      </c>
      <c r="AA111" s="62">
        <v>0.99391277</v>
      </c>
      <c r="AB111" s="62">
        <v>2.13262E-2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-2.2228909999999971</v>
      </c>
      <c r="AN111" s="122">
        <f t="shared" si="15"/>
        <v>-2.5578429999999983</v>
      </c>
      <c r="AO111" s="122">
        <f t="shared" si="16"/>
        <v>-1.8212800000000362E-3</v>
      </c>
      <c r="AP111" s="122">
        <f t="shared" si="17"/>
        <v>-2.1100499999999744E-3</v>
      </c>
      <c r="AQ111" s="88">
        <f t="shared" si="18"/>
        <v>2.9801880000000017E-3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31.078412</v>
      </c>
      <c r="G113" s="97">
        <v>34.701805999999998</v>
      </c>
      <c r="H113" s="97">
        <v>0.97023300000000001</v>
      </c>
      <c r="I113" s="60">
        <v>0.97796879000000003</v>
      </c>
      <c r="J113" s="60">
        <v>6.6789139999999997E-2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31.541284000000001</v>
      </c>
      <c r="Y113" s="97">
        <v>35.310760999999999</v>
      </c>
      <c r="Z113" s="97">
        <v>0.97141571999999998</v>
      </c>
      <c r="AA113" s="60">
        <v>0.98032980000000003</v>
      </c>
      <c r="AB113" s="60">
        <v>6.4389310000000005E-2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0.46287200000000084</v>
      </c>
      <c r="AN113" s="96">
        <f t="shared" si="15"/>
        <v>0.60895500000000169</v>
      </c>
      <c r="AO113" s="96">
        <f t="shared" si="16"/>
        <v>1.1827199999999705E-3</v>
      </c>
      <c r="AP113" s="96">
        <f t="shared" si="17"/>
        <v>2.3610099999999967E-3</v>
      </c>
      <c r="AQ113" s="121">
        <f t="shared" si="18"/>
        <v>-2.3998299999999917E-3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33.427937</v>
      </c>
      <c r="G114" s="190">
        <v>37.158971000000001</v>
      </c>
      <c r="H114" s="190">
        <v>0.98110244000000002</v>
      </c>
      <c r="I114" s="62">
        <v>0.98644668000000002</v>
      </c>
      <c r="J114" s="62">
        <v>4.7697416999999999E-2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33.470857000000002</v>
      </c>
      <c r="Y114" s="190">
        <v>37.384349</v>
      </c>
      <c r="Z114" s="190">
        <v>0.98156164000000001</v>
      </c>
      <c r="AA114" s="62">
        <v>0.98714911000000005</v>
      </c>
      <c r="AB114" s="62">
        <v>4.623654E-2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4.292000000000229E-2</v>
      </c>
      <c r="AN114" s="122">
        <f t="shared" si="15"/>
        <v>0.22537799999999919</v>
      </c>
      <c r="AO114" s="122">
        <f t="shared" si="16"/>
        <v>4.5919999999999295E-4</v>
      </c>
      <c r="AP114" s="122">
        <f t="shared" si="17"/>
        <v>7.0243000000003164E-4</v>
      </c>
      <c r="AQ114" s="88">
        <f t="shared" si="18"/>
        <v>-1.4608769999999993E-3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36.358764999999998</v>
      </c>
      <c r="G115" s="190">
        <v>40.509982000000001</v>
      </c>
      <c r="H115" s="190">
        <v>0.98918983999999999</v>
      </c>
      <c r="I115" s="62">
        <v>0.99282771000000003</v>
      </c>
      <c r="J115" s="62">
        <v>3.0637681E-2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34.967498999999997</v>
      </c>
      <c r="Y115" s="190">
        <v>39.035696999999999</v>
      </c>
      <c r="Z115" s="190">
        <v>0.98813291999999997</v>
      </c>
      <c r="AA115" s="62">
        <v>0.99142984000000001</v>
      </c>
      <c r="AB115" s="62">
        <v>3.1696795999999999E-2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-1.3912660000000017</v>
      </c>
      <c r="AN115" s="122">
        <f t="shared" si="15"/>
        <v>-1.4742850000000018</v>
      </c>
      <c r="AO115" s="122">
        <f t="shared" si="16"/>
        <v>-1.0569200000000167E-3</v>
      </c>
      <c r="AP115" s="122">
        <f t="shared" si="17"/>
        <v>-1.3978700000000233E-3</v>
      </c>
      <c r="AQ115" s="88">
        <f t="shared" si="18"/>
        <v>1.0591149999999994E-3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39.288930999999998</v>
      </c>
      <c r="G116" s="190">
        <v>43.522325000000002</v>
      </c>
      <c r="H116" s="190">
        <v>0.99352236999999999</v>
      </c>
      <c r="I116" s="62">
        <v>0.99612221999999995</v>
      </c>
      <c r="J116" s="62">
        <v>1.6717692999999999E-2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36.783628</v>
      </c>
      <c r="Y116" s="190">
        <v>40.818966000000003</v>
      </c>
      <c r="Z116" s="190">
        <v>0.99188016999999995</v>
      </c>
      <c r="AA116" s="62">
        <v>0.99414400000000003</v>
      </c>
      <c r="AB116" s="62">
        <v>1.9254472000000002E-2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-2.5053029999999978</v>
      </c>
      <c r="AN116" s="122">
        <f t="shared" si="15"/>
        <v>-2.703358999999999</v>
      </c>
      <c r="AO116" s="122">
        <f t="shared" si="16"/>
        <v>-1.6422000000000381E-3</v>
      </c>
      <c r="AP116" s="122">
        <f t="shared" si="17"/>
        <v>-1.9782199999999195E-3</v>
      </c>
      <c r="AQ116" s="88">
        <f t="shared" si="18"/>
        <v>2.5367790000000029E-3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31.888351</v>
      </c>
      <c r="G118" s="97">
        <v>35.295918999999998</v>
      </c>
      <c r="H118" s="97">
        <v>0.97137426000000004</v>
      </c>
      <c r="I118" s="60">
        <v>0.97964784999999999</v>
      </c>
      <c r="J118" s="60">
        <v>6.0324759999999998E-2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32.384267000000001</v>
      </c>
      <c r="Y118" s="97">
        <v>35.873083000000001</v>
      </c>
      <c r="Z118" s="97">
        <v>0.97222684999999998</v>
      </c>
      <c r="AA118" s="60">
        <v>0.98156805999999996</v>
      </c>
      <c r="AB118" s="60">
        <v>5.7799051999999997E-2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0.49591600000000113</v>
      </c>
      <c r="AN118" s="96">
        <f t="shared" si="15"/>
        <v>0.57716400000000334</v>
      </c>
      <c r="AO118" s="96">
        <f t="shared" si="16"/>
        <v>8.525899999999309E-4</v>
      </c>
      <c r="AP118" s="96">
        <f t="shared" si="17"/>
        <v>1.9202099999999778E-3</v>
      </c>
      <c r="AQ118" s="121">
        <f t="shared" si="18"/>
        <v>-2.5257080000000015E-3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33.973292000000001</v>
      </c>
      <c r="G119" s="190">
        <v>37.526770999999997</v>
      </c>
      <c r="H119" s="190">
        <v>0.9812689</v>
      </c>
      <c r="I119" s="62">
        <v>0.98713642999999995</v>
      </c>
      <c r="J119" s="62">
        <v>4.277359E-2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34.088850999999998</v>
      </c>
      <c r="Y119" s="190">
        <v>37.822468999999998</v>
      </c>
      <c r="Z119" s="190">
        <v>0.98170710000000005</v>
      </c>
      <c r="AA119" s="62">
        <v>0.98790069000000003</v>
      </c>
      <c r="AB119" s="62">
        <v>4.0711213000000003E-2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0.11555899999999752</v>
      </c>
      <c r="AN119" s="122">
        <f t="shared" si="15"/>
        <v>0.29569800000000157</v>
      </c>
      <c r="AO119" s="122">
        <f t="shared" si="16"/>
        <v>4.3820000000005521E-4</v>
      </c>
      <c r="AP119" s="122">
        <f t="shared" si="17"/>
        <v>7.642600000000721E-4</v>
      </c>
      <c r="AQ119" s="88">
        <f t="shared" si="18"/>
        <v>-2.0623769999999972E-3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36.898999000000003</v>
      </c>
      <c r="G120" s="190">
        <v>40.855061999999997</v>
      </c>
      <c r="H120" s="190">
        <v>0.98905573999999996</v>
      </c>
      <c r="I120" s="62">
        <v>0.99305235000000003</v>
      </c>
      <c r="J120" s="62">
        <v>2.7011137000000001E-2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35.663153000000001</v>
      </c>
      <c r="Y120" s="190">
        <v>39.555827999999998</v>
      </c>
      <c r="Z120" s="190">
        <v>0.98809139000000001</v>
      </c>
      <c r="AA120" s="62">
        <v>0.99192572000000001</v>
      </c>
      <c r="AB120" s="62">
        <v>2.8205695999999999E-2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-1.2358460000000022</v>
      </c>
      <c r="AN120" s="122">
        <f t="shared" si="15"/>
        <v>-1.2992339999999984</v>
      </c>
      <c r="AO120" s="122">
        <f t="shared" si="16"/>
        <v>-9.6434999999994719E-4</v>
      </c>
      <c r="AP120" s="122">
        <f t="shared" si="17"/>
        <v>-1.1266300000000173E-3</v>
      </c>
      <c r="AQ120" s="88">
        <f t="shared" si="18"/>
        <v>1.1945589999999978E-3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39.838743000000001</v>
      </c>
      <c r="G121" s="190">
        <v>43.977676000000002</v>
      </c>
      <c r="H121" s="190">
        <v>0.99347032999999996</v>
      </c>
      <c r="I121" s="62">
        <v>0.99613098</v>
      </c>
      <c r="J121" s="62">
        <v>1.4743185000000001E-2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37.435943999999999</v>
      </c>
      <c r="Y121" s="190">
        <v>41.362516999999997</v>
      </c>
      <c r="Z121" s="190">
        <v>0.99189351000000003</v>
      </c>
      <c r="AA121" s="62">
        <v>0.99462070000000002</v>
      </c>
      <c r="AB121" s="62">
        <v>1.7434104999999998E-2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-2.4027990000000017</v>
      </c>
      <c r="AN121" s="122">
        <f t="shared" si="15"/>
        <v>-2.6151590000000056</v>
      </c>
      <c r="AO121" s="122">
        <f t="shared" si="16"/>
        <v>-1.5768199999999233E-3</v>
      </c>
      <c r="AP121" s="122">
        <f t="shared" si="17"/>
        <v>-1.510279999999975E-3</v>
      </c>
      <c r="AQ121" s="88">
        <f t="shared" si="18"/>
        <v>2.6909199999999977E-3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32.029989</v>
      </c>
      <c r="G123" s="97">
        <v>35.615054000000001</v>
      </c>
      <c r="H123" s="97">
        <v>0.97161218000000005</v>
      </c>
      <c r="I123" s="60">
        <v>0.97933577000000005</v>
      </c>
      <c r="J123" s="60">
        <v>5.8582664E-2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32.551488999999997</v>
      </c>
      <c r="Y123" s="97">
        <v>36.14425</v>
      </c>
      <c r="Z123" s="97">
        <v>0.97264234999999999</v>
      </c>
      <c r="AA123" s="60">
        <v>0.98154755999999999</v>
      </c>
      <c r="AB123" s="60">
        <v>5.5962690000000002E-2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0.52149999999999608</v>
      </c>
      <c r="AN123" s="96">
        <f t="shared" si="15"/>
        <v>0.52919599999999889</v>
      </c>
      <c r="AO123" s="96">
        <f t="shared" si="16"/>
        <v>1.0301699999999414E-3</v>
      </c>
      <c r="AP123" s="96">
        <f t="shared" si="17"/>
        <v>2.2117899999999358E-3</v>
      </c>
      <c r="AQ123" s="121">
        <f t="shared" si="18"/>
        <v>-2.6199739999999971E-3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34.309565999999997</v>
      </c>
      <c r="G124" s="190">
        <v>37.661875999999999</v>
      </c>
      <c r="H124" s="190">
        <v>0.98152150999999999</v>
      </c>
      <c r="I124" s="62">
        <v>0.98719683999999996</v>
      </c>
      <c r="J124" s="62">
        <v>4.1439182999999997E-2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34.602680999999997</v>
      </c>
      <c r="Y124" s="190">
        <v>38.093372000000002</v>
      </c>
      <c r="Z124" s="190">
        <v>0.98198437999999999</v>
      </c>
      <c r="AA124" s="62">
        <v>0.98763475000000001</v>
      </c>
      <c r="AB124" s="62">
        <v>3.8892716000000001E-2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0.29311500000000024</v>
      </c>
      <c r="AN124" s="122">
        <f t="shared" si="15"/>
        <v>0.43149600000000277</v>
      </c>
      <c r="AO124" s="122">
        <f t="shared" si="16"/>
        <v>4.6287000000000411E-4</v>
      </c>
      <c r="AP124" s="122">
        <f t="shared" si="17"/>
        <v>4.3791000000004132E-4</v>
      </c>
      <c r="AQ124" s="88">
        <f t="shared" si="18"/>
        <v>-2.5464669999999967E-3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37.433019000000002</v>
      </c>
      <c r="G125" s="190">
        <v>41.191780999999999</v>
      </c>
      <c r="H125" s="190">
        <v>0.98922860999999995</v>
      </c>
      <c r="I125" s="62">
        <v>0.99310282999999999</v>
      </c>
      <c r="J125" s="62">
        <v>2.5739505999999999E-2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36.458846000000001</v>
      </c>
      <c r="Y125" s="190">
        <v>40.170904999999998</v>
      </c>
      <c r="Z125" s="190">
        <v>0.98838086999999997</v>
      </c>
      <c r="AA125" s="62">
        <v>0.99194188000000005</v>
      </c>
      <c r="AB125" s="62">
        <v>2.7106031999999999E-2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-0.9741730000000004</v>
      </c>
      <c r="AN125" s="122">
        <f t="shared" si="15"/>
        <v>-1.0208760000000012</v>
      </c>
      <c r="AO125" s="122">
        <f t="shared" si="16"/>
        <v>-8.4773999999998573E-4</v>
      </c>
      <c r="AP125" s="122">
        <f t="shared" si="17"/>
        <v>-1.1609499999999384E-3</v>
      </c>
      <c r="AQ125" s="88">
        <f t="shared" si="18"/>
        <v>1.3665259999999999E-3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40.440899000000002</v>
      </c>
      <c r="G126" s="190">
        <v>44.429394000000002</v>
      </c>
      <c r="H126" s="190">
        <v>0.99358753</v>
      </c>
      <c r="I126" s="62">
        <v>0.99614643999999997</v>
      </c>
      <c r="J126" s="62">
        <v>1.3829309499999999E-2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38.151868</v>
      </c>
      <c r="Y126" s="190">
        <v>41.981192999999998</v>
      </c>
      <c r="Z126" s="190">
        <v>0.99209873999999998</v>
      </c>
      <c r="AA126" s="62">
        <v>0.99464554999999999</v>
      </c>
      <c r="AB126" s="62">
        <v>1.7399103999999999E-2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-2.2890310000000014</v>
      </c>
      <c r="AN126" s="122">
        <f t="shared" si="15"/>
        <v>-2.4482010000000045</v>
      </c>
      <c r="AO126" s="122">
        <f t="shared" si="16"/>
        <v>-1.4887900000000176E-3</v>
      </c>
      <c r="AP126" s="122">
        <f t="shared" si="17"/>
        <v>-1.500889999999977E-3</v>
      </c>
      <c r="AQ126" s="88">
        <f t="shared" si="18"/>
        <v>3.5697944999999991E-3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32.028416</v>
      </c>
      <c r="G128" s="97">
        <v>35.785454999999999</v>
      </c>
      <c r="H128" s="97">
        <v>0.97201868000000002</v>
      </c>
      <c r="I128" s="60">
        <v>0.97935952999999998</v>
      </c>
      <c r="J128" s="60">
        <v>5.8290526000000002E-2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32.455461</v>
      </c>
      <c r="Y128" s="97">
        <v>36.192081000000002</v>
      </c>
      <c r="Z128" s="97">
        <v>0.97293980000000002</v>
      </c>
      <c r="AA128" s="60">
        <v>0.98191651000000002</v>
      </c>
      <c r="AB128" s="60">
        <v>5.6129279999999997E-2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0.42704499999999967</v>
      </c>
      <c r="AN128" s="96">
        <f t="shared" si="15"/>
        <v>0.40662600000000282</v>
      </c>
      <c r="AO128" s="96">
        <f t="shared" si="16"/>
        <v>9.211199999999975E-4</v>
      </c>
      <c r="AP128" s="96">
        <f t="shared" si="17"/>
        <v>2.556980000000042E-3</v>
      </c>
      <c r="AQ128" s="121">
        <f t="shared" si="18"/>
        <v>-2.1612460000000056E-3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34.149138999999998</v>
      </c>
      <c r="G129" s="190">
        <v>37.801473000000001</v>
      </c>
      <c r="H129" s="190">
        <v>0.98175420000000002</v>
      </c>
      <c r="I129" s="62">
        <v>0.98691412000000001</v>
      </c>
      <c r="J129" s="62">
        <v>4.1434041999999997E-2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34.360306999999999</v>
      </c>
      <c r="Y129" s="190">
        <v>38.030495000000002</v>
      </c>
      <c r="Z129" s="190">
        <v>0.98211269999999995</v>
      </c>
      <c r="AA129" s="62">
        <v>0.98786112999999998</v>
      </c>
      <c r="AB129" s="62">
        <v>3.9495519999999999E-2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0.21116800000000069</v>
      </c>
      <c r="AN129" s="122">
        <f t="shared" si="15"/>
        <v>0.2290220000000005</v>
      </c>
      <c r="AO129" s="122">
        <f t="shared" si="16"/>
        <v>3.5849999999992832E-4</v>
      </c>
      <c r="AP129" s="122">
        <f t="shared" si="17"/>
        <v>9.4700999999997038E-4</v>
      </c>
      <c r="AQ129" s="88">
        <f t="shared" si="18"/>
        <v>-1.9385219999999981E-3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37.425134999999997</v>
      </c>
      <c r="G130" s="190">
        <v>41.143859999999997</v>
      </c>
      <c r="H130" s="190">
        <v>0.98950945000000001</v>
      </c>
      <c r="I130" s="62">
        <v>0.99313185999999998</v>
      </c>
      <c r="J130" s="62">
        <v>2.4756685E-2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36.629980000000003</v>
      </c>
      <c r="Y130" s="190">
        <v>40.315004999999999</v>
      </c>
      <c r="Z130" s="190">
        <v>0.98858336000000002</v>
      </c>
      <c r="AA130" s="62">
        <v>0.99223530000000004</v>
      </c>
      <c r="AB130" s="62">
        <v>2.5995020000000001E-2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-0.79515499999999406</v>
      </c>
      <c r="AN130" s="122">
        <f t="shared" si="15"/>
        <v>-0.82885499999999723</v>
      </c>
      <c r="AO130" s="122">
        <f t="shared" si="16"/>
        <v>-9.2608999999999053E-4</v>
      </c>
      <c r="AP130" s="122">
        <f t="shared" si="17"/>
        <v>-8.9655999999993519E-4</v>
      </c>
      <c r="AQ130" s="88">
        <f t="shared" si="18"/>
        <v>1.2383350000000001E-3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41.002122999999997</v>
      </c>
      <c r="G131" s="190">
        <v>44.861865999999999</v>
      </c>
      <c r="H131" s="190">
        <v>0.99376087000000002</v>
      </c>
      <c r="I131" s="62">
        <v>0.99632465999999997</v>
      </c>
      <c r="J131" s="62">
        <v>1.2812884E-2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38.602552000000003</v>
      </c>
      <c r="Y131" s="190">
        <v>42.332430000000002</v>
      </c>
      <c r="Z131" s="190">
        <v>0.99215171999999996</v>
      </c>
      <c r="AA131" s="62">
        <v>0.99487588999999998</v>
      </c>
      <c r="AB131" s="62">
        <v>1.6873287000000001E-2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-2.3995709999999946</v>
      </c>
      <c r="AN131" s="122">
        <f t="shared" si="15"/>
        <v>-2.5294359999999969</v>
      </c>
      <c r="AO131" s="122">
        <f t="shared" si="16"/>
        <v>-1.6091500000000591E-3</v>
      </c>
      <c r="AP131" s="122">
        <f t="shared" si="17"/>
        <v>-1.4487699999999881E-3</v>
      </c>
      <c r="AQ131" s="88">
        <f t="shared" si="18"/>
        <v>4.0604030000000006E-3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32.175052000000001</v>
      </c>
      <c r="G133" s="97">
        <v>36.090333999999999</v>
      </c>
      <c r="H133" s="97">
        <v>0.97042653999999995</v>
      </c>
      <c r="I133" s="60">
        <v>0.97857804000000004</v>
      </c>
      <c r="J133" s="60">
        <v>5.9089900000000001E-2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32.703066</v>
      </c>
      <c r="Y133" s="97">
        <v>36.482734000000001</v>
      </c>
      <c r="Z133" s="97">
        <v>0.97128906000000004</v>
      </c>
      <c r="AA133" s="60">
        <v>0.98104599000000003</v>
      </c>
      <c r="AB133" s="60">
        <v>5.6244925000000001E-2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0.52801399999999887</v>
      </c>
      <c r="AN133" s="96">
        <f t="shared" si="15"/>
        <v>0.39240000000000208</v>
      </c>
      <c r="AO133" s="96">
        <f t="shared" si="16"/>
        <v>8.6252000000008877E-4</v>
      </c>
      <c r="AP133" s="96">
        <f t="shared" si="17"/>
        <v>2.4679499999999965E-3</v>
      </c>
      <c r="AQ133" s="121">
        <f t="shared" si="18"/>
        <v>-2.8449749999999996E-3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34.498724000000003</v>
      </c>
      <c r="G134" s="190">
        <v>38.138582</v>
      </c>
      <c r="H134" s="190">
        <v>0.98148078000000005</v>
      </c>
      <c r="I134" s="62">
        <v>0.98666823000000003</v>
      </c>
      <c r="J134" s="62">
        <v>4.0091111999999998E-2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34.602922</v>
      </c>
      <c r="Y134" s="190">
        <v>38.250363</v>
      </c>
      <c r="Z134" s="190">
        <v>0.9816819</v>
      </c>
      <c r="AA134" s="62">
        <v>0.98723907</v>
      </c>
      <c r="AB134" s="62">
        <v>3.8229838000000002E-2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0.10419799999999668</v>
      </c>
      <c r="AN134" s="122">
        <f t="shared" si="15"/>
        <v>0.11178100000000057</v>
      </c>
      <c r="AO134" s="122">
        <f t="shared" si="16"/>
        <v>2.0111999999994357E-4</v>
      </c>
      <c r="AP134" s="122">
        <f t="shared" si="17"/>
        <v>5.7083999999996138E-4</v>
      </c>
      <c r="AQ134" s="88">
        <f t="shared" si="18"/>
        <v>-1.8612739999999961E-3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37.835388999999999</v>
      </c>
      <c r="G135" s="190">
        <v>41.376756</v>
      </c>
      <c r="H135" s="190">
        <v>0.98975252000000002</v>
      </c>
      <c r="I135" s="62">
        <v>0.99323276999999999</v>
      </c>
      <c r="J135" s="62">
        <v>2.4406975000000001E-2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37.041654000000001</v>
      </c>
      <c r="Y135" s="190">
        <v>40.538122000000001</v>
      </c>
      <c r="Z135" s="190">
        <v>0.98859865000000002</v>
      </c>
      <c r="AA135" s="62">
        <v>0.99225832000000003</v>
      </c>
      <c r="AB135" s="62">
        <v>2.4914334E-2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-0.79373499999999808</v>
      </c>
      <c r="AN135" s="122">
        <f t="shared" si="15"/>
        <v>-0.83863399999999899</v>
      </c>
      <c r="AO135" s="122">
        <f t="shared" si="16"/>
        <v>-1.1538700000000013E-3</v>
      </c>
      <c r="AP135" s="122">
        <f t="shared" si="17"/>
        <v>-9.7444999999996007E-4</v>
      </c>
      <c r="AQ135" s="88">
        <f t="shared" si="18"/>
        <v>5.0735899999999889E-4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41.595049000000003</v>
      </c>
      <c r="G136" s="190">
        <v>45.181700999999997</v>
      </c>
      <c r="H136" s="190">
        <v>0.99381931000000001</v>
      </c>
      <c r="I136" s="62">
        <v>0.99633837000000003</v>
      </c>
      <c r="J136" s="62">
        <v>1.2617046E-2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39.193637000000003</v>
      </c>
      <c r="Y136" s="190">
        <v>42.635320999999998</v>
      </c>
      <c r="Z136" s="190">
        <v>0.99208545000000004</v>
      </c>
      <c r="AA136" s="62">
        <v>0.99483295000000005</v>
      </c>
      <c r="AB136" s="62">
        <v>1.5426301999999999E-2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-2.4014120000000005</v>
      </c>
      <c r="AN136" s="122">
        <f t="shared" si="15"/>
        <v>-2.5463799999999992</v>
      </c>
      <c r="AO136" s="122">
        <f t="shared" si="16"/>
        <v>-1.733859999999976E-3</v>
      </c>
      <c r="AP136" s="122">
        <f t="shared" si="17"/>
        <v>-1.5054199999999796E-3</v>
      </c>
      <c r="AQ136" s="88">
        <f t="shared" si="18"/>
        <v>2.8092559999999996E-3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6">
        <f t="shared" si="59"/>
        <v>31.134187000000001</v>
      </c>
      <c r="H641" s="136">
        <f t="shared" si="59"/>
        <v>0.95943495000000001</v>
      </c>
      <c r="I641" s="136">
        <f t="shared" si="59"/>
        <v>0.96601981000000003</v>
      </c>
      <c r="J641" s="136">
        <f t="shared" si="59"/>
        <v>5.8290526000000002E-2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28.040407999999999</v>
      </c>
      <c r="Y641" s="136">
        <f t="shared" si="60"/>
        <v>31.701028999999998</v>
      </c>
      <c r="Z641" s="136">
        <f t="shared" si="60"/>
        <v>0.96165069000000003</v>
      </c>
      <c r="AA641" s="136">
        <f t="shared" si="60"/>
        <v>0.97070734999999997</v>
      </c>
      <c r="AB641" s="136">
        <f t="shared" si="60"/>
        <v>5.5750236000000002E-2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30.759060000000002</v>
      </c>
      <c r="G642" s="18">
        <f t="shared" si="59"/>
        <v>34.076340999999999</v>
      </c>
      <c r="H642" s="18">
        <f t="shared" si="59"/>
        <v>0.97660387999999998</v>
      </c>
      <c r="I642" s="18">
        <f t="shared" si="59"/>
        <v>0.98018503000000001</v>
      </c>
      <c r="J642" s="18">
        <f t="shared" si="59"/>
        <v>3.7864416999999997E-2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30.504573000000001</v>
      </c>
      <c r="Y642" s="18">
        <f t="shared" si="60"/>
        <v>34.009259999999998</v>
      </c>
      <c r="Z642" s="18">
        <f t="shared" si="60"/>
        <v>0.97722171999999996</v>
      </c>
      <c r="AA642" s="18">
        <f t="shared" si="60"/>
        <v>0.98173604999999997</v>
      </c>
      <c r="AB642" s="18">
        <f t="shared" si="60"/>
        <v>3.5841341999999998E-2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34.701622</v>
      </c>
      <c r="G643" s="18">
        <f t="shared" si="59"/>
        <v>39.048186000000001</v>
      </c>
      <c r="H643" s="18">
        <f t="shared" si="59"/>
        <v>0.98777605999999996</v>
      </c>
      <c r="I643" s="18">
        <f t="shared" si="59"/>
        <v>0.99115125999999998</v>
      </c>
      <c r="J643" s="18">
        <f t="shared" si="59"/>
        <v>2.3715215000000001E-2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32.823729</v>
      </c>
      <c r="Y643" s="18">
        <f t="shared" si="60"/>
        <v>36.756205000000001</v>
      </c>
      <c r="Z643" s="18">
        <f t="shared" si="60"/>
        <v>0.98665974000000001</v>
      </c>
      <c r="AA643" s="18">
        <f t="shared" si="60"/>
        <v>0.98856449000000002</v>
      </c>
      <c r="AB643" s="18">
        <f t="shared" si="60"/>
        <v>2.3638025E-2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37.285139999999998</v>
      </c>
      <c r="G644" s="18">
        <f t="shared" si="59"/>
        <v>41.695649000000003</v>
      </c>
      <c r="H644" s="18">
        <f t="shared" si="59"/>
        <v>0.99314466000000001</v>
      </c>
      <c r="I644" s="18">
        <f t="shared" si="59"/>
        <v>0.99532387</v>
      </c>
      <c r="J644" s="18">
        <f t="shared" si="59"/>
        <v>1.2499240999999999E-2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33.965564999999998</v>
      </c>
      <c r="Y644" s="18">
        <f t="shared" si="60"/>
        <v>38.007921000000003</v>
      </c>
      <c r="Z644" s="18">
        <f t="shared" si="60"/>
        <v>0.99084866999999999</v>
      </c>
      <c r="AA644" s="18">
        <f t="shared" si="60"/>
        <v>0.99165060999999999</v>
      </c>
      <c r="AB644" s="18">
        <f t="shared" si="60"/>
        <v>1.4572959999999999E-2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6">
        <f t="shared" si="61"/>
        <v>36.090333999999999</v>
      </c>
      <c r="H646" s="136">
        <f t="shared" si="61"/>
        <v>0.97201868000000002</v>
      </c>
      <c r="I646" s="136">
        <f t="shared" si="61"/>
        <v>0.97964784999999999</v>
      </c>
      <c r="J646" s="136">
        <f t="shared" si="61"/>
        <v>8.3524169999999995E-2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32.703066</v>
      </c>
      <c r="Y646" s="136">
        <f t="shared" si="62"/>
        <v>36.482734000000001</v>
      </c>
      <c r="Z646" s="136">
        <f t="shared" si="62"/>
        <v>0.97293980000000002</v>
      </c>
      <c r="AA646" s="136">
        <f t="shared" si="62"/>
        <v>0.98191651000000002</v>
      </c>
      <c r="AB646" s="136">
        <f t="shared" si="62"/>
        <v>7.8055910000000006E-2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34.498724000000003</v>
      </c>
      <c r="G647" s="18">
        <f t="shared" si="61"/>
        <v>38.138582</v>
      </c>
      <c r="H647" s="18">
        <f t="shared" si="61"/>
        <v>0.98175420000000002</v>
      </c>
      <c r="I647" s="18">
        <f t="shared" si="61"/>
        <v>0.98719683999999996</v>
      </c>
      <c r="J647" s="18">
        <f t="shared" si="61"/>
        <v>5.8090188000000001E-2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34.602922</v>
      </c>
      <c r="Y647" s="18">
        <f t="shared" si="62"/>
        <v>38.250363</v>
      </c>
      <c r="Z647" s="18">
        <f t="shared" si="62"/>
        <v>0.98211269999999995</v>
      </c>
      <c r="AA647" s="18">
        <f t="shared" si="62"/>
        <v>0.98790069000000003</v>
      </c>
      <c r="AB647" s="18">
        <f t="shared" si="62"/>
        <v>5.2946948000000001E-2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37.835388999999999</v>
      </c>
      <c r="G648" s="18">
        <f t="shared" si="61"/>
        <v>41.376756</v>
      </c>
      <c r="H648" s="18">
        <f t="shared" si="61"/>
        <v>0.98975252000000002</v>
      </c>
      <c r="I648" s="18">
        <f t="shared" si="61"/>
        <v>0.99323276999999999</v>
      </c>
      <c r="J648" s="18">
        <f t="shared" si="61"/>
        <v>3.3094823000000002E-2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37.041654000000001</v>
      </c>
      <c r="Y648" s="18">
        <f t="shared" si="62"/>
        <v>40.538122000000001</v>
      </c>
      <c r="Z648" s="18">
        <f t="shared" si="62"/>
        <v>0.98859865000000002</v>
      </c>
      <c r="AA648" s="18">
        <f t="shared" si="62"/>
        <v>0.99225832000000003</v>
      </c>
      <c r="AB648" s="18">
        <f t="shared" si="62"/>
        <v>3.4641709999999999E-2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41.595049000000003</v>
      </c>
      <c r="G649" s="18">
        <f t="shared" si="61"/>
        <v>45.181700999999997</v>
      </c>
      <c r="H649" s="18">
        <f t="shared" si="61"/>
        <v>0.99381931000000001</v>
      </c>
      <c r="I649" s="18">
        <f t="shared" si="61"/>
        <v>0.99633837000000003</v>
      </c>
      <c r="J649" s="18">
        <f t="shared" si="61"/>
        <v>1.9031455999999999E-2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39.193637000000003</v>
      </c>
      <c r="Y649" s="18">
        <f t="shared" si="62"/>
        <v>42.635320999999998</v>
      </c>
      <c r="Z649" s="18">
        <f t="shared" si="62"/>
        <v>0.99215171999999996</v>
      </c>
      <c r="AA649" s="18">
        <f t="shared" si="62"/>
        <v>0.99487588999999998</v>
      </c>
      <c r="AB649" s="18">
        <f t="shared" si="62"/>
        <v>2.3623346999999999E-2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4.5975959999999993</v>
      </c>
      <c r="G651" s="136">
        <f t="shared" si="63"/>
        <v>4.9561469999999979</v>
      </c>
      <c r="H651" s="136">
        <f t="shared" si="63"/>
        <v>1.2583730000000015E-2</v>
      </c>
      <c r="I651" s="136">
        <f t="shared" si="63"/>
        <v>1.3628039999999952E-2</v>
      </c>
      <c r="J651" s="136">
        <f t="shared" si="63"/>
        <v>2.5233643999999993E-2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4.6626580000000004</v>
      </c>
      <c r="Y651" s="136">
        <f t="shared" si="64"/>
        <v>4.7817050000000023</v>
      </c>
      <c r="Z651" s="136">
        <f t="shared" si="64"/>
        <v>1.1289109999999991E-2</v>
      </c>
      <c r="AA651" s="136">
        <f t="shared" si="64"/>
        <v>1.1209160000000051E-2</v>
      </c>
      <c r="AB651" s="136">
        <f t="shared" si="64"/>
        <v>2.2305674000000004E-2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3.7396640000000012</v>
      </c>
      <c r="G652" s="18">
        <f t="shared" si="63"/>
        <v>4.0622410000000002</v>
      </c>
      <c r="H652" s="18">
        <f t="shared" si="63"/>
        <v>5.1503200000000415E-3</v>
      </c>
      <c r="I652" s="18">
        <f t="shared" si="63"/>
        <v>7.0118099999999517E-3</v>
      </c>
      <c r="J652" s="18">
        <f t="shared" si="63"/>
        <v>2.0225771000000003E-2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4.0983489999999989</v>
      </c>
      <c r="Y652" s="18">
        <f t="shared" si="64"/>
        <v>4.2411030000000025</v>
      </c>
      <c r="Z652" s="18">
        <f t="shared" si="64"/>
        <v>4.8909799999999892E-3</v>
      </c>
      <c r="AA652" s="18">
        <f t="shared" si="64"/>
        <v>6.1646400000000545E-3</v>
      </c>
      <c r="AB652" s="18">
        <f t="shared" si="64"/>
        <v>1.7105606000000002E-2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3.1337669999999989</v>
      </c>
      <c r="G653" s="18">
        <f t="shared" si="63"/>
        <v>2.3285699999999991</v>
      </c>
      <c r="H653" s="18">
        <f t="shared" si="63"/>
        <v>1.9764600000000687E-3</v>
      </c>
      <c r="I653" s="18">
        <f t="shared" si="63"/>
        <v>2.0815100000000086E-3</v>
      </c>
      <c r="J653" s="18">
        <f t="shared" si="63"/>
        <v>9.3796080000000011E-3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4.217925000000001</v>
      </c>
      <c r="Y653" s="18">
        <f t="shared" si="64"/>
        <v>3.781917</v>
      </c>
      <c r="Z653" s="18">
        <f t="shared" si="64"/>
        <v>1.9389100000000159E-3</v>
      </c>
      <c r="AA653" s="18">
        <f t="shared" si="64"/>
        <v>3.6938300000000091E-3</v>
      </c>
      <c r="AB653" s="18">
        <f t="shared" si="64"/>
        <v>1.1003684999999999E-2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4.3099090000000047</v>
      </c>
      <c r="G654" s="18">
        <f t="shared" si="63"/>
        <v>3.4860519999999937</v>
      </c>
      <c r="H654" s="18">
        <f t="shared" si="63"/>
        <v>6.7464999999999886E-4</v>
      </c>
      <c r="I654" s="18">
        <f t="shared" si="63"/>
        <v>1.0145000000000293E-3</v>
      </c>
      <c r="J654" s="18">
        <f t="shared" si="63"/>
        <v>6.5322149999999992E-3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5.2280720000000045</v>
      </c>
      <c r="Y654" s="18">
        <f t="shared" si="64"/>
        <v>4.6273999999999944</v>
      </c>
      <c r="Z654" s="18">
        <f t="shared" si="64"/>
        <v>1.3030499999999723E-3</v>
      </c>
      <c r="AA654" s="18">
        <f t="shared" si="64"/>
        <v>3.225279999999997E-3</v>
      </c>
      <c r="AB654" s="18">
        <f t="shared" si="64"/>
        <v>9.050387E-3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2025-05-21T10:22:09Z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