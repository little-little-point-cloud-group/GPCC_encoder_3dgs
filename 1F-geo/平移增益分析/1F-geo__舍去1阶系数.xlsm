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1F-geo\"/>
    </mc:Choice>
  </mc:AlternateContent>
  <xr:revisionPtr revIDLastSave="0" documentId="13_ncr:1_{7BB5EB10-AC84-4EE2-8B49-9016FA11D69C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654" i="10" l="1"/>
  <c r="Y654" i="10"/>
  <c r="J654" i="10"/>
  <c r="F654" i="10"/>
  <c r="AB653" i="10"/>
  <c r="Z653" i="10"/>
  <c r="X652" i="10"/>
  <c r="AB651" i="10"/>
  <c r="AA651" i="10"/>
  <c r="Y651" i="10"/>
  <c r="H651" i="10"/>
  <c r="G651" i="10"/>
  <c r="AB649" i="10"/>
  <c r="AB654" i="10" s="1"/>
  <c r="AA649" i="10"/>
  <c r="AA654" i="10" s="1"/>
  <c r="Z649" i="10"/>
  <c r="Y649" i="10"/>
  <c r="X649" i="10"/>
  <c r="X654" i="10" s="1"/>
  <c r="J649" i="10"/>
  <c r="I649" i="10"/>
  <c r="H649" i="10"/>
  <c r="G649" i="10"/>
  <c r="G654" i="10" s="1"/>
  <c r="F649" i="10"/>
  <c r="AB648" i="10"/>
  <c r="AA648" i="10"/>
  <c r="Z648" i="10"/>
  <c r="Y648" i="10"/>
  <c r="X648" i="10"/>
  <c r="X653" i="10" s="1"/>
  <c r="J648" i="10"/>
  <c r="J653" i="10" s="1"/>
  <c r="I648" i="10"/>
  <c r="H648" i="10"/>
  <c r="G648" i="10"/>
  <c r="G653" i="10" s="1"/>
  <c r="F648" i="10"/>
  <c r="F653" i="10" s="1"/>
  <c r="AB647" i="10"/>
  <c r="AB652" i="10" s="1"/>
  <c r="AA647" i="10"/>
  <c r="AA652" i="10" s="1"/>
  <c r="Z647" i="10"/>
  <c r="Z652" i="10" s="1"/>
  <c r="Y647" i="10"/>
  <c r="Y652" i="10" s="1"/>
  <c r="X647" i="10"/>
  <c r="J647" i="10"/>
  <c r="J652" i="10" s="1"/>
  <c r="I647" i="10"/>
  <c r="I652" i="10" s="1"/>
  <c r="H647" i="10"/>
  <c r="H652" i="10" s="1"/>
  <c r="G647" i="10"/>
  <c r="G652" i="10" s="1"/>
  <c r="F647" i="10"/>
  <c r="F652" i="10" s="1"/>
  <c r="AB646" i="10"/>
  <c r="AA646" i="10"/>
  <c r="Z646" i="10"/>
  <c r="Z651" i="10" s="1"/>
  <c r="Y646" i="10"/>
  <c r="X646" i="10"/>
  <c r="J646" i="10"/>
  <c r="I646" i="10"/>
  <c r="I651" i="10" s="1"/>
  <c r="H646" i="10"/>
  <c r="G646" i="10"/>
  <c r="F646" i="10"/>
  <c r="AB644" i="10"/>
  <c r="AA644" i="10"/>
  <c r="Z644" i="10"/>
  <c r="Y644" i="10"/>
  <c r="X644" i="10"/>
  <c r="J644" i="10"/>
  <c r="I644" i="10"/>
  <c r="I654" i="10" s="1"/>
  <c r="H644" i="10"/>
  <c r="H654" i="10" s="1"/>
  <c r="G644" i="10"/>
  <c r="F644" i="10"/>
  <c r="AB643" i="10"/>
  <c r="AA643" i="10"/>
  <c r="AA653" i="10" s="1"/>
  <c r="Z643" i="10"/>
  <c r="Y643" i="10"/>
  <c r="X643" i="10"/>
  <c r="J643" i="10"/>
  <c r="I643" i="10"/>
  <c r="I653" i="10" s="1"/>
  <c r="H643" i="10"/>
  <c r="H653" i="10" s="1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X651" i="10" s="1"/>
  <c r="J641" i="10"/>
  <c r="J651" i="10" s="1"/>
  <c r="I641" i="10"/>
  <c r="H641" i="10"/>
  <c r="G641" i="10"/>
  <c r="F641" i="10"/>
  <c r="F651" i="10" s="1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E25" i="10"/>
  <c r="E7" i="10" s="1"/>
  <c r="W24" i="10"/>
  <c r="E24" i="10"/>
  <c r="W23" i="10"/>
  <c r="E23" i="10"/>
  <c r="U13" i="10"/>
  <c r="C13" i="10"/>
  <c r="AJ10" i="10"/>
  <c r="AH10" i="10"/>
  <c r="P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Q10" i="10" s="1"/>
  <c r="P7" i="10"/>
  <c r="J7" i="10"/>
  <c r="I7" i="10"/>
  <c r="H7" i="10"/>
  <c r="G7" i="10"/>
  <c r="F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J5" i="10"/>
  <c r="AI5" i="10"/>
  <c r="AH5" i="10"/>
  <c r="AB5" i="10"/>
  <c r="AA5" i="10"/>
  <c r="Z5" i="10"/>
  <c r="Y5" i="10"/>
  <c r="X5" i="10"/>
  <c r="W5" i="10"/>
  <c r="R5" i="10"/>
  <c r="R10" i="10" s="1"/>
  <c r="Q5" i="10"/>
  <c r="P5" i="10"/>
  <c r="J5" i="10"/>
  <c r="I5" i="10"/>
  <c r="H5" i="10"/>
  <c r="G5" i="10"/>
  <c r="F5" i="10"/>
  <c r="E5" i="10"/>
  <c r="AL2" i="10"/>
  <c r="U2" i="10"/>
  <c r="T2" i="10"/>
  <c r="C2" i="10"/>
  <c r="Z654" i="9"/>
  <c r="X654" i="9"/>
  <c r="J654" i="9"/>
  <c r="F654" i="9"/>
  <c r="X653" i="9"/>
  <c r="Y652" i="9"/>
  <c r="X652" i="9"/>
  <c r="J652" i="9"/>
  <c r="I652" i="9"/>
  <c r="AB651" i="9"/>
  <c r="Z651" i="9"/>
  <c r="Y651" i="9"/>
  <c r="H651" i="9"/>
  <c r="AB649" i="9"/>
  <c r="AA649" i="9"/>
  <c r="Z649" i="9"/>
  <c r="Y649" i="9"/>
  <c r="X649" i="9"/>
  <c r="J649" i="9"/>
  <c r="I649" i="9"/>
  <c r="H649" i="9"/>
  <c r="G649" i="9"/>
  <c r="F649" i="9"/>
  <c r="AB648" i="9"/>
  <c r="AA648" i="9"/>
  <c r="AA653" i="9" s="1"/>
  <c r="Z648" i="9"/>
  <c r="Z653" i="9" s="1"/>
  <c r="Y648" i="9"/>
  <c r="Y653" i="9" s="1"/>
  <c r="X648" i="9"/>
  <c r="J648" i="9"/>
  <c r="J653" i="9" s="1"/>
  <c r="I648" i="9"/>
  <c r="I653" i="9" s="1"/>
  <c r="H648" i="9"/>
  <c r="H653" i="9" s="1"/>
  <c r="G648" i="9"/>
  <c r="G653" i="9" s="1"/>
  <c r="F648" i="9"/>
  <c r="F653" i="9" s="1"/>
  <c r="AB647" i="9"/>
  <c r="AB652" i="9" s="1"/>
  <c r="AA647" i="9"/>
  <c r="AA652" i="9" s="1"/>
  <c r="Z647" i="9"/>
  <c r="Z652" i="9" s="1"/>
  <c r="Y647" i="9"/>
  <c r="X647" i="9"/>
  <c r="J647" i="9"/>
  <c r="I647" i="9"/>
  <c r="H647" i="9"/>
  <c r="G647" i="9"/>
  <c r="F647" i="9"/>
  <c r="AB646" i="9"/>
  <c r="AA646" i="9"/>
  <c r="Z646" i="9"/>
  <c r="Y646" i="9"/>
  <c r="X646" i="9"/>
  <c r="J646" i="9"/>
  <c r="I646" i="9"/>
  <c r="H646" i="9"/>
  <c r="G646" i="9"/>
  <c r="F646" i="9"/>
  <c r="F651" i="9" s="1"/>
  <c r="AB644" i="9"/>
  <c r="AA644" i="9"/>
  <c r="AA654" i="9" s="1"/>
  <c r="Z644" i="9"/>
  <c r="Y644" i="9"/>
  <c r="Y654" i="9" s="1"/>
  <c r="X644" i="9"/>
  <c r="J644" i="9"/>
  <c r="I644" i="9"/>
  <c r="I654" i="9" s="1"/>
  <c r="H644" i="9"/>
  <c r="H654" i="9" s="1"/>
  <c r="G644" i="9"/>
  <c r="G654" i="9" s="1"/>
  <c r="F644" i="9"/>
  <c r="AB643" i="9"/>
  <c r="AB653" i="9" s="1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H652" i="9" s="1"/>
  <c r="G642" i="9"/>
  <c r="F642" i="9"/>
  <c r="F652" i="9" s="1"/>
  <c r="AB641" i="9"/>
  <c r="AA641" i="9"/>
  <c r="AA651" i="9" s="1"/>
  <c r="Z641" i="9"/>
  <c r="Y641" i="9"/>
  <c r="X641" i="9"/>
  <c r="X651" i="9" s="1"/>
  <c r="J641" i="9"/>
  <c r="J651" i="9" s="1"/>
  <c r="I641" i="9"/>
  <c r="I651" i="9" s="1"/>
  <c r="H641" i="9"/>
  <c r="G641" i="9"/>
  <c r="G651" i="9" s="1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W7" i="9" s="1"/>
  <c r="E25" i="9"/>
  <c r="E7" i="9" s="1"/>
  <c r="W24" i="9"/>
  <c r="W6" i="9" s="1"/>
  <c r="E24" i="9"/>
  <c r="W23" i="9"/>
  <c r="W5" i="9" s="1"/>
  <c r="E23" i="9"/>
  <c r="U13" i="9"/>
  <c r="C13" i="9"/>
  <c r="AJ10" i="9"/>
  <c r="AI10" i="9"/>
  <c r="R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Q10" i="9" s="1"/>
  <c r="P6" i="9"/>
  <c r="J6" i="9"/>
  <c r="I6" i="9"/>
  <c r="H6" i="9"/>
  <c r="G6" i="9"/>
  <c r="F6" i="9"/>
  <c r="E6" i="9"/>
  <c r="AJ5" i="9"/>
  <c r="AI5" i="9"/>
  <c r="AH5" i="9"/>
  <c r="AH10" i="9" s="1"/>
  <c r="AB5" i="9"/>
  <c r="AA5" i="9"/>
  <c r="Z5" i="9"/>
  <c r="Y5" i="9"/>
  <c r="X5" i="9"/>
  <c r="R5" i="9"/>
  <c r="Q5" i="9"/>
  <c r="P5" i="9"/>
  <c r="P10" i="9" s="1"/>
  <c r="J5" i="9"/>
  <c r="I5" i="9"/>
  <c r="H5" i="9"/>
  <c r="G5" i="9"/>
  <c r="F5" i="9"/>
  <c r="E5" i="9"/>
  <c r="AL2" i="9"/>
  <c r="U2" i="9"/>
  <c r="T2" i="9"/>
  <c r="C2" i="9"/>
  <c r="AB654" i="8"/>
  <c r="AA654" i="8"/>
  <c r="Z654" i="8"/>
  <c r="G654" i="8"/>
  <c r="G653" i="8"/>
  <c r="AB652" i="8"/>
  <c r="Y652" i="8"/>
  <c r="X652" i="8"/>
  <c r="F652" i="8"/>
  <c r="AB651" i="8"/>
  <c r="X651" i="8"/>
  <c r="I651" i="8"/>
  <c r="H651" i="8"/>
  <c r="AB649" i="8"/>
  <c r="AA649" i="8"/>
  <c r="Z649" i="8"/>
  <c r="Y649" i="8"/>
  <c r="Y654" i="8" s="1"/>
  <c r="X649" i="8"/>
  <c r="J649" i="8"/>
  <c r="I649" i="8"/>
  <c r="I654" i="8" s="1"/>
  <c r="H649" i="8"/>
  <c r="H654" i="8" s="1"/>
  <c r="G649" i="8"/>
  <c r="F649" i="8"/>
  <c r="F654" i="8" s="1"/>
  <c r="AB648" i="8"/>
  <c r="AA648" i="8"/>
  <c r="AA653" i="8" s="1"/>
  <c r="Z648" i="8"/>
  <c r="Y648" i="8"/>
  <c r="X648" i="8"/>
  <c r="X653" i="8" s="1"/>
  <c r="J648" i="8"/>
  <c r="J653" i="8" s="1"/>
  <c r="I648" i="8"/>
  <c r="I653" i="8" s="1"/>
  <c r="H648" i="8"/>
  <c r="H653" i="8" s="1"/>
  <c r="G648" i="8"/>
  <c r="F648" i="8"/>
  <c r="AB647" i="8"/>
  <c r="AA647" i="8"/>
  <c r="Z647" i="8"/>
  <c r="Z652" i="8" s="1"/>
  <c r="Y647" i="8"/>
  <c r="X647" i="8"/>
  <c r="J647" i="8"/>
  <c r="J652" i="8" s="1"/>
  <c r="I647" i="8"/>
  <c r="H647" i="8"/>
  <c r="G647" i="8"/>
  <c r="F647" i="8"/>
  <c r="AB646" i="8"/>
  <c r="AA646" i="8"/>
  <c r="AA651" i="8" s="1"/>
  <c r="Z646" i="8"/>
  <c r="Y646" i="8"/>
  <c r="X646" i="8"/>
  <c r="J646" i="8"/>
  <c r="J651" i="8" s="1"/>
  <c r="I646" i="8"/>
  <c r="H646" i="8"/>
  <c r="G646" i="8"/>
  <c r="F646" i="8"/>
  <c r="F651" i="8" s="1"/>
  <c r="AB644" i="8"/>
  <c r="AA644" i="8"/>
  <c r="Z644" i="8"/>
  <c r="Y644" i="8"/>
  <c r="X644" i="8"/>
  <c r="X654" i="8" s="1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F653" i="8" s="1"/>
  <c r="AB642" i="8"/>
  <c r="AA642" i="8"/>
  <c r="AA652" i="8" s="1"/>
  <c r="Z642" i="8"/>
  <c r="Y642" i="8"/>
  <c r="X642" i="8"/>
  <c r="J642" i="8"/>
  <c r="I642" i="8"/>
  <c r="I652" i="8" s="1"/>
  <c r="H642" i="8"/>
  <c r="H652" i="8" s="1"/>
  <c r="G642" i="8"/>
  <c r="G652" i="8" s="1"/>
  <c r="F642" i="8"/>
  <c r="AB641" i="8"/>
  <c r="AA641" i="8"/>
  <c r="Z641" i="8"/>
  <c r="Z651" i="8" s="1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W25" i="8"/>
  <c r="W7" i="8" s="1"/>
  <c r="E25" i="8"/>
  <c r="E7" i="8" s="1"/>
  <c r="W24" i="8"/>
  <c r="E24" i="8"/>
  <c r="E6" i="8" s="1"/>
  <c r="W23" i="8"/>
  <c r="W5" i="8" s="1"/>
  <c r="E23" i="8"/>
  <c r="E5" i="8" s="1"/>
  <c r="U13" i="8"/>
  <c r="C13" i="8"/>
  <c r="AJ10" i="8"/>
  <c r="R10" i="8"/>
  <c r="P10" i="8"/>
  <c r="AJ8" i="8"/>
  <c r="AI8" i="8"/>
  <c r="AH8" i="8"/>
  <c r="AB8" i="8"/>
  <c r="AA8" i="8"/>
  <c r="Z8" i="8"/>
  <c r="Y8" i="8"/>
  <c r="X8" i="8"/>
  <c r="W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H10" i="8" s="1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I5" i="8"/>
  <c r="AI10" i="8" s="1"/>
  <c r="AH5" i="8"/>
  <c r="AB5" i="8"/>
  <c r="AA5" i="8"/>
  <c r="Z5" i="8"/>
  <c r="Y5" i="8"/>
  <c r="X5" i="8"/>
  <c r="R5" i="8"/>
  <c r="Q5" i="8"/>
  <c r="P5" i="8"/>
  <c r="J5" i="8"/>
  <c r="I5" i="8"/>
  <c r="H5" i="8"/>
  <c r="G5" i="8"/>
  <c r="F5" i="8"/>
  <c r="AL2" i="8"/>
  <c r="U2" i="8"/>
  <c r="T2" i="8"/>
  <c r="C2" i="8"/>
  <c r="H654" i="7"/>
  <c r="F654" i="7"/>
  <c r="Y653" i="7"/>
  <c r="X653" i="7"/>
  <c r="J653" i="7"/>
  <c r="H653" i="7"/>
  <c r="G653" i="7"/>
  <c r="F653" i="7"/>
  <c r="AA652" i="7"/>
  <c r="Z652" i="7"/>
  <c r="Y652" i="7"/>
  <c r="AB651" i="7"/>
  <c r="H651" i="7"/>
  <c r="AB649" i="7"/>
  <c r="AA649" i="7"/>
  <c r="Z649" i="7"/>
  <c r="Z654" i="7" s="1"/>
  <c r="Y649" i="7"/>
  <c r="Y654" i="7" s="1"/>
  <c r="X649" i="7"/>
  <c r="X654" i="7" s="1"/>
  <c r="J649" i="7"/>
  <c r="J654" i="7" s="1"/>
  <c r="I649" i="7"/>
  <c r="H649" i="7"/>
  <c r="G649" i="7"/>
  <c r="G654" i="7" s="1"/>
  <c r="F649" i="7"/>
  <c r="AB648" i="7"/>
  <c r="AB653" i="7" s="1"/>
  <c r="AA648" i="7"/>
  <c r="Z648" i="7"/>
  <c r="Z653" i="7" s="1"/>
  <c r="Y648" i="7"/>
  <c r="X648" i="7"/>
  <c r="J648" i="7"/>
  <c r="I648" i="7"/>
  <c r="H648" i="7"/>
  <c r="G648" i="7"/>
  <c r="F648" i="7"/>
  <c r="AB647" i="7"/>
  <c r="AA647" i="7"/>
  <c r="Z647" i="7"/>
  <c r="Y647" i="7"/>
  <c r="X647" i="7"/>
  <c r="J647" i="7"/>
  <c r="J652" i="7" s="1"/>
  <c r="I647" i="7"/>
  <c r="H647" i="7"/>
  <c r="H652" i="7" s="1"/>
  <c r="G647" i="7"/>
  <c r="F647" i="7"/>
  <c r="AB646" i="7"/>
  <c r="AA646" i="7"/>
  <c r="AA651" i="7" s="1"/>
  <c r="Z646" i="7"/>
  <c r="Z651" i="7" s="1"/>
  <c r="Y646" i="7"/>
  <c r="Y651" i="7" s="1"/>
  <c r="X646" i="7"/>
  <c r="J646" i="7"/>
  <c r="J651" i="7" s="1"/>
  <c r="I646" i="7"/>
  <c r="I651" i="7" s="1"/>
  <c r="H646" i="7"/>
  <c r="G646" i="7"/>
  <c r="G651" i="7" s="1"/>
  <c r="F646" i="7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AA653" i="7" s="1"/>
  <c r="Z643" i="7"/>
  <c r="Y643" i="7"/>
  <c r="X643" i="7"/>
  <c r="J643" i="7"/>
  <c r="I643" i="7"/>
  <c r="H643" i="7"/>
  <c r="G643" i="7"/>
  <c r="F643" i="7"/>
  <c r="AB642" i="7"/>
  <c r="AB652" i="7" s="1"/>
  <c r="AA642" i="7"/>
  <c r="Z642" i="7"/>
  <c r="Y642" i="7"/>
  <c r="X642" i="7"/>
  <c r="X652" i="7" s="1"/>
  <c r="J642" i="7"/>
  <c r="I642" i="7"/>
  <c r="I652" i="7" s="1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F651" i="7" s="1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E8" i="7" s="1"/>
  <c r="W25" i="7"/>
  <c r="W7" i="7" s="1"/>
  <c r="E25" i="7"/>
  <c r="E7" i="7" s="1"/>
  <c r="W24" i="7"/>
  <c r="E24" i="7"/>
  <c r="W23" i="7"/>
  <c r="E23" i="7"/>
  <c r="E5" i="7" s="1"/>
  <c r="U13" i="7"/>
  <c r="C13" i="7"/>
  <c r="AJ10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E6" i="7"/>
  <c r="AJ5" i="7"/>
  <c r="AI5" i="7"/>
  <c r="AI10" i="7" s="1"/>
  <c r="AH5" i="7"/>
  <c r="AH10" i="7" s="1"/>
  <c r="AB5" i="7"/>
  <c r="AA5" i="7"/>
  <c r="Z5" i="7"/>
  <c r="Y5" i="7"/>
  <c r="X5" i="7"/>
  <c r="W5" i="7"/>
  <c r="R5" i="7"/>
  <c r="R10" i="7" s="1"/>
  <c r="Q5" i="7"/>
  <c r="Q10" i="7" s="1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F106" i="6"/>
  <c r="F107" i="6" s="1"/>
  <c r="F108" i="6" s="1"/>
  <c r="F109" i="6" s="1"/>
  <c r="B106" i="6"/>
  <c r="L103" i="6"/>
  <c r="M105" i="6" s="1"/>
  <c r="F103" i="6"/>
  <c r="M101" i="6"/>
  <c r="L101" i="6"/>
  <c r="F98" i="6"/>
  <c r="B98" i="6"/>
  <c r="B97" i="6"/>
  <c r="F96" i="6"/>
  <c r="F97" i="6" s="1"/>
  <c r="B96" i="6"/>
  <c r="F95" i="6"/>
  <c r="B95" i="6"/>
  <c r="L92" i="6"/>
  <c r="M94" i="6" s="1"/>
  <c r="F92" i="6"/>
  <c r="M90" i="6"/>
  <c r="L90" i="6"/>
  <c r="B84" i="6"/>
  <c r="F81" i="6"/>
  <c r="F84" i="6" s="1"/>
  <c r="F85" i="6" s="1"/>
  <c r="F86" i="6" s="1"/>
  <c r="F87" i="6" s="1"/>
  <c r="M79" i="6"/>
  <c r="L79" i="6"/>
  <c r="B75" i="6"/>
  <c r="F74" i="6"/>
  <c r="F75" i="6" s="1"/>
  <c r="F76" i="6" s="1"/>
  <c r="B74" i="6"/>
  <c r="F73" i="6"/>
  <c r="B73" i="6"/>
  <c r="M72" i="6"/>
  <c r="L72" i="6"/>
  <c r="L70" i="6"/>
  <c r="F70" i="6"/>
  <c r="M68" i="6"/>
  <c r="L68" i="6"/>
  <c r="F63" i="6"/>
  <c r="F64" i="6" s="1"/>
  <c r="F65" i="6" s="1"/>
  <c r="B62" i="6"/>
  <c r="L59" i="6"/>
  <c r="M61" i="6" s="1"/>
  <c r="F59" i="6"/>
  <c r="F62" i="6" s="1"/>
  <c r="M57" i="6"/>
  <c r="L57" i="6"/>
  <c r="F54" i="6"/>
  <c r="B52" i="6"/>
  <c r="F51" i="6"/>
  <c r="F52" i="6" s="1"/>
  <c r="F53" i="6" s="1"/>
  <c r="B51" i="6"/>
  <c r="L48" i="6"/>
  <c r="M50" i="6" s="1"/>
  <c r="F48" i="6"/>
  <c r="M46" i="6"/>
  <c r="L46" i="6"/>
  <c r="F41" i="6"/>
  <c r="F42" i="6" s="1"/>
  <c r="F43" i="6" s="1"/>
  <c r="F40" i="6"/>
  <c r="B40" i="6"/>
  <c r="M39" i="6"/>
  <c r="L37" i="6"/>
  <c r="F37" i="6"/>
  <c r="M35" i="6"/>
  <c r="L35" i="6"/>
  <c r="F32" i="6"/>
  <c r="B31" i="6"/>
  <c r="F30" i="6"/>
  <c r="F31" i="6" s="1"/>
  <c r="B30" i="6"/>
  <c r="F29" i="6"/>
  <c r="B29" i="6"/>
  <c r="L26" i="6"/>
  <c r="M28" i="6" s="1"/>
  <c r="F26" i="6"/>
  <c r="M24" i="6"/>
  <c r="L24" i="6"/>
  <c r="B18" i="6"/>
  <c r="M17" i="6"/>
  <c r="L15" i="6"/>
  <c r="F15" i="6"/>
  <c r="F18" i="6" s="1"/>
  <c r="F19" i="6" s="1"/>
  <c r="F20" i="6" s="1"/>
  <c r="F21" i="6" s="1"/>
  <c r="M13" i="6"/>
  <c r="L13" i="6"/>
  <c r="B10" i="6"/>
  <c r="B8" i="6"/>
  <c r="B9" i="6" s="1"/>
  <c r="F7" i="6"/>
  <c r="F8" i="6" s="1"/>
  <c r="F9" i="6" s="1"/>
  <c r="F10" i="6" s="1"/>
  <c r="B7" i="6"/>
  <c r="L4" i="6"/>
  <c r="M6" i="6" s="1"/>
  <c r="F4" i="6"/>
  <c r="F2" i="6"/>
  <c r="B2" i="6"/>
  <c r="L6" i="6" s="1"/>
  <c r="M112" i="5"/>
  <c r="L112" i="5"/>
  <c r="B108" i="5"/>
  <c r="B109" i="5" s="1"/>
  <c r="B107" i="5"/>
  <c r="B106" i="5"/>
  <c r="F103" i="5"/>
  <c r="F106" i="5" s="1"/>
  <c r="F107" i="5" s="1"/>
  <c r="F108" i="5" s="1"/>
  <c r="F109" i="5" s="1"/>
  <c r="M101" i="5"/>
  <c r="L101" i="5"/>
  <c r="B97" i="5"/>
  <c r="B98" i="5" s="1"/>
  <c r="B96" i="5"/>
  <c r="B95" i="5"/>
  <c r="F92" i="5"/>
  <c r="M90" i="5"/>
  <c r="L90" i="5"/>
  <c r="F84" i="5"/>
  <c r="F85" i="5" s="1"/>
  <c r="F86" i="5" s="1"/>
  <c r="F87" i="5" s="1"/>
  <c r="B84" i="5"/>
  <c r="F81" i="5"/>
  <c r="L81" i="5" s="1"/>
  <c r="M83" i="5" s="1"/>
  <c r="M79" i="5"/>
  <c r="L79" i="5"/>
  <c r="F76" i="5"/>
  <c r="F75" i="5"/>
  <c r="F74" i="5"/>
  <c r="B74" i="5"/>
  <c r="B73" i="5"/>
  <c r="L70" i="5"/>
  <c r="F70" i="5"/>
  <c r="F73" i="5" s="1"/>
  <c r="M68" i="5"/>
  <c r="L68" i="5"/>
  <c r="B62" i="5"/>
  <c r="L59" i="5"/>
  <c r="F59" i="5"/>
  <c r="F62" i="5" s="1"/>
  <c r="F63" i="5" s="1"/>
  <c r="F64" i="5" s="1"/>
  <c r="F65" i="5" s="1"/>
  <c r="M57" i="5"/>
  <c r="L57" i="5"/>
  <c r="F53" i="5"/>
  <c r="F54" i="5" s="1"/>
  <c r="F52" i="5"/>
  <c r="B51" i="5"/>
  <c r="L48" i="5"/>
  <c r="M50" i="5" s="1"/>
  <c r="F48" i="5"/>
  <c r="F51" i="5" s="1"/>
  <c r="M46" i="5"/>
  <c r="L46" i="5"/>
  <c r="B41" i="5"/>
  <c r="F40" i="5"/>
  <c r="F41" i="5" s="1"/>
  <c r="F42" i="5" s="1"/>
  <c r="F43" i="5" s="1"/>
  <c r="B40" i="5"/>
  <c r="F37" i="5"/>
  <c r="L37" i="5" s="1"/>
  <c r="M35" i="5"/>
  <c r="L35" i="5"/>
  <c r="B31" i="5"/>
  <c r="B32" i="5" s="1"/>
  <c r="B30" i="5"/>
  <c r="B29" i="5"/>
  <c r="F26" i="5"/>
  <c r="F29" i="5" s="1"/>
  <c r="F30" i="5" s="1"/>
  <c r="F31" i="5" s="1"/>
  <c r="F32" i="5" s="1"/>
  <c r="M24" i="5"/>
  <c r="L24" i="5"/>
  <c r="F18" i="5"/>
  <c r="F19" i="5" s="1"/>
  <c r="F20" i="5" s="1"/>
  <c r="F21" i="5" s="1"/>
  <c r="B18" i="5"/>
  <c r="F15" i="5"/>
  <c r="L15" i="5" s="1"/>
  <c r="M17" i="5" s="1"/>
  <c r="M13" i="5"/>
  <c r="L13" i="5"/>
  <c r="B8" i="5"/>
  <c r="B7" i="5"/>
  <c r="F4" i="5"/>
  <c r="F7" i="5" s="1"/>
  <c r="F8" i="5" s="1"/>
  <c r="F9" i="5" s="1"/>
  <c r="F10" i="5" s="1"/>
  <c r="F2" i="5"/>
  <c r="M39" i="5" s="1"/>
  <c r="B2" i="5"/>
  <c r="M112" i="4"/>
  <c r="L112" i="4"/>
  <c r="B108" i="4"/>
  <c r="B106" i="4"/>
  <c r="B107" i="4" s="1"/>
  <c r="L103" i="4"/>
  <c r="F103" i="4"/>
  <c r="F106" i="4" s="1"/>
  <c r="F107" i="4" s="1"/>
  <c r="F108" i="4" s="1"/>
  <c r="F109" i="4" s="1"/>
  <c r="M101" i="4"/>
  <c r="L101" i="4"/>
  <c r="F98" i="4"/>
  <c r="B96" i="4"/>
  <c r="F95" i="4"/>
  <c r="F96" i="4" s="1"/>
  <c r="F97" i="4" s="1"/>
  <c r="B95" i="4"/>
  <c r="L92" i="4"/>
  <c r="M94" i="4" s="1"/>
  <c r="F92" i="4"/>
  <c r="M90" i="4"/>
  <c r="L90" i="4"/>
  <c r="B84" i="4"/>
  <c r="F81" i="4"/>
  <c r="F84" i="4" s="1"/>
  <c r="F85" i="4" s="1"/>
  <c r="F86" i="4" s="1"/>
  <c r="F87" i="4" s="1"/>
  <c r="M79" i="4"/>
  <c r="L79" i="4"/>
  <c r="B75" i="4"/>
  <c r="B74" i="4"/>
  <c r="F73" i="4"/>
  <c r="F74" i="4" s="1"/>
  <c r="F75" i="4" s="1"/>
  <c r="F76" i="4" s="1"/>
  <c r="B73" i="4"/>
  <c r="F70" i="4"/>
  <c r="L70" i="4" s="1"/>
  <c r="M72" i="4" s="1"/>
  <c r="M68" i="4"/>
  <c r="L68" i="4"/>
  <c r="F65" i="4"/>
  <c r="B62" i="4"/>
  <c r="B63" i="4" s="1"/>
  <c r="M61" i="4"/>
  <c r="L61" i="4"/>
  <c r="L59" i="4"/>
  <c r="F59" i="4"/>
  <c r="F62" i="4" s="1"/>
  <c r="F63" i="4" s="1"/>
  <c r="F64" i="4" s="1"/>
  <c r="M57" i="4"/>
  <c r="L57" i="4"/>
  <c r="B53" i="4"/>
  <c r="B52" i="4"/>
  <c r="F51" i="4"/>
  <c r="F52" i="4" s="1"/>
  <c r="F53" i="4" s="1"/>
  <c r="F54" i="4" s="1"/>
  <c r="B51" i="4"/>
  <c r="L48" i="4"/>
  <c r="M50" i="4" s="1"/>
  <c r="F48" i="4"/>
  <c r="M46" i="4"/>
  <c r="L46" i="4"/>
  <c r="B43" i="4"/>
  <c r="B42" i="4"/>
  <c r="B40" i="4"/>
  <c r="B41" i="4" s="1"/>
  <c r="L37" i="4"/>
  <c r="M39" i="4" s="1"/>
  <c r="F37" i="4"/>
  <c r="F40" i="4" s="1"/>
  <c r="F41" i="4" s="1"/>
  <c r="F42" i="4" s="1"/>
  <c r="F43" i="4" s="1"/>
  <c r="M35" i="4"/>
  <c r="L35" i="4"/>
  <c r="B31" i="4"/>
  <c r="B30" i="4"/>
  <c r="B29" i="4"/>
  <c r="F26" i="4"/>
  <c r="F29" i="4" s="1"/>
  <c r="F30" i="4" s="1"/>
  <c r="F31" i="4" s="1"/>
  <c r="F32" i="4" s="1"/>
  <c r="M24" i="4"/>
  <c r="L24" i="4"/>
  <c r="F18" i="4"/>
  <c r="F19" i="4" s="1"/>
  <c r="F20" i="4" s="1"/>
  <c r="F21" i="4" s="1"/>
  <c r="B18" i="4"/>
  <c r="B19" i="4" s="1"/>
  <c r="F15" i="4"/>
  <c r="L15" i="4" s="1"/>
  <c r="M17" i="4" s="1"/>
  <c r="M13" i="4"/>
  <c r="L13" i="4"/>
  <c r="F8" i="4"/>
  <c r="F9" i="4" s="1"/>
  <c r="F10" i="4" s="1"/>
  <c r="B8" i="4"/>
  <c r="F7" i="4"/>
  <c r="B7" i="4"/>
  <c r="L4" i="4"/>
  <c r="M6" i="4" s="1"/>
  <c r="F4" i="4"/>
  <c r="F2" i="4"/>
  <c r="B2" i="4"/>
  <c r="M112" i="3"/>
  <c r="L112" i="3"/>
  <c r="B107" i="3"/>
  <c r="F106" i="3"/>
  <c r="F107" i="3" s="1"/>
  <c r="F108" i="3" s="1"/>
  <c r="F109" i="3" s="1"/>
  <c r="B106" i="3"/>
  <c r="L103" i="3"/>
  <c r="M105" i="3" s="1"/>
  <c r="F103" i="3"/>
  <c r="M101" i="3"/>
  <c r="L101" i="3"/>
  <c r="B95" i="3"/>
  <c r="F92" i="3"/>
  <c r="M90" i="3"/>
  <c r="L90" i="3"/>
  <c r="B85" i="3"/>
  <c r="B84" i="3"/>
  <c r="F81" i="3"/>
  <c r="L81" i="3" s="1"/>
  <c r="L83" i="3" s="1"/>
  <c r="M79" i="3"/>
  <c r="L79" i="3"/>
  <c r="B73" i="3"/>
  <c r="F70" i="3"/>
  <c r="M68" i="3"/>
  <c r="L68" i="3"/>
  <c r="B63" i="3"/>
  <c r="F62" i="3"/>
  <c r="F63" i="3" s="1"/>
  <c r="F64" i="3" s="1"/>
  <c r="F65" i="3" s="1"/>
  <c r="B62" i="3"/>
  <c r="M61" i="3"/>
  <c r="L59" i="3"/>
  <c r="F59" i="3"/>
  <c r="M57" i="3"/>
  <c r="L57" i="3"/>
  <c r="B51" i="3"/>
  <c r="F48" i="3"/>
  <c r="M46" i="3"/>
  <c r="L46" i="3"/>
  <c r="F43" i="3"/>
  <c r="B40" i="3"/>
  <c r="B41" i="3" s="1"/>
  <c r="L37" i="3"/>
  <c r="M39" i="3" s="1"/>
  <c r="F37" i="3"/>
  <c r="F40" i="3" s="1"/>
  <c r="F41" i="3" s="1"/>
  <c r="F42" i="3" s="1"/>
  <c r="M35" i="3"/>
  <c r="L35" i="3"/>
  <c r="B29" i="3"/>
  <c r="F26" i="3"/>
  <c r="M24" i="3"/>
  <c r="L24" i="3"/>
  <c r="F18" i="3"/>
  <c r="F19" i="3" s="1"/>
  <c r="F20" i="3" s="1"/>
  <c r="F21" i="3" s="1"/>
  <c r="B18" i="3"/>
  <c r="L15" i="3"/>
  <c r="F15" i="3"/>
  <c r="M13" i="3"/>
  <c r="L13" i="3"/>
  <c r="B7" i="3"/>
  <c r="F4" i="3"/>
  <c r="F2" i="3"/>
  <c r="B2" i="3"/>
  <c r="L105" i="3" s="1"/>
  <c r="M112" i="2"/>
  <c r="L112" i="2"/>
  <c r="B107" i="2"/>
  <c r="F106" i="2"/>
  <c r="F107" i="2" s="1"/>
  <c r="F108" i="2" s="1"/>
  <c r="F109" i="2" s="1"/>
  <c r="B106" i="2"/>
  <c r="F103" i="2"/>
  <c r="L103" i="2" s="1"/>
  <c r="M101" i="2"/>
  <c r="L101" i="2"/>
  <c r="B97" i="2"/>
  <c r="B96" i="2"/>
  <c r="B95" i="2"/>
  <c r="F92" i="2"/>
  <c r="F95" i="2" s="1"/>
  <c r="F96" i="2" s="1"/>
  <c r="F97" i="2" s="1"/>
  <c r="F98" i="2" s="1"/>
  <c r="M90" i="2"/>
  <c r="L90" i="2"/>
  <c r="B84" i="2"/>
  <c r="F81" i="2"/>
  <c r="L81" i="2" s="1"/>
  <c r="M79" i="2"/>
  <c r="L79" i="2"/>
  <c r="B73" i="2"/>
  <c r="B74" i="2" s="1"/>
  <c r="F70" i="2"/>
  <c r="F73" i="2" s="1"/>
  <c r="F74" i="2" s="1"/>
  <c r="F75" i="2" s="1"/>
  <c r="F76" i="2" s="1"/>
  <c r="M68" i="2"/>
  <c r="L68" i="2"/>
  <c r="B64" i="2"/>
  <c r="B63" i="2"/>
  <c r="F62" i="2"/>
  <c r="F63" i="2" s="1"/>
  <c r="F64" i="2" s="1"/>
  <c r="F65" i="2" s="1"/>
  <c r="B62" i="2"/>
  <c r="F59" i="2"/>
  <c r="L59" i="2" s="1"/>
  <c r="M57" i="2"/>
  <c r="L57" i="2"/>
  <c r="B54" i="2"/>
  <c r="B53" i="2"/>
  <c r="B52" i="2"/>
  <c r="B51" i="2"/>
  <c r="F48" i="2"/>
  <c r="F51" i="2" s="1"/>
  <c r="F52" i="2" s="1"/>
  <c r="F53" i="2" s="1"/>
  <c r="F54" i="2" s="1"/>
  <c r="M46" i="2"/>
  <c r="L46" i="2"/>
  <c r="B41" i="2"/>
  <c r="F40" i="2"/>
  <c r="F41" i="2" s="1"/>
  <c r="F42" i="2" s="1"/>
  <c r="F43" i="2" s="1"/>
  <c r="B40" i="2"/>
  <c r="F37" i="2"/>
  <c r="L37" i="2" s="1"/>
  <c r="M35" i="2"/>
  <c r="L35" i="2"/>
  <c r="B29" i="2"/>
  <c r="B30" i="2" s="1"/>
  <c r="F26" i="2"/>
  <c r="F29" i="2" s="1"/>
  <c r="F30" i="2" s="1"/>
  <c r="F31" i="2" s="1"/>
  <c r="F32" i="2" s="1"/>
  <c r="M24" i="2"/>
  <c r="L24" i="2"/>
  <c r="B19" i="2"/>
  <c r="B20" i="2" s="1"/>
  <c r="F18" i="2"/>
  <c r="F19" i="2" s="1"/>
  <c r="F20" i="2" s="1"/>
  <c r="F21" i="2" s="1"/>
  <c r="B18" i="2"/>
  <c r="F15" i="2"/>
  <c r="L15" i="2" s="1"/>
  <c r="M13" i="2"/>
  <c r="L13" i="2"/>
  <c r="B7" i="2"/>
  <c r="B8" i="2" s="1"/>
  <c r="F4" i="2"/>
  <c r="F7" i="2" s="1"/>
  <c r="F8" i="2" s="1"/>
  <c r="F9" i="2" s="1"/>
  <c r="F10" i="2" s="1"/>
  <c r="F2" i="2"/>
  <c r="B2" i="2"/>
  <c r="AO5" i="7"/>
  <c r="AN5" i="7"/>
  <c r="AQ5" i="10"/>
  <c r="AQ5" i="9"/>
  <c r="AQ5" i="8"/>
  <c r="AM5" i="7"/>
  <c r="AP5" i="10"/>
  <c r="AP5" i="9"/>
  <c r="AP5" i="8"/>
  <c r="AO5" i="10"/>
  <c r="AO5" i="9"/>
  <c r="AO5" i="8"/>
  <c r="AN5" i="10"/>
  <c r="AN5" i="9"/>
  <c r="AN5" i="8"/>
  <c r="AP5" i="7"/>
  <c r="AM5" i="10"/>
  <c r="AM5" i="9"/>
  <c r="AM5" i="8"/>
  <c r="AQ5" i="7"/>
  <c r="B16" i="1"/>
  <c r="E11" i="1"/>
  <c r="B18" i="1"/>
  <c r="E13" i="1"/>
  <c r="H16" i="1"/>
  <c r="D12" i="1"/>
  <c r="L51" i="6"/>
  <c r="L95" i="5"/>
  <c r="M29" i="5"/>
  <c r="D73" i="4"/>
  <c r="D18" i="1"/>
  <c r="H12" i="1"/>
  <c r="L41" i="4"/>
  <c r="D29" i="6"/>
  <c r="H29" i="5"/>
  <c r="L95" i="6"/>
  <c r="L29" i="5"/>
  <c r="L107" i="4"/>
  <c r="F17" i="1"/>
  <c r="E12" i="1"/>
  <c r="D7" i="6"/>
  <c r="H107" i="5"/>
  <c r="L96" i="5"/>
  <c r="D18" i="2"/>
  <c r="F16" i="1"/>
  <c r="H10" i="1"/>
  <c r="D30" i="4"/>
  <c r="D40" i="3"/>
  <c r="E16" i="1"/>
  <c r="M29" i="4"/>
  <c r="M51" i="2"/>
  <c r="H106" i="5"/>
  <c r="D29" i="5"/>
  <c r="B10" i="1"/>
  <c r="H52" i="6"/>
  <c r="D74" i="6"/>
  <c r="H7" i="6"/>
  <c r="D30" i="5"/>
  <c r="H40" i="4"/>
  <c r="D85" i="3"/>
  <c r="G10" i="1"/>
  <c r="E10" i="1"/>
  <c r="L51" i="2"/>
  <c r="M95" i="5"/>
  <c r="D74" i="4"/>
  <c r="H29" i="4"/>
  <c r="M84" i="3"/>
  <c r="F15" i="1"/>
  <c r="H95" i="5"/>
  <c r="D95" i="6"/>
  <c r="P95" i="6" s="1"/>
  <c r="M106" i="5"/>
  <c r="M19" i="4"/>
  <c r="D16" i="1"/>
  <c r="F10" i="1"/>
  <c r="M95" i="2"/>
  <c r="H15" i="1"/>
  <c r="G15" i="1"/>
  <c r="M73" i="6"/>
  <c r="H95" i="6"/>
  <c r="P98" i="6" s="1"/>
  <c r="L106" i="5"/>
  <c r="L29" i="4"/>
  <c r="H19" i="4"/>
  <c r="L95" i="2"/>
  <c r="D10" i="1"/>
  <c r="H95" i="2"/>
  <c r="L73" i="6"/>
  <c r="D106" i="5"/>
  <c r="D19" i="4"/>
  <c r="L84" i="3"/>
  <c r="D51" i="2"/>
  <c r="P51" i="2" s="1"/>
  <c r="E15" i="1"/>
  <c r="H9" i="1"/>
  <c r="D95" i="5"/>
  <c r="M73" i="4"/>
  <c r="H84" i="3"/>
  <c r="B15" i="1"/>
  <c r="F9" i="1"/>
  <c r="D73" i="6"/>
  <c r="P73" i="6" s="1"/>
  <c r="H107" i="4"/>
  <c r="H52" i="4"/>
  <c r="L42" i="4"/>
  <c r="B14" i="1"/>
  <c r="H31" i="5"/>
  <c r="B13" i="1"/>
  <c r="H108" i="5"/>
  <c r="D31" i="5"/>
  <c r="H51" i="4"/>
  <c r="E18" i="1"/>
  <c r="H97" i="6"/>
  <c r="D51" i="6"/>
  <c r="P51" i="6" s="1"/>
  <c r="H73" i="5"/>
  <c r="H7" i="5"/>
  <c r="H42" i="4"/>
  <c r="L19" i="4"/>
  <c r="M7" i="4"/>
  <c r="D84" i="2"/>
  <c r="H13" i="1"/>
  <c r="L96" i="6"/>
  <c r="F18" i="1"/>
  <c r="H41" i="4"/>
  <c r="D97" i="6"/>
  <c r="H51" i="6"/>
  <c r="P54" i="6" s="1"/>
  <c r="D73" i="5"/>
  <c r="D7" i="5"/>
  <c r="D107" i="4"/>
  <c r="D52" i="4"/>
  <c r="L7" i="4"/>
  <c r="G13" i="1"/>
  <c r="F13" i="1"/>
  <c r="D13" i="1"/>
  <c r="D7" i="4"/>
  <c r="D7" i="3"/>
  <c r="L51" i="4"/>
  <c r="M97" i="6"/>
  <c r="L73" i="5"/>
  <c r="P76" i="5" s="1"/>
  <c r="L7" i="5"/>
  <c r="D42" i="4"/>
  <c r="H7" i="4"/>
  <c r="L7" i="3"/>
  <c r="M96" i="6"/>
  <c r="L108" i="5"/>
  <c r="M41" i="4"/>
  <c r="G18" i="1"/>
  <c r="L106" i="4"/>
  <c r="G12" i="1"/>
  <c r="M29" i="6"/>
  <c r="F12" i="1"/>
  <c r="H7" i="3"/>
  <c r="H18" i="1"/>
  <c r="L75" i="6"/>
  <c r="M51" i="4"/>
  <c r="H31" i="4"/>
  <c r="M107" i="2"/>
  <c r="H75" i="6"/>
  <c r="M51" i="5"/>
  <c r="D73" i="2"/>
  <c r="D29" i="2"/>
  <c r="M106" i="4"/>
  <c r="H41" i="5"/>
  <c r="L51" i="3"/>
  <c r="L97" i="5"/>
  <c r="H96" i="6"/>
  <c r="D75" i="6"/>
  <c r="L29" i="6"/>
  <c r="D108" i="5"/>
  <c r="D106" i="4"/>
  <c r="P106" i="4" s="1"/>
  <c r="D31" i="4"/>
  <c r="M106" i="3"/>
  <c r="H17" i="1"/>
  <c r="B12" i="1"/>
  <c r="L74" i="6"/>
  <c r="M106" i="6"/>
  <c r="M109" i="5"/>
  <c r="M40" i="5"/>
  <c r="M95" i="4"/>
  <c r="D51" i="4"/>
  <c r="D41" i="4"/>
  <c r="M31" i="4"/>
  <c r="L106" i="3"/>
  <c r="M106" i="2"/>
  <c r="M96" i="2"/>
  <c r="M62" i="2"/>
  <c r="M52" i="2"/>
  <c r="G17" i="1"/>
  <c r="H11" i="1"/>
  <c r="L51" i="5"/>
  <c r="H95" i="4"/>
  <c r="D17" i="1"/>
  <c r="D96" i="6"/>
  <c r="M74" i="6"/>
  <c r="H29" i="6"/>
  <c r="M7" i="6"/>
  <c r="M107" i="5"/>
  <c r="M30" i="5"/>
  <c r="L95" i="4"/>
  <c r="L96" i="2"/>
  <c r="L52" i="2"/>
  <c r="M18" i="2"/>
  <c r="E17" i="1"/>
  <c r="G11" i="1"/>
  <c r="L7" i="6"/>
  <c r="M30" i="4"/>
  <c r="H106" i="3"/>
  <c r="L18" i="2"/>
  <c r="H106" i="6"/>
  <c r="L107" i="5"/>
  <c r="L30" i="5"/>
  <c r="M85" i="3"/>
  <c r="F11" i="1"/>
  <c r="L109" i="5"/>
  <c r="H40" i="5"/>
  <c r="H106" i="2"/>
  <c r="M107" i="4"/>
  <c r="D40" i="5"/>
  <c r="D106" i="2"/>
  <c r="B17" i="1"/>
  <c r="D40" i="6"/>
  <c r="D107" i="5"/>
  <c r="M62" i="4"/>
  <c r="H84" i="2"/>
  <c r="D15" i="1"/>
  <c r="L40" i="4"/>
  <c r="D29" i="4"/>
  <c r="D63" i="4"/>
  <c r="M63" i="2"/>
  <c r="L73" i="3"/>
  <c r="F14" i="1"/>
  <c r="H8" i="5"/>
  <c r="D14" i="1"/>
  <c r="D8" i="5"/>
  <c r="M18" i="4"/>
  <c r="D11" i="1"/>
  <c r="M84" i="6"/>
  <c r="H20" i="2"/>
  <c r="M84" i="2"/>
  <c r="G16" i="1"/>
  <c r="L84" i="2"/>
  <c r="D40" i="2"/>
  <c r="D106" i="6"/>
  <c r="H62" i="2"/>
  <c r="M40" i="2"/>
  <c r="M40" i="4"/>
  <c r="D62" i="2"/>
  <c r="L40" i="2"/>
  <c r="H14" i="1"/>
  <c r="M42" i="4"/>
  <c r="G14" i="1"/>
  <c r="H95" i="3"/>
  <c r="D18" i="3"/>
  <c r="H73" i="3"/>
  <c r="D73" i="3"/>
  <c r="H40" i="2"/>
  <c r="H18" i="2"/>
  <c r="E14" i="1"/>
  <c r="D98" i="6"/>
  <c r="L18" i="4"/>
  <c r="M97" i="2"/>
  <c r="B11" i="1"/>
  <c r="H96" i="2"/>
  <c r="G9" i="1"/>
  <c r="H52" i="2"/>
  <c r="H74" i="6"/>
  <c r="H30" i="5"/>
  <c r="D96" i="2"/>
  <c r="H54" i="2"/>
  <c r="L52" i="4"/>
  <c r="D84" i="3"/>
  <c r="L97" i="6"/>
  <c r="M74" i="4"/>
  <c r="L53" i="4"/>
  <c r="H18" i="4"/>
  <c r="E9" i="1"/>
  <c r="M30" i="6"/>
  <c r="M96" i="5"/>
  <c r="M73" i="5"/>
  <c r="P73" i="5" s="1"/>
  <c r="D51" i="5"/>
  <c r="P51" i="5" s="1"/>
  <c r="M7" i="5"/>
  <c r="D9" i="1"/>
  <c r="B9" i="1"/>
  <c r="H73" i="4"/>
  <c r="H53" i="2"/>
  <c r="H85" i="3"/>
  <c r="M51" i="6"/>
  <c r="L30" i="6"/>
  <c r="L96" i="4"/>
  <c r="L73" i="4"/>
  <c r="L85" i="3"/>
  <c r="M54" i="2"/>
  <c r="D95" i="2"/>
  <c r="H51" i="2"/>
  <c r="P54" i="2" s="1"/>
  <c r="L108" i="4"/>
  <c r="M52" i="4"/>
  <c r="M18" i="3"/>
  <c r="H18" i="3"/>
  <c r="H8" i="4"/>
  <c r="H30" i="6"/>
  <c r="M95" i="6"/>
  <c r="H73" i="6"/>
  <c r="P76" i="6" s="1"/>
  <c r="D95" i="4"/>
  <c r="D52" i="2"/>
  <c r="D106" i="3"/>
  <c r="L30" i="4"/>
  <c r="M8" i="4"/>
  <c r="M62" i="3"/>
  <c r="D74" i="2"/>
  <c r="M30" i="2"/>
  <c r="D8" i="4"/>
  <c r="M32" i="5"/>
  <c r="P109" i="5"/>
  <c r="P106" i="5"/>
  <c r="P98" i="5"/>
  <c r="P95" i="5"/>
  <c r="P54" i="4"/>
  <c r="P51" i="4"/>
  <c r="P84" i="2"/>
  <c r="P87" i="2"/>
  <c r="P76" i="3"/>
  <c r="P73" i="3"/>
  <c r="P87" i="3"/>
  <c r="P84" i="3"/>
  <c r="P73" i="4"/>
  <c r="P76" i="4"/>
  <c r="P98" i="2"/>
  <c r="P95" i="2"/>
  <c r="P98" i="4"/>
  <c r="P95" i="4"/>
  <c r="P109" i="3"/>
  <c r="P106" i="3"/>
  <c r="J111" i="3" l="1"/>
  <c r="J112" i="3"/>
  <c r="J101" i="4"/>
  <c r="J100" i="4"/>
  <c r="J73" i="6"/>
  <c r="N95" i="6"/>
  <c r="J8" i="4"/>
  <c r="J18" i="3"/>
  <c r="N52" i="4"/>
  <c r="J51" i="2"/>
  <c r="J100" i="2"/>
  <c r="J101" i="2"/>
  <c r="N51" i="6"/>
  <c r="J85" i="3"/>
  <c r="J73" i="4"/>
  <c r="N7" i="5"/>
  <c r="J56" i="5"/>
  <c r="J57" i="5"/>
  <c r="N73" i="5"/>
  <c r="N96" i="5"/>
  <c r="N30" i="6"/>
  <c r="J90" i="3"/>
  <c r="J89" i="3"/>
  <c r="J30" i="5"/>
  <c r="J74" i="6"/>
  <c r="J52" i="2"/>
  <c r="J96" i="2"/>
  <c r="J18" i="2"/>
  <c r="J40" i="2"/>
  <c r="J78" i="3"/>
  <c r="J79" i="3"/>
  <c r="J73" i="3"/>
  <c r="N42" i="4"/>
  <c r="J68" i="2"/>
  <c r="J67" i="2"/>
  <c r="N40" i="4"/>
  <c r="N40" i="2"/>
  <c r="J62" i="2"/>
  <c r="J111" i="6"/>
  <c r="J112" i="6"/>
  <c r="N84" i="2"/>
  <c r="N18" i="4"/>
  <c r="J8" i="5"/>
  <c r="J84" i="2"/>
  <c r="J112" i="2"/>
  <c r="J111" i="2"/>
  <c r="N107" i="4"/>
  <c r="J106" i="2"/>
  <c r="J40" i="5"/>
  <c r="N85" i="3"/>
  <c r="J106" i="6"/>
  <c r="J106" i="3"/>
  <c r="N30" i="4"/>
  <c r="N18" i="2"/>
  <c r="N30" i="5"/>
  <c r="N107" i="5"/>
  <c r="N7" i="6"/>
  <c r="J29" i="6"/>
  <c r="N74" i="6"/>
  <c r="J95" i="4"/>
  <c r="N52" i="2"/>
  <c r="N96" i="2"/>
  <c r="J57" i="4"/>
  <c r="J56" i="4"/>
  <c r="N95" i="4"/>
  <c r="N109" i="5"/>
  <c r="N106" i="3"/>
  <c r="J112" i="4"/>
  <c r="J111" i="4"/>
  <c r="J96" i="6"/>
  <c r="N106" i="4"/>
  <c r="J79" i="2"/>
  <c r="J78" i="2"/>
  <c r="N51" i="5"/>
  <c r="J75" i="6"/>
  <c r="J31" i="4"/>
  <c r="N51" i="4"/>
  <c r="J7" i="3"/>
  <c r="N29" i="6"/>
  <c r="N41" i="4"/>
  <c r="N96" i="6"/>
  <c r="J7" i="4"/>
  <c r="N97" i="6"/>
  <c r="J79" i="5"/>
  <c r="J78" i="5"/>
  <c r="J51" i="6"/>
  <c r="J41" i="4"/>
  <c r="J90" i="2"/>
  <c r="J89" i="2"/>
  <c r="N7" i="4"/>
  <c r="J42" i="4"/>
  <c r="J7" i="5"/>
  <c r="J73" i="5"/>
  <c r="J57" i="6"/>
  <c r="J56" i="6"/>
  <c r="J97" i="6"/>
  <c r="J51" i="4"/>
  <c r="J108" i="5"/>
  <c r="J31" i="5"/>
  <c r="J52" i="4"/>
  <c r="J107" i="4"/>
  <c r="J79" i="6"/>
  <c r="J78" i="6"/>
  <c r="J84" i="3"/>
  <c r="N73" i="4"/>
  <c r="J100" i="5"/>
  <c r="J101" i="5"/>
  <c r="J57" i="2"/>
  <c r="J56" i="2"/>
  <c r="J112" i="5"/>
  <c r="J111" i="5"/>
  <c r="J95" i="2"/>
  <c r="D19" i="1"/>
  <c r="J19" i="4"/>
  <c r="J95" i="6"/>
  <c r="N73" i="6"/>
  <c r="N95" i="2"/>
  <c r="F19" i="1"/>
  <c r="N19" i="4"/>
  <c r="N106" i="5"/>
  <c r="J101" i="6"/>
  <c r="J100" i="6"/>
  <c r="J95" i="5"/>
  <c r="N84" i="3"/>
  <c r="J29" i="4"/>
  <c r="N95" i="5"/>
  <c r="E19" i="1"/>
  <c r="G19" i="1"/>
  <c r="J7" i="6"/>
  <c r="J106" i="5"/>
  <c r="N51" i="2"/>
  <c r="N29" i="4"/>
  <c r="H19" i="1"/>
  <c r="J107" i="5"/>
  <c r="J29" i="5"/>
  <c r="J79" i="4"/>
  <c r="J78" i="4"/>
  <c r="N29" i="5"/>
  <c r="B9" i="2"/>
  <c r="L48" i="2"/>
  <c r="F95" i="5"/>
  <c r="F96" i="5" s="1"/>
  <c r="F97" i="5" s="1"/>
  <c r="F98" i="5" s="1"/>
  <c r="L92" i="5"/>
  <c r="M94" i="5" s="1"/>
  <c r="B64" i="3"/>
  <c r="F84" i="3"/>
  <c r="F85" i="3" s="1"/>
  <c r="F86" i="3" s="1"/>
  <c r="F87" i="3" s="1"/>
  <c r="B31" i="2"/>
  <c r="B54" i="4"/>
  <c r="L92" i="2"/>
  <c r="L94" i="2" s="1"/>
  <c r="B32" i="6"/>
  <c r="L50" i="4"/>
  <c r="B75" i="2"/>
  <c r="L26" i="3"/>
  <c r="L28" i="3" s="1"/>
  <c r="F29" i="3"/>
  <c r="F30" i="3" s="1"/>
  <c r="F31" i="3" s="1"/>
  <c r="F32" i="3" s="1"/>
  <c r="B76" i="4"/>
  <c r="B9" i="5"/>
  <c r="B75" i="5"/>
  <c r="B21" i="2"/>
  <c r="L81" i="4"/>
  <c r="L81" i="6"/>
  <c r="M83" i="6" s="1"/>
  <c r="B85" i="4"/>
  <c r="M105" i="4"/>
  <c r="L105" i="4"/>
  <c r="B63" i="6"/>
  <c r="L17" i="5"/>
  <c r="B19" i="5"/>
  <c r="B85" i="5"/>
  <c r="B65" i="2"/>
  <c r="L105" i="2"/>
  <c r="L61" i="2"/>
  <c r="L17" i="2"/>
  <c r="L50" i="2"/>
  <c r="L6" i="2"/>
  <c r="L83" i="2"/>
  <c r="L39" i="2"/>
  <c r="L72" i="2"/>
  <c r="L28" i="2"/>
  <c r="M72" i="2"/>
  <c r="M50" i="2"/>
  <c r="M28" i="2"/>
  <c r="M17" i="2"/>
  <c r="M105" i="2"/>
  <c r="M61" i="2"/>
  <c r="M83" i="2"/>
  <c r="M39" i="2"/>
  <c r="B109" i="4"/>
  <c r="B30" i="3"/>
  <c r="B19" i="6"/>
  <c r="L26" i="4"/>
  <c r="B9" i="4"/>
  <c r="L4" i="2"/>
  <c r="M6" i="2" s="1"/>
  <c r="B19" i="3"/>
  <c r="B42" i="3"/>
  <c r="B52" i="3"/>
  <c r="L26" i="2"/>
  <c r="L70" i="2"/>
  <c r="M83" i="3"/>
  <c r="B86" i="3"/>
  <c r="L6" i="4"/>
  <c r="L72" i="4"/>
  <c r="L39" i="4"/>
  <c r="L4" i="3"/>
  <c r="M6" i="3" s="1"/>
  <c r="F7" i="3"/>
  <c r="F8" i="3" s="1"/>
  <c r="F9" i="3" s="1"/>
  <c r="F10" i="3" s="1"/>
  <c r="B76" i="6"/>
  <c r="L28" i="6"/>
  <c r="L6" i="3"/>
  <c r="L61" i="3"/>
  <c r="L94" i="5"/>
  <c r="L72" i="5"/>
  <c r="L50" i="5"/>
  <c r="L28" i="5"/>
  <c r="L105" i="5"/>
  <c r="L61" i="5"/>
  <c r="L39" i="6"/>
  <c r="X651" i="7"/>
  <c r="I654" i="7"/>
  <c r="B52" i="5"/>
  <c r="L50" i="6"/>
  <c r="M61" i="5"/>
  <c r="B41" i="6"/>
  <c r="M72" i="5"/>
  <c r="L70" i="3"/>
  <c r="M72" i="3" s="1"/>
  <c r="F73" i="3"/>
  <c r="F74" i="3" s="1"/>
  <c r="F75" i="3" s="1"/>
  <c r="F76" i="3" s="1"/>
  <c r="L17" i="4"/>
  <c r="B32" i="4"/>
  <c r="B97" i="4"/>
  <c r="B63" i="5"/>
  <c r="Q10" i="8"/>
  <c r="L4" i="5"/>
  <c r="L6" i="5" s="1"/>
  <c r="B108" i="2"/>
  <c r="L17" i="3"/>
  <c r="B108" i="3"/>
  <c r="B42" i="5"/>
  <c r="L61" i="6"/>
  <c r="G652" i="7"/>
  <c r="AB654" i="7"/>
  <c r="B98" i="2"/>
  <c r="F84" i="2"/>
  <c r="F85" i="2" s="1"/>
  <c r="F86" i="2" s="1"/>
  <c r="F87" i="2" s="1"/>
  <c r="M17" i="3"/>
  <c r="B74" i="3"/>
  <c r="L83" i="5"/>
  <c r="L83" i="6"/>
  <c r="B85" i="2"/>
  <c r="M28" i="3"/>
  <c r="L92" i="3"/>
  <c r="F95" i="3"/>
  <c r="F96" i="3" s="1"/>
  <c r="F97" i="3" s="1"/>
  <c r="F98" i="3" s="1"/>
  <c r="L26" i="5"/>
  <c r="M28" i="5" s="1"/>
  <c r="L103" i="5"/>
  <c r="M105" i="5" s="1"/>
  <c r="B64" i="4"/>
  <c r="L39" i="3"/>
  <c r="I653" i="7"/>
  <c r="B53" i="6"/>
  <c r="L39" i="5"/>
  <c r="L94" i="4"/>
  <c r="L94" i="6"/>
  <c r="L105" i="6"/>
  <c r="B85" i="6"/>
  <c r="B42" i="2"/>
  <c r="B96" i="3"/>
  <c r="B20" i="4"/>
  <c r="L17" i="6"/>
  <c r="Y653" i="10"/>
  <c r="B8" i="3"/>
  <c r="Y653" i="8"/>
  <c r="Z653" i="8"/>
  <c r="G652" i="9"/>
  <c r="AB654" i="9"/>
  <c r="L48" i="3"/>
  <c r="F51" i="3"/>
  <c r="F52" i="3" s="1"/>
  <c r="F53" i="3" s="1"/>
  <c r="F54" i="3" s="1"/>
  <c r="G651" i="8"/>
  <c r="AB653" i="8"/>
  <c r="B107" i="6"/>
  <c r="Y651" i="8"/>
  <c r="J654" i="8"/>
  <c r="AI10" i="10"/>
  <c r="F652" i="7"/>
  <c r="AA654" i="7"/>
  <c r="D8" i="2"/>
  <c r="L31" i="6"/>
  <c r="D74" i="5"/>
  <c r="M84" i="5"/>
  <c r="H108" i="4"/>
  <c r="H41" i="3"/>
  <c r="D107" i="3"/>
  <c r="M107" i="3"/>
  <c r="H31" i="6"/>
  <c r="H84" i="5"/>
  <c r="D41" i="3"/>
  <c r="H19" i="2"/>
  <c r="M95" i="3"/>
  <c r="D31" i="6"/>
  <c r="D20" i="2"/>
  <c r="M29" i="3"/>
  <c r="L73" i="2"/>
  <c r="P76" i="2" s="1"/>
  <c r="H62" i="4"/>
  <c r="H96" i="4"/>
  <c r="D52" i="6"/>
  <c r="L95" i="3"/>
  <c r="M98" i="6"/>
  <c r="L64" i="2"/>
  <c r="L29" i="3"/>
  <c r="M51" i="3"/>
  <c r="D96" i="4"/>
  <c r="L41" i="2"/>
  <c r="D30" i="2"/>
  <c r="H98" i="6"/>
  <c r="D64" i="2"/>
  <c r="H29" i="3"/>
  <c r="M41" i="5"/>
  <c r="D19" i="2"/>
  <c r="D41" i="2"/>
  <c r="H30" i="4"/>
  <c r="M63" i="3"/>
  <c r="L98" i="6"/>
  <c r="L43" i="4"/>
  <c r="D29" i="3"/>
  <c r="L62" i="2"/>
  <c r="L19" i="2"/>
  <c r="D97" i="2"/>
  <c r="M43" i="4"/>
  <c r="M29" i="2"/>
  <c r="D41" i="5"/>
  <c r="H43" i="4"/>
  <c r="L106" i="2"/>
  <c r="D51" i="3"/>
  <c r="P51" i="3" s="1"/>
  <c r="L63" i="4"/>
  <c r="H84" i="4"/>
  <c r="H63" i="4"/>
  <c r="L97" i="2"/>
  <c r="L7" i="2"/>
  <c r="H97" i="5"/>
  <c r="D109" i="5"/>
  <c r="H7" i="2"/>
  <c r="D32" i="5"/>
  <c r="M97" i="5"/>
  <c r="M7" i="2"/>
  <c r="D95" i="3"/>
  <c r="H84" i="6"/>
  <c r="L62" i="5"/>
  <c r="H63" i="2"/>
  <c r="H41" i="2"/>
  <c r="L32" i="5"/>
  <c r="D84" i="6"/>
  <c r="M8" i="6"/>
  <c r="L30" i="2"/>
  <c r="H32" i="5"/>
  <c r="M96" i="4"/>
  <c r="D18" i="6"/>
  <c r="H74" i="2"/>
  <c r="H18" i="6"/>
  <c r="M9" i="6"/>
  <c r="L107" i="3"/>
  <c r="L29" i="2"/>
  <c r="M40" i="3"/>
  <c r="L54" i="2"/>
  <c r="H9" i="6"/>
  <c r="D62" i="4"/>
  <c r="L40" i="3"/>
  <c r="M75" i="4"/>
  <c r="L98" i="5"/>
  <c r="L41" i="5"/>
  <c r="L62" i="4"/>
  <c r="H106" i="4"/>
  <c r="P109" i="4" s="1"/>
  <c r="M53" i="4"/>
  <c r="M62" i="6"/>
  <c r="D107" i="2"/>
  <c r="M53" i="2"/>
  <c r="H63" i="3"/>
  <c r="D62" i="6"/>
  <c r="L40" i="5"/>
  <c r="L9" i="6"/>
  <c r="H107" i="2"/>
  <c r="M73" i="3"/>
  <c r="D54" i="2"/>
  <c r="L62" i="6"/>
  <c r="D97" i="5"/>
  <c r="M31" i="5"/>
  <c r="D18" i="4"/>
  <c r="D40" i="4"/>
  <c r="L74" i="2"/>
  <c r="M20" i="2"/>
  <c r="H29" i="2"/>
  <c r="L31" i="5"/>
  <c r="H40" i="3"/>
  <c r="D98" i="5"/>
  <c r="H98" i="5"/>
  <c r="H53" i="4"/>
  <c r="L75" i="4"/>
  <c r="D43" i="4"/>
  <c r="L8" i="4"/>
  <c r="D62" i="3"/>
  <c r="L8" i="6"/>
  <c r="H109" i="5"/>
  <c r="H96" i="5"/>
  <c r="D62" i="5"/>
  <c r="P62" i="5" s="1"/>
  <c r="D30" i="6"/>
  <c r="D96" i="5"/>
  <c r="L106" i="6"/>
  <c r="D7" i="2"/>
  <c r="L18" i="6"/>
  <c r="M18" i="6"/>
  <c r="D53" i="4"/>
  <c r="H75" i="4"/>
  <c r="D18" i="5"/>
  <c r="D9" i="6"/>
  <c r="M73" i="2"/>
  <c r="P73" i="2" s="1"/>
  <c r="M84" i="4"/>
  <c r="H30" i="2"/>
  <c r="L63" i="3"/>
  <c r="M62" i="5"/>
  <c r="D75" i="4"/>
  <c r="H62" i="6"/>
  <c r="D84" i="5"/>
  <c r="H51" i="3"/>
  <c r="P54" i="3" s="1"/>
  <c r="H8" i="6"/>
  <c r="H40" i="6"/>
  <c r="L62" i="3"/>
  <c r="M52" i="6"/>
  <c r="L20" i="2"/>
  <c r="D8" i="6"/>
  <c r="D53" i="2"/>
  <c r="M74" i="2"/>
  <c r="M10" i="6"/>
  <c r="L8" i="5"/>
  <c r="H51" i="5"/>
  <c r="P54" i="5" s="1"/>
  <c r="D63" i="2"/>
  <c r="L52" i="6"/>
  <c r="L74" i="4"/>
  <c r="H62" i="5"/>
  <c r="P65" i="5" s="1"/>
  <c r="H10" i="6"/>
  <c r="M64" i="2"/>
  <c r="M75" i="6"/>
  <c r="M108" i="5"/>
  <c r="H97" i="2"/>
  <c r="L84" i="6"/>
  <c r="L31" i="4"/>
  <c r="H74" i="4"/>
  <c r="H107" i="3"/>
  <c r="L107" i="2"/>
  <c r="D84" i="4"/>
  <c r="L10" i="6"/>
  <c r="M8" i="5"/>
  <c r="M18" i="5"/>
  <c r="M98" i="5"/>
  <c r="M41" i="2"/>
  <c r="M74" i="5"/>
  <c r="M8" i="2"/>
  <c r="H74" i="5"/>
  <c r="L18" i="5"/>
  <c r="H64" i="2"/>
  <c r="L18" i="3"/>
  <c r="M19" i="2"/>
  <c r="M40" i="6"/>
  <c r="H73" i="2"/>
  <c r="H62" i="3"/>
  <c r="D63" i="3"/>
  <c r="H8" i="2"/>
  <c r="D10" i="6"/>
  <c r="H18" i="5"/>
  <c r="D108" i="4"/>
  <c r="M41" i="3"/>
  <c r="L40" i="6"/>
  <c r="L53" i="2"/>
  <c r="L8" i="2"/>
  <c r="M63" i="4"/>
  <c r="M31" i="6"/>
  <c r="L74" i="5"/>
  <c r="L84" i="5"/>
  <c r="L41" i="3"/>
  <c r="L63" i="2"/>
  <c r="M7" i="3"/>
  <c r="L84" i="4"/>
  <c r="M108" i="4"/>
  <c r="P62" i="2"/>
  <c r="P65" i="2"/>
  <c r="P106" i="2"/>
  <c r="P109" i="2"/>
  <c r="P98" i="3"/>
  <c r="P95" i="3"/>
  <c r="P62" i="4"/>
  <c r="P65" i="4"/>
  <c r="P62" i="6"/>
  <c r="P65" i="6"/>
  <c r="P29" i="5"/>
  <c r="P32" i="5"/>
  <c r="P40" i="4"/>
  <c r="P43" i="4"/>
  <c r="P106" i="6"/>
  <c r="P109" i="6"/>
  <c r="P62" i="3"/>
  <c r="P65" i="3"/>
  <c r="P84" i="6"/>
  <c r="P87" i="6"/>
  <c r="P10" i="6"/>
  <c r="P7" i="6"/>
  <c r="P84" i="5"/>
  <c r="P87" i="5"/>
  <c r="P84" i="4"/>
  <c r="P87" i="4"/>
  <c r="N108" i="4" l="1"/>
  <c r="N7" i="3"/>
  <c r="N63" i="2"/>
  <c r="N31" i="6"/>
  <c r="N63" i="4"/>
  <c r="N41" i="3"/>
  <c r="J18" i="5"/>
  <c r="J8" i="2"/>
  <c r="J62" i="3"/>
  <c r="J73" i="2"/>
  <c r="N40" i="6"/>
  <c r="N19" i="2"/>
  <c r="N18" i="3"/>
  <c r="J64" i="2"/>
  <c r="J74" i="5"/>
  <c r="N8" i="2"/>
  <c r="N74" i="5"/>
  <c r="N41" i="2"/>
  <c r="N98" i="5"/>
  <c r="N18" i="5"/>
  <c r="N8" i="5"/>
  <c r="J89" i="4"/>
  <c r="J90" i="4"/>
  <c r="N107" i="2"/>
  <c r="J107" i="3"/>
  <c r="J74" i="4"/>
  <c r="N31" i="4"/>
  <c r="N84" i="6"/>
  <c r="J97" i="2"/>
  <c r="N108" i="5"/>
  <c r="N75" i="6"/>
  <c r="N64" i="2"/>
  <c r="J10" i="6"/>
  <c r="J62" i="5"/>
  <c r="N74" i="4"/>
  <c r="J51" i="5"/>
  <c r="N10" i="6"/>
  <c r="N74" i="2"/>
  <c r="J53" i="2"/>
  <c r="J13" i="6"/>
  <c r="J12" i="6"/>
  <c r="N52" i="6"/>
  <c r="N62" i="3"/>
  <c r="J40" i="6"/>
  <c r="J8" i="6"/>
  <c r="J51" i="3"/>
  <c r="J90" i="5"/>
  <c r="J89" i="5"/>
  <c r="J62" i="6"/>
  <c r="N62" i="5"/>
  <c r="J30" i="2"/>
  <c r="N84" i="4"/>
  <c r="N73" i="2"/>
  <c r="J75" i="4"/>
  <c r="N18" i="6"/>
  <c r="N106" i="6"/>
  <c r="J30" i="6"/>
  <c r="J68" i="5"/>
  <c r="J67" i="5"/>
  <c r="J96" i="5"/>
  <c r="J109" i="5"/>
  <c r="J68" i="3"/>
  <c r="J67" i="3"/>
  <c r="N8" i="4"/>
  <c r="J53" i="4"/>
  <c r="J98" i="5"/>
  <c r="J40" i="3"/>
  <c r="J29" i="2"/>
  <c r="N20" i="2"/>
  <c r="J46" i="4"/>
  <c r="J45" i="4"/>
  <c r="J40" i="4"/>
  <c r="J18" i="4"/>
  <c r="N31" i="5"/>
  <c r="J54" i="2"/>
  <c r="N73" i="3"/>
  <c r="J107" i="2"/>
  <c r="N40" i="5"/>
  <c r="J68" i="6"/>
  <c r="J67" i="6"/>
  <c r="J63" i="3"/>
  <c r="N53" i="2"/>
  <c r="N62" i="6"/>
  <c r="N53" i="4"/>
  <c r="J106" i="4"/>
  <c r="N62" i="4"/>
  <c r="N75" i="4"/>
  <c r="J67" i="4"/>
  <c r="J68" i="4"/>
  <c r="J9" i="6"/>
  <c r="N54" i="2"/>
  <c r="N40" i="3"/>
  <c r="N9" i="6"/>
  <c r="J18" i="6"/>
  <c r="J74" i="2"/>
  <c r="N96" i="4"/>
  <c r="J32" i="5"/>
  <c r="N30" i="2"/>
  <c r="N8" i="6"/>
  <c r="J90" i="6"/>
  <c r="J89" i="6"/>
  <c r="N32" i="5"/>
  <c r="J41" i="2"/>
  <c r="J63" i="2"/>
  <c r="J84" i="6"/>
  <c r="J100" i="3"/>
  <c r="J101" i="3"/>
  <c r="J95" i="3"/>
  <c r="N7" i="2"/>
  <c r="N97" i="5"/>
  <c r="J35" i="5"/>
  <c r="J34" i="5"/>
  <c r="J7" i="2"/>
  <c r="J97" i="5"/>
  <c r="N97" i="2"/>
  <c r="J63" i="4"/>
  <c r="J84" i="4"/>
  <c r="J56" i="3"/>
  <c r="J57" i="3"/>
  <c r="N106" i="2"/>
  <c r="J43" i="4"/>
  <c r="J41" i="5"/>
  <c r="N29" i="2"/>
  <c r="N43" i="4"/>
  <c r="N62" i="2"/>
  <c r="N63" i="3"/>
  <c r="J30" i="4"/>
  <c r="N41" i="5"/>
  <c r="J29" i="3"/>
  <c r="J98" i="6"/>
  <c r="N51" i="3"/>
  <c r="N98" i="6"/>
  <c r="J52" i="6"/>
  <c r="J96" i="4"/>
  <c r="J62" i="4"/>
  <c r="N29" i="3"/>
  <c r="J20" i="2"/>
  <c r="N95" i="3"/>
  <c r="J19" i="2"/>
  <c r="J84" i="5"/>
  <c r="J31" i="6"/>
  <c r="N107" i="3"/>
  <c r="J41" i="3"/>
  <c r="J108" i="4"/>
  <c r="N84" i="5"/>
  <c r="B86" i="5"/>
  <c r="B42" i="6"/>
  <c r="B10" i="2"/>
  <c r="B76" i="5"/>
  <c r="L72" i="3"/>
  <c r="B43" i="3"/>
  <c r="B43" i="2"/>
  <c r="M94" i="3"/>
  <c r="L94" i="3"/>
  <c r="B86" i="6"/>
  <c r="B20" i="3"/>
  <c r="B20" i="6"/>
  <c r="B86" i="2"/>
  <c r="B43" i="5"/>
  <c r="B20" i="5"/>
  <c r="B10" i="5"/>
  <c r="B32" i="2"/>
  <c r="B54" i="6"/>
  <c r="B109" i="3"/>
  <c r="B53" i="5"/>
  <c r="B108" i="6"/>
  <c r="B86" i="4"/>
  <c r="B109" i="2"/>
  <c r="B64" i="6"/>
  <c r="M28" i="4"/>
  <c r="L28" i="4"/>
  <c r="M94" i="2"/>
  <c r="B10" i="4"/>
  <c r="M50" i="3"/>
  <c r="L50" i="3"/>
  <c r="B75" i="3"/>
  <c r="B64" i="5"/>
  <c r="B76" i="2"/>
  <c r="B87" i="3"/>
  <c r="B9" i="3"/>
  <c r="B65" i="3"/>
  <c r="B65" i="4"/>
  <c r="B21" i="4"/>
  <c r="B98" i="4"/>
  <c r="M6" i="5"/>
  <c r="M83" i="4"/>
  <c r="L83" i="4"/>
  <c r="B53" i="3"/>
  <c r="B31" i="3"/>
  <c r="B97" i="3"/>
  <c r="M85" i="5"/>
  <c r="D19" i="6"/>
  <c r="M53" i="6"/>
  <c r="D85" i="4"/>
  <c r="L74" i="3"/>
  <c r="M32" i="4"/>
  <c r="D85" i="5"/>
  <c r="H19" i="6"/>
  <c r="L108" i="2"/>
  <c r="L64" i="4"/>
  <c r="L32" i="6"/>
  <c r="D108" i="2"/>
  <c r="L30" i="3"/>
  <c r="H85" i="2"/>
  <c r="M63" i="5"/>
  <c r="M108" i="3"/>
  <c r="L63" i="5"/>
  <c r="M30" i="3"/>
  <c r="D41" i="6"/>
  <c r="M85" i="2"/>
  <c r="H108" i="3"/>
  <c r="L20" i="4"/>
  <c r="L42" i="2"/>
  <c r="D108" i="3"/>
  <c r="H41" i="6"/>
  <c r="M76" i="4"/>
  <c r="H20" i="4"/>
  <c r="H109" i="4"/>
  <c r="H42" i="2"/>
  <c r="L108" i="3"/>
  <c r="D76" i="4"/>
  <c r="M21" i="2"/>
  <c r="D21" i="2"/>
  <c r="L63" i="6"/>
  <c r="L52" i="5"/>
  <c r="H19" i="5"/>
  <c r="M63" i="6"/>
  <c r="H97" i="4"/>
  <c r="M9" i="2"/>
  <c r="L85" i="5"/>
  <c r="M32" i="6"/>
  <c r="M19" i="6"/>
  <c r="H74" i="3"/>
  <c r="M64" i="4"/>
  <c r="L32" i="4"/>
  <c r="H32" i="6"/>
  <c r="L53" i="6"/>
  <c r="H63" i="5"/>
  <c r="H53" i="6"/>
  <c r="D63" i="5"/>
  <c r="H64" i="4"/>
  <c r="D32" i="6"/>
  <c r="D53" i="6"/>
  <c r="M108" i="2"/>
  <c r="D20" i="4"/>
  <c r="D30" i="3"/>
  <c r="L85" i="2"/>
  <c r="H108" i="2"/>
  <c r="M20" i="4"/>
  <c r="D42" i="2"/>
  <c r="H76" i="4"/>
  <c r="H30" i="3"/>
  <c r="M41" i="6"/>
  <c r="D85" i="2"/>
  <c r="M42" i="2"/>
  <c r="M75" i="2"/>
  <c r="M42" i="5"/>
  <c r="L75" i="2"/>
  <c r="D42" i="5"/>
  <c r="D97" i="4"/>
  <c r="L109" i="4"/>
  <c r="M52" i="5"/>
  <c r="D75" i="2"/>
  <c r="M109" i="4"/>
  <c r="L42" i="5"/>
  <c r="D63" i="6"/>
  <c r="M96" i="3"/>
  <c r="L85" i="6"/>
  <c r="H52" i="5"/>
  <c r="H86" i="3"/>
  <c r="L96" i="3"/>
  <c r="H96" i="3"/>
  <c r="L21" i="2"/>
  <c r="H21" i="2"/>
  <c r="L41" i="6"/>
  <c r="L76" i="4"/>
  <c r="M97" i="4"/>
  <c r="L97" i="4"/>
  <c r="D109" i="4"/>
  <c r="H75" i="2"/>
  <c r="H42" i="5"/>
  <c r="M86" i="3"/>
  <c r="H63" i="6"/>
  <c r="D85" i="6"/>
  <c r="H9" i="2"/>
  <c r="M85" i="6"/>
  <c r="M19" i="5"/>
  <c r="L86" i="3"/>
  <c r="D96" i="3"/>
  <c r="L9" i="2"/>
  <c r="H85" i="6"/>
  <c r="L19" i="5"/>
  <c r="L107" i="6"/>
  <c r="D86" i="3"/>
  <c r="D98" i="2"/>
  <c r="D107" i="6"/>
  <c r="M9" i="5"/>
  <c r="M9" i="4"/>
  <c r="H98" i="2"/>
  <c r="H8" i="3"/>
  <c r="H9" i="5"/>
  <c r="D9" i="5"/>
  <c r="D9" i="4"/>
  <c r="D64" i="4"/>
  <c r="D9" i="2"/>
  <c r="M76" i="6"/>
  <c r="D19" i="5"/>
  <c r="D8" i="3"/>
  <c r="L52" i="3"/>
  <c r="M98" i="2"/>
  <c r="H76" i="6"/>
  <c r="M107" i="6"/>
  <c r="L8" i="3"/>
  <c r="D52" i="3"/>
  <c r="L9" i="4"/>
  <c r="L98" i="2"/>
  <c r="M75" i="5"/>
  <c r="H9" i="4"/>
  <c r="M54" i="4"/>
  <c r="H65" i="2"/>
  <c r="H32" i="4"/>
  <c r="L19" i="6"/>
  <c r="D52" i="5"/>
  <c r="D75" i="5"/>
  <c r="L76" i="6"/>
  <c r="L9" i="5"/>
  <c r="H107" i="6"/>
  <c r="H52" i="3"/>
  <c r="H54" i="4"/>
  <c r="M8" i="3"/>
  <c r="L64" i="3"/>
  <c r="H85" i="5"/>
  <c r="H85" i="4"/>
  <c r="D76" i="6"/>
  <c r="L19" i="3"/>
  <c r="M52" i="3"/>
  <c r="M85" i="4"/>
  <c r="D42" i="3"/>
  <c r="L75" i="5"/>
  <c r="L31" i="2"/>
  <c r="H75" i="5"/>
  <c r="D19" i="3"/>
  <c r="L54" i="4"/>
  <c r="M64" i="3"/>
  <c r="D65" i="2"/>
  <c r="H42" i="3"/>
  <c r="D31" i="2"/>
  <c r="H19" i="3"/>
  <c r="D54" i="4"/>
  <c r="H64" i="3"/>
  <c r="M65" i="2"/>
  <c r="M19" i="3"/>
  <c r="D74" i="3"/>
  <c r="L42" i="3"/>
  <c r="M42" i="3"/>
  <c r="H31" i="2"/>
  <c r="L85" i="4"/>
  <c r="D64" i="3"/>
  <c r="L65" i="2"/>
  <c r="M31" i="2"/>
  <c r="M74" i="3"/>
  <c r="D32" i="4"/>
  <c r="P32" i="6"/>
  <c r="P29" i="6"/>
  <c r="P21" i="2"/>
  <c r="P18" i="2"/>
  <c r="P32" i="4"/>
  <c r="P29" i="4"/>
  <c r="J35" i="4" l="1"/>
  <c r="J34" i="4"/>
  <c r="N74" i="3"/>
  <c r="N31" i="2"/>
  <c r="J31" i="2"/>
  <c r="N42" i="3"/>
  <c r="N19" i="3"/>
  <c r="N65" i="2"/>
  <c r="J64" i="3"/>
  <c r="J19" i="3"/>
  <c r="J42" i="3"/>
  <c r="N64" i="3"/>
  <c r="J75" i="5"/>
  <c r="N85" i="4"/>
  <c r="N52" i="3"/>
  <c r="J85" i="4"/>
  <c r="J85" i="5"/>
  <c r="N8" i="3"/>
  <c r="J54" i="4"/>
  <c r="J52" i="3"/>
  <c r="J107" i="6"/>
  <c r="J32" i="4"/>
  <c r="J65" i="2"/>
  <c r="N54" i="4"/>
  <c r="J9" i="4"/>
  <c r="N75" i="5"/>
  <c r="N107" i="6"/>
  <c r="J76" i="6"/>
  <c r="N98" i="2"/>
  <c r="N76" i="6"/>
  <c r="J9" i="5"/>
  <c r="J8" i="3"/>
  <c r="J98" i="2"/>
  <c r="N9" i="4"/>
  <c r="N9" i="5"/>
  <c r="J85" i="6"/>
  <c r="N19" i="5"/>
  <c r="N85" i="6"/>
  <c r="J9" i="2"/>
  <c r="J63" i="6"/>
  <c r="N86" i="3"/>
  <c r="J42" i="5"/>
  <c r="J75" i="2"/>
  <c r="N97" i="4"/>
  <c r="J21" i="2"/>
  <c r="J96" i="3"/>
  <c r="J86" i="3"/>
  <c r="J52" i="5"/>
  <c r="N96" i="3"/>
  <c r="N109" i="4"/>
  <c r="N52" i="5"/>
  <c r="N42" i="5"/>
  <c r="N75" i="2"/>
  <c r="N42" i="2"/>
  <c r="N41" i="6"/>
  <c r="J30" i="3"/>
  <c r="J76" i="4"/>
  <c r="N20" i="4"/>
  <c r="J108" i="2"/>
  <c r="N108" i="2"/>
  <c r="J34" i="6"/>
  <c r="J35" i="6"/>
  <c r="J64" i="4"/>
  <c r="J53" i="6"/>
  <c r="J63" i="5"/>
  <c r="J32" i="6"/>
  <c r="N64" i="4"/>
  <c r="J74" i="3"/>
  <c r="N19" i="6"/>
  <c r="N32" i="6"/>
  <c r="N9" i="2"/>
  <c r="J97" i="4"/>
  <c r="N63" i="6"/>
  <c r="J19" i="5"/>
  <c r="J24" i="2"/>
  <c r="J23" i="2"/>
  <c r="N21" i="2"/>
  <c r="J42" i="2"/>
  <c r="J109" i="4"/>
  <c r="J20" i="4"/>
  <c r="N76" i="4"/>
  <c r="J41" i="6"/>
  <c r="J108" i="3"/>
  <c r="N85" i="2"/>
  <c r="N30" i="3"/>
  <c r="N108" i="3"/>
  <c r="N63" i="5"/>
  <c r="J85" i="2"/>
  <c r="J19" i="6"/>
  <c r="N32" i="4"/>
  <c r="N53" i="6"/>
  <c r="N85" i="5"/>
  <c r="B21" i="3"/>
  <c r="B21" i="5"/>
  <c r="B76" i="3"/>
  <c r="B54" i="3"/>
  <c r="B21" i="6"/>
  <c r="B87" i="4"/>
  <c r="B10" i="3"/>
  <c r="B109" i="6"/>
  <c r="B65" i="5"/>
  <c r="B43" i="6"/>
  <c r="B65" i="6"/>
  <c r="B54" i="5"/>
  <c r="B87" i="2"/>
  <c r="B87" i="5"/>
  <c r="B32" i="3"/>
  <c r="B87" i="6"/>
  <c r="B98" i="3"/>
  <c r="H10" i="5"/>
  <c r="H86" i="4"/>
  <c r="M64" i="5"/>
  <c r="H86" i="2"/>
  <c r="D97" i="3"/>
  <c r="M86" i="4"/>
  <c r="H86" i="5"/>
  <c r="M9" i="3"/>
  <c r="M43" i="5"/>
  <c r="D87" i="3"/>
  <c r="D64" i="5"/>
  <c r="D42" i="6"/>
  <c r="M21" i="4"/>
  <c r="L21" i="4"/>
  <c r="L76" i="5"/>
  <c r="H21" i="4"/>
  <c r="D20" i="5"/>
  <c r="H76" i="5"/>
  <c r="M43" i="2"/>
  <c r="H108" i="6"/>
  <c r="D75" i="3"/>
  <c r="D43" i="2"/>
  <c r="M108" i="6"/>
  <c r="M54" i="6"/>
  <c r="D53" i="5"/>
  <c r="D43" i="3"/>
  <c r="H10" i="4"/>
  <c r="D86" i="6"/>
  <c r="M98" i="4"/>
  <c r="L10" i="4"/>
  <c r="D86" i="2"/>
  <c r="M87" i="3"/>
  <c r="D43" i="5"/>
  <c r="H64" i="5"/>
  <c r="H43" i="5"/>
  <c r="M42" i="6"/>
  <c r="M20" i="3"/>
  <c r="D21" i="4"/>
  <c r="L20" i="3"/>
  <c r="M109" i="2"/>
  <c r="D20" i="3"/>
  <c r="D64" i="6"/>
  <c r="H109" i="2"/>
  <c r="L75" i="3"/>
  <c r="L65" i="4"/>
  <c r="L32" i="2"/>
  <c r="H65" i="4"/>
  <c r="H10" i="2"/>
  <c r="H86" i="6"/>
  <c r="D20" i="6"/>
  <c r="M109" i="3"/>
  <c r="D86" i="4"/>
  <c r="L87" i="3"/>
  <c r="L64" i="5"/>
  <c r="D86" i="5"/>
  <c r="L43" i="5"/>
  <c r="H87" i="3"/>
  <c r="M86" i="5"/>
  <c r="L9" i="3"/>
  <c r="L86" i="5"/>
  <c r="M31" i="3"/>
  <c r="L42" i="6"/>
  <c r="L64" i="6"/>
  <c r="H64" i="6"/>
  <c r="H43" i="2"/>
  <c r="D108" i="6"/>
  <c r="M75" i="3"/>
  <c r="M65" i="4"/>
  <c r="M64" i="6"/>
  <c r="L108" i="6"/>
  <c r="D54" i="6"/>
  <c r="D10" i="2"/>
  <c r="H98" i="4"/>
  <c r="D98" i="4"/>
  <c r="L97" i="3"/>
  <c r="H97" i="3"/>
  <c r="H9" i="3"/>
  <c r="D76" i="5"/>
  <c r="L109" i="2"/>
  <c r="D32" i="2"/>
  <c r="L86" i="6"/>
  <c r="L20" i="6"/>
  <c r="H20" i="6"/>
  <c r="M76" i="2"/>
  <c r="M10" i="4"/>
  <c r="M20" i="6"/>
  <c r="H109" i="3"/>
  <c r="M20" i="5"/>
  <c r="D9" i="3"/>
  <c r="L20" i="5"/>
  <c r="L31" i="3"/>
  <c r="D31" i="3"/>
  <c r="H75" i="3"/>
  <c r="M65" i="3"/>
  <c r="L86" i="2"/>
  <c r="D109" i="3"/>
  <c r="H20" i="3"/>
  <c r="H20" i="5"/>
  <c r="M76" i="5"/>
  <c r="H42" i="6"/>
  <c r="H31" i="3"/>
  <c r="L43" i="2"/>
  <c r="M32" i="2"/>
  <c r="D109" i="2"/>
  <c r="H53" i="3"/>
  <c r="H43" i="3"/>
  <c r="D53" i="3"/>
  <c r="L43" i="3"/>
  <c r="H65" i="3"/>
  <c r="H76" i="2"/>
  <c r="L10" i="5"/>
  <c r="H32" i="2"/>
  <c r="M53" i="3"/>
  <c r="L10" i="2"/>
  <c r="M53" i="5"/>
  <c r="H54" i="6"/>
  <c r="D65" i="4"/>
  <c r="D65" i="3"/>
  <c r="L53" i="3"/>
  <c r="M10" i="2"/>
  <c r="H53" i="5"/>
  <c r="L54" i="6"/>
  <c r="M43" i="3"/>
  <c r="L65" i="3"/>
  <c r="L53" i="5"/>
  <c r="D76" i="2"/>
  <c r="L98" i="4"/>
  <c r="L76" i="2"/>
  <c r="M86" i="6"/>
  <c r="D10" i="4"/>
  <c r="D10" i="5"/>
  <c r="M97" i="3"/>
  <c r="M10" i="5"/>
  <c r="M86" i="2"/>
  <c r="L109" i="3"/>
  <c r="L86" i="4"/>
  <c r="P21" i="4"/>
  <c r="P18" i="4"/>
  <c r="P40" i="5"/>
  <c r="P43" i="5"/>
  <c r="P40" i="2"/>
  <c r="P43" i="2"/>
  <c r="P32" i="2"/>
  <c r="P29" i="2"/>
  <c r="P10" i="2"/>
  <c r="P7" i="2"/>
  <c r="P43" i="3"/>
  <c r="P40" i="3"/>
  <c r="P10" i="4"/>
  <c r="P7" i="4"/>
  <c r="P7" i="5"/>
  <c r="P10" i="5"/>
  <c r="N86" i="2" l="1"/>
  <c r="N10" i="5"/>
  <c r="N97" i="3"/>
  <c r="J12" i="5"/>
  <c r="J13" i="5"/>
  <c r="J13" i="4"/>
  <c r="J12" i="4"/>
  <c r="N86" i="6"/>
  <c r="N43" i="3"/>
  <c r="J53" i="5"/>
  <c r="N10" i="2"/>
  <c r="J54" i="6"/>
  <c r="N53" i="5"/>
  <c r="N53" i="3"/>
  <c r="J32" i="2"/>
  <c r="J76" i="2"/>
  <c r="J65" i="3"/>
  <c r="J43" i="3"/>
  <c r="J53" i="3"/>
  <c r="N32" i="2"/>
  <c r="J31" i="3"/>
  <c r="J42" i="6"/>
  <c r="N76" i="5"/>
  <c r="J20" i="5"/>
  <c r="J20" i="3"/>
  <c r="N65" i="3"/>
  <c r="J75" i="3"/>
  <c r="N20" i="5"/>
  <c r="J109" i="3"/>
  <c r="N20" i="6"/>
  <c r="N10" i="4"/>
  <c r="N76" i="2"/>
  <c r="J20" i="6"/>
  <c r="J34" i="2"/>
  <c r="J35" i="2"/>
  <c r="J9" i="3"/>
  <c r="J97" i="3"/>
  <c r="J98" i="4"/>
  <c r="J13" i="2"/>
  <c r="J12" i="2"/>
  <c r="N64" i="6"/>
  <c r="N65" i="4"/>
  <c r="N75" i="3"/>
  <c r="J43" i="2"/>
  <c r="J64" i="6"/>
  <c r="N31" i="3"/>
  <c r="N86" i="5"/>
  <c r="J87" i="3"/>
  <c r="N109" i="3"/>
  <c r="J86" i="6"/>
  <c r="J10" i="2"/>
  <c r="J65" i="4"/>
  <c r="J109" i="2"/>
  <c r="N109" i="2"/>
  <c r="J24" i="4"/>
  <c r="J23" i="4"/>
  <c r="N20" i="3"/>
  <c r="N42" i="6"/>
  <c r="J43" i="5"/>
  <c r="J64" i="5"/>
  <c r="J45" i="5"/>
  <c r="J46" i="5"/>
  <c r="N87" i="3"/>
  <c r="N98" i="4"/>
  <c r="J10" i="4"/>
  <c r="J46" i="3"/>
  <c r="J45" i="3"/>
  <c r="N54" i="6"/>
  <c r="N108" i="6"/>
  <c r="J46" i="2"/>
  <c r="J45" i="2"/>
  <c r="J108" i="6"/>
  <c r="N43" i="2"/>
  <c r="J76" i="5"/>
  <c r="J21" i="4"/>
  <c r="N21" i="4"/>
  <c r="N43" i="5"/>
  <c r="N9" i="3"/>
  <c r="J86" i="5"/>
  <c r="N86" i="4"/>
  <c r="J86" i="2"/>
  <c r="N64" i="5"/>
  <c r="J86" i="4"/>
  <c r="J10" i="5"/>
  <c r="D21" i="3"/>
  <c r="L10" i="3"/>
  <c r="M10" i="3"/>
  <c r="D10" i="3"/>
  <c r="D43" i="6"/>
  <c r="L87" i="4"/>
  <c r="H21" i="6"/>
  <c r="L76" i="3"/>
  <c r="M76" i="3"/>
  <c r="H76" i="3"/>
  <c r="M109" i="6"/>
  <c r="D109" i="6"/>
  <c r="D54" i="5"/>
  <c r="M65" i="5"/>
  <c r="L65" i="5"/>
  <c r="L65" i="6"/>
  <c r="H87" i="5"/>
  <c r="D65" i="6"/>
  <c r="L21" i="3"/>
  <c r="H10" i="3"/>
  <c r="M21" i="3"/>
  <c r="H21" i="3"/>
  <c r="H43" i="6"/>
  <c r="H87" i="4"/>
  <c r="D87" i="4"/>
  <c r="L43" i="6"/>
  <c r="M43" i="6"/>
  <c r="M87" i="2"/>
  <c r="H87" i="2"/>
  <c r="D87" i="2"/>
  <c r="D21" i="5"/>
  <c r="H54" i="3"/>
  <c r="M54" i="3"/>
  <c r="L109" i="6"/>
  <c r="D87" i="6"/>
  <c r="H65" i="5"/>
  <c r="D32" i="3"/>
  <c r="H65" i="6"/>
  <c r="D87" i="5"/>
  <c r="L21" i="6"/>
  <c r="H109" i="6"/>
  <c r="H32" i="3"/>
  <c r="H54" i="5"/>
  <c r="M87" i="5"/>
  <c r="M21" i="6"/>
  <c r="D54" i="3"/>
  <c r="H21" i="5"/>
  <c r="L98" i="3"/>
  <c r="D98" i="3"/>
  <c r="M87" i="4"/>
  <c r="L87" i="2"/>
  <c r="D21" i="6"/>
  <c r="L54" i="3"/>
  <c r="M21" i="5"/>
  <c r="L21" i="5"/>
  <c r="L87" i="6"/>
  <c r="M98" i="3"/>
  <c r="L32" i="3"/>
  <c r="M87" i="6"/>
  <c r="D76" i="3"/>
  <c r="H87" i="6"/>
  <c r="L54" i="5"/>
  <c r="D65" i="5"/>
  <c r="M54" i="5"/>
  <c r="M32" i="3"/>
  <c r="L87" i="5"/>
  <c r="H98" i="3"/>
  <c r="M65" i="6"/>
  <c r="P7" i="3"/>
  <c r="P10" i="3"/>
  <c r="P21" i="3"/>
  <c r="P18" i="3"/>
  <c r="P43" i="6"/>
  <c r="P40" i="6"/>
  <c r="P21" i="6"/>
  <c r="P18" i="6"/>
  <c r="P18" i="5"/>
  <c r="P21" i="5"/>
  <c r="P32" i="3"/>
  <c r="P29" i="3"/>
  <c r="N65" i="6" l="1"/>
  <c r="J98" i="3"/>
  <c r="N32" i="3"/>
  <c r="N54" i="5"/>
  <c r="J87" i="6"/>
  <c r="N87" i="6"/>
  <c r="N98" i="3"/>
  <c r="N21" i="5"/>
  <c r="J23" i="6"/>
  <c r="J24" i="6"/>
  <c r="N87" i="4"/>
  <c r="J21" i="5"/>
  <c r="N21" i="6"/>
  <c r="N87" i="5"/>
  <c r="J54" i="5"/>
  <c r="J32" i="3"/>
  <c r="J109" i="6"/>
  <c r="J65" i="6"/>
  <c r="J35" i="3"/>
  <c r="J34" i="3"/>
  <c r="J65" i="5"/>
  <c r="N54" i="3"/>
  <c r="J54" i="3"/>
  <c r="J23" i="5"/>
  <c r="J24" i="5"/>
  <c r="J87" i="2"/>
  <c r="N87" i="2"/>
  <c r="N43" i="6"/>
  <c r="J87" i="4"/>
  <c r="J43" i="6"/>
  <c r="J21" i="3"/>
  <c r="N21" i="3"/>
  <c r="J10" i="3"/>
  <c r="J87" i="5"/>
  <c r="N65" i="5"/>
  <c r="N109" i="6"/>
  <c r="J76" i="3"/>
  <c r="N76" i="3"/>
  <c r="J21" i="6"/>
  <c r="J45" i="6"/>
  <c r="J46" i="6"/>
  <c r="J13" i="3"/>
  <c r="J12" i="3"/>
  <c r="N10" i="3"/>
  <c r="J23" i="3"/>
  <c r="J24" i="3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<sst xmlns="http://schemas.openxmlformats.org/spreadsheetml/2006/main" count="7258" uniqueCount="189">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</sst>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E6-4812-9BA6-8FC5EB90964B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36.461719999999993</c:v>
                </c:pt>
                <c:pt idx="1">
                  <c:v>50.769944000000002</c:v>
                </c:pt>
                <c:pt idx="2">
                  <c:v>71.059631999999993</c:v>
                </c:pt>
                <c:pt idx="3">
                  <c:v>98.682463999999996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27.561736799999998</c:v>
                </c:pt>
                <c:pt idx="1">
                  <c:v>30.374949800000003</c:v>
                </c:pt>
                <c:pt idx="2">
                  <c:v>34.221392000000002</c:v>
                </c:pt>
                <c:pt idx="3">
                  <c:v>36.309082800000006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E6-4812-9BA6-8FC5EB90964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E6-4812-9BA6-8FC5EB90964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E6-4812-9BA6-8FC5EB909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88-4EE9-83B2-BD1DFFE3F3F1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26.739648000000006</c:v>
                </c:pt>
                <c:pt idx="1">
                  <c:v>37.120736000000001</c:v>
                </c:pt>
                <c:pt idx="2">
                  <c:v>53.535511999999997</c:v>
                </c:pt>
                <c:pt idx="3">
                  <c:v>76.459632000000013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30.241876619047627</c:v>
                </c:pt>
                <c:pt idx="1">
                  <c:v>32.613418238095235</c:v>
                </c:pt>
                <c:pt idx="2">
                  <c:v>35.264320047619051</c:v>
                </c:pt>
                <c:pt idx="3">
                  <c:v>37.807356999999996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88-4EE9-83B2-BD1DFFE3F3F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26.739648000000006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88-4EE9-83B2-BD1DFFE3F3F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26.739648000000006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88-4EE9-83B2-BD1DFFE3F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846-8B7F-A3ECD2FB41E1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27.530712000000001</c:v>
                </c:pt>
                <c:pt idx="1">
                  <c:v>38.305184000000004</c:v>
                </c:pt>
                <c:pt idx="2">
                  <c:v>55.439279999999997</c:v>
                </c:pt>
                <c:pt idx="3">
                  <c:v>79.278768000000014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30.177891380952381</c:v>
                </c:pt>
                <c:pt idx="1">
                  <c:v>32.564166476190486</c:v>
                </c:pt>
                <c:pt idx="2">
                  <c:v>35.306791523809522</c:v>
                </c:pt>
                <c:pt idx="3">
                  <c:v>37.504488095238095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846-8B7F-A3ECD2FB41E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27.530712000000001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846-8B7F-A3ECD2FB41E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27.530712000000001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846-8B7F-A3ECD2FB4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88-4FAC-AC44-640C08026415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88-4FAC-AC44-640C0802641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88-4FAC-AC44-640C0802641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88-4FAC-AC44-640C08026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DF-4A88-9499-1C456781CC0C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DF-4A88-9499-1C456781CC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DF-4A88-9499-1C456781CC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DF-4A88-9499-1C456781C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F-4D98-8D03-14E6A49F8522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CF-4D98-8D03-14E6A49F852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CF-4D98-8D03-14E6A49F852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CF-4D98-8D03-14E6A49F8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38-4C16-86A6-6C3E1E28211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38-4C16-86A6-6C3E1E28211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38-4C16-86A6-6C3E1E282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70-490A-936A-9135DB24298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70-490A-936A-9135DB24298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70-490A-936A-9135DB242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99-4976-8C2F-9C86F493B9E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99-4976-8C2F-9C86F493B9E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99-4976-8C2F-9C86F493B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AA-4021-B05D-DB7687645BE0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35.641480000000001</c:v>
                </c:pt>
                <c:pt idx="1">
                  <c:v>49.550224000000007</c:v>
                </c:pt>
                <c:pt idx="2">
                  <c:v>69.186312000000001</c:v>
                </c:pt>
                <c:pt idx="3">
                  <c:v>95.964855999999983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27.617395266666669</c:v>
                </c:pt>
                <c:pt idx="1">
                  <c:v>30.290257133333334</c:v>
                </c:pt>
                <c:pt idx="2">
                  <c:v>34.320754933333333</c:v>
                </c:pt>
                <c:pt idx="3">
                  <c:v>36.510764733333332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AA-4021-B05D-DB7687645BE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AA-4021-B05D-DB7687645BE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AA-4021-B05D-DB7687645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33-4332-9E60-EF13F4B8C44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36.461719999999993</c:v>
                </c:pt>
                <c:pt idx="1">
                  <c:v>50.769944000000002</c:v>
                </c:pt>
                <c:pt idx="2">
                  <c:v>71.059631999999993</c:v>
                </c:pt>
                <c:pt idx="3">
                  <c:v>98.682463999999996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32.576104466666671</c:v>
                </c:pt>
                <c:pt idx="1">
                  <c:v>34.967668866666671</c:v>
                </c:pt>
                <c:pt idx="2">
                  <c:v>38.37607460000001</c:v>
                </c:pt>
                <c:pt idx="3">
                  <c:v>40.396074333333338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33-4332-9E60-EF13F4B8C44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33-4332-9E60-EF13F4B8C44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33-4332-9E60-EF13F4B8C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AB-417C-B273-A683F6D55228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26.739648000000006</c:v>
                </c:pt>
                <c:pt idx="1">
                  <c:v>37.120736000000001</c:v>
                </c:pt>
                <c:pt idx="2">
                  <c:v>53.535511999999997</c:v>
                </c:pt>
                <c:pt idx="3">
                  <c:v>76.459632000000013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33.897737666666664</c:v>
                </c:pt>
                <c:pt idx="1">
                  <c:v>36.197976190476197</c:v>
                </c:pt>
                <c:pt idx="2">
                  <c:v>39.098380571428571</c:v>
                </c:pt>
                <c:pt idx="3">
                  <c:v>41.7223238095238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AB-417C-B273-A683F6D5522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26.739648000000006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AB-417C-B273-A683F6D5522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26.739648000000006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AB-417C-B273-A683F6D55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02-453C-8EC4-658A433FD204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27.530712000000001</c:v>
                </c:pt>
                <c:pt idx="1">
                  <c:v>38.305184000000004</c:v>
                </c:pt>
                <c:pt idx="2">
                  <c:v>55.439279999999997</c:v>
                </c:pt>
                <c:pt idx="3">
                  <c:v>79.278768000000014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33.856723809523807</c:v>
                </c:pt>
                <c:pt idx="1">
                  <c:v>36.125545428571428</c:v>
                </c:pt>
                <c:pt idx="2">
                  <c:v>39.185180619047621</c:v>
                </c:pt>
                <c:pt idx="3">
                  <c:v>41.483027999999997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02-453C-8EC4-658A433FD20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27.530712000000001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02-453C-8EC4-658A433FD20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27.530712000000001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02-453C-8EC4-658A433FD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85-4788-AF9E-F54EE54AFAA2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85-4788-AF9E-F54EE54AFAA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85-4788-AF9E-F54EE54AFAA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E85-4788-AF9E-F54EE54AF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57-4AE8-AD9A-9D6DC17A8C9A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57-4AE8-AD9A-9D6DC17A8C9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57-4AE8-AD9A-9D6DC17A8C9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57-4AE8-AD9A-9D6DC17A8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E-46D4-9E31-89F0472518DA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E-46D4-9E31-89F0472518D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CE-46D4-9E31-89F0472518D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CE-46D4-9E31-89F047251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5-4DBE-BCFA-DC8F40C1A9B3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5-4DBE-BCFA-DC8F40C1A9B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B5-4DBE-BCFA-DC8F40C1A9B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B5-4DBE-BCFA-DC8F40C1A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0B-4B6E-A24D-14DE880BD35D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0B-4B6E-A24D-14DE880BD35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0B-4B6E-A24D-14DE880BD35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0B-4B6E-A24D-14DE880BD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D-4562-81F8-2869932B71E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4D-4562-81F8-2869932B71E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4D-4562-81F8-2869932B7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CE-424F-8DDE-7D264BDC3F54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35.641480000000001</c:v>
                </c:pt>
                <c:pt idx="1">
                  <c:v>49.550224000000007</c:v>
                </c:pt>
                <c:pt idx="2">
                  <c:v>69.186312000000001</c:v>
                </c:pt>
                <c:pt idx="3">
                  <c:v>95.964855999999983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32.723303866666669</c:v>
                </c:pt>
                <c:pt idx="1">
                  <c:v>35.002165133333328</c:v>
                </c:pt>
                <c:pt idx="2">
                  <c:v>38.47537233333334</c:v>
                </c:pt>
                <c:pt idx="3">
                  <c:v>40.600603333333325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CE-424F-8DDE-7D264BDC3F5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CE-424F-8DDE-7D264BDC3F5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CE-424F-8DDE-7D264BDC3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E-475C-9CCD-C7BAD517E627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36.461719999999993</c:v>
                </c:pt>
                <c:pt idx="1">
                  <c:v>50.769944000000002</c:v>
                </c:pt>
                <c:pt idx="2">
                  <c:v>71.059631999999993</c:v>
                </c:pt>
                <c:pt idx="3">
                  <c:v>98.682463999999996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0.9564686493333332</c:v>
                </c:pt>
                <c:pt idx="1">
                  <c:v>0.97288458266666666</c:v>
                </c:pt>
                <c:pt idx="2">
                  <c:v>0.98603511066666671</c:v>
                </c:pt>
                <c:pt idx="3">
                  <c:v>0.99085907133333351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E-475C-9CCD-C7BAD517E62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E-475C-9CCD-C7BAD517E62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E-475C-9CCD-C7BAD517E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6D-44DE-BADE-088C906F0BBF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26.739648000000006</c:v>
                </c:pt>
                <c:pt idx="1">
                  <c:v>37.120736000000001</c:v>
                </c:pt>
                <c:pt idx="2">
                  <c:v>53.535511999999997</c:v>
                </c:pt>
                <c:pt idx="3">
                  <c:v>76.459632000000013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0.96639985809523798</c:v>
                </c:pt>
                <c:pt idx="1">
                  <c:v>0.97844732142857149</c:v>
                </c:pt>
                <c:pt idx="2">
                  <c:v>0.98765202761904747</c:v>
                </c:pt>
                <c:pt idx="3">
                  <c:v>0.99286534428571449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6D-44DE-BADE-088C906F0BB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26.739648000000006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6D-44DE-BADE-088C906F0BB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26.739648000000006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6D-44DE-BADE-088C906F0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2-4521-B134-40E64A0ADB35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27.530712000000001</c:v>
                </c:pt>
                <c:pt idx="1">
                  <c:v>38.305184000000004</c:v>
                </c:pt>
                <c:pt idx="2">
                  <c:v>55.439279999999997</c:v>
                </c:pt>
                <c:pt idx="3">
                  <c:v>79.278768000000014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0.96528989714285718</c:v>
                </c:pt>
                <c:pt idx="1">
                  <c:v>0.97744502238095232</c:v>
                </c:pt>
                <c:pt idx="2">
                  <c:v>0.98735674095238102</c:v>
                </c:pt>
                <c:pt idx="3">
                  <c:v>0.99255237714285693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2-4521-B134-40E64A0ADB3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27.530712000000001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E2-4521-B134-40E64A0ADB3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27.530712000000001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E2-4521-B134-40E64A0AD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4A-4B57-A4DA-72956234730C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4A-4B57-A4DA-7295623473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4A-4B57-A4DA-7295623473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4A-4B57-A4DA-729562347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6B-41A3-9DF0-A8ACA798438D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6B-41A3-9DF0-A8ACA798438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6B-41A3-9DF0-A8ACA798438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6B-41A3-9DF0-A8ACA7984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DC-43B9-9BA3-5CE885C57FBA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DC-43B9-9BA3-5CE885C57FB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DC-43B9-9BA3-5CE885C57FB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DC-43B9-9BA3-5CE885C57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5C-47AD-B12A-B1AFE128AE1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5C-47AD-B12A-B1AFE128AE1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5C-47AD-B12A-B1AFE128A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BD-45DF-9580-7517005B4D6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BD-45DF-9580-7517005B4D6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BD-45DF-9580-7517005B4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1C-4CDA-87CD-81373020BCE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1C-4CDA-87CD-81373020BCE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1C-4CDA-87CD-81373020B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C-496B-84A4-A24E0846B6B6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35.641480000000001</c:v>
                </c:pt>
                <c:pt idx="1">
                  <c:v>49.550224000000007</c:v>
                </c:pt>
                <c:pt idx="2">
                  <c:v>69.186312000000001</c:v>
                </c:pt>
                <c:pt idx="3">
                  <c:v>95.964855999999983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0.95777505866666668</c:v>
                </c:pt>
                <c:pt idx="1">
                  <c:v>0.97375051266666668</c:v>
                </c:pt>
                <c:pt idx="2">
                  <c:v>0.98652947999999996</c:v>
                </c:pt>
                <c:pt idx="3">
                  <c:v>0.99133626799999996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3C-496B-84A4-A24E0846B6B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3C-496B-84A4-A24E0846B6B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3C-496B-84A4-A24E0846B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F6-4600-969A-35C2491F9C7A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36.461719999999993</c:v>
                </c:pt>
                <c:pt idx="1">
                  <c:v>50.769944000000002</c:v>
                </c:pt>
                <c:pt idx="2">
                  <c:v>71.059631999999993</c:v>
                </c:pt>
                <c:pt idx="3">
                  <c:v>98.682463999999996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0.95642119800000003</c:v>
                </c:pt>
                <c:pt idx="1">
                  <c:v>0.97106037266666645</c:v>
                </c:pt>
                <c:pt idx="2">
                  <c:v>0.98729001133333349</c:v>
                </c:pt>
                <c:pt idx="3">
                  <c:v>0.99312141733333337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F6-4600-969A-35C2491F9C7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F6-4600-969A-35C2491F9C7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F6-4600-969A-35C2491F9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BF-42FE-90F0-05BEC26D5576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26.739648000000006</c:v>
                </c:pt>
                <c:pt idx="1">
                  <c:v>37.120736000000001</c:v>
                </c:pt>
                <c:pt idx="2">
                  <c:v>53.535511999999997</c:v>
                </c:pt>
                <c:pt idx="3">
                  <c:v>76.459632000000013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0.97367620190476212</c:v>
                </c:pt>
                <c:pt idx="1">
                  <c:v>0.9829820895238095</c:v>
                </c:pt>
                <c:pt idx="2">
                  <c:v>0.99070322</c:v>
                </c:pt>
                <c:pt idx="3">
                  <c:v>0.9947125476190477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BF-42FE-90F0-05BEC26D557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26.739648000000006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BF-42FE-90F0-05BEC26D557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26.739648000000006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BF-42FE-90F0-05BEC26D5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FD-413F-8E89-D68976128BBE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27.530712000000001</c:v>
                </c:pt>
                <c:pt idx="1">
                  <c:v>38.305184000000004</c:v>
                </c:pt>
                <c:pt idx="2">
                  <c:v>55.439279999999997</c:v>
                </c:pt>
                <c:pt idx="3">
                  <c:v>79.278768000000014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0.97285383714285756</c:v>
                </c:pt>
                <c:pt idx="1">
                  <c:v>0.98257304761904773</c:v>
                </c:pt>
                <c:pt idx="2">
                  <c:v>0.99067461142857149</c:v>
                </c:pt>
                <c:pt idx="3">
                  <c:v>0.99457991000000001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FD-413F-8E89-D68976128BB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27.530712000000001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FD-413F-8E89-D68976128BB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27.530712000000001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FD-413F-8E89-D68976128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4E-4FCE-9146-FF935E1E7A2C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4E-4FCE-9146-FF935E1E7A2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4E-4FCE-9146-FF935E1E7A2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4E-4FCE-9146-FF935E1E7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94-4256-B637-122A21DD484F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94-4256-B637-122A21DD484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94-4256-B637-122A21DD484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94-4256-B637-122A21DD4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10-4F2B-823C-7E6F6FA5991F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10-4F2B-823C-7E6F6FA5991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10-4F2B-823C-7E6F6FA5991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10-4F2B-823C-7E6F6FA5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E8-4A7A-9BEB-65A68A5CF7D0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E8-4A7A-9BEB-65A68A5CF7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E8-4A7A-9BEB-65A68A5CF7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E8-4A7A-9BEB-65A68A5CF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1E-4C1A-9043-92AA5C0B5DA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1E-4C1A-9043-92AA5C0B5DA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1E-4C1A-9043-92AA5C0B5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41-4867-B6C4-0A37A847C30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41-4867-B6C4-0A37A847C30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41-4867-B6C4-0A37A847C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8C-4185-AFFE-BABA38BCEF9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8C-4185-AFFE-BABA38BCEF9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8C-4185-AFFE-BABA38BCE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35-4512-BEC0-307F8DCB2BA2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35.641480000000001</c:v>
                </c:pt>
                <c:pt idx="1">
                  <c:v>49.550224000000007</c:v>
                </c:pt>
                <c:pt idx="2">
                  <c:v>69.186312000000001</c:v>
                </c:pt>
                <c:pt idx="3">
                  <c:v>95.964855999999983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0.95699824933333355</c:v>
                </c:pt>
                <c:pt idx="1">
                  <c:v>0.97153591266666661</c:v>
                </c:pt>
                <c:pt idx="2">
                  <c:v>0.98760085200000003</c:v>
                </c:pt>
                <c:pt idx="3">
                  <c:v>0.99304005266666662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35-4512-BEC0-307F8DCB2BA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35-4512-BEC0-307F8DCB2BA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35-4512-BEC0-307F8DCB2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DF-4EC3-8185-F1884089AEF5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36.461719999999993</c:v>
                </c:pt>
                <c:pt idx="1">
                  <c:v>50.769944000000002</c:v>
                </c:pt>
                <c:pt idx="2">
                  <c:v>71.059631999999993</c:v>
                </c:pt>
                <c:pt idx="3">
                  <c:v>98.682463999999996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6.8080231266666666E-2</c:v>
                </c:pt>
                <c:pt idx="1">
                  <c:v>4.4499089333333332E-2</c:v>
                </c:pt>
                <c:pt idx="2">
                  <c:v>2.6686614666666664E-2</c:v>
                </c:pt>
                <c:pt idx="3">
                  <c:v>1.9900358933333331E-2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DF-4EC3-8185-F1884089AEF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DF-4EC3-8185-F1884089AEF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DF-4EC3-8185-F1884089A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3D-4EC5-A0D4-FB05C510DAA9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26.739648000000006</c:v>
                </c:pt>
                <c:pt idx="1">
                  <c:v>37.120736000000001</c:v>
                </c:pt>
                <c:pt idx="2">
                  <c:v>53.535511999999997</c:v>
                </c:pt>
                <c:pt idx="3">
                  <c:v>76.459632000000013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6.3844472619047618E-2</c:v>
                </c:pt>
                <c:pt idx="1">
                  <c:v>4.5337210428571431E-2</c:v>
                </c:pt>
                <c:pt idx="2">
                  <c:v>2.9822962904761909E-2</c:v>
                </c:pt>
                <c:pt idx="3">
                  <c:v>1.6367061214285709E-2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3D-4EC5-A0D4-FB05C510DA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26.739648000000006</c:v>
                </c:pt>
                <c:pt idx="1">
                  <c:v>86.991584000000003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3D-4EC5-A0D4-FB05C510DA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26.739648000000006</c:v>
                </c:pt>
                <c:pt idx="1">
                  <c:v>86.991584000000003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3D-4EC5-A0D4-FB05C510D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5C-4317-BA4A-6B1405C08120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27.530712000000001</c:v>
                </c:pt>
                <c:pt idx="1">
                  <c:v>38.305184000000004</c:v>
                </c:pt>
                <c:pt idx="2">
                  <c:v>55.439279999999997</c:v>
                </c:pt>
                <c:pt idx="3">
                  <c:v>79.278768000000014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6.5891339714285707E-2</c:v>
                </c:pt>
                <c:pt idx="1">
                  <c:v>4.6556572761904759E-2</c:v>
                </c:pt>
                <c:pt idx="2">
                  <c:v>3.0308393190476197E-2</c:v>
                </c:pt>
                <c:pt idx="3">
                  <c:v>1.747149207142857E-2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5C-4317-BA4A-6B1405C0812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27.530712000000001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5C-4317-BA4A-6B1405C0812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27.530712000000001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5C-4317-BA4A-6B1405C0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4D-44A3-8974-765905E55166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4D-44A3-8974-765905E5516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4D-44A3-8974-765905E5516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4D-44A3-8974-765905E55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51-4297-9776-53B7B9034C02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51-4297-9776-53B7B9034C0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51-4297-9776-53B7B9034C0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51-4297-9776-53B7B9034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F5-400D-9225-1560CD7644E0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F5-400D-9225-1560CD7644E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F5-400D-9225-1560CD7644E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F5-400D-9225-1560CD764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21-47E2-ABFB-4A8B03291A3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21-47E2-ABFB-4A8B03291A3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21-47E2-ABFB-4A8B0329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44-4A98-A974-5A7227ADB47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44-4A98-A974-5A7227ADB47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44-4A98-A974-5A7227ADB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C0-47B8-9F2D-924223B8BD6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C0-47B8-9F2D-924223B8BD6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C0-47B8-9F2D-924223B8B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E7-4E26-AE03-4A03EC975D6E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35.641480000000001</c:v>
                </c:pt>
                <c:pt idx="1">
                  <c:v>49.550224000000007</c:v>
                </c:pt>
                <c:pt idx="2">
                  <c:v>69.186312000000001</c:v>
                </c:pt>
                <c:pt idx="3">
                  <c:v>95.964855999999983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6.5672333400000005E-2</c:v>
                </c:pt>
                <c:pt idx="1">
                  <c:v>4.2936742199999989E-2</c:v>
                </c:pt>
                <c:pt idx="2">
                  <c:v>2.607193066666667E-2</c:v>
                </c:pt>
                <c:pt idx="3">
                  <c:v>1.9035381866666666E-2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E7-4E26-AE03-4A03EC975D6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E7-4E26-AE03-4A03EC975D6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36.461719999999993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E7-4E26-AE03-4A03EC975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C3" sqref="C3:H3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>
        <f t="shared" ref="D9:D18" ca="1" si="1">INDIRECT($C9&amp;"!AM$5")</f>
        <v>-3.1719318811556541E-2</v>
      </c>
      <c r="E9" s="218">
        <f t="shared" ref="E9:E18" ca="1" si="2">INDIRECT($C9&amp;"!AN$5")</f>
        <v>-2.9961631416134171E-2</v>
      </c>
      <c r="F9" s="218">
        <f t="shared" ref="F9:F18" ca="1" si="3">INDIRECT($C9&amp;"!AO$5")</f>
        <v>-2.5898739655413339E-2</v>
      </c>
      <c r="G9" s="218">
        <f t="shared" ref="G9:G18" ca="1" si="4">INDIRECT($C9&amp;"!AP$5")</f>
        <v>-3.989694901267149E-2</v>
      </c>
      <c r="H9" s="219">
        <f t="shared" ref="H9:H18" ca="1" si="5">INDIRECT($C9&amp;"!AQ$5")</f>
        <v>-4.0431481177592654E-2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>
        <f t="shared" ca="1" si="1"/>
        <v>-2.9402333149973425E-2</v>
      </c>
      <c r="E10" s="218">
        <f t="shared" ca="1" si="2"/>
        <v>-2.9166341486555503E-2</v>
      </c>
      <c r="F10" s="218">
        <f t="shared" ca="1" si="3"/>
        <v>-2.8506499583346945E-2</v>
      </c>
      <c r="G10" s="218">
        <f t="shared" ca="1" si="4"/>
        <v>-4.1462791775943808E-2</v>
      </c>
      <c r="H10" s="221">
        <f t="shared" ca="1" si="5"/>
        <v>-4.206764003016672E-2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9.616480232661484E-3</v>
      </c>
      <c r="E11" s="218">
        <f t="shared" ca="1" si="2"/>
        <v>1.0218301748177616E-2</v>
      </c>
      <c r="F11" s="218">
        <f t="shared" ca="1" si="3"/>
        <v>-1.8892237352850283E-2</v>
      </c>
      <c r="G11" s="218">
        <f t="shared" ca="1" si="4"/>
        <v>-1.2750426234563017E-2</v>
      </c>
      <c r="H11" s="221">
        <f t="shared" ca="1" si="5"/>
        <v>-3.1876933303202293E-2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>
        <f t="shared" ca="1" si="1"/>
        <v>4.1991329383310738E-3</v>
      </c>
      <c r="E12" s="218">
        <f t="shared" ca="1" si="2"/>
        <v>3.7465085060670589E-3</v>
      </c>
      <c r="F12" s="218">
        <f t="shared" ca="1" si="3"/>
        <v>-2.3534904121044753E-2</v>
      </c>
      <c r="G12" s="218">
        <f t="shared" ca="1" si="4"/>
        <v>-2.0733297627782088E-2</v>
      </c>
      <c r="H12" s="221">
        <f t="shared" ca="1" si="5"/>
        <v>-3.5852344099715272E-2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 t="e">
        <f ca="1">IF(COUNTIF(D10:D15,"=0")&gt;0,0,AVERAGE(D10:D15))</f>
        <v>#REF!</v>
      </c>
      <c r="E19" s="222" t="e">
        <f ca="1">IF(COUNTIF(E10:E15,"=0")&gt;0,0,AVERAGE(E10:E15))</f>
        <v>#REF!</v>
      </c>
      <c r="F19" s="222" t="e">
        <f ca="1">IF(COUNTIF(F10:F15,"=0")&gt;0,0,AVERAGE(F10:F15))</f>
        <v>#REF!</v>
      </c>
      <c r="G19" s="222" t="e">
        <f ca="1">IF(COUNTIF(G10:G15,"=0")&gt;0,0,AVERAGE(G10:G15))</f>
        <v>#REF!</v>
      </c>
      <c r="H19" s="223" t="e">
        <f ca="1">IF(COUNTIF(H10:H15,"=0")&gt;0,0,AVERAGE(H10:H15))</f>
        <v>#REF!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23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35.641480000000001</v>
      </c>
      <c r="I7" s="10"/>
      <c r="J7" s="228">
        <f ca="1">H7/D7-1</f>
        <v>-3.7587402012968174E-2</v>
      </c>
      <c r="L7" s="74">
        <f ca="1">INDIRECT($B7&amp;"!"&amp;L$3&amp;"5")</f>
        <v>27.262733600000001</v>
      </c>
      <c r="M7" s="75">
        <f ca="1">INDIRECT($B7&amp;"!"&amp;M$3&amp;"5")</f>
        <v>27.617395266666669</v>
      </c>
      <c r="N7" s="76">
        <f ca="1">M7-L7</f>
        <v>0.35466166666666865</v>
      </c>
      <c r="O7" s="226"/>
      <c r="P7" s="228">
        <f ca="1">bdrate(D7:D10,L7:L10,H7:H10,M7:M10)</f>
        <v>-3.1719318811556985E-2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49.550224000000007</v>
      </c>
      <c r="I8" s="10"/>
      <c r="J8" s="228">
        <f ca="1">H8/D8-1</f>
        <v>-6.9364154901579433E-2</v>
      </c>
      <c r="L8" s="74">
        <f ca="1">INDIRECT($B8&amp;"!"&amp;L$3&amp;"6")</f>
        <v>30.5955504</v>
      </c>
      <c r="M8" s="75">
        <f ca="1">INDIRECT($B8&amp;"!"&amp;M$3&amp;"6")</f>
        <v>30.290257133333334</v>
      </c>
      <c r="N8" s="76">
        <f ca="1">M8-L8</f>
        <v>-0.30529326666666634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69.186312000000001</v>
      </c>
      <c r="I9" s="10"/>
      <c r="J9" s="228">
        <f ca="1">H9/D9-1</f>
        <v>-9.8823685348257029E-2</v>
      </c>
      <c r="L9" s="74">
        <f ca="1">INDIRECT($B9&amp;"!"&amp;L$3&amp;"7")</f>
        <v>35.178384000000008</v>
      </c>
      <c r="M9" s="75">
        <f ca="1">INDIRECT($B9&amp;"!"&amp;M$3&amp;"7")</f>
        <v>34.320754933333333</v>
      </c>
      <c r="N9" s="76">
        <f ca="1">M9-L9</f>
        <v>-0.85762906666667504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95.964855999999983</v>
      </c>
      <c r="I10" s="10"/>
      <c r="J10" s="228">
        <f ca="1">H10/D10-1</f>
        <v>-0.11847312721027381</v>
      </c>
      <c r="L10" s="74">
        <f ca="1">INDIRECT($B10&amp;"!"&amp;L$3&amp;"8")</f>
        <v>37.847506266666663</v>
      </c>
      <c r="M10" s="75">
        <f ca="1">INDIRECT($B10&amp;"!"&amp;M$3&amp;"8")</f>
        <v>36.510764733333332</v>
      </c>
      <c r="N10" s="76">
        <f ca="1">M10-L10</f>
        <v>-1.3367415333333312</v>
      </c>
      <c r="O10" s="226"/>
      <c r="P10" s="231">
        <f ca="1">bdrate(L7:L10,D7:D10,M7:M10,H7:H10)</f>
        <v>7.8598766052648816E-3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35.641480000000001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23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36.461719999999993</v>
      </c>
      <c r="I18" s="10"/>
      <c r="J18" s="228">
        <f ca="1">H18/D18-1</f>
        <v>-3.9095529533004769E-2</v>
      </c>
      <c r="L18" s="74">
        <f ca="1">INDIRECT($B18&amp;"!"&amp;L$3&amp;"5")</f>
        <v>27.225800466666666</v>
      </c>
      <c r="M18" s="75">
        <f ca="1">INDIRECT($B18&amp;"!"&amp;M$3&amp;"5")</f>
        <v>27.561736799999998</v>
      </c>
      <c r="N18" s="76">
        <f ca="1">M18-L18</f>
        <v>0.33593633333333273</v>
      </c>
      <c r="O18" s="226"/>
      <c r="P18" s="228">
        <f ca="1">bdrate(D18:D21,L18:L21,H18:H21,M18:M21)</f>
        <v>-2.9402333149977422E-2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50.769944000000002</v>
      </c>
      <c r="I19" s="10"/>
      <c r="J19" s="228">
        <f ca="1">H19/D19-1</f>
        <v>-7.153459827633335E-2</v>
      </c>
      <c r="L19" s="74">
        <f ca="1">INDIRECT($B19&amp;"!"&amp;L$3&amp;"6")</f>
        <v>30.717614933333337</v>
      </c>
      <c r="M19" s="75">
        <f ca="1">INDIRECT($B19&amp;"!"&amp;M$3&amp;"6")</f>
        <v>30.374949800000003</v>
      </c>
      <c r="N19" s="76">
        <f ca="1">M19-L19</f>
        <v>-0.34266513333333393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71.059631999999993</v>
      </c>
      <c r="I20" s="10"/>
      <c r="J20" s="228">
        <f ca="1">H20/D20-1</f>
        <v>-0.10097520277883865</v>
      </c>
      <c r="L20" s="74">
        <f ca="1">INDIRECT($B20&amp;"!"&amp;L$3&amp;"7")</f>
        <v>35.108155866666671</v>
      </c>
      <c r="M20" s="75">
        <f ca="1">INDIRECT($B20&amp;"!"&amp;M$3&amp;"7")</f>
        <v>34.221392000000002</v>
      </c>
      <c r="N20" s="76">
        <f ca="1">M20-L20</f>
        <v>-0.88676386666666929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98.682463999999996</v>
      </c>
      <c r="I21" s="10"/>
      <c r="J21" s="228">
        <f ca="1">H21/D21-1</f>
        <v>-0.12003989718670183</v>
      </c>
      <c r="L21" s="74">
        <f ca="1">INDIRECT($B21&amp;"!"&amp;L$3&amp;"8")</f>
        <v>37.605895933333336</v>
      </c>
      <c r="M21" s="75">
        <f ca="1">INDIRECT($B21&amp;"!"&amp;M$3&amp;"8")</f>
        <v>36.309082800000006</v>
      </c>
      <c r="N21" s="76">
        <f ca="1">M21-L21</f>
        <v>-1.2968131333333304</v>
      </c>
      <c r="O21" s="226"/>
      <c r="P21" s="231">
        <f ca="1">bdrate(L18:L21,D18:D21,M18:M21,H18:H21)</f>
        <v>6.7777184385686695E-3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36.461719999999993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23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26.739648000000006</v>
      </c>
      <c r="I29" s="10"/>
      <c r="J29" s="228">
        <f ca="1">H29/D29-1</f>
        <v>-2.6136878154352727E-2</v>
      </c>
      <c r="L29" s="74">
        <f ca="1">INDIRECT($B29&amp;"!"&amp;L$3&amp;"5")</f>
        <v>30.246270333333335</v>
      </c>
      <c r="M29" s="75">
        <f ca="1">INDIRECT($B29&amp;"!"&amp;M$3&amp;"5")</f>
        <v>30.241876619047627</v>
      </c>
      <c r="N29" s="76">
        <f ca="1">M29-L29</f>
        <v>-4.3937142857082279E-3</v>
      </c>
      <c r="O29" s="226"/>
      <c r="P29" s="228">
        <f ca="1">bdrate(D29:D32,L29:L32,H29:H32,M29:M32)</f>
        <v>9.6164802326637044E-3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37.120736000000001</v>
      </c>
      <c r="I30" s="10"/>
      <c r="J30" s="228">
        <f ca="1">H30/D30-1</f>
        <v>-6.571704593641281E-2</v>
      </c>
      <c r="L30" s="74">
        <f ca="1">INDIRECT($B30&amp;"!"&amp;L$3&amp;"6")</f>
        <v>33.072678761904761</v>
      </c>
      <c r="M30" s="75">
        <f ca="1">INDIRECT($B30&amp;"!"&amp;M$3&amp;"6")</f>
        <v>32.613418238095235</v>
      </c>
      <c r="N30" s="76">
        <f ca="1">M30-L30</f>
        <v>-0.45926052380952598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53.535511999999997</v>
      </c>
      <c r="I31" s="10"/>
      <c r="J31" s="228">
        <f ca="1">H31/D31-1</f>
        <v>-0.10102890946504839</v>
      </c>
      <c r="L31" s="74">
        <f ca="1">INDIRECT($B31&amp;"!"&amp;L$3&amp;"7")</f>
        <v>36.281602476190471</v>
      </c>
      <c r="M31" s="75">
        <f ca="1">INDIRECT($B31&amp;"!"&amp;M$3&amp;"7")</f>
        <v>35.264320047619051</v>
      </c>
      <c r="N31" s="76">
        <f ca="1">M31-L31</f>
        <v>-1.0172824285714199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76.459632000000013</v>
      </c>
      <c r="I32" s="10"/>
      <c r="J32" s="228">
        <f ca="1">H32/D32-1</f>
        <v>-0.12106863119080569</v>
      </c>
      <c r="L32" s="74">
        <f ca="1">INDIRECT($B32&amp;"!"&amp;L$3&amp;"8")</f>
        <v>39.436459095238085</v>
      </c>
      <c r="M32" s="75">
        <f ca="1">INDIRECT($B32&amp;"!"&amp;M$3&amp;"8")</f>
        <v>37.807356999999996</v>
      </c>
      <c r="N32" s="76">
        <f ca="1">M32-L32</f>
        <v>-1.629102095238089</v>
      </c>
      <c r="O32" s="226"/>
      <c r="P32" s="231">
        <f ca="1">bdrate(L29:L32,D29:D32,M29:M32,H29:H32)</f>
        <v>-3.7581106979504009E-3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26.739648000000006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23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27.530712000000001</v>
      </c>
      <c r="I40" s="10"/>
      <c r="J40" s="228">
        <f ca="1">H40/D40-1</f>
        <v>-2.7762129457346352E-2</v>
      </c>
      <c r="L40" s="74">
        <f ca="1">INDIRECT($B40&amp;"!"&amp;L$3&amp;"5")</f>
        <v>30.214093190476195</v>
      </c>
      <c r="M40" s="75">
        <f ca="1">INDIRECT($B40&amp;"!"&amp;M$3&amp;"5")</f>
        <v>30.177891380952381</v>
      </c>
      <c r="N40" s="76">
        <f ca="1">M40-L40</f>
        <v>-3.6201809523813466E-2</v>
      </c>
      <c r="O40" s="226"/>
      <c r="P40" s="228">
        <f ca="1">bdrate(D40:D43,L40:L43,H40:H43,M40:M43)</f>
        <v>4.1991329383310738E-3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38.305184000000004</v>
      </c>
      <c r="I41" s="10"/>
      <c r="J41" s="228">
        <f ca="1">H41/D41-1</f>
        <v>-6.8600473466243539E-2</v>
      </c>
      <c r="L41" s="74">
        <f ca="1">INDIRECT($B41&amp;"!"&amp;L$3&amp;"6")</f>
        <v>32.999578714285725</v>
      </c>
      <c r="M41" s="75">
        <f ca="1">INDIRECT($B41&amp;"!"&amp;M$3&amp;"6")</f>
        <v>32.564166476190486</v>
      </c>
      <c r="N41" s="76">
        <f ca="1">M41-L41</f>
        <v>-0.43541223809523899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55.439279999999997</v>
      </c>
      <c r="I42" s="10"/>
      <c r="J42" s="228">
        <f ca="1">H42/D42-1</f>
        <v>-0.10386738616834323</v>
      </c>
      <c r="L42" s="74">
        <f ca="1">INDIRECT($B42&amp;"!"&amp;L$3&amp;"7")</f>
        <v>36.248342999999991</v>
      </c>
      <c r="M42" s="75">
        <f ca="1">INDIRECT($B42&amp;"!"&amp;M$3&amp;"7")</f>
        <v>35.306791523809522</v>
      </c>
      <c r="N42" s="76">
        <f ca="1">M42-L42</f>
        <v>-0.94155147619046886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79.278768000000014</v>
      </c>
      <c r="I43" s="10"/>
      <c r="J43" s="228">
        <f ca="1">H43/D43-1</f>
        <v>-0.12318503781820977</v>
      </c>
      <c r="L43" s="74">
        <f ca="1">INDIRECT($B43&amp;"!"&amp;L$3&amp;"8")</f>
        <v>39.028174857142858</v>
      </c>
      <c r="M43" s="75">
        <f ca="1">INDIRECT($B43&amp;"!"&amp;M$3&amp;"8")</f>
        <v>37.504488095238095</v>
      </c>
      <c r="N43" s="76">
        <f ca="1">M43-L43</f>
        <v>-1.5236867619047629</v>
      </c>
      <c r="O43" s="226"/>
      <c r="P43" s="231">
        <f ca="1">bdrate(L40:L43,D40:D43,M40:M43,H40:H43)</f>
        <v>-2.674261544874823E-3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27.530712000000001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23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23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23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23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23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23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34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35.641480000000001</v>
      </c>
      <c r="I7" s="10"/>
      <c r="J7" s="228">
        <f ca="1">H7/D7-1</f>
        <v>-3.7587402012968174E-2</v>
      </c>
      <c r="L7" s="74">
        <f ca="1">INDIRECT($B7&amp;"!"&amp;L$3&amp;"5")</f>
        <v>32.469316800000001</v>
      </c>
      <c r="M7" s="75">
        <f ca="1">INDIRECT($B7&amp;"!"&amp;M$3&amp;"5")</f>
        <v>32.723303866666669</v>
      </c>
      <c r="N7" s="76">
        <f ca="1">M7-L7</f>
        <v>0.25398706666666726</v>
      </c>
      <c r="O7" s="226"/>
      <c r="P7" s="228">
        <f ca="1">bdrate(D7:D10,L7:L10,H7:H10,M7:M10)</f>
        <v>-2.9961631416135281E-2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49.550224000000007</v>
      </c>
      <c r="I8" s="10"/>
      <c r="J8" s="228">
        <f ca="1">H8/D8-1</f>
        <v>-6.9364154901579433E-2</v>
      </c>
      <c r="L8" s="74">
        <f ca="1">INDIRECT($B8&amp;"!"&amp;L$3&amp;"6")</f>
        <v>35.243102133333331</v>
      </c>
      <c r="M8" s="75">
        <f ca="1">INDIRECT($B8&amp;"!"&amp;M$3&amp;"6")</f>
        <v>35.002165133333328</v>
      </c>
      <c r="N8" s="76">
        <f ca="1">M8-L8</f>
        <v>-0.2409370000000024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69.186312000000001</v>
      </c>
      <c r="I9" s="10"/>
      <c r="J9" s="228">
        <f ca="1">H9/D9-1</f>
        <v>-9.8823685348257029E-2</v>
      </c>
      <c r="L9" s="74">
        <f ca="1">INDIRECT($B9&amp;"!"&amp;L$3&amp;"7")</f>
        <v>39.28737146666667</v>
      </c>
      <c r="M9" s="75">
        <f ca="1">INDIRECT($B9&amp;"!"&amp;M$3&amp;"7")</f>
        <v>38.47537233333334</v>
      </c>
      <c r="N9" s="76">
        <f ca="1">M9-L9</f>
        <v>-0.81199913333333029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95.964855999999983</v>
      </c>
      <c r="I10" s="10"/>
      <c r="J10" s="228">
        <f ca="1">H10/D10-1</f>
        <v>-0.11847312721027381</v>
      </c>
      <c r="L10" s="74">
        <f ca="1">INDIRECT($B10&amp;"!"&amp;L$3&amp;"8")</f>
        <v>41.929521733333331</v>
      </c>
      <c r="M10" s="75">
        <f ca="1">INDIRECT($B10&amp;"!"&amp;M$3&amp;"8")</f>
        <v>40.600603333333325</v>
      </c>
      <c r="N10" s="76">
        <f ca="1">M10-L10</f>
        <v>-1.3289184000000063</v>
      </c>
      <c r="O10" s="226"/>
      <c r="P10" s="231">
        <f ca="1">bdrate(L7:L10,D7:D10,M7:M10,H7:H10)</f>
        <v>5.4419958076534769E-3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35.641480000000001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34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36.461719999999993</v>
      </c>
      <c r="I18" s="10"/>
      <c r="J18" s="228">
        <f ca="1">H18/D18-1</f>
        <v>-3.9095529533004769E-2</v>
      </c>
      <c r="L18" s="74">
        <f ca="1">INDIRECT($B18&amp;"!"&amp;L$3&amp;"5")</f>
        <v>32.321196866666668</v>
      </c>
      <c r="M18" s="75">
        <f ca="1">INDIRECT($B18&amp;"!"&amp;M$3&amp;"5")</f>
        <v>32.576104466666671</v>
      </c>
      <c r="N18" s="76">
        <f ca="1">M18-L18</f>
        <v>0.25490760000000279</v>
      </c>
      <c r="O18" s="226"/>
      <c r="P18" s="228">
        <f ca="1">bdrate(D18:D21,L18:L21,H18:H21,M18:M21)</f>
        <v>-2.9166341486558611E-2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50.769944000000002</v>
      </c>
      <c r="I19" s="10"/>
      <c r="J19" s="228">
        <f ca="1">H19/D19-1</f>
        <v>-7.153459827633335E-2</v>
      </c>
      <c r="L19" s="74">
        <f ca="1">INDIRECT($B19&amp;"!"&amp;L$3&amp;"6")</f>
        <v>35.232715600000006</v>
      </c>
      <c r="M19" s="75">
        <f ca="1">INDIRECT($B19&amp;"!"&amp;M$3&amp;"6")</f>
        <v>34.967668866666671</v>
      </c>
      <c r="N19" s="76">
        <f ca="1">M19-L19</f>
        <v>-0.26504673333333528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71.059631999999993</v>
      </c>
      <c r="I20" s="10"/>
      <c r="J20" s="228">
        <f ca="1">H20/D20-1</f>
        <v>-0.10097520277883865</v>
      </c>
      <c r="L20" s="74">
        <f ca="1">INDIRECT($B20&amp;"!"&amp;L$3&amp;"7")</f>
        <v>39.210842266666667</v>
      </c>
      <c r="M20" s="75">
        <f ca="1">INDIRECT($B20&amp;"!"&amp;M$3&amp;"7")</f>
        <v>38.37607460000001</v>
      </c>
      <c r="N20" s="76">
        <f ca="1">M20-L20</f>
        <v>-0.83476766666665725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98.682463999999996</v>
      </c>
      <c r="I21" s="10"/>
      <c r="J21" s="228">
        <f ca="1">H21/D21-1</f>
        <v>-0.12003989718670183</v>
      </c>
      <c r="L21" s="74">
        <f ca="1">INDIRECT($B21&amp;"!"&amp;L$3&amp;"8")</f>
        <v>41.687570999999998</v>
      </c>
      <c r="M21" s="75">
        <f ca="1">INDIRECT($B21&amp;"!"&amp;M$3&amp;"8")</f>
        <v>40.396074333333338</v>
      </c>
      <c r="N21" s="76">
        <f ca="1">M21-L21</f>
        <v>-1.2914966666666601</v>
      </c>
      <c r="O21" s="226"/>
      <c r="P21" s="231">
        <f ca="1">bdrate(L18:L21,D18:D21,M18:M21,H18:H21)</f>
        <v>5.0146503953572008E-3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36.461719999999993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34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26.739648000000006</v>
      </c>
      <c r="I29" s="10"/>
      <c r="J29" s="228">
        <f ca="1">H29/D29-1</f>
        <v>-2.6136878154352727E-2</v>
      </c>
      <c r="L29" s="74">
        <f ca="1">INDIRECT($B29&amp;"!"&amp;L$3&amp;"5")</f>
        <v>33.862599857142854</v>
      </c>
      <c r="M29" s="75">
        <f ca="1">INDIRECT($B29&amp;"!"&amp;M$3&amp;"5")</f>
        <v>33.897737666666664</v>
      </c>
      <c r="N29" s="76">
        <f ca="1">M29-L29</f>
        <v>3.5137809523810404E-2</v>
      </c>
      <c r="O29" s="226"/>
      <c r="P29" s="228">
        <f ca="1">bdrate(D29:D32,L29:L32,H29:H32,M29:M32)</f>
        <v>1.0218301748175396E-2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37.120736000000001</v>
      </c>
      <c r="I30" s="10"/>
      <c r="J30" s="228">
        <f ca="1">H30/D30-1</f>
        <v>-6.571704593641281E-2</v>
      </c>
      <c r="L30" s="74">
        <f ca="1">INDIRECT($B30&amp;"!"&amp;L$3&amp;"6")</f>
        <v>36.632195285714296</v>
      </c>
      <c r="M30" s="75">
        <f ca="1">INDIRECT($B30&amp;"!"&amp;M$3&amp;"6")</f>
        <v>36.197976190476197</v>
      </c>
      <c r="N30" s="76">
        <f ca="1">M30-L30</f>
        <v>-0.43421909523809887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53.535511999999997</v>
      </c>
      <c r="I31" s="10"/>
      <c r="J31" s="228">
        <f ca="1">H31/D31-1</f>
        <v>-0.10102890946504839</v>
      </c>
      <c r="L31" s="74">
        <f ca="1">INDIRECT($B31&amp;"!"&amp;L$3&amp;"7")</f>
        <v>40.251414476190476</v>
      </c>
      <c r="M31" s="75">
        <f ca="1">INDIRECT($B31&amp;"!"&amp;M$3&amp;"7")</f>
        <v>39.098380571428571</v>
      </c>
      <c r="N31" s="76">
        <f ca="1">M31-L31</f>
        <v>-1.1530339047619051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76.459632000000013</v>
      </c>
      <c r="I32" s="10"/>
      <c r="J32" s="228">
        <f ca="1">H32/D32-1</f>
        <v>-0.12106863119080569</v>
      </c>
      <c r="L32" s="74">
        <f ca="1">INDIRECT($B32&amp;"!"&amp;L$3&amp;"8")</f>
        <v>43.588469761904761</v>
      </c>
      <c r="M32" s="75">
        <f ca="1">INDIRECT($B32&amp;"!"&amp;M$3&amp;"8")</f>
        <v>41.7223238095238</v>
      </c>
      <c r="N32" s="76">
        <f ca="1">M32-L32</f>
        <v>-1.8661459523809611</v>
      </c>
      <c r="O32" s="226"/>
      <c r="P32" s="231">
        <f ca="1">bdrate(L29:L32,D29:D32,M29:M32,H29:H32)</f>
        <v>-4.3293383209666025E-3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26.739648000000006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34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27.530712000000001</v>
      </c>
      <c r="I40" s="10"/>
      <c r="J40" s="228">
        <f ca="1">H40/D40-1</f>
        <v>-2.7762129457346352E-2</v>
      </c>
      <c r="L40" s="74">
        <f ca="1">INDIRECT($B40&amp;"!"&amp;L$3&amp;"5")</f>
        <v>33.832055285714283</v>
      </c>
      <c r="M40" s="75">
        <f ca="1">INDIRECT($B40&amp;"!"&amp;M$3&amp;"5")</f>
        <v>33.856723809523807</v>
      </c>
      <c r="N40" s="76">
        <f ca="1">M40-L40</f>
        <v>2.466852380952389E-2</v>
      </c>
      <c r="O40" s="226"/>
      <c r="P40" s="228">
        <f ca="1">bdrate(D40:D43,L40:L43,H40:H43,M40:M43)</f>
        <v>3.7465085060688352E-3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38.305184000000004</v>
      </c>
      <c r="I41" s="10"/>
      <c r="J41" s="228">
        <f ca="1">H41/D41-1</f>
        <v>-6.8600473466243539E-2</v>
      </c>
      <c r="L41" s="74">
        <f ca="1">INDIRECT($B41&amp;"!"&amp;L$3&amp;"6")</f>
        <v>36.531831238095236</v>
      </c>
      <c r="M41" s="75">
        <f ca="1">INDIRECT($B41&amp;"!"&amp;M$3&amp;"6")</f>
        <v>36.125545428571428</v>
      </c>
      <c r="N41" s="76">
        <f ca="1">M41-L41</f>
        <v>-0.40628580952380844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55.439279999999997</v>
      </c>
      <c r="I42" s="10"/>
      <c r="J42" s="228">
        <f ca="1">H42/D42-1</f>
        <v>-0.10386738616834323</v>
      </c>
      <c r="L42" s="74">
        <f ca="1">INDIRECT($B42&amp;"!"&amp;L$3&amp;"7")</f>
        <v>40.276491190476186</v>
      </c>
      <c r="M42" s="75">
        <f ca="1">INDIRECT($B42&amp;"!"&amp;M$3&amp;"7")</f>
        <v>39.185180619047621</v>
      </c>
      <c r="N42" s="76">
        <f ca="1">M42-L42</f>
        <v>-1.0913105714285649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79.278768000000014</v>
      </c>
      <c r="I43" s="10"/>
      <c r="J43" s="228">
        <f ca="1">H43/D43-1</f>
        <v>-0.12318503781820977</v>
      </c>
      <c r="L43" s="74">
        <f ca="1">INDIRECT($B43&amp;"!"&amp;L$3&amp;"8")</f>
        <v>43.229996952380951</v>
      </c>
      <c r="M43" s="75">
        <f ca="1">INDIRECT($B43&amp;"!"&amp;M$3&amp;"8")</f>
        <v>41.483027999999997</v>
      </c>
      <c r="N43" s="76">
        <f ca="1">M43-L43</f>
        <v>-1.7469689523809535</v>
      </c>
      <c r="O43" s="226"/>
      <c r="P43" s="231">
        <f ca="1">bdrate(L40:L43,D40:D43,M40:M43,H40:H43)</f>
        <v>-3.1691614105562316E-3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27.530712000000001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34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34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34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34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34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34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37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35.641480000000001</v>
      </c>
      <c r="I7" s="10"/>
      <c r="J7" s="228">
        <f ca="1">H7/D7-1</f>
        <v>-3.7587402012968174E-2</v>
      </c>
      <c r="L7" s="74">
        <f ca="1">INDIRECT($B7&amp;"!"&amp;L$3&amp;"5")</f>
        <v>0.95834516733333319</v>
      </c>
      <c r="M7" s="75">
        <f ca="1">INDIRECT($B7&amp;"!"&amp;M$3&amp;"5")</f>
        <v>0.95777505866666668</v>
      </c>
      <c r="N7" s="76">
        <f ca="1">M7-L7</f>
        <v>-5.7010866666651339E-4</v>
      </c>
      <c r="O7" s="226"/>
      <c r="P7" s="228">
        <f ca="1">bdrate(D7:D10,L7:L10,H7:H10,M7:M10)</f>
        <v>-2.5898739655411451E-2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49.550224000000007</v>
      </c>
      <c r="I8" s="10"/>
      <c r="J8" s="228">
        <f ca="1">H8/D8-1</f>
        <v>-6.9364154901579433E-2</v>
      </c>
      <c r="L8" s="74">
        <f ca="1">INDIRECT($B8&amp;"!"&amp;L$3&amp;"6")</f>
        <v>0.97572819666666666</v>
      </c>
      <c r="M8" s="75">
        <f ca="1">INDIRECT($B8&amp;"!"&amp;M$3&amp;"6")</f>
        <v>0.97375051266666668</v>
      </c>
      <c r="N8" s="76">
        <f ca="1">M8-L8</f>
        <v>-1.9776839999999796E-3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69.186312000000001</v>
      </c>
      <c r="I9" s="10"/>
      <c r="J9" s="228">
        <f ca="1">H9/D9-1</f>
        <v>-9.8823685348257029E-2</v>
      </c>
      <c r="L9" s="74">
        <f ca="1">INDIRECT($B9&amp;"!"&amp;L$3&amp;"7")</f>
        <v>0.98810945533333316</v>
      </c>
      <c r="M9" s="75">
        <f ca="1">INDIRECT($B9&amp;"!"&amp;M$3&amp;"7")</f>
        <v>0.98652947999999996</v>
      </c>
      <c r="N9" s="76">
        <f ca="1">M9-L9</f>
        <v>-1.5799753333332056E-3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95.964855999999983</v>
      </c>
      <c r="I10" s="10"/>
      <c r="J10" s="228">
        <f ca="1">H10/D10-1</f>
        <v>-0.11847312721027381</v>
      </c>
      <c r="L10" s="74">
        <f ca="1">INDIRECT($B10&amp;"!"&amp;L$3&amp;"8")</f>
        <v>0.99241337466666668</v>
      </c>
      <c r="M10" s="75">
        <f ca="1">INDIRECT($B10&amp;"!"&amp;M$3&amp;"8")</f>
        <v>0.99133626799999996</v>
      </c>
      <c r="N10" s="76">
        <f ca="1">M10-L10</f>
        <v>-1.0771066666667162E-3</v>
      </c>
      <c r="O10" s="226"/>
      <c r="P10" s="231">
        <f ca="1">bdrate(L7:L10,D7:D10,M7:M10,H7:H10)</f>
        <v>9.4594578492168679E-4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35.641480000000001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37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36.461719999999993</v>
      </c>
      <c r="I18" s="10"/>
      <c r="J18" s="228">
        <f ca="1">H18/D18-1</f>
        <v>-3.9095529533004769E-2</v>
      </c>
      <c r="L18" s="74">
        <f ca="1">INDIRECT($B18&amp;"!"&amp;L$3&amp;"5")</f>
        <v>0.95700066866666644</v>
      </c>
      <c r="M18" s="75">
        <f ca="1">INDIRECT($B18&amp;"!"&amp;M$3&amp;"5")</f>
        <v>0.9564686493333332</v>
      </c>
      <c r="N18" s="76">
        <f ca="1">M18-L18</f>
        <v>-5.3201933333324458E-4</v>
      </c>
      <c r="O18" s="226"/>
      <c r="P18" s="228">
        <f ca="1">bdrate(D18:D21,L18:L21,H18:H21,M18:M21)</f>
        <v>-2.8506499583344724E-2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50.769944000000002</v>
      </c>
      <c r="I19" s="10"/>
      <c r="J19" s="228">
        <f ca="1">H19/D19-1</f>
        <v>-7.153459827633335E-2</v>
      </c>
      <c r="L19" s="74">
        <f ca="1">INDIRECT($B19&amp;"!"&amp;L$3&amp;"6")</f>
        <v>0.97492547266666674</v>
      </c>
      <c r="M19" s="75">
        <f ca="1">INDIRECT($B19&amp;"!"&amp;M$3&amp;"6")</f>
        <v>0.97288458266666666</v>
      </c>
      <c r="N19" s="76">
        <f ca="1">M19-L19</f>
        <v>-2.0408900000000729E-3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71.059631999999993</v>
      </c>
      <c r="I20" s="10"/>
      <c r="J20" s="228">
        <f ca="1">H20/D20-1</f>
        <v>-0.10097520277883865</v>
      </c>
      <c r="L20" s="74">
        <f ca="1">INDIRECT($B20&amp;"!"&amp;L$3&amp;"7")</f>
        <v>0.98757465333333327</v>
      </c>
      <c r="M20" s="75">
        <f ca="1">INDIRECT($B20&amp;"!"&amp;M$3&amp;"7")</f>
        <v>0.98603511066666671</v>
      </c>
      <c r="N20" s="76">
        <f ca="1">M20-L20</f>
        <v>-1.5395426666665601E-3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98.682463999999996</v>
      </c>
      <c r="I21" s="10"/>
      <c r="J21" s="228">
        <f ca="1">H21/D21-1</f>
        <v>-0.12003989718670183</v>
      </c>
      <c r="L21" s="74">
        <f ca="1">INDIRECT($B21&amp;"!"&amp;L$3&amp;"8")</f>
        <v>0.99193363933333345</v>
      </c>
      <c r="M21" s="75">
        <f ca="1">INDIRECT($B21&amp;"!"&amp;M$3&amp;"8")</f>
        <v>0.99085907133333351</v>
      </c>
      <c r="N21" s="76">
        <f ca="1">M21-L21</f>
        <v>-1.0745679999999425E-3</v>
      </c>
      <c r="O21" s="226"/>
      <c r="P21" s="231">
        <f ca="1">bdrate(L18:L21,D18:D21,M18:M21,H18:H21)</f>
        <v>1.0578769545950273E-3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36.461719999999993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37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26.739648000000006</v>
      </c>
      <c r="I29" s="10"/>
      <c r="J29" s="228">
        <f ca="1">H29/D29-1</f>
        <v>-2.6136878154352727E-2</v>
      </c>
      <c r="L29" s="74">
        <f ca="1">INDIRECT($B29&amp;"!"&amp;L$3&amp;"5")</f>
        <v>0.96684382285714265</v>
      </c>
      <c r="M29" s="75">
        <f ca="1">INDIRECT($B29&amp;"!"&amp;M$3&amp;"5")</f>
        <v>0.96639985809523798</v>
      </c>
      <c r="N29" s="76">
        <f ca="1">M29-L29</f>
        <v>-4.4396476190466938E-4</v>
      </c>
      <c r="O29" s="226"/>
      <c r="P29" s="228">
        <f ca="1">bdrate(D29:D32,L29:L32,H29:H32,M29:M32)</f>
        <v>-1.889223735284784E-2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37.120736000000001</v>
      </c>
      <c r="I30" s="10"/>
      <c r="J30" s="228">
        <f ca="1">H30/D30-1</f>
        <v>-6.571704593641281E-2</v>
      </c>
      <c r="L30" s="74">
        <f ca="1">INDIRECT($B30&amp;"!"&amp;L$3&amp;"6")</f>
        <v>0.98000114238095259</v>
      </c>
      <c r="M30" s="75">
        <f ca="1">INDIRECT($B30&amp;"!"&amp;M$3&amp;"6")</f>
        <v>0.97844732142857149</v>
      </c>
      <c r="N30" s="76">
        <f ca="1">M30-L30</f>
        <v>-1.553820952381102E-3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53.535511999999997</v>
      </c>
      <c r="I31" s="10"/>
      <c r="J31" s="228">
        <f ca="1">H31/D31-1</f>
        <v>-0.10102890946504839</v>
      </c>
      <c r="L31" s="74">
        <f ca="1">INDIRECT($B31&amp;"!"&amp;L$3&amp;"7")</f>
        <v>0.98903340333333323</v>
      </c>
      <c r="M31" s="75">
        <f ca="1">INDIRECT($B31&amp;"!"&amp;M$3&amp;"7")</f>
        <v>0.98765202761904747</v>
      </c>
      <c r="N31" s="76">
        <f ca="1">M31-L31</f>
        <v>-1.3813757142857597E-3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76.459632000000013</v>
      </c>
      <c r="I32" s="10"/>
      <c r="J32" s="228">
        <f ca="1">H32/D32-1</f>
        <v>-0.12106863119080569</v>
      </c>
      <c r="L32" s="74">
        <f ca="1">INDIRECT($B32&amp;"!"&amp;L$3&amp;"8")</f>
        <v>0.99375173238095238</v>
      </c>
      <c r="M32" s="75">
        <f ca="1">INDIRECT($B32&amp;"!"&amp;M$3&amp;"8")</f>
        <v>0.99286534428571449</v>
      </c>
      <c r="N32" s="76">
        <f ca="1">M32-L32</f>
        <v>-8.8638809523788886E-4</v>
      </c>
      <c r="O32" s="226"/>
      <c r="P32" s="231">
        <f ca="1">bdrate(L29:L32,D29:D32,M29:M32,H29:H32)</f>
        <v>5.7136098035370786E-4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26.739648000000006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37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27.530712000000001</v>
      </c>
      <c r="I40" s="10"/>
      <c r="J40" s="228">
        <f ca="1">H40/D40-1</f>
        <v>-2.7762129457346352E-2</v>
      </c>
      <c r="L40" s="74">
        <f ca="1">INDIRECT($B40&amp;"!"&amp;L$3&amp;"5")</f>
        <v>0.96582942476190481</v>
      </c>
      <c r="M40" s="75">
        <f ca="1">INDIRECT($B40&amp;"!"&amp;M$3&amp;"5")</f>
        <v>0.96528989714285718</v>
      </c>
      <c r="N40" s="76">
        <f ca="1">M40-L40</f>
        <v>-5.3952761904763058E-4</v>
      </c>
      <c r="O40" s="226"/>
      <c r="P40" s="228">
        <f ca="1">bdrate(D40:D43,L40:L43,H40:H43,M40:M43)</f>
        <v>-2.3534904121043088E-2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38.305184000000004</v>
      </c>
      <c r="I41" s="10"/>
      <c r="J41" s="228">
        <f ca="1">H41/D41-1</f>
        <v>-6.8600473466243539E-2</v>
      </c>
      <c r="L41" s="74">
        <f ca="1">INDIRECT($B41&amp;"!"&amp;L$3&amp;"6")</f>
        <v>0.97901262523809529</v>
      </c>
      <c r="M41" s="75">
        <f ca="1">INDIRECT($B41&amp;"!"&amp;M$3&amp;"6")</f>
        <v>0.97744502238095232</v>
      </c>
      <c r="N41" s="76">
        <f ca="1">M41-L41</f>
        <v>-1.567602857142969E-3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55.439279999999997</v>
      </c>
      <c r="I42" s="10"/>
      <c r="J42" s="228">
        <f ca="1">H42/D42-1</f>
        <v>-0.10386738616834323</v>
      </c>
      <c r="L42" s="74">
        <f ca="1">INDIRECT($B42&amp;"!"&amp;L$3&amp;"7")</f>
        <v>0.98868709857142867</v>
      </c>
      <c r="M42" s="75">
        <f ca="1">INDIRECT($B42&amp;"!"&amp;M$3&amp;"7")</f>
        <v>0.98735674095238102</v>
      </c>
      <c r="N42" s="76">
        <f ca="1">M42-L42</f>
        <v>-1.3303576190476507E-3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79.278768000000014</v>
      </c>
      <c r="I43" s="10"/>
      <c r="J43" s="228">
        <f ca="1">H43/D43-1</f>
        <v>-0.12318503781820977</v>
      </c>
      <c r="L43" s="74">
        <f ca="1">INDIRECT($B43&amp;"!"&amp;L$3&amp;"8")</f>
        <v>0.99344393809523812</v>
      </c>
      <c r="M43" s="75">
        <f ca="1">INDIRECT($B43&amp;"!"&amp;M$3&amp;"8")</f>
        <v>0.99255237714285693</v>
      </c>
      <c r="N43" s="76">
        <f ca="1">M43-L43</f>
        <v>-8.9156095238118738E-4</v>
      </c>
      <c r="O43" s="226"/>
      <c r="P43" s="231">
        <f ca="1">bdrate(L40:L43,D40:D43,M40:M43,H40:H43)</f>
        <v>7.1853343987382523E-4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27.530712000000001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37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37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37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37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37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37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35.641480000000001</v>
      </c>
      <c r="I7" s="10"/>
      <c r="J7" s="228">
        <f ca="1">H7/D7-1</f>
        <v>-3.7587402012968174E-2</v>
      </c>
      <c r="L7" s="74">
        <f ca="1">INDIRECT($B7&amp;"!"&amp;L$3&amp;"5")</f>
        <v>0.95456353799999993</v>
      </c>
      <c r="M7" s="75">
        <f ca="1">INDIRECT($B7&amp;"!"&amp;M$3&amp;"5")</f>
        <v>0.95699824933333355</v>
      </c>
      <c r="N7" s="76">
        <f ca="1">M7-L7</f>
        <v>2.4347113333336168E-3</v>
      </c>
      <c r="O7" s="226"/>
      <c r="P7" s="228">
        <f ca="1">bdrate(D7:D10,L7:L10,H7:H10,M7:M10)</f>
        <v>-3.9896949012673599E-2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49.550224000000007</v>
      </c>
      <c r="I8" s="10"/>
      <c r="J8" s="228">
        <f ca="1">H8/D8-1</f>
        <v>-6.9364154901579433E-2</v>
      </c>
      <c r="L8" s="74">
        <f ca="1">INDIRECT($B8&amp;"!"&amp;L$3&amp;"6")</f>
        <v>0.97258593333333343</v>
      </c>
      <c r="M8" s="75">
        <f ca="1">INDIRECT($B8&amp;"!"&amp;M$3&amp;"6")</f>
        <v>0.97153591266666661</v>
      </c>
      <c r="N8" s="76">
        <f ca="1">M8-L8</f>
        <v>-1.0500206666668177E-3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69.186312000000001</v>
      </c>
      <c r="I9" s="10"/>
      <c r="J9" s="228">
        <f ca="1">H9/D9-1</f>
        <v>-9.8823685348257029E-2</v>
      </c>
      <c r="L9" s="74">
        <f ca="1">INDIRECT($B9&amp;"!"&amp;L$3&amp;"7")</f>
        <v>0.99038261466666655</v>
      </c>
      <c r="M9" s="75">
        <f ca="1">INDIRECT($B9&amp;"!"&amp;M$3&amp;"7")</f>
        <v>0.98760085200000003</v>
      </c>
      <c r="N9" s="76">
        <f ca="1">M9-L9</f>
        <v>-2.7817626666665207E-3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95.964855999999983</v>
      </c>
      <c r="I10" s="10"/>
      <c r="J10" s="228">
        <f ca="1">H10/D10-1</f>
        <v>-0.11847312721027381</v>
      </c>
      <c r="L10" s="74">
        <f ca="1">INDIRECT($B10&amp;"!"&amp;L$3&amp;"8")</f>
        <v>0.99521364000000001</v>
      </c>
      <c r="M10" s="75">
        <f ca="1">INDIRECT($B10&amp;"!"&amp;M$3&amp;"8")</f>
        <v>0.99304005266666662</v>
      </c>
      <c r="N10" s="76">
        <f ca="1">M10-L10</f>
        <v>-2.1735873333333933E-3</v>
      </c>
      <c r="O10" s="226"/>
      <c r="P10" s="231">
        <f ca="1">bdrate(L7:L10,D7:D10,M7:M10,H7:H10)</f>
        <v>1.324014158774478E-3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35.641480000000001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36.461719999999993</v>
      </c>
      <c r="I18" s="10"/>
      <c r="J18" s="228">
        <f ca="1">H18/D18-1</f>
        <v>-3.9095529533004769E-2</v>
      </c>
      <c r="L18" s="74">
        <f ca="1">INDIRECT($B18&amp;"!"&amp;L$3&amp;"5")</f>
        <v>0.95395936733333342</v>
      </c>
      <c r="M18" s="75">
        <f ca="1">INDIRECT($B18&amp;"!"&amp;M$3&amp;"5")</f>
        <v>0.95642119800000003</v>
      </c>
      <c r="N18" s="76">
        <f ca="1">M18-L18</f>
        <v>2.461830666666609E-3</v>
      </c>
      <c r="O18" s="226"/>
      <c r="P18" s="228">
        <f ca="1">bdrate(D18:D21,L18:L21,H18:H21,M18:M21)</f>
        <v>-4.1462791775947139E-2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50.769944000000002</v>
      </c>
      <c r="I19" s="10"/>
      <c r="J19" s="228">
        <f ca="1">H19/D19-1</f>
        <v>-7.153459827633335E-2</v>
      </c>
      <c r="L19" s="74">
        <f ca="1">INDIRECT($B19&amp;"!"&amp;L$3&amp;"6")</f>
        <v>0.97223756466666666</v>
      </c>
      <c r="M19" s="75">
        <f ca="1">INDIRECT($B19&amp;"!"&amp;M$3&amp;"6")</f>
        <v>0.97106037266666645</v>
      </c>
      <c r="N19" s="76">
        <f ca="1">M19-L19</f>
        <v>-1.1771920000002156E-3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71.059631999999993</v>
      </c>
      <c r="I20" s="10"/>
      <c r="J20" s="228">
        <f ca="1">H20/D20-1</f>
        <v>-0.10097520277883865</v>
      </c>
      <c r="L20" s="74">
        <f ca="1">INDIRECT($B20&amp;"!"&amp;L$3&amp;"7")</f>
        <v>0.99005189866666643</v>
      </c>
      <c r="M20" s="75">
        <f ca="1">INDIRECT($B20&amp;"!"&amp;M$3&amp;"7")</f>
        <v>0.98729001133333349</v>
      </c>
      <c r="N20" s="76">
        <f ca="1">M20-L20</f>
        <v>-2.7618873333329352E-3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98.682463999999996</v>
      </c>
      <c r="I21" s="10"/>
      <c r="J21" s="228">
        <f ca="1">H21/D21-1</f>
        <v>-0.12003989718670183</v>
      </c>
      <c r="L21" s="74">
        <f ca="1">INDIRECT($B21&amp;"!"&amp;L$3&amp;"8")</f>
        <v>0.99515773399999985</v>
      </c>
      <c r="M21" s="75">
        <f ca="1">INDIRECT($B21&amp;"!"&amp;M$3&amp;"8")</f>
        <v>0.99312141733333337</v>
      </c>
      <c r="N21" s="76">
        <f ca="1">M21-L21</f>
        <v>-2.0363166666664823E-3</v>
      </c>
      <c r="O21" s="226"/>
      <c r="P21" s="231">
        <f ca="1">bdrate(L18:L21,D18:D21,M18:M21,H18:H21)</f>
        <v>1.4483420673725433E-3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36.461719999999993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26.739648000000006</v>
      </c>
      <c r="I29" s="10"/>
      <c r="J29" s="228">
        <f ca="1">H29/D29-1</f>
        <v>-2.6136878154352727E-2</v>
      </c>
      <c r="L29" s="74">
        <f ca="1">INDIRECT($B29&amp;"!"&amp;L$3&amp;"5")</f>
        <v>0.97327361047619032</v>
      </c>
      <c r="M29" s="75">
        <f ca="1">INDIRECT($B29&amp;"!"&amp;M$3&amp;"5")</f>
        <v>0.97367620190476212</v>
      </c>
      <c r="N29" s="76">
        <f ca="1">M29-L29</f>
        <v>4.0259142857179686E-4</v>
      </c>
      <c r="O29" s="226"/>
      <c r="P29" s="228">
        <f ca="1">bdrate(D29:D32,L29:L32,H29:H32,M29:M32)</f>
        <v>-1.275042623456446E-2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37.120736000000001</v>
      </c>
      <c r="I30" s="10"/>
      <c r="J30" s="228">
        <f ca="1">H30/D30-1</f>
        <v>-6.571704593641281E-2</v>
      </c>
      <c r="L30" s="74">
        <f ca="1">INDIRECT($B30&amp;"!"&amp;L$3&amp;"6")</f>
        <v>0.98426155285714267</v>
      </c>
      <c r="M30" s="75">
        <f ca="1">INDIRECT($B30&amp;"!"&amp;M$3&amp;"6")</f>
        <v>0.9829820895238095</v>
      </c>
      <c r="N30" s="76">
        <f ca="1">M30-L30</f>
        <v>-1.2794633333331751E-3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53.535511999999997</v>
      </c>
      <c r="I31" s="10"/>
      <c r="J31" s="228">
        <f ca="1">H31/D31-1</f>
        <v>-0.10102890946504839</v>
      </c>
      <c r="L31" s="74">
        <f ca="1">INDIRECT($B31&amp;"!"&amp;L$3&amp;"7")</f>
        <v>0.99228081523809508</v>
      </c>
      <c r="M31" s="75">
        <f ca="1">INDIRECT($B31&amp;"!"&amp;M$3&amp;"7")</f>
        <v>0.99070322</v>
      </c>
      <c r="N31" s="76">
        <f ca="1">M31-L31</f>
        <v>-1.5775952380950864E-3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76.459632000000013</v>
      </c>
      <c r="I32" s="10"/>
      <c r="J32" s="228">
        <f ca="1">H32/D32-1</f>
        <v>-0.12106863119080569</v>
      </c>
      <c r="L32" s="74">
        <f ca="1">INDIRECT($B32&amp;"!"&amp;L$3&amp;"8")</f>
        <v>0.99594449714285727</v>
      </c>
      <c r="M32" s="75">
        <f ca="1">INDIRECT($B32&amp;"!"&amp;M$3&amp;"8")</f>
        <v>0.9947125476190477</v>
      </c>
      <c r="N32" s="76">
        <f ca="1">M32-L32</f>
        <v>-1.2319495238095612E-3</v>
      </c>
      <c r="O32" s="226"/>
      <c r="P32" s="231">
        <f ca="1">bdrate(L29:L32,D29:D32,M29:M32,H29:H32)</f>
        <v>2.5318245862315791E-4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26.739648000000006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27.530712000000001</v>
      </c>
      <c r="I40" s="10"/>
      <c r="J40" s="228">
        <f ca="1">H40/D40-1</f>
        <v>-2.7762129457346352E-2</v>
      </c>
      <c r="L40" s="74">
        <f ca="1">INDIRECT($B40&amp;"!"&amp;L$3&amp;"5")</f>
        <v>0.9725471133333331</v>
      </c>
      <c r="M40" s="75">
        <f ca="1">INDIRECT($B40&amp;"!"&amp;M$3&amp;"5")</f>
        <v>0.97285383714285756</v>
      </c>
      <c r="N40" s="76">
        <f ca="1">M40-L40</f>
        <v>3.0672380952445621E-4</v>
      </c>
      <c r="O40" s="226"/>
      <c r="P40" s="228">
        <f ca="1">bdrate(D40:D43,L40:L43,H40:H43,M40:M43)</f>
        <v>-2.0733297627777869E-2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38.305184000000004</v>
      </c>
      <c r="I41" s="10"/>
      <c r="J41" s="228">
        <f ca="1">H41/D41-1</f>
        <v>-6.8600473466243539E-2</v>
      </c>
      <c r="L41" s="74">
        <f ca="1">INDIRECT($B41&amp;"!"&amp;L$3&amp;"6")</f>
        <v>0.98376468238095238</v>
      </c>
      <c r="M41" s="75">
        <f ca="1">INDIRECT($B41&amp;"!"&amp;M$3&amp;"6")</f>
        <v>0.98257304761904773</v>
      </c>
      <c r="N41" s="76">
        <f ca="1">M41-L41</f>
        <v>-1.1916347619046475E-3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55.439279999999997</v>
      </c>
      <c r="I42" s="10"/>
      <c r="J42" s="228">
        <f ca="1">H42/D42-1</f>
        <v>-0.10386738616834323</v>
      </c>
      <c r="L42" s="74">
        <f ca="1">INDIRECT($B42&amp;"!"&amp;L$3&amp;"7")</f>
        <v>0.99210457047619049</v>
      </c>
      <c r="M42" s="75">
        <f ca="1">INDIRECT($B42&amp;"!"&amp;M$3&amp;"7")</f>
        <v>0.99067461142857149</v>
      </c>
      <c r="N42" s="76">
        <f ca="1">M42-L42</f>
        <v>-1.4299590476190005E-3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79.278768000000014</v>
      </c>
      <c r="I43" s="10"/>
      <c r="J43" s="228">
        <f ca="1">H43/D43-1</f>
        <v>-0.12318503781820977</v>
      </c>
      <c r="L43" s="74">
        <f ca="1">INDIRECT($B43&amp;"!"&amp;L$3&amp;"8")</f>
        <v>0.99578089857142849</v>
      </c>
      <c r="M43" s="75">
        <f ca="1">INDIRECT($B43&amp;"!"&amp;M$3&amp;"8")</f>
        <v>0.99457991000000001</v>
      </c>
      <c r="N43" s="76">
        <f ca="1">M43-L43</f>
        <v>-1.200988571428474E-3</v>
      </c>
      <c r="O43" s="226"/>
      <c r="P43" s="231">
        <f ca="1">bdrate(L40:L43,D40:D43,M40:M43,H40:H43)</f>
        <v>4.2356813034327701E-4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27.530712000000001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35.641480000000001</v>
      </c>
      <c r="I7" s="10"/>
      <c r="J7" s="228">
        <f ca="1">H7/D7-1</f>
        <v>-3.7587402012968174E-2</v>
      </c>
      <c r="L7" s="74">
        <f ca="1">INDIRECT($B7&amp;"!"&amp;L$3&amp;"5")</f>
        <v>6.6124997733333329E-2</v>
      </c>
      <c r="M7" s="75">
        <f ca="1">INDIRECT($B7&amp;"!"&amp;M$3&amp;"5")</f>
        <v>6.5672333400000005E-2</v>
      </c>
      <c r="N7" s="76">
        <f ca="1">M7-L7</f>
        <v>-4.5266433333332468E-4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49.550224000000007</v>
      </c>
      <c r="I8" s="10"/>
      <c r="J8" s="228">
        <f ca="1">H8/D8-1</f>
        <v>-6.9364154901579433E-2</v>
      </c>
      <c r="L8" s="74">
        <f ca="1">INDIRECT($B8&amp;"!"&amp;L$3&amp;"6")</f>
        <v>4.1026583800000009E-2</v>
      </c>
      <c r="M8" s="75">
        <f ca="1">INDIRECT($B8&amp;"!"&amp;M$3&amp;"6")</f>
        <v>4.2936742199999989E-2</v>
      </c>
      <c r="N8" s="76">
        <f ca="1">M8-L8</f>
        <v>1.9101583999999797E-3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69.186312000000001</v>
      </c>
      <c r="I9" s="10"/>
      <c r="J9" s="228">
        <f ca="1">H9/D9-1</f>
        <v>-9.8823685348257029E-2</v>
      </c>
      <c r="L9" s="74">
        <f ca="1">INDIRECT($B9&amp;"!"&amp;L$3&amp;"7")</f>
        <v>2.4438632800000002E-2</v>
      </c>
      <c r="M9" s="75">
        <f ca="1">INDIRECT($B9&amp;"!"&amp;M$3&amp;"7")</f>
        <v>2.607193066666667E-2</v>
      </c>
      <c r="N9" s="76">
        <f ca="1">M9-L9</f>
        <v>1.6332978666666678E-3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95.964855999999983</v>
      </c>
      <c r="I10" s="10"/>
      <c r="J10" s="228">
        <f ca="1">H10/D10-1</f>
        <v>-0.11847312721027381</v>
      </c>
      <c r="L10" s="74">
        <f ca="1">INDIRECT($B10&amp;"!"&amp;L$3&amp;"8")</f>
        <v>1.7444335733333333E-2</v>
      </c>
      <c r="M10" s="75">
        <f ca="1">INDIRECT($B10&amp;"!"&amp;M$3&amp;"8")</f>
        <v>1.9035381866666666E-2</v>
      </c>
      <c r="N10" s="76">
        <f ca="1">M10-L10</f>
        <v>1.5910461333333327E-3</v>
      </c>
      <c r="O10" s="226"/>
      <c r="P10" s="231">
        <f ca="1">bdrate(L7:L10,D7:D10,M7:M10,H7:H10)</f>
        <v>-5.4064435100151464E-2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35.641480000000001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36.461719999999993</v>
      </c>
      <c r="I18" s="10"/>
      <c r="J18" s="228">
        <f ca="1">H18/D18-1</f>
        <v>-3.9095529533004769E-2</v>
      </c>
      <c r="L18" s="74">
        <f ca="1">INDIRECT($B18&amp;"!"&amp;L$3&amp;"5")</f>
        <v>6.8758821599999992E-2</v>
      </c>
      <c r="M18" s="75">
        <f ca="1">INDIRECT($B18&amp;"!"&amp;M$3&amp;"5")</f>
        <v>6.8080231266666666E-2</v>
      </c>
      <c r="N18" s="76">
        <f ca="1">M18-L18</f>
        <v>-6.7859033333332597E-4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50.769944000000002</v>
      </c>
      <c r="I19" s="10"/>
      <c r="J19" s="228">
        <f ca="1">H19/D19-1</f>
        <v>-7.153459827633335E-2</v>
      </c>
      <c r="L19" s="74">
        <f ca="1">INDIRECT($B19&amp;"!"&amp;L$3&amp;"6")</f>
        <v>4.2517676533333333E-2</v>
      </c>
      <c r="M19" s="75">
        <f ca="1">INDIRECT($B19&amp;"!"&amp;M$3&amp;"6")</f>
        <v>4.4499089333333332E-2</v>
      </c>
      <c r="N19" s="76">
        <f ca="1">M19-L19</f>
        <v>1.9814127999999986E-3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71.059631999999993</v>
      </c>
      <c r="I20" s="10"/>
      <c r="J20" s="228">
        <f ca="1">H20/D20-1</f>
        <v>-0.10097520277883865</v>
      </c>
      <c r="L20" s="74">
        <f ca="1">INDIRECT($B20&amp;"!"&amp;L$3&amp;"7")</f>
        <v>2.4925761000000001E-2</v>
      </c>
      <c r="M20" s="75">
        <f ca="1">INDIRECT($B20&amp;"!"&amp;M$3&amp;"7")</f>
        <v>2.6686614666666664E-2</v>
      </c>
      <c r="N20" s="76">
        <f ca="1">M20-L20</f>
        <v>1.7608536666666626E-3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98.682463999999996</v>
      </c>
      <c r="I21" s="10"/>
      <c r="J21" s="228">
        <f ca="1">H21/D21-1</f>
        <v>-0.12003989718670183</v>
      </c>
      <c r="L21" s="74">
        <f ca="1">INDIRECT($B21&amp;"!"&amp;L$3&amp;"8")</f>
        <v>1.8274979066666665E-2</v>
      </c>
      <c r="M21" s="75">
        <f ca="1">INDIRECT($B21&amp;"!"&amp;M$3&amp;"8")</f>
        <v>1.9900358933333331E-2</v>
      </c>
      <c r="N21" s="76">
        <f ca="1">M21-L21</f>
        <v>1.6253798666666652E-3</v>
      </c>
      <c r="O21" s="226"/>
      <c r="P21" s="231">
        <f ca="1">bdrate(L18:L21,D18:D21,M18:M21,H18:H21)</f>
        <v>-5.3772292383727383E-2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36.461719999999993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26.739648000000006</v>
      </c>
      <c r="I29" s="10"/>
      <c r="J29" s="228">
        <f ca="1">H29/D29-1</f>
        <v>-2.6136878154352727E-2</v>
      </c>
      <c r="L29" s="74">
        <f ca="1">INDIRECT($B29&amp;"!"&amp;L$3&amp;"5")</f>
        <v>6.4074182428571436E-2</v>
      </c>
      <c r="M29" s="75">
        <f ca="1">INDIRECT($B29&amp;"!"&amp;M$3&amp;"5")</f>
        <v>6.3844472619047618E-2</v>
      </c>
      <c r="N29" s="76">
        <f ca="1">M29-L29</f>
        <v>-2.2970980952381759E-4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37.120736000000001</v>
      </c>
      <c r="I30" s="10"/>
      <c r="J30" s="228">
        <f ca="1">H30/D30-1</f>
        <v>-6.571704593641281E-2</v>
      </c>
      <c r="L30" s="74">
        <f ca="1">INDIRECT($B30&amp;"!"&amp;L$3&amp;"6")</f>
        <v>4.3200263047619043E-2</v>
      </c>
      <c r="M30" s="75">
        <f ca="1">INDIRECT($B30&amp;"!"&amp;M$3&amp;"6")</f>
        <v>4.5337210428571431E-2</v>
      </c>
      <c r="N30" s="76">
        <f ca="1">M30-L30</f>
        <v>2.1369473809523878E-3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53.535511999999997</v>
      </c>
      <c r="I31" s="10"/>
      <c r="J31" s="228">
        <f ca="1">H31/D31-1</f>
        <v>-0.10102890946504839</v>
      </c>
      <c r="L31" s="74">
        <f ca="1">INDIRECT($B31&amp;"!"&amp;L$3&amp;"7")</f>
        <v>2.7228831333333335E-2</v>
      </c>
      <c r="M31" s="75">
        <f ca="1">INDIRECT($B31&amp;"!"&amp;M$3&amp;"7")</f>
        <v>2.9822962904761909E-2</v>
      </c>
      <c r="N31" s="76">
        <f ca="1">M31-L31</f>
        <v>2.5941315714285741E-3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76.459632000000013</v>
      </c>
      <c r="I32" s="10"/>
      <c r="J32" s="228">
        <f ca="1">H32/D32-1</f>
        <v>-0.12106863119080569</v>
      </c>
      <c r="L32" s="74">
        <f ca="1">INDIRECT($B32&amp;"!"&amp;L$3&amp;"8")</f>
        <v>1.4458101000000004E-2</v>
      </c>
      <c r="M32" s="75">
        <f ca="1">INDIRECT($B32&amp;"!"&amp;M$3&amp;"8")</f>
        <v>1.6367061214285709E-2</v>
      </c>
      <c r="N32" s="76">
        <f ca="1">M32-L32</f>
        <v>1.908960214285705E-3</v>
      </c>
      <c r="O32" s="226"/>
      <c r="P32" s="231">
        <f ca="1">bdrate(L29:L32,D29:D32,M29:M32,H29:H32)</f>
        <v>-5.1813429367884689E-2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26.739648000000006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27.530712000000001</v>
      </c>
      <c r="I40" s="10"/>
      <c r="J40" s="228">
        <f ca="1">H40/D40-1</f>
        <v>-2.7762129457346352E-2</v>
      </c>
      <c r="L40" s="74">
        <f ca="1">INDIRECT($B40&amp;"!"&amp;L$3&amp;"5")</f>
        <v>6.5973396238095255E-2</v>
      </c>
      <c r="M40" s="75">
        <f ca="1">INDIRECT($B40&amp;"!"&amp;M$3&amp;"5")</f>
        <v>6.5891339714285707E-2</v>
      </c>
      <c r="N40" s="76">
        <f ca="1">M40-L40</f>
        <v>-8.205652380954831E-5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38.305184000000004</v>
      </c>
      <c r="I41" s="10"/>
      <c r="J41" s="228">
        <f ca="1">H41/D41-1</f>
        <v>-6.8600473466243539E-2</v>
      </c>
      <c r="L41" s="74">
        <f ca="1">INDIRECT($B41&amp;"!"&amp;L$3&amp;"6")</f>
        <v>4.448833447619048E-2</v>
      </c>
      <c r="M41" s="75">
        <f ca="1">INDIRECT($B41&amp;"!"&amp;M$3&amp;"6")</f>
        <v>4.6556572761904759E-2</v>
      </c>
      <c r="N41" s="76">
        <f ca="1">M41-L41</f>
        <v>2.0682382857142786E-3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55.439279999999997</v>
      </c>
      <c r="I42" s="10"/>
      <c r="J42" s="228">
        <f ca="1">H42/D42-1</f>
        <v>-0.10386738616834323</v>
      </c>
      <c r="L42" s="74">
        <f ca="1">INDIRECT($B42&amp;"!"&amp;L$3&amp;"7")</f>
        <v>2.7850360190476191E-2</v>
      </c>
      <c r="M42" s="75">
        <f ca="1">INDIRECT($B42&amp;"!"&amp;M$3&amp;"7")</f>
        <v>3.0308393190476197E-2</v>
      </c>
      <c r="N42" s="76">
        <f ca="1">M42-L42</f>
        <v>2.4580330000000053E-3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79.278768000000014</v>
      </c>
      <c r="I43" s="10"/>
      <c r="J43" s="228">
        <f ca="1">H43/D43-1</f>
        <v>-0.12318503781820977</v>
      </c>
      <c r="L43" s="74">
        <f ca="1">INDIRECT($B43&amp;"!"&amp;L$3&amp;"8")</f>
        <v>1.5608584595238097E-2</v>
      </c>
      <c r="M43" s="75">
        <f ca="1">INDIRECT($B43&amp;"!"&amp;M$3&amp;"8")</f>
        <v>1.747149207142857E-2</v>
      </c>
      <c r="N43" s="76">
        <f ca="1">M43-L43</f>
        <v>1.8629074761904729E-3</v>
      </c>
      <c r="O43" s="226"/>
      <c r="P43" s="231">
        <f ca="1">bdrate(L40:L43,D40:D43,M40:M43,H40:H43)</f>
        <v>-5.4736115504691041E-2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27.530712000000001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35641.480000000003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27.617395266666669</v>
      </c>
      <c r="Y5" s="30">
        <f t="shared" si="2"/>
        <v>32.723303866666669</v>
      </c>
      <c r="Z5" s="30">
        <f t="shared" si="2"/>
        <v>0.95777505866666668</v>
      </c>
      <c r="AA5" s="91">
        <f t="shared" si="2"/>
        <v>0.95699824933333355</v>
      </c>
      <c r="AB5" s="91">
        <f t="shared" si="2"/>
        <v>6.5672333400000005E-2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-3.1719318811556541E-2</v>
      </c>
      <c r="AN5" s="245">
        <f>bdrate($E5:$E8,G5:G8,$W5:$W8,Y5:Y8)</f>
        <v>-2.9961631416134171E-2</v>
      </c>
      <c r="AO5" s="245">
        <f>bdrate($E5:$E8,H5:H8,$W5:$W8,Z5:Z8)</f>
        <v>-2.5898739655413339E-2</v>
      </c>
      <c r="AP5" s="245">
        <f>bdrate($E5:$E8,I5:I8,$W5:$W8,AA5:AA8)</f>
        <v>-3.989694901267149E-2</v>
      </c>
      <c r="AQ5" s="246">
        <f>bdrateInverted($E5:$E8,J5:J8,$W5:$W8,AB5:AB8)</f>
        <v>-4.0431481177592654E-2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49550.224000000009</v>
      </c>
      <c r="X6" s="91">
        <f t="shared" si="2"/>
        <v>30.290257133333334</v>
      </c>
      <c r="Y6" s="91">
        <f t="shared" si="2"/>
        <v>35.002165133333328</v>
      </c>
      <c r="Z6" s="91">
        <f t="shared" si="2"/>
        <v>0.97375051266666668</v>
      </c>
      <c r="AA6" s="91">
        <f t="shared" si="2"/>
        <v>0.97153591266666661</v>
      </c>
      <c r="AB6" s="91">
        <f t="shared" si="2"/>
        <v>4.2936742199999989E-2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69186.312000000005</v>
      </c>
      <c r="X7" s="91">
        <f t="shared" si="2"/>
        <v>34.320754933333333</v>
      </c>
      <c r="Y7" s="91">
        <f t="shared" si="2"/>
        <v>38.47537233333334</v>
      </c>
      <c r="Z7" s="91">
        <f t="shared" si="2"/>
        <v>0.98652947999999996</v>
      </c>
      <c r="AA7" s="91">
        <f t="shared" si="2"/>
        <v>0.98760085200000003</v>
      </c>
      <c r="AB7" s="91">
        <f t="shared" si="2"/>
        <v>2.607193066666667E-2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95964.855999999985</v>
      </c>
      <c r="X8" s="91">
        <f t="shared" si="2"/>
        <v>36.510764733333332</v>
      </c>
      <c r="Y8" s="91">
        <f t="shared" si="2"/>
        <v>40.600603333333325</v>
      </c>
      <c r="Z8" s="91">
        <f t="shared" si="2"/>
        <v>0.99133626799999996</v>
      </c>
      <c r="AA8" s="91">
        <f t="shared" si="2"/>
        <v>0.99304005266666662</v>
      </c>
      <c r="AB8" s="91">
        <f t="shared" si="2"/>
        <v>1.9035381866666666E-2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5941.2240000000002</v>
      </c>
      <c r="X16" s="167">
        <v>6950.84</v>
      </c>
      <c r="Y16" s="167">
        <v>1173.048</v>
      </c>
      <c r="Z16" s="167">
        <v>900.85599999999999</v>
      </c>
      <c r="AA16" s="167">
        <v>46.375999999999998</v>
      </c>
      <c r="AB16" s="167">
        <v>11102.456</v>
      </c>
      <c r="AC16" s="60">
        <v>7159.68</v>
      </c>
      <c r="AD16" s="60">
        <v>2367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5941.2240000000002</v>
      </c>
      <c r="X17" s="168">
        <v>9208.8799999999992</v>
      </c>
      <c r="Y17" s="168">
        <v>3673.72</v>
      </c>
      <c r="Z17" s="168">
        <v>3190.4639999999999</v>
      </c>
      <c r="AA17" s="168">
        <v>632.952</v>
      </c>
      <c r="AB17" s="168">
        <v>14290.28</v>
      </c>
      <c r="AC17" s="62">
        <v>9490.9040000000005</v>
      </c>
      <c r="AD17" s="62">
        <v>3121.8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5941.2240000000002</v>
      </c>
      <c r="X18" s="168">
        <v>11523.68</v>
      </c>
      <c r="Y18" s="168">
        <v>7323.6080000000002</v>
      </c>
      <c r="Z18" s="168">
        <v>7466.5119999999997</v>
      </c>
      <c r="AA18" s="168">
        <v>3517.0079999999998</v>
      </c>
      <c r="AB18" s="168">
        <v>17597.624</v>
      </c>
      <c r="AC18" s="62">
        <v>11921.12</v>
      </c>
      <c r="AD18" s="62">
        <v>3895.5360000000001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5941.2240000000002</v>
      </c>
      <c r="X19" s="168">
        <v>13726.208000000001</v>
      </c>
      <c r="Y19" s="168">
        <v>11465.464</v>
      </c>
      <c r="Z19" s="168">
        <v>13870.088</v>
      </c>
      <c r="AA19" s="168">
        <v>10781.912</v>
      </c>
      <c r="AB19" s="168">
        <v>21009.472000000002</v>
      </c>
      <c r="AC19" s="62">
        <v>14466.144</v>
      </c>
      <c r="AD19" s="62">
        <v>4704.3440000000001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35641.480000000003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49550.224000000009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69186.312000000005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95964.855999999985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27.171887999999999</v>
      </c>
      <c r="Y33" s="97">
        <v>32.335357000000002</v>
      </c>
      <c r="Z33" s="97">
        <v>0.95803446999999997</v>
      </c>
      <c r="AA33" s="60">
        <v>0.95424291999999999</v>
      </c>
      <c r="AB33" s="60">
        <v>6.9573899999999994E-2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0.37353599999999787</v>
      </c>
      <c r="AN33" s="96">
        <f t="shared" ref="AN33:AN96" si="5">IF(OR(Y33="",G33=""),"",Y33-G33)</f>
        <v>0.27962600000000037</v>
      </c>
      <c r="AO33" s="96">
        <f t="shared" ref="AO33:AO96" si="6">IF(OR(Z33="",H33=""),"",Z33-H33)</f>
        <v>-8.1419999999998716E-5</v>
      </c>
      <c r="AP33" s="96">
        <f t="shared" ref="AP33:AP96" si="7">IF(OR(AA33="",I33=""),"",AA33-I33)</f>
        <v>4.1102800000000217E-3</v>
      </c>
      <c r="AQ33" s="121">
        <f t="shared" ref="AQ33:AQ96" si="8">IF(OR(AB33="",J33=""),"",AB33-J33)</f>
        <v>-1.0558100000000042E-3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30.425809000000001</v>
      </c>
      <c r="Y34" s="190">
        <v>34.992685000000002</v>
      </c>
      <c r="Z34" s="190">
        <v>0.97386702000000003</v>
      </c>
      <c r="AA34" s="62">
        <v>0.97124816999999997</v>
      </c>
      <c r="AB34" s="62">
        <v>4.5337185000000002E-2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-0.257242999999999</v>
      </c>
      <c r="AN34" s="122">
        <f t="shared" si="5"/>
        <v>-0.19662399999999991</v>
      </c>
      <c r="AO34" s="122">
        <f t="shared" si="6"/>
        <v>-1.7967099999999236E-3</v>
      </c>
      <c r="AP34" s="122">
        <f t="shared" si="7"/>
        <v>-1.1717900000000059E-3</v>
      </c>
      <c r="AQ34" s="88">
        <f t="shared" si="8"/>
        <v>1.5632510000000016E-3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34.423696999999997</v>
      </c>
      <c r="Y35" s="190">
        <v>38.537979999999997</v>
      </c>
      <c r="Z35" s="190">
        <v>0.98664019999999997</v>
      </c>
      <c r="AA35" s="62">
        <v>0.98601243000000005</v>
      </c>
      <c r="AB35" s="62">
        <v>2.7395672999999999E-2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-0.82151600000000258</v>
      </c>
      <c r="AN35" s="122">
        <f t="shared" si="5"/>
        <v>-0.78742500000000604</v>
      </c>
      <c r="AO35" s="122">
        <f t="shared" si="6"/>
        <v>-1.3845800000000796E-3</v>
      </c>
      <c r="AP35" s="122">
        <f t="shared" si="7"/>
        <v>-4.2347899999999328E-3</v>
      </c>
      <c r="AQ35" s="88">
        <f t="shared" si="8"/>
        <v>1.5169599999999978E-3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36.641191999999997</v>
      </c>
      <c r="Y36" s="190">
        <v>40.723131000000002</v>
      </c>
      <c r="Z36" s="190">
        <v>0.99136362</v>
      </c>
      <c r="AA36" s="62">
        <v>0.99330353999999998</v>
      </c>
      <c r="AB36" s="62">
        <v>1.9691816000000001E-2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-1.3377900000000054</v>
      </c>
      <c r="AN36" s="122">
        <f t="shared" si="5"/>
        <v>-1.3484379999999945</v>
      </c>
      <c r="AO36" s="122">
        <f t="shared" si="6"/>
        <v>-9.6311999999998399E-4</v>
      </c>
      <c r="AP36" s="122">
        <f t="shared" si="7"/>
        <v>-1.8647800000000103E-3</v>
      </c>
      <c r="AQ36" s="88">
        <f t="shared" si="8"/>
        <v>1.5586000000000003E-3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27.535347000000002</v>
      </c>
      <c r="Y38" s="97">
        <v>32.609650999999999</v>
      </c>
      <c r="Z38" s="97">
        <v>0.95911477999999994</v>
      </c>
      <c r="AA38" s="60">
        <v>0.95617876999999996</v>
      </c>
      <c r="AB38" s="60">
        <v>6.6413650000000005E-2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0.37601000000000084</v>
      </c>
      <c r="AN38" s="96">
        <f t="shared" si="5"/>
        <v>0.29599699999999984</v>
      </c>
      <c r="AO38" s="96">
        <f t="shared" si="6"/>
        <v>-1.7830000000107482E-5</v>
      </c>
      <c r="AP38" s="96">
        <f t="shared" si="7"/>
        <v>2.6971199999999973E-3</v>
      </c>
      <c r="AQ38" s="121">
        <f t="shared" si="8"/>
        <v>-1.2369399999999919E-3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30.324984000000001</v>
      </c>
      <c r="Y39" s="190">
        <v>34.908028999999999</v>
      </c>
      <c r="Z39" s="190">
        <v>0.97384744999999995</v>
      </c>
      <c r="AA39" s="62">
        <v>0.97216658</v>
      </c>
      <c r="AB39" s="62">
        <v>4.4415295E-2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-0.28650599999999926</v>
      </c>
      <c r="AN39" s="122">
        <f t="shared" si="5"/>
        <v>-0.21779099999999829</v>
      </c>
      <c r="AO39" s="122">
        <f t="shared" si="6"/>
        <v>-1.7005800000000626E-3</v>
      </c>
      <c r="AP39" s="122">
        <f t="shared" si="7"/>
        <v>-1.0156599999999738E-3</v>
      </c>
      <c r="AQ39" s="88">
        <f t="shared" si="8"/>
        <v>1.5104520000000024E-3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34.280419999999999</v>
      </c>
      <c r="Y40" s="190">
        <v>38.409312999999997</v>
      </c>
      <c r="Z40" s="190">
        <v>0.98634926000000001</v>
      </c>
      <c r="AA40" s="62">
        <v>0.98648530999999995</v>
      </c>
      <c r="AB40" s="62">
        <v>2.7748470000000001E-2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-0.82421099999999825</v>
      </c>
      <c r="AN40" s="122">
        <f t="shared" si="5"/>
        <v>-0.79646100000000075</v>
      </c>
      <c r="AO40" s="122">
        <f t="shared" si="6"/>
        <v>-1.3704199999999833E-3</v>
      </c>
      <c r="AP40" s="122">
        <f t="shared" si="7"/>
        <v>-3.8666800000000112E-3</v>
      </c>
      <c r="AQ40" s="88">
        <f t="shared" si="8"/>
        <v>1.4567680000000006E-3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36.491469000000002</v>
      </c>
      <c r="Y41" s="190">
        <v>40.596479000000002</v>
      </c>
      <c r="Z41" s="190">
        <v>0.99102407000000003</v>
      </c>
      <c r="AA41" s="62">
        <v>0.99331448</v>
      </c>
      <c r="AB41" s="62">
        <v>2.0399658000000001E-2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-1.2809779999999975</v>
      </c>
      <c r="AN41" s="122">
        <f t="shared" si="5"/>
        <v>-1.2909760000000006</v>
      </c>
      <c r="AO41" s="122">
        <f t="shared" si="6"/>
        <v>-9.4726000000000532E-4</v>
      </c>
      <c r="AP41" s="122">
        <f t="shared" si="7"/>
        <v>-1.8058800000000375E-3</v>
      </c>
      <c r="AQ41" s="88">
        <f t="shared" si="8"/>
        <v>1.5060990000000003E-3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27.843351999999999</v>
      </c>
      <c r="Y43" s="97">
        <v>32.832265</v>
      </c>
      <c r="Z43" s="97">
        <v>0.95867773999999994</v>
      </c>
      <c r="AA43" s="60">
        <v>0.95812503000000004</v>
      </c>
      <c r="AB43" s="60">
        <v>6.3028559999999997E-2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0.36614199999999997</v>
      </c>
      <c r="AN43" s="96">
        <f t="shared" si="5"/>
        <v>0.28947900000000004</v>
      </c>
      <c r="AO43" s="96">
        <f t="shared" si="6"/>
        <v>-2.1109000000008038E-4</v>
      </c>
      <c r="AP43" s="96">
        <f t="shared" si="7"/>
        <v>2.2696200000000832E-3</v>
      </c>
      <c r="AQ43" s="121">
        <f t="shared" si="8"/>
        <v>-1.128710000000005E-3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30.254885000000002</v>
      </c>
      <c r="Y44" s="190">
        <v>34.860728000000002</v>
      </c>
      <c r="Z44" s="190">
        <v>0.97346197999999995</v>
      </c>
      <c r="AA44" s="62">
        <v>0.97214984000000004</v>
      </c>
      <c r="AB44" s="62">
        <v>4.2589127999999997E-2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-0.33446099999999745</v>
      </c>
      <c r="AN44" s="122">
        <f t="shared" si="5"/>
        <v>-0.24822699999999998</v>
      </c>
      <c r="AO44" s="122">
        <f t="shared" si="6"/>
        <v>-1.8419700000000816E-3</v>
      </c>
      <c r="AP44" s="122">
        <f t="shared" si="7"/>
        <v>-1.1696299999999216E-3</v>
      </c>
      <c r="AQ44" s="88">
        <f t="shared" si="8"/>
        <v>1.9141509999999959E-3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34.288905</v>
      </c>
      <c r="Y45" s="190">
        <v>38.408526999999999</v>
      </c>
      <c r="Z45" s="190">
        <v>0.98630287999999999</v>
      </c>
      <c r="AA45" s="62">
        <v>0.98811751999999997</v>
      </c>
      <c r="AB45" s="62">
        <v>2.6300851E-2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-0.8961269999999999</v>
      </c>
      <c r="AN45" s="122">
        <f t="shared" si="5"/>
        <v>-0.85894199999999898</v>
      </c>
      <c r="AO45" s="122">
        <f t="shared" si="6"/>
        <v>-1.4831699999999781E-3</v>
      </c>
      <c r="AP45" s="122">
        <f t="shared" si="7"/>
        <v>-2.3678200000000205E-3</v>
      </c>
      <c r="AQ45" s="88">
        <f t="shared" si="8"/>
        <v>1.6075689999999997E-3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36.473090999999997</v>
      </c>
      <c r="Y46" s="190">
        <v>40.575195999999998</v>
      </c>
      <c r="Z46" s="190">
        <v>0.99110858999999996</v>
      </c>
      <c r="AA46" s="62">
        <v>0.99293883999999999</v>
      </c>
      <c r="AB46" s="62">
        <v>1.9343606999999999E-2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-1.3683190000000067</v>
      </c>
      <c r="AN46" s="122">
        <f t="shared" si="5"/>
        <v>-1.3720220000000012</v>
      </c>
      <c r="AO46" s="122">
        <f t="shared" si="6"/>
        <v>-1.0006800000000871E-3</v>
      </c>
      <c r="AP46" s="122">
        <f t="shared" si="7"/>
        <v>-2.1971100000000021E-3</v>
      </c>
      <c r="AQ46" s="88">
        <f t="shared" si="8"/>
        <v>1.6193089999999993E-3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27.904599999999999</v>
      </c>
      <c r="Y48" s="97">
        <v>32.873140999999997</v>
      </c>
      <c r="Z48" s="97">
        <v>0.95873427</v>
      </c>
      <c r="AA48" s="60">
        <v>0.95801632999999997</v>
      </c>
      <c r="AB48" s="60">
        <v>6.3619344999999994E-2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0.37608499999999978</v>
      </c>
      <c r="AN48" s="96">
        <f t="shared" si="5"/>
        <v>0.2997879999999995</v>
      </c>
      <c r="AO48" s="96">
        <f t="shared" si="6"/>
        <v>-1.5576999999999952E-4</v>
      </c>
      <c r="AP48" s="96">
        <f t="shared" si="7"/>
        <v>2.4937499999999613E-3</v>
      </c>
      <c r="AQ48" s="121">
        <f t="shared" si="8"/>
        <v>-1.5001349999999997E-3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30.021265</v>
      </c>
      <c r="Y49" s="190">
        <v>34.669576999999997</v>
      </c>
      <c r="Z49" s="190">
        <v>0.97301861999999995</v>
      </c>
      <c r="AA49" s="62">
        <v>0.97098329999999999</v>
      </c>
      <c r="AB49" s="62">
        <v>4.4652275999999998E-2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-0.34273900000000168</v>
      </c>
      <c r="AN49" s="122">
        <f t="shared" si="5"/>
        <v>-0.24176600000000548</v>
      </c>
      <c r="AO49" s="122">
        <f t="shared" si="6"/>
        <v>-1.8018900000000837E-3</v>
      </c>
      <c r="AP49" s="122">
        <f t="shared" si="7"/>
        <v>-1.1886899999999923E-3</v>
      </c>
      <c r="AQ49" s="88">
        <f t="shared" si="8"/>
        <v>1.7083139999999955E-3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34.242417000000003</v>
      </c>
      <c r="Y50" s="190">
        <v>38.359594999999999</v>
      </c>
      <c r="Z50" s="190">
        <v>0.98616400000000004</v>
      </c>
      <c r="AA50" s="62">
        <v>0.98790012000000005</v>
      </c>
      <c r="AB50" s="62">
        <v>2.7362427000000002E-2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-0.93637099999999407</v>
      </c>
      <c r="AN50" s="122">
        <f t="shared" si="5"/>
        <v>-0.89397999999999911</v>
      </c>
      <c r="AO50" s="122">
        <f t="shared" si="6"/>
        <v>-1.5008699999999875E-3</v>
      </c>
      <c r="AP50" s="122">
        <f t="shared" si="7"/>
        <v>-2.5701899999999167E-3</v>
      </c>
      <c r="AQ50" s="88">
        <f t="shared" si="8"/>
        <v>1.5845100000000008E-3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36.384096</v>
      </c>
      <c r="Y51" s="190">
        <v>40.483733000000001</v>
      </c>
      <c r="Z51" s="190">
        <v>0.99098390999999997</v>
      </c>
      <c r="AA51" s="62">
        <v>0.99263140999999999</v>
      </c>
      <c r="AB51" s="62">
        <v>2.0108687E-2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-1.4034029999999973</v>
      </c>
      <c r="AN51" s="122">
        <f t="shared" si="5"/>
        <v>-1.4025290000000012</v>
      </c>
      <c r="AO51" s="122">
        <f t="shared" si="6"/>
        <v>-9.7068000000000154E-4</v>
      </c>
      <c r="AP51" s="122">
        <f t="shared" si="7"/>
        <v>-2.4321699999999558E-3</v>
      </c>
      <c r="AQ51" s="88">
        <f t="shared" si="8"/>
        <v>1.496266999999999E-3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27.991094</v>
      </c>
      <c r="Y53" s="97">
        <v>32.877549000000002</v>
      </c>
      <c r="Z53" s="97">
        <v>0.95655330999999999</v>
      </c>
      <c r="AA53" s="60">
        <v>0.95917770000000002</v>
      </c>
      <c r="AB53" s="60">
        <v>6.7132025999999997E-2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0.35381900000000144</v>
      </c>
      <c r="AN53" s="96">
        <f t="shared" si="5"/>
        <v>0.27393800000000113</v>
      </c>
      <c r="AO53" s="96">
        <f t="shared" si="6"/>
        <v>-2.9760000000000897E-4</v>
      </c>
      <c r="AP53" s="96">
        <f t="shared" si="7"/>
        <v>2.7831799999999962E-3</v>
      </c>
      <c r="AQ53" s="121">
        <f t="shared" si="8"/>
        <v>-1.4583040000000075E-3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29.992357999999999</v>
      </c>
      <c r="Y54" s="190">
        <v>34.612730999999997</v>
      </c>
      <c r="Z54" s="190">
        <v>0.97227416</v>
      </c>
      <c r="AA54" s="62">
        <v>0.97137828000000004</v>
      </c>
      <c r="AB54" s="62">
        <v>4.6686805999999997E-2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-0.34969699999999904</v>
      </c>
      <c r="AN54" s="122">
        <f t="shared" si="5"/>
        <v>-0.26043200000000155</v>
      </c>
      <c r="AO54" s="122">
        <f t="shared" si="6"/>
        <v>-1.7653899999999778E-3</v>
      </c>
      <c r="AP54" s="122">
        <f t="shared" si="7"/>
        <v>-1.1555500000000052E-3</v>
      </c>
      <c r="AQ54" s="88">
        <f t="shared" si="8"/>
        <v>1.6763729999999949E-3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34.086170000000003</v>
      </c>
      <c r="Y55" s="190">
        <v>38.189514000000003</v>
      </c>
      <c r="Z55" s="190">
        <v>0.98559823999999996</v>
      </c>
      <c r="AA55" s="62">
        <v>0.98775380000000002</v>
      </c>
      <c r="AB55" s="62">
        <v>2.9098592999999999E-2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-0.90794999999999959</v>
      </c>
      <c r="AN55" s="122">
        <f t="shared" si="5"/>
        <v>-0.87150099999999497</v>
      </c>
      <c r="AO55" s="122">
        <f t="shared" si="6"/>
        <v>-1.4900500000000205E-3</v>
      </c>
      <c r="AP55" s="122">
        <f t="shared" si="7"/>
        <v>-2.6156099999999904E-3</v>
      </c>
      <c r="AQ55" s="88">
        <f t="shared" si="8"/>
        <v>1.5116750000000005E-3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36.110529</v>
      </c>
      <c r="Y56" s="190">
        <v>40.191750999999996</v>
      </c>
      <c r="Z56" s="190">
        <v>0.99042960000000002</v>
      </c>
      <c r="AA56" s="62">
        <v>0.99238886000000004</v>
      </c>
      <c r="AB56" s="62">
        <v>2.1393359000000001E-2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-1.3215399999999988</v>
      </c>
      <c r="AN56" s="122">
        <f t="shared" si="5"/>
        <v>-1.3119710000000069</v>
      </c>
      <c r="AO56" s="122">
        <f t="shared" si="6"/>
        <v>-1.0000599999999693E-3</v>
      </c>
      <c r="AP56" s="122">
        <f t="shared" si="7"/>
        <v>-2.4358700000000066E-3</v>
      </c>
      <c r="AQ56" s="88">
        <f t="shared" si="8"/>
        <v>1.4007670000000007E-3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27.234811000000001</v>
      </c>
      <c r="Y58" s="97">
        <v>32.495697999999997</v>
      </c>
      <c r="Z58" s="97">
        <v>0.95817918999999996</v>
      </c>
      <c r="AA58" s="60">
        <v>0.95674917000000004</v>
      </c>
      <c r="AB58" s="60">
        <v>6.8782634999999995E-2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0.33998899999999921</v>
      </c>
      <c r="AN58" s="96">
        <f t="shared" si="5"/>
        <v>0.2309799999999953</v>
      </c>
      <c r="AO58" s="96">
        <f t="shared" si="6"/>
        <v>-4.9519000000008973E-4</v>
      </c>
      <c r="AP58" s="96">
        <f t="shared" si="7"/>
        <v>2.8334400000000759E-3</v>
      </c>
      <c r="AQ58" s="121">
        <f t="shared" si="8"/>
        <v>-4.6092500000000092E-4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30.563327000000001</v>
      </c>
      <c r="Y59" s="190">
        <v>35.289389999999997</v>
      </c>
      <c r="Z59" s="190">
        <v>0.97443959000000002</v>
      </c>
      <c r="AA59" s="62">
        <v>0.97415163999999999</v>
      </c>
      <c r="AB59" s="62">
        <v>4.2882339999999998E-2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-0.25305399999999878</v>
      </c>
      <c r="AN59" s="122">
        <f t="shared" si="5"/>
        <v>-0.20368300000000517</v>
      </c>
      <c r="AO59" s="122">
        <f t="shared" si="6"/>
        <v>-2.0048899999999259E-3</v>
      </c>
      <c r="AP59" s="122">
        <f t="shared" si="7"/>
        <v>-7.927699999999982E-4</v>
      </c>
      <c r="AQ59" s="88">
        <f t="shared" si="8"/>
        <v>1.8688119999999975E-3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34.518225000000001</v>
      </c>
      <c r="Y60" s="190">
        <v>38.658679999999997</v>
      </c>
      <c r="Z60" s="190">
        <v>0.98705977</v>
      </c>
      <c r="AA60" s="62">
        <v>0.98921431000000004</v>
      </c>
      <c r="AB60" s="62">
        <v>2.5563289999999999E-2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-0.775621000000001</v>
      </c>
      <c r="AN60" s="122">
        <f t="shared" si="5"/>
        <v>-0.73200000000000642</v>
      </c>
      <c r="AO60" s="122">
        <f t="shared" si="6"/>
        <v>-1.5874799999999745E-3</v>
      </c>
      <c r="AP60" s="122">
        <f t="shared" si="7"/>
        <v>-1.728010000000002E-3</v>
      </c>
      <c r="AQ60" s="88">
        <f t="shared" si="8"/>
        <v>1.7560179999999981E-3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36.715136000000001</v>
      </c>
      <c r="Y61" s="190">
        <v>40.800820000000002</v>
      </c>
      <c r="Z61" s="190">
        <v>0.99174099999999998</v>
      </c>
      <c r="AA61" s="62">
        <v>0.99416369999999998</v>
      </c>
      <c r="AB61" s="62">
        <v>1.8558027000000001E-2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-1.2414029999999983</v>
      </c>
      <c r="AN61" s="122">
        <f t="shared" si="5"/>
        <v>-1.2394019999999983</v>
      </c>
      <c r="AO61" s="122">
        <f t="shared" si="6"/>
        <v>-1.1120300000000416E-3</v>
      </c>
      <c r="AP61" s="122">
        <f t="shared" si="7"/>
        <v>-1.5310900000000682E-3</v>
      </c>
      <c r="AQ61" s="88">
        <f t="shared" si="8"/>
        <v>1.7353760000000003E-3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27.463031000000001</v>
      </c>
      <c r="Y63" s="97">
        <v>32.678353000000001</v>
      </c>
      <c r="Z63" s="97">
        <v>0.95898391999999999</v>
      </c>
      <c r="AA63" s="60">
        <v>0.95605150999999999</v>
      </c>
      <c r="AB63" s="60">
        <v>6.5011079999999999E-2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0.38296199999999914</v>
      </c>
      <c r="AN63" s="96">
        <f t="shared" si="5"/>
        <v>0.26458300000000179</v>
      </c>
      <c r="AO63" s="96">
        <f t="shared" si="6"/>
        <v>-5.2214000000005978E-4</v>
      </c>
      <c r="AP63" s="96">
        <f t="shared" si="7"/>
        <v>1.9797299999999574E-3</v>
      </c>
      <c r="AQ63" s="121">
        <f t="shared" si="8"/>
        <v>-3.4061999999999981E-4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30.353746000000001</v>
      </c>
      <c r="Y64" s="190">
        <v>35.144641999999997</v>
      </c>
      <c r="Z64" s="190">
        <v>0.97445207</v>
      </c>
      <c r="AA64" s="62">
        <v>0.97116212999999996</v>
      </c>
      <c r="AB64" s="62">
        <v>4.17784E-2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-0.29289899999999847</v>
      </c>
      <c r="AN64" s="122">
        <f t="shared" si="5"/>
        <v>-0.23271900000000301</v>
      </c>
      <c r="AO64" s="122">
        <f t="shared" si="6"/>
        <v>-2.018579999999992E-3</v>
      </c>
      <c r="AP64" s="122">
        <f t="shared" si="7"/>
        <v>-9.1431000000008478E-4</v>
      </c>
      <c r="AQ64" s="88">
        <f t="shared" si="8"/>
        <v>1.9143670000000002E-3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34.479928999999998</v>
      </c>
      <c r="Y65" s="190">
        <v>38.638654000000002</v>
      </c>
      <c r="Z65" s="190">
        <v>0.98704046000000001</v>
      </c>
      <c r="AA65" s="62">
        <v>0.98797396000000004</v>
      </c>
      <c r="AB65" s="62">
        <v>2.5312367999999998E-2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-0.82435999999999865</v>
      </c>
      <c r="AN65" s="122">
        <f t="shared" si="5"/>
        <v>-0.78873999999999711</v>
      </c>
      <c r="AO65" s="122">
        <f t="shared" si="6"/>
        <v>-1.5418200000000271E-3</v>
      </c>
      <c r="AP65" s="122">
        <f t="shared" si="7"/>
        <v>-2.5633899999999432E-3</v>
      </c>
      <c r="AQ65" s="88">
        <f t="shared" si="8"/>
        <v>1.723622999999997E-3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36.645553999999997</v>
      </c>
      <c r="Y66" s="190">
        <v>40.745691999999998</v>
      </c>
      <c r="Z66" s="190">
        <v>0.99167782000000004</v>
      </c>
      <c r="AA66" s="62">
        <v>0.99303956999999998</v>
      </c>
      <c r="AB66" s="62">
        <v>1.838159E-2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-1.2951440000000005</v>
      </c>
      <c r="AN66" s="122">
        <f t="shared" si="5"/>
        <v>-1.2969679999999997</v>
      </c>
      <c r="AO66" s="122">
        <f t="shared" si="6"/>
        <v>-1.0608599999999413E-3</v>
      </c>
      <c r="AP66" s="122">
        <f t="shared" si="7"/>
        <v>-2.3163200000000383E-3</v>
      </c>
      <c r="AQ66" s="88">
        <f t="shared" si="8"/>
        <v>1.6740899999999996E-3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27.700502</v>
      </c>
      <c r="Y68" s="97">
        <v>32.850034000000001</v>
      </c>
      <c r="Z68" s="97">
        <v>0.95885014999999996</v>
      </c>
      <c r="AA68" s="60">
        <v>0.95679471999999999</v>
      </c>
      <c r="AB68" s="60">
        <v>6.268667E-2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0.36056500000000113</v>
      </c>
      <c r="AN68" s="96">
        <f t="shared" si="5"/>
        <v>0.25131499999999818</v>
      </c>
      <c r="AO68" s="96">
        <f t="shared" si="6"/>
        <v>-6.7125000000001211E-4</v>
      </c>
      <c r="AP68" s="96">
        <f t="shared" si="7"/>
        <v>1.9381499999999718E-3</v>
      </c>
      <c r="AQ68" s="121">
        <f t="shared" si="8"/>
        <v>-2.4367599999999823E-4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30.358613999999999</v>
      </c>
      <c r="Y69" s="190">
        <v>35.143799999999999</v>
      </c>
      <c r="Z69" s="190">
        <v>0.97401470999999995</v>
      </c>
      <c r="AA69" s="62">
        <v>0.97025086000000005</v>
      </c>
      <c r="AB69" s="62">
        <v>4.1152870000000001E-2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-0.34108499999999964</v>
      </c>
      <c r="AN69" s="122">
        <f t="shared" si="5"/>
        <v>-0.27445000000000164</v>
      </c>
      <c r="AO69" s="122">
        <f t="shared" si="6"/>
        <v>-2.0820700000000469E-3</v>
      </c>
      <c r="AP69" s="122">
        <f t="shared" si="7"/>
        <v>-1.1568799999999158E-3</v>
      </c>
      <c r="AQ69" s="88">
        <f t="shared" si="8"/>
        <v>2.0600279999999985E-3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34.441550999999997</v>
      </c>
      <c r="Y70" s="190">
        <v>38.606490999999998</v>
      </c>
      <c r="Z70" s="190">
        <v>0.98670310000000006</v>
      </c>
      <c r="AA70" s="62">
        <v>0.98708518000000001</v>
      </c>
      <c r="AB70" s="62">
        <v>2.4751970000000002E-2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-0.88434100000000626</v>
      </c>
      <c r="AN70" s="122">
        <f t="shared" si="5"/>
        <v>-0.83795500000000089</v>
      </c>
      <c r="AO70" s="122">
        <f t="shared" si="6"/>
        <v>-1.6296299999999375E-3</v>
      </c>
      <c r="AP70" s="122">
        <f t="shared" si="7"/>
        <v>-2.9186399999999724E-3</v>
      </c>
      <c r="AQ70" s="88">
        <f t="shared" si="8"/>
        <v>1.7008480000000013E-3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36.571764999999999</v>
      </c>
      <c r="Y71" s="190">
        <v>40.672617000000002</v>
      </c>
      <c r="Z71" s="190">
        <v>0.99148537000000003</v>
      </c>
      <c r="AA71" s="62">
        <v>0.99232061000000005</v>
      </c>
      <c r="AB71" s="62">
        <v>1.8189976E-2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-1.3472050000000024</v>
      </c>
      <c r="AN71" s="122">
        <f t="shared" si="5"/>
        <v>-1.3379829999999941</v>
      </c>
      <c r="AO71" s="122">
        <f t="shared" si="6"/>
        <v>-1.1147299999999527E-3</v>
      </c>
      <c r="AP71" s="122">
        <f t="shared" si="7"/>
        <v>-2.7038699999999416E-3</v>
      </c>
      <c r="AQ71" s="88">
        <f t="shared" si="8"/>
        <v>1.5852600000000015E-3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27.807068999999998</v>
      </c>
      <c r="Y73" s="97">
        <v>32.912661</v>
      </c>
      <c r="Z73" s="97">
        <v>0.95901398000000004</v>
      </c>
      <c r="AA73" s="60">
        <v>0.95745831999999997</v>
      </c>
      <c r="AB73" s="60">
        <v>6.2374970000000002E-2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0.35223999999999833</v>
      </c>
      <c r="AN73" s="96">
        <f t="shared" si="5"/>
        <v>0.25089299999999781</v>
      </c>
      <c r="AO73" s="96">
        <f t="shared" si="6"/>
        <v>-5.1280999999991916E-4</v>
      </c>
      <c r="AP73" s="96">
        <f t="shared" si="7"/>
        <v>2.3947599999999403E-3</v>
      </c>
      <c r="AQ73" s="121">
        <f t="shared" si="8"/>
        <v>-3.023499999999929E-4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30.308257000000001</v>
      </c>
      <c r="Y74" s="190">
        <v>35.082974</v>
      </c>
      <c r="Z74" s="190">
        <v>0.97379230999999999</v>
      </c>
      <c r="AA74" s="62">
        <v>0.96999690000000005</v>
      </c>
      <c r="AB74" s="62">
        <v>4.1514173000000001E-2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-0.35237599999999958</v>
      </c>
      <c r="AN74" s="122">
        <f t="shared" si="5"/>
        <v>-0.2785909999999987</v>
      </c>
      <c r="AO74" s="122">
        <f t="shared" si="6"/>
        <v>-1.9857899999999873E-3</v>
      </c>
      <c r="AP74" s="122">
        <f t="shared" si="7"/>
        <v>-1.0863999999999319E-3</v>
      </c>
      <c r="AQ74" s="88">
        <f t="shared" si="8"/>
        <v>2.1084099999999981E-3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34.395088000000001</v>
      </c>
      <c r="Y75" s="190">
        <v>38.568387999999999</v>
      </c>
      <c r="Z75" s="190">
        <v>0.98657879000000004</v>
      </c>
      <c r="AA75" s="62">
        <v>0.98722284000000005</v>
      </c>
      <c r="AB75" s="62">
        <v>2.4818111E-2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-0.91912200000000155</v>
      </c>
      <c r="AN75" s="122">
        <f t="shared" si="5"/>
        <v>-0.8628879999999981</v>
      </c>
      <c r="AO75" s="122">
        <f t="shared" si="6"/>
        <v>-1.6057499999999614E-3</v>
      </c>
      <c r="AP75" s="122">
        <f t="shared" si="7"/>
        <v>-2.8575100000000075E-3</v>
      </c>
      <c r="AQ75" s="88">
        <f t="shared" si="8"/>
        <v>1.5671940000000009E-3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36.514144000000002</v>
      </c>
      <c r="Y76" s="190">
        <v>40.619267000000001</v>
      </c>
      <c r="Z76" s="190">
        <v>0.99133146000000005</v>
      </c>
      <c r="AA76" s="62">
        <v>0.99240927999999995</v>
      </c>
      <c r="AB76" s="62">
        <v>1.8319269999999999E-2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-1.367529999999995</v>
      </c>
      <c r="AN76" s="122">
        <f t="shared" si="5"/>
        <v>-1.349415999999998</v>
      </c>
      <c r="AO76" s="122">
        <f t="shared" si="6"/>
        <v>-1.0937099999999145E-3</v>
      </c>
      <c r="AP76" s="122">
        <f t="shared" si="7"/>
        <v>-2.6696000000000497E-3</v>
      </c>
      <c r="AQ76" s="88">
        <f t="shared" si="8"/>
        <v>1.4990549999999991E-3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27.829778999999998</v>
      </c>
      <c r="Y78" s="97">
        <v>32.841096999999998</v>
      </c>
      <c r="Z78" s="97">
        <v>0.95698638000000003</v>
      </c>
      <c r="AA78" s="60">
        <v>0.95788636999999999</v>
      </c>
      <c r="AB78" s="60">
        <v>6.5929390000000004E-2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0.32102599999999981</v>
      </c>
      <c r="AN78" s="96">
        <f t="shared" si="5"/>
        <v>0.22294000000000125</v>
      </c>
      <c r="AO78" s="96">
        <f t="shared" si="6"/>
        <v>-6.214599999999626E-4</v>
      </c>
      <c r="AP78" s="96">
        <f t="shared" si="7"/>
        <v>2.2081499999999643E-3</v>
      </c>
      <c r="AQ78" s="121">
        <f t="shared" si="8"/>
        <v>-2.3543999999998955E-4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30.239827999999999</v>
      </c>
      <c r="Y79" s="190">
        <v>34.942900999999999</v>
      </c>
      <c r="Z79" s="190">
        <v>0.97273001000000003</v>
      </c>
      <c r="AA79" s="62">
        <v>0.97085593000000003</v>
      </c>
      <c r="AB79" s="62">
        <v>4.4780590000000002E-2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-0.3489520000000006</v>
      </c>
      <c r="AN79" s="122">
        <f t="shared" si="5"/>
        <v>-0.28596100000000035</v>
      </c>
      <c r="AO79" s="122">
        <f t="shared" si="6"/>
        <v>-1.9406799999999169E-3</v>
      </c>
      <c r="AP79" s="122">
        <f t="shared" si="7"/>
        <v>-1.0962500000000208E-3</v>
      </c>
      <c r="AQ79" s="88">
        <f t="shared" si="8"/>
        <v>1.9858199999999993E-3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34.221201999999998</v>
      </c>
      <c r="Y80" s="190">
        <v>38.369047000000002</v>
      </c>
      <c r="Z80" s="190">
        <v>0.98576905999999997</v>
      </c>
      <c r="AA80" s="62">
        <v>0.98742574000000005</v>
      </c>
      <c r="AB80" s="62">
        <v>2.6851138E-2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-0.90911200000000036</v>
      </c>
      <c r="AN80" s="122">
        <f t="shared" si="5"/>
        <v>-0.85685099999999892</v>
      </c>
      <c r="AO80" s="122">
        <f t="shared" si="6"/>
        <v>-1.6072700000000495E-3</v>
      </c>
      <c r="AP80" s="122">
        <f t="shared" si="7"/>
        <v>-2.7509499999999187E-3</v>
      </c>
      <c r="AQ80" s="88">
        <f t="shared" si="8"/>
        <v>1.7019420000000014E-3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36.286802999999999</v>
      </c>
      <c r="Y81" s="190">
        <v>40.369936000000003</v>
      </c>
      <c r="Z81" s="190">
        <v>0.99061666000000004</v>
      </c>
      <c r="AA81" s="62">
        <v>0.99245395999999997</v>
      </c>
      <c r="AB81" s="62">
        <v>1.9989893000000002E-2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-1.3105440000000002</v>
      </c>
      <c r="AN81" s="122">
        <f t="shared" si="5"/>
        <v>-1.2823159999999945</v>
      </c>
      <c r="AO81" s="122">
        <f t="shared" si="6"/>
        <v>-1.0749499999999079E-3</v>
      </c>
      <c r="AP81" s="122">
        <f t="shared" si="7"/>
        <v>-2.4718100000000742E-3</v>
      </c>
      <c r="AQ81" s="88">
        <f t="shared" si="8"/>
        <v>1.5047730000000009E-3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27.327885999999999</v>
      </c>
      <c r="Y83" s="97">
        <v>32.552433999999998</v>
      </c>
      <c r="Z83" s="97">
        <v>0.95563432000000004</v>
      </c>
      <c r="AA83" s="60">
        <v>0.95713592000000003</v>
      </c>
      <c r="AB83" s="60">
        <v>7.0387944999999993E-2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0.34798999999999936</v>
      </c>
      <c r="AN83" s="96">
        <f t="shared" si="5"/>
        <v>0.22715799999999575</v>
      </c>
      <c r="AO83" s="96">
        <f t="shared" si="6"/>
        <v>-9.3409999999993776E-4</v>
      </c>
      <c r="AP83" s="96">
        <f t="shared" si="7"/>
        <v>1.6900800000000382E-3</v>
      </c>
      <c r="AQ83" s="121">
        <f t="shared" si="8"/>
        <v>-3.4985000000001265E-5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30.231853999999998</v>
      </c>
      <c r="Y84" s="190">
        <v>35.051217999999999</v>
      </c>
      <c r="Z84" s="190">
        <v>0.97387621999999996</v>
      </c>
      <c r="AA84" s="62">
        <v>0.97372333</v>
      </c>
      <c r="AB84" s="62">
        <v>4.3175129999999999E-2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-0.27725000000000222</v>
      </c>
      <c r="AN84" s="122">
        <f t="shared" si="5"/>
        <v>-0.2246239999999986</v>
      </c>
      <c r="AO84" s="122">
        <f t="shared" si="6"/>
        <v>-2.2218300000000912E-3</v>
      </c>
      <c r="AP84" s="122">
        <f t="shared" si="7"/>
        <v>-8.652500000000396E-4</v>
      </c>
      <c r="AQ84" s="88">
        <f t="shared" si="8"/>
        <v>2.1524299999999968E-3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34.157246000000001</v>
      </c>
      <c r="Y85" s="190">
        <v>38.355918000000003</v>
      </c>
      <c r="Z85" s="190">
        <v>0.98683831</v>
      </c>
      <c r="AA85" s="62">
        <v>0.98764043000000001</v>
      </c>
      <c r="AB85" s="62">
        <v>2.5572002E-2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-0.83825300000000169</v>
      </c>
      <c r="AN85" s="122">
        <f t="shared" si="5"/>
        <v>-0.77559899999999971</v>
      </c>
      <c r="AO85" s="122">
        <f t="shared" si="6"/>
        <v>-1.7366899999999852E-3</v>
      </c>
      <c r="AP85" s="122">
        <f t="shared" si="7"/>
        <v>-3.484860000000034E-3</v>
      </c>
      <c r="AQ85" s="88">
        <f t="shared" si="8"/>
        <v>1.8039200000000005E-3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36.416182999999997</v>
      </c>
      <c r="Y86" s="190">
        <v>40.488225999999997</v>
      </c>
      <c r="Z86" s="190">
        <v>0.99176547999999998</v>
      </c>
      <c r="AA86" s="62">
        <v>0.99403891</v>
      </c>
      <c r="AB86" s="62">
        <v>1.8543560000000001E-2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-1.4026920000000018</v>
      </c>
      <c r="AN86" s="122">
        <f t="shared" si="5"/>
        <v>-1.385351</v>
      </c>
      <c r="AO86" s="122">
        <f t="shared" si="6"/>
        <v>-1.2154899999999857E-3</v>
      </c>
      <c r="AP86" s="122">
        <f t="shared" si="7"/>
        <v>-1.6460499999999545E-3</v>
      </c>
      <c r="AQ86" s="88">
        <f t="shared" si="8"/>
        <v>1.7638059999999997E-3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27.439066</v>
      </c>
      <c r="Y88" s="97">
        <v>32.654764</v>
      </c>
      <c r="Z88" s="97">
        <v>0.95683377999999997</v>
      </c>
      <c r="AA88" s="60">
        <v>0.95654415999999998</v>
      </c>
      <c r="AB88" s="60">
        <v>6.6610253999999994E-2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0.36886900000000011</v>
      </c>
      <c r="AN88" s="96">
        <f t="shared" si="5"/>
        <v>0.2471439999999987</v>
      </c>
      <c r="AO88" s="96">
        <f t="shared" si="6"/>
        <v>-8.8251000000005853E-4</v>
      </c>
      <c r="AP88" s="96">
        <f t="shared" si="7"/>
        <v>1.8705999999999445E-3</v>
      </c>
      <c r="AQ88" s="121">
        <f t="shared" si="8"/>
        <v>-7.2946000000004285E-5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30.328600000000002</v>
      </c>
      <c r="Y89" s="190">
        <v>35.134154000000002</v>
      </c>
      <c r="Z89" s="190">
        <v>0.97410163999999999</v>
      </c>
      <c r="AA89" s="62">
        <v>0.97219736999999995</v>
      </c>
      <c r="AB89" s="62">
        <v>4.1859753E-2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-0.2598319999999994</v>
      </c>
      <c r="AN89" s="122">
        <f t="shared" si="5"/>
        <v>-0.21136699999999564</v>
      </c>
      <c r="AO89" s="122">
        <f t="shared" si="6"/>
        <v>-2.1426700000000132E-3</v>
      </c>
      <c r="AP89" s="122">
        <f t="shared" si="7"/>
        <v>-9.160000000000279E-4</v>
      </c>
      <c r="AQ89" s="88">
        <f t="shared" si="8"/>
        <v>1.9317150000000005E-3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34.340547000000001</v>
      </c>
      <c r="Y90" s="190">
        <v>38.537761000000003</v>
      </c>
      <c r="Z90" s="190">
        <v>0.98685080999999997</v>
      </c>
      <c r="AA90" s="62">
        <v>0.98852689999999999</v>
      </c>
      <c r="AB90" s="62">
        <v>2.5304468E-2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-0.78669800000000123</v>
      </c>
      <c r="AN90" s="122">
        <f t="shared" si="5"/>
        <v>-0.73676099999999423</v>
      </c>
      <c r="AO90" s="122">
        <f t="shared" si="6"/>
        <v>-1.6807899999999876E-3</v>
      </c>
      <c r="AP90" s="122">
        <f t="shared" si="7"/>
        <v>-2.1905700000000028E-3</v>
      </c>
      <c r="AQ90" s="88">
        <f t="shared" si="8"/>
        <v>1.7082999999999994E-3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36.621149000000003</v>
      </c>
      <c r="Y91" s="190">
        <v>40.706322</v>
      </c>
      <c r="Z91" s="190">
        <v>0.99175095999999996</v>
      </c>
      <c r="AA91" s="62">
        <v>0.99365108999999996</v>
      </c>
      <c r="AB91" s="62">
        <v>1.837621E-2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-1.2921089999999964</v>
      </c>
      <c r="AN91" s="122">
        <f t="shared" si="5"/>
        <v>-1.2856510000000014</v>
      </c>
      <c r="AO91" s="122">
        <f t="shared" si="6"/>
        <v>-1.1468300000000431E-3</v>
      </c>
      <c r="AP91" s="122">
        <f t="shared" si="7"/>
        <v>-1.8044200000000288E-3</v>
      </c>
      <c r="AQ91" s="88">
        <f t="shared" si="8"/>
        <v>1.6807349999999992E-3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27.577082999999998</v>
      </c>
      <c r="Y93" s="97">
        <v>32.767819000000003</v>
      </c>
      <c r="Z93" s="97">
        <v>0.95740729000000002</v>
      </c>
      <c r="AA93" s="60">
        <v>0.95571536999999995</v>
      </c>
      <c r="AB93" s="60">
        <v>6.3911386000000001E-2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0.34730799999999817</v>
      </c>
      <c r="AN93" s="96">
        <f t="shared" si="5"/>
        <v>0.23672600000000443</v>
      </c>
      <c r="AO93" s="96">
        <f t="shared" si="6"/>
        <v>-1.1688499999999991E-3</v>
      </c>
      <c r="AP93" s="96">
        <f t="shared" si="7"/>
        <v>2.3246899999999071E-3</v>
      </c>
      <c r="AQ93" s="121">
        <f t="shared" si="8"/>
        <v>3.9881599999999628E-4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30.392143999999998</v>
      </c>
      <c r="Y94" s="190">
        <v>35.171813999999998</v>
      </c>
      <c r="Z94" s="190">
        <v>0.97435514999999995</v>
      </c>
      <c r="AA94" s="62">
        <v>0.97021005999999999</v>
      </c>
      <c r="AB94" s="62">
        <v>4.0156459999999998E-2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-0.297265000000003</v>
      </c>
      <c r="AN94" s="122">
        <f t="shared" si="5"/>
        <v>-0.24017700000000275</v>
      </c>
      <c r="AO94" s="122">
        <f t="shared" si="6"/>
        <v>-2.2187700000000365E-3</v>
      </c>
      <c r="AP94" s="122">
        <f t="shared" si="7"/>
        <v>-1.1057700000000059E-3</v>
      </c>
      <c r="AQ94" s="88">
        <f t="shared" si="8"/>
        <v>2.0760059999999983E-3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34.490363000000002</v>
      </c>
      <c r="Y95" s="190">
        <v>38.668329</v>
      </c>
      <c r="Z95" s="190">
        <v>0.98695319000000004</v>
      </c>
      <c r="AA95" s="62">
        <v>0.98747116999999995</v>
      </c>
      <c r="AB95" s="62">
        <v>2.4301739999999999E-2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-0.83912799999999521</v>
      </c>
      <c r="AN95" s="122">
        <f t="shared" si="5"/>
        <v>-0.7857050000000001</v>
      </c>
      <c r="AO95" s="122">
        <f t="shared" si="6"/>
        <v>-1.6989699999999663E-3</v>
      </c>
      <c r="AP95" s="122">
        <f t="shared" si="7"/>
        <v>-2.6669400000000065E-3</v>
      </c>
      <c r="AQ95" s="88">
        <f t="shared" si="8"/>
        <v>1.7358849999999995E-3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36.736525</v>
      </c>
      <c r="Y96" s="190">
        <v>40.812838999999997</v>
      </c>
      <c r="Z96" s="190">
        <v>0.99176240000000004</v>
      </c>
      <c r="AA96" s="62">
        <v>0.99281405</v>
      </c>
      <c r="AB96" s="62">
        <v>1.7678666999999999E-2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-1.3446360000000013</v>
      </c>
      <c r="AN96" s="122">
        <f t="shared" si="5"/>
        <v>-1.337171000000005</v>
      </c>
      <c r="AO96" s="122">
        <f t="shared" si="6"/>
        <v>-1.1677299999999224E-3</v>
      </c>
      <c r="AP96" s="122">
        <f t="shared" si="7"/>
        <v>-2.3478799999999689E-3</v>
      </c>
      <c r="AQ96" s="88">
        <f t="shared" si="8"/>
        <v>1.6742649999999977E-3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27.742004999999999</v>
      </c>
      <c r="Y98" s="97">
        <v>32.900539000000002</v>
      </c>
      <c r="Z98" s="97">
        <v>0.95771258999999997</v>
      </c>
      <c r="AA98" s="60">
        <v>0.95683556999999997</v>
      </c>
      <c r="AB98" s="60">
        <v>6.3638420000000001E-2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0.34218999999999866</v>
      </c>
      <c r="AN98" s="96">
        <f t="shared" si="15"/>
        <v>0.23864500000000533</v>
      </c>
      <c r="AO98" s="96">
        <f t="shared" si="16"/>
        <v>-1.0110400000000741E-3</v>
      </c>
      <c r="AP98" s="96">
        <f t="shared" si="17"/>
        <v>2.1413299999999413E-3</v>
      </c>
      <c r="AQ98" s="121">
        <f t="shared" si="18"/>
        <v>2.642959999999972E-4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30.357316000000001</v>
      </c>
      <c r="Y99" s="190">
        <v>35.15954</v>
      </c>
      <c r="Z99" s="190">
        <v>0.97441467999999998</v>
      </c>
      <c r="AA99" s="62">
        <v>0.97087250999999997</v>
      </c>
      <c r="AB99" s="62">
        <v>4.0684560000000002E-2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-0.29360399999999842</v>
      </c>
      <c r="AN99" s="122">
        <f t="shared" si="15"/>
        <v>-0.23343899999999707</v>
      </c>
      <c r="AO99" s="122">
        <f t="shared" si="16"/>
        <v>-2.0743600000000528E-3</v>
      </c>
      <c r="AP99" s="122">
        <f t="shared" si="17"/>
        <v>-9.9420000000005615E-4</v>
      </c>
      <c r="AQ99" s="88">
        <f t="shared" si="18"/>
        <v>2.0105330000000018E-3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34.376826999999999</v>
      </c>
      <c r="Y100" s="190">
        <v>38.591121000000001</v>
      </c>
      <c r="Z100" s="190">
        <v>0.98690555999999996</v>
      </c>
      <c r="AA100" s="62">
        <v>0.98762103000000001</v>
      </c>
      <c r="AB100" s="62">
        <v>2.4801783000000001E-2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-0.84928200000000231</v>
      </c>
      <c r="AN100" s="122">
        <f t="shared" si="15"/>
        <v>-0.78612299999999635</v>
      </c>
      <c r="AO100" s="122">
        <f t="shared" si="16"/>
        <v>-1.6641700000000759E-3</v>
      </c>
      <c r="AP100" s="122">
        <f t="shared" si="17"/>
        <v>-2.4872299999999514E-3</v>
      </c>
      <c r="AQ100" s="88">
        <f t="shared" si="18"/>
        <v>1.5003100000000012E-3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36.663246000000001</v>
      </c>
      <c r="Y101" s="190">
        <v>40.766205999999997</v>
      </c>
      <c r="Z101" s="190">
        <v>0.99174468000000005</v>
      </c>
      <c r="AA101" s="62">
        <v>0.99307926999999996</v>
      </c>
      <c r="AB101" s="62">
        <v>1.7977294000000001E-2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-1.365749000000001</v>
      </c>
      <c r="AN101" s="122">
        <f t="shared" si="15"/>
        <v>-1.3415560000000042</v>
      </c>
      <c r="AO101" s="122">
        <f t="shared" si="16"/>
        <v>-1.1136499999999661E-3</v>
      </c>
      <c r="AP101" s="122">
        <f t="shared" si="17"/>
        <v>-2.22140000000004E-3</v>
      </c>
      <c r="AQ101" s="88">
        <f t="shared" si="18"/>
        <v>1.5862700000000007E-3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27.693415999999999</v>
      </c>
      <c r="Y103" s="97">
        <v>32.668196000000002</v>
      </c>
      <c r="Z103" s="97">
        <v>0.95590971000000002</v>
      </c>
      <c r="AA103" s="60">
        <v>0.95806188000000003</v>
      </c>
      <c r="AB103" s="60">
        <v>6.5984769999999998E-2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0.31119400000000041</v>
      </c>
      <c r="AN103" s="96">
        <f t="shared" si="15"/>
        <v>0.20059400000000238</v>
      </c>
      <c r="AO103" s="96">
        <f t="shared" si="16"/>
        <v>-9.6856999999994642E-4</v>
      </c>
      <c r="AP103" s="96">
        <f t="shared" si="17"/>
        <v>2.7857900000000102E-3</v>
      </c>
      <c r="AQ103" s="121">
        <f t="shared" si="18"/>
        <v>6.1776399999999287E-4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30.200869999999998</v>
      </c>
      <c r="Y104" s="190">
        <v>34.868293999999999</v>
      </c>
      <c r="Z104" s="190">
        <v>0.97361207999999999</v>
      </c>
      <c r="AA104" s="62">
        <v>0.97169179000000006</v>
      </c>
      <c r="AB104" s="62">
        <v>4.2386167000000002E-2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-0.29243600000000214</v>
      </c>
      <c r="AN104" s="122">
        <f t="shared" si="15"/>
        <v>-0.26420399999999944</v>
      </c>
      <c r="AO104" s="122">
        <f t="shared" si="16"/>
        <v>-2.0690800000000564E-3</v>
      </c>
      <c r="AP104" s="122">
        <f t="shared" si="17"/>
        <v>-1.1211599999999544E-3</v>
      </c>
      <c r="AQ104" s="88">
        <f t="shared" si="18"/>
        <v>2.1717140000000051E-3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34.068736999999999</v>
      </c>
      <c r="Y105" s="190">
        <v>38.231267000000003</v>
      </c>
      <c r="Z105" s="190">
        <v>0.98618857000000004</v>
      </c>
      <c r="AA105" s="62">
        <v>0.98756204000000003</v>
      </c>
      <c r="AB105" s="62">
        <v>2.5896076000000001E-2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-0.85234400000000221</v>
      </c>
      <c r="AN105" s="122">
        <f t="shared" si="15"/>
        <v>-0.80905599999999822</v>
      </c>
      <c r="AO105" s="122">
        <f t="shared" si="16"/>
        <v>-1.7179699999999576E-3</v>
      </c>
      <c r="AP105" s="122">
        <f t="shared" si="17"/>
        <v>-2.4232499999999879E-3</v>
      </c>
      <c r="AQ105" s="88">
        <f t="shared" si="18"/>
        <v>1.6239460000000011E-3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36.390588999999999</v>
      </c>
      <c r="Y106" s="190">
        <v>40.456834999999998</v>
      </c>
      <c r="Z106" s="190">
        <v>0.99125839999999998</v>
      </c>
      <c r="AA106" s="62">
        <v>0.99305321999999996</v>
      </c>
      <c r="AB106" s="62">
        <v>1.8579114000000001E-2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-1.3720810000000014</v>
      </c>
      <c r="AN106" s="122">
        <f t="shared" si="15"/>
        <v>-1.3520260000000022</v>
      </c>
      <c r="AO106" s="122">
        <f t="shared" si="16"/>
        <v>-1.1748200000000208E-3</v>
      </c>
      <c r="AP106" s="122">
        <f t="shared" si="17"/>
        <v>-2.1555600000000563E-3</v>
      </c>
      <c r="AQ106" s="88">
        <f t="shared" si="18"/>
        <v>1.5810200000000024E-3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27.171887999999999</v>
      </c>
      <c r="Y641" s="136">
        <f t="shared" si="60"/>
        <v>32.335357000000002</v>
      </c>
      <c r="Z641" s="136">
        <f t="shared" si="60"/>
        <v>0.95563432000000004</v>
      </c>
      <c r="AA641" s="136">
        <f t="shared" si="60"/>
        <v>0.95424291999999999</v>
      </c>
      <c r="AB641" s="136">
        <f t="shared" si="60"/>
        <v>6.2374970000000002E-2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29.992357999999999</v>
      </c>
      <c r="Y642" s="18">
        <f t="shared" si="60"/>
        <v>34.612730999999997</v>
      </c>
      <c r="Z642" s="18">
        <f t="shared" si="60"/>
        <v>0.97227416</v>
      </c>
      <c r="AA642" s="18">
        <f t="shared" si="60"/>
        <v>0.96999690000000005</v>
      </c>
      <c r="AB642" s="18">
        <f t="shared" si="60"/>
        <v>4.0156459999999998E-2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34.068736999999999</v>
      </c>
      <c r="Y643" s="18">
        <f t="shared" si="60"/>
        <v>38.189514000000003</v>
      </c>
      <c r="Z643" s="18">
        <f t="shared" si="60"/>
        <v>0.98559823999999996</v>
      </c>
      <c r="AA643" s="18">
        <f t="shared" si="60"/>
        <v>0.98601243000000005</v>
      </c>
      <c r="AB643" s="18">
        <f t="shared" si="60"/>
        <v>2.4301739999999999E-2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36.110529</v>
      </c>
      <c r="Y644" s="18">
        <f t="shared" si="60"/>
        <v>40.191750999999996</v>
      </c>
      <c r="Z644" s="18">
        <f t="shared" si="60"/>
        <v>0.99042960000000002</v>
      </c>
      <c r="AA644" s="18">
        <f t="shared" si="60"/>
        <v>0.99232061000000005</v>
      </c>
      <c r="AB644" s="18">
        <f t="shared" si="60"/>
        <v>1.7678666999999999E-2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27.991094</v>
      </c>
      <c r="Y646" s="136">
        <f t="shared" si="62"/>
        <v>32.912661</v>
      </c>
      <c r="Z646" s="136">
        <f t="shared" si="62"/>
        <v>0.95911477999999994</v>
      </c>
      <c r="AA646" s="136">
        <f t="shared" si="62"/>
        <v>0.95917770000000002</v>
      </c>
      <c r="AB646" s="136">
        <f t="shared" si="62"/>
        <v>7.0387944999999993E-2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30.563327000000001</v>
      </c>
      <c r="Y647" s="18">
        <f t="shared" si="62"/>
        <v>35.289389999999997</v>
      </c>
      <c r="Z647" s="18">
        <f t="shared" si="62"/>
        <v>0.97445207</v>
      </c>
      <c r="AA647" s="18">
        <f t="shared" si="62"/>
        <v>0.97415163999999999</v>
      </c>
      <c r="AB647" s="18">
        <f t="shared" si="62"/>
        <v>4.6686805999999997E-2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34.518225000000001</v>
      </c>
      <c r="Y648" s="18">
        <f t="shared" si="62"/>
        <v>38.668329</v>
      </c>
      <c r="Z648" s="18">
        <f t="shared" si="62"/>
        <v>0.98705977</v>
      </c>
      <c r="AA648" s="18">
        <f t="shared" si="62"/>
        <v>0.98921431000000004</v>
      </c>
      <c r="AB648" s="18">
        <f t="shared" si="62"/>
        <v>2.9098592999999999E-2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36.736525</v>
      </c>
      <c r="Y649" s="18">
        <f t="shared" si="62"/>
        <v>40.812838999999997</v>
      </c>
      <c r="Z649" s="18">
        <f t="shared" si="62"/>
        <v>0.99176547999999998</v>
      </c>
      <c r="AA649" s="18">
        <f t="shared" si="62"/>
        <v>0.99416369999999998</v>
      </c>
      <c r="AB649" s="18">
        <f t="shared" si="62"/>
        <v>2.1393359000000001E-2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0.81920600000000121</v>
      </c>
      <c r="Y651" s="136">
        <f t="shared" si="64"/>
        <v>0.57730399999999804</v>
      </c>
      <c r="Z651" s="136">
        <f t="shared" si="64"/>
        <v>3.4804599999999075E-3</v>
      </c>
      <c r="AA651" s="136">
        <f t="shared" si="64"/>
        <v>4.9347800000000275E-3</v>
      </c>
      <c r="AB651" s="136">
        <f t="shared" si="64"/>
        <v>8.0129749999999916E-3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0.57096900000000161</v>
      </c>
      <c r="Y652" s="18">
        <f t="shared" si="64"/>
        <v>0.67665900000000079</v>
      </c>
      <c r="Z652" s="18">
        <f t="shared" si="64"/>
        <v>2.1779100000000051E-3</v>
      </c>
      <c r="AA652" s="18">
        <f t="shared" si="64"/>
        <v>4.1547399999999346E-3</v>
      </c>
      <c r="AB652" s="18">
        <f t="shared" si="64"/>
        <v>6.5303459999999994E-3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0.44948800000000233</v>
      </c>
      <c r="Y653" s="18">
        <f t="shared" si="64"/>
        <v>0.47881499999999733</v>
      </c>
      <c r="Z653" s="18">
        <f t="shared" si="64"/>
        <v>1.4615300000000442E-3</v>
      </c>
      <c r="AA653" s="18">
        <f t="shared" si="64"/>
        <v>3.2018799999999903E-3</v>
      </c>
      <c r="AB653" s="18">
        <f t="shared" si="64"/>
        <v>4.7968530000000002E-3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0.62599600000000066</v>
      </c>
      <c r="Y654" s="18">
        <f t="shared" si="64"/>
        <v>0.62108800000000031</v>
      </c>
      <c r="Z654" s="18">
        <f t="shared" si="64"/>
        <v>1.335879999999956E-3</v>
      </c>
      <c r="AA654" s="18">
        <f t="shared" si="64"/>
        <v>1.8430899999999362E-3</v>
      </c>
      <c r="AB654" s="18">
        <f t="shared" si="64"/>
        <v>3.7146920000000021E-3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36461.719999999994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27.561736799999998</v>
      </c>
      <c r="Y5" s="30">
        <f t="shared" si="2"/>
        <v>32.576104466666671</v>
      </c>
      <c r="Z5" s="30">
        <f t="shared" si="2"/>
        <v>0.9564686493333332</v>
      </c>
      <c r="AA5" s="91">
        <f t="shared" si="2"/>
        <v>0.95642119800000003</v>
      </c>
      <c r="AB5" s="91">
        <f t="shared" si="2"/>
        <v>6.8080231266666666E-2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-2.9402333149973425E-2</v>
      </c>
      <c r="AN5" s="245">
        <f>bdrate($E5:$E8,G5:G8,$W5:$W8,Y5:Y8)</f>
        <v>-2.9166341486555503E-2</v>
      </c>
      <c r="AO5" s="245">
        <f>bdrate($E5:$E8,H5:H8,$W5:$W8,Z5:Z8)</f>
        <v>-2.8506499583346945E-2</v>
      </c>
      <c r="AP5" s="245">
        <f>bdrate($E5:$E8,I5:I8,$W5:$W8,AA5:AA8)</f>
        <v>-4.1462791775943808E-2</v>
      </c>
      <c r="AQ5" s="246">
        <f>bdrateInverted($E5:$E8,J5:J8,$W5:$W8,AB5:AB8)</f>
        <v>-4.206764003016672E-2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50769.944000000003</v>
      </c>
      <c r="X6" s="91">
        <f t="shared" si="2"/>
        <v>30.374949800000003</v>
      </c>
      <c r="Y6" s="91">
        <f t="shared" si="2"/>
        <v>34.967668866666671</v>
      </c>
      <c r="Z6" s="91">
        <f t="shared" si="2"/>
        <v>0.97288458266666666</v>
      </c>
      <c r="AA6" s="91">
        <f t="shared" si="2"/>
        <v>0.97106037266666645</v>
      </c>
      <c r="AB6" s="91">
        <f t="shared" si="2"/>
        <v>4.4499089333333332E-2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71059.631999999998</v>
      </c>
      <c r="X7" s="91">
        <f t="shared" si="2"/>
        <v>34.221392000000002</v>
      </c>
      <c r="Y7" s="91">
        <f t="shared" si="2"/>
        <v>38.37607460000001</v>
      </c>
      <c r="Z7" s="91">
        <f t="shared" si="2"/>
        <v>0.98603511066666671</v>
      </c>
      <c r="AA7" s="91">
        <f t="shared" si="2"/>
        <v>0.98729001133333349</v>
      </c>
      <c r="AB7" s="91">
        <f t="shared" si="2"/>
        <v>2.6686614666666664E-2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98682.463999999993</v>
      </c>
      <c r="X8" s="91">
        <f t="shared" si="2"/>
        <v>36.309082800000006</v>
      </c>
      <c r="Y8" s="91">
        <f t="shared" si="2"/>
        <v>40.396074333333338</v>
      </c>
      <c r="Z8" s="91">
        <f t="shared" si="2"/>
        <v>0.99085907133333351</v>
      </c>
      <c r="AA8" s="91">
        <f t="shared" si="2"/>
        <v>0.99312141733333337</v>
      </c>
      <c r="AB8" s="91">
        <f t="shared" si="2"/>
        <v>1.9900358933333331E-2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6005.9040000000005</v>
      </c>
      <c r="X16" s="167">
        <v>7153.4160000000002</v>
      </c>
      <c r="Y16" s="167">
        <v>1248.96</v>
      </c>
      <c r="Z16" s="167">
        <v>960.952</v>
      </c>
      <c r="AA16" s="167">
        <v>53.76</v>
      </c>
      <c r="AB16" s="167">
        <v>11311.216</v>
      </c>
      <c r="AC16" s="60">
        <v>7332.1279999999997</v>
      </c>
      <c r="AD16" s="60">
        <v>2395.384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6005.9040000000005</v>
      </c>
      <c r="X17" s="168">
        <v>9431.2160000000003</v>
      </c>
      <c r="Y17" s="168">
        <v>3869.7040000000002</v>
      </c>
      <c r="Z17" s="168">
        <v>3376.7440000000001</v>
      </c>
      <c r="AA17" s="168">
        <v>720.57600000000002</v>
      </c>
      <c r="AB17" s="168">
        <v>14528.6</v>
      </c>
      <c r="AC17" s="62">
        <v>9682.3680000000004</v>
      </c>
      <c r="AD17" s="62">
        <v>3154.8319999999999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6005.9040000000005</v>
      </c>
      <c r="X18" s="168">
        <v>11769.8</v>
      </c>
      <c r="Y18" s="168">
        <v>7612.4160000000002</v>
      </c>
      <c r="Z18" s="168">
        <v>7839.7439999999997</v>
      </c>
      <c r="AA18" s="168">
        <v>3893.76</v>
      </c>
      <c r="AB18" s="168">
        <v>17869.975999999999</v>
      </c>
      <c r="AC18" s="62">
        <v>12136.968000000001</v>
      </c>
      <c r="AD18" s="62">
        <v>3931.0639999999999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6005.9040000000005</v>
      </c>
      <c r="X19" s="168">
        <v>13995.472</v>
      </c>
      <c r="Y19" s="168">
        <v>11809.704</v>
      </c>
      <c r="Z19" s="168">
        <v>14451.951999999999</v>
      </c>
      <c r="AA19" s="168">
        <v>11654.088</v>
      </c>
      <c r="AB19" s="168">
        <v>21317.200000000001</v>
      </c>
      <c r="AC19" s="62">
        <v>14705.208000000001</v>
      </c>
      <c r="AD19" s="62">
        <v>4742.9359999999997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36461.719999999994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50769.944000000003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71059.631999999998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98682.463999999993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27.200399000000001</v>
      </c>
      <c r="Y33" s="97">
        <v>32.183666000000002</v>
      </c>
      <c r="Z33" s="97">
        <v>0.95620517999999999</v>
      </c>
      <c r="AA33" s="60">
        <v>0.95354488999999998</v>
      </c>
      <c r="AB33" s="60">
        <v>7.2076249999999994E-2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0.37769000000000119</v>
      </c>
      <c r="AN33" s="96">
        <f t="shared" ref="AN33:AN96" si="5">IF(OR(Y33="",G33=""),"",Y33-G33)</f>
        <v>0.28939200000000298</v>
      </c>
      <c r="AO33" s="96">
        <f t="shared" ref="AO33:AO96" si="6">IF(OR(Z33="",H33=""),"",Z33-H33)</f>
        <v>-1.3925000000003518E-4</v>
      </c>
      <c r="AP33" s="96">
        <f t="shared" ref="AP33:AP96" si="7">IF(OR(AA33="",I33=""),"",AA33-I33)</f>
        <v>3.8009799999999538E-3</v>
      </c>
      <c r="AQ33" s="121">
        <f t="shared" ref="AQ33:AQ96" si="8">IF(OR(AB33="",J33=""),"",AB33-J33)</f>
        <v>-1.0855200000000065E-3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30.440873</v>
      </c>
      <c r="Y34" s="190">
        <v>34.896099</v>
      </c>
      <c r="Z34" s="190">
        <v>0.97300343</v>
      </c>
      <c r="AA34" s="62">
        <v>0.97134830000000005</v>
      </c>
      <c r="AB34" s="62">
        <v>4.7003686000000003E-2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-0.27780399999999972</v>
      </c>
      <c r="AN34" s="122">
        <f t="shared" si="5"/>
        <v>-0.20966599999999858</v>
      </c>
      <c r="AO34" s="122">
        <f t="shared" si="6"/>
        <v>-1.9305499999999753E-3</v>
      </c>
      <c r="AP34" s="122">
        <f t="shared" si="7"/>
        <v>-1.2604399999999183E-3</v>
      </c>
      <c r="AQ34" s="88">
        <f t="shared" si="8"/>
        <v>1.9999740000000016E-3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34.335352</v>
      </c>
      <c r="Y35" s="190">
        <v>38.437832999999998</v>
      </c>
      <c r="Z35" s="190">
        <v>0.98602113999999996</v>
      </c>
      <c r="AA35" s="62">
        <v>0.98777965999999995</v>
      </c>
      <c r="AB35" s="62">
        <v>2.8314700000000002E-2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-0.87298100000000289</v>
      </c>
      <c r="AN35" s="122">
        <f t="shared" si="5"/>
        <v>-0.83481600000000356</v>
      </c>
      <c r="AO35" s="122">
        <f t="shared" si="6"/>
        <v>-1.3803199999999904E-3</v>
      </c>
      <c r="AP35" s="122">
        <f t="shared" si="7"/>
        <v>-2.2262100000000062E-3</v>
      </c>
      <c r="AQ35" s="88">
        <f t="shared" si="8"/>
        <v>1.7754280000000025E-3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36.496597999999999</v>
      </c>
      <c r="Y36" s="190">
        <v>40.569282999999999</v>
      </c>
      <c r="Z36" s="190">
        <v>0.99087073000000003</v>
      </c>
      <c r="AA36" s="62">
        <v>0.99339955000000002</v>
      </c>
      <c r="AB36" s="62">
        <v>2.0184988000000001E-2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-1.325205000000004</v>
      </c>
      <c r="AN36" s="122">
        <f t="shared" si="5"/>
        <v>-1.3422780000000003</v>
      </c>
      <c r="AO36" s="122">
        <f t="shared" si="6"/>
        <v>-9.6951999999994598E-4</v>
      </c>
      <c r="AP36" s="122">
        <f t="shared" si="7"/>
        <v>-1.8143800000000043E-3</v>
      </c>
      <c r="AQ36" s="88">
        <f t="shared" si="8"/>
        <v>1.7099840000000012E-3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27.536808000000001</v>
      </c>
      <c r="Y38" s="97">
        <v>32.510573000000001</v>
      </c>
      <c r="Z38" s="97">
        <v>0.95727927999999995</v>
      </c>
      <c r="AA38" s="60">
        <v>0.95525183000000002</v>
      </c>
      <c r="AB38" s="60">
        <v>6.8971834999999995E-2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0.38177800000000062</v>
      </c>
      <c r="AN38" s="96">
        <f t="shared" si="5"/>
        <v>0.30400399999999905</v>
      </c>
      <c r="AO38" s="96">
        <f t="shared" si="6"/>
        <v>-2.3980000000034529E-5</v>
      </c>
      <c r="AP38" s="96">
        <f t="shared" si="7"/>
        <v>2.5800400000000057E-3</v>
      </c>
      <c r="AQ38" s="121">
        <f t="shared" si="8"/>
        <v>-1.4172550000000061E-3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30.354564</v>
      </c>
      <c r="Y39" s="190">
        <v>34.851052000000003</v>
      </c>
      <c r="Z39" s="190">
        <v>0.97311502000000005</v>
      </c>
      <c r="AA39" s="62">
        <v>0.97193056</v>
      </c>
      <c r="AB39" s="62">
        <v>4.6165176000000002E-2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-0.31599900000000147</v>
      </c>
      <c r="AN39" s="122">
        <f t="shared" si="5"/>
        <v>-0.23299699999999746</v>
      </c>
      <c r="AO39" s="122">
        <f t="shared" si="6"/>
        <v>-1.8108199999999908E-3</v>
      </c>
      <c r="AP39" s="122">
        <f t="shared" si="7"/>
        <v>-1.0783500000000057E-3</v>
      </c>
      <c r="AQ39" s="88">
        <f t="shared" si="8"/>
        <v>1.7987120000000009E-3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34.228050000000003</v>
      </c>
      <c r="Y40" s="190">
        <v>38.355200000000004</v>
      </c>
      <c r="Z40" s="190">
        <v>0.98585456999999999</v>
      </c>
      <c r="AA40" s="62">
        <v>0.98633999999999999</v>
      </c>
      <c r="AB40" s="62">
        <v>2.8569065000000001E-2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-0.85416499999999473</v>
      </c>
      <c r="AN40" s="122">
        <f t="shared" si="5"/>
        <v>-0.81984899999999783</v>
      </c>
      <c r="AO40" s="122">
        <f t="shared" si="6"/>
        <v>-1.359500000000069E-3</v>
      </c>
      <c r="AP40" s="122">
        <f t="shared" si="7"/>
        <v>-4.0720699999999832E-3</v>
      </c>
      <c r="AQ40" s="88">
        <f t="shared" si="8"/>
        <v>1.5855729999999998E-3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36.302816999999997</v>
      </c>
      <c r="Y41" s="190">
        <v>40.393877000000003</v>
      </c>
      <c r="Z41" s="190">
        <v>0.99059666000000002</v>
      </c>
      <c r="AA41" s="62">
        <v>0.99339913000000002</v>
      </c>
      <c r="AB41" s="62">
        <v>2.0968072000000001E-2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-1.2612060000000014</v>
      </c>
      <c r="AN41" s="122">
        <f t="shared" si="5"/>
        <v>-1.2796559999999957</v>
      </c>
      <c r="AO41" s="122">
        <f t="shared" si="6"/>
        <v>-9.5316999999994767E-4</v>
      </c>
      <c r="AP41" s="122">
        <f t="shared" si="7"/>
        <v>-1.7757899999999438E-3</v>
      </c>
      <c r="AQ41" s="88">
        <f t="shared" si="8"/>
        <v>1.5762220000000021E-3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27.75198</v>
      </c>
      <c r="Y43" s="97">
        <v>32.716430000000003</v>
      </c>
      <c r="Z43" s="97">
        <v>0.95732746000000002</v>
      </c>
      <c r="AA43" s="60">
        <v>0.95734242999999997</v>
      </c>
      <c r="AB43" s="60">
        <v>6.4426936000000004E-2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0.35605299999999929</v>
      </c>
      <c r="AN43" s="96">
        <f t="shared" si="5"/>
        <v>0.2901290000000003</v>
      </c>
      <c r="AO43" s="96">
        <f t="shared" si="6"/>
        <v>-2.256600000000164E-4</v>
      </c>
      <c r="AP43" s="96">
        <f t="shared" si="7"/>
        <v>2.358619999999978E-3</v>
      </c>
      <c r="AQ43" s="121">
        <f t="shared" si="8"/>
        <v>-1.0505039999999938E-3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30.330825999999998</v>
      </c>
      <c r="Y44" s="190">
        <v>34.856760000000001</v>
      </c>
      <c r="Z44" s="190">
        <v>0.97264985000000004</v>
      </c>
      <c r="AA44" s="62">
        <v>0.97173107000000003</v>
      </c>
      <c r="AB44" s="62">
        <v>4.3066710000000001E-2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-0.36693300000000306</v>
      </c>
      <c r="AN44" s="122">
        <f t="shared" si="5"/>
        <v>-0.25769400000000076</v>
      </c>
      <c r="AO44" s="122">
        <f t="shared" si="6"/>
        <v>-1.9037799999999105E-3</v>
      </c>
      <c r="AP44" s="122">
        <f t="shared" si="7"/>
        <v>-1.2864200000000103E-3</v>
      </c>
      <c r="AQ44" s="88">
        <f t="shared" si="8"/>
        <v>1.8051229999999988E-3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34.279736</v>
      </c>
      <c r="Y45" s="190">
        <v>38.387430999999999</v>
      </c>
      <c r="Z45" s="190">
        <v>0.98575060000000003</v>
      </c>
      <c r="AA45" s="62">
        <v>0.98799694999999998</v>
      </c>
      <c r="AB45" s="62">
        <v>2.6661272999999999E-2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-0.9140689999999978</v>
      </c>
      <c r="AN45" s="122">
        <f t="shared" si="5"/>
        <v>-0.86776900000000268</v>
      </c>
      <c r="AO45" s="122">
        <f t="shared" si="6"/>
        <v>-1.470450000000012E-3</v>
      </c>
      <c r="AP45" s="122">
        <f t="shared" si="7"/>
        <v>-2.3871500000000045E-3</v>
      </c>
      <c r="AQ45" s="88">
        <f t="shared" si="8"/>
        <v>1.7264580000000002E-3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36.284871000000003</v>
      </c>
      <c r="Y46" s="190">
        <v>40.369559000000002</v>
      </c>
      <c r="Z46" s="190">
        <v>0.99058480999999998</v>
      </c>
      <c r="AA46" s="62">
        <v>0.99309663000000004</v>
      </c>
      <c r="AB46" s="62">
        <v>1.9666962E-2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-1.3173439999999985</v>
      </c>
      <c r="AN46" s="122">
        <f t="shared" si="5"/>
        <v>-1.3213119999999989</v>
      </c>
      <c r="AO46" s="122">
        <f t="shared" si="6"/>
        <v>-1.0156799999999633E-3</v>
      </c>
      <c r="AP46" s="122">
        <f t="shared" si="7"/>
        <v>-2.0408799999999117E-3</v>
      </c>
      <c r="AQ46" s="88">
        <f t="shared" si="8"/>
        <v>1.6393170000000012E-3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27.745692999999999</v>
      </c>
      <c r="Y48" s="97">
        <v>32.704366999999998</v>
      </c>
      <c r="Z48" s="97">
        <v>0.95757384000000001</v>
      </c>
      <c r="AA48" s="60">
        <v>0.95722898999999995</v>
      </c>
      <c r="AB48" s="60">
        <v>6.5983630000000001E-2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0.33960599999999985</v>
      </c>
      <c r="AN48" s="96">
        <f t="shared" si="5"/>
        <v>0.27747699999999753</v>
      </c>
      <c r="AO48" s="96">
        <f t="shared" si="6"/>
        <v>-1.9939000000002149E-4</v>
      </c>
      <c r="AP48" s="96">
        <f t="shared" si="7"/>
        <v>2.2651799999999778E-3</v>
      </c>
      <c r="AQ48" s="121">
        <f t="shared" si="8"/>
        <v>-1.1573399999999928E-3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30.182691999999999</v>
      </c>
      <c r="Y49" s="190">
        <v>34.729367000000003</v>
      </c>
      <c r="Z49" s="190">
        <v>0.97219860000000002</v>
      </c>
      <c r="AA49" s="62">
        <v>0.97084603999999997</v>
      </c>
      <c r="AB49" s="62">
        <v>4.5287437999999999E-2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-0.36857300000000137</v>
      </c>
      <c r="AN49" s="122">
        <f t="shared" si="5"/>
        <v>-0.24948699999999491</v>
      </c>
      <c r="AO49" s="122">
        <f t="shared" si="6"/>
        <v>-1.8822600000000245E-3</v>
      </c>
      <c r="AP49" s="122">
        <f t="shared" si="7"/>
        <v>-1.3331600000000554E-3</v>
      </c>
      <c r="AQ49" s="88">
        <f t="shared" si="8"/>
        <v>1.662831999999996E-3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34.252014000000003</v>
      </c>
      <c r="Y50" s="190">
        <v>38.347858000000002</v>
      </c>
      <c r="Z50" s="190">
        <v>0.98553572</v>
      </c>
      <c r="AA50" s="62">
        <v>0.98760079999999995</v>
      </c>
      <c r="AB50" s="62">
        <v>2.7813982000000001E-2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-0.96363599999999394</v>
      </c>
      <c r="AN50" s="122">
        <f t="shared" si="5"/>
        <v>-0.91636799999999852</v>
      </c>
      <c r="AO50" s="122">
        <f t="shared" si="6"/>
        <v>-1.4597600000000321E-3</v>
      </c>
      <c r="AP50" s="122">
        <f t="shared" si="7"/>
        <v>-2.6130500000000056E-3</v>
      </c>
      <c r="AQ50" s="88">
        <f t="shared" si="8"/>
        <v>1.7292680000000026E-3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36.188141999999999</v>
      </c>
      <c r="Y51" s="190">
        <v>40.268208000000001</v>
      </c>
      <c r="Z51" s="190">
        <v>0.99041234</v>
      </c>
      <c r="AA51" s="62">
        <v>0.99271297000000003</v>
      </c>
      <c r="AB51" s="62">
        <v>2.0929033E-2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-1.3567350000000005</v>
      </c>
      <c r="AN51" s="122">
        <f t="shared" si="5"/>
        <v>-1.3516849999999963</v>
      </c>
      <c r="AO51" s="122">
        <f t="shared" si="6"/>
        <v>-9.7597000000004819E-4</v>
      </c>
      <c r="AP51" s="122">
        <f t="shared" si="7"/>
        <v>-2.3609700000000178E-3</v>
      </c>
      <c r="AQ51" s="88">
        <f t="shared" si="8"/>
        <v>1.749485999999998E-3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27.772821</v>
      </c>
      <c r="Y53" s="97">
        <v>32.662354999999998</v>
      </c>
      <c r="Z53" s="97">
        <v>0.95553025999999996</v>
      </c>
      <c r="AA53" s="60">
        <v>0.95815377999999995</v>
      </c>
      <c r="AB53" s="60">
        <v>6.9615289999999996E-2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0.31097499999999911</v>
      </c>
      <c r="AN53" s="96">
        <f t="shared" si="5"/>
        <v>0.24407999999999674</v>
      </c>
      <c r="AO53" s="96">
        <f t="shared" si="6"/>
        <v>-3.2023000000003243E-4</v>
      </c>
      <c r="AP53" s="96">
        <f t="shared" si="7"/>
        <v>2.7607499999999785E-3</v>
      </c>
      <c r="AQ53" s="121">
        <f t="shared" si="8"/>
        <v>-1.3637199999999988E-3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30.162754</v>
      </c>
      <c r="Y54" s="190">
        <v>34.678255</v>
      </c>
      <c r="Z54" s="190">
        <v>0.97147386999999996</v>
      </c>
      <c r="AA54" s="62">
        <v>0.97131188000000002</v>
      </c>
      <c r="AB54" s="62">
        <v>4.7499756999999997E-2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-0.37274599999999936</v>
      </c>
      <c r="AN54" s="122">
        <f t="shared" si="5"/>
        <v>-0.26354700000000264</v>
      </c>
      <c r="AO54" s="122">
        <f t="shared" si="6"/>
        <v>-1.782620000000068E-3</v>
      </c>
      <c r="AP54" s="122">
        <f t="shared" si="7"/>
        <v>-1.2738399999999706E-3</v>
      </c>
      <c r="AQ54" s="88">
        <f t="shared" si="8"/>
        <v>1.6027719999999954E-3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34.069499</v>
      </c>
      <c r="Y55" s="190">
        <v>38.144717</v>
      </c>
      <c r="Z55" s="190">
        <v>0.98492351</v>
      </c>
      <c r="AA55" s="62">
        <v>0.98730297</v>
      </c>
      <c r="AB55" s="62">
        <v>2.9527729999999999E-2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-0.93011500000000069</v>
      </c>
      <c r="AN55" s="122">
        <f t="shared" si="5"/>
        <v>-0.88590800000000058</v>
      </c>
      <c r="AO55" s="122">
        <f t="shared" si="6"/>
        <v>-1.4707600000000154E-3</v>
      </c>
      <c r="AP55" s="122">
        <f t="shared" si="7"/>
        <v>-2.5720200000000082E-3</v>
      </c>
      <c r="AQ55" s="88">
        <f t="shared" si="8"/>
        <v>1.6355399999999978E-3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35.959721000000002</v>
      </c>
      <c r="Y56" s="190">
        <v>40.021459</v>
      </c>
      <c r="Z56" s="190">
        <v>0.98993993000000002</v>
      </c>
      <c r="AA56" s="62">
        <v>0.99241760999999995</v>
      </c>
      <c r="AB56" s="62">
        <v>2.2204867999999999E-2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-1.2878410000000002</v>
      </c>
      <c r="AN56" s="122">
        <f t="shared" si="5"/>
        <v>-1.2728970000000004</v>
      </c>
      <c r="AO56" s="122">
        <f t="shared" si="6"/>
        <v>-9.8540999999996437E-4</v>
      </c>
      <c r="AP56" s="122">
        <f t="shared" si="7"/>
        <v>-2.4251100000000081E-3</v>
      </c>
      <c r="AQ56" s="88">
        <f t="shared" si="8"/>
        <v>1.58113E-3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27.337281000000001</v>
      </c>
      <c r="Y58" s="97">
        <v>32.361941000000002</v>
      </c>
      <c r="Z58" s="97">
        <v>0.95655517999999995</v>
      </c>
      <c r="AA58" s="60">
        <v>0.95667055999999995</v>
      </c>
      <c r="AB58" s="60">
        <v>7.2514764999999995E-2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0.32136799999999965</v>
      </c>
      <c r="AN58" s="96">
        <f t="shared" si="5"/>
        <v>0.23310000000000031</v>
      </c>
      <c r="AO58" s="96">
        <f t="shared" si="6"/>
        <v>-4.6498000000005923E-4</v>
      </c>
      <c r="AP58" s="96">
        <f t="shared" si="7"/>
        <v>2.195419999999948E-3</v>
      </c>
      <c r="AQ58" s="121">
        <f t="shared" si="8"/>
        <v>-9.3691500000001038E-4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30.582374999999999</v>
      </c>
      <c r="Y59" s="190">
        <v>35.170676999999998</v>
      </c>
      <c r="Z59" s="190">
        <v>0.97367000000000004</v>
      </c>
      <c r="AA59" s="62">
        <v>0.97343362</v>
      </c>
      <c r="AB59" s="62">
        <v>4.5539030000000001E-2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-0.28896500000000103</v>
      </c>
      <c r="AN59" s="122">
        <f t="shared" si="5"/>
        <v>-0.23369000000000284</v>
      </c>
      <c r="AO59" s="122">
        <f t="shared" si="6"/>
        <v>-2.0771099999999931E-3</v>
      </c>
      <c r="AP59" s="122">
        <f t="shared" si="7"/>
        <v>-1.0204700000000511E-3</v>
      </c>
      <c r="AQ59" s="88">
        <f t="shared" si="8"/>
        <v>2.0010739999999985E-3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34.373938000000003</v>
      </c>
      <c r="Y60" s="190">
        <v>38.530183999999998</v>
      </c>
      <c r="Z60" s="190">
        <v>0.98662517000000005</v>
      </c>
      <c r="AA60" s="62">
        <v>0.98879282000000002</v>
      </c>
      <c r="AB60" s="62">
        <v>2.6458860000000001E-2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-0.81097799999999864</v>
      </c>
      <c r="AN60" s="122">
        <f t="shared" si="5"/>
        <v>-0.768849000000003</v>
      </c>
      <c r="AO60" s="122">
        <f t="shared" si="6"/>
        <v>-1.5537499999999094E-3</v>
      </c>
      <c r="AP60" s="122">
        <f t="shared" si="7"/>
        <v>-1.7514899999999667E-3</v>
      </c>
      <c r="AQ60" s="88">
        <f t="shared" si="8"/>
        <v>1.9317520000000019E-3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36.510041000000001</v>
      </c>
      <c r="Y61" s="190">
        <v>40.605747999999998</v>
      </c>
      <c r="Z61" s="190">
        <v>0.99135978999999996</v>
      </c>
      <c r="AA61" s="62">
        <v>0.99407274999999995</v>
      </c>
      <c r="AB61" s="62">
        <v>1.9353454999999999E-2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-1.2386780000000002</v>
      </c>
      <c r="AN61" s="122">
        <f t="shared" si="5"/>
        <v>-1.2504150000000038</v>
      </c>
      <c r="AO61" s="122">
        <f t="shared" si="6"/>
        <v>-1.0959999999999859E-3</v>
      </c>
      <c r="AP61" s="122">
        <f t="shared" si="7"/>
        <v>-1.4754800000000845E-3</v>
      </c>
      <c r="AQ61" s="88">
        <f t="shared" si="8"/>
        <v>1.6547699999999999E-3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27.500554999999999</v>
      </c>
      <c r="Y63" s="97">
        <v>32.592281999999997</v>
      </c>
      <c r="Z63" s="97">
        <v>0.95756158000000002</v>
      </c>
      <c r="AA63" s="60">
        <v>0.95589959000000002</v>
      </c>
      <c r="AB63" s="60">
        <v>6.6591986000000006E-2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0.35945299999999847</v>
      </c>
      <c r="AN63" s="96">
        <f t="shared" si="5"/>
        <v>0.26626199999999756</v>
      </c>
      <c r="AO63" s="96">
        <f t="shared" si="6"/>
        <v>-4.2911000000001032E-4</v>
      </c>
      <c r="AP63" s="96">
        <f t="shared" si="7"/>
        <v>2.2929099999999814E-3</v>
      </c>
      <c r="AQ63" s="121">
        <f t="shared" si="8"/>
        <v>-6.1955399999999439E-4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30.425498000000001</v>
      </c>
      <c r="Y64" s="190">
        <v>35.085839</v>
      </c>
      <c r="Z64" s="190">
        <v>0.97348239999999997</v>
      </c>
      <c r="AA64" s="62">
        <v>0.97035161999999997</v>
      </c>
      <c r="AB64" s="62">
        <v>4.3474520000000003E-2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-0.33904300000000021</v>
      </c>
      <c r="AN64" s="122">
        <f t="shared" si="5"/>
        <v>-0.27005199999999974</v>
      </c>
      <c r="AO64" s="122">
        <f t="shared" si="6"/>
        <v>-2.0651999999999893E-3</v>
      </c>
      <c r="AP64" s="122">
        <f t="shared" si="7"/>
        <v>-1.0798200000000646E-3</v>
      </c>
      <c r="AQ64" s="88">
        <f t="shared" si="8"/>
        <v>1.8204500000000012E-3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34.348844</v>
      </c>
      <c r="Y65" s="190">
        <v>38.517491999999997</v>
      </c>
      <c r="Z65" s="190">
        <v>0.98656586999999996</v>
      </c>
      <c r="AA65" s="62">
        <v>0.98762413999999998</v>
      </c>
      <c r="AB65" s="62">
        <v>2.5632847E-2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-0.85919400000000223</v>
      </c>
      <c r="AN65" s="122">
        <f t="shared" si="5"/>
        <v>-0.81836799999999954</v>
      </c>
      <c r="AO65" s="122">
        <f t="shared" si="6"/>
        <v>-1.5096300000000396E-3</v>
      </c>
      <c r="AP65" s="122">
        <f t="shared" si="7"/>
        <v>-2.5159500000000445E-3</v>
      </c>
      <c r="AQ65" s="88">
        <f t="shared" si="8"/>
        <v>1.8235630000000003E-3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36.454726000000001</v>
      </c>
      <c r="Y66" s="190">
        <v>40.554943999999999</v>
      </c>
      <c r="Z66" s="190">
        <v>0.99121731999999996</v>
      </c>
      <c r="AA66" s="62">
        <v>0.99311276999999998</v>
      </c>
      <c r="AB66" s="62">
        <v>1.9000513E-2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-1.2531899999999965</v>
      </c>
      <c r="AN66" s="122">
        <f t="shared" si="5"/>
        <v>-1.2657769999999999</v>
      </c>
      <c r="AO66" s="122">
        <f t="shared" si="6"/>
        <v>-1.0563100000000603E-3</v>
      </c>
      <c r="AP66" s="122">
        <f t="shared" si="7"/>
        <v>-2.1453799999999745E-3</v>
      </c>
      <c r="AQ66" s="88">
        <f t="shared" si="8"/>
        <v>1.5891059999999999E-3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27.657036000000002</v>
      </c>
      <c r="Y68" s="97">
        <v>32.753369999999997</v>
      </c>
      <c r="Z68" s="97">
        <v>0.95769011000000004</v>
      </c>
      <c r="AA68" s="60">
        <v>0.95644229000000003</v>
      </c>
      <c r="AB68" s="60">
        <v>6.3934089999999999E-2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0.3253280000000025</v>
      </c>
      <c r="AN68" s="96">
        <f t="shared" si="5"/>
        <v>0.24622899999999959</v>
      </c>
      <c r="AO68" s="96">
        <f t="shared" si="6"/>
        <v>-5.9653999999997875E-4</v>
      </c>
      <c r="AP68" s="96">
        <f t="shared" si="7"/>
        <v>2.1064600000000322E-3</v>
      </c>
      <c r="AQ68" s="121">
        <f t="shared" si="8"/>
        <v>-3.433300000000028E-4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30.464186999999999</v>
      </c>
      <c r="Y69" s="190">
        <v>35.143323000000002</v>
      </c>
      <c r="Z69" s="190">
        <v>0.97311526999999998</v>
      </c>
      <c r="AA69" s="62">
        <v>0.96968133000000001</v>
      </c>
      <c r="AB69" s="62">
        <v>4.2556695999999998E-2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-0.38536700000000224</v>
      </c>
      <c r="AN69" s="122">
        <f t="shared" si="5"/>
        <v>-0.30317300000000103</v>
      </c>
      <c r="AO69" s="122">
        <f t="shared" si="6"/>
        <v>-2.0947300000000446E-3</v>
      </c>
      <c r="AP69" s="122">
        <f t="shared" si="7"/>
        <v>-1.2371999999999383E-3</v>
      </c>
      <c r="AQ69" s="88">
        <f t="shared" si="8"/>
        <v>2.0674730000000002E-3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34.326673</v>
      </c>
      <c r="Y70" s="190">
        <v>38.498975000000002</v>
      </c>
      <c r="Z70" s="190">
        <v>0.98629401999999999</v>
      </c>
      <c r="AA70" s="62">
        <v>0.98691890999999998</v>
      </c>
      <c r="AB70" s="62">
        <v>2.5249515E-2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-0.90587700000000382</v>
      </c>
      <c r="AN70" s="122">
        <f t="shared" si="5"/>
        <v>-0.85085799999999523</v>
      </c>
      <c r="AO70" s="122">
        <f t="shared" si="6"/>
        <v>-1.5749400000000247E-3</v>
      </c>
      <c r="AP70" s="122">
        <f t="shared" si="7"/>
        <v>-2.7564900000000003E-3</v>
      </c>
      <c r="AQ70" s="88">
        <f t="shared" si="8"/>
        <v>1.840640000000001E-3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36.368859999999998</v>
      </c>
      <c r="Y71" s="190">
        <v>40.467143</v>
      </c>
      <c r="Z71" s="190">
        <v>0.99102343999999998</v>
      </c>
      <c r="AA71" s="62">
        <v>0.99257057999999998</v>
      </c>
      <c r="AB71" s="62">
        <v>1.8959734999999998E-2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-1.2755950000000027</v>
      </c>
      <c r="AN71" s="122">
        <f t="shared" si="5"/>
        <v>-1.2694710000000029</v>
      </c>
      <c r="AO71" s="122">
        <f t="shared" si="6"/>
        <v>-1.0940400000000183E-3</v>
      </c>
      <c r="AP71" s="122">
        <f t="shared" si="7"/>
        <v>-2.4722600000000039E-3</v>
      </c>
      <c r="AQ71" s="88">
        <f t="shared" si="8"/>
        <v>1.5966549999999989E-3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27.673729000000002</v>
      </c>
      <c r="Y73" s="97">
        <v>32.748938000000003</v>
      </c>
      <c r="Z73" s="97">
        <v>0.95790706999999997</v>
      </c>
      <c r="AA73" s="60">
        <v>0.95641609000000005</v>
      </c>
      <c r="AB73" s="60">
        <v>6.3832596000000005E-2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0.30919100000000199</v>
      </c>
      <c r="AN73" s="96">
        <f t="shared" si="5"/>
        <v>0.23633700000000601</v>
      </c>
      <c r="AO73" s="96">
        <f t="shared" si="6"/>
        <v>-4.7145999999997912E-4</v>
      </c>
      <c r="AP73" s="96">
        <f t="shared" si="7"/>
        <v>2.9846400000000939E-3</v>
      </c>
      <c r="AQ73" s="121">
        <f t="shared" si="8"/>
        <v>-6.1097400000000024E-4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30.457812000000001</v>
      </c>
      <c r="Y74" s="190">
        <v>35.112158000000001</v>
      </c>
      <c r="Z74" s="190">
        <v>0.97298435000000005</v>
      </c>
      <c r="AA74" s="62">
        <v>0.96967091999999999</v>
      </c>
      <c r="AB74" s="62">
        <v>4.2764027000000003E-2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-0.38434099999999916</v>
      </c>
      <c r="AN74" s="122">
        <f t="shared" si="5"/>
        <v>-0.29840300000000042</v>
      </c>
      <c r="AO74" s="122">
        <f t="shared" si="6"/>
        <v>-2.0309899999999548E-3</v>
      </c>
      <c r="AP74" s="122">
        <f t="shared" si="7"/>
        <v>-1.1919099999999627E-3</v>
      </c>
      <c r="AQ74" s="88">
        <f t="shared" si="8"/>
        <v>2.1236020000000022E-3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34.309475999999997</v>
      </c>
      <c r="Y75" s="190">
        <v>38.478988000000001</v>
      </c>
      <c r="Z75" s="190">
        <v>0.98617074000000005</v>
      </c>
      <c r="AA75" s="62">
        <v>0.98686801000000002</v>
      </c>
      <c r="AB75" s="62">
        <v>2.535838E-2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-0.94500700000000393</v>
      </c>
      <c r="AN75" s="122">
        <f t="shared" si="5"/>
        <v>-0.88633399999999796</v>
      </c>
      <c r="AO75" s="122">
        <f t="shared" si="6"/>
        <v>-1.5829399999999216E-3</v>
      </c>
      <c r="AP75" s="122">
        <f t="shared" si="7"/>
        <v>-2.7764599999999806E-3</v>
      </c>
      <c r="AQ75" s="88">
        <f t="shared" si="8"/>
        <v>1.6795819999999989E-3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36.308974999999997</v>
      </c>
      <c r="Y76" s="190">
        <v>40.407485000000001</v>
      </c>
      <c r="Z76" s="190">
        <v>0.99090644999999999</v>
      </c>
      <c r="AA76" s="62">
        <v>0.99259542000000001</v>
      </c>
      <c r="AB76" s="62">
        <v>1.9184285999999998E-2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-1.3183130000000034</v>
      </c>
      <c r="AN76" s="122">
        <f t="shared" si="5"/>
        <v>-1.3000959999999964</v>
      </c>
      <c r="AO76" s="122">
        <f t="shared" si="6"/>
        <v>-1.0987999999999554E-3</v>
      </c>
      <c r="AP76" s="122">
        <f t="shared" si="7"/>
        <v>-2.4857499999999533E-3</v>
      </c>
      <c r="AQ76" s="88">
        <f t="shared" si="8"/>
        <v>1.5336579999999968E-3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27.692159</v>
      </c>
      <c r="Y78" s="97">
        <v>32.666868999999998</v>
      </c>
      <c r="Z78" s="97">
        <v>0.95577641999999996</v>
      </c>
      <c r="AA78" s="60">
        <v>0.95692443000000005</v>
      </c>
      <c r="AB78" s="60">
        <v>6.8069480000000002E-2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0.2864539999999991</v>
      </c>
      <c r="AN78" s="96">
        <f t="shared" si="5"/>
        <v>0.20902699999999896</v>
      </c>
      <c r="AO78" s="96">
        <f t="shared" si="6"/>
        <v>-6.0442000000004992E-4</v>
      </c>
      <c r="AP78" s="96">
        <f t="shared" si="7"/>
        <v>2.9342900000000061E-3</v>
      </c>
      <c r="AQ78" s="121">
        <f t="shared" si="8"/>
        <v>-2.4802999999999631E-4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30.396159999999998</v>
      </c>
      <c r="Y79" s="190">
        <v>34.974010999999997</v>
      </c>
      <c r="Z79" s="190">
        <v>0.97164680000000003</v>
      </c>
      <c r="AA79" s="62">
        <v>0.97060197999999998</v>
      </c>
      <c r="AB79" s="62">
        <v>4.6270843999999998E-2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-0.37708399999999997</v>
      </c>
      <c r="AN79" s="122">
        <f t="shared" si="5"/>
        <v>-0.30385500000000576</v>
      </c>
      <c r="AO79" s="122">
        <f t="shared" si="6"/>
        <v>-2.0181799999999805E-3</v>
      </c>
      <c r="AP79" s="122">
        <f t="shared" si="7"/>
        <v>-1.1624000000000079E-3</v>
      </c>
      <c r="AQ79" s="88">
        <f t="shared" si="8"/>
        <v>2.176753999999996E-3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34.153298999999997</v>
      </c>
      <c r="Y80" s="190">
        <v>38.298352999999999</v>
      </c>
      <c r="Z80" s="190">
        <v>0.98510282999999998</v>
      </c>
      <c r="AA80" s="62">
        <v>0.98706866000000004</v>
      </c>
      <c r="AB80" s="62">
        <v>2.8023586E-2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-0.92691200000000151</v>
      </c>
      <c r="AN80" s="122">
        <f t="shared" si="5"/>
        <v>-0.8709350000000029</v>
      </c>
      <c r="AO80" s="122">
        <f t="shared" si="6"/>
        <v>-1.5919899999999876E-3</v>
      </c>
      <c r="AP80" s="122">
        <f t="shared" si="7"/>
        <v>-2.6243200000000133E-3</v>
      </c>
      <c r="AQ80" s="88">
        <f t="shared" si="8"/>
        <v>1.8202219999999998E-3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36.096403000000002</v>
      </c>
      <c r="Y81" s="190">
        <v>40.170549999999999</v>
      </c>
      <c r="Z81" s="190">
        <v>0.99000047999999996</v>
      </c>
      <c r="AA81" s="62">
        <v>0.99256937000000001</v>
      </c>
      <c r="AB81" s="62">
        <v>2.1620803000000001E-2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-1.2639909999999972</v>
      </c>
      <c r="AN81" s="122">
        <f t="shared" si="5"/>
        <v>-1.2309190000000001</v>
      </c>
      <c r="AO81" s="122">
        <f t="shared" si="6"/>
        <v>-1.0923900000000542E-3</v>
      </c>
      <c r="AP81" s="122">
        <f t="shared" si="7"/>
        <v>-2.3083999999999882E-3</v>
      </c>
      <c r="AQ81" s="88">
        <f t="shared" si="8"/>
        <v>1.6708009999999995E-3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27.299904999999999</v>
      </c>
      <c r="Y83" s="97">
        <v>32.360844999999998</v>
      </c>
      <c r="Z83" s="97">
        <v>0.95378017999999998</v>
      </c>
      <c r="AA83" s="60">
        <v>0.95707063000000003</v>
      </c>
      <c r="AB83" s="60">
        <v>7.4409810000000007E-2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0.33682999999999907</v>
      </c>
      <c r="AN83" s="96">
        <f t="shared" si="5"/>
        <v>0.24065599999999421</v>
      </c>
      <c r="AO83" s="96">
        <f t="shared" si="6"/>
        <v>-8.4161999999998738E-4</v>
      </c>
      <c r="AP83" s="96">
        <f t="shared" si="7"/>
        <v>2.2374299999999847E-3</v>
      </c>
      <c r="AQ83" s="121">
        <f t="shared" si="8"/>
        <v>-5.647299999999994E-4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30.257939</v>
      </c>
      <c r="Y84" s="190">
        <v>34.938164</v>
      </c>
      <c r="Z84" s="190">
        <v>0.97313256999999997</v>
      </c>
      <c r="AA84" s="62">
        <v>0.97283275000000002</v>
      </c>
      <c r="AB84" s="62">
        <v>4.5898574999999997E-2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-0.33366399999999885</v>
      </c>
      <c r="AN84" s="122">
        <f t="shared" si="5"/>
        <v>-0.26910800000000279</v>
      </c>
      <c r="AO84" s="122">
        <f t="shared" si="6"/>
        <v>-2.2867100000000251E-3</v>
      </c>
      <c r="AP84" s="122">
        <f t="shared" si="7"/>
        <v>-1.0664699999999305E-3</v>
      </c>
      <c r="AQ84" s="88">
        <f t="shared" si="8"/>
        <v>2.2263749999999957E-3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33.954464999999999</v>
      </c>
      <c r="Y85" s="190">
        <v>38.173676</v>
      </c>
      <c r="Z85" s="190">
        <v>0.98636418000000003</v>
      </c>
      <c r="AA85" s="62">
        <v>0.98703772000000001</v>
      </c>
      <c r="AB85" s="62">
        <v>2.6361525E-2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-0.87819300000000311</v>
      </c>
      <c r="AN85" s="122">
        <f t="shared" si="5"/>
        <v>-0.8087719999999976</v>
      </c>
      <c r="AO85" s="122">
        <f t="shared" si="6"/>
        <v>-1.6827099999999762E-3</v>
      </c>
      <c r="AP85" s="122">
        <f t="shared" si="7"/>
        <v>-3.5351500000000424E-3</v>
      </c>
      <c r="AQ85" s="88">
        <f t="shared" si="8"/>
        <v>1.937991E-3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36.166784</v>
      </c>
      <c r="Y86" s="190">
        <v>40.263075999999998</v>
      </c>
      <c r="Z86" s="190">
        <v>0.99131360000000002</v>
      </c>
      <c r="AA86" s="62">
        <v>0.99387948000000004</v>
      </c>
      <c r="AB86" s="62">
        <v>1.9455857999999999E-2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-1.4019139999999979</v>
      </c>
      <c r="AN86" s="122">
        <f t="shared" si="5"/>
        <v>-1.3975539999999995</v>
      </c>
      <c r="AO86" s="122">
        <f t="shared" si="6"/>
        <v>-1.1924899999999905E-3</v>
      </c>
      <c r="AP86" s="122">
        <f t="shared" si="7"/>
        <v>-1.5619900000000131E-3</v>
      </c>
      <c r="AQ86" s="88">
        <f t="shared" si="8"/>
        <v>1.7753120000000011E-3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27.478261</v>
      </c>
      <c r="Y88" s="97">
        <v>32.535924000000001</v>
      </c>
      <c r="Z88" s="97">
        <v>0.95544764000000004</v>
      </c>
      <c r="AA88" s="60">
        <v>0.95651980000000003</v>
      </c>
      <c r="AB88" s="60">
        <v>7.0041544999999997E-2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0.36371099999999856</v>
      </c>
      <c r="AN88" s="96">
        <f t="shared" si="5"/>
        <v>0.26450400000000229</v>
      </c>
      <c r="AO88" s="96">
        <f t="shared" si="6"/>
        <v>-7.4218999999997592E-4</v>
      </c>
      <c r="AP88" s="96">
        <f t="shared" si="7"/>
        <v>2.4343300000000401E-3</v>
      </c>
      <c r="AQ88" s="121">
        <f t="shared" si="8"/>
        <v>-5.5968000000000684E-4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30.359383000000001</v>
      </c>
      <c r="Y89" s="190">
        <v>35.029735000000002</v>
      </c>
      <c r="Z89" s="190">
        <v>0.97321290999999999</v>
      </c>
      <c r="AA89" s="62">
        <v>0.97126800999999996</v>
      </c>
      <c r="AB89" s="62">
        <v>4.4235982E-2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-0.31175099999999745</v>
      </c>
      <c r="AN89" s="122">
        <f t="shared" si="5"/>
        <v>-0.2523389999999992</v>
      </c>
      <c r="AO89" s="122">
        <f t="shared" si="6"/>
        <v>-2.1769200000000266E-3</v>
      </c>
      <c r="AP89" s="122">
        <f t="shared" si="7"/>
        <v>-1.0821200000000752E-3</v>
      </c>
      <c r="AQ89" s="88">
        <f t="shared" si="8"/>
        <v>2.0434599999999969E-3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34.177160000000001</v>
      </c>
      <c r="Y90" s="190">
        <v>38.388559999999998</v>
      </c>
      <c r="Z90" s="190">
        <v>0.98650923000000001</v>
      </c>
      <c r="AA90" s="62">
        <v>0.98616440000000005</v>
      </c>
      <c r="AB90" s="62">
        <v>2.5904984999999998E-2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-0.82015299999999769</v>
      </c>
      <c r="AN90" s="122">
        <f t="shared" si="5"/>
        <v>-0.76185000000000258</v>
      </c>
      <c r="AO90" s="122">
        <f t="shared" si="6"/>
        <v>-1.5935900000000336E-3</v>
      </c>
      <c r="AP90" s="122">
        <f t="shared" si="7"/>
        <v>-4.2118899999999959E-3</v>
      </c>
      <c r="AQ90" s="88">
        <f t="shared" si="8"/>
        <v>1.8141079999999983E-3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36.395957000000003</v>
      </c>
      <c r="Y91" s="190">
        <v>40.49521</v>
      </c>
      <c r="Z91" s="190">
        <v>0.99133614999999997</v>
      </c>
      <c r="AA91" s="62">
        <v>0.99360159000000003</v>
      </c>
      <c r="AB91" s="62">
        <v>1.9413043000000001E-2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-1.2650539999999992</v>
      </c>
      <c r="AN91" s="122">
        <f t="shared" si="5"/>
        <v>-1.268298999999999</v>
      </c>
      <c r="AO91" s="122">
        <f t="shared" si="6"/>
        <v>-1.127710000000004E-3</v>
      </c>
      <c r="AP91" s="122">
        <f t="shared" si="7"/>
        <v>-1.726029999999934E-3</v>
      </c>
      <c r="AQ91" s="88">
        <f t="shared" si="8"/>
        <v>1.6280410000000002E-3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27.533231000000001</v>
      </c>
      <c r="Y93" s="97">
        <v>32.63599</v>
      </c>
      <c r="Z93" s="97">
        <v>0.95627569999999995</v>
      </c>
      <c r="AA93" s="60">
        <v>0.95579033999999996</v>
      </c>
      <c r="AB93" s="60">
        <v>6.6398250000000006E-2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0.3309330000000017</v>
      </c>
      <c r="AN93" s="96">
        <f t="shared" si="5"/>
        <v>0.24913099999999844</v>
      </c>
      <c r="AO93" s="96">
        <f t="shared" si="6"/>
        <v>-1.0786200000000301E-3</v>
      </c>
      <c r="AP93" s="96">
        <f t="shared" si="7"/>
        <v>1.9414500000000112E-3</v>
      </c>
      <c r="AQ93" s="121">
        <f t="shared" si="8"/>
        <v>-1.4459E-4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30.453931999999998</v>
      </c>
      <c r="Y94" s="190">
        <v>35.116869999999999</v>
      </c>
      <c r="Z94" s="190">
        <v>0.97338954</v>
      </c>
      <c r="AA94" s="62">
        <v>0.96935002999999997</v>
      </c>
      <c r="AB94" s="62">
        <v>4.1615869999999999E-2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-0.34751100000000079</v>
      </c>
      <c r="AN94" s="122">
        <f t="shared" si="5"/>
        <v>-0.27365100000000098</v>
      </c>
      <c r="AO94" s="122">
        <f t="shared" si="6"/>
        <v>-2.2766199999999515E-3</v>
      </c>
      <c r="AP94" s="122">
        <f t="shared" si="7"/>
        <v>-1.2041200000000307E-3</v>
      </c>
      <c r="AQ94" s="88">
        <f t="shared" si="8"/>
        <v>2.1117780000000017E-3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34.332014999999998</v>
      </c>
      <c r="Y95" s="190">
        <v>38.521290999999998</v>
      </c>
      <c r="Z95" s="190">
        <v>0.98656816999999997</v>
      </c>
      <c r="AA95" s="62">
        <v>0.98730600000000002</v>
      </c>
      <c r="AB95" s="62">
        <v>2.4552625000000002E-2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-0.86402999999999963</v>
      </c>
      <c r="AN95" s="122">
        <f t="shared" si="5"/>
        <v>-0.80228699999999975</v>
      </c>
      <c r="AO95" s="122">
        <f t="shared" si="6"/>
        <v>-1.6323999999999783E-3</v>
      </c>
      <c r="AP95" s="122">
        <f t="shared" si="7"/>
        <v>-2.5798399999999999E-3</v>
      </c>
      <c r="AQ95" s="88">
        <f t="shared" si="8"/>
        <v>1.7907100000000009E-3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36.487504999999999</v>
      </c>
      <c r="Y96" s="190">
        <v>40.576799000000001</v>
      </c>
      <c r="Z96" s="190">
        <v>0.99128464999999999</v>
      </c>
      <c r="AA96" s="62">
        <v>0.99303182000000001</v>
      </c>
      <c r="AB96" s="62">
        <v>1.8580012E-2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-1.2676110000000023</v>
      </c>
      <c r="AN96" s="122">
        <f t="shared" si="5"/>
        <v>-1.2585419999999985</v>
      </c>
      <c r="AO96" s="122">
        <f t="shared" si="6"/>
        <v>-1.1534899999999793E-3</v>
      </c>
      <c r="AP96" s="122">
        <f t="shared" si="7"/>
        <v>-2.1228100000000305E-3</v>
      </c>
      <c r="AQ96" s="88">
        <f t="shared" si="8"/>
        <v>1.6775420000000006E-3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27.660592000000001</v>
      </c>
      <c r="Y98" s="97">
        <v>32.737025000000003</v>
      </c>
      <c r="Z98" s="97">
        <v>0.95693852999999995</v>
      </c>
      <c r="AA98" s="60">
        <v>0.95639821000000003</v>
      </c>
      <c r="AB98" s="60">
        <v>6.600607E-2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0.3323980000000013</v>
      </c>
      <c r="AN98" s="96">
        <f t="shared" si="15"/>
        <v>0.25467199999999934</v>
      </c>
      <c r="AO98" s="96">
        <f t="shared" si="16"/>
        <v>-9.2649000000000203E-4</v>
      </c>
      <c r="AP98" s="96">
        <f t="shared" si="17"/>
        <v>2.1085900000000768E-3</v>
      </c>
      <c r="AQ98" s="121">
        <f t="shared" si="18"/>
        <v>-6.7564000000006064E-5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30.474791</v>
      </c>
      <c r="Y99" s="190">
        <v>35.131010000000003</v>
      </c>
      <c r="Z99" s="190">
        <v>0.97353906999999995</v>
      </c>
      <c r="AA99" s="62">
        <v>0.97026794000000005</v>
      </c>
      <c r="AB99" s="62">
        <v>4.2168085000000001E-2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-0.33713600000000099</v>
      </c>
      <c r="AN99" s="122">
        <f t="shared" si="15"/>
        <v>-0.26475999999999544</v>
      </c>
      <c r="AO99" s="122">
        <f t="shared" si="16"/>
        <v>-2.1681300000000459E-3</v>
      </c>
      <c r="AP99" s="122">
        <f t="shared" si="17"/>
        <v>-1.1479099999999187E-3</v>
      </c>
      <c r="AQ99" s="88">
        <f t="shared" si="18"/>
        <v>2.0122750000000009E-3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34.259776000000002</v>
      </c>
      <c r="Y100" s="190">
        <v>38.471151999999996</v>
      </c>
      <c r="Z100" s="190">
        <v>0.98654816999999995</v>
      </c>
      <c r="AA100" s="62">
        <v>0.98732768999999998</v>
      </c>
      <c r="AB100" s="62">
        <v>2.5415086999999999E-2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-0.87735599999999891</v>
      </c>
      <c r="AN100" s="122">
        <f t="shared" si="15"/>
        <v>-0.80449900000000696</v>
      </c>
      <c r="AO100" s="122">
        <f t="shared" si="16"/>
        <v>-1.5927600000000819E-3</v>
      </c>
      <c r="AP100" s="122">
        <f t="shared" si="17"/>
        <v>-2.4539799999999667E-3</v>
      </c>
      <c r="AQ100" s="88">
        <f t="shared" si="18"/>
        <v>1.6792360000000006E-3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36.449494000000001</v>
      </c>
      <c r="Y101" s="190">
        <v>40.550649</v>
      </c>
      <c r="Z101" s="190">
        <v>0.99132008999999999</v>
      </c>
      <c r="AA101" s="62">
        <v>0.99325368999999997</v>
      </c>
      <c r="AB101" s="62">
        <v>1.912604E-2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-1.3046679999999995</v>
      </c>
      <c r="AN101" s="122">
        <f t="shared" si="15"/>
        <v>-1.2772089999999992</v>
      </c>
      <c r="AO101" s="122">
        <f t="shared" si="16"/>
        <v>-1.1248299999999656E-3</v>
      </c>
      <c r="AP101" s="122">
        <f t="shared" si="17"/>
        <v>-1.9747700000000146E-3</v>
      </c>
      <c r="AQ101" s="88">
        <f t="shared" si="18"/>
        <v>1.5256210000000013E-3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27.585602000000002</v>
      </c>
      <c r="Y103" s="97">
        <v>32.470992000000003</v>
      </c>
      <c r="Z103" s="97">
        <v>0.95518130999999995</v>
      </c>
      <c r="AA103" s="60">
        <v>0.95666410999999996</v>
      </c>
      <c r="AB103" s="60">
        <v>6.8330935999999995E-2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0.30727700000000269</v>
      </c>
      <c r="AN103" s="96">
        <f t="shared" si="15"/>
        <v>0.21861400000000231</v>
      </c>
      <c r="AO103" s="96">
        <f t="shared" si="16"/>
        <v>-9.1635000000001021E-4</v>
      </c>
      <c r="AP103" s="96">
        <f t="shared" si="17"/>
        <v>1.9263699999999551E-3</v>
      </c>
      <c r="AQ103" s="121">
        <f t="shared" si="18"/>
        <v>-9.1489999999999627E-6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30.280460999999999</v>
      </c>
      <c r="Y104" s="190">
        <v>34.801712999999999</v>
      </c>
      <c r="Z104" s="190">
        <v>0.97265506000000002</v>
      </c>
      <c r="AA104" s="62">
        <v>0.97127954000000005</v>
      </c>
      <c r="AB104" s="62">
        <v>4.3939944000000002E-2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-0.33305999999999969</v>
      </c>
      <c r="AN104" s="122">
        <f t="shared" si="15"/>
        <v>-0.29327899999999829</v>
      </c>
      <c r="AO104" s="122">
        <f t="shared" si="16"/>
        <v>-2.1087300000000031E-3</v>
      </c>
      <c r="AP104" s="122">
        <f t="shared" si="17"/>
        <v>-1.2332499999999635E-3</v>
      </c>
      <c r="AQ104" s="88">
        <f t="shared" si="18"/>
        <v>2.2685380000000005E-3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33.920583000000001</v>
      </c>
      <c r="Y105" s="190">
        <v>38.089409000000003</v>
      </c>
      <c r="Z105" s="190">
        <v>0.98569273999999996</v>
      </c>
      <c r="AA105" s="62">
        <v>0.98722144000000001</v>
      </c>
      <c r="AB105" s="62">
        <v>2.6455059999999999E-2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-0.87879199999999713</v>
      </c>
      <c r="AN105" s="122">
        <f t="shared" si="15"/>
        <v>-0.82405299999999926</v>
      </c>
      <c r="AO105" s="122">
        <f t="shared" si="16"/>
        <v>-1.6376399999999958E-3</v>
      </c>
      <c r="AP105" s="122">
        <f t="shared" si="17"/>
        <v>-2.3522400000000054E-3</v>
      </c>
      <c r="AQ105" s="88">
        <f t="shared" si="18"/>
        <v>1.6427339999999999E-3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36.165348000000002</v>
      </c>
      <c r="Y106" s="190">
        <v>40.227125000000001</v>
      </c>
      <c r="Z106" s="190">
        <v>0.99071962999999996</v>
      </c>
      <c r="AA106" s="62">
        <v>0.99310790000000004</v>
      </c>
      <c r="AB106" s="62">
        <v>1.9857716000000001E-2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-1.3148520000000019</v>
      </c>
      <c r="AN106" s="122">
        <f t="shared" si="15"/>
        <v>-1.2863399999999956</v>
      </c>
      <c r="AO106" s="122">
        <f t="shared" si="16"/>
        <v>-1.1827100000000312E-3</v>
      </c>
      <c r="AP106" s="122">
        <f t="shared" si="17"/>
        <v>-1.8547499999999051E-3</v>
      </c>
      <c r="AQ106" s="88">
        <f t="shared" si="18"/>
        <v>1.4730530000000019E-3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27.200399000000001</v>
      </c>
      <c r="Y641" s="136">
        <f t="shared" si="60"/>
        <v>32.183666000000002</v>
      </c>
      <c r="Z641" s="136">
        <f t="shared" si="60"/>
        <v>0.95378017999999998</v>
      </c>
      <c r="AA641" s="136">
        <f t="shared" si="60"/>
        <v>0.95354488999999998</v>
      </c>
      <c r="AB641" s="136">
        <f t="shared" si="60"/>
        <v>6.3832596000000005E-2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30.162754</v>
      </c>
      <c r="Y642" s="18">
        <f t="shared" si="60"/>
        <v>34.678255</v>
      </c>
      <c r="Z642" s="18">
        <f t="shared" si="60"/>
        <v>0.97147386999999996</v>
      </c>
      <c r="AA642" s="18">
        <f t="shared" si="60"/>
        <v>0.96935002999999997</v>
      </c>
      <c r="AB642" s="18">
        <f t="shared" si="60"/>
        <v>4.1615869999999999E-2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33.920583000000001</v>
      </c>
      <c r="Y643" s="18">
        <f t="shared" si="60"/>
        <v>38.089409000000003</v>
      </c>
      <c r="Z643" s="18">
        <f t="shared" si="60"/>
        <v>0.98492351</v>
      </c>
      <c r="AA643" s="18">
        <f t="shared" si="60"/>
        <v>0.98616440000000005</v>
      </c>
      <c r="AB643" s="18">
        <f t="shared" si="60"/>
        <v>2.4552625000000002E-2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35.959721000000002</v>
      </c>
      <c r="Y644" s="18">
        <f t="shared" si="60"/>
        <v>40.021459</v>
      </c>
      <c r="Z644" s="18">
        <f t="shared" si="60"/>
        <v>0.98993993000000002</v>
      </c>
      <c r="AA644" s="18">
        <f t="shared" si="60"/>
        <v>0.99241760999999995</v>
      </c>
      <c r="AB644" s="18">
        <f t="shared" si="60"/>
        <v>1.8580012E-2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27.772821</v>
      </c>
      <c r="Y646" s="136">
        <f t="shared" si="62"/>
        <v>32.753369999999997</v>
      </c>
      <c r="Z646" s="136">
        <f t="shared" si="62"/>
        <v>0.95790706999999997</v>
      </c>
      <c r="AA646" s="136">
        <f t="shared" si="62"/>
        <v>0.95815377999999995</v>
      </c>
      <c r="AB646" s="136">
        <f t="shared" si="62"/>
        <v>7.4409810000000007E-2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30.582374999999999</v>
      </c>
      <c r="Y647" s="18">
        <f t="shared" si="62"/>
        <v>35.170676999999998</v>
      </c>
      <c r="Z647" s="18">
        <f t="shared" si="62"/>
        <v>0.97367000000000004</v>
      </c>
      <c r="AA647" s="18">
        <f t="shared" si="62"/>
        <v>0.97343362</v>
      </c>
      <c r="AB647" s="18">
        <f t="shared" si="62"/>
        <v>4.7499756999999997E-2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34.373938000000003</v>
      </c>
      <c r="Y648" s="18">
        <f t="shared" si="62"/>
        <v>38.530183999999998</v>
      </c>
      <c r="Z648" s="18">
        <f t="shared" si="62"/>
        <v>0.98662517000000005</v>
      </c>
      <c r="AA648" s="18">
        <f t="shared" si="62"/>
        <v>0.98879282000000002</v>
      </c>
      <c r="AB648" s="18">
        <f t="shared" si="62"/>
        <v>2.9527729999999999E-2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36.510041000000001</v>
      </c>
      <c r="Y649" s="18">
        <f t="shared" si="62"/>
        <v>40.605747999999998</v>
      </c>
      <c r="Z649" s="18">
        <f t="shared" si="62"/>
        <v>0.99135978999999996</v>
      </c>
      <c r="AA649" s="18">
        <f t="shared" si="62"/>
        <v>0.99407274999999995</v>
      </c>
      <c r="AB649" s="18">
        <f t="shared" si="62"/>
        <v>2.2204867999999999E-2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0.57242199999999954</v>
      </c>
      <c r="Y651" s="136">
        <f t="shared" si="64"/>
        <v>0.56970399999999444</v>
      </c>
      <c r="Z651" s="136">
        <f t="shared" si="64"/>
        <v>4.1268899999999942E-3</v>
      </c>
      <c r="AA651" s="136">
        <f t="shared" si="64"/>
        <v>4.6088899999999766E-3</v>
      </c>
      <c r="AB651" s="136">
        <f t="shared" si="64"/>
        <v>1.0577214000000001E-2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0.41962099999999936</v>
      </c>
      <c r="Y652" s="18">
        <f t="shared" si="64"/>
        <v>0.49242199999999769</v>
      </c>
      <c r="Z652" s="18">
        <f t="shared" si="64"/>
        <v>2.1961300000000739E-3</v>
      </c>
      <c r="AA652" s="18">
        <f t="shared" si="64"/>
        <v>4.0835900000000258E-3</v>
      </c>
      <c r="AB652" s="18">
        <f t="shared" si="64"/>
        <v>5.8838869999999974E-3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0.45335500000000195</v>
      </c>
      <c r="Y653" s="18">
        <f t="shared" si="64"/>
        <v>0.44077499999999503</v>
      </c>
      <c r="Z653" s="18">
        <f t="shared" si="64"/>
        <v>1.7016600000000492E-3</v>
      </c>
      <c r="AA653" s="18">
        <f t="shared" si="64"/>
        <v>2.6284199999999647E-3</v>
      </c>
      <c r="AB653" s="18">
        <f t="shared" si="64"/>
        <v>4.975104999999997E-3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0.55031999999999925</v>
      </c>
      <c r="Y654" s="18">
        <f t="shared" si="64"/>
        <v>0.58428899999999828</v>
      </c>
      <c r="Z654" s="18">
        <f t="shared" si="64"/>
        <v>1.4198599999999395E-3</v>
      </c>
      <c r="AA654" s="18">
        <f t="shared" si="64"/>
        <v>1.6551399999999994E-3</v>
      </c>
      <c r="AB654" s="18">
        <f t="shared" si="64"/>
        <v>3.6248559999999992E-3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>
      <selection activeCell="U33" sqref="U33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26739.648000000005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30.241876619047627</v>
      </c>
      <c r="Y5" s="30">
        <f t="shared" si="2"/>
        <v>33.897737666666664</v>
      </c>
      <c r="Z5" s="30">
        <f t="shared" si="2"/>
        <v>0.96639985809523798</v>
      </c>
      <c r="AA5" s="91">
        <f t="shared" si="2"/>
        <v>0.97367620190476212</v>
      </c>
      <c r="AB5" s="91">
        <f t="shared" si="2"/>
        <v>6.3844472619047618E-2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9.616480232661484E-3</v>
      </c>
      <c r="AN5" s="245">
        <f>bdrate($E5:$E8,G5:G8,$W5:$W8,Y5:Y8)</f>
        <v>1.0218301748177616E-2</v>
      </c>
      <c r="AO5" s="245">
        <f>bdrate($E5:$E8,H5:H8,$W5:$W8,Z5:Z8)</f>
        <v>-1.8892237352850283E-2</v>
      </c>
      <c r="AP5" s="245">
        <f>bdrate($E5:$E8,I5:I8,$W5:$W8,AA5:AA8)</f>
        <v>-1.2750426234563017E-2</v>
      </c>
      <c r="AQ5" s="246">
        <f>bdrateInverted($E5:$E8,J5:J8,$W5:$W8,AB5:AB8)</f>
        <v>-3.1876933303202293E-2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37120.735999999997</v>
      </c>
      <c r="X6" s="91">
        <f t="shared" si="2"/>
        <v>32.613418238095235</v>
      </c>
      <c r="Y6" s="91">
        <f t="shared" si="2"/>
        <v>36.197976190476197</v>
      </c>
      <c r="Z6" s="91">
        <f t="shared" si="2"/>
        <v>0.97844732142857149</v>
      </c>
      <c r="AA6" s="91">
        <f t="shared" si="2"/>
        <v>0.9829820895238095</v>
      </c>
      <c r="AB6" s="91">
        <f t="shared" si="2"/>
        <v>4.5337210428571431E-2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53535.511999999995</v>
      </c>
      <c r="X7" s="91">
        <f t="shared" si="2"/>
        <v>35.264320047619051</v>
      </c>
      <c r="Y7" s="91">
        <f t="shared" si="2"/>
        <v>39.098380571428571</v>
      </c>
      <c r="Z7" s="91">
        <f t="shared" si="2"/>
        <v>0.98765202761904747</v>
      </c>
      <c r="AA7" s="91">
        <f t="shared" si="2"/>
        <v>0.99070322</v>
      </c>
      <c r="AB7" s="91">
        <f t="shared" si="2"/>
        <v>2.9822962904761909E-2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76459.632000000012</v>
      </c>
      <c r="X8" s="91">
        <f t="shared" si="2"/>
        <v>37.807356999999996</v>
      </c>
      <c r="Y8" s="91">
        <f t="shared" si="2"/>
        <v>41.7223238095238</v>
      </c>
      <c r="Z8" s="91">
        <f t="shared" si="2"/>
        <v>0.99286534428571449</v>
      </c>
      <c r="AA8" s="91">
        <f t="shared" si="2"/>
        <v>0.9947125476190477</v>
      </c>
      <c r="AB8" s="91">
        <f t="shared" si="2"/>
        <v>1.6367061214285709E-2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4622.4719999999998</v>
      </c>
      <c r="X16" s="167">
        <v>5835.96</v>
      </c>
      <c r="Y16" s="167">
        <v>423.84800000000001</v>
      </c>
      <c r="Z16" s="167">
        <v>338.96800000000002</v>
      </c>
      <c r="AA16" s="167">
        <v>67.432000000000002</v>
      </c>
      <c r="AB16" s="167">
        <v>8571.3119999999999</v>
      </c>
      <c r="AC16" s="60">
        <v>5024.0240000000003</v>
      </c>
      <c r="AD16" s="60">
        <v>1855.6320000000001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4622.4719999999998</v>
      </c>
      <c r="X17" s="168">
        <v>7698.6719999999996</v>
      </c>
      <c r="Y17" s="168">
        <v>1915.4960000000001</v>
      </c>
      <c r="Z17" s="168">
        <v>1655.5039999999999</v>
      </c>
      <c r="AA17" s="168">
        <v>811.37599999999998</v>
      </c>
      <c r="AB17" s="168">
        <v>11094.191999999999</v>
      </c>
      <c r="AC17" s="62">
        <v>6863.848</v>
      </c>
      <c r="AD17" s="62">
        <v>2459.1759999999999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4622.4719999999998</v>
      </c>
      <c r="X18" s="168">
        <v>9632.4240000000009</v>
      </c>
      <c r="Y18" s="168">
        <v>4704.5519999999997</v>
      </c>
      <c r="Z18" s="168">
        <v>4967.7280000000001</v>
      </c>
      <c r="AA18" s="168">
        <v>4049.2240000000002</v>
      </c>
      <c r="AB18" s="168">
        <v>13694.736000000001</v>
      </c>
      <c r="AC18" s="62">
        <v>8782.8880000000008</v>
      </c>
      <c r="AD18" s="62">
        <v>3081.4879999999998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4622.4719999999998</v>
      </c>
      <c r="X19" s="168">
        <v>11479.904</v>
      </c>
      <c r="Y19" s="168">
        <v>8118.7520000000004</v>
      </c>
      <c r="Z19" s="168">
        <v>10372.68</v>
      </c>
      <c r="AA19" s="168">
        <v>10929.6</v>
      </c>
      <c r="AB19" s="168">
        <v>16403.704000000002</v>
      </c>
      <c r="AC19" s="62">
        <v>10804.575999999999</v>
      </c>
      <c r="AD19" s="62">
        <v>3727.944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26739.648000000005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37120.735999999997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53535.511999999995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76459.632000000012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26.724492000000001</v>
      </c>
      <c r="Y33" s="97">
        <v>30.287800000000001</v>
      </c>
      <c r="Z33" s="97">
        <v>0.95792186000000001</v>
      </c>
      <c r="AA33" s="60">
        <v>0.96507498999999997</v>
      </c>
      <c r="AB33" s="60">
        <v>8.2463554999999994E-2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-0.18236399999999975</v>
      </c>
      <c r="AN33" s="96">
        <f t="shared" ref="AN33:AN96" si="5">IF(OR(Y33="",G33=""),"",Y33-G33)</f>
        <v>-8.0083999999999378E-2</v>
      </c>
      <c r="AO33" s="96">
        <f t="shared" ref="AO33:AO96" si="6">IF(OR(Z33="",H33=""),"",Z33-H33)</f>
        <v>-7.8880000000003392E-4</v>
      </c>
      <c r="AP33" s="96">
        <f t="shared" ref="AP33:AP96" si="7">IF(OR(AA33="",I33=""),"",AA33-I33)</f>
        <v>5.1900999999998643E-4</v>
      </c>
      <c r="AQ33" s="121">
        <f t="shared" ref="AQ33:AQ96" si="8">IF(OR(AB33="",J33=""),"",AB33-J33)</f>
        <v>-2.6320500000000246E-4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30.193892999999999</v>
      </c>
      <c r="Y34" s="190">
        <v>33.622368999999999</v>
      </c>
      <c r="Z34" s="190">
        <v>0.97595641</v>
      </c>
      <c r="AA34" s="62">
        <v>0.97955833999999997</v>
      </c>
      <c r="AB34" s="62">
        <v>5.8735423000000002E-2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-0.59653800000000246</v>
      </c>
      <c r="AN34" s="122">
        <f t="shared" si="5"/>
        <v>-0.57608199999999954</v>
      </c>
      <c r="AO34" s="122">
        <f t="shared" si="6"/>
        <v>-1.8050400000000355E-3</v>
      </c>
      <c r="AP34" s="122">
        <f t="shared" si="7"/>
        <v>-1.3654200000000616E-3</v>
      </c>
      <c r="AQ34" s="88">
        <f t="shared" si="8"/>
        <v>2.1267630000000037E-3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32.595247000000001</v>
      </c>
      <c r="Y35" s="190">
        <v>36.504049999999999</v>
      </c>
      <c r="Z35" s="190">
        <v>0.98665654999999997</v>
      </c>
      <c r="AA35" s="62">
        <v>0.98932878000000002</v>
      </c>
      <c r="AB35" s="62">
        <v>3.7105348000000003E-2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-1.2032079999999965</v>
      </c>
      <c r="AN35" s="122">
        <f t="shared" si="5"/>
        <v>-1.3462110000000038</v>
      </c>
      <c r="AO35" s="122">
        <f t="shared" si="6"/>
        <v>-1.5542600000000295E-3</v>
      </c>
      <c r="AP35" s="122">
        <f t="shared" si="7"/>
        <v>-1.8293899999999308E-3</v>
      </c>
      <c r="AQ35" s="88">
        <f t="shared" si="8"/>
        <v>3.9965100000000017E-3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35.721550999999998</v>
      </c>
      <c r="Y36" s="190">
        <v>39.745983000000003</v>
      </c>
      <c r="Z36" s="190">
        <v>0.99262742999999998</v>
      </c>
      <c r="AA36" s="62">
        <v>0.99421455999999997</v>
      </c>
      <c r="AB36" s="62">
        <v>1.8789897E-2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-2.0377330000000029</v>
      </c>
      <c r="AN36" s="122">
        <f t="shared" si="5"/>
        <v>-2.3155919999999952</v>
      </c>
      <c r="AO36" s="122">
        <f t="shared" si="6"/>
        <v>-1.1094099999999774E-3</v>
      </c>
      <c r="AP36" s="122">
        <f t="shared" si="7"/>
        <v>-1.6093600000000041E-3</v>
      </c>
      <c r="AQ36" s="88">
        <f t="shared" si="8"/>
        <v>2.6228709999999988E-3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27.028314000000002</v>
      </c>
      <c r="Y38" s="97">
        <v>31.012125999999999</v>
      </c>
      <c r="Z38" s="97">
        <v>0.96030715</v>
      </c>
      <c r="AA38" s="60">
        <v>0.96591850000000001</v>
      </c>
      <c r="AB38" s="60">
        <v>7.3831910000000001E-2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-0.17210799999999793</v>
      </c>
      <c r="AN38" s="96">
        <f t="shared" si="5"/>
        <v>-7.5617000000001156E-2</v>
      </c>
      <c r="AO38" s="96">
        <f t="shared" si="6"/>
        <v>-5.5134999999995049E-4</v>
      </c>
      <c r="AP38" s="96">
        <f t="shared" si="7"/>
        <v>7.3531999999998376E-4</v>
      </c>
      <c r="AQ38" s="121">
        <f t="shared" si="8"/>
        <v>-8.6572000000000038E-4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30.834524999999999</v>
      </c>
      <c r="Y39" s="190">
        <v>34.385615999999999</v>
      </c>
      <c r="Z39" s="190">
        <v>0.97663955000000002</v>
      </c>
      <c r="AA39" s="62">
        <v>0.97977095999999997</v>
      </c>
      <c r="AB39" s="62">
        <v>5.4458603000000001E-2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-0.52764700000000175</v>
      </c>
      <c r="AN39" s="122">
        <f t="shared" si="5"/>
        <v>-0.47019500000000392</v>
      </c>
      <c r="AO39" s="122">
        <f t="shared" si="6"/>
        <v>-1.6659399999999769E-3</v>
      </c>
      <c r="AP39" s="122">
        <f t="shared" si="7"/>
        <v>-1.3076600000000438E-3</v>
      </c>
      <c r="AQ39" s="88">
        <f t="shared" si="8"/>
        <v>1.624933000000002E-3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33.656685000000003</v>
      </c>
      <c r="Y40" s="190">
        <v>37.550246999999999</v>
      </c>
      <c r="Z40" s="190">
        <v>0.98687111000000005</v>
      </c>
      <c r="AA40" s="62">
        <v>0.98954702000000005</v>
      </c>
      <c r="AB40" s="62">
        <v>3.4485303000000002E-2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-1.1650479999999988</v>
      </c>
      <c r="AN40" s="122">
        <f t="shared" si="5"/>
        <v>-1.303797000000003</v>
      </c>
      <c r="AO40" s="122">
        <f t="shared" si="6"/>
        <v>-1.5575499999999076E-3</v>
      </c>
      <c r="AP40" s="122">
        <f t="shared" si="7"/>
        <v>-1.8725199999999331E-3</v>
      </c>
      <c r="AQ40" s="88">
        <f t="shared" si="8"/>
        <v>3.1217730000000013E-3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36.066141999999999</v>
      </c>
      <c r="Y41" s="190">
        <v>40.169173000000001</v>
      </c>
      <c r="Z41" s="190">
        <v>0.99247580000000002</v>
      </c>
      <c r="AA41" s="62">
        <v>0.99412014000000004</v>
      </c>
      <c r="AB41" s="62">
        <v>1.9768531999999998E-2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-1.8774719999999974</v>
      </c>
      <c r="AN41" s="122">
        <f t="shared" si="5"/>
        <v>-2.1259749999999968</v>
      </c>
      <c r="AO41" s="122">
        <f t="shared" si="6"/>
        <v>-1.1738799999999605E-3</v>
      </c>
      <c r="AP41" s="122">
        <f t="shared" si="7"/>
        <v>-1.6149399999999536E-3</v>
      </c>
      <c r="AQ41" s="88">
        <f t="shared" si="8"/>
        <v>2.394526999999997E-3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28.519656000000001</v>
      </c>
      <c r="Y43" s="97">
        <v>32.325443</v>
      </c>
      <c r="Z43" s="97">
        <v>0.96274771000000003</v>
      </c>
      <c r="AA43" s="60">
        <v>0.96858968000000001</v>
      </c>
      <c r="AB43" s="60">
        <v>7.1328916000000006E-2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-0.13950399999999874</v>
      </c>
      <c r="AN43" s="96">
        <f t="shared" si="5"/>
        <v>-4.6587000000002377E-2</v>
      </c>
      <c r="AO43" s="96">
        <f t="shared" si="6"/>
        <v>-2.9042000000001345E-4</v>
      </c>
      <c r="AP43" s="96">
        <f t="shared" si="7"/>
        <v>5.239099999999608E-4</v>
      </c>
      <c r="AQ43" s="121">
        <f t="shared" si="8"/>
        <v>-7.922039999999908E-4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31.249745999999998</v>
      </c>
      <c r="Y44" s="190">
        <v>34.878452000000003</v>
      </c>
      <c r="Z44" s="190">
        <v>0.97723090999999995</v>
      </c>
      <c r="AA44" s="62">
        <v>0.98019763000000004</v>
      </c>
      <c r="AB44" s="62">
        <v>5.0790120000000001E-2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-0.54689800000000233</v>
      </c>
      <c r="AN44" s="122">
        <f t="shared" si="5"/>
        <v>-0.49382399999999649</v>
      </c>
      <c r="AO44" s="122">
        <f t="shared" si="6"/>
        <v>-1.4408300000000596E-3</v>
      </c>
      <c r="AP44" s="122">
        <f t="shared" si="7"/>
        <v>-1.3719500000000107E-3</v>
      </c>
      <c r="AQ44" s="88">
        <f t="shared" si="8"/>
        <v>1.110237E-3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34.056638</v>
      </c>
      <c r="Y45" s="190">
        <v>37.999676999999998</v>
      </c>
      <c r="Z45" s="190">
        <v>0.98722370999999998</v>
      </c>
      <c r="AA45" s="62">
        <v>0.98974421999999995</v>
      </c>
      <c r="AB45" s="62">
        <v>3.3541216999999998E-2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-1.164282</v>
      </c>
      <c r="AN45" s="122">
        <f t="shared" si="5"/>
        <v>-1.3577080000000024</v>
      </c>
      <c r="AO45" s="122">
        <f t="shared" si="6"/>
        <v>-1.3917700000000144E-3</v>
      </c>
      <c r="AP45" s="122">
        <f t="shared" si="7"/>
        <v>-1.8055300000000551E-3</v>
      </c>
      <c r="AQ45" s="88">
        <f t="shared" si="8"/>
        <v>1.9307689999999988E-3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36.491222</v>
      </c>
      <c r="Y46" s="190">
        <v>40.547035000000001</v>
      </c>
      <c r="Z46" s="190">
        <v>0.99269474999999996</v>
      </c>
      <c r="AA46" s="62">
        <v>0.99417374000000003</v>
      </c>
      <c r="AB46" s="62">
        <v>1.8030223000000001E-2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-1.9261240000000015</v>
      </c>
      <c r="AN46" s="122">
        <f t="shared" si="5"/>
        <v>-2.2204130000000006</v>
      </c>
      <c r="AO46" s="122">
        <f t="shared" si="6"/>
        <v>-9.7555999999998644E-4</v>
      </c>
      <c r="AP46" s="122">
        <f t="shared" si="7"/>
        <v>-1.5465399999999851E-3</v>
      </c>
      <c r="AQ46" s="88">
        <f t="shared" si="8"/>
        <v>1.4487470000000002E-3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29.713338</v>
      </c>
      <c r="Y48" s="97">
        <v>33.238827999999998</v>
      </c>
      <c r="Z48" s="97">
        <v>0.9636053</v>
      </c>
      <c r="AA48" s="60">
        <v>0.96986559000000006</v>
      </c>
      <c r="AB48" s="60">
        <v>6.2823883999999997E-2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-3.2500999999999891E-2</v>
      </c>
      <c r="AN48" s="96">
        <f t="shared" si="5"/>
        <v>1.3387999999999067E-2</v>
      </c>
      <c r="AO48" s="96">
        <f t="shared" si="6"/>
        <v>-2.6291000000000508E-4</v>
      </c>
      <c r="AP48" s="96">
        <f t="shared" si="7"/>
        <v>2.7042000000010447E-4</v>
      </c>
      <c r="AQ48" s="121">
        <f t="shared" si="8"/>
        <v>-6.9911100000000226E-4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32.272461999999997</v>
      </c>
      <c r="Y49" s="190">
        <v>35.789734000000003</v>
      </c>
      <c r="Z49" s="190">
        <v>0.9771242</v>
      </c>
      <c r="AA49" s="62">
        <v>0.98122118000000003</v>
      </c>
      <c r="AB49" s="62">
        <v>4.332826E-2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-0.46262400000000525</v>
      </c>
      <c r="AN49" s="122">
        <f t="shared" si="5"/>
        <v>-0.41560699999999429</v>
      </c>
      <c r="AO49" s="122">
        <f t="shared" si="6"/>
        <v>-1.1826200000000231E-3</v>
      </c>
      <c r="AP49" s="122">
        <f t="shared" si="7"/>
        <v>-1.1539499999999592E-3</v>
      </c>
      <c r="AQ49" s="88">
        <f t="shared" si="8"/>
        <v>6.246950000000015E-4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35.009011000000001</v>
      </c>
      <c r="Y50" s="190">
        <v>38.867247999999996</v>
      </c>
      <c r="Z50" s="190">
        <v>0.98712104000000001</v>
      </c>
      <c r="AA50" s="62">
        <v>0.99011470000000001</v>
      </c>
      <c r="AB50" s="62">
        <v>2.9144973000000001E-2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-0.95848999999999762</v>
      </c>
      <c r="AN50" s="122">
        <f t="shared" si="5"/>
        <v>-1.1803420000000031</v>
      </c>
      <c r="AO50" s="122">
        <f t="shared" si="6"/>
        <v>-1.2370299999999723E-3</v>
      </c>
      <c r="AP50" s="122">
        <f t="shared" si="7"/>
        <v>-1.450869999999993E-3</v>
      </c>
      <c r="AQ50" s="88">
        <f t="shared" si="8"/>
        <v>1.1664530000000013E-3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37.247624999999999</v>
      </c>
      <c r="Y51" s="190">
        <v>41.229728000000001</v>
      </c>
      <c r="Z51" s="190">
        <v>0.99264931999999995</v>
      </c>
      <c r="AA51" s="62">
        <v>0.99433426000000003</v>
      </c>
      <c r="AB51" s="62">
        <v>1.5617384E-2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-1.6396250000000023</v>
      </c>
      <c r="AN51" s="122">
        <f t="shared" si="5"/>
        <v>-1.9478799999999978</v>
      </c>
      <c r="AO51" s="122">
        <f t="shared" si="6"/>
        <v>-8.4235000000010274E-4</v>
      </c>
      <c r="AP51" s="122">
        <f t="shared" si="7"/>
        <v>-1.3202099999999328E-3</v>
      </c>
      <c r="AQ51" s="88">
        <f t="shared" si="8"/>
        <v>8.9490499999999966E-4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29.684782999999999</v>
      </c>
      <c r="Y53" s="97">
        <v>33.305016999999999</v>
      </c>
      <c r="Z53" s="97">
        <v>0.96358171000000004</v>
      </c>
      <c r="AA53" s="60">
        <v>0.97083794000000001</v>
      </c>
      <c r="AB53" s="60">
        <v>6.3264230000000005E-2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-8.9579999999997995E-3</v>
      </c>
      <c r="AN53" s="96">
        <f t="shared" si="5"/>
        <v>3.7905999999999551E-2</v>
      </c>
      <c r="AO53" s="96">
        <f t="shared" si="6"/>
        <v>-3.0503999999997866E-4</v>
      </c>
      <c r="AP53" s="96">
        <f t="shared" si="7"/>
        <v>5.5395000000002526E-4</v>
      </c>
      <c r="AQ53" s="121">
        <f t="shared" si="8"/>
        <v>-7.1110399999999019E-4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32.188786999999998</v>
      </c>
      <c r="Y54" s="190">
        <v>35.751958000000002</v>
      </c>
      <c r="Z54" s="190">
        <v>0.97708136000000001</v>
      </c>
      <c r="AA54" s="62">
        <v>0.98125406999999998</v>
      </c>
      <c r="AB54" s="62">
        <v>4.3357868000000001E-2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-0.41627900000000295</v>
      </c>
      <c r="AN54" s="122">
        <f t="shared" si="5"/>
        <v>-0.39567299999999506</v>
      </c>
      <c r="AO54" s="122">
        <f t="shared" si="6"/>
        <v>-1.1597899999999939E-3</v>
      </c>
      <c r="AP54" s="122">
        <f t="shared" si="7"/>
        <v>-1.2357499999999799E-3</v>
      </c>
      <c r="AQ54" s="88">
        <f t="shared" si="8"/>
        <v>9.6379199999999804E-4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34.960943</v>
      </c>
      <c r="Y55" s="190">
        <v>38.864550000000001</v>
      </c>
      <c r="Z55" s="190">
        <v>0.98691154000000003</v>
      </c>
      <c r="AA55" s="62">
        <v>0.99002873000000002</v>
      </c>
      <c r="AB55" s="62">
        <v>3.0131789999999999E-2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-0.88877800000000207</v>
      </c>
      <c r="AN55" s="122">
        <f t="shared" si="5"/>
        <v>-1.0731189999999984</v>
      </c>
      <c r="AO55" s="122">
        <f t="shared" si="6"/>
        <v>-1.2388399999999633E-3</v>
      </c>
      <c r="AP55" s="122">
        <f t="shared" si="7"/>
        <v>-1.4315599999999984E-3</v>
      </c>
      <c r="AQ55" s="88">
        <f t="shared" si="8"/>
        <v>1.8140459999999997E-3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37.445613000000002</v>
      </c>
      <c r="Y56" s="190">
        <v>41.372627000000001</v>
      </c>
      <c r="Z56" s="190">
        <v>0.99260161000000002</v>
      </c>
      <c r="AA56" s="62">
        <v>0.99422836999999997</v>
      </c>
      <c r="AB56" s="62">
        <v>1.5169525999999999E-2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-1.5906769999999995</v>
      </c>
      <c r="AN56" s="122">
        <f t="shared" si="5"/>
        <v>-1.8324259999999981</v>
      </c>
      <c r="AO56" s="122">
        <f t="shared" si="6"/>
        <v>-8.3020000000000316E-4</v>
      </c>
      <c r="AP56" s="122">
        <f t="shared" si="7"/>
        <v>-1.3337600000000727E-3</v>
      </c>
      <c r="AQ56" s="88">
        <f t="shared" si="8"/>
        <v>1.6068259999999987E-3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29.860247999999999</v>
      </c>
      <c r="Y58" s="97">
        <v>33.472354000000003</v>
      </c>
      <c r="Z58" s="97">
        <v>0.96302989000000006</v>
      </c>
      <c r="AA58" s="60">
        <v>0.97123826000000002</v>
      </c>
      <c r="AB58" s="60">
        <v>6.4352870000000006E-2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-2.9113999999999862E-2</v>
      </c>
      <c r="AN58" s="96">
        <f t="shared" si="5"/>
        <v>2.8874000000001843E-2</v>
      </c>
      <c r="AO58" s="96">
        <f t="shared" si="6"/>
        <v>-5.0857999999998071E-4</v>
      </c>
      <c r="AP58" s="96">
        <f t="shared" si="7"/>
        <v>3.0571000000001458E-4</v>
      </c>
      <c r="AQ58" s="121">
        <f t="shared" si="8"/>
        <v>-4.8083999999999627E-4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32.336410999999998</v>
      </c>
      <c r="Y59" s="190">
        <v>35.875038000000004</v>
      </c>
      <c r="Z59" s="190">
        <v>0.97690832000000005</v>
      </c>
      <c r="AA59" s="62">
        <v>0.98181483999999997</v>
      </c>
      <c r="AB59" s="62">
        <v>4.3999650000000001E-2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-0.42155300000000295</v>
      </c>
      <c r="AN59" s="122">
        <f t="shared" si="5"/>
        <v>-0.39636099999999885</v>
      </c>
      <c r="AO59" s="122">
        <f t="shared" si="6"/>
        <v>-1.2201599999999146E-3</v>
      </c>
      <c r="AP59" s="122">
        <f t="shared" si="7"/>
        <v>-1.1916299999999991E-3</v>
      </c>
      <c r="AQ59" s="88">
        <f t="shared" si="8"/>
        <v>1.2366140000000039E-3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35.042465999999997</v>
      </c>
      <c r="Y60" s="190">
        <v>38.880609</v>
      </c>
      <c r="Z60" s="190">
        <v>0.98692953000000005</v>
      </c>
      <c r="AA60" s="62">
        <v>0.98994079999999995</v>
      </c>
      <c r="AB60" s="62">
        <v>3.0673387999999999E-2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-0.86060300000000467</v>
      </c>
      <c r="AN60" s="122">
        <f t="shared" si="5"/>
        <v>-1.0621119999999991</v>
      </c>
      <c r="AO60" s="122">
        <f t="shared" si="6"/>
        <v>-1.2667199999999434E-3</v>
      </c>
      <c r="AP60" s="122">
        <f t="shared" si="7"/>
        <v>-1.4777500000000554E-3</v>
      </c>
      <c r="AQ60" s="88">
        <f t="shared" si="8"/>
        <v>1.9857780000000005E-3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37.735083000000003</v>
      </c>
      <c r="Y61" s="190">
        <v>41.549767000000003</v>
      </c>
      <c r="Z61" s="190">
        <v>0.99262879000000004</v>
      </c>
      <c r="AA61" s="62">
        <v>0.99411063</v>
      </c>
      <c r="AB61" s="62">
        <v>1.47728175E-2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-1.5965009999999964</v>
      </c>
      <c r="AN61" s="122">
        <f t="shared" si="5"/>
        <v>-1.8455379999999977</v>
      </c>
      <c r="AO61" s="122">
        <f t="shared" si="6"/>
        <v>-8.4275999999994244E-4</v>
      </c>
      <c r="AP61" s="122">
        <f t="shared" si="7"/>
        <v>-1.4231999999999578E-3</v>
      </c>
      <c r="AQ61" s="88">
        <f t="shared" si="8"/>
        <v>1.7390944999999998E-3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30.142492000000001</v>
      </c>
      <c r="Y63" s="97">
        <v>33.854332999999997</v>
      </c>
      <c r="Z63" s="97">
        <v>0.96177305999999996</v>
      </c>
      <c r="AA63" s="60">
        <v>0.97171839000000004</v>
      </c>
      <c r="AB63" s="60">
        <v>6.3420550000000006E-2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-5.0285999999999831E-2</v>
      </c>
      <c r="AN63" s="96">
        <f t="shared" si="5"/>
        <v>4.60099999999386E-3</v>
      </c>
      <c r="AO63" s="96">
        <f t="shared" si="6"/>
        <v>-7.2767000000006909E-4</v>
      </c>
      <c r="AP63" s="96">
        <f t="shared" si="7"/>
        <v>1.0424000000008871E-4</v>
      </c>
      <c r="AQ63" s="121">
        <f t="shared" si="8"/>
        <v>1.0303000000000395E-4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32.792164999999997</v>
      </c>
      <c r="Y64" s="190">
        <v>36.288142999999998</v>
      </c>
      <c r="Z64" s="190">
        <v>0.97650287000000002</v>
      </c>
      <c r="AA64" s="62">
        <v>0.98197442000000001</v>
      </c>
      <c r="AB64" s="62">
        <v>4.1987587E-2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-0.48305500000000023</v>
      </c>
      <c r="AN64" s="122">
        <f t="shared" si="5"/>
        <v>-0.4004940000000019</v>
      </c>
      <c r="AO64" s="122">
        <f t="shared" si="6"/>
        <v>-1.4072099999999921E-3</v>
      </c>
      <c r="AP64" s="122">
        <f t="shared" si="7"/>
        <v>-1.2252099999999766E-3</v>
      </c>
      <c r="AQ64" s="88">
        <f t="shared" si="8"/>
        <v>1.5134700000000029E-3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35.603402000000003</v>
      </c>
      <c r="Y65" s="190">
        <v>39.276873000000002</v>
      </c>
      <c r="Z65" s="190">
        <v>0.98698050000000004</v>
      </c>
      <c r="AA65" s="62">
        <v>0.99030180000000001</v>
      </c>
      <c r="AB65" s="62">
        <v>2.8556301999999999E-2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-0.93414699999999584</v>
      </c>
      <c r="AN65" s="122">
        <f t="shared" si="5"/>
        <v>-1.1124349999999978</v>
      </c>
      <c r="AO65" s="122">
        <f t="shared" si="6"/>
        <v>-1.398110000000008E-3</v>
      </c>
      <c r="AP65" s="122">
        <f t="shared" si="7"/>
        <v>-1.4926199999999445E-3</v>
      </c>
      <c r="AQ65" s="88">
        <f t="shared" si="8"/>
        <v>1.7152089999999988E-3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38.275500000000001</v>
      </c>
      <c r="Y66" s="190">
        <v>41.902616000000002</v>
      </c>
      <c r="Z66" s="190">
        <v>0.99268571000000005</v>
      </c>
      <c r="AA66" s="62">
        <v>0.99405186999999995</v>
      </c>
      <c r="AB66" s="62">
        <v>1.3721186999999999E-2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-1.7503139999999959</v>
      </c>
      <c r="AN66" s="122">
        <f t="shared" si="5"/>
        <v>-1.9740210000000005</v>
      </c>
      <c r="AO66" s="122">
        <f t="shared" si="6"/>
        <v>-9.1930999999989549E-4</v>
      </c>
      <c r="AP66" s="122">
        <f t="shared" si="7"/>
        <v>-1.695630000000059E-3</v>
      </c>
      <c r="AQ66" s="88">
        <f t="shared" si="8"/>
        <v>1.4534209999999999E-3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28.725162000000001</v>
      </c>
      <c r="Y68" s="97">
        <v>32.193587999999998</v>
      </c>
      <c r="Z68" s="97">
        <v>0.96174654999999998</v>
      </c>
      <c r="AA68" s="60">
        <v>0.96890494999999999</v>
      </c>
      <c r="AB68" s="60">
        <v>7.0495929999999998E-2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-3.2868000000000563E-2</v>
      </c>
      <c r="AN68" s="96">
        <f t="shared" si="5"/>
        <v>1.771699999999754E-2</v>
      </c>
      <c r="AO68" s="96">
        <f t="shared" si="6"/>
        <v>-7.1865000000004287E-4</v>
      </c>
      <c r="AP68" s="96">
        <f t="shared" si="7"/>
        <v>3.9794000000004104E-4</v>
      </c>
      <c r="AQ68" s="121">
        <f t="shared" si="8"/>
        <v>2.1999999999999797E-4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31.552675000000001</v>
      </c>
      <c r="Y69" s="190">
        <v>35.097836999999998</v>
      </c>
      <c r="Z69" s="190">
        <v>0.97625804000000005</v>
      </c>
      <c r="AA69" s="62">
        <v>0.98108786000000003</v>
      </c>
      <c r="AB69" s="62">
        <v>4.9968533000000002E-2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-0.44185500000000033</v>
      </c>
      <c r="AN69" s="122">
        <f t="shared" si="5"/>
        <v>-0.4613560000000021</v>
      </c>
      <c r="AO69" s="122">
        <f t="shared" si="6"/>
        <v>-2.0860899999999294E-3</v>
      </c>
      <c r="AP69" s="122">
        <f t="shared" si="7"/>
        <v>-1.4417700000000089E-3</v>
      </c>
      <c r="AQ69" s="88">
        <f t="shared" si="8"/>
        <v>2.8606200000000012E-3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33.841112000000003</v>
      </c>
      <c r="Y70" s="190">
        <v>37.890141999999997</v>
      </c>
      <c r="Z70" s="190">
        <v>0.98713899000000005</v>
      </c>
      <c r="AA70" s="62">
        <v>0.99001846000000004</v>
      </c>
      <c r="AB70" s="62">
        <v>3.3523463000000003E-2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-0.99957799999999963</v>
      </c>
      <c r="AN70" s="122">
        <f t="shared" si="5"/>
        <v>-1.165934</v>
      </c>
      <c r="AO70" s="122">
        <f t="shared" si="6"/>
        <v>-1.5888199999999353E-3</v>
      </c>
      <c r="AP70" s="122">
        <f t="shared" si="7"/>
        <v>-1.792599999999922E-3</v>
      </c>
      <c r="AQ70" s="88">
        <f t="shared" si="8"/>
        <v>4.0584000000000037E-3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36.476742999999999</v>
      </c>
      <c r="Y71" s="190">
        <v>40.628427000000002</v>
      </c>
      <c r="Z71" s="190">
        <v>0.99260981000000004</v>
      </c>
      <c r="AA71" s="62">
        <v>0.99426946000000005</v>
      </c>
      <c r="AB71" s="62">
        <v>1.7828462999999999E-2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-1.6059100000000015</v>
      </c>
      <c r="AN71" s="122">
        <f t="shared" si="5"/>
        <v>-1.7876070000000013</v>
      </c>
      <c r="AO71" s="122">
        <f t="shared" si="6"/>
        <v>-1.0955299999999557E-3</v>
      </c>
      <c r="AP71" s="122">
        <f t="shared" si="7"/>
        <v>-1.5246700000000057E-3</v>
      </c>
      <c r="AQ71" s="88">
        <f t="shared" si="8"/>
        <v>2.8675759999999984E-3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29.75103</v>
      </c>
      <c r="Y73" s="97">
        <v>33.474083999999998</v>
      </c>
      <c r="Z73" s="97">
        <v>0.96480853</v>
      </c>
      <c r="AA73" s="60">
        <v>0.97049094000000002</v>
      </c>
      <c r="AB73" s="60">
        <v>6.1510395000000002E-2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2.9205000000001036E-2</v>
      </c>
      <c r="AN73" s="96">
        <f t="shared" si="5"/>
        <v>3.293499999999483E-2</v>
      </c>
      <c r="AO73" s="96">
        <f t="shared" si="6"/>
        <v>-4.7728999999996358E-4</v>
      </c>
      <c r="AP73" s="96">
        <f t="shared" si="7"/>
        <v>7.7860000000007368E-4</v>
      </c>
      <c r="AQ73" s="121">
        <f t="shared" si="8"/>
        <v>-1.169889999999979E-4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32.060538999999999</v>
      </c>
      <c r="Y74" s="190">
        <v>35.775508000000002</v>
      </c>
      <c r="Z74" s="190">
        <v>0.97730143999999997</v>
      </c>
      <c r="AA74" s="62">
        <v>0.98138482999999999</v>
      </c>
      <c r="AB74" s="62">
        <v>4.3643479999999998E-2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-0.49857400000000496</v>
      </c>
      <c r="AN74" s="122">
        <f t="shared" si="5"/>
        <v>-0.49980999999999653</v>
      </c>
      <c r="AO74" s="122">
        <f t="shared" si="6"/>
        <v>-1.8360600000000282E-3</v>
      </c>
      <c r="AP74" s="122">
        <f t="shared" si="7"/>
        <v>-1.3702199999999776E-3</v>
      </c>
      <c r="AQ74" s="88">
        <f t="shared" si="8"/>
        <v>2.5919199999999976E-3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35.098779</v>
      </c>
      <c r="Y75" s="190">
        <v>38.963374999999999</v>
      </c>
      <c r="Z75" s="190">
        <v>0.98738369999999998</v>
      </c>
      <c r="AA75" s="62">
        <v>0.99009645999999996</v>
      </c>
      <c r="AB75" s="62">
        <v>2.6801769999999999E-2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-1.1655149999999992</v>
      </c>
      <c r="AN75" s="122">
        <f t="shared" si="5"/>
        <v>-1.2952870000000019</v>
      </c>
      <c r="AO75" s="122">
        <f t="shared" si="6"/>
        <v>-1.4924600000000288E-3</v>
      </c>
      <c r="AP75" s="122">
        <f t="shared" si="7"/>
        <v>-1.7490900000000087E-3</v>
      </c>
      <c r="AQ75" s="88">
        <f t="shared" si="8"/>
        <v>2.9573440000000006E-3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36.641744000000003</v>
      </c>
      <c r="Y76" s="190">
        <v>40.838738999999997</v>
      </c>
      <c r="Z76" s="190">
        <v>0.99267212000000005</v>
      </c>
      <c r="AA76" s="62">
        <v>0.99425618000000004</v>
      </c>
      <c r="AB76" s="62">
        <v>1.8677419000000001E-2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-1.6328249999999969</v>
      </c>
      <c r="AN76" s="122">
        <f t="shared" si="5"/>
        <v>-1.8578180000000017</v>
      </c>
      <c r="AO76" s="122">
        <f t="shared" si="6"/>
        <v>-1.005099999999981E-3</v>
      </c>
      <c r="AP76" s="122">
        <f t="shared" si="7"/>
        <v>-1.5043099999999532E-3</v>
      </c>
      <c r="AQ76" s="88">
        <f t="shared" si="8"/>
        <v>2.4339090000000015E-3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29.858066999999998</v>
      </c>
      <c r="Y78" s="97">
        <v>33.551208000000003</v>
      </c>
      <c r="Z78" s="97">
        <v>0.96656054000000002</v>
      </c>
      <c r="AA78" s="60">
        <v>0.97210302999999998</v>
      </c>
      <c r="AB78" s="60">
        <v>6.4003329999999997E-2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4.2024999999998869E-2</v>
      </c>
      <c r="AN78" s="96">
        <f t="shared" si="5"/>
        <v>4.4630000000005055E-2</v>
      </c>
      <c r="AO78" s="96">
        <f t="shared" si="6"/>
        <v>-2.5332999999994055E-4</v>
      </c>
      <c r="AP78" s="96">
        <f t="shared" si="7"/>
        <v>7.2183000000003439E-4</v>
      </c>
      <c r="AQ78" s="121">
        <f t="shared" si="8"/>
        <v>-3.2010000000000371E-4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31.904572999999999</v>
      </c>
      <c r="Y79" s="190">
        <v>35.726736000000002</v>
      </c>
      <c r="Z79" s="190">
        <v>0.97802511999999997</v>
      </c>
      <c r="AA79" s="62">
        <v>0.98139511999999995</v>
      </c>
      <c r="AB79" s="62">
        <v>4.487762E-2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-0.48427600000000126</v>
      </c>
      <c r="AN79" s="122">
        <f t="shared" si="5"/>
        <v>-0.47289599999999865</v>
      </c>
      <c r="AO79" s="122">
        <f t="shared" si="6"/>
        <v>-1.5670300000000248E-3</v>
      </c>
      <c r="AP79" s="122">
        <f t="shared" si="7"/>
        <v>-1.5116200000000468E-3</v>
      </c>
      <c r="AQ79" s="88">
        <f t="shared" si="8"/>
        <v>2.0978300000000019E-3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34.839945999999998</v>
      </c>
      <c r="Y80" s="190">
        <v>38.868948000000003</v>
      </c>
      <c r="Z80" s="190">
        <v>0.98769594000000005</v>
      </c>
      <c r="AA80" s="62">
        <v>0.99036066</v>
      </c>
      <c r="AB80" s="62">
        <v>2.9149807999999999E-2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-1.0926439999999999</v>
      </c>
      <c r="AN80" s="122">
        <f t="shared" si="5"/>
        <v>-1.2688889999999944</v>
      </c>
      <c r="AO80" s="122">
        <f t="shared" si="6"/>
        <v>-1.3253999999999211E-3</v>
      </c>
      <c r="AP80" s="122">
        <f t="shared" si="7"/>
        <v>-1.5277799999999786E-3</v>
      </c>
      <c r="AQ80" s="88">
        <f t="shared" si="8"/>
        <v>1.8396299999999983E-3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36.990606</v>
      </c>
      <c r="Y81" s="190">
        <v>41.125805999999997</v>
      </c>
      <c r="Z81" s="190">
        <v>0.99286554000000005</v>
      </c>
      <c r="AA81" s="62">
        <v>0.99453992000000002</v>
      </c>
      <c r="AB81" s="62">
        <v>1.6966509000000001E-2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-1.6951140000000038</v>
      </c>
      <c r="AN81" s="122">
        <f t="shared" si="5"/>
        <v>-1.9828870000000052</v>
      </c>
      <c r="AO81" s="122">
        <f t="shared" si="6"/>
        <v>-8.5385999999998408E-4</v>
      </c>
      <c r="AP81" s="122">
        <f t="shared" si="7"/>
        <v>-1.2713799999999331E-3</v>
      </c>
      <c r="AQ81" s="88">
        <f t="shared" si="8"/>
        <v>1.369859000000001E-3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30.581835000000002</v>
      </c>
      <c r="Y83" s="97">
        <v>33.912523999999998</v>
      </c>
      <c r="Z83" s="97">
        <v>0.96749962</v>
      </c>
      <c r="AA83" s="60">
        <v>0.97383078000000001</v>
      </c>
      <c r="AB83" s="60">
        <v>5.9328914000000003E-2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7.7203000000000799E-2</v>
      </c>
      <c r="AN83" s="96">
        <f t="shared" si="5"/>
        <v>5.7484999999999786E-2</v>
      </c>
      <c r="AO83" s="96">
        <f t="shared" si="6"/>
        <v>-2.4060000000003523E-4</v>
      </c>
      <c r="AP83" s="96">
        <f t="shared" si="7"/>
        <v>4.5929000000000109E-4</v>
      </c>
      <c r="AQ83" s="121">
        <f t="shared" si="8"/>
        <v>-2.4536999999999476E-4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32.810675000000003</v>
      </c>
      <c r="Y84" s="190">
        <v>36.320895999999998</v>
      </c>
      <c r="Z84" s="190">
        <v>0.97878788999999999</v>
      </c>
      <c r="AA84" s="62">
        <v>0.98289512999999995</v>
      </c>
      <c r="AB84" s="62">
        <v>4.1017585000000002E-2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-0.41492799999999619</v>
      </c>
      <c r="AN84" s="122">
        <f t="shared" si="5"/>
        <v>-0.4024169999999998</v>
      </c>
      <c r="AO84" s="122">
        <f t="shared" si="6"/>
        <v>-1.3592799999999627E-3</v>
      </c>
      <c r="AP84" s="122">
        <f t="shared" si="7"/>
        <v>-1.1804000000000814E-3</v>
      </c>
      <c r="AQ84" s="88">
        <f t="shared" si="8"/>
        <v>1.6411510000000004E-3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35.387853</v>
      </c>
      <c r="Y85" s="190">
        <v>39.288347000000002</v>
      </c>
      <c r="Z85" s="190">
        <v>0.98767145999999995</v>
      </c>
      <c r="AA85" s="62">
        <v>0.99069076</v>
      </c>
      <c r="AB85" s="62">
        <v>2.7419058999999999E-2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-0.91111099999999823</v>
      </c>
      <c r="AN85" s="122">
        <f t="shared" si="5"/>
        <v>-1.1299579999999949</v>
      </c>
      <c r="AO85" s="122">
        <f t="shared" si="6"/>
        <v>-1.2013400000000507E-3</v>
      </c>
      <c r="AP85" s="122">
        <f t="shared" si="7"/>
        <v>-1.5040200000000503E-3</v>
      </c>
      <c r="AQ85" s="88">
        <f t="shared" si="8"/>
        <v>1.6274740000000003E-3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37.693375000000003</v>
      </c>
      <c r="Y86" s="190">
        <v>41.691344000000001</v>
      </c>
      <c r="Z86" s="190">
        <v>0.99279286</v>
      </c>
      <c r="AA86" s="62">
        <v>0.99467022000000005</v>
      </c>
      <c r="AB86" s="62">
        <v>1.4957895000000001E-2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-1.485958999999994</v>
      </c>
      <c r="AN86" s="122">
        <f t="shared" si="5"/>
        <v>-1.7808089999999979</v>
      </c>
      <c r="AO86" s="122">
        <f t="shared" si="6"/>
        <v>-7.72719999999949E-4</v>
      </c>
      <c r="AP86" s="122">
        <f t="shared" si="7"/>
        <v>-1.100469999999909E-3</v>
      </c>
      <c r="AQ86" s="88">
        <f t="shared" si="8"/>
        <v>1.0309690000000014E-3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30.559324</v>
      </c>
      <c r="Y88" s="97">
        <v>34.1083</v>
      </c>
      <c r="Z88" s="97">
        <v>0.96799953999999999</v>
      </c>
      <c r="AA88" s="60">
        <v>0.97401665999999998</v>
      </c>
      <c r="AB88" s="60">
        <v>5.7336442000000001E-2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5.2870999999999668E-2</v>
      </c>
      <c r="AN88" s="96">
        <f t="shared" si="5"/>
        <v>4.2600999999997669E-2</v>
      </c>
      <c r="AO88" s="96">
        <f t="shared" si="6"/>
        <v>-1.327500000000148E-4</v>
      </c>
      <c r="AP88" s="96">
        <f t="shared" si="7"/>
        <v>5.3925999999993035E-4</v>
      </c>
      <c r="AQ88" s="121">
        <f t="shared" si="8"/>
        <v>-5.5459499999999801E-4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33.060758999999997</v>
      </c>
      <c r="Y89" s="190">
        <v>36.512759000000003</v>
      </c>
      <c r="Z89" s="190">
        <v>0.97931393</v>
      </c>
      <c r="AA89" s="62">
        <v>0.98356737000000005</v>
      </c>
      <c r="AB89" s="62">
        <v>3.9778292E-2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-0.41706600000000549</v>
      </c>
      <c r="AN89" s="122">
        <f t="shared" si="5"/>
        <v>-0.43464499999999617</v>
      </c>
      <c r="AO89" s="122">
        <f t="shared" si="6"/>
        <v>-1.3071700000000241E-3</v>
      </c>
      <c r="AP89" s="122">
        <f t="shared" si="7"/>
        <v>-1.0430099999999554E-3</v>
      </c>
      <c r="AQ89" s="88">
        <f t="shared" si="8"/>
        <v>2.0375879999999999E-3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35.745041999999998</v>
      </c>
      <c r="Y90" s="190">
        <v>39.574328999999999</v>
      </c>
      <c r="Z90" s="190">
        <v>0.98790316</v>
      </c>
      <c r="AA90" s="62">
        <v>0.99077121999999995</v>
      </c>
      <c r="AB90" s="62">
        <v>2.6478799000000001E-2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-1.004012000000003</v>
      </c>
      <c r="AN90" s="122">
        <f t="shared" si="5"/>
        <v>-1.1521720000000002</v>
      </c>
      <c r="AO90" s="122">
        <f t="shared" si="6"/>
        <v>-1.1750600000000055E-3</v>
      </c>
      <c r="AP90" s="122">
        <f t="shared" si="7"/>
        <v>-1.4185300000000289E-3</v>
      </c>
      <c r="AQ90" s="88">
        <f t="shared" si="8"/>
        <v>2.6934630000000001E-3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38.099336000000001</v>
      </c>
      <c r="Y91" s="190">
        <v>42.053538000000003</v>
      </c>
      <c r="Z91" s="190">
        <v>0.99299687000000003</v>
      </c>
      <c r="AA91" s="62">
        <v>0.99460296999999998</v>
      </c>
      <c r="AB91" s="62">
        <v>1.4634912999999999E-2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-1.5739930000000015</v>
      </c>
      <c r="AN91" s="122">
        <f t="shared" si="5"/>
        <v>-1.7980069999999984</v>
      </c>
      <c r="AO91" s="122">
        <f t="shared" si="6"/>
        <v>-7.7646999999991806E-4</v>
      </c>
      <c r="AP91" s="122">
        <f t="shared" si="7"/>
        <v>-1.2545099999999865E-3</v>
      </c>
      <c r="AQ91" s="88">
        <f t="shared" si="8"/>
        <v>1.9640559999999987E-3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30.688794999999999</v>
      </c>
      <c r="Y93" s="97">
        <v>34.373196</v>
      </c>
      <c r="Z93" s="97">
        <v>0.96816648999999999</v>
      </c>
      <c r="AA93" s="60">
        <v>0.97464781</v>
      </c>
      <c r="AB93" s="60">
        <v>5.8595954999999998E-2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-3.4559999999999036E-3</v>
      </c>
      <c r="AN93" s="96">
        <f t="shared" si="5"/>
        <v>-3.495000000000914E-3</v>
      </c>
      <c r="AO93" s="96">
        <f t="shared" si="6"/>
        <v>-2.5883999999998242E-4</v>
      </c>
      <c r="AP93" s="96">
        <f t="shared" si="7"/>
        <v>2.0257999999995224E-4</v>
      </c>
      <c r="AQ93" s="121">
        <f t="shared" si="8"/>
        <v>-4.7913200000000017E-4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33.07687</v>
      </c>
      <c r="Y94" s="190">
        <v>36.691721999999999</v>
      </c>
      <c r="Z94" s="190">
        <v>0.97938468999999995</v>
      </c>
      <c r="AA94" s="62">
        <v>0.98401037999999996</v>
      </c>
      <c r="AB94" s="62">
        <v>4.0431580000000002E-2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-0.4458929999999981</v>
      </c>
      <c r="AN94" s="122">
        <f t="shared" si="5"/>
        <v>-0.47691800000000484</v>
      </c>
      <c r="AO94" s="122">
        <f t="shared" si="6"/>
        <v>-1.3214000000000281E-3</v>
      </c>
      <c r="AP94" s="122">
        <f t="shared" si="7"/>
        <v>-1.0949300000000495E-3</v>
      </c>
      <c r="AQ94" s="88">
        <f t="shared" si="8"/>
        <v>2.1486120000000011E-3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35.765489000000002</v>
      </c>
      <c r="Y95" s="190">
        <v>39.574368</v>
      </c>
      <c r="Z95" s="190">
        <v>0.98800507000000004</v>
      </c>
      <c r="AA95" s="62">
        <v>0.99115359999999997</v>
      </c>
      <c r="AB95" s="62">
        <v>2.7375094999999999E-2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-0.97791300000000092</v>
      </c>
      <c r="AN95" s="122">
        <f t="shared" si="5"/>
        <v>-1.0960850000000022</v>
      </c>
      <c r="AO95" s="122">
        <f t="shared" si="6"/>
        <v>-1.2227999999999684E-3</v>
      </c>
      <c r="AP95" s="122">
        <f t="shared" si="7"/>
        <v>-1.2063900000000016E-3</v>
      </c>
      <c r="AQ95" s="88">
        <f t="shared" si="8"/>
        <v>2.9888859999999996E-3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38.386422000000003</v>
      </c>
      <c r="Y96" s="190">
        <v>42.276519</v>
      </c>
      <c r="Z96" s="190">
        <v>0.99311716000000005</v>
      </c>
      <c r="AA96" s="62">
        <v>0.99491832999999996</v>
      </c>
      <c r="AB96" s="62">
        <v>1.4553172499999999E-2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-1.5992859999999993</v>
      </c>
      <c r="AN96" s="122">
        <f t="shared" si="5"/>
        <v>-1.8396759999999972</v>
      </c>
      <c r="AO96" s="122">
        <f t="shared" si="6"/>
        <v>-7.6053999999992072E-4</v>
      </c>
      <c r="AP96" s="122">
        <f t="shared" si="7"/>
        <v>-1.0182900000000883E-3</v>
      </c>
      <c r="AQ96" s="88">
        <f t="shared" si="8"/>
        <v>2.265739499999999E-3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31.141984999999998</v>
      </c>
      <c r="Y98" s="97">
        <v>34.982469999999999</v>
      </c>
      <c r="Z98" s="97">
        <v>0.96722461999999998</v>
      </c>
      <c r="AA98" s="60">
        <v>0.9751493</v>
      </c>
      <c r="AB98" s="60">
        <v>5.6416620000000001E-2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-5.8112000000001274E-2</v>
      </c>
      <c r="AN98" s="96">
        <f t="shared" si="15"/>
        <v>-5.0254999999999939E-2</v>
      </c>
      <c r="AO98" s="96">
        <f t="shared" si="16"/>
        <v>-4.6338000000001323E-4</v>
      </c>
      <c r="AP98" s="96">
        <f t="shared" si="17"/>
        <v>1.9133000000004508E-4</v>
      </c>
      <c r="AQ98" s="121">
        <f t="shared" si="18"/>
        <v>3.1009999999997984E-5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33.730037000000003</v>
      </c>
      <c r="Y99" s="190">
        <v>37.345346999999997</v>
      </c>
      <c r="Z99" s="190">
        <v>0.97902186000000002</v>
      </c>
      <c r="AA99" s="62">
        <v>0.9842938</v>
      </c>
      <c r="AB99" s="62">
        <v>3.7611520000000002E-2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-0.4966930000000005</v>
      </c>
      <c r="AN99" s="122">
        <f t="shared" si="15"/>
        <v>-0.47107900000000313</v>
      </c>
      <c r="AO99" s="122">
        <f t="shared" si="16"/>
        <v>-1.452090000000017E-3</v>
      </c>
      <c r="AP99" s="122">
        <f t="shared" si="17"/>
        <v>-1.061309999999982E-3</v>
      </c>
      <c r="AQ99" s="88">
        <f t="shared" si="18"/>
        <v>2.039535000000002E-3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36.390476999999997</v>
      </c>
      <c r="Y100" s="190">
        <v>39.980266999999998</v>
      </c>
      <c r="Z100" s="190">
        <v>0.98801539000000005</v>
      </c>
      <c r="AA100" s="62">
        <v>0.99095513000000002</v>
      </c>
      <c r="AB100" s="62">
        <v>2.4993356000000001E-2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-0.92677700000000129</v>
      </c>
      <c r="AN100" s="122">
        <f t="shared" si="15"/>
        <v>-1.0622129999999999</v>
      </c>
      <c r="AO100" s="122">
        <f t="shared" si="16"/>
        <v>-1.2849099999999725E-3</v>
      </c>
      <c r="AP100" s="122">
        <f t="shared" si="17"/>
        <v>-1.52025999999994E-3</v>
      </c>
      <c r="AQ100" s="88">
        <f t="shared" si="18"/>
        <v>2.174106000000002E-3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39.140552999999997</v>
      </c>
      <c r="Y101" s="190">
        <v>42.735644000000001</v>
      </c>
      <c r="Z101" s="190">
        <v>0.99319478000000005</v>
      </c>
      <c r="AA101" s="62">
        <v>0.99502979000000003</v>
      </c>
      <c r="AB101" s="62">
        <v>1.3098089E-2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-1.6230840000000057</v>
      </c>
      <c r="AN101" s="122">
        <f t="shared" si="15"/>
        <v>-1.8942180000000022</v>
      </c>
      <c r="AO101" s="122">
        <f t="shared" si="16"/>
        <v>-8.1372999999995699E-4</v>
      </c>
      <c r="AP101" s="122">
        <f t="shared" si="17"/>
        <v>-1.0346599999999651E-3</v>
      </c>
      <c r="AQ101" s="88">
        <f t="shared" si="18"/>
        <v>1.5975650000000004E-3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30.856988999999999</v>
      </c>
      <c r="Y103" s="97">
        <v>34.381878</v>
      </c>
      <c r="Z103" s="97">
        <v>0.96792937999999995</v>
      </c>
      <c r="AA103" s="60">
        <v>0.97701917000000005</v>
      </c>
      <c r="AB103" s="60">
        <v>7.22917E-2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-3.4684999999999633E-2</v>
      </c>
      <c r="AN103" s="96">
        <f t="shared" si="15"/>
        <v>9.5032000000003336E-2</v>
      </c>
      <c r="AO103" s="96">
        <f t="shared" si="16"/>
        <v>-8.3616000000008572E-4</v>
      </c>
      <c r="AP103" s="96">
        <f t="shared" si="17"/>
        <v>-1.5882000000000396E-4</v>
      </c>
      <c r="AQ103" s="121">
        <f t="shared" si="18"/>
        <v>6.9060999999999428E-4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33.021134000000004</v>
      </c>
      <c r="Y104" s="190">
        <v>36.484504999999999</v>
      </c>
      <c r="Z104" s="190">
        <v>0.97889272999999999</v>
      </c>
      <c r="AA104" s="62">
        <v>0.98467271000000001</v>
      </c>
      <c r="AB104" s="62">
        <v>5.2025344000000001E-2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-0.49275399999999792</v>
      </c>
      <c r="AN104" s="122">
        <f t="shared" si="15"/>
        <v>-0.44767399999999924</v>
      </c>
      <c r="AO104" s="122">
        <f t="shared" si="16"/>
        <v>-2.1416800000000347E-3</v>
      </c>
      <c r="AP104" s="122">
        <f t="shared" si="17"/>
        <v>-1.7825299999999489E-3</v>
      </c>
      <c r="AQ104" s="88">
        <f t="shared" si="18"/>
        <v>3.5797090000000004E-3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35.022083000000002</v>
      </c>
      <c r="Y105" s="190">
        <v>39.006915999999997</v>
      </c>
      <c r="Z105" s="190">
        <v>0.98816227999999995</v>
      </c>
      <c r="AA105" s="62">
        <v>0.99146279999999998</v>
      </c>
      <c r="AB105" s="62">
        <v>3.4994129999999998E-2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-1.0069060000000007</v>
      </c>
      <c r="AN105" s="122">
        <f t="shared" si="15"/>
        <v>-1.182146000000003</v>
      </c>
      <c r="AO105" s="122">
        <f t="shared" si="16"/>
        <v>-1.5906300000000373E-3</v>
      </c>
      <c r="AP105" s="122">
        <f t="shared" si="17"/>
        <v>-1.6569400000000511E-3</v>
      </c>
      <c r="AQ105" s="88">
        <f t="shared" si="18"/>
        <v>3.9776539999999971E-3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37.662506</v>
      </c>
      <c r="Y106" s="190">
        <v>41.759162000000003</v>
      </c>
      <c r="Z106" s="190">
        <v>0.99287276999999996</v>
      </c>
      <c r="AA106" s="62">
        <v>0.99497802999999996</v>
      </c>
      <c r="AB106" s="62">
        <v>1.9572765999999998E-2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-1.4260120000000001</v>
      </c>
      <c r="AN106" s="122">
        <f t="shared" si="15"/>
        <v>-1.6727080000000001</v>
      </c>
      <c r="AO106" s="122">
        <f t="shared" si="16"/>
        <v>-9.7429000000004429E-4</v>
      </c>
      <c r="AP106" s="122">
        <f t="shared" si="17"/>
        <v>-1.249480000000025E-3</v>
      </c>
      <c r="AQ106" s="88">
        <f t="shared" si="18"/>
        <v>2.8247099999999976E-3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31.355539</v>
      </c>
      <c r="Y108" s="97">
        <v>34.945622</v>
      </c>
      <c r="Z108" s="97">
        <v>0.97015929999999995</v>
      </c>
      <c r="AA108" s="60">
        <v>0.97841246999999998</v>
      </c>
      <c r="AB108" s="60">
        <v>6.3374739999999999E-2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6.5353000000001771E-2</v>
      </c>
      <c r="AN108" s="96">
        <f t="shared" si="15"/>
        <v>0.1365029999999976</v>
      </c>
      <c r="AO108" s="96">
        <f t="shared" si="16"/>
        <v>-5.3522000000005843E-4</v>
      </c>
      <c r="AP108" s="96">
        <f t="shared" si="17"/>
        <v>1.3156999999996977E-4</v>
      </c>
      <c r="AQ108" s="121">
        <f t="shared" si="18"/>
        <v>4.3195999999999513E-4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33.502312000000003</v>
      </c>
      <c r="Y109" s="190">
        <v>36.927621000000002</v>
      </c>
      <c r="Z109" s="190">
        <v>0.97965064999999996</v>
      </c>
      <c r="AA109" s="62">
        <v>0.98507966999999996</v>
      </c>
      <c r="AB109" s="62">
        <v>4.6377357000000001E-2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-0.4704229999999967</v>
      </c>
      <c r="AN109" s="122">
        <f t="shared" si="15"/>
        <v>-0.37290199999999629</v>
      </c>
      <c r="AO109" s="122">
        <f t="shared" si="16"/>
        <v>-1.8860099999999935E-3</v>
      </c>
      <c r="AP109" s="122">
        <f t="shared" si="17"/>
        <v>-1.5875699999999826E-3</v>
      </c>
      <c r="AQ109" s="88">
        <f t="shared" si="18"/>
        <v>3.068346999999999E-3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36.192405000000001</v>
      </c>
      <c r="Y110" s="190">
        <v>39.904304000000003</v>
      </c>
      <c r="Z110" s="190">
        <v>0.98815472999999998</v>
      </c>
      <c r="AA110" s="62">
        <v>0.99150210000000005</v>
      </c>
      <c r="AB110" s="62">
        <v>2.9396970000000001E-2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-1.1570210000000003</v>
      </c>
      <c r="AN110" s="122">
        <f t="shared" si="15"/>
        <v>-1.2158069999999981</v>
      </c>
      <c r="AO110" s="122">
        <f t="shared" si="16"/>
        <v>-1.5321299999999649E-3</v>
      </c>
      <c r="AP110" s="122">
        <f t="shared" si="17"/>
        <v>-1.6470899999999622E-3</v>
      </c>
      <c r="AQ110" s="88">
        <f t="shared" si="18"/>
        <v>2.9853500000000012E-3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37.724646999999997</v>
      </c>
      <c r="Y111" s="190">
        <v>41.853717000000003</v>
      </c>
      <c r="Z111" s="190">
        <v>0.99293951000000003</v>
      </c>
      <c r="AA111" s="62">
        <v>0.99505091999999995</v>
      </c>
      <c r="AB111" s="62">
        <v>2.0993471E-2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-1.4793430000000001</v>
      </c>
      <c r="AN111" s="122">
        <f t="shared" si="15"/>
        <v>-1.7861229999999964</v>
      </c>
      <c r="AO111" s="122">
        <f t="shared" si="16"/>
        <v>-9.0353999999992496E-4</v>
      </c>
      <c r="AP111" s="122">
        <f t="shared" si="17"/>
        <v>-1.0611100000000873E-3</v>
      </c>
      <c r="AQ111" s="88">
        <f t="shared" si="18"/>
        <v>2.3723899999999985E-3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31.331088000000001</v>
      </c>
      <c r="Y113" s="97">
        <v>34.977189000000003</v>
      </c>
      <c r="Z113" s="97">
        <v>0.97111375</v>
      </c>
      <c r="AA113" s="60">
        <v>0.97912999999999994</v>
      </c>
      <c r="AB113" s="60">
        <v>6.5817860000000006E-2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2.3709000000000202E-2</v>
      </c>
      <c r="AN113" s="96">
        <f t="shared" si="15"/>
        <v>0.10079999999999956</v>
      </c>
      <c r="AO113" s="96">
        <f t="shared" si="16"/>
        <v>-4.0744000000003666E-4</v>
      </c>
      <c r="AP113" s="96">
        <f t="shared" si="17"/>
        <v>2.2328999999998711E-4</v>
      </c>
      <c r="AQ113" s="121">
        <f t="shared" si="18"/>
        <v>1.5579000000000287E-4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32.992544000000002</v>
      </c>
      <c r="Y114" s="190">
        <v>36.793922000000002</v>
      </c>
      <c r="Z114" s="190">
        <v>0.98016057000000001</v>
      </c>
      <c r="AA114" s="62">
        <v>0.98512062</v>
      </c>
      <c r="AB114" s="62">
        <v>4.9637212999999999E-2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-0.51824500000000029</v>
      </c>
      <c r="AN114" s="122">
        <f t="shared" si="15"/>
        <v>-0.43674999999999642</v>
      </c>
      <c r="AO114" s="122">
        <f t="shared" si="16"/>
        <v>-1.7221899999999568E-3</v>
      </c>
      <c r="AP114" s="122">
        <f t="shared" si="17"/>
        <v>-1.4365899999999598E-3</v>
      </c>
      <c r="AQ114" s="88">
        <f t="shared" si="18"/>
        <v>3.0033329999999969E-3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35.454234</v>
      </c>
      <c r="Y115" s="190">
        <v>39.464286000000001</v>
      </c>
      <c r="Z115" s="190">
        <v>0.98818969999999995</v>
      </c>
      <c r="AA115" s="62">
        <v>0.99136303999999997</v>
      </c>
      <c r="AB115" s="62">
        <v>3.2818930000000003E-2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-1.0881830000000008</v>
      </c>
      <c r="AN115" s="122">
        <f t="shared" si="15"/>
        <v>-1.2117870000000011</v>
      </c>
      <c r="AO115" s="122">
        <f t="shared" si="16"/>
        <v>-1.4470000000000871E-3</v>
      </c>
      <c r="AP115" s="122">
        <f t="shared" si="17"/>
        <v>-1.8107800000000118E-3</v>
      </c>
      <c r="AQ115" s="88">
        <f t="shared" si="18"/>
        <v>2.009140000000003E-3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37.836433</v>
      </c>
      <c r="Y116" s="190">
        <v>41.898614000000002</v>
      </c>
      <c r="Z116" s="190">
        <v>0.99303454000000002</v>
      </c>
      <c r="AA116" s="62">
        <v>0.99524219000000003</v>
      </c>
      <c r="AB116" s="62">
        <v>1.7810032E-2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-1.7179319999999976</v>
      </c>
      <c r="AN116" s="122">
        <f t="shared" si="15"/>
        <v>-1.9508779999999959</v>
      </c>
      <c r="AO116" s="122">
        <f t="shared" si="16"/>
        <v>-8.4335000000002047E-4</v>
      </c>
      <c r="AP116" s="122">
        <f t="shared" si="17"/>
        <v>-1.0301699999999414E-3</v>
      </c>
      <c r="AQ116" s="88">
        <f t="shared" si="18"/>
        <v>1.2410960000000006E-3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32.057135000000002</v>
      </c>
      <c r="Y118" s="97">
        <v>35.501393999999998</v>
      </c>
      <c r="Z118" s="97">
        <v>0.97192798000000002</v>
      </c>
      <c r="AA118" s="60">
        <v>0.98032162</v>
      </c>
      <c r="AB118" s="60">
        <v>5.8496524000000001E-2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8.0042000000002389E-2</v>
      </c>
      <c r="AN118" s="96">
        <f t="shared" si="15"/>
        <v>0.12168699999999433</v>
      </c>
      <c r="AO118" s="96">
        <f t="shared" si="16"/>
        <v>-3.8183000000002743E-4</v>
      </c>
      <c r="AP118" s="96">
        <f t="shared" si="17"/>
        <v>3.3358999999999472E-4</v>
      </c>
      <c r="AQ118" s="121">
        <f t="shared" si="18"/>
        <v>-5.7239000000000595E-5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33.520245000000003</v>
      </c>
      <c r="Y119" s="190">
        <v>37.160558000000002</v>
      </c>
      <c r="Z119" s="190">
        <v>0.98057121999999997</v>
      </c>
      <c r="AA119" s="62">
        <v>0.98573984000000003</v>
      </c>
      <c r="AB119" s="62">
        <v>4.390326E-2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-0.4828679999999963</v>
      </c>
      <c r="AN119" s="122">
        <f t="shared" si="15"/>
        <v>-0.42349499999999551</v>
      </c>
      <c r="AO119" s="122">
        <f t="shared" si="16"/>
        <v>-1.5366900000000072E-3</v>
      </c>
      <c r="AP119" s="122">
        <f t="shared" si="17"/>
        <v>-1.255879999999987E-3</v>
      </c>
      <c r="AQ119" s="88">
        <f t="shared" si="18"/>
        <v>2.5505200000000006E-3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35.894207999999999</v>
      </c>
      <c r="Y120" s="190">
        <v>39.763345000000001</v>
      </c>
      <c r="Z120" s="190">
        <v>0.98814753</v>
      </c>
      <c r="AA120" s="62">
        <v>0.99174552999999999</v>
      </c>
      <c r="AB120" s="62">
        <v>2.9093627E-2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-0.99940300000000093</v>
      </c>
      <c r="AN120" s="122">
        <f t="shared" si="15"/>
        <v>-1.1048019999999994</v>
      </c>
      <c r="AO120" s="122">
        <f t="shared" si="16"/>
        <v>-1.3339700000000176E-3</v>
      </c>
      <c r="AP120" s="122">
        <f t="shared" si="17"/>
        <v>-1.6035899999999881E-3</v>
      </c>
      <c r="AQ120" s="88">
        <f t="shared" si="18"/>
        <v>1.9067870000000001E-3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38.621944999999997</v>
      </c>
      <c r="Y121" s="190">
        <v>42.502941999999997</v>
      </c>
      <c r="Z121" s="190">
        <v>0.99300299999999997</v>
      </c>
      <c r="AA121" s="62">
        <v>0.99548906000000004</v>
      </c>
      <c r="AB121" s="62">
        <v>1.5446858500000001E-2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-1.6064240000000041</v>
      </c>
      <c r="AN121" s="122">
        <f t="shared" si="15"/>
        <v>-1.8151110000000017</v>
      </c>
      <c r="AO121" s="122">
        <f t="shared" si="16"/>
        <v>-7.5842999999997662E-4</v>
      </c>
      <c r="AP121" s="122">
        <f t="shared" si="17"/>
        <v>-7.6399999999998691E-4</v>
      </c>
      <c r="AQ121" s="88">
        <f t="shared" si="18"/>
        <v>1.4050675000000009E-3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32.165995000000002</v>
      </c>
      <c r="Y123" s="97">
        <v>35.804701999999999</v>
      </c>
      <c r="Z123" s="97">
        <v>0.97221941999999995</v>
      </c>
      <c r="AA123" s="60">
        <v>0.98013119000000004</v>
      </c>
      <c r="AB123" s="60">
        <v>5.6820385000000001E-2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0.10451600000000383</v>
      </c>
      <c r="AN123" s="96">
        <f t="shared" si="15"/>
        <v>0.11800600000000117</v>
      </c>
      <c r="AO123" s="96">
        <f t="shared" si="16"/>
        <v>-3.1539000000002648E-4</v>
      </c>
      <c r="AP123" s="96">
        <f t="shared" si="17"/>
        <v>4.4509000000003685E-4</v>
      </c>
      <c r="AQ123" s="121">
        <f t="shared" si="18"/>
        <v>-2.6924899999999918E-4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33.866563999999997</v>
      </c>
      <c r="Y124" s="190">
        <v>37.314093999999997</v>
      </c>
      <c r="Z124" s="190">
        <v>0.98075659999999998</v>
      </c>
      <c r="AA124" s="62">
        <v>0.98590367000000001</v>
      </c>
      <c r="AB124" s="62">
        <v>4.2891013999999998E-2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-0.40542300000000608</v>
      </c>
      <c r="AN124" s="122">
        <f t="shared" si="15"/>
        <v>-0.40893900000000372</v>
      </c>
      <c r="AO124" s="122">
        <f t="shared" si="16"/>
        <v>-1.5044000000000723E-3</v>
      </c>
      <c r="AP124" s="122">
        <f t="shared" si="17"/>
        <v>-1.2220800000000143E-3</v>
      </c>
      <c r="AQ124" s="88">
        <f t="shared" si="18"/>
        <v>2.7475910000000006E-3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36.561836999999997</v>
      </c>
      <c r="Y125" s="190">
        <v>40.218980999999999</v>
      </c>
      <c r="Z125" s="190">
        <v>0.98829339999999999</v>
      </c>
      <c r="AA125" s="62">
        <v>0.99198854999999997</v>
      </c>
      <c r="AB125" s="62">
        <v>2.7886999999999999E-2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-1.0451100000000011</v>
      </c>
      <c r="AN125" s="122">
        <f t="shared" si="15"/>
        <v>-1.0876590000000022</v>
      </c>
      <c r="AO125" s="122">
        <f t="shared" si="16"/>
        <v>-1.3748100000000596E-3</v>
      </c>
      <c r="AP125" s="122">
        <f t="shared" si="17"/>
        <v>-1.3776300000000186E-3</v>
      </c>
      <c r="AQ125" s="88">
        <f t="shared" si="18"/>
        <v>3.2878839999999979E-3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39.505785000000003</v>
      </c>
      <c r="Y126" s="190">
        <v>43.183531000000002</v>
      </c>
      <c r="Z126" s="190">
        <v>0.99313430000000003</v>
      </c>
      <c r="AA126" s="62">
        <v>0.99535541999999999</v>
      </c>
      <c r="AB126" s="62">
        <v>1.5062634E-2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-1.5247119999999938</v>
      </c>
      <c r="AN126" s="122">
        <f t="shared" si="15"/>
        <v>-1.6735940000000014</v>
      </c>
      <c r="AO126" s="122">
        <f t="shared" si="16"/>
        <v>-7.6690999999995402E-4</v>
      </c>
      <c r="AP126" s="122">
        <f t="shared" si="17"/>
        <v>-1.047330000000013E-3</v>
      </c>
      <c r="AQ126" s="88">
        <f t="shared" si="18"/>
        <v>2.1866539999999997E-3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32.127155000000002</v>
      </c>
      <c r="Y128" s="97">
        <v>35.936314000000003</v>
      </c>
      <c r="Z128" s="97">
        <v>0.97268648999999996</v>
      </c>
      <c r="AA128" s="60">
        <v>0.98013380999999999</v>
      </c>
      <c r="AB128" s="60">
        <v>5.6850650000000003E-2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9.5593999999998402E-2</v>
      </c>
      <c r="AN128" s="96">
        <f t="shared" si="15"/>
        <v>8.3719000000002097E-2</v>
      </c>
      <c r="AO128" s="96">
        <f t="shared" si="16"/>
        <v>-3.5873000000008481E-4</v>
      </c>
      <c r="AP128" s="96">
        <f t="shared" si="17"/>
        <v>5.4920000000002744E-4</v>
      </c>
      <c r="AQ128" s="121">
        <f t="shared" si="18"/>
        <v>-3.7944300000000014E-4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33.776524999999999</v>
      </c>
      <c r="Y129" s="190">
        <v>37.483913000000001</v>
      </c>
      <c r="Z129" s="190">
        <v>0.98106976999999995</v>
      </c>
      <c r="AA129" s="62">
        <v>0.98581026999999999</v>
      </c>
      <c r="AB129" s="62">
        <v>4.2244308000000001E-2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-0.32317900000000321</v>
      </c>
      <c r="AN129" s="122">
        <f t="shared" si="15"/>
        <v>-0.35064399999999551</v>
      </c>
      <c r="AO129" s="122">
        <f t="shared" si="16"/>
        <v>-1.4599000000000695E-3</v>
      </c>
      <c r="AP129" s="122">
        <f t="shared" si="17"/>
        <v>-1.1136499999999661E-3</v>
      </c>
      <c r="AQ129" s="88">
        <f t="shared" si="18"/>
        <v>2.6809500000000014E-3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36.529006000000003</v>
      </c>
      <c r="Y130" s="190">
        <v>40.206733999999997</v>
      </c>
      <c r="Z130" s="190">
        <v>0.98854032999999997</v>
      </c>
      <c r="AA130" s="62">
        <v>0.99174287000000005</v>
      </c>
      <c r="AB130" s="62">
        <v>2.6936390000000001E-2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-0.93401199999999562</v>
      </c>
      <c r="AN130" s="122">
        <f t="shared" si="15"/>
        <v>-0.92360900000000612</v>
      </c>
      <c r="AO130" s="122">
        <f t="shared" si="16"/>
        <v>-1.3828599999999858E-3</v>
      </c>
      <c r="AP130" s="122">
        <f t="shared" si="17"/>
        <v>-1.508469999999984E-3</v>
      </c>
      <c r="AQ130" s="88">
        <f t="shared" si="18"/>
        <v>3.4736830000000017E-3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39.850341999999998</v>
      </c>
      <c r="Y131" s="190">
        <v>43.428438999999997</v>
      </c>
      <c r="Z131" s="190">
        <v>0.99326124999999998</v>
      </c>
      <c r="AA131" s="62">
        <v>0.99567903000000002</v>
      </c>
      <c r="AB131" s="62">
        <v>1.4352512E-2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-1.4590260000000015</v>
      </c>
      <c r="AN131" s="122">
        <f t="shared" si="15"/>
        <v>-1.571388000000006</v>
      </c>
      <c r="AO131" s="122">
        <f t="shared" si="16"/>
        <v>-7.8626999999997782E-4</v>
      </c>
      <c r="AP131" s="122">
        <f t="shared" si="17"/>
        <v>-7.0771999999996726E-4</v>
      </c>
      <c r="AQ131" s="88">
        <f t="shared" si="18"/>
        <v>2.4232549999999992E-3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32.205987</v>
      </c>
      <c r="Y133" s="97">
        <v>36.214120999999999</v>
      </c>
      <c r="Z133" s="97">
        <v>0.97138813000000002</v>
      </c>
      <c r="AA133" s="60">
        <v>0.97966516000000003</v>
      </c>
      <c r="AB133" s="60">
        <v>5.7908565000000002E-2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8.1170000000000186E-2</v>
      </c>
      <c r="AN133" s="96">
        <f t="shared" si="15"/>
        <v>5.8047999999999433E-2</v>
      </c>
      <c r="AO133" s="96">
        <f t="shared" si="16"/>
        <v>-5.0887999999993383E-4</v>
      </c>
      <c r="AP133" s="96">
        <f t="shared" si="17"/>
        <v>6.271100000000418E-4</v>
      </c>
      <c r="AQ133" s="121">
        <f t="shared" si="18"/>
        <v>-2.2200499999999734E-4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34.138342000000002</v>
      </c>
      <c r="Y134" s="190">
        <v>37.930771999999997</v>
      </c>
      <c r="Z134" s="190">
        <v>0.98075562000000005</v>
      </c>
      <c r="AA134" s="62">
        <v>0.98587117000000002</v>
      </c>
      <c r="AB134" s="62">
        <v>4.1016801999999998E-2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-0.29769999999999897</v>
      </c>
      <c r="AN134" s="122">
        <f t="shared" si="15"/>
        <v>-0.310840000000006</v>
      </c>
      <c r="AO134" s="122">
        <f t="shared" si="16"/>
        <v>-1.5686599999999995E-3</v>
      </c>
      <c r="AP134" s="122">
        <f t="shared" si="17"/>
        <v>-9.156000000000164E-4</v>
      </c>
      <c r="AQ134" s="88">
        <f t="shared" si="18"/>
        <v>2.6276849999999977E-3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36.903858</v>
      </c>
      <c r="Y135" s="190">
        <v>40.418396000000001</v>
      </c>
      <c r="Z135" s="190">
        <v>0.98869691999999998</v>
      </c>
      <c r="AA135" s="62">
        <v>0.99191039000000003</v>
      </c>
      <c r="AB135" s="62">
        <v>2.5775503000000002E-2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-0.88018999999999892</v>
      </c>
      <c r="AN135" s="122">
        <f t="shared" si="15"/>
        <v>-0.88163999999999731</v>
      </c>
      <c r="AO135" s="122">
        <f t="shared" si="16"/>
        <v>-1.4124199999999698E-3</v>
      </c>
      <c r="AP135" s="122">
        <f t="shared" si="17"/>
        <v>-1.4460899999999555E-3</v>
      </c>
      <c r="AQ135" s="88">
        <f t="shared" si="18"/>
        <v>2.766424E-3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40.341324</v>
      </c>
      <c r="Y136" s="190">
        <v>43.675449</v>
      </c>
      <c r="Z136" s="190">
        <v>0.99331431000000003</v>
      </c>
      <c r="AA136" s="62">
        <v>0.99564841000000004</v>
      </c>
      <c r="AB136" s="62">
        <v>1.3883985E-2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-1.3630780000000016</v>
      </c>
      <c r="AN136" s="122">
        <f t="shared" si="15"/>
        <v>-1.5163960000000003</v>
      </c>
      <c r="AO136" s="122">
        <f t="shared" si="16"/>
        <v>-8.0994000000000899E-4</v>
      </c>
      <c r="AP136" s="122">
        <f t="shared" si="17"/>
        <v>-7.5919999999995991E-4</v>
      </c>
      <c r="AQ136" s="88">
        <f t="shared" si="18"/>
        <v>1.9449269999999991E-3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26.724492000000001</v>
      </c>
      <c r="Y641" s="136">
        <f t="shared" si="60"/>
        <v>30.287800000000001</v>
      </c>
      <c r="Z641" s="136">
        <f t="shared" si="60"/>
        <v>0.95792186000000001</v>
      </c>
      <c r="AA641" s="136">
        <f t="shared" si="60"/>
        <v>0.96507498999999997</v>
      </c>
      <c r="AB641" s="136">
        <f t="shared" si="60"/>
        <v>5.6416620000000001E-2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30.193892999999999</v>
      </c>
      <c r="Y642" s="18">
        <f t="shared" si="60"/>
        <v>33.622368999999999</v>
      </c>
      <c r="Z642" s="18">
        <f t="shared" si="60"/>
        <v>0.97595641</v>
      </c>
      <c r="AA642" s="18">
        <f t="shared" si="60"/>
        <v>0.97955833999999997</v>
      </c>
      <c r="AB642" s="18">
        <f t="shared" si="60"/>
        <v>3.7611520000000002E-2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32.595247000000001</v>
      </c>
      <c r="Y643" s="18">
        <f t="shared" si="60"/>
        <v>36.504049999999999</v>
      </c>
      <c r="Z643" s="18">
        <f t="shared" si="60"/>
        <v>0.98665654999999997</v>
      </c>
      <c r="AA643" s="18">
        <f t="shared" si="60"/>
        <v>0.98932878000000002</v>
      </c>
      <c r="AB643" s="18">
        <f t="shared" si="60"/>
        <v>2.4993356000000001E-2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35.721550999999998</v>
      </c>
      <c r="Y644" s="18">
        <f t="shared" si="60"/>
        <v>39.745983000000003</v>
      </c>
      <c r="Z644" s="18">
        <f t="shared" si="60"/>
        <v>0.99247580000000002</v>
      </c>
      <c r="AA644" s="18">
        <f t="shared" si="60"/>
        <v>0.99405186999999995</v>
      </c>
      <c r="AB644" s="18">
        <f t="shared" si="60"/>
        <v>1.3098089E-2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32.205987</v>
      </c>
      <c r="Y646" s="136">
        <f t="shared" si="62"/>
        <v>36.214120999999999</v>
      </c>
      <c r="Z646" s="136">
        <f t="shared" si="62"/>
        <v>0.97268648999999996</v>
      </c>
      <c r="AA646" s="136">
        <f t="shared" si="62"/>
        <v>0.98032162</v>
      </c>
      <c r="AB646" s="136">
        <f t="shared" si="62"/>
        <v>8.2463554999999994E-2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34.138342000000002</v>
      </c>
      <c r="Y647" s="18">
        <f t="shared" si="62"/>
        <v>37.930771999999997</v>
      </c>
      <c r="Z647" s="18">
        <f t="shared" si="62"/>
        <v>0.98106976999999995</v>
      </c>
      <c r="AA647" s="18">
        <f t="shared" si="62"/>
        <v>0.98590367000000001</v>
      </c>
      <c r="AB647" s="18">
        <f t="shared" si="62"/>
        <v>5.8735423000000002E-2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36.903858</v>
      </c>
      <c r="Y648" s="18">
        <f t="shared" si="62"/>
        <v>40.418396000000001</v>
      </c>
      <c r="Z648" s="18">
        <f t="shared" si="62"/>
        <v>0.98869691999999998</v>
      </c>
      <c r="AA648" s="18">
        <f t="shared" si="62"/>
        <v>0.99198854999999997</v>
      </c>
      <c r="AB648" s="18">
        <f t="shared" si="62"/>
        <v>3.7105348000000003E-2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40.341324</v>
      </c>
      <c r="Y649" s="18">
        <f t="shared" si="62"/>
        <v>43.675449</v>
      </c>
      <c r="Z649" s="18">
        <f t="shared" si="62"/>
        <v>0.99331431000000003</v>
      </c>
      <c r="AA649" s="18">
        <f t="shared" si="62"/>
        <v>0.99567903000000002</v>
      </c>
      <c r="AB649" s="18">
        <f t="shared" si="62"/>
        <v>2.0993471E-2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5.4814949999999989</v>
      </c>
      <c r="Y651" s="136">
        <f t="shared" si="64"/>
        <v>5.926320999999998</v>
      </c>
      <c r="Z651" s="136">
        <f t="shared" si="64"/>
        <v>1.4764629999999945E-2</v>
      </c>
      <c r="AA651" s="136">
        <f t="shared" si="64"/>
        <v>1.5246630000000039E-2</v>
      </c>
      <c r="AB651" s="136">
        <f t="shared" si="64"/>
        <v>2.6046934999999993E-2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3.9444490000000023</v>
      </c>
      <c r="Y652" s="18">
        <f t="shared" si="64"/>
        <v>4.3084029999999984</v>
      </c>
      <c r="Z652" s="18">
        <f t="shared" si="64"/>
        <v>5.1133599999999557E-3</v>
      </c>
      <c r="AA652" s="18">
        <f t="shared" si="64"/>
        <v>6.3453300000000379E-3</v>
      </c>
      <c r="AB652" s="18">
        <f t="shared" si="64"/>
        <v>2.1123902999999999E-2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4.3086109999999991</v>
      </c>
      <c r="Y653" s="18">
        <f t="shared" si="64"/>
        <v>3.9143460000000019</v>
      </c>
      <c r="Z653" s="18">
        <f t="shared" si="64"/>
        <v>2.0403700000000136E-3</v>
      </c>
      <c r="AA653" s="18">
        <f t="shared" si="64"/>
        <v>2.6597699999999502E-3</v>
      </c>
      <c r="AB653" s="18">
        <f t="shared" si="64"/>
        <v>1.2111992000000002E-2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4.6197730000000021</v>
      </c>
      <c r="Y654" s="18">
        <f t="shared" si="64"/>
        <v>3.9294659999999979</v>
      </c>
      <c r="Z654" s="18">
        <f t="shared" si="64"/>
        <v>8.3851000000001452E-4</v>
      </c>
      <c r="AA654" s="18">
        <f t="shared" si="64"/>
        <v>1.6271600000000719E-3</v>
      </c>
      <c r="AB654" s="18">
        <f t="shared" si="64"/>
        <v>7.8953819999999994E-3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27530.712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30.177891380952381</v>
      </c>
      <c r="Y5" s="30">
        <f t="shared" si="2"/>
        <v>33.856723809523807</v>
      </c>
      <c r="Z5" s="30">
        <f t="shared" si="2"/>
        <v>0.96528989714285718</v>
      </c>
      <c r="AA5" s="91">
        <f t="shared" si="2"/>
        <v>0.97285383714285756</v>
      </c>
      <c r="AB5" s="91">
        <f t="shared" si="2"/>
        <v>6.5891339714285707E-2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4.1991329383310738E-3</v>
      </c>
      <c r="AN5" s="245">
        <f>bdrate($E5:$E8,G5:G8,$W5:$W8,Y5:Y8)</f>
        <v>3.7465085060670589E-3</v>
      </c>
      <c r="AO5" s="245">
        <f>bdrate($E5:$E8,H5:H8,$W5:$W8,Z5:Z8)</f>
        <v>-2.3534904121044753E-2</v>
      </c>
      <c r="AP5" s="245">
        <f>bdrate($E5:$E8,I5:I8,$W5:$W8,AA5:AA8)</f>
        <v>-2.0733297627782088E-2</v>
      </c>
      <c r="AQ5" s="246">
        <f>bdrateInverted($E5:$E8,J5:J8,$W5:$W8,AB5:AB8)</f>
        <v>-3.5852344099715272E-2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38305.184000000001</v>
      </c>
      <c r="X6" s="91">
        <f t="shared" si="2"/>
        <v>32.564166476190486</v>
      </c>
      <c r="Y6" s="91">
        <f t="shared" si="2"/>
        <v>36.125545428571428</v>
      </c>
      <c r="Z6" s="91">
        <f t="shared" si="2"/>
        <v>0.97744502238095232</v>
      </c>
      <c r="AA6" s="91">
        <f t="shared" si="2"/>
        <v>0.98257304761904773</v>
      </c>
      <c r="AB6" s="91">
        <f t="shared" si="2"/>
        <v>4.6556572761904759E-2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55439.28</v>
      </c>
      <c r="X7" s="91">
        <f t="shared" si="2"/>
        <v>35.306791523809522</v>
      </c>
      <c r="Y7" s="91">
        <f t="shared" si="2"/>
        <v>39.185180619047621</v>
      </c>
      <c r="Z7" s="91">
        <f t="shared" si="2"/>
        <v>0.98735674095238102</v>
      </c>
      <c r="AA7" s="91">
        <f t="shared" si="2"/>
        <v>0.99067461142857149</v>
      </c>
      <c r="AB7" s="91">
        <f t="shared" si="2"/>
        <v>3.0308393190476197E-2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79278.768000000011</v>
      </c>
      <c r="X8" s="91">
        <f t="shared" si="2"/>
        <v>37.504488095238095</v>
      </c>
      <c r="Y8" s="91">
        <f t="shared" si="2"/>
        <v>41.483027999999997</v>
      </c>
      <c r="Z8" s="91">
        <f t="shared" si="2"/>
        <v>0.99255237714285693</v>
      </c>
      <c r="AA8" s="91">
        <f t="shared" si="2"/>
        <v>0.99457991000000001</v>
      </c>
      <c r="AB8" s="91">
        <f t="shared" si="2"/>
        <v>1.747149207142857E-2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4688.8959999999997</v>
      </c>
      <c r="X16" s="167">
        <v>6056.2079999999996</v>
      </c>
      <c r="Y16" s="167">
        <v>458.44</v>
      </c>
      <c r="Z16" s="167">
        <v>366.27199999999999</v>
      </c>
      <c r="AA16" s="167">
        <v>76.096000000000004</v>
      </c>
      <c r="AB16" s="167">
        <v>8771.848</v>
      </c>
      <c r="AC16" s="60">
        <v>5224.8</v>
      </c>
      <c r="AD16" s="60">
        <v>1888.152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4688.8959999999997</v>
      </c>
      <c r="X17" s="168">
        <v>7941.5919999999996</v>
      </c>
      <c r="Y17" s="168">
        <v>2067.5520000000001</v>
      </c>
      <c r="Z17" s="168">
        <v>1792.76</v>
      </c>
      <c r="AA17" s="168">
        <v>904.976</v>
      </c>
      <c r="AB17" s="168">
        <v>11323.12</v>
      </c>
      <c r="AC17" s="62">
        <v>7088.4719999999998</v>
      </c>
      <c r="AD17" s="62">
        <v>2497.8159999999998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4688.8959999999997</v>
      </c>
      <c r="X18" s="168">
        <v>9902.32</v>
      </c>
      <c r="Y18" s="168">
        <v>5001.3040000000001</v>
      </c>
      <c r="Z18" s="168">
        <v>5335.6880000000001</v>
      </c>
      <c r="AA18" s="168">
        <v>4389.12</v>
      </c>
      <c r="AB18" s="168">
        <v>13961.536</v>
      </c>
      <c r="AC18" s="62">
        <v>9035.2880000000005</v>
      </c>
      <c r="AD18" s="62">
        <v>3125.1280000000002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4688.8959999999997</v>
      </c>
      <c r="X19" s="168">
        <v>11776.415999999999</v>
      </c>
      <c r="Y19" s="168">
        <v>8479.6959999999999</v>
      </c>
      <c r="Z19" s="168">
        <v>11004.48</v>
      </c>
      <c r="AA19" s="168">
        <v>11756.928</v>
      </c>
      <c r="AB19" s="168">
        <v>16708.376</v>
      </c>
      <c r="AC19" s="62">
        <v>11084.592000000001</v>
      </c>
      <c r="AD19" s="62">
        <v>3779.384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27530.712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38305.184000000001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55439.28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79278.768000000011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27.393941000000002</v>
      </c>
      <c r="Y33" s="97">
        <v>31.092410000000001</v>
      </c>
      <c r="Z33" s="97">
        <v>0.95857976</v>
      </c>
      <c r="AA33" s="60">
        <v>0.96657356999999999</v>
      </c>
      <c r="AB33" s="60">
        <v>8.2984983999999998E-2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-0.18351499999999987</v>
      </c>
      <c r="AN33" s="96">
        <f t="shared" ref="AN33:AN96" si="5">IF(OR(Y33="",G33=""),"",Y33-G33)</f>
        <v>-4.1776999999999731E-2</v>
      </c>
      <c r="AO33" s="96">
        <f t="shared" ref="AO33:AO96" si="6">IF(OR(Z33="",H33=""),"",Z33-H33)</f>
        <v>-8.5519000000000567E-4</v>
      </c>
      <c r="AP33" s="96">
        <f t="shared" ref="AP33:AP96" si="7">IF(OR(AA33="",I33=""),"",AA33-I33)</f>
        <v>5.5375999999995873E-4</v>
      </c>
      <c r="AQ33" s="121">
        <f t="shared" ref="AQ33:AQ96" si="8">IF(OR(AB33="",J33=""),"",AB33-J33)</f>
        <v>-5.3918599999999706E-4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30.169112999999999</v>
      </c>
      <c r="Y34" s="190">
        <v>33.524757999999999</v>
      </c>
      <c r="Z34" s="190">
        <v>0.97510836999999995</v>
      </c>
      <c r="AA34" s="62">
        <v>0.97894278999999995</v>
      </c>
      <c r="AB34" s="62">
        <v>5.9487905000000001E-2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-0.58994700000000222</v>
      </c>
      <c r="AN34" s="122">
        <f t="shared" si="5"/>
        <v>-0.55158300000000082</v>
      </c>
      <c r="AO34" s="122">
        <f t="shared" si="6"/>
        <v>-1.8312400000000117E-3</v>
      </c>
      <c r="AP34" s="122">
        <f t="shared" si="7"/>
        <v>-1.2422400000000611E-3</v>
      </c>
      <c r="AQ34" s="88">
        <f t="shared" si="8"/>
        <v>1.3977169999999997E-3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33.299325000000003</v>
      </c>
      <c r="Y35" s="190">
        <v>37.382168</v>
      </c>
      <c r="Z35" s="190">
        <v>0.98709219000000004</v>
      </c>
      <c r="AA35" s="62">
        <v>0.98992015</v>
      </c>
      <c r="AB35" s="62">
        <v>3.7181024E-2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-1.4022969999999972</v>
      </c>
      <c r="AN35" s="122">
        <f t="shared" si="5"/>
        <v>-1.6660180000000011</v>
      </c>
      <c r="AO35" s="122">
        <f t="shared" si="6"/>
        <v>-1.6197900000000098E-3</v>
      </c>
      <c r="AP35" s="122">
        <f t="shared" si="7"/>
        <v>-1.8620099999999695E-3</v>
      </c>
      <c r="AQ35" s="88">
        <f t="shared" si="8"/>
        <v>4.0862009999999976E-3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35.33408</v>
      </c>
      <c r="Y36" s="190">
        <v>39.509633000000001</v>
      </c>
      <c r="Z36" s="190">
        <v>0.99237639</v>
      </c>
      <c r="AA36" s="62">
        <v>0.99406402000000005</v>
      </c>
      <c r="AB36" s="62">
        <v>2.1768791999999999E-2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-1.9510599999999982</v>
      </c>
      <c r="AN36" s="122">
        <f t="shared" si="5"/>
        <v>-2.1860160000000022</v>
      </c>
      <c r="AO36" s="122">
        <f t="shared" si="6"/>
        <v>-1.1203600000000424E-3</v>
      </c>
      <c r="AP36" s="122">
        <f t="shared" si="7"/>
        <v>-1.598659999999974E-3</v>
      </c>
      <c r="AQ36" s="88">
        <f t="shared" si="8"/>
        <v>2.7454459999999986E-3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27.955539999999999</v>
      </c>
      <c r="Y38" s="97">
        <v>31.709783000000002</v>
      </c>
      <c r="Z38" s="97">
        <v>0.96028546999999997</v>
      </c>
      <c r="AA38" s="60">
        <v>0.96657183000000002</v>
      </c>
      <c r="AB38" s="60">
        <v>7.5081289999999995E-2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-0.23780900000000216</v>
      </c>
      <c r="AN38" s="96">
        <f t="shared" si="5"/>
        <v>-9.8638999999998589E-2</v>
      </c>
      <c r="AO38" s="96">
        <f t="shared" si="6"/>
        <v>-5.7017000000003648E-4</v>
      </c>
      <c r="AP38" s="96">
        <f t="shared" si="7"/>
        <v>4.8727000000003962E-4</v>
      </c>
      <c r="AQ38" s="121">
        <f t="shared" si="8"/>
        <v>-9.844140000000029E-4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30.699034999999999</v>
      </c>
      <c r="Y39" s="190">
        <v>34.231112000000003</v>
      </c>
      <c r="Z39" s="190">
        <v>0.97557059999999995</v>
      </c>
      <c r="AA39" s="62">
        <v>0.97898532000000005</v>
      </c>
      <c r="AB39" s="62">
        <v>5.510458E-2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-0.55365400000000164</v>
      </c>
      <c r="AN39" s="122">
        <f t="shared" si="5"/>
        <v>-0.50138899999999609</v>
      </c>
      <c r="AO39" s="122">
        <f t="shared" si="6"/>
        <v>-1.6209100000000864E-3</v>
      </c>
      <c r="AP39" s="122">
        <f t="shared" si="7"/>
        <v>-1.3673399999999392E-3</v>
      </c>
      <c r="AQ39" s="88">
        <f t="shared" si="8"/>
        <v>1.0915199999999986E-3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33.716886000000002</v>
      </c>
      <c r="Y40" s="190">
        <v>37.718133999999999</v>
      </c>
      <c r="Z40" s="190">
        <v>0.98685763999999998</v>
      </c>
      <c r="AA40" s="62">
        <v>0.98951456000000004</v>
      </c>
      <c r="AB40" s="62">
        <v>3.5085425000000003E-2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-1.2844509999999971</v>
      </c>
      <c r="AN40" s="122">
        <f t="shared" si="5"/>
        <v>-1.5015450000000001</v>
      </c>
      <c r="AO40" s="122">
        <f t="shared" si="6"/>
        <v>-1.5565800000000296E-3</v>
      </c>
      <c r="AP40" s="122">
        <f t="shared" si="7"/>
        <v>-1.9045399999999546E-3</v>
      </c>
      <c r="AQ40" s="88">
        <f t="shared" si="8"/>
        <v>3.2606090000000046E-3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35.553068000000003</v>
      </c>
      <c r="Y41" s="190">
        <v>39.709077999999998</v>
      </c>
      <c r="Z41" s="190">
        <v>0.99219553000000005</v>
      </c>
      <c r="AA41" s="62">
        <v>0.99383173000000002</v>
      </c>
      <c r="AB41" s="62">
        <v>2.1391661999999999E-2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-1.8369140000000002</v>
      </c>
      <c r="AN41" s="122">
        <f t="shared" si="5"/>
        <v>-2.054273000000002</v>
      </c>
      <c r="AO41" s="122">
        <f t="shared" si="6"/>
        <v>-1.1346799999999435E-3</v>
      </c>
      <c r="AP41" s="122">
        <f t="shared" si="7"/>
        <v>-1.6773700000000114E-3</v>
      </c>
      <c r="AQ41" s="88">
        <f t="shared" si="8"/>
        <v>2.4699679999999995E-3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28.600729999999999</v>
      </c>
      <c r="Y43" s="97">
        <v>32.360911000000002</v>
      </c>
      <c r="Z43" s="97">
        <v>0.96183107000000001</v>
      </c>
      <c r="AA43" s="60">
        <v>0.96819694999999995</v>
      </c>
      <c r="AB43" s="60">
        <v>7.3310665999999997E-2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-0.16747400000000212</v>
      </c>
      <c r="AN43" s="96">
        <f t="shared" si="5"/>
        <v>-4.8738999999997645E-2</v>
      </c>
      <c r="AO43" s="96">
        <f t="shared" si="6"/>
        <v>-2.8331999999997581E-4</v>
      </c>
      <c r="AP43" s="96">
        <f t="shared" si="7"/>
        <v>3.9944999999996789E-4</v>
      </c>
      <c r="AQ43" s="121">
        <f t="shared" si="8"/>
        <v>-1.2995540000000083E-3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31.143908</v>
      </c>
      <c r="Y44" s="190">
        <v>34.759780999999997</v>
      </c>
      <c r="Z44" s="190">
        <v>0.97607347</v>
      </c>
      <c r="AA44" s="62">
        <v>0.97975677000000005</v>
      </c>
      <c r="AB44" s="62">
        <v>5.0927367000000001E-2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-0.54944899999999919</v>
      </c>
      <c r="AN44" s="122">
        <f t="shared" si="5"/>
        <v>-0.49317200000000128</v>
      </c>
      <c r="AO44" s="122">
        <f t="shared" si="6"/>
        <v>-1.4410799999999835E-3</v>
      </c>
      <c r="AP44" s="122">
        <f t="shared" si="7"/>
        <v>-1.2273499999999604E-3</v>
      </c>
      <c r="AQ44" s="88">
        <f t="shared" si="8"/>
        <v>8.7462700000000282E-4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33.818584999999999</v>
      </c>
      <c r="Y45" s="190">
        <v>37.855525999999998</v>
      </c>
      <c r="Z45" s="190">
        <v>0.98695166000000001</v>
      </c>
      <c r="AA45" s="62">
        <v>0.98970051999999997</v>
      </c>
      <c r="AB45" s="62">
        <v>3.4521885000000002E-2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-1.2006739999999994</v>
      </c>
      <c r="AN45" s="122">
        <f t="shared" si="5"/>
        <v>-1.4306340000000048</v>
      </c>
      <c r="AO45" s="122">
        <f t="shared" si="6"/>
        <v>-1.449060000000002E-3</v>
      </c>
      <c r="AP45" s="122">
        <f t="shared" si="7"/>
        <v>-1.7894299999999808E-3</v>
      </c>
      <c r="AQ45" s="88">
        <f t="shared" si="8"/>
        <v>2.0121849999999997E-3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35.956099999999999</v>
      </c>
      <c r="Y46" s="190">
        <v>40.079368000000002</v>
      </c>
      <c r="Z46" s="190">
        <v>0.99228094</v>
      </c>
      <c r="AA46" s="62">
        <v>0.99391631999999996</v>
      </c>
      <c r="AB46" s="62">
        <v>1.9596157999999999E-2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-1.8365760000000009</v>
      </c>
      <c r="AN46" s="122">
        <f t="shared" si="5"/>
        <v>-2.08934</v>
      </c>
      <c r="AO46" s="122">
        <f t="shared" si="6"/>
        <v>-1.0410699999999773E-3</v>
      </c>
      <c r="AP46" s="122">
        <f t="shared" si="7"/>
        <v>-1.6231300000000282E-3</v>
      </c>
      <c r="AQ46" s="88">
        <f t="shared" si="8"/>
        <v>1.4585929999999976E-3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29.604814999999999</v>
      </c>
      <c r="Y48" s="97">
        <v>33.155279</v>
      </c>
      <c r="Z48" s="97">
        <v>0.96249099999999999</v>
      </c>
      <c r="AA48" s="60">
        <v>0.96941553999999996</v>
      </c>
      <c r="AB48" s="60">
        <v>6.5581280000000006E-2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-4.1228000000000264E-2</v>
      </c>
      <c r="AN48" s="96">
        <f t="shared" si="5"/>
        <v>4.8668999999996743E-2</v>
      </c>
      <c r="AO48" s="96">
        <f t="shared" si="6"/>
        <v>-2.0907999999997262E-4</v>
      </c>
      <c r="AP48" s="96">
        <f t="shared" si="7"/>
        <v>5.8345999999998011E-4</v>
      </c>
      <c r="AQ48" s="121">
        <f t="shared" si="8"/>
        <v>-1.3434799999999941E-3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32.227010999999997</v>
      </c>
      <c r="Y49" s="190">
        <v>35.713599000000002</v>
      </c>
      <c r="Z49" s="190">
        <v>0.97569397000000002</v>
      </c>
      <c r="AA49" s="62">
        <v>0.98062773999999997</v>
      </c>
      <c r="AB49" s="62">
        <v>4.483409E-2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-0.40806600000000515</v>
      </c>
      <c r="AN49" s="122">
        <f t="shared" si="5"/>
        <v>-0.37727899999999437</v>
      </c>
      <c r="AO49" s="122">
        <f t="shared" si="6"/>
        <v>-1.2922499999999948E-3</v>
      </c>
      <c r="AP49" s="122">
        <f t="shared" si="7"/>
        <v>-1.1721399999999882E-3</v>
      </c>
      <c r="AQ49" s="88">
        <f t="shared" si="8"/>
        <v>6.7467400000000011E-4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34.745950999999998</v>
      </c>
      <c r="Y50" s="190">
        <v>38.691823999999997</v>
      </c>
      <c r="Z50" s="190">
        <v>0.98665455000000002</v>
      </c>
      <c r="AA50" s="62">
        <v>0.98988661</v>
      </c>
      <c r="AB50" s="62">
        <v>3.0489298000000001E-2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-0.88815200000000516</v>
      </c>
      <c r="AN50" s="122">
        <f t="shared" si="5"/>
        <v>-1.1175390000000007</v>
      </c>
      <c r="AO50" s="122">
        <f t="shared" si="6"/>
        <v>-1.2545199999999257E-3</v>
      </c>
      <c r="AP50" s="122">
        <f t="shared" si="7"/>
        <v>-1.4518199999999926E-3</v>
      </c>
      <c r="AQ50" s="88">
        <f t="shared" si="8"/>
        <v>1.203895E-3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36.809463999999998</v>
      </c>
      <c r="Y51" s="190">
        <v>40.865279000000001</v>
      </c>
      <c r="Z51" s="190">
        <v>0.99230169999999995</v>
      </c>
      <c r="AA51" s="62">
        <v>0.99411746000000001</v>
      </c>
      <c r="AB51" s="62">
        <v>1.7024386999999998E-2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-1.5582800000000034</v>
      </c>
      <c r="AN51" s="122">
        <f t="shared" si="5"/>
        <v>-1.8570789999999988</v>
      </c>
      <c r="AO51" s="122">
        <f t="shared" si="6"/>
        <v>-9.1253000000002249E-4</v>
      </c>
      <c r="AP51" s="122">
        <f t="shared" si="7"/>
        <v>-1.3688299999999876E-3</v>
      </c>
      <c r="AQ51" s="88">
        <f t="shared" si="8"/>
        <v>8.9394299999999774E-4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29.517996</v>
      </c>
      <c r="Y53" s="97">
        <v>33.155135999999999</v>
      </c>
      <c r="Z53" s="97">
        <v>0.96206594999999995</v>
      </c>
      <c r="AA53" s="60">
        <v>0.96987743000000004</v>
      </c>
      <c r="AB53" s="60">
        <v>6.5900710000000001E-2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-4.0529999999989741E-3</v>
      </c>
      <c r="AN53" s="96">
        <f t="shared" si="5"/>
        <v>5.9709999999995489E-2</v>
      </c>
      <c r="AO53" s="96">
        <f t="shared" si="6"/>
        <v>-3.1092000000010334E-4</v>
      </c>
      <c r="AP53" s="96">
        <f t="shared" si="7"/>
        <v>5.1109000000004734E-4</v>
      </c>
      <c r="AQ53" s="121">
        <f t="shared" si="8"/>
        <v>-7.3064999999999936E-4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32.042766</v>
      </c>
      <c r="Y54" s="190">
        <v>35.588397000000001</v>
      </c>
      <c r="Z54" s="190">
        <v>0.97554143000000004</v>
      </c>
      <c r="AA54" s="62">
        <v>0.98049209000000004</v>
      </c>
      <c r="AB54" s="62">
        <v>4.5611306999999997E-2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-0.41590099999999808</v>
      </c>
      <c r="AN54" s="122">
        <f t="shared" si="5"/>
        <v>-0.3965209999999999</v>
      </c>
      <c r="AO54" s="122">
        <f t="shared" si="6"/>
        <v>-1.3565099999999219E-3</v>
      </c>
      <c r="AP54" s="122">
        <f t="shared" si="7"/>
        <v>-1.2643399999999749E-3</v>
      </c>
      <c r="AQ54" s="88">
        <f t="shared" si="8"/>
        <v>1.1782789999999974E-3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34.816349000000002</v>
      </c>
      <c r="Y55" s="190">
        <v>38.730527000000002</v>
      </c>
      <c r="Z55" s="190">
        <v>0.98656708000000004</v>
      </c>
      <c r="AA55" s="62">
        <v>0.98975013000000001</v>
      </c>
      <c r="AB55" s="62">
        <v>3.0396329999999999E-2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-0.86341699999999832</v>
      </c>
      <c r="AN55" s="122">
        <f t="shared" si="5"/>
        <v>-1.0329419999999985</v>
      </c>
      <c r="AO55" s="122">
        <f t="shared" si="6"/>
        <v>-1.2089799999999151E-3</v>
      </c>
      <c r="AP55" s="122">
        <f t="shared" si="7"/>
        <v>-1.4066699999999432E-3</v>
      </c>
      <c r="AQ55" s="88">
        <f t="shared" si="8"/>
        <v>1.8615019999999975E-3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37.103614</v>
      </c>
      <c r="Y56" s="190">
        <v>41.084246999999998</v>
      </c>
      <c r="Z56" s="190">
        <v>0.99225057000000005</v>
      </c>
      <c r="AA56" s="62">
        <v>0.99403023999999995</v>
      </c>
      <c r="AB56" s="62">
        <v>1.6491546999999999E-2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-1.4938909999999979</v>
      </c>
      <c r="AN56" s="122">
        <f t="shared" si="5"/>
        <v>-1.7409800000000004</v>
      </c>
      <c r="AO56" s="122">
        <f t="shared" si="6"/>
        <v>-8.9408999999995853E-4</v>
      </c>
      <c r="AP56" s="122">
        <f t="shared" si="7"/>
        <v>-1.3378500000000848E-3</v>
      </c>
      <c r="AQ56" s="88">
        <f t="shared" si="8"/>
        <v>1.4927459999999979E-3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29.664936999999998</v>
      </c>
      <c r="Y58" s="97">
        <v>33.308855999999999</v>
      </c>
      <c r="Z58" s="97">
        <v>0.96148102999999996</v>
      </c>
      <c r="AA58" s="60">
        <v>0.97008601000000005</v>
      </c>
      <c r="AB58" s="60">
        <v>6.6656549999999995E-2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-1.739300000000199E-2</v>
      </c>
      <c r="AN58" s="96">
        <f t="shared" si="5"/>
        <v>5.0747000000001208E-2</v>
      </c>
      <c r="AO58" s="96">
        <f t="shared" si="6"/>
        <v>-3.4906000000001214E-4</v>
      </c>
      <c r="AP58" s="96">
        <f t="shared" si="7"/>
        <v>4.7870000000005408E-4</v>
      </c>
      <c r="AQ58" s="121">
        <f t="shared" si="8"/>
        <v>-6.7585000000000561E-4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32.129452000000001</v>
      </c>
      <c r="Y59" s="190">
        <v>35.663260000000001</v>
      </c>
      <c r="Z59" s="190">
        <v>0.97519584000000004</v>
      </c>
      <c r="AA59" s="62">
        <v>0.98056076000000003</v>
      </c>
      <c r="AB59" s="62">
        <v>4.6475700000000002E-2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-0.4563399999999973</v>
      </c>
      <c r="AN59" s="122">
        <f t="shared" si="5"/>
        <v>-0.43409599999999671</v>
      </c>
      <c r="AO59" s="122">
        <f t="shared" si="6"/>
        <v>-1.4570799999999995E-3</v>
      </c>
      <c r="AP59" s="122">
        <f t="shared" si="7"/>
        <v>-1.3337500000000224E-3</v>
      </c>
      <c r="AQ59" s="88">
        <f t="shared" si="8"/>
        <v>1.472614000000004E-3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34.953479999999999</v>
      </c>
      <c r="Y60" s="190">
        <v>38.78172</v>
      </c>
      <c r="Z60" s="190">
        <v>0.98654374</v>
      </c>
      <c r="AA60" s="62">
        <v>0.98970972999999995</v>
      </c>
      <c r="AB60" s="62">
        <v>3.0436879E-2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-0.88617800000000102</v>
      </c>
      <c r="AN60" s="122">
        <f t="shared" si="5"/>
        <v>-1.0498890000000003</v>
      </c>
      <c r="AO60" s="122">
        <f t="shared" si="6"/>
        <v>-1.2448400000000248E-3</v>
      </c>
      <c r="AP60" s="122">
        <f t="shared" si="7"/>
        <v>-1.4415300000000242E-3</v>
      </c>
      <c r="AQ60" s="88">
        <f t="shared" si="8"/>
        <v>2.0302440000000005E-3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37.452950000000001</v>
      </c>
      <c r="Y61" s="190">
        <v>41.303370999999999</v>
      </c>
      <c r="Z61" s="190">
        <v>0.99226723999999999</v>
      </c>
      <c r="AA61" s="62">
        <v>0.99390193000000004</v>
      </c>
      <c r="AB61" s="62">
        <v>1.5984766000000001E-2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-1.5548140000000004</v>
      </c>
      <c r="AN61" s="122">
        <f t="shared" si="5"/>
        <v>-1.821823000000002</v>
      </c>
      <c r="AO61" s="122">
        <f t="shared" si="6"/>
        <v>-9.1162000000000187E-4</v>
      </c>
      <c r="AP61" s="122">
        <f t="shared" si="7"/>
        <v>-1.4219399999999549E-3</v>
      </c>
      <c r="AQ61" s="88">
        <f t="shared" si="8"/>
        <v>1.6639150000000002E-3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29.947751</v>
      </c>
      <c r="Y63" s="97">
        <v>33.679577999999999</v>
      </c>
      <c r="Z63" s="97">
        <v>0.96052654000000004</v>
      </c>
      <c r="AA63" s="60">
        <v>0.97064150000000005</v>
      </c>
      <c r="AB63" s="60">
        <v>6.5675360000000002E-2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-4.9261999999998807E-2</v>
      </c>
      <c r="AN63" s="96">
        <f t="shared" si="5"/>
        <v>1.9095999999997559E-2</v>
      </c>
      <c r="AO63" s="96">
        <f t="shared" si="6"/>
        <v>-6.2047999999992332E-4</v>
      </c>
      <c r="AP63" s="96">
        <f t="shared" si="7"/>
        <v>2.918200000000537E-4</v>
      </c>
      <c r="AQ63" s="121">
        <f t="shared" si="8"/>
        <v>-1.7101599999999606E-4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32.629587999999998</v>
      </c>
      <c r="Y64" s="190">
        <v>36.128802</v>
      </c>
      <c r="Z64" s="190">
        <v>0.97498901999999998</v>
      </c>
      <c r="AA64" s="62">
        <v>0.98088067999999995</v>
      </c>
      <c r="AB64" s="62">
        <v>4.3845439999999999E-2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-0.51807200000000364</v>
      </c>
      <c r="AN64" s="122">
        <f t="shared" si="5"/>
        <v>-0.43644499999999908</v>
      </c>
      <c r="AO64" s="122">
        <f t="shared" si="6"/>
        <v>-1.6148599999999957E-3</v>
      </c>
      <c r="AP64" s="122">
        <f t="shared" si="7"/>
        <v>-1.3435500000000822E-3</v>
      </c>
      <c r="AQ64" s="88">
        <f t="shared" si="8"/>
        <v>1.8492179999999997E-3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35.462347000000001</v>
      </c>
      <c r="Y65" s="190">
        <v>39.165368999999998</v>
      </c>
      <c r="Z65" s="190">
        <v>0.98664896999999996</v>
      </c>
      <c r="AA65" s="62">
        <v>0.98981554000000005</v>
      </c>
      <c r="AB65" s="62">
        <v>2.8774932E-2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-0.92916100000000057</v>
      </c>
      <c r="AN65" s="122">
        <f t="shared" si="5"/>
        <v>-1.0868400000000022</v>
      </c>
      <c r="AO65" s="122">
        <f t="shared" si="6"/>
        <v>-1.3310200000000716E-3</v>
      </c>
      <c r="AP65" s="122">
        <f t="shared" si="7"/>
        <v>-1.5140799999999732E-3</v>
      </c>
      <c r="AQ65" s="88">
        <f t="shared" si="8"/>
        <v>1.8536039999999983E-3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38.045777999999999</v>
      </c>
      <c r="Y66" s="190">
        <v>41.709190999999997</v>
      </c>
      <c r="Z66" s="190">
        <v>0.99234456999999998</v>
      </c>
      <c r="AA66" s="62">
        <v>0.99391154999999998</v>
      </c>
      <c r="AB66" s="62">
        <v>1.4612903999999999E-2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-1.6419229999999985</v>
      </c>
      <c r="AN66" s="122">
        <f t="shared" si="5"/>
        <v>-1.8798510000000022</v>
      </c>
      <c r="AO66" s="122">
        <f t="shared" si="6"/>
        <v>-9.7577000000004244E-4</v>
      </c>
      <c r="AP66" s="122">
        <f t="shared" si="7"/>
        <v>-1.6406500000000213E-3</v>
      </c>
      <c r="AQ66" s="88">
        <f t="shared" si="8"/>
        <v>1.4924479999999987E-3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28.916557000000001</v>
      </c>
      <c r="Y68" s="97">
        <v>32.462795</v>
      </c>
      <c r="Z68" s="97">
        <v>0.96133287000000001</v>
      </c>
      <c r="AA68" s="60">
        <v>0.96866554000000005</v>
      </c>
      <c r="AB68" s="60">
        <v>7.1720580000000006E-2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-6.8023000000000167E-2</v>
      </c>
      <c r="AN68" s="96">
        <f t="shared" si="5"/>
        <v>4.0109999999984325E-3</v>
      </c>
      <c r="AO68" s="96">
        <f t="shared" si="6"/>
        <v>-9.5511000000003676E-4</v>
      </c>
      <c r="AP68" s="96">
        <f t="shared" si="7"/>
        <v>4.9132000000007281E-4</v>
      </c>
      <c r="AQ68" s="121">
        <f t="shared" si="8"/>
        <v>3.5353999999999941E-4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31.557058999999999</v>
      </c>
      <c r="Y69" s="190">
        <v>35.124465999999998</v>
      </c>
      <c r="Z69" s="190">
        <v>0.97549967000000004</v>
      </c>
      <c r="AA69" s="62">
        <v>0.98052514999999996</v>
      </c>
      <c r="AB69" s="62">
        <v>4.9241930000000003E-2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-0.42167500000000047</v>
      </c>
      <c r="AN69" s="122">
        <f t="shared" si="5"/>
        <v>-0.43648800000000421</v>
      </c>
      <c r="AO69" s="122">
        <f t="shared" si="6"/>
        <v>-2.0068099999999145E-3</v>
      </c>
      <c r="AP69" s="122">
        <f t="shared" si="7"/>
        <v>-1.2448600000000143E-3</v>
      </c>
      <c r="AQ69" s="88">
        <f t="shared" si="8"/>
        <v>2.3755400000000024E-3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34.056178000000003</v>
      </c>
      <c r="Y70" s="190">
        <v>38.205607999999998</v>
      </c>
      <c r="Z70" s="190">
        <v>0.98694778000000005</v>
      </c>
      <c r="AA70" s="62">
        <v>0.99005761000000003</v>
      </c>
      <c r="AB70" s="62">
        <v>3.3727106E-2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-1.026059999999994</v>
      </c>
      <c r="AN70" s="122">
        <f t="shared" si="5"/>
        <v>-1.2305850000000049</v>
      </c>
      <c r="AO70" s="122">
        <f t="shared" si="6"/>
        <v>-1.6175499999999676E-3</v>
      </c>
      <c r="AP70" s="122">
        <f t="shared" si="7"/>
        <v>-1.7566999999999444E-3</v>
      </c>
      <c r="AQ70" s="88">
        <f t="shared" si="8"/>
        <v>3.6811859999999995E-3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36.028934999999997</v>
      </c>
      <c r="Y71" s="190">
        <v>40.319800999999998</v>
      </c>
      <c r="Z71" s="190">
        <v>0.99231469000000005</v>
      </c>
      <c r="AA71" s="62">
        <v>0.99421457999999996</v>
      </c>
      <c r="AB71" s="62">
        <v>2.0517338E-2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-1.5141000000000062</v>
      </c>
      <c r="AN71" s="122">
        <f t="shared" si="5"/>
        <v>-1.6634710000000013</v>
      </c>
      <c r="AO71" s="122">
        <f t="shared" si="6"/>
        <v>-1.0599599999999709E-3</v>
      </c>
      <c r="AP71" s="122">
        <f t="shared" si="7"/>
        <v>-1.4305700000000199E-3</v>
      </c>
      <c r="AQ71" s="88">
        <f t="shared" si="8"/>
        <v>2.9352900000000001E-3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29.525092000000001</v>
      </c>
      <c r="Y73" s="97">
        <v>33.283078000000003</v>
      </c>
      <c r="Z73" s="97">
        <v>0.96353432999999999</v>
      </c>
      <c r="AA73" s="60">
        <v>0.96903141000000004</v>
      </c>
      <c r="AB73" s="60">
        <v>6.3757140000000004E-2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-1.8810000000009097E-3</v>
      </c>
      <c r="AN73" s="96">
        <f t="shared" si="5"/>
        <v>1.6896000000002687E-2</v>
      </c>
      <c r="AO73" s="96">
        <f t="shared" si="6"/>
        <v>-6.3509000000006033E-4</v>
      </c>
      <c r="AP73" s="96">
        <f t="shared" si="7"/>
        <v>2.4388000000008514E-4</v>
      </c>
      <c r="AQ73" s="121">
        <f t="shared" si="8"/>
        <v>-2.4994999999999878E-4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31.829868999999999</v>
      </c>
      <c r="Y74" s="190">
        <v>35.563488</v>
      </c>
      <c r="Z74" s="190">
        <v>0.97636710000000004</v>
      </c>
      <c r="AA74" s="62">
        <v>0.98042286000000001</v>
      </c>
      <c r="AB74" s="62">
        <v>4.4600359999999999E-2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-0.45313400000000215</v>
      </c>
      <c r="AN74" s="122">
        <f t="shared" si="5"/>
        <v>-0.44753599999999949</v>
      </c>
      <c r="AO74" s="122">
        <f t="shared" si="6"/>
        <v>-1.746660000000011E-3</v>
      </c>
      <c r="AP74" s="122">
        <f t="shared" si="7"/>
        <v>-1.2044399999999733E-3</v>
      </c>
      <c r="AQ74" s="88">
        <f t="shared" si="8"/>
        <v>2.3208559999999961E-3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34.895874999999997</v>
      </c>
      <c r="Y75" s="190">
        <v>38.818461999999997</v>
      </c>
      <c r="Z75" s="190">
        <v>0.98695814999999998</v>
      </c>
      <c r="AA75" s="62">
        <v>0.98978500999999997</v>
      </c>
      <c r="AB75" s="62">
        <v>2.8300991000000001E-2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-1.0824620000000067</v>
      </c>
      <c r="AN75" s="122">
        <f t="shared" si="5"/>
        <v>-1.2458010000000002</v>
      </c>
      <c r="AO75" s="122">
        <f t="shared" si="6"/>
        <v>-1.4769900000000113E-3</v>
      </c>
      <c r="AP75" s="122">
        <f t="shared" si="7"/>
        <v>-1.7779300000000386E-3</v>
      </c>
      <c r="AQ75" s="88">
        <f t="shared" si="8"/>
        <v>2.7867459999999997E-3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36.348264</v>
      </c>
      <c r="Y76" s="190">
        <v>40.564228999999997</v>
      </c>
      <c r="Z76" s="190">
        <v>0.99236020999999996</v>
      </c>
      <c r="AA76" s="62">
        <v>0.99412650999999996</v>
      </c>
      <c r="AB76" s="62">
        <v>1.8883207999999999E-2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-1.5547290000000018</v>
      </c>
      <c r="AN76" s="122">
        <f t="shared" si="5"/>
        <v>-1.7243540000000053</v>
      </c>
      <c r="AO76" s="122">
        <f t="shared" si="6"/>
        <v>-9.9693000000000698E-4</v>
      </c>
      <c r="AP76" s="122">
        <f t="shared" si="7"/>
        <v>-1.5018800000000665E-3</v>
      </c>
      <c r="AQ76" s="88">
        <f t="shared" si="8"/>
        <v>2.3204129999999969E-3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29.685058000000001</v>
      </c>
      <c r="Y78" s="97">
        <v>33.396473</v>
      </c>
      <c r="Z78" s="97">
        <v>0.96537919000000005</v>
      </c>
      <c r="AA78" s="60">
        <v>0.97066996000000005</v>
      </c>
      <c r="AB78" s="60">
        <v>6.6016630000000007E-2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4.830700000000121E-2</v>
      </c>
      <c r="AN78" s="96">
        <f t="shared" si="5"/>
        <v>5.7555999999998164E-2</v>
      </c>
      <c r="AO78" s="96">
        <f t="shared" si="6"/>
        <v>-3.6903999999993164E-4</v>
      </c>
      <c r="AP78" s="96">
        <f t="shared" si="7"/>
        <v>5.9558000000003997E-4</v>
      </c>
      <c r="AQ78" s="121">
        <f t="shared" si="8"/>
        <v>-4.5650399999999647E-4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31.833839000000001</v>
      </c>
      <c r="Y79" s="190">
        <v>35.655101000000002</v>
      </c>
      <c r="Z79" s="190">
        <v>0.97722955</v>
      </c>
      <c r="AA79" s="62">
        <v>0.98104727000000003</v>
      </c>
      <c r="AB79" s="62">
        <v>4.6147034000000003E-2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-0.4071499999999979</v>
      </c>
      <c r="AN79" s="122">
        <f t="shared" si="5"/>
        <v>-0.39954300000000131</v>
      </c>
      <c r="AO79" s="122">
        <f t="shared" si="6"/>
        <v>-1.4604000000000283E-3</v>
      </c>
      <c r="AP79" s="122">
        <f t="shared" si="7"/>
        <v>-1.1762499999999898E-3</v>
      </c>
      <c r="AQ79" s="88">
        <f t="shared" si="8"/>
        <v>1.9260340000000001E-3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34.580210999999998</v>
      </c>
      <c r="Y80" s="190">
        <v>38.683534999999999</v>
      </c>
      <c r="Z80" s="190">
        <v>0.98725613000000001</v>
      </c>
      <c r="AA80" s="62">
        <v>0.99022688000000003</v>
      </c>
      <c r="AB80" s="62">
        <v>3.0644014000000001E-2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-0.98096100000000064</v>
      </c>
      <c r="AN80" s="122">
        <f t="shared" si="5"/>
        <v>-1.1855580000000003</v>
      </c>
      <c r="AO80" s="122">
        <f t="shared" si="6"/>
        <v>-1.263290000000028E-3</v>
      </c>
      <c r="AP80" s="122">
        <f t="shared" si="7"/>
        <v>-1.5105300000000099E-3</v>
      </c>
      <c r="AQ80" s="88">
        <f t="shared" si="8"/>
        <v>1.6090529999999992E-3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36.698773000000003</v>
      </c>
      <c r="Y81" s="190">
        <v>40.842540999999997</v>
      </c>
      <c r="Z81" s="190">
        <v>0.99254010000000004</v>
      </c>
      <c r="AA81" s="62">
        <v>0.99432558999999998</v>
      </c>
      <c r="AB81" s="62">
        <v>1.7336939999999999E-2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-1.618748999999994</v>
      </c>
      <c r="AN81" s="122">
        <f t="shared" si="5"/>
        <v>-1.8631790000000024</v>
      </c>
      <c r="AO81" s="122">
        <f t="shared" si="6"/>
        <v>-8.6096999999996093E-4</v>
      </c>
      <c r="AP81" s="122">
        <f t="shared" si="7"/>
        <v>-1.3430899999999912E-3</v>
      </c>
      <c r="AQ81" s="88">
        <f t="shared" si="8"/>
        <v>1.2174019999999994E-3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30.423514000000001</v>
      </c>
      <c r="Y83" s="97">
        <v>33.784835999999999</v>
      </c>
      <c r="Z83" s="97">
        <v>0.96622925000000004</v>
      </c>
      <c r="AA83" s="60">
        <v>0.97244273999999997</v>
      </c>
      <c r="AB83" s="60">
        <v>6.1324768000000002E-2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7.6847000000000776E-2</v>
      </c>
      <c r="AN83" s="96">
        <f t="shared" si="5"/>
        <v>8.6025999999996827E-2</v>
      </c>
      <c r="AO83" s="96">
        <f t="shared" si="6"/>
        <v>-3.6479000000000372E-4</v>
      </c>
      <c r="AP83" s="96">
        <f t="shared" si="7"/>
        <v>4.4062000000000268E-4</v>
      </c>
      <c r="AQ83" s="121">
        <f t="shared" si="8"/>
        <v>-3.85514999999996E-4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32.869531000000002</v>
      </c>
      <c r="Y84" s="190">
        <v>36.325682</v>
      </c>
      <c r="Z84" s="190">
        <v>0.97783399000000004</v>
      </c>
      <c r="AA84" s="62">
        <v>0.98272362000000002</v>
      </c>
      <c r="AB84" s="62">
        <v>4.2243193999999998E-2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-0.32842999999999734</v>
      </c>
      <c r="AN84" s="122">
        <f t="shared" si="5"/>
        <v>-0.31706499999999949</v>
      </c>
      <c r="AO84" s="122">
        <f t="shared" si="6"/>
        <v>-1.3366499999999393E-3</v>
      </c>
      <c r="AP84" s="122">
        <f t="shared" si="7"/>
        <v>-9.0099999999992963E-4</v>
      </c>
      <c r="AQ84" s="88">
        <f t="shared" si="8"/>
        <v>1.6057339999999976E-3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35.545189000000001</v>
      </c>
      <c r="Y85" s="190">
        <v>39.459102999999999</v>
      </c>
      <c r="Z85" s="190">
        <v>0.98724257000000004</v>
      </c>
      <c r="AA85" s="62">
        <v>0.99053097000000001</v>
      </c>
      <c r="AB85" s="62">
        <v>2.738836E-2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-0.77803600000000017</v>
      </c>
      <c r="AN85" s="122">
        <f t="shared" si="5"/>
        <v>-1.0019440000000017</v>
      </c>
      <c r="AO85" s="122">
        <f t="shared" si="6"/>
        <v>-1.1253999999999431E-3</v>
      </c>
      <c r="AP85" s="122">
        <f t="shared" si="7"/>
        <v>-1.3469499999999579E-3</v>
      </c>
      <c r="AQ85" s="88">
        <f t="shared" si="8"/>
        <v>1.4043819999999992E-3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37.250585000000001</v>
      </c>
      <c r="Y86" s="190">
        <v>41.329856999999997</v>
      </c>
      <c r="Z86" s="190">
        <v>0.99247015000000005</v>
      </c>
      <c r="AA86" s="62">
        <v>0.99449863000000005</v>
      </c>
      <c r="AB86" s="62">
        <v>1.6137782E-2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-1.3540729999999996</v>
      </c>
      <c r="AN86" s="122">
        <f t="shared" si="5"/>
        <v>-1.6572120000000012</v>
      </c>
      <c r="AO86" s="122">
        <f t="shared" si="6"/>
        <v>-7.8740999999993289E-4</v>
      </c>
      <c r="AP86" s="122">
        <f t="shared" si="7"/>
        <v>-1.0935999999999169E-3</v>
      </c>
      <c r="AQ86" s="88">
        <f t="shared" si="8"/>
        <v>8.6953300000000046E-4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30.373069000000001</v>
      </c>
      <c r="Y88" s="97">
        <v>33.940705000000001</v>
      </c>
      <c r="Z88" s="97">
        <v>0.96681550000000005</v>
      </c>
      <c r="AA88" s="60">
        <v>0.97273136999999998</v>
      </c>
      <c r="AB88" s="60">
        <v>6.0064766999999998E-2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4.229400000000183E-2</v>
      </c>
      <c r="AN88" s="96">
        <f t="shared" si="5"/>
        <v>5.179199999999895E-2</v>
      </c>
      <c r="AO88" s="96">
        <f t="shared" si="6"/>
        <v>-3.7033999999991352E-4</v>
      </c>
      <c r="AP88" s="96">
        <f t="shared" si="7"/>
        <v>3.9533000000002705E-4</v>
      </c>
      <c r="AQ88" s="121">
        <f t="shared" si="8"/>
        <v>-2.0512900000000528E-4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33.094731000000003</v>
      </c>
      <c r="Y89" s="190">
        <v>36.500656999999997</v>
      </c>
      <c r="Z89" s="190">
        <v>0.97837061000000003</v>
      </c>
      <c r="AA89" s="62">
        <v>0.98345053000000004</v>
      </c>
      <c r="AB89" s="62">
        <v>4.1442513E-2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-0.3625769999999946</v>
      </c>
      <c r="AN89" s="122">
        <f t="shared" si="5"/>
        <v>-0.37991600000000147</v>
      </c>
      <c r="AO89" s="122">
        <f t="shared" si="6"/>
        <v>-1.3147799999999599E-3</v>
      </c>
      <c r="AP89" s="122">
        <f t="shared" si="7"/>
        <v>-9.1504999999991732E-4</v>
      </c>
      <c r="AQ89" s="88">
        <f t="shared" si="8"/>
        <v>2.0014189999999973E-3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35.929277999999996</v>
      </c>
      <c r="Y90" s="190">
        <v>39.777425000000001</v>
      </c>
      <c r="Z90" s="190">
        <v>0.98753816999999999</v>
      </c>
      <c r="AA90" s="62">
        <v>0.99095389</v>
      </c>
      <c r="AB90" s="62">
        <v>2.6808954999999999E-2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-0.82396600000000575</v>
      </c>
      <c r="AN90" s="122">
        <f t="shared" si="5"/>
        <v>-0.9715009999999964</v>
      </c>
      <c r="AO90" s="122">
        <f t="shared" si="6"/>
        <v>-1.0892000000000124E-3</v>
      </c>
      <c r="AP90" s="122">
        <f t="shared" si="7"/>
        <v>-9.7698000000001617E-4</v>
      </c>
      <c r="AQ90" s="88">
        <f t="shared" si="8"/>
        <v>2.3557249999999995E-3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37.816870000000002</v>
      </c>
      <c r="Y91" s="190">
        <v>41.843687000000003</v>
      </c>
      <c r="Z91" s="190">
        <v>0.99270440999999998</v>
      </c>
      <c r="AA91" s="62">
        <v>0.99449398</v>
      </c>
      <c r="AB91" s="62">
        <v>1.5655816999999999E-2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-1.4046579999999977</v>
      </c>
      <c r="AN91" s="122">
        <f t="shared" si="5"/>
        <v>-1.6475079999999949</v>
      </c>
      <c r="AO91" s="122">
        <f t="shared" si="6"/>
        <v>-7.7990000000005555E-4</v>
      </c>
      <c r="AP91" s="122">
        <f t="shared" si="7"/>
        <v>-1.2306300000000103E-3</v>
      </c>
      <c r="AQ91" s="88">
        <f t="shared" si="8"/>
        <v>1.9185629999999981E-3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30.382852</v>
      </c>
      <c r="Y93" s="97">
        <v>34.101717000000001</v>
      </c>
      <c r="Z93" s="97">
        <v>0.96684166000000005</v>
      </c>
      <c r="AA93" s="60">
        <v>0.97288527999999996</v>
      </c>
      <c r="AB93" s="60">
        <v>6.1076223999999998E-2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-2.0535999999999888E-2</v>
      </c>
      <c r="AN93" s="96">
        <f t="shared" si="5"/>
        <v>-1.2225000000000819E-2</v>
      </c>
      <c r="AO93" s="96">
        <f t="shared" si="6"/>
        <v>-4.161999999999777E-4</v>
      </c>
      <c r="AP93" s="96">
        <f t="shared" si="7"/>
        <v>1.4659999999944162E-5</v>
      </c>
      <c r="AQ93" s="121">
        <f t="shared" si="8"/>
        <v>-6.5584000000000475E-5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33.017676000000002</v>
      </c>
      <c r="Y94" s="190">
        <v>36.626593999999997</v>
      </c>
      <c r="Z94" s="190">
        <v>0.97846860000000002</v>
      </c>
      <c r="AA94" s="62">
        <v>0.98364434999999995</v>
      </c>
      <c r="AB94" s="62">
        <v>4.2728268E-2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-0.41896500000000003</v>
      </c>
      <c r="AN94" s="122">
        <f t="shared" si="5"/>
        <v>-0.44309200000000004</v>
      </c>
      <c r="AO94" s="122">
        <f t="shared" si="6"/>
        <v>-1.375039999999994E-3</v>
      </c>
      <c r="AP94" s="122">
        <f t="shared" si="7"/>
        <v>-1.0580800000000723E-3</v>
      </c>
      <c r="AQ94" s="88">
        <f t="shared" si="8"/>
        <v>2.1141209999999966E-3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35.968761999999998</v>
      </c>
      <c r="Y95" s="190">
        <v>39.777492000000002</v>
      </c>
      <c r="Z95" s="190">
        <v>0.98765301000000005</v>
      </c>
      <c r="AA95" s="62">
        <v>0.99090767000000002</v>
      </c>
      <c r="AB95" s="62">
        <v>2.7367331000000002E-2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-0.82140000000000413</v>
      </c>
      <c r="AN95" s="122">
        <f t="shared" si="5"/>
        <v>-0.93616499999999547</v>
      </c>
      <c r="AO95" s="122">
        <f t="shared" si="6"/>
        <v>-1.1294699999999658E-3</v>
      </c>
      <c r="AP95" s="122">
        <f t="shared" si="7"/>
        <v>-1.2639799999999424E-3</v>
      </c>
      <c r="AQ95" s="88">
        <f t="shared" si="8"/>
        <v>2.6608090000000001E-3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38.236082000000003</v>
      </c>
      <c r="Y96" s="190">
        <v>42.153441000000001</v>
      </c>
      <c r="Z96" s="190">
        <v>0.99280327000000002</v>
      </c>
      <c r="AA96" s="62">
        <v>0.99477333999999995</v>
      </c>
      <c r="AB96" s="62">
        <v>1.5400749E-2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-1.4735589999999945</v>
      </c>
      <c r="AN96" s="122">
        <f t="shared" si="5"/>
        <v>-1.7394820000000024</v>
      </c>
      <c r="AO96" s="122">
        <f t="shared" si="6"/>
        <v>-7.6659999999995065E-4</v>
      </c>
      <c r="AP96" s="122">
        <f t="shared" si="7"/>
        <v>-9.3691000000006852E-4</v>
      </c>
      <c r="AQ96" s="88">
        <f t="shared" si="8"/>
        <v>2.1403399999999993E-3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30.807870999999999</v>
      </c>
      <c r="Y98" s="97">
        <v>34.683886999999999</v>
      </c>
      <c r="Z98" s="97">
        <v>0.96553644000000005</v>
      </c>
      <c r="AA98" s="60">
        <v>0.97335059000000002</v>
      </c>
      <c r="AB98" s="60">
        <v>5.919017E-2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-5.4641000000000162E-2</v>
      </c>
      <c r="AN98" s="96">
        <f t="shared" si="15"/>
        <v>-3.7027999999999395E-2</v>
      </c>
      <c r="AO98" s="96">
        <f t="shared" si="16"/>
        <v>-5.5403999999992237E-4</v>
      </c>
      <c r="AP98" s="96">
        <f t="shared" si="17"/>
        <v>1.7578000000006977E-4</v>
      </c>
      <c r="AQ98" s="121">
        <f t="shared" si="18"/>
        <v>1.2526000000000204E-4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33.623278999999997</v>
      </c>
      <c r="Y99" s="190">
        <v>37.185915999999999</v>
      </c>
      <c r="Z99" s="190">
        <v>0.97799049999999998</v>
      </c>
      <c r="AA99" s="62">
        <v>0.98368297000000005</v>
      </c>
      <c r="AB99" s="62">
        <v>4.0097319999999999E-2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-0.48578499999999991</v>
      </c>
      <c r="AN99" s="122">
        <f t="shared" si="15"/>
        <v>-0.45428000000000424</v>
      </c>
      <c r="AO99" s="122">
        <f t="shared" si="16"/>
        <v>-1.5399900000000466E-3</v>
      </c>
      <c r="AP99" s="122">
        <f t="shared" si="17"/>
        <v>-1.033309999999954E-3</v>
      </c>
      <c r="AQ99" s="88">
        <f t="shared" si="18"/>
        <v>2.2329030000000014E-3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36.478116</v>
      </c>
      <c r="Y100" s="190">
        <v>40.081318000000003</v>
      </c>
      <c r="Z100" s="190">
        <v>0.98763073000000001</v>
      </c>
      <c r="AA100" s="62">
        <v>0.99098202000000002</v>
      </c>
      <c r="AB100" s="62">
        <v>2.5730006E-2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-0.80082399999999865</v>
      </c>
      <c r="AN100" s="122">
        <f t="shared" si="15"/>
        <v>-0.91474199999999684</v>
      </c>
      <c r="AO100" s="122">
        <f t="shared" si="16"/>
        <v>-1.2086500000000333E-3</v>
      </c>
      <c r="AP100" s="122">
        <f t="shared" si="17"/>
        <v>-1.2899600000000344E-3</v>
      </c>
      <c r="AQ100" s="88">
        <f t="shared" si="18"/>
        <v>2.0147909999999984E-3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38.974277000000001</v>
      </c>
      <c r="Y101" s="190">
        <v>42.617570999999998</v>
      </c>
      <c r="Z101" s="190">
        <v>0.99282720000000002</v>
      </c>
      <c r="AA101" s="62">
        <v>0.99487979999999998</v>
      </c>
      <c r="AB101" s="62">
        <v>1.4101600000000001E-2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-1.4600799999999978</v>
      </c>
      <c r="AN101" s="122">
        <f t="shared" si="15"/>
        <v>-1.7303449999999998</v>
      </c>
      <c r="AO101" s="122">
        <f t="shared" si="16"/>
        <v>-8.1648999999994754E-4</v>
      </c>
      <c r="AP101" s="122">
        <f t="shared" si="17"/>
        <v>-9.7798999999998415E-4</v>
      </c>
      <c r="AQ101" s="88">
        <f t="shared" si="18"/>
        <v>1.6023590000000011E-3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30.588532000000001</v>
      </c>
      <c r="Y103" s="97">
        <v>34.302686999999999</v>
      </c>
      <c r="Z103" s="97">
        <v>0.96648676</v>
      </c>
      <c r="AA103" s="60">
        <v>0.97549147999999997</v>
      </c>
      <c r="AB103" s="60">
        <v>7.4276759999999997E-2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-0.13184700000000049</v>
      </c>
      <c r="AN103" s="96">
        <f t="shared" si="15"/>
        <v>6.6119999999969536E-3</v>
      </c>
      <c r="AO103" s="96">
        <f t="shared" si="16"/>
        <v>-1.0305000000000453E-3</v>
      </c>
      <c r="AP103" s="96">
        <f t="shared" si="17"/>
        <v>-2.6722000000001245E-4</v>
      </c>
      <c r="AQ103" s="121">
        <f t="shared" si="18"/>
        <v>1.4246099999999928E-3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33.022303000000001</v>
      </c>
      <c r="Y104" s="190">
        <v>36.519601000000002</v>
      </c>
      <c r="Z104" s="190">
        <v>0.97795752000000002</v>
      </c>
      <c r="AA104" s="62">
        <v>0.98435980000000001</v>
      </c>
      <c r="AB104" s="62">
        <v>5.1300480000000002E-2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-0.44770400000000166</v>
      </c>
      <c r="AN104" s="122">
        <f t="shared" si="15"/>
        <v>-0.38215100000000035</v>
      </c>
      <c r="AO104" s="122">
        <f t="shared" si="16"/>
        <v>-2.1060800000000102E-3</v>
      </c>
      <c r="AP104" s="122">
        <f t="shared" si="17"/>
        <v>-1.6377600000000436E-3</v>
      </c>
      <c r="AQ104" s="88">
        <f t="shared" si="18"/>
        <v>3.3644000000000035E-3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35.090767</v>
      </c>
      <c r="Y105" s="190">
        <v>39.109819000000002</v>
      </c>
      <c r="Z105" s="190">
        <v>0.98777773000000002</v>
      </c>
      <c r="AA105" s="62">
        <v>0.99138331000000002</v>
      </c>
      <c r="AB105" s="62">
        <v>3.5428189999999998E-2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-0.90854399999999913</v>
      </c>
      <c r="AN105" s="122">
        <f t="shared" si="15"/>
        <v>-1.0904370000000014</v>
      </c>
      <c r="AO105" s="122">
        <f t="shared" si="16"/>
        <v>-1.5473599999999976E-3</v>
      </c>
      <c r="AP105" s="122">
        <f t="shared" si="17"/>
        <v>-1.5222499999999473E-3</v>
      </c>
      <c r="AQ105" s="88">
        <f t="shared" si="18"/>
        <v>3.6561300000000005E-3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37.167102999999997</v>
      </c>
      <c r="Y106" s="190">
        <v>41.360225</v>
      </c>
      <c r="Z106" s="190">
        <v>0.99257673999999996</v>
      </c>
      <c r="AA106" s="62">
        <v>0.99489232000000005</v>
      </c>
      <c r="AB106" s="62">
        <v>2.2041934999999999E-2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-1.3683979999999991</v>
      </c>
      <c r="AN106" s="122">
        <f t="shared" si="15"/>
        <v>-1.5613749999999982</v>
      </c>
      <c r="AO106" s="122">
        <f t="shared" si="16"/>
        <v>-9.5096999999999543E-4</v>
      </c>
      <c r="AP106" s="122">
        <f t="shared" si="17"/>
        <v>-1.1522799999998945E-3</v>
      </c>
      <c r="AQ106" s="88">
        <f t="shared" si="18"/>
        <v>3.0104789999999999E-3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31.080414999999999</v>
      </c>
      <c r="Y108" s="97">
        <v>34.802399999999999</v>
      </c>
      <c r="Z108" s="97">
        <v>0.96876529</v>
      </c>
      <c r="AA108" s="60">
        <v>0.97706941000000003</v>
      </c>
      <c r="AB108" s="60">
        <v>6.5534376000000005E-2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-1.6853000000001117E-2</v>
      </c>
      <c r="AN108" s="96">
        <f t="shared" si="15"/>
        <v>7.3230999999999824E-2</v>
      </c>
      <c r="AO108" s="96">
        <f t="shared" si="16"/>
        <v>-6.7782000000005116E-4</v>
      </c>
      <c r="AP108" s="96">
        <f t="shared" si="17"/>
        <v>-2.9428999999991934E-4</v>
      </c>
      <c r="AQ108" s="121">
        <f t="shared" si="18"/>
        <v>9.9134600000000406E-4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33.493084000000003</v>
      </c>
      <c r="Y109" s="190">
        <v>36.983984999999997</v>
      </c>
      <c r="Z109" s="190">
        <v>0.97897884000000002</v>
      </c>
      <c r="AA109" s="62">
        <v>0.98501956999999996</v>
      </c>
      <c r="AB109" s="62">
        <v>4.622776E-2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-0.43340199999999385</v>
      </c>
      <c r="AN109" s="122">
        <f t="shared" si="15"/>
        <v>-0.33502800000000121</v>
      </c>
      <c r="AO109" s="122">
        <f t="shared" si="16"/>
        <v>-1.7678799999999439E-3</v>
      </c>
      <c r="AP109" s="122">
        <f t="shared" si="17"/>
        <v>-1.452300000000073E-3</v>
      </c>
      <c r="AQ109" s="88">
        <f t="shared" si="18"/>
        <v>3.0159120000000025E-3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36.207788999999998</v>
      </c>
      <c r="Y110" s="190">
        <v>39.960279</v>
      </c>
      <c r="Z110" s="190">
        <v>0.98780184999999998</v>
      </c>
      <c r="AA110" s="62">
        <v>0.99123844000000005</v>
      </c>
      <c r="AB110" s="62">
        <v>2.9365359000000001E-2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-1.0222249999999988</v>
      </c>
      <c r="AN110" s="122">
        <f t="shared" si="15"/>
        <v>-1.0684249999999977</v>
      </c>
      <c r="AO110" s="122">
        <f t="shared" si="16"/>
        <v>-1.448259999999979E-3</v>
      </c>
      <c r="AP110" s="122">
        <f t="shared" si="17"/>
        <v>-1.6700599999999177E-3</v>
      </c>
      <c r="AQ110" s="88">
        <f t="shared" si="18"/>
        <v>2.8634430000000002E-3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37.592309</v>
      </c>
      <c r="Y111" s="190">
        <v>41.688189999999999</v>
      </c>
      <c r="Z111" s="190">
        <v>0.99265683000000005</v>
      </c>
      <c r="AA111" s="62">
        <v>0.99499563000000002</v>
      </c>
      <c r="AB111" s="62">
        <v>2.0538879999999999E-2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-1.4358709999999988</v>
      </c>
      <c r="AN111" s="122">
        <f t="shared" si="15"/>
        <v>-1.6609770000000026</v>
      </c>
      <c r="AO111" s="122">
        <f t="shared" si="16"/>
        <v>-8.8239999999994989E-4</v>
      </c>
      <c r="AP111" s="122">
        <f t="shared" si="17"/>
        <v>-1.0271899999999556E-3</v>
      </c>
      <c r="AQ111" s="88">
        <f t="shared" si="18"/>
        <v>2.1928680000000006E-3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31.043006999999999</v>
      </c>
      <c r="Y113" s="97">
        <v>34.756667</v>
      </c>
      <c r="Z113" s="97">
        <v>0.96973434999999997</v>
      </c>
      <c r="AA113" s="60">
        <v>0.97806532999999996</v>
      </c>
      <c r="AB113" s="60">
        <v>6.7490086000000005E-2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-3.5405000000000797E-2</v>
      </c>
      <c r="AN113" s="96">
        <f t="shared" si="15"/>
        <v>5.4861000000002491E-2</v>
      </c>
      <c r="AO113" s="96">
        <f t="shared" si="16"/>
        <v>-4.9865000000004489E-4</v>
      </c>
      <c r="AP113" s="96">
        <f t="shared" si="17"/>
        <v>9.6539999999922799E-5</v>
      </c>
      <c r="AQ113" s="121">
        <f t="shared" si="18"/>
        <v>7.0094600000000784E-4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32.980449</v>
      </c>
      <c r="Y114" s="190">
        <v>36.785746000000003</v>
      </c>
      <c r="Z114" s="190">
        <v>0.97951712000000002</v>
      </c>
      <c r="AA114" s="62">
        <v>0.98520021999999996</v>
      </c>
      <c r="AB114" s="62">
        <v>5.0457202E-2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-0.44748799999999989</v>
      </c>
      <c r="AN114" s="122">
        <f t="shared" si="15"/>
        <v>-0.37322499999999792</v>
      </c>
      <c r="AO114" s="122">
        <f t="shared" si="16"/>
        <v>-1.5853200000000012E-3</v>
      </c>
      <c r="AP114" s="122">
        <f t="shared" si="17"/>
        <v>-1.2464600000000603E-3</v>
      </c>
      <c r="AQ114" s="88">
        <f t="shared" si="18"/>
        <v>2.7597850000000007E-3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35.365389</v>
      </c>
      <c r="Y115" s="190">
        <v>39.409925000000001</v>
      </c>
      <c r="Z115" s="190">
        <v>0.98783325</v>
      </c>
      <c r="AA115" s="62">
        <v>0.99150932999999997</v>
      </c>
      <c r="AB115" s="62">
        <v>3.2399195999999998E-2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-0.99337599999999782</v>
      </c>
      <c r="AN115" s="122">
        <f t="shared" si="15"/>
        <v>-1.1000569999999996</v>
      </c>
      <c r="AO115" s="122">
        <f t="shared" si="16"/>
        <v>-1.3565899999999909E-3</v>
      </c>
      <c r="AP115" s="122">
        <f t="shared" si="17"/>
        <v>-1.3183800000000634E-3</v>
      </c>
      <c r="AQ115" s="88">
        <f t="shared" si="18"/>
        <v>1.7615149999999982E-3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37.652186999999998</v>
      </c>
      <c r="Y116" s="190">
        <v>41.709944999999998</v>
      </c>
      <c r="Z116" s="190">
        <v>0.99270232999999997</v>
      </c>
      <c r="AA116" s="62">
        <v>0.99511263999999999</v>
      </c>
      <c r="AB116" s="62">
        <v>1.7870226999999999E-2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-1.6367440000000002</v>
      </c>
      <c r="AN116" s="122">
        <f t="shared" si="15"/>
        <v>-1.8123800000000045</v>
      </c>
      <c r="AO116" s="122">
        <f t="shared" si="16"/>
        <v>-8.2004000000002186E-4</v>
      </c>
      <c r="AP116" s="122">
        <f t="shared" si="17"/>
        <v>-1.0095799999999544E-3</v>
      </c>
      <c r="AQ116" s="88">
        <f t="shared" si="18"/>
        <v>1.1525340000000002E-3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31.917483000000001</v>
      </c>
      <c r="Y118" s="97">
        <v>35.388784000000001</v>
      </c>
      <c r="Z118" s="97">
        <v>0.97087628999999998</v>
      </c>
      <c r="AA118" s="60">
        <v>0.97992044</v>
      </c>
      <c r="AB118" s="60">
        <v>6.0845375E-2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2.9132000000000602E-2</v>
      </c>
      <c r="AN118" s="96">
        <f t="shared" si="15"/>
        <v>9.2865000000003306E-2</v>
      </c>
      <c r="AO118" s="96">
        <f t="shared" si="16"/>
        <v>-4.9797000000006975E-4</v>
      </c>
      <c r="AP118" s="96">
        <f t="shared" si="17"/>
        <v>2.7259000000001699E-4</v>
      </c>
      <c r="AQ118" s="121">
        <f t="shared" si="18"/>
        <v>5.2061500000000205E-4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33.560077</v>
      </c>
      <c r="Y119" s="190">
        <v>37.170383999999999</v>
      </c>
      <c r="Z119" s="190">
        <v>0.97981905000000002</v>
      </c>
      <c r="AA119" s="62">
        <v>0.98603615</v>
      </c>
      <c r="AB119" s="62">
        <v>4.5372932999999997E-2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-0.413215000000001</v>
      </c>
      <c r="AN119" s="122">
        <f t="shared" si="15"/>
        <v>-0.35638699999999801</v>
      </c>
      <c r="AO119" s="122">
        <f t="shared" si="16"/>
        <v>-1.4498499999999748E-3</v>
      </c>
      <c r="AP119" s="122">
        <f t="shared" si="17"/>
        <v>-1.1002799999999535E-3</v>
      </c>
      <c r="AQ119" s="88">
        <f t="shared" si="18"/>
        <v>2.599342999999997E-3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36.043872999999998</v>
      </c>
      <c r="Y120" s="190">
        <v>39.895913999999998</v>
      </c>
      <c r="Z120" s="190">
        <v>0.98780299000000005</v>
      </c>
      <c r="AA120" s="62">
        <v>0.99187647000000001</v>
      </c>
      <c r="AB120" s="62">
        <v>2.8896786000000001E-2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-0.8551260000000056</v>
      </c>
      <c r="AN120" s="122">
        <f t="shared" si="15"/>
        <v>-0.959147999999999</v>
      </c>
      <c r="AO120" s="122">
        <f t="shared" si="16"/>
        <v>-1.2527499999999137E-3</v>
      </c>
      <c r="AP120" s="122">
        <f t="shared" si="17"/>
        <v>-1.175880000000018E-3</v>
      </c>
      <c r="AQ120" s="88">
        <f t="shared" si="18"/>
        <v>1.8856489999999997E-3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38.358674999999998</v>
      </c>
      <c r="Y121" s="190">
        <v>42.287680000000002</v>
      </c>
      <c r="Z121" s="190">
        <v>0.99271054999999997</v>
      </c>
      <c r="AA121" s="62">
        <v>0.99539875</v>
      </c>
      <c r="AB121" s="62">
        <v>1.5962753E-2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-1.4800680000000028</v>
      </c>
      <c r="AN121" s="122">
        <f t="shared" si="15"/>
        <v>-1.6899960000000007</v>
      </c>
      <c r="AO121" s="122">
        <f t="shared" si="16"/>
        <v>-7.5977999999998769E-4</v>
      </c>
      <c r="AP121" s="122">
        <f t="shared" si="17"/>
        <v>-7.3223000000000038E-4</v>
      </c>
      <c r="AQ121" s="88">
        <f t="shared" si="18"/>
        <v>1.219567999999999E-3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32.066484000000003</v>
      </c>
      <c r="Y123" s="97">
        <v>35.684978000000001</v>
      </c>
      <c r="Z123" s="97">
        <v>0.97112472999999999</v>
      </c>
      <c r="AA123" s="60">
        <v>0.97964001999999994</v>
      </c>
      <c r="AB123" s="60">
        <v>5.8955856000000001E-2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3.6495000000002165E-2</v>
      </c>
      <c r="AN123" s="96">
        <f t="shared" si="15"/>
        <v>6.9924000000000319E-2</v>
      </c>
      <c r="AO123" s="96">
        <f t="shared" si="16"/>
        <v>-4.8745000000005589E-4</v>
      </c>
      <c r="AP123" s="96">
        <f t="shared" si="17"/>
        <v>3.0424999999989488E-4</v>
      </c>
      <c r="AQ123" s="121">
        <f t="shared" si="18"/>
        <v>3.7319200000000136E-4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33.939551000000002</v>
      </c>
      <c r="Y124" s="190">
        <v>37.301806999999997</v>
      </c>
      <c r="Z124" s="190">
        <v>0.98003563999999999</v>
      </c>
      <c r="AA124" s="62">
        <v>0.98608711999999998</v>
      </c>
      <c r="AB124" s="62">
        <v>4.4221944999999999E-2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-0.3700149999999951</v>
      </c>
      <c r="AN124" s="122">
        <f t="shared" si="15"/>
        <v>-0.36006900000000286</v>
      </c>
      <c r="AO124" s="122">
        <f t="shared" si="16"/>
        <v>-1.4858700000000002E-3</v>
      </c>
      <c r="AP124" s="122">
        <f t="shared" si="17"/>
        <v>-1.1097199999999807E-3</v>
      </c>
      <c r="AQ124" s="88">
        <f t="shared" si="18"/>
        <v>2.7827620000000011E-3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36.614697</v>
      </c>
      <c r="Y125" s="190">
        <v>40.311894000000002</v>
      </c>
      <c r="Z125" s="190">
        <v>0.98802027999999997</v>
      </c>
      <c r="AA125" s="62">
        <v>0.99219807000000004</v>
      </c>
      <c r="AB125" s="62">
        <v>2.8660295999999998E-2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-0.81832200000000199</v>
      </c>
      <c r="AN125" s="122">
        <f t="shared" si="15"/>
        <v>-0.87988699999999653</v>
      </c>
      <c r="AO125" s="122">
        <f t="shared" si="16"/>
        <v>-1.2083299999999797E-3</v>
      </c>
      <c r="AP125" s="122">
        <f t="shared" si="17"/>
        <v>-9.0475999999994894E-4</v>
      </c>
      <c r="AQ125" s="88">
        <f t="shared" si="18"/>
        <v>2.9207899999999995E-3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39.137459</v>
      </c>
      <c r="Y126" s="190">
        <v>42.968544000000001</v>
      </c>
      <c r="Z126" s="190">
        <v>0.99286797000000004</v>
      </c>
      <c r="AA126" s="62">
        <v>0.99534993000000005</v>
      </c>
      <c r="AB126" s="62">
        <v>1.5916605E-2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-1.3034400000000019</v>
      </c>
      <c r="AN126" s="122">
        <f t="shared" si="15"/>
        <v>-1.4608500000000006</v>
      </c>
      <c r="AO126" s="122">
        <f t="shared" si="16"/>
        <v>-7.1955999999995246E-4</v>
      </c>
      <c r="AP126" s="122">
        <f t="shared" si="17"/>
        <v>-7.9650999999991701E-4</v>
      </c>
      <c r="AQ126" s="88">
        <f t="shared" si="18"/>
        <v>2.0872955000000009E-3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32.047285000000002</v>
      </c>
      <c r="Y128" s="97">
        <v>35.824092999999998</v>
      </c>
      <c r="Z128" s="97">
        <v>0.97145320999999996</v>
      </c>
      <c r="AA128" s="60">
        <v>0.97968772000000004</v>
      </c>
      <c r="AB128" s="60">
        <v>5.8641657E-2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1.8869000000002245E-2</v>
      </c>
      <c r="AN128" s="96">
        <f t="shared" si="15"/>
        <v>3.863799999999884E-2</v>
      </c>
      <c r="AO128" s="96">
        <f t="shared" si="16"/>
        <v>-5.6547000000006786E-4</v>
      </c>
      <c r="AP128" s="96">
        <f t="shared" si="17"/>
        <v>3.2819000000006149E-4</v>
      </c>
      <c r="AQ128" s="121">
        <f t="shared" si="18"/>
        <v>3.5113099999999758E-4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33.826000999999998</v>
      </c>
      <c r="Y129" s="190">
        <v>37.469141999999998</v>
      </c>
      <c r="Z129" s="190">
        <v>0.98025417000000004</v>
      </c>
      <c r="AA129" s="62">
        <v>0.98587327000000002</v>
      </c>
      <c r="AB129" s="62">
        <v>4.4375233E-2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-0.32313800000000015</v>
      </c>
      <c r="AN129" s="122">
        <f t="shared" si="15"/>
        <v>-0.33233100000000348</v>
      </c>
      <c r="AO129" s="122">
        <f t="shared" si="16"/>
        <v>-1.5000299999999855E-3</v>
      </c>
      <c r="AP129" s="122">
        <f t="shared" si="17"/>
        <v>-1.0408499999999821E-3</v>
      </c>
      <c r="AQ129" s="88">
        <f t="shared" si="18"/>
        <v>2.9411910000000027E-3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36.70973</v>
      </c>
      <c r="Y130" s="190">
        <v>40.419303999999997</v>
      </c>
      <c r="Z130" s="190">
        <v>0.98824329</v>
      </c>
      <c r="AA130" s="62">
        <v>0.99205580000000004</v>
      </c>
      <c r="AB130" s="62">
        <v>2.8001117999999998E-2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-0.71540499999999696</v>
      </c>
      <c r="AN130" s="122">
        <f t="shared" si="15"/>
        <v>-0.72455599999999976</v>
      </c>
      <c r="AO130" s="122">
        <f t="shared" si="16"/>
        <v>-1.2661600000000162E-3</v>
      </c>
      <c r="AP130" s="122">
        <f t="shared" si="17"/>
        <v>-1.0760599999999343E-3</v>
      </c>
      <c r="AQ130" s="88">
        <f t="shared" si="18"/>
        <v>3.244432999999998E-3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39.710448</v>
      </c>
      <c r="Y131" s="190">
        <v>43.435107000000002</v>
      </c>
      <c r="Z131" s="190">
        <v>0.99300615000000003</v>
      </c>
      <c r="AA131" s="62">
        <v>0.99566252</v>
      </c>
      <c r="AB131" s="62">
        <v>1.5219926E-2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-1.2916749999999979</v>
      </c>
      <c r="AN131" s="122">
        <f t="shared" si="15"/>
        <v>-1.426758999999997</v>
      </c>
      <c r="AO131" s="122">
        <f t="shared" si="16"/>
        <v>-7.5471999999998651E-4</v>
      </c>
      <c r="AP131" s="122">
        <f t="shared" si="17"/>
        <v>-6.6213999999997775E-4</v>
      </c>
      <c r="AQ131" s="88">
        <f t="shared" si="18"/>
        <v>2.4070419999999999E-3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32.192790000000002</v>
      </c>
      <c r="Y133" s="97">
        <v>36.116146999999998</v>
      </c>
      <c r="Z133" s="97">
        <v>0.96971715000000003</v>
      </c>
      <c r="AA133" s="60">
        <v>0.97891645999999999</v>
      </c>
      <c r="AB133" s="60">
        <v>5.9632905E-2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1.7738000000001364E-2</v>
      </c>
      <c r="AN133" s="96">
        <f t="shared" si="15"/>
        <v>2.581299999999942E-2</v>
      </c>
      <c r="AO133" s="96">
        <f t="shared" si="16"/>
        <v>-7.0938999999992092E-4</v>
      </c>
      <c r="AP133" s="96">
        <f t="shared" si="17"/>
        <v>3.3841999999995043E-4</v>
      </c>
      <c r="AQ133" s="121">
        <f t="shared" si="18"/>
        <v>5.4300499999999918E-4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34.159174</v>
      </c>
      <c r="Y134" s="190">
        <v>37.814176000000003</v>
      </c>
      <c r="Z134" s="190">
        <v>0.97985040999999995</v>
      </c>
      <c r="AA134" s="62">
        <v>0.98571496999999997</v>
      </c>
      <c r="AB134" s="62">
        <v>4.2945467000000001E-2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-0.33955000000000268</v>
      </c>
      <c r="AN134" s="122">
        <f t="shared" si="15"/>
        <v>-0.3244059999999962</v>
      </c>
      <c r="AO134" s="122">
        <f t="shared" si="16"/>
        <v>-1.6303700000001031E-3</v>
      </c>
      <c r="AP134" s="122">
        <f t="shared" si="17"/>
        <v>-9.5326000000006683E-4</v>
      </c>
      <c r="AQ134" s="88">
        <f t="shared" si="18"/>
        <v>2.8543550000000029E-3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37.143844999999999</v>
      </c>
      <c r="Y135" s="190">
        <v>40.653447</v>
      </c>
      <c r="Z135" s="190">
        <v>0.98846979999999995</v>
      </c>
      <c r="AA135" s="62">
        <v>0.99216413000000003</v>
      </c>
      <c r="AB135" s="62">
        <v>2.6872776000000001E-2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-0.69154400000000038</v>
      </c>
      <c r="AN135" s="122">
        <f t="shared" si="15"/>
        <v>-0.72330900000000042</v>
      </c>
      <c r="AO135" s="122">
        <f t="shared" si="16"/>
        <v>-1.2827200000000705E-3</v>
      </c>
      <c r="AP135" s="122">
        <f t="shared" si="17"/>
        <v>-1.0686399999999541E-3</v>
      </c>
      <c r="AQ135" s="88">
        <f t="shared" si="18"/>
        <v>2.4658010000000001E-3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40.367229000000002</v>
      </c>
      <c r="Y136" s="190">
        <v>43.762602999999999</v>
      </c>
      <c r="Z136" s="190">
        <v>0.99304238</v>
      </c>
      <c r="AA136" s="62">
        <v>0.99568064000000001</v>
      </c>
      <c r="AB136" s="62">
        <v>1.4447357500000001E-2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-1.2278200000000012</v>
      </c>
      <c r="AN136" s="122">
        <f t="shared" si="15"/>
        <v>-1.4190979999999982</v>
      </c>
      <c r="AO136" s="122">
        <f t="shared" si="16"/>
        <v>-7.76930000000009E-4</v>
      </c>
      <c r="AP136" s="122">
        <f t="shared" si="17"/>
        <v>-6.5773000000002302E-4</v>
      </c>
      <c r="AQ136" s="88">
        <f t="shared" si="18"/>
        <v>1.8303115000000009E-3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27.393941000000002</v>
      </c>
      <c r="Y641" s="136">
        <f t="shared" si="60"/>
        <v>31.092410000000001</v>
      </c>
      <c r="Z641" s="136">
        <f t="shared" si="60"/>
        <v>0.95857976</v>
      </c>
      <c r="AA641" s="136">
        <f t="shared" si="60"/>
        <v>0.96657183000000002</v>
      </c>
      <c r="AB641" s="136">
        <f t="shared" si="60"/>
        <v>5.8641657E-2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30.169112999999999</v>
      </c>
      <c r="Y642" s="18">
        <f t="shared" si="60"/>
        <v>33.524757999999999</v>
      </c>
      <c r="Z642" s="18">
        <f t="shared" si="60"/>
        <v>0.97498901999999998</v>
      </c>
      <c r="AA642" s="18">
        <f t="shared" si="60"/>
        <v>0.97894278999999995</v>
      </c>
      <c r="AB642" s="18">
        <f t="shared" si="60"/>
        <v>4.0097319999999999E-2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33.299325000000003</v>
      </c>
      <c r="Y643" s="18">
        <f t="shared" si="60"/>
        <v>37.382168</v>
      </c>
      <c r="Z643" s="18">
        <f t="shared" si="60"/>
        <v>0.98654374</v>
      </c>
      <c r="AA643" s="18">
        <f t="shared" si="60"/>
        <v>0.98951456000000004</v>
      </c>
      <c r="AB643" s="18">
        <f t="shared" si="60"/>
        <v>2.5730006E-2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35.33408</v>
      </c>
      <c r="Y644" s="18">
        <f t="shared" si="60"/>
        <v>39.509633000000001</v>
      </c>
      <c r="Z644" s="18">
        <f t="shared" si="60"/>
        <v>0.99219553000000005</v>
      </c>
      <c r="AA644" s="18">
        <f t="shared" si="60"/>
        <v>0.99383173000000002</v>
      </c>
      <c r="AB644" s="18">
        <f t="shared" si="60"/>
        <v>1.4101600000000001E-2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32.192790000000002</v>
      </c>
      <c r="Y646" s="136">
        <f t="shared" si="62"/>
        <v>36.116146999999998</v>
      </c>
      <c r="Z646" s="136">
        <f t="shared" si="62"/>
        <v>0.97145320999999996</v>
      </c>
      <c r="AA646" s="136">
        <f t="shared" si="62"/>
        <v>0.97992044</v>
      </c>
      <c r="AB646" s="136">
        <f t="shared" si="62"/>
        <v>8.2984983999999998E-2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34.159174</v>
      </c>
      <c r="Y647" s="18">
        <f t="shared" si="62"/>
        <v>37.814176000000003</v>
      </c>
      <c r="Z647" s="18">
        <f t="shared" si="62"/>
        <v>0.98025417000000004</v>
      </c>
      <c r="AA647" s="18">
        <f t="shared" si="62"/>
        <v>0.98608711999999998</v>
      </c>
      <c r="AB647" s="18">
        <f t="shared" si="62"/>
        <v>5.9487905000000001E-2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37.143844999999999</v>
      </c>
      <c r="Y648" s="18">
        <f t="shared" si="62"/>
        <v>40.653447</v>
      </c>
      <c r="Z648" s="18">
        <f t="shared" si="62"/>
        <v>0.98846979999999995</v>
      </c>
      <c r="AA648" s="18">
        <f t="shared" si="62"/>
        <v>0.99219807000000004</v>
      </c>
      <c r="AB648" s="18">
        <f t="shared" si="62"/>
        <v>3.7181024E-2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40.367229000000002</v>
      </c>
      <c r="Y649" s="18">
        <f t="shared" si="62"/>
        <v>43.762602999999999</v>
      </c>
      <c r="Z649" s="18">
        <f t="shared" si="62"/>
        <v>0.99304238</v>
      </c>
      <c r="AA649" s="18">
        <f t="shared" si="62"/>
        <v>0.99568064000000001</v>
      </c>
      <c r="AB649" s="18">
        <f t="shared" si="62"/>
        <v>2.2041934999999999E-2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4.7988490000000006</v>
      </c>
      <c r="Y651" s="136">
        <f t="shared" si="64"/>
        <v>5.023736999999997</v>
      </c>
      <c r="Z651" s="136">
        <f t="shared" si="64"/>
        <v>1.2873449999999953E-2</v>
      </c>
      <c r="AA651" s="136">
        <f t="shared" si="64"/>
        <v>1.3348609999999983E-2</v>
      </c>
      <c r="AB651" s="136">
        <f t="shared" si="64"/>
        <v>2.4343326999999998E-2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3.9900610000000007</v>
      </c>
      <c r="Y652" s="18">
        <f t="shared" si="64"/>
        <v>4.2894180000000048</v>
      </c>
      <c r="Z652" s="18">
        <f t="shared" si="64"/>
        <v>5.2651500000000517E-3</v>
      </c>
      <c r="AA652" s="18">
        <f t="shared" si="64"/>
        <v>7.144330000000032E-3</v>
      </c>
      <c r="AB652" s="18">
        <f t="shared" si="64"/>
        <v>1.9390585000000002E-2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3.8445199999999957</v>
      </c>
      <c r="Y653" s="18">
        <f t="shared" si="64"/>
        <v>3.2712789999999998</v>
      </c>
      <c r="Z653" s="18">
        <f t="shared" si="64"/>
        <v>1.9260599999999517E-3</v>
      </c>
      <c r="AA653" s="18">
        <f t="shared" si="64"/>
        <v>2.6835100000000001E-3</v>
      </c>
      <c r="AB653" s="18">
        <f t="shared" si="64"/>
        <v>1.1451018E-2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5.0331490000000016</v>
      </c>
      <c r="Y654" s="18">
        <f t="shared" si="64"/>
        <v>4.2529699999999977</v>
      </c>
      <c r="Z654" s="18">
        <f t="shared" si="64"/>
        <v>8.4684999999995458E-4</v>
      </c>
      <c r="AA654" s="18">
        <f t="shared" si="64"/>
        <v>1.8489099999999814E-3</v>
      </c>
      <c r="AB654" s="18">
        <f t="shared" si="64"/>
        <v>7.940334999999998E-3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2025-05-21T10:22:14Z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