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DA99267C-DF83-4EDA-95FD-77FD06CFB7B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54" i="10" l="1"/>
  <c r="I654" i="10"/>
  <c r="G654" i="10"/>
  <c r="F654" i="10"/>
  <c r="AA653" i="10"/>
  <c r="Z653" i="10"/>
  <c r="X653" i="10"/>
  <c r="AA652" i="10"/>
  <c r="Z652" i="10"/>
  <c r="Y652" i="10"/>
  <c r="J652" i="10"/>
  <c r="AA651" i="10"/>
  <c r="X651" i="10"/>
  <c r="I651" i="10"/>
  <c r="H651" i="10"/>
  <c r="F651" i="10"/>
  <c r="AB649" i="10"/>
  <c r="AB654" i="10" s="1"/>
  <c r="AA649" i="10"/>
  <c r="AA654" i="10" s="1"/>
  <c r="Z649" i="10"/>
  <c r="Z654" i="10" s="1"/>
  <c r="Y649" i="10"/>
  <c r="X649" i="10"/>
  <c r="X654" i="10" s="1"/>
  <c r="J649" i="10"/>
  <c r="J654" i="10" s="1"/>
  <c r="I649" i="10"/>
  <c r="H649" i="10"/>
  <c r="H654" i="10" s="1"/>
  <c r="G649" i="10"/>
  <c r="F649" i="10"/>
  <c r="AB648" i="10"/>
  <c r="AB653" i="10" s="1"/>
  <c r="AA648" i="10"/>
  <c r="Z648" i="10"/>
  <c r="Y648" i="10"/>
  <c r="Y653" i="10" s="1"/>
  <c r="X648" i="10"/>
  <c r="J648" i="10"/>
  <c r="I648" i="10"/>
  <c r="H648" i="10"/>
  <c r="G648" i="10"/>
  <c r="G653" i="10" s="1"/>
  <c r="F648" i="10"/>
  <c r="F653" i="10" s="1"/>
  <c r="AB647" i="10"/>
  <c r="AB652" i="10" s="1"/>
  <c r="AA647" i="10"/>
  <c r="Z647" i="10"/>
  <c r="Y647" i="10"/>
  <c r="X647" i="10"/>
  <c r="X652" i="10" s="1"/>
  <c r="J647" i="10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Z646" i="10"/>
  <c r="Z651" i="10" s="1"/>
  <c r="Y646" i="10"/>
  <c r="Y651" i="10" s="1"/>
  <c r="X646" i="10"/>
  <c r="J646" i="10"/>
  <c r="J651" i="10" s="1"/>
  <c r="I646" i="10"/>
  <c r="H646" i="10"/>
  <c r="G646" i="10"/>
  <c r="G651" i="10" s="1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J653" i="10" s="1"/>
  <c r="I643" i="10"/>
  <c r="I653" i="10" s="1"/>
  <c r="H643" i="10"/>
  <c r="H653" i="10" s="1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E7" i="10" s="1"/>
  <c r="W24" i="10"/>
  <c r="E24" i="10"/>
  <c r="W23" i="10"/>
  <c r="W5" i="10" s="1"/>
  <c r="E23" i="10"/>
  <c r="U13" i="10"/>
  <c r="C13" i="10"/>
  <c r="AI10" i="10"/>
  <c r="R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J10" i="10" s="1"/>
  <c r="AI5" i="10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B654" i="9"/>
  <c r="Y654" i="9"/>
  <c r="X654" i="9"/>
  <c r="J654" i="9"/>
  <c r="G654" i="9"/>
  <c r="J653" i="9"/>
  <c r="F653" i="9"/>
  <c r="AB652" i="9"/>
  <c r="J652" i="9"/>
  <c r="I652" i="9"/>
  <c r="H652" i="9"/>
  <c r="G652" i="9"/>
  <c r="AA651" i="9"/>
  <c r="I651" i="9"/>
  <c r="AB649" i="9"/>
  <c r="AA649" i="9"/>
  <c r="Z649" i="9"/>
  <c r="Y649" i="9"/>
  <c r="X649" i="9"/>
  <c r="J649" i="9"/>
  <c r="I649" i="9"/>
  <c r="H649" i="9"/>
  <c r="H654" i="9" s="1"/>
  <c r="G649" i="9"/>
  <c r="F649" i="9"/>
  <c r="F654" i="9" s="1"/>
  <c r="AB648" i="9"/>
  <c r="AA648" i="9"/>
  <c r="Z648" i="9"/>
  <c r="Z653" i="9" s="1"/>
  <c r="Y648" i="9"/>
  <c r="Y653" i="9" s="1"/>
  <c r="X648" i="9"/>
  <c r="X653" i="9" s="1"/>
  <c r="J648" i="9"/>
  <c r="I648" i="9"/>
  <c r="I653" i="9" s="1"/>
  <c r="H648" i="9"/>
  <c r="H653" i="9" s="1"/>
  <c r="G648" i="9"/>
  <c r="G653" i="9" s="1"/>
  <c r="F648" i="9"/>
  <c r="AB647" i="9"/>
  <c r="AA647" i="9"/>
  <c r="AA652" i="9" s="1"/>
  <c r="Z647" i="9"/>
  <c r="Z652" i="9" s="1"/>
  <c r="Y647" i="9"/>
  <c r="X647" i="9"/>
  <c r="X652" i="9" s="1"/>
  <c r="J647" i="9"/>
  <c r="I647" i="9"/>
  <c r="H647" i="9"/>
  <c r="G647" i="9"/>
  <c r="F647" i="9"/>
  <c r="AB646" i="9"/>
  <c r="AA646" i="9"/>
  <c r="Z646" i="9"/>
  <c r="Y646" i="9"/>
  <c r="X646" i="9"/>
  <c r="J646" i="9"/>
  <c r="J651" i="9" s="1"/>
  <c r="I646" i="9"/>
  <c r="H646" i="9"/>
  <c r="H651" i="9" s="1"/>
  <c r="G646" i="9"/>
  <c r="F646" i="9"/>
  <c r="AB644" i="9"/>
  <c r="AA644" i="9"/>
  <c r="AA654" i="9" s="1"/>
  <c r="Z644" i="9"/>
  <c r="Z654" i="9" s="1"/>
  <c r="Y644" i="9"/>
  <c r="X644" i="9"/>
  <c r="J644" i="9"/>
  <c r="I644" i="9"/>
  <c r="I654" i="9" s="1"/>
  <c r="H644" i="9"/>
  <c r="G644" i="9"/>
  <c r="F644" i="9"/>
  <c r="AB643" i="9"/>
  <c r="AB653" i="9" s="1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F642" i="9"/>
  <c r="F652" i="9" s="1"/>
  <c r="AB641" i="9"/>
  <c r="AB651" i="9" s="1"/>
  <c r="AA641" i="9"/>
  <c r="Z641" i="9"/>
  <c r="Z651" i="9" s="1"/>
  <c r="Y641" i="9"/>
  <c r="Y651" i="9" s="1"/>
  <c r="X641" i="9"/>
  <c r="X651" i="9" s="1"/>
  <c r="J641" i="9"/>
  <c r="I641" i="9"/>
  <c r="H641" i="9"/>
  <c r="G641" i="9"/>
  <c r="G651" i="9" s="1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W24" i="9"/>
  <c r="W6" i="9" s="1"/>
  <c r="E24" i="9"/>
  <c r="E6" i="9" s="1"/>
  <c r="W23" i="9"/>
  <c r="E23" i="9"/>
  <c r="U13" i="9"/>
  <c r="C13" i="9"/>
  <c r="AJ10" i="9"/>
  <c r="R10" i="9"/>
  <c r="AJ8" i="9"/>
  <c r="AI8" i="9"/>
  <c r="AH8" i="9"/>
  <c r="AB8" i="9"/>
  <c r="AA8" i="9"/>
  <c r="Z8" i="9"/>
  <c r="Y8" i="9"/>
  <c r="X8" i="9"/>
  <c r="W8" i="9"/>
  <c r="R8" i="9"/>
  <c r="Q8" i="9"/>
  <c r="Q10" i="9" s="1"/>
  <c r="P8" i="9"/>
  <c r="J8" i="9"/>
  <c r="I8" i="9"/>
  <c r="H8" i="9"/>
  <c r="G8" i="9"/>
  <c r="F8" i="9"/>
  <c r="E8" i="9"/>
  <c r="AJ7" i="9"/>
  <c r="AI7" i="9"/>
  <c r="AI10" i="9" s="1"/>
  <c r="AH7" i="9"/>
  <c r="AH10" i="9" s="1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W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F654" i="8"/>
  <c r="Y653" i="8"/>
  <c r="F653" i="8"/>
  <c r="AB652" i="8"/>
  <c r="Z652" i="8"/>
  <c r="I652" i="8"/>
  <c r="AB651" i="8"/>
  <c r="H651" i="8"/>
  <c r="G651" i="8"/>
  <c r="F651" i="8"/>
  <c r="AB649" i="8"/>
  <c r="AB654" i="8" s="1"/>
  <c r="AA649" i="8"/>
  <c r="AA654" i="8" s="1"/>
  <c r="Z649" i="8"/>
  <c r="Z654" i="8" s="1"/>
  <c r="Y649" i="8"/>
  <c r="X649" i="8"/>
  <c r="J649" i="8"/>
  <c r="I649" i="8"/>
  <c r="I654" i="8" s="1"/>
  <c r="H649" i="8"/>
  <c r="H654" i="8" s="1"/>
  <c r="G649" i="8"/>
  <c r="G654" i="8" s="1"/>
  <c r="F649" i="8"/>
  <c r="AB648" i="8"/>
  <c r="AB653" i="8" s="1"/>
  <c r="AA648" i="8"/>
  <c r="AA653" i="8" s="1"/>
  <c r="Z648" i="8"/>
  <c r="Z653" i="8" s="1"/>
  <c r="Y648" i="8"/>
  <c r="X648" i="8"/>
  <c r="X653" i="8" s="1"/>
  <c r="J648" i="8"/>
  <c r="J653" i="8" s="1"/>
  <c r="I648" i="8"/>
  <c r="H648" i="8"/>
  <c r="G648" i="8"/>
  <c r="F648" i="8"/>
  <c r="AB647" i="8"/>
  <c r="AA647" i="8"/>
  <c r="AA652" i="8" s="1"/>
  <c r="Z647" i="8"/>
  <c r="Y647" i="8"/>
  <c r="X647" i="8"/>
  <c r="J647" i="8"/>
  <c r="J652" i="8" s="1"/>
  <c r="I647" i="8"/>
  <c r="H647" i="8"/>
  <c r="H652" i="8" s="1"/>
  <c r="G647" i="8"/>
  <c r="G652" i="8" s="1"/>
  <c r="F647" i="8"/>
  <c r="F652" i="8" s="1"/>
  <c r="AB646" i="8"/>
  <c r="AA646" i="8"/>
  <c r="Z646" i="8"/>
  <c r="Y646" i="8"/>
  <c r="X646" i="8"/>
  <c r="X651" i="8" s="1"/>
  <c r="J646" i="8"/>
  <c r="J651" i="8" s="1"/>
  <c r="I646" i="8"/>
  <c r="I651" i="8" s="1"/>
  <c r="H646" i="8"/>
  <c r="G646" i="8"/>
  <c r="F646" i="8"/>
  <c r="AB644" i="8"/>
  <c r="AA644" i="8"/>
  <c r="Z644" i="8"/>
  <c r="Y644" i="8"/>
  <c r="X644" i="8"/>
  <c r="X654" i="8" s="1"/>
  <c r="J644" i="8"/>
  <c r="J654" i="8" s="1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Y652" i="8" s="1"/>
  <c r="X642" i="8"/>
  <c r="X652" i="8" s="1"/>
  <c r="J642" i="8"/>
  <c r="I642" i="8"/>
  <c r="H642" i="8"/>
  <c r="G642" i="8"/>
  <c r="F642" i="8"/>
  <c r="AB641" i="8"/>
  <c r="AA641" i="8"/>
  <c r="Z641" i="8"/>
  <c r="Z651" i="8" s="1"/>
  <c r="Y641" i="8"/>
  <c r="Y651" i="8" s="1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E7" i="8" s="1"/>
  <c r="W24" i="8"/>
  <c r="E24" i="8"/>
  <c r="E6" i="8" s="1"/>
  <c r="W23" i="8"/>
  <c r="E23" i="8"/>
  <c r="E5" i="8" s="1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H10" i="8" s="1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W5" i="8"/>
  <c r="R5" i="8"/>
  <c r="R10" i="8" s="1"/>
  <c r="Q5" i="8"/>
  <c r="P5" i="8"/>
  <c r="J5" i="8"/>
  <c r="I5" i="8"/>
  <c r="H5" i="8"/>
  <c r="G5" i="8"/>
  <c r="F5" i="8"/>
  <c r="AL2" i="8"/>
  <c r="U2" i="8"/>
  <c r="T2" i="8"/>
  <c r="C2" i="8"/>
  <c r="X654" i="7"/>
  <c r="J654" i="7"/>
  <c r="Y653" i="7"/>
  <c r="G653" i="7"/>
  <c r="AA652" i="7"/>
  <c r="I652" i="7"/>
  <c r="Z651" i="7"/>
  <c r="Y651" i="7"/>
  <c r="AB649" i="7"/>
  <c r="AB654" i="7" s="1"/>
  <c r="AA649" i="7"/>
  <c r="AA654" i="7" s="1"/>
  <c r="Z649" i="7"/>
  <c r="Y649" i="7"/>
  <c r="X649" i="7"/>
  <c r="J649" i="7"/>
  <c r="I649" i="7"/>
  <c r="I654" i="7" s="1"/>
  <c r="H649" i="7"/>
  <c r="H654" i="7" s="1"/>
  <c r="G649" i="7"/>
  <c r="F649" i="7"/>
  <c r="F654" i="7" s="1"/>
  <c r="AB648" i="7"/>
  <c r="AA648" i="7"/>
  <c r="Z648" i="7"/>
  <c r="Y648" i="7"/>
  <c r="X648" i="7"/>
  <c r="X653" i="7" s="1"/>
  <c r="J648" i="7"/>
  <c r="J653" i="7" s="1"/>
  <c r="I648" i="7"/>
  <c r="H648" i="7"/>
  <c r="G648" i="7"/>
  <c r="F648" i="7"/>
  <c r="AB647" i="7"/>
  <c r="AB652" i="7" s="1"/>
  <c r="AA647" i="7"/>
  <c r="Z647" i="7"/>
  <c r="Z652" i="7" s="1"/>
  <c r="Y647" i="7"/>
  <c r="Y652" i="7" s="1"/>
  <c r="X647" i="7"/>
  <c r="X652" i="7" s="1"/>
  <c r="J647" i="7"/>
  <c r="I647" i="7"/>
  <c r="H647" i="7"/>
  <c r="G647" i="7"/>
  <c r="G652" i="7" s="1"/>
  <c r="F647" i="7"/>
  <c r="F652" i="7" s="1"/>
  <c r="AB646" i="7"/>
  <c r="AA646" i="7"/>
  <c r="Z646" i="7"/>
  <c r="Y646" i="7"/>
  <c r="X646" i="7"/>
  <c r="X651" i="7" s="1"/>
  <c r="J646" i="7"/>
  <c r="I646" i="7"/>
  <c r="H646" i="7"/>
  <c r="H651" i="7" s="1"/>
  <c r="G646" i="7"/>
  <c r="F646" i="7"/>
  <c r="AB644" i="7"/>
  <c r="AA644" i="7"/>
  <c r="Z644" i="7"/>
  <c r="Y644" i="7"/>
  <c r="Y654" i="7" s="1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H653" i="7" s="1"/>
  <c r="G643" i="7"/>
  <c r="F643" i="7"/>
  <c r="F653" i="7" s="1"/>
  <c r="AB642" i="7"/>
  <c r="AA642" i="7"/>
  <c r="Z642" i="7"/>
  <c r="Y642" i="7"/>
  <c r="X642" i="7"/>
  <c r="J642" i="7"/>
  <c r="I642" i="7"/>
  <c r="H642" i="7"/>
  <c r="H652" i="7" s="1"/>
  <c r="G642" i="7"/>
  <c r="F642" i="7"/>
  <c r="AB641" i="7"/>
  <c r="AA641" i="7"/>
  <c r="AA651" i="7" s="1"/>
  <c r="Z641" i="7"/>
  <c r="Y641" i="7"/>
  <c r="X641" i="7"/>
  <c r="J641" i="7"/>
  <c r="J651" i="7" s="1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E24" i="7"/>
  <c r="E6" i="7" s="1"/>
  <c r="W23" i="7"/>
  <c r="W5" i="7" s="1"/>
  <c r="E23" i="7"/>
  <c r="E5" i="7" s="1"/>
  <c r="U13" i="7"/>
  <c r="C13" i="7"/>
  <c r="AJ10" i="7"/>
  <c r="R10" i="7"/>
  <c r="Q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I10" i="7" s="1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P10" i="7" s="1"/>
  <c r="J6" i="7"/>
  <c r="I6" i="7"/>
  <c r="H6" i="7"/>
  <c r="G6" i="7"/>
  <c r="F6" i="7"/>
  <c r="AJ5" i="7"/>
  <c r="AI5" i="7"/>
  <c r="AH5" i="7"/>
  <c r="AH10" i="7" s="1"/>
  <c r="AB5" i="7"/>
  <c r="AA5" i="7"/>
  <c r="Z5" i="7"/>
  <c r="Y5" i="7"/>
  <c r="X5" i="7"/>
  <c r="R5" i="7"/>
  <c r="Q5" i="7"/>
  <c r="P5" i="7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5" i="6" s="1"/>
  <c r="M101" i="6"/>
  <c r="L101" i="6"/>
  <c r="B96" i="6"/>
  <c r="B95" i="6"/>
  <c r="F92" i="6"/>
  <c r="M90" i="6"/>
  <c r="L90" i="6"/>
  <c r="B85" i="6"/>
  <c r="F84" i="6"/>
  <c r="F85" i="6" s="1"/>
  <c r="F86" i="6" s="1"/>
  <c r="F87" i="6" s="1"/>
  <c r="B84" i="6"/>
  <c r="L81" i="6"/>
  <c r="F81" i="6"/>
  <c r="M79" i="6"/>
  <c r="L79" i="6"/>
  <c r="B76" i="6"/>
  <c r="B74" i="6"/>
  <c r="B75" i="6" s="1"/>
  <c r="B73" i="6"/>
  <c r="L70" i="6"/>
  <c r="L72" i="6" s="1"/>
  <c r="F70" i="6"/>
  <c r="F73" i="6" s="1"/>
  <c r="F74" i="6" s="1"/>
  <c r="F75" i="6" s="1"/>
  <c r="F76" i="6" s="1"/>
  <c r="M68" i="6"/>
  <c r="L68" i="6"/>
  <c r="B62" i="6"/>
  <c r="F59" i="6"/>
  <c r="F62" i="6" s="1"/>
  <c r="F63" i="6" s="1"/>
  <c r="F64" i="6" s="1"/>
  <c r="F65" i="6" s="1"/>
  <c r="M57" i="6"/>
  <c r="L57" i="6"/>
  <c r="B52" i="6"/>
  <c r="B51" i="6"/>
  <c r="F48" i="6"/>
  <c r="M46" i="6"/>
  <c r="L46" i="6"/>
  <c r="F41" i="6"/>
  <c r="F42" i="6" s="1"/>
  <c r="F43" i="6" s="1"/>
  <c r="F40" i="6"/>
  <c r="B40" i="6"/>
  <c r="M39" i="6"/>
  <c r="L39" i="6"/>
  <c r="F37" i="6"/>
  <c r="L37" i="6" s="1"/>
  <c r="M35" i="6"/>
  <c r="L35" i="6"/>
  <c r="B30" i="6"/>
  <c r="B29" i="6"/>
  <c r="L26" i="6"/>
  <c r="F26" i="6"/>
  <c r="F29" i="6" s="1"/>
  <c r="F30" i="6" s="1"/>
  <c r="F31" i="6" s="1"/>
  <c r="F32" i="6" s="1"/>
  <c r="M24" i="6"/>
  <c r="L24" i="6"/>
  <c r="F19" i="6"/>
  <c r="F20" i="6" s="1"/>
  <c r="F21" i="6" s="1"/>
  <c r="F18" i="6"/>
  <c r="B18" i="6"/>
  <c r="L17" i="6"/>
  <c r="F15" i="6"/>
  <c r="L15" i="6" s="1"/>
  <c r="M17" i="6" s="1"/>
  <c r="M13" i="6"/>
  <c r="L13" i="6"/>
  <c r="B8" i="6"/>
  <c r="F7" i="6"/>
  <c r="F8" i="6" s="1"/>
  <c r="F9" i="6" s="1"/>
  <c r="F10" i="6" s="1"/>
  <c r="B7" i="6"/>
  <c r="L4" i="6"/>
  <c r="L6" i="6" s="1"/>
  <c r="F4" i="6"/>
  <c r="F2" i="6"/>
  <c r="B2" i="6"/>
  <c r="L28" i="6" s="1"/>
  <c r="M112" i="5"/>
  <c r="L112" i="5"/>
  <c r="B107" i="5"/>
  <c r="B106" i="5"/>
  <c r="M105" i="5"/>
  <c r="L105" i="5"/>
  <c r="L103" i="5"/>
  <c r="F103" i="5"/>
  <c r="F106" i="5" s="1"/>
  <c r="F107" i="5" s="1"/>
  <c r="F108" i="5" s="1"/>
  <c r="F109" i="5" s="1"/>
  <c r="M101" i="5"/>
  <c r="L101" i="5"/>
  <c r="F97" i="5"/>
  <c r="F98" i="5" s="1"/>
  <c r="F96" i="5"/>
  <c r="B96" i="5"/>
  <c r="B95" i="5"/>
  <c r="L92" i="5"/>
  <c r="L94" i="5" s="1"/>
  <c r="F92" i="5"/>
  <c r="F95" i="5" s="1"/>
  <c r="M90" i="5"/>
  <c r="L90" i="5"/>
  <c r="B85" i="5"/>
  <c r="F84" i="5"/>
  <c r="F85" i="5" s="1"/>
  <c r="F86" i="5" s="1"/>
  <c r="F87" i="5" s="1"/>
  <c r="B84" i="5"/>
  <c r="M83" i="5"/>
  <c r="L83" i="5"/>
  <c r="L81" i="5"/>
  <c r="F81" i="5"/>
  <c r="M79" i="5"/>
  <c r="L79" i="5"/>
  <c r="F75" i="5"/>
  <c r="F76" i="5" s="1"/>
  <c r="B74" i="5"/>
  <c r="B73" i="5"/>
  <c r="M72" i="5"/>
  <c r="L72" i="5"/>
  <c r="L70" i="5"/>
  <c r="F70" i="5"/>
  <c r="F73" i="5" s="1"/>
  <c r="F74" i="5" s="1"/>
  <c r="M68" i="5"/>
  <c r="L68" i="5"/>
  <c r="B64" i="5"/>
  <c r="B63" i="5"/>
  <c r="F62" i="5"/>
  <c r="F63" i="5" s="1"/>
  <c r="F64" i="5" s="1"/>
  <c r="F65" i="5" s="1"/>
  <c r="B62" i="5"/>
  <c r="L59" i="5"/>
  <c r="L61" i="5" s="1"/>
  <c r="F59" i="5"/>
  <c r="M57" i="5"/>
  <c r="L57" i="5"/>
  <c r="B52" i="5"/>
  <c r="B51" i="5"/>
  <c r="F48" i="5"/>
  <c r="M46" i="5"/>
  <c r="L46" i="5"/>
  <c r="B41" i="5"/>
  <c r="B40" i="5"/>
  <c r="F37" i="5"/>
  <c r="M35" i="5"/>
  <c r="L35" i="5"/>
  <c r="B30" i="5"/>
  <c r="B29" i="5"/>
  <c r="F26" i="5"/>
  <c r="M24" i="5"/>
  <c r="L24" i="5"/>
  <c r="B19" i="5"/>
  <c r="F18" i="5"/>
  <c r="F19" i="5" s="1"/>
  <c r="F20" i="5" s="1"/>
  <c r="F21" i="5" s="1"/>
  <c r="B18" i="5"/>
  <c r="M17" i="5"/>
  <c r="L17" i="5"/>
  <c r="L15" i="5"/>
  <c r="F15" i="5"/>
  <c r="M13" i="5"/>
  <c r="L13" i="5"/>
  <c r="B9" i="5"/>
  <c r="B8" i="5"/>
  <c r="B7" i="5"/>
  <c r="F4" i="5"/>
  <c r="F2" i="5"/>
  <c r="B2" i="5"/>
  <c r="M112" i="4"/>
  <c r="L112" i="4"/>
  <c r="F108" i="4"/>
  <c r="F109" i="4" s="1"/>
  <c r="F106" i="4"/>
  <c r="F107" i="4" s="1"/>
  <c r="B106" i="4"/>
  <c r="B107" i="4" s="1"/>
  <c r="L103" i="4"/>
  <c r="L105" i="4" s="1"/>
  <c r="F103" i="4"/>
  <c r="M101" i="4"/>
  <c r="L101" i="4"/>
  <c r="F95" i="4"/>
  <c r="F96" i="4" s="1"/>
  <c r="F97" i="4" s="1"/>
  <c r="F98" i="4" s="1"/>
  <c r="B95" i="4"/>
  <c r="L92" i="4"/>
  <c r="L94" i="4" s="1"/>
  <c r="F92" i="4"/>
  <c r="M90" i="4"/>
  <c r="L90" i="4"/>
  <c r="F85" i="4"/>
  <c r="F86" i="4" s="1"/>
  <c r="F87" i="4" s="1"/>
  <c r="B84" i="4"/>
  <c r="B85" i="4" s="1"/>
  <c r="L81" i="4"/>
  <c r="L83" i="4" s="1"/>
  <c r="F81" i="4"/>
  <c r="F84" i="4" s="1"/>
  <c r="M79" i="4"/>
  <c r="L79" i="4"/>
  <c r="B76" i="4"/>
  <c r="B75" i="4"/>
  <c r="B74" i="4"/>
  <c r="F73" i="4"/>
  <c r="F74" i="4" s="1"/>
  <c r="F75" i="4" s="1"/>
  <c r="F76" i="4" s="1"/>
  <c r="B73" i="4"/>
  <c r="L72" i="4"/>
  <c r="L70" i="4"/>
  <c r="F70" i="4"/>
  <c r="M68" i="4"/>
  <c r="L68" i="4"/>
  <c r="B62" i="4"/>
  <c r="L61" i="4"/>
  <c r="L59" i="4"/>
  <c r="M61" i="4" s="1"/>
  <c r="F59" i="4"/>
  <c r="F62" i="4" s="1"/>
  <c r="F63" i="4" s="1"/>
  <c r="F64" i="4" s="1"/>
  <c r="F65" i="4" s="1"/>
  <c r="M57" i="4"/>
  <c r="L57" i="4"/>
  <c r="F52" i="4"/>
  <c r="F53" i="4" s="1"/>
  <c r="F54" i="4" s="1"/>
  <c r="F51" i="4"/>
  <c r="B51" i="4"/>
  <c r="M50" i="4"/>
  <c r="L48" i="4"/>
  <c r="L50" i="4" s="1"/>
  <c r="F48" i="4"/>
  <c r="M46" i="4"/>
  <c r="L46" i="4"/>
  <c r="F42" i="4"/>
  <c r="F43" i="4" s="1"/>
  <c r="F41" i="4"/>
  <c r="B41" i="4"/>
  <c r="B40" i="4"/>
  <c r="L37" i="4"/>
  <c r="L39" i="4" s="1"/>
  <c r="F37" i="4"/>
  <c r="F40" i="4" s="1"/>
  <c r="M35" i="4"/>
  <c r="L35" i="4"/>
  <c r="F32" i="4"/>
  <c r="F31" i="4"/>
  <c r="F30" i="4"/>
  <c r="F29" i="4"/>
  <c r="B29" i="4"/>
  <c r="L26" i="4"/>
  <c r="L28" i="4" s="1"/>
  <c r="F26" i="4"/>
  <c r="M24" i="4"/>
  <c r="L24" i="4"/>
  <c r="B19" i="4"/>
  <c r="F18" i="4"/>
  <c r="F19" i="4" s="1"/>
  <c r="F20" i="4" s="1"/>
  <c r="F21" i="4" s="1"/>
  <c r="B18" i="4"/>
  <c r="L15" i="4"/>
  <c r="F15" i="4"/>
  <c r="M13" i="4"/>
  <c r="L13" i="4"/>
  <c r="B8" i="4"/>
  <c r="F7" i="4"/>
  <c r="F8" i="4" s="1"/>
  <c r="F9" i="4" s="1"/>
  <c r="F10" i="4" s="1"/>
  <c r="B7" i="4"/>
  <c r="L4" i="4"/>
  <c r="L6" i="4" s="1"/>
  <c r="F4" i="4"/>
  <c r="F2" i="4"/>
  <c r="M39" i="4" s="1"/>
  <c r="B2" i="4"/>
  <c r="M112" i="3"/>
  <c r="L112" i="3"/>
  <c r="F107" i="3"/>
  <c r="F108" i="3" s="1"/>
  <c r="F109" i="3" s="1"/>
  <c r="F106" i="3"/>
  <c r="B106" i="3"/>
  <c r="L103" i="3"/>
  <c r="M105" i="3" s="1"/>
  <c r="F103" i="3"/>
  <c r="M101" i="3"/>
  <c r="L101" i="3"/>
  <c r="F98" i="3"/>
  <c r="F96" i="3"/>
  <c r="F97" i="3" s="1"/>
  <c r="F95" i="3"/>
  <c r="B95" i="3"/>
  <c r="M94" i="3"/>
  <c r="L92" i="3"/>
  <c r="F92" i="3"/>
  <c r="M90" i="3"/>
  <c r="L90" i="3"/>
  <c r="B86" i="3"/>
  <c r="F85" i="3"/>
  <c r="F86" i="3" s="1"/>
  <c r="F87" i="3" s="1"/>
  <c r="B85" i="3"/>
  <c r="F84" i="3"/>
  <c r="B84" i="3"/>
  <c r="M83" i="3"/>
  <c r="L81" i="3"/>
  <c r="F81" i="3"/>
  <c r="M79" i="3"/>
  <c r="L79" i="3"/>
  <c r="F76" i="3"/>
  <c r="B76" i="3"/>
  <c r="F75" i="3"/>
  <c r="B75" i="3"/>
  <c r="B74" i="3"/>
  <c r="F73" i="3"/>
  <c r="F74" i="3" s="1"/>
  <c r="B73" i="3"/>
  <c r="L70" i="3"/>
  <c r="M72" i="3" s="1"/>
  <c r="F70" i="3"/>
  <c r="M68" i="3"/>
  <c r="L68" i="3"/>
  <c r="B63" i="3"/>
  <c r="F62" i="3"/>
  <c r="F63" i="3" s="1"/>
  <c r="F64" i="3" s="1"/>
  <c r="F65" i="3" s="1"/>
  <c r="B62" i="3"/>
  <c r="M61" i="3"/>
  <c r="L59" i="3"/>
  <c r="F59" i="3"/>
  <c r="M57" i="3"/>
  <c r="L57" i="3"/>
  <c r="B52" i="3"/>
  <c r="F51" i="3"/>
  <c r="F52" i="3" s="1"/>
  <c r="F53" i="3" s="1"/>
  <c r="F54" i="3" s="1"/>
  <c r="B51" i="3"/>
  <c r="L48" i="3"/>
  <c r="F48" i="3"/>
  <c r="M46" i="3"/>
  <c r="L46" i="3"/>
  <c r="B42" i="3"/>
  <c r="F40" i="3"/>
  <c r="F41" i="3" s="1"/>
  <c r="F42" i="3" s="1"/>
  <c r="F43" i="3" s="1"/>
  <c r="B40" i="3"/>
  <c r="B41" i="3" s="1"/>
  <c r="M39" i="3"/>
  <c r="L37" i="3"/>
  <c r="F37" i="3"/>
  <c r="M35" i="3"/>
  <c r="L35" i="3"/>
  <c r="F29" i="3"/>
  <c r="F30" i="3" s="1"/>
  <c r="F31" i="3" s="1"/>
  <c r="F32" i="3" s="1"/>
  <c r="B29" i="3"/>
  <c r="M28" i="3"/>
  <c r="L26" i="3"/>
  <c r="F26" i="3"/>
  <c r="M24" i="3"/>
  <c r="L24" i="3"/>
  <c r="B20" i="3"/>
  <c r="F19" i="3"/>
  <c r="F20" i="3" s="1"/>
  <c r="F21" i="3" s="1"/>
  <c r="B19" i="3"/>
  <c r="F18" i="3"/>
  <c r="B18" i="3"/>
  <c r="L15" i="3"/>
  <c r="F15" i="3"/>
  <c r="M13" i="3"/>
  <c r="L13" i="3"/>
  <c r="F9" i="3"/>
  <c r="F10" i="3" s="1"/>
  <c r="F7" i="3"/>
  <c r="F8" i="3" s="1"/>
  <c r="B7" i="3"/>
  <c r="M6" i="3"/>
  <c r="L4" i="3"/>
  <c r="F4" i="3"/>
  <c r="F2" i="3"/>
  <c r="B2" i="3"/>
  <c r="L61" i="3" s="1"/>
  <c r="M112" i="2"/>
  <c r="L112" i="2"/>
  <c r="B108" i="2"/>
  <c r="F106" i="2"/>
  <c r="F107" i="2" s="1"/>
  <c r="F108" i="2" s="1"/>
  <c r="F109" i="2" s="1"/>
  <c r="B106" i="2"/>
  <c r="B107" i="2" s="1"/>
  <c r="L103" i="2"/>
  <c r="M105" i="2" s="1"/>
  <c r="F103" i="2"/>
  <c r="M101" i="2"/>
  <c r="L101" i="2"/>
  <c r="F98" i="2"/>
  <c r="B98" i="2"/>
  <c r="B97" i="2"/>
  <c r="F96" i="2"/>
  <c r="F97" i="2" s="1"/>
  <c r="B96" i="2"/>
  <c r="B95" i="2"/>
  <c r="L92" i="2"/>
  <c r="F92" i="2"/>
  <c r="F95" i="2" s="1"/>
  <c r="M90" i="2"/>
  <c r="L90" i="2"/>
  <c r="B84" i="2"/>
  <c r="M83" i="2"/>
  <c r="F81" i="2"/>
  <c r="L81" i="2" s="1"/>
  <c r="M79" i="2"/>
  <c r="L79" i="2"/>
  <c r="B74" i="2"/>
  <c r="F73" i="2"/>
  <c r="F74" i="2" s="1"/>
  <c r="F75" i="2" s="1"/>
  <c r="F76" i="2" s="1"/>
  <c r="B73" i="2"/>
  <c r="M72" i="2"/>
  <c r="L70" i="2"/>
  <c r="F70" i="2"/>
  <c r="M68" i="2"/>
  <c r="L68" i="2"/>
  <c r="B63" i="2"/>
  <c r="B62" i="2"/>
  <c r="M61" i="2"/>
  <c r="F59" i="2"/>
  <c r="L59" i="2" s="1"/>
  <c r="M57" i="2"/>
  <c r="L57" i="2"/>
  <c r="B53" i="2"/>
  <c r="B54" i="2" s="1"/>
  <c r="B52" i="2"/>
  <c r="B51" i="2"/>
  <c r="F48" i="2"/>
  <c r="M46" i="2"/>
  <c r="L46" i="2"/>
  <c r="F40" i="2"/>
  <c r="F41" i="2" s="1"/>
  <c r="F42" i="2" s="1"/>
  <c r="F43" i="2" s="1"/>
  <c r="B40" i="2"/>
  <c r="B41" i="2" s="1"/>
  <c r="L37" i="2"/>
  <c r="F37" i="2"/>
  <c r="M35" i="2"/>
  <c r="L35" i="2"/>
  <c r="B30" i="2"/>
  <c r="F29" i="2"/>
  <c r="F30" i="2" s="1"/>
  <c r="F31" i="2" s="1"/>
  <c r="F32" i="2" s="1"/>
  <c r="B29" i="2"/>
  <c r="L26" i="2"/>
  <c r="M28" i="2" s="1"/>
  <c r="F26" i="2"/>
  <c r="M24" i="2"/>
  <c r="L24" i="2"/>
  <c r="B19" i="2"/>
  <c r="B18" i="2"/>
  <c r="F15" i="2"/>
  <c r="L15" i="2" s="1"/>
  <c r="M13" i="2"/>
  <c r="L13" i="2"/>
  <c r="B8" i="2"/>
  <c r="F7" i="2"/>
  <c r="F8" i="2" s="1"/>
  <c r="F9" i="2" s="1"/>
  <c r="F10" i="2" s="1"/>
  <c r="B7" i="2"/>
  <c r="L4" i="2"/>
  <c r="M6" i="2" s="1"/>
  <c r="F4" i="2"/>
  <c r="F2" i="2"/>
  <c r="M39" i="2" s="1"/>
  <c r="B2" i="2"/>
  <c r="AQ5" i="8"/>
  <c r="AM5" i="7"/>
  <c r="AP5" i="8"/>
  <c r="AM5" i="8"/>
  <c r="AO5" i="8"/>
  <c r="AN5" i="8"/>
  <c r="AQ5" i="10"/>
  <c r="AP5" i="10"/>
  <c r="AQ5" i="9"/>
  <c r="AO5" i="10"/>
  <c r="AP5" i="9"/>
  <c r="AN5" i="10"/>
  <c r="AO5" i="9"/>
  <c r="AM5" i="10"/>
  <c r="AN5" i="9"/>
  <c r="AM5" i="9"/>
  <c r="AN5" i="7"/>
  <c r="AQ5" i="7"/>
  <c r="AO5" i="7"/>
  <c r="AP5" i="7"/>
  <c r="F13" i="1"/>
  <c r="E17" i="1"/>
  <c r="H29" i="2"/>
  <c r="H62" i="5"/>
  <c r="H62" i="2"/>
  <c r="L62" i="3"/>
  <c r="B17" i="1"/>
  <c r="D13" i="1"/>
  <c r="M18" i="4"/>
  <c r="D51" i="4"/>
  <c r="G12" i="1"/>
  <c r="D17" i="1"/>
  <c r="L40" i="5"/>
  <c r="B14" i="1"/>
  <c r="L96" i="2"/>
  <c r="D73" i="3"/>
  <c r="D12" i="1"/>
  <c r="M106" i="4"/>
  <c r="M53" i="2"/>
  <c r="D16" i="1"/>
  <c r="G10" i="1"/>
  <c r="L29" i="5"/>
  <c r="M40" i="5"/>
  <c r="L40" i="2"/>
  <c r="B16" i="1"/>
  <c r="M95" i="2"/>
  <c r="D73" i="4"/>
  <c r="D76" i="4"/>
  <c r="F11" i="1"/>
  <c r="L29" i="6"/>
  <c r="M51" i="6"/>
  <c r="H29" i="3"/>
  <c r="H40" i="4"/>
  <c r="B12" i="1"/>
  <c r="L74" i="5"/>
  <c r="H41" i="4"/>
  <c r="H95" i="2"/>
  <c r="M30" i="2"/>
  <c r="H73" i="4"/>
  <c r="M7" i="2"/>
  <c r="H106" i="2"/>
  <c r="M62" i="2"/>
  <c r="H13" i="1"/>
  <c r="H40" i="2"/>
  <c r="G14" i="1"/>
  <c r="M29" i="2"/>
  <c r="M107" i="2"/>
  <c r="D40" i="2"/>
  <c r="G16" i="1"/>
  <c r="B11" i="1"/>
  <c r="H51" i="3"/>
  <c r="D62" i="5"/>
  <c r="L74" i="6"/>
  <c r="D7" i="6"/>
  <c r="L76" i="4"/>
  <c r="G11" i="1"/>
  <c r="D107" i="2"/>
  <c r="D8" i="5"/>
  <c r="M40" i="3"/>
  <c r="F10" i="1"/>
  <c r="H73" i="6"/>
  <c r="D73" i="6"/>
  <c r="H51" i="5"/>
  <c r="M85" i="4"/>
  <c r="M8" i="5"/>
  <c r="L85" i="4"/>
  <c r="H18" i="5"/>
  <c r="H73" i="2"/>
  <c r="M73" i="2"/>
  <c r="D7" i="2"/>
  <c r="F15" i="1"/>
  <c r="L73" i="4"/>
  <c r="P76" i="4" s="1"/>
  <c r="M76" i="4"/>
  <c r="H97" i="2"/>
  <c r="H18" i="1"/>
  <c r="H16" i="1"/>
  <c r="M75" i="3"/>
  <c r="L106" i="2"/>
  <c r="H51" i="2"/>
  <c r="D95" i="3"/>
  <c r="B10" i="1"/>
  <c r="H18" i="4"/>
  <c r="D10" i="1"/>
  <c r="F16" i="1"/>
  <c r="H51" i="4"/>
  <c r="M18" i="5"/>
  <c r="M74" i="3"/>
  <c r="L98" i="2"/>
  <c r="L29" i="2"/>
  <c r="L97" i="2"/>
  <c r="L40" i="4"/>
  <c r="L106" i="3"/>
  <c r="D29" i="2"/>
  <c r="L95" i="6"/>
  <c r="M62" i="5"/>
  <c r="L7" i="2"/>
  <c r="M84" i="3"/>
  <c r="D62" i="2"/>
  <c r="G17" i="1"/>
  <c r="M51" i="4"/>
  <c r="D95" i="6"/>
  <c r="P95" i="6" s="1"/>
  <c r="H51" i="6"/>
  <c r="M54" i="2"/>
  <c r="D29" i="3"/>
  <c r="M52" i="2"/>
  <c r="L84" i="4"/>
  <c r="D95" i="2"/>
  <c r="E9" i="1"/>
  <c r="L108" i="2"/>
  <c r="L18" i="2"/>
  <c r="D106" i="2"/>
  <c r="M64" i="5"/>
  <c r="D52" i="2"/>
  <c r="H84" i="6"/>
  <c r="D62" i="3"/>
  <c r="M95" i="6"/>
  <c r="D14" i="1"/>
  <c r="D97" i="2"/>
  <c r="D84" i="4"/>
  <c r="P84" i="4" s="1"/>
  <c r="M52" i="6"/>
  <c r="D30" i="2"/>
  <c r="M20" i="3"/>
  <c r="H74" i="3"/>
  <c r="M106" i="2"/>
  <c r="H10" i="1"/>
  <c r="M63" i="2"/>
  <c r="L18" i="5"/>
  <c r="M40" i="2"/>
  <c r="M98" i="2"/>
  <c r="M29" i="6"/>
  <c r="L75" i="3"/>
  <c r="D41" i="2"/>
  <c r="H7" i="6"/>
  <c r="H18" i="3"/>
  <c r="H18" i="2"/>
  <c r="M19" i="2"/>
  <c r="E16" i="1"/>
  <c r="H52" i="2"/>
  <c r="E15" i="1"/>
  <c r="L51" i="2"/>
  <c r="D18" i="4"/>
  <c r="M84" i="2"/>
  <c r="E13" i="1"/>
  <c r="L54" i="2"/>
  <c r="F9" i="1"/>
  <c r="M63" i="5"/>
  <c r="H74" i="6"/>
  <c r="D51" i="6"/>
  <c r="D8" i="2"/>
  <c r="D63" i="2"/>
  <c r="L75" i="4"/>
  <c r="G15" i="1"/>
  <c r="H95" i="3"/>
  <c r="M84" i="4"/>
  <c r="M29" i="3"/>
  <c r="L73" i="2"/>
  <c r="M74" i="4"/>
  <c r="M40" i="4"/>
  <c r="M96" i="2"/>
  <c r="L95" i="2"/>
  <c r="L51" i="4"/>
  <c r="M97" i="2"/>
  <c r="L62" i="5"/>
  <c r="E10" i="1"/>
  <c r="L51" i="6"/>
  <c r="D18" i="5"/>
  <c r="D106" i="6"/>
  <c r="L19" i="5"/>
  <c r="D73" i="2"/>
  <c r="M41" i="2"/>
  <c r="F18" i="1"/>
  <c r="D96" i="2"/>
  <c r="H9" i="1"/>
  <c r="H40" i="5"/>
  <c r="M7" i="6"/>
  <c r="F14" i="1"/>
  <c r="G13" i="1"/>
  <c r="H11" i="1"/>
  <c r="L41" i="3"/>
  <c r="H73" i="5"/>
  <c r="G9" i="1"/>
  <c r="H63" i="5"/>
  <c r="E18" i="1"/>
  <c r="H12" i="1"/>
  <c r="H95" i="6"/>
  <c r="P98" i="6" s="1"/>
  <c r="M51" i="2"/>
  <c r="M18" i="2"/>
  <c r="M75" i="6"/>
  <c r="H73" i="3"/>
  <c r="D74" i="5"/>
  <c r="H74" i="5"/>
  <c r="H29" i="6"/>
  <c r="H62" i="3"/>
  <c r="L96" i="5"/>
  <c r="D9" i="1"/>
  <c r="D40" i="5"/>
  <c r="D18" i="3"/>
  <c r="M62" i="3"/>
  <c r="D75" i="4"/>
  <c r="L76" i="6"/>
  <c r="D74" i="6"/>
  <c r="M62" i="4"/>
  <c r="D106" i="5"/>
  <c r="M75" i="4"/>
  <c r="B13" i="1"/>
  <c r="L85" i="5"/>
  <c r="F12" i="1"/>
  <c r="M73" i="6"/>
  <c r="M29" i="4"/>
  <c r="B9" i="1"/>
  <c r="L18" i="4"/>
  <c r="H8" i="5"/>
  <c r="G18" i="1"/>
  <c r="D108" i="2"/>
  <c r="H84" i="4"/>
  <c r="P87" i="4" s="1"/>
  <c r="H14" i="1"/>
  <c r="H17" i="1"/>
  <c r="E12" i="1"/>
  <c r="L73" i="6"/>
  <c r="H15" i="1"/>
  <c r="D74" i="4"/>
  <c r="D15" i="1"/>
  <c r="L29" i="3"/>
  <c r="H85" i="4"/>
  <c r="M106" i="3"/>
  <c r="D30" i="6"/>
  <c r="D11" i="1"/>
  <c r="H96" i="2"/>
  <c r="H7" i="2"/>
  <c r="M18" i="3"/>
  <c r="D51" i="2"/>
  <c r="H40" i="3"/>
  <c r="E14" i="1"/>
  <c r="L62" i="2"/>
  <c r="D29" i="6"/>
  <c r="D18" i="1"/>
  <c r="F17" i="1"/>
  <c r="B15" i="1"/>
  <c r="H108" i="2"/>
  <c r="L74" i="4"/>
  <c r="B18" i="1"/>
  <c r="H74" i="4"/>
  <c r="M8" i="2"/>
  <c r="L7" i="6"/>
  <c r="E11" i="1"/>
  <c r="D75" i="3"/>
  <c r="H29" i="5"/>
  <c r="D40" i="4"/>
  <c r="L52" i="2"/>
  <c r="M73" i="4"/>
  <c r="P73" i="4" s="1"/>
  <c r="H53" i="2"/>
  <c r="D84" i="5"/>
  <c r="L7" i="5"/>
  <c r="P95" i="2"/>
  <c r="P98" i="2"/>
  <c r="P51" i="4"/>
  <c r="P54" i="4"/>
  <c r="P62" i="5"/>
  <c r="P65" i="5"/>
  <c r="P73" i="6"/>
  <c r="P76" i="6"/>
  <c r="P62" i="2"/>
  <c r="P65" i="2"/>
  <c r="N54" i="2" l="1"/>
  <c r="J18" i="4"/>
  <c r="J51" i="2"/>
  <c r="J40" i="5"/>
  <c r="J57" i="4"/>
  <c r="J56" i="4"/>
  <c r="J8" i="5"/>
  <c r="N106" i="2"/>
  <c r="N29" i="3"/>
  <c r="J62" i="3"/>
  <c r="J95" i="3"/>
  <c r="N95" i="6"/>
  <c r="J101" i="2"/>
  <c r="J100" i="2"/>
  <c r="J51" i="6"/>
  <c r="J73" i="2"/>
  <c r="J100" i="3"/>
  <c r="J101" i="3"/>
  <c r="J89" i="5"/>
  <c r="J90" i="5"/>
  <c r="J95" i="2"/>
  <c r="J78" i="4"/>
  <c r="J79" i="4"/>
  <c r="N18" i="4"/>
  <c r="E19" i="1"/>
  <c r="N40" i="4"/>
  <c r="J29" i="6"/>
  <c r="J90" i="4"/>
  <c r="J89" i="4"/>
  <c r="J57" i="6"/>
  <c r="J56" i="6"/>
  <c r="J112" i="2"/>
  <c r="J111" i="2"/>
  <c r="J101" i="6"/>
  <c r="J100" i="6"/>
  <c r="N75" i="3"/>
  <c r="F19" i="1"/>
  <c r="N73" i="4"/>
  <c r="N29" i="2"/>
  <c r="N40" i="2"/>
  <c r="N95" i="2"/>
  <c r="J74" i="4"/>
  <c r="N96" i="2"/>
  <c r="N74" i="4"/>
  <c r="J74" i="5"/>
  <c r="J68" i="3"/>
  <c r="J67" i="3"/>
  <c r="N51" i="4"/>
  <c r="N98" i="2"/>
  <c r="J111" i="6"/>
  <c r="J112" i="6"/>
  <c r="J78" i="3"/>
  <c r="J79" i="3"/>
  <c r="N106" i="3"/>
  <c r="N73" i="6"/>
  <c r="N84" i="4"/>
  <c r="N62" i="3"/>
  <c r="N52" i="2"/>
  <c r="J40" i="2"/>
  <c r="J57" i="2"/>
  <c r="J56" i="2"/>
  <c r="J73" i="3"/>
  <c r="J74" i="6"/>
  <c r="J67" i="2"/>
  <c r="J68" i="2"/>
  <c r="N18" i="5"/>
  <c r="J97" i="2"/>
  <c r="J18" i="3"/>
  <c r="N85" i="4"/>
  <c r="J40" i="4"/>
  <c r="N40" i="5"/>
  <c r="J62" i="2"/>
  <c r="N97" i="2"/>
  <c r="J108" i="2"/>
  <c r="N75" i="4"/>
  <c r="J51" i="4"/>
  <c r="N76" i="4"/>
  <c r="J18" i="5"/>
  <c r="J67" i="5"/>
  <c r="J68" i="5"/>
  <c r="N62" i="2"/>
  <c r="J79" i="2"/>
  <c r="J78" i="2"/>
  <c r="J29" i="3"/>
  <c r="J62" i="5"/>
  <c r="J7" i="2"/>
  <c r="J111" i="5"/>
  <c r="J112" i="5"/>
  <c r="N18" i="2"/>
  <c r="J7" i="6"/>
  <c r="N29" i="6"/>
  <c r="J78" i="6"/>
  <c r="J79" i="6"/>
  <c r="N7" i="6"/>
  <c r="J106" i="2"/>
  <c r="J84" i="4"/>
  <c r="N51" i="6"/>
  <c r="G19" i="1"/>
  <c r="J29" i="2"/>
  <c r="H19" i="1"/>
  <c r="J96" i="2"/>
  <c r="N51" i="2"/>
  <c r="J95" i="6"/>
  <c r="J52" i="2"/>
  <c r="N62" i="5"/>
  <c r="D19" i="1"/>
  <c r="N73" i="2"/>
  <c r="J73" i="6"/>
  <c r="N7" i="2"/>
  <c r="J73" i="4"/>
  <c r="B9" i="4"/>
  <c r="B87" i="3"/>
  <c r="B42" i="5"/>
  <c r="L48" i="6"/>
  <c r="F51" i="6"/>
  <c r="F52" i="6" s="1"/>
  <c r="F53" i="6" s="1"/>
  <c r="F54" i="6" s="1"/>
  <c r="L17" i="4"/>
  <c r="M17" i="4"/>
  <c r="B65" i="5"/>
  <c r="F29" i="5"/>
  <c r="F30" i="5" s="1"/>
  <c r="F31" i="5" s="1"/>
  <c r="F32" i="5" s="1"/>
  <c r="L26" i="5"/>
  <c r="B31" i="5"/>
  <c r="B64" i="3"/>
  <c r="B53" i="5"/>
  <c r="B20" i="4"/>
  <c r="B86" i="5"/>
  <c r="B97" i="6"/>
  <c r="B9" i="6"/>
  <c r="B75" i="2"/>
  <c r="B9" i="2"/>
  <c r="F95" i="6"/>
  <c r="F96" i="6" s="1"/>
  <c r="F97" i="6" s="1"/>
  <c r="F98" i="6" s="1"/>
  <c r="L92" i="6"/>
  <c r="L94" i="6" s="1"/>
  <c r="B10" i="5"/>
  <c r="B108" i="5"/>
  <c r="B19" i="6"/>
  <c r="B43" i="3"/>
  <c r="M6" i="4"/>
  <c r="L59" i="6"/>
  <c r="F40" i="5"/>
  <c r="F41" i="5" s="1"/>
  <c r="F42" i="5" s="1"/>
  <c r="F43" i="5" s="1"/>
  <c r="L37" i="5"/>
  <c r="L39" i="5" s="1"/>
  <c r="B41" i="6"/>
  <c r="F51" i="2"/>
  <c r="F52" i="2" s="1"/>
  <c r="F53" i="2" s="1"/>
  <c r="F54" i="2" s="1"/>
  <c r="L48" i="2"/>
  <c r="M50" i="2" s="1"/>
  <c r="B53" i="3"/>
  <c r="B75" i="5"/>
  <c r="B63" i="6"/>
  <c r="M83" i="6"/>
  <c r="L83" i="6"/>
  <c r="L94" i="3"/>
  <c r="L72" i="3"/>
  <c r="L50" i="3"/>
  <c r="L28" i="3"/>
  <c r="L6" i="3"/>
  <c r="L105" i="3"/>
  <c r="L83" i="3"/>
  <c r="L17" i="3"/>
  <c r="B107" i="6"/>
  <c r="B31" i="6"/>
  <c r="B53" i="6"/>
  <c r="F18" i="2"/>
  <c r="F19" i="2" s="1"/>
  <c r="F20" i="2" s="1"/>
  <c r="F21" i="2" s="1"/>
  <c r="L39" i="3"/>
  <c r="B107" i="3"/>
  <c r="B96" i="4"/>
  <c r="B86" i="6"/>
  <c r="B21" i="3"/>
  <c r="B85" i="2"/>
  <c r="B63" i="4"/>
  <c r="B30" i="4"/>
  <c r="B20" i="5"/>
  <c r="M94" i="5"/>
  <c r="F7" i="5"/>
  <c r="F8" i="5" s="1"/>
  <c r="F9" i="5" s="1"/>
  <c r="F10" i="5" s="1"/>
  <c r="L4" i="5"/>
  <c r="L6" i="5" s="1"/>
  <c r="B97" i="5"/>
  <c r="B20" i="2"/>
  <c r="B108" i="4"/>
  <c r="M28" i="4"/>
  <c r="M39" i="5"/>
  <c r="M61" i="5"/>
  <c r="Z653" i="7"/>
  <c r="I651" i="7"/>
  <c r="G654" i="7"/>
  <c r="B31" i="2"/>
  <c r="B8" i="3"/>
  <c r="B109" i="2"/>
  <c r="F51" i="5"/>
  <c r="F52" i="5" s="1"/>
  <c r="F53" i="5" s="1"/>
  <c r="F54" i="5" s="1"/>
  <c r="L48" i="5"/>
  <c r="L50" i="5" s="1"/>
  <c r="L94" i="2"/>
  <c r="L72" i="2"/>
  <c r="L28" i="2"/>
  <c r="L6" i="2"/>
  <c r="L105" i="2"/>
  <c r="L83" i="2"/>
  <c r="L61" i="2"/>
  <c r="L39" i="2"/>
  <c r="L17" i="2"/>
  <c r="F62" i="2"/>
  <c r="F63" i="2" s="1"/>
  <c r="F64" i="2" s="1"/>
  <c r="F65" i="2" s="1"/>
  <c r="M50" i="5"/>
  <c r="Q10" i="8"/>
  <c r="B42" i="4"/>
  <c r="M17" i="2"/>
  <c r="B64" i="2"/>
  <c r="F84" i="2"/>
  <c r="F85" i="2" s="1"/>
  <c r="F86" i="2" s="1"/>
  <c r="F87" i="2" s="1"/>
  <c r="M105" i="4"/>
  <c r="M83" i="4"/>
  <c r="M94" i="2"/>
  <c r="B30" i="3"/>
  <c r="B96" i="3"/>
  <c r="B52" i="4"/>
  <c r="M72" i="4"/>
  <c r="AI10" i="8"/>
  <c r="L105" i="6"/>
  <c r="M50" i="3"/>
  <c r="M17" i="3"/>
  <c r="B42" i="2"/>
  <c r="M94" i="4"/>
  <c r="P10" i="9"/>
  <c r="AB651" i="7"/>
  <c r="Z654" i="7"/>
  <c r="L50" i="6"/>
  <c r="B86" i="4"/>
  <c r="M72" i="6"/>
  <c r="M50" i="6"/>
  <c r="M28" i="6"/>
  <c r="M6" i="6"/>
  <c r="J652" i="7"/>
  <c r="Y652" i="9"/>
  <c r="P10" i="8"/>
  <c r="AA651" i="8"/>
  <c r="Y654" i="8"/>
  <c r="AH10" i="10"/>
  <c r="AA653" i="7"/>
  <c r="F651" i="7"/>
  <c r="G651" i="7"/>
  <c r="AB653" i="7"/>
  <c r="G653" i="8"/>
  <c r="H653" i="8"/>
  <c r="I653" i="8"/>
  <c r="P51" i="2"/>
  <c r="P54" i="6"/>
  <c r="P76" i="2"/>
  <c r="P109" i="6"/>
  <c r="P65" i="3"/>
  <c r="P109" i="5"/>
  <c r="P54" i="2"/>
  <c r="P73" i="2"/>
  <c r="P51" i="6"/>
  <c r="P106" i="2"/>
  <c r="P62" i="3"/>
  <c r="P76" i="3"/>
  <c r="P109" i="2"/>
  <c r="D98" i="2"/>
  <c r="L40" i="3"/>
  <c r="L96" i="6"/>
  <c r="D7" i="5"/>
  <c r="H64" i="5"/>
  <c r="D63" i="5"/>
  <c r="M85" i="6"/>
  <c r="D107" i="5"/>
  <c r="H84" i="3"/>
  <c r="H40" i="6"/>
  <c r="L73" i="5"/>
  <c r="L106" i="5"/>
  <c r="M51" i="5"/>
  <c r="D96" i="5"/>
  <c r="D75" i="6"/>
  <c r="H18" i="6"/>
  <c r="H52" i="5"/>
  <c r="D40" i="6"/>
  <c r="M107" i="5"/>
  <c r="D86" i="3"/>
  <c r="D106" i="4"/>
  <c r="L76" i="3"/>
  <c r="H63" i="3"/>
  <c r="D30" i="5"/>
  <c r="D106" i="3"/>
  <c r="M40" i="6"/>
  <c r="L52" i="5"/>
  <c r="L19" i="2"/>
  <c r="M85" i="3"/>
  <c r="H8" i="2"/>
  <c r="M51" i="3"/>
  <c r="M95" i="5"/>
  <c r="D76" i="3"/>
  <c r="L75" i="6"/>
  <c r="D85" i="4"/>
  <c r="M107" i="4"/>
  <c r="L41" i="2"/>
  <c r="H96" i="5"/>
  <c r="L19" i="3"/>
  <c r="D85" i="6"/>
  <c r="L52" i="6"/>
  <c r="D62" i="4"/>
  <c r="H8" i="6"/>
  <c r="M19" i="5"/>
  <c r="M18" i="6"/>
  <c r="H30" i="5"/>
  <c r="H8" i="4"/>
  <c r="H86" i="3"/>
  <c r="D19" i="5"/>
  <c r="D52" i="6"/>
  <c r="L62" i="6"/>
  <c r="H20" i="3"/>
  <c r="L8" i="5"/>
  <c r="L63" i="3"/>
  <c r="M95" i="4"/>
  <c r="D76" i="6"/>
  <c r="L7" i="4"/>
  <c r="D95" i="4"/>
  <c r="H7" i="5"/>
  <c r="D52" i="3"/>
  <c r="L95" i="4"/>
  <c r="H106" i="4"/>
  <c r="D73" i="5"/>
  <c r="D9" i="5"/>
  <c r="M8" i="6"/>
  <c r="D41" i="3"/>
  <c r="L84" i="3"/>
  <c r="H54" i="2"/>
  <c r="D85" i="3"/>
  <c r="L18" i="6"/>
  <c r="H74" i="2"/>
  <c r="D52" i="5"/>
  <c r="L30" i="5"/>
  <c r="L64" i="5"/>
  <c r="H63" i="2"/>
  <c r="D20" i="3"/>
  <c r="D54" i="2"/>
  <c r="L52" i="3"/>
  <c r="H106" i="5"/>
  <c r="D41" i="5"/>
  <c r="L107" i="2"/>
  <c r="H85" i="5"/>
  <c r="D19" i="2"/>
  <c r="L84" i="2"/>
  <c r="H9" i="5"/>
  <c r="M41" i="5"/>
  <c r="M84" i="5"/>
  <c r="M63" i="3"/>
  <c r="L86" i="3"/>
  <c r="H107" i="4"/>
  <c r="H19" i="3"/>
  <c r="H107" i="5"/>
  <c r="M74" i="5"/>
  <c r="H76" i="6"/>
  <c r="D41" i="4"/>
  <c r="L85" i="3"/>
  <c r="H95" i="4"/>
  <c r="M86" i="3"/>
  <c r="H41" i="2"/>
  <c r="L74" i="2"/>
  <c r="D8" i="4"/>
  <c r="M7" i="3"/>
  <c r="H41" i="5"/>
  <c r="M85" i="5"/>
  <c r="M42" i="3"/>
  <c r="L74" i="3"/>
  <c r="L20" i="3"/>
  <c r="L95" i="5"/>
  <c r="M30" i="6"/>
  <c r="H106" i="3"/>
  <c r="H75" i="6"/>
  <c r="L8" i="6"/>
  <c r="M52" i="3"/>
  <c r="D51" i="3"/>
  <c r="L63" i="5"/>
  <c r="D84" i="3"/>
  <c r="D18" i="2"/>
  <c r="H19" i="5"/>
  <c r="H52" i="6"/>
  <c r="M41" i="3"/>
  <c r="M96" i="5"/>
  <c r="L73" i="3"/>
  <c r="H96" i="6"/>
  <c r="H19" i="2"/>
  <c r="M30" i="5"/>
  <c r="H98" i="2"/>
  <c r="H7" i="3"/>
  <c r="D107" i="4"/>
  <c r="H30" i="2"/>
  <c r="D8" i="6"/>
  <c r="L8" i="4"/>
  <c r="M19" i="3"/>
  <c r="D62" i="6"/>
  <c r="P62" i="6" s="1"/>
  <c r="L51" i="3"/>
  <c r="L41" i="4"/>
  <c r="M76" i="6"/>
  <c r="M73" i="5"/>
  <c r="L106" i="6"/>
  <c r="M7" i="4"/>
  <c r="M96" i="6"/>
  <c r="H62" i="4"/>
  <c r="D96" i="6"/>
  <c r="H85" i="6"/>
  <c r="M106" i="5"/>
  <c r="P106" i="5" s="1"/>
  <c r="D51" i="5"/>
  <c r="H42" i="3"/>
  <c r="D95" i="5"/>
  <c r="P95" i="5" s="1"/>
  <c r="M73" i="3"/>
  <c r="P73" i="3" s="1"/>
  <c r="M95" i="3"/>
  <c r="M84" i="6"/>
  <c r="L30" i="2"/>
  <c r="M8" i="4"/>
  <c r="D29" i="5"/>
  <c r="L85" i="6"/>
  <c r="L63" i="2"/>
  <c r="H29" i="4"/>
  <c r="M7" i="5"/>
  <c r="L41" i="5"/>
  <c r="H84" i="2"/>
  <c r="M62" i="6"/>
  <c r="H19" i="4"/>
  <c r="L84" i="5"/>
  <c r="L9" i="5"/>
  <c r="M74" i="2"/>
  <c r="D64" i="5"/>
  <c r="H107" i="2"/>
  <c r="M41" i="4"/>
  <c r="L42" i="3"/>
  <c r="H75" i="4"/>
  <c r="D84" i="2"/>
  <c r="L29" i="4"/>
  <c r="H52" i="3"/>
  <c r="D29" i="4"/>
  <c r="H76" i="3"/>
  <c r="M19" i="4"/>
  <c r="D7" i="3"/>
  <c r="H95" i="5"/>
  <c r="P98" i="5" s="1"/>
  <c r="D42" i="3"/>
  <c r="D19" i="3"/>
  <c r="H84" i="5"/>
  <c r="L19" i="4"/>
  <c r="M29" i="5"/>
  <c r="L40" i="6"/>
  <c r="D63" i="3"/>
  <c r="L107" i="4"/>
  <c r="D19" i="4"/>
  <c r="L8" i="2"/>
  <c r="H41" i="3"/>
  <c r="D40" i="3"/>
  <c r="L51" i="5"/>
  <c r="M106" i="6"/>
  <c r="P106" i="6" s="1"/>
  <c r="H85" i="3"/>
  <c r="D85" i="5"/>
  <c r="D74" i="2"/>
  <c r="L95" i="3"/>
  <c r="L106" i="4"/>
  <c r="L84" i="6"/>
  <c r="L18" i="3"/>
  <c r="L7" i="3"/>
  <c r="D53" i="2"/>
  <c r="H106" i="6"/>
  <c r="H76" i="4"/>
  <c r="M74" i="6"/>
  <c r="L107" i="5"/>
  <c r="H62" i="6"/>
  <c r="P65" i="6" s="1"/>
  <c r="D18" i="6"/>
  <c r="H30" i="6"/>
  <c r="H7" i="4"/>
  <c r="M9" i="5"/>
  <c r="M108" i="2"/>
  <c r="D84" i="6"/>
  <c r="M76" i="3"/>
  <c r="L62" i="4"/>
  <c r="H75" i="3"/>
  <c r="L53" i="2"/>
  <c r="D74" i="3"/>
  <c r="L30" i="6"/>
  <c r="M52" i="5"/>
  <c r="D7" i="4"/>
  <c r="P95" i="4"/>
  <c r="P98" i="4"/>
  <c r="P76" i="5"/>
  <c r="P73" i="5"/>
  <c r="P87" i="2"/>
  <c r="P84" i="2"/>
  <c r="P106" i="4"/>
  <c r="P109" i="4"/>
  <c r="P84" i="6"/>
  <c r="P87" i="6"/>
  <c r="P62" i="4"/>
  <c r="P65" i="4"/>
  <c r="N41" i="3" l="1"/>
  <c r="N52" i="3"/>
  <c r="N107" i="4"/>
  <c r="N75" i="6"/>
  <c r="N51" i="3"/>
  <c r="N8" i="5"/>
  <c r="N7" i="3"/>
  <c r="N107" i="5"/>
  <c r="N84" i="2"/>
  <c r="N51" i="5"/>
  <c r="J84" i="3"/>
  <c r="J75" i="3"/>
  <c r="J107" i="2"/>
  <c r="N96" i="6"/>
  <c r="N63" i="2"/>
  <c r="J76" i="3"/>
  <c r="N96" i="5"/>
  <c r="J52" i="6"/>
  <c r="N63" i="5"/>
  <c r="J100" i="4"/>
  <c r="J101" i="4"/>
  <c r="N18" i="3"/>
  <c r="J63" i="2"/>
  <c r="N95" i="4"/>
  <c r="N40" i="6"/>
  <c r="J9" i="5"/>
  <c r="J8" i="4"/>
  <c r="N18" i="6"/>
  <c r="N8" i="6"/>
  <c r="J8" i="6"/>
  <c r="N85" i="6"/>
  <c r="J85" i="6"/>
  <c r="N76" i="3"/>
  <c r="J41" i="3"/>
  <c r="N29" i="5"/>
  <c r="N30" i="5"/>
  <c r="J19" i="2"/>
  <c r="J75" i="6"/>
  <c r="N53" i="2"/>
  <c r="J85" i="4"/>
  <c r="N85" i="5"/>
  <c r="N64" i="5"/>
  <c r="N84" i="5"/>
  <c r="J112" i="4"/>
  <c r="J111" i="4"/>
  <c r="J85" i="5"/>
  <c r="J54" i="2"/>
  <c r="J67" i="4"/>
  <c r="J68" i="4"/>
  <c r="J63" i="5"/>
  <c r="N74" i="6"/>
  <c r="J76" i="4"/>
  <c r="J62" i="4"/>
  <c r="N9" i="5"/>
  <c r="N7" i="4"/>
  <c r="N8" i="2"/>
  <c r="J52" i="3"/>
  <c r="J29" i="5"/>
  <c r="N8" i="4"/>
  <c r="J19" i="5"/>
  <c r="J56" i="3"/>
  <c r="J57" i="3"/>
  <c r="J51" i="3"/>
  <c r="J106" i="3"/>
  <c r="J95" i="4"/>
  <c r="J41" i="4"/>
  <c r="J8" i="2"/>
  <c r="N19" i="2"/>
  <c r="J112" i="3"/>
  <c r="J111" i="3"/>
  <c r="N107" i="2"/>
  <c r="J78" i="5"/>
  <c r="J79" i="5"/>
  <c r="J73" i="5"/>
  <c r="N52" i="6"/>
  <c r="J64" i="5"/>
  <c r="N62" i="4"/>
  <c r="J56" i="5"/>
  <c r="J57" i="5"/>
  <c r="J51" i="5"/>
  <c r="N106" i="6"/>
  <c r="N106" i="5"/>
  <c r="N106" i="4"/>
  <c r="J84" i="5"/>
  <c r="N29" i="4"/>
  <c r="J19" i="4"/>
  <c r="N73" i="5"/>
  <c r="N30" i="2"/>
  <c r="J67" i="6"/>
  <c r="J68" i="6"/>
  <c r="J30" i="2"/>
  <c r="N30" i="6"/>
  <c r="J62" i="6"/>
  <c r="J107" i="5"/>
  <c r="J19" i="3"/>
  <c r="J107" i="4"/>
  <c r="J20" i="3"/>
  <c r="J52" i="5"/>
  <c r="J30" i="5"/>
  <c r="J106" i="4"/>
  <c r="N41" i="4"/>
  <c r="N19" i="4"/>
  <c r="J40" i="3"/>
  <c r="J90" i="2"/>
  <c r="J89" i="2"/>
  <c r="N62" i="6"/>
  <c r="J96" i="6"/>
  <c r="N84" i="6"/>
  <c r="J18" i="2"/>
  <c r="N74" i="5"/>
  <c r="J42" i="3"/>
  <c r="J41" i="5"/>
  <c r="J106" i="5"/>
  <c r="N19" i="5"/>
  <c r="N52" i="5"/>
  <c r="N7" i="5"/>
  <c r="J29" i="4"/>
  <c r="J7" i="4"/>
  <c r="J53" i="2"/>
  <c r="J75" i="4"/>
  <c r="J84" i="2"/>
  <c r="N76" i="6"/>
  <c r="N95" i="3"/>
  <c r="J90" i="3"/>
  <c r="J89" i="3"/>
  <c r="J7" i="3"/>
  <c r="N20" i="3"/>
  <c r="J100" i="5"/>
  <c r="J101" i="5"/>
  <c r="N42" i="3"/>
  <c r="J76" i="6"/>
  <c r="N63" i="3"/>
  <c r="N41" i="5"/>
  <c r="J41" i="2"/>
  <c r="J18" i="6"/>
  <c r="J74" i="2"/>
  <c r="N84" i="3"/>
  <c r="J96" i="5"/>
  <c r="N40" i="3"/>
  <c r="J89" i="6"/>
  <c r="J90" i="6"/>
  <c r="J84" i="6"/>
  <c r="N108" i="2"/>
  <c r="J30" i="6"/>
  <c r="J95" i="5"/>
  <c r="N73" i="3"/>
  <c r="N19" i="3"/>
  <c r="J98" i="2"/>
  <c r="N74" i="3"/>
  <c r="N95" i="5"/>
  <c r="N85" i="3"/>
  <c r="J63" i="3"/>
  <c r="N86" i="3"/>
  <c r="J86" i="3"/>
  <c r="J40" i="6"/>
  <c r="J7" i="5"/>
  <c r="N41" i="2"/>
  <c r="J74" i="3"/>
  <c r="J106" i="6"/>
  <c r="J85" i="3"/>
  <c r="N74" i="2"/>
  <c r="B32" i="5"/>
  <c r="B109" i="5"/>
  <c r="B108" i="3"/>
  <c r="B10" i="6"/>
  <c r="B21" i="5"/>
  <c r="B98" i="6"/>
  <c r="B9" i="3"/>
  <c r="B108" i="6"/>
  <c r="B20" i="6"/>
  <c r="M6" i="5"/>
  <c r="B87" i="5"/>
  <c r="B98" i="5"/>
  <c r="M28" i="5"/>
  <c r="L28" i="5"/>
  <c r="B54" i="3"/>
  <c r="B31" i="4"/>
  <c r="M61" i="6"/>
  <c r="L61" i="6"/>
  <c r="L50" i="2"/>
  <c r="B97" i="3"/>
  <c r="B64" i="6"/>
  <c r="B32" i="2"/>
  <c r="B76" i="2"/>
  <c r="B64" i="4"/>
  <c r="B42" i="6"/>
  <c r="B43" i="4"/>
  <c r="B87" i="6"/>
  <c r="B53" i="4"/>
  <c r="B31" i="3"/>
  <c r="B21" i="4"/>
  <c r="B32" i="6"/>
  <c r="B10" i="4"/>
  <c r="B87" i="4"/>
  <c r="B54" i="6"/>
  <c r="B54" i="5"/>
  <c r="B43" i="5"/>
  <c r="B86" i="2"/>
  <c r="B65" i="2"/>
  <c r="M94" i="6"/>
  <c r="B76" i="5"/>
  <c r="B65" i="3"/>
  <c r="B97" i="4"/>
  <c r="B109" i="4"/>
  <c r="B43" i="2"/>
  <c r="B10" i="2"/>
  <c r="B21" i="2"/>
  <c r="P98" i="3"/>
  <c r="P54" i="5"/>
  <c r="P87" i="5"/>
  <c r="P51" i="5"/>
  <c r="P95" i="3"/>
  <c r="P54" i="3"/>
  <c r="P84" i="3"/>
  <c r="P109" i="3"/>
  <c r="P84" i="5"/>
  <c r="P87" i="3"/>
  <c r="P51" i="3"/>
  <c r="P106" i="3"/>
  <c r="D42" i="2"/>
  <c r="M20" i="2"/>
  <c r="D63" i="4"/>
  <c r="H9" i="6"/>
  <c r="H20" i="4"/>
  <c r="M9" i="4"/>
  <c r="H9" i="4"/>
  <c r="M96" i="3"/>
  <c r="H41" i="6"/>
  <c r="M108" i="4"/>
  <c r="D109" i="2"/>
  <c r="L63" i="6"/>
  <c r="M85" i="2"/>
  <c r="M31" i="6"/>
  <c r="D20" i="2"/>
  <c r="L21" i="3"/>
  <c r="L31" i="2"/>
  <c r="H31" i="2"/>
  <c r="D64" i="3"/>
  <c r="H64" i="2"/>
  <c r="L86" i="5"/>
  <c r="H107" i="3"/>
  <c r="D30" i="4"/>
  <c r="H31" i="6"/>
  <c r="D107" i="6"/>
  <c r="L63" i="4"/>
  <c r="L30" i="3"/>
  <c r="D86" i="4"/>
  <c r="L20" i="4"/>
  <c r="H63" i="4"/>
  <c r="H64" i="3"/>
  <c r="H30" i="3"/>
  <c r="D41" i="6"/>
  <c r="D20" i="5"/>
  <c r="L85" i="2"/>
  <c r="H109" i="2"/>
  <c r="H87" i="3"/>
  <c r="L42" i="2"/>
  <c r="M9" i="6"/>
  <c r="H96" i="4"/>
  <c r="M108" i="5"/>
  <c r="D53" i="3"/>
  <c r="H86" i="5"/>
  <c r="D31" i="2"/>
  <c r="H86" i="4"/>
  <c r="D31" i="6"/>
  <c r="M42" i="5"/>
  <c r="M53" i="3"/>
  <c r="D97" i="6"/>
  <c r="L97" i="6"/>
  <c r="L19" i="6"/>
  <c r="M75" i="2"/>
  <c r="M97" i="6"/>
  <c r="H42" i="5"/>
  <c r="H42" i="4"/>
  <c r="D75" i="5"/>
  <c r="M64" i="3"/>
  <c r="H96" i="3"/>
  <c r="H20" i="2"/>
  <c r="L65" i="5"/>
  <c r="H9" i="2"/>
  <c r="L108" i="4"/>
  <c r="M86" i="5"/>
  <c r="H108" i="4"/>
  <c r="M63" i="4"/>
  <c r="L9" i="6"/>
  <c r="M8" i="3"/>
  <c r="M20" i="4"/>
  <c r="H42" i="2"/>
  <c r="L108" i="5"/>
  <c r="L97" i="5"/>
  <c r="D52" i="4"/>
  <c r="D53" i="6"/>
  <c r="M86" i="4"/>
  <c r="L53" i="5"/>
  <c r="H31" i="5"/>
  <c r="H97" i="6"/>
  <c r="D9" i="2"/>
  <c r="H10" i="5"/>
  <c r="L86" i="6"/>
  <c r="D19" i="6"/>
  <c r="M31" i="5"/>
  <c r="L41" i="6"/>
  <c r="L64" i="3"/>
  <c r="H86" i="6"/>
  <c r="D31" i="5"/>
  <c r="L20" i="2"/>
  <c r="M20" i="5"/>
  <c r="H85" i="2"/>
  <c r="D96" i="3"/>
  <c r="H52" i="4"/>
  <c r="D30" i="3"/>
  <c r="D85" i="2"/>
  <c r="H108" i="5"/>
  <c r="M87" i="3"/>
  <c r="M30" i="4"/>
  <c r="H8" i="3"/>
  <c r="M86" i="6"/>
  <c r="D10" i="5"/>
  <c r="M65" i="5"/>
  <c r="D108" i="4"/>
  <c r="D96" i="4"/>
  <c r="H63" i="6"/>
  <c r="M52" i="4"/>
  <c r="D9" i="6"/>
  <c r="L10" i="5"/>
  <c r="L75" i="5"/>
  <c r="H30" i="4"/>
  <c r="D20" i="4"/>
  <c r="M31" i="2"/>
  <c r="L30" i="4"/>
  <c r="L42" i="5"/>
  <c r="D53" i="5"/>
  <c r="H20" i="5"/>
  <c r="M107" i="6"/>
  <c r="M41" i="6"/>
  <c r="H53" i="6"/>
  <c r="H19" i="6"/>
  <c r="M19" i="6"/>
  <c r="L9" i="2"/>
  <c r="D9" i="4"/>
  <c r="L42" i="4"/>
  <c r="M53" i="6"/>
  <c r="D86" i="5"/>
  <c r="M97" i="5"/>
  <c r="L64" i="2"/>
  <c r="H97" i="5"/>
  <c r="D63" i="6"/>
  <c r="D65" i="5"/>
  <c r="L31" i="6"/>
  <c r="D21" i="3"/>
  <c r="D108" i="5"/>
  <c r="L53" i="3"/>
  <c r="D42" i="4"/>
  <c r="L43" i="3"/>
  <c r="M96" i="4"/>
  <c r="L53" i="6"/>
  <c r="M109" i="2"/>
  <c r="L96" i="3"/>
  <c r="H43" i="3"/>
  <c r="M107" i="3"/>
  <c r="L31" i="5"/>
  <c r="L96" i="4"/>
  <c r="L107" i="6"/>
  <c r="H53" i="3"/>
  <c r="L86" i="4"/>
  <c r="L9" i="4"/>
  <c r="M42" i="2"/>
  <c r="D8" i="3"/>
  <c r="M63" i="6"/>
  <c r="M42" i="4"/>
  <c r="D64" i="2"/>
  <c r="M43" i="3"/>
  <c r="D43" i="3"/>
  <c r="M21" i="3"/>
  <c r="D107" i="3"/>
  <c r="D75" i="2"/>
  <c r="D42" i="5"/>
  <c r="L20" i="5"/>
  <c r="H75" i="2"/>
  <c r="D87" i="3"/>
  <c r="D97" i="5"/>
  <c r="L87" i="3"/>
  <c r="M10" i="5"/>
  <c r="H107" i="6"/>
  <c r="L8" i="3"/>
  <c r="M53" i="5"/>
  <c r="M64" i="2"/>
  <c r="L52" i="4"/>
  <c r="H75" i="5"/>
  <c r="L109" i="2"/>
  <c r="L75" i="2"/>
  <c r="L107" i="3"/>
  <c r="H53" i="5"/>
  <c r="H21" i="3"/>
  <c r="D86" i="6"/>
  <c r="H65" i="5"/>
  <c r="M30" i="3"/>
  <c r="M9" i="2"/>
  <c r="M75" i="5"/>
  <c r="P43" i="3"/>
  <c r="P40" i="3"/>
  <c r="P10" i="5"/>
  <c r="P7" i="5"/>
  <c r="P21" i="3"/>
  <c r="P18" i="3"/>
  <c r="N8" i="3" l="1"/>
  <c r="N108" i="4"/>
  <c r="J87" i="3"/>
  <c r="J108" i="4"/>
  <c r="J9" i="4"/>
  <c r="N42" i="4"/>
  <c r="N63" i="6"/>
  <c r="N97" i="5"/>
  <c r="J42" i="4"/>
  <c r="N97" i="6"/>
  <c r="J31" i="5"/>
  <c r="N109" i="2"/>
  <c r="J85" i="2"/>
  <c r="N31" i="6"/>
  <c r="J23" i="3"/>
  <c r="J24" i="3"/>
  <c r="J96" i="4"/>
  <c r="J41" i="6"/>
  <c r="N96" i="3"/>
  <c r="N86" i="5"/>
  <c r="N9" i="4"/>
  <c r="J97" i="6"/>
  <c r="J21" i="3"/>
  <c r="J31" i="6"/>
  <c r="N21" i="3"/>
  <c r="N96" i="4"/>
  <c r="N42" i="5"/>
  <c r="N41" i="6"/>
  <c r="J86" i="5"/>
  <c r="N20" i="5"/>
  <c r="N20" i="4"/>
  <c r="N9" i="6"/>
  <c r="J109" i="2"/>
  <c r="J20" i="4"/>
  <c r="N64" i="3"/>
  <c r="N87" i="3"/>
  <c r="J65" i="5"/>
  <c r="J42" i="5"/>
  <c r="J10" i="5"/>
  <c r="J63" i="6"/>
  <c r="J20" i="5"/>
  <c r="N63" i="4"/>
  <c r="J9" i="2"/>
  <c r="J30" i="3"/>
  <c r="J9" i="6"/>
  <c r="N9" i="2"/>
  <c r="J53" i="5"/>
  <c r="J75" i="2"/>
  <c r="N107" i="3"/>
  <c r="N53" i="6"/>
  <c r="J43" i="3"/>
  <c r="N75" i="2"/>
  <c r="J53" i="6"/>
  <c r="J45" i="3"/>
  <c r="J46" i="3"/>
  <c r="J64" i="2"/>
  <c r="N107" i="6"/>
  <c r="J12" i="5"/>
  <c r="J13" i="5"/>
  <c r="J64" i="3"/>
  <c r="N75" i="5"/>
  <c r="N30" i="4"/>
  <c r="J30" i="4"/>
  <c r="J19" i="6"/>
  <c r="J75" i="5"/>
  <c r="J107" i="3"/>
  <c r="N43" i="3"/>
  <c r="N53" i="3"/>
  <c r="J86" i="4"/>
  <c r="J53" i="3"/>
  <c r="N108" i="5"/>
  <c r="N85" i="2"/>
  <c r="J97" i="5"/>
  <c r="N65" i="5"/>
  <c r="N86" i="6"/>
  <c r="J20" i="2"/>
  <c r="J63" i="4"/>
  <c r="N20" i="2"/>
  <c r="N10" i="5"/>
  <c r="N53" i="5"/>
  <c r="N30" i="3"/>
  <c r="N19" i="6"/>
  <c r="J52" i="4"/>
  <c r="J107" i="6"/>
  <c r="N42" i="2"/>
  <c r="N86" i="4"/>
  <c r="N52" i="4"/>
  <c r="J31" i="2"/>
  <c r="J42" i="2"/>
  <c r="J86" i="6"/>
  <c r="N31" i="2"/>
  <c r="J8" i="3"/>
  <c r="N31" i="5"/>
  <c r="J96" i="3"/>
  <c r="N64" i="2"/>
  <c r="J108" i="5"/>
  <c r="B10" i="3"/>
  <c r="B65" i="6"/>
  <c r="B98" i="3"/>
  <c r="B43" i="6"/>
  <c r="B98" i="4"/>
  <c r="B87" i="2"/>
  <c r="B65" i="4"/>
  <c r="B32" i="4"/>
  <c r="B109" i="3"/>
  <c r="B54" i="4"/>
  <c r="B109" i="6"/>
  <c r="B32" i="3"/>
  <c r="B21" i="6"/>
  <c r="H31" i="4"/>
  <c r="L54" i="6"/>
  <c r="L31" i="4"/>
  <c r="M32" i="6"/>
  <c r="D20" i="6"/>
  <c r="M54" i="5"/>
  <c r="D10" i="4"/>
  <c r="L87" i="5"/>
  <c r="M43" i="2"/>
  <c r="D87" i="4"/>
  <c r="M87" i="4"/>
  <c r="M109" i="4"/>
  <c r="M109" i="5"/>
  <c r="H108" i="3"/>
  <c r="M86" i="2"/>
  <c r="H32" i="2"/>
  <c r="M87" i="5"/>
  <c r="D54" i="3"/>
  <c r="D21" i="4"/>
  <c r="H9" i="3"/>
  <c r="M21" i="5"/>
  <c r="L64" i="6"/>
  <c r="L98" i="5"/>
  <c r="M31" i="4"/>
  <c r="M64" i="6"/>
  <c r="L32" i="6"/>
  <c r="D10" i="2"/>
  <c r="L65" i="2"/>
  <c r="H109" i="5"/>
  <c r="D76" i="2"/>
  <c r="D32" i="6"/>
  <c r="M54" i="6"/>
  <c r="M31" i="3"/>
  <c r="M10" i="4"/>
  <c r="M32" i="2"/>
  <c r="M32" i="5"/>
  <c r="H64" i="4"/>
  <c r="D53" i="4"/>
  <c r="D98" i="6"/>
  <c r="L76" i="5"/>
  <c r="D32" i="5"/>
  <c r="H10" i="4"/>
  <c r="M108" i="6"/>
  <c r="H31" i="3"/>
  <c r="M65" i="2"/>
  <c r="L76" i="2"/>
  <c r="M43" i="4"/>
  <c r="D9" i="3"/>
  <c r="L21" i="2"/>
  <c r="H53" i="4"/>
  <c r="D108" i="6"/>
  <c r="H21" i="5"/>
  <c r="H43" i="5"/>
  <c r="D65" i="3"/>
  <c r="H21" i="4"/>
  <c r="L109" i="5"/>
  <c r="D65" i="2"/>
  <c r="H54" i="5"/>
  <c r="H76" i="5"/>
  <c r="H76" i="2"/>
  <c r="D64" i="6"/>
  <c r="L20" i="6"/>
  <c r="L54" i="3"/>
  <c r="H54" i="3"/>
  <c r="H32" i="5"/>
  <c r="L108" i="3"/>
  <c r="L21" i="5"/>
  <c r="H10" i="2"/>
  <c r="M53" i="4"/>
  <c r="D109" i="4"/>
  <c r="H87" i="6"/>
  <c r="M10" i="6"/>
  <c r="H98" i="5"/>
  <c r="M98" i="6"/>
  <c r="D21" i="2"/>
  <c r="D31" i="4"/>
  <c r="M76" i="2"/>
  <c r="M97" i="3"/>
  <c r="L86" i="2"/>
  <c r="M9" i="3"/>
  <c r="D21" i="5"/>
  <c r="L10" i="4"/>
  <c r="H108" i="6"/>
  <c r="H97" i="4"/>
  <c r="L43" i="5"/>
  <c r="L108" i="6"/>
  <c r="L32" i="2"/>
  <c r="L10" i="2"/>
  <c r="L32" i="5"/>
  <c r="M10" i="2"/>
  <c r="D86" i="2"/>
  <c r="H43" i="2"/>
  <c r="H98" i="6"/>
  <c r="M97" i="4"/>
  <c r="H65" i="2"/>
  <c r="H20" i="6"/>
  <c r="M108" i="3"/>
  <c r="D87" i="6"/>
  <c r="L53" i="4"/>
  <c r="M54" i="3"/>
  <c r="D87" i="5"/>
  <c r="D108" i="3"/>
  <c r="L87" i="4"/>
  <c r="L109" i="4"/>
  <c r="L43" i="2"/>
  <c r="M65" i="3"/>
  <c r="D43" i="5"/>
  <c r="M21" i="4"/>
  <c r="D32" i="2"/>
  <c r="D54" i="5"/>
  <c r="L31" i="3"/>
  <c r="H10" i="6"/>
  <c r="L54" i="5"/>
  <c r="H21" i="2"/>
  <c r="L9" i="3"/>
  <c r="M20" i="6"/>
  <c r="H32" i="6"/>
  <c r="H87" i="4"/>
  <c r="L87" i="6"/>
  <c r="M87" i="6"/>
  <c r="D43" i="2"/>
  <c r="H87" i="5"/>
  <c r="D42" i="6"/>
  <c r="L97" i="3"/>
  <c r="L42" i="6"/>
  <c r="L21" i="4"/>
  <c r="M76" i="5"/>
  <c r="H43" i="4"/>
  <c r="M64" i="4"/>
  <c r="D10" i="6"/>
  <c r="H65" i="3"/>
  <c r="D31" i="3"/>
  <c r="M21" i="2"/>
  <c r="D98" i="5"/>
  <c r="M43" i="5"/>
  <c r="D43" i="4"/>
  <c r="H109" i="4"/>
  <c r="L43" i="4"/>
  <c r="H42" i="6"/>
  <c r="M98" i="5"/>
  <c r="L64" i="4"/>
  <c r="L98" i="6"/>
  <c r="D97" i="3"/>
  <c r="H54" i="6"/>
  <c r="D64" i="4"/>
  <c r="D109" i="5"/>
  <c r="M42" i="6"/>
  <c r="H64" i="6"/>
  <c r="D97" i="4"/>
  <c r="L97" i="4"/>
  <c r="D76" i="5"/>
  <c r="H86" i="2"/>
  <c r="L65" i="3"/>
  <c r="D54" i="6"/>
  <c r="H97" i="3"/>
  <c r="L10" i="6"/>
  <c r="P21" i="5"/>
  <c r="P18" i="5"/>
  <c r="P7" i="4"/>
  <c r="P10" i="4"/>
  <c r="P29" i="5"/>
  <c r="P32" i="5"/>
  <c r="P10" i="2"/>
  <c r="P7" i="2"/>
  <c r="P32" i="2"/>
  <c r="P29" i="2"/>
  <c r="P29" i="6"/>
  <c r="P32" i="6"/>
  <c r="P43" i="2"/>
  <c r="P40" i="2"/>
  <c r="P18" i="4"/>
  <c r="P21" i="4"/>
  <c r="P18" i="2"/>
  <c r="P21" i="2"/>
  <c r="P40" i="5"/>
  <c r="P43" i="5"/>
  <c r="P40" i="4"/>
  <c r="P43" i="4"/>
  <c r="P7" i="6"/>
  <c r="P10" i="6"/>
  <c r="J10" i="2" l="1"/>
  <c r="N9" i="3"/>
  <c r="N86" i="2"/>
  <c r="J32" i="6"/>
  <c r="N97" i="3"/>
  <c r="N97" i="4"/>
  <c r="J64" i="4"/>
  <c r="N32" i="2"/>
  <c r="N31" i="3"/>
  <c r="N54" i="5"/>
  <c r="J98" i="5"/>
  <c r="N64" i="6"/>
  <c r="N31" i="4"/>
  <c r="N76" i="5"/>
  <c r="J34" i="2"/>
  <c r="J35" i="2"/>
  <c r="J9" i="3"/>
  <c r="J97" i="4"/>
  <c r="N87" i="6"/>
  <c r="J32" i="2"/>
  <c r="J31" i="3"/>
  <c r="N109" i="5"/>
  <c r="J54" i="3"/>
  <c r="N43" i="2"/>
  <c r="J98" i="6"/>
  <c r="N54" i="6"/>
  <c r="J13" i="6"/>
  <c r="J12" i="6"/>
  <c r="N98" i="5"/>
  <c r="J43" i="4"/>
  <c r="J21" i="4"/>
  <c r="J109" i="4"/>
  <c r="N21" i="5"/>
  <c r="J21" i="5"/>
  <c r="J87" i="5"/>
  <c r="J87" i="4"/>
  <c r="J10" i="4"/>
  <c r="J43" i="2"/>
  <c r="J12" i="4"/>
  <c r="J13" i="4"/>
  <c r="J34" i="6"/>
  <c r="J35" i="6"/>
  <c r="N32" i="6"/>
  <c r="N20" i="6"/>
  <c r="N21" i="2"/>
  <c r="J21" i="2"/>
  <c r="J42" i="6"/>
  <c r="N42" i="6"/>
  <c r="J46" i="4"/>
  <c r="J45" i="4"/>
  <c r="J43" i="5"/>
  <c r="N53" i="4"/>
  <c r="N87" i="5"/>
  <c r="J32" i="5"/>
  <c r="N87" i="4"/>
  <c r="N108" i="3"/>
  <c r="N32" i="5"/>
  <c r="N10" i="4"/>
  <c r="J54" i="6"/>
  <c r="J97" i="3"/>
  <c r="J54" i="5"/>
  <c r="J65" i="3"/>
  <c r="N43" i="5"/>
  <c r="J45" i="5"/>
  <c r="J46" i="5"/>
  <c r="J53" i="4"/>
  <c r="J46" i="2"/>
  <c r="J45" i="2"/>
  <c r="N65" i="2"/>
  <c r="J108" i="3"/>
  <c r="J34" i="5"/>
  <c r="J35" i="5"/>
  <c r="J20" i="6"/>
  <c r="N10" i="2"/>
  <c r="J23" i="2"/>
  <c r="J24" i="2"/>
  <c r="J109" i="5"/>
  <c r="J12" i="2"/>
  <c r="J13" i="2"/>
  <c r="J76" i="5"/>
  <c r="N10" i="6"/>
  <c r="N64" i="4"/>
  <c r="J87" i="6"/>
  <c r="J10" i="6"/>
  <c r="J64" i="6"/>
  <c r="N21" i="4"/>
  <c r="J24" i="4"/>
  <c r="J23" i="4"/>
  <c r="N65" i="3"/>
  <c r="J108" i="6"/>
  <c r="N43" i="4"/>
  <c r="J23" i="5"/>
  <c r="J24" i="5"/>
  <c r="N108" i="6"/>
  <c r="N109" i="4"/>
  <c r="N54" i="3"/>
  <c r="N76" i="2"/>
  <c r="J65" i="2"/>
  <c r="N98" i="6"/>
  <c r="J76" i="2"/>
  <c r="J31" i="4"/>
  <c r="J86" i="2"/>
  <c r="L43" i="6"/>
  <c r="L98" i="3"/>
  <c r="D109" i="6"/>
  <c r="L87" i="2"/>
  <c r="M98" i="3"/>
  <c r="M65" i="6"/>
  <c r="H65" i="6"/>
  <c r="D87" i="2"/>
  <c r="M109" i="3"/>
  <c r="H32" i="3"/>
  <c r="L109" i="6"/>
  <c r="D43" i="6"/>
  <c r="H43" i="6"/>
  <c r="H98" i="3"/>
  <c r="M109" i="6"/>
  <c r="L54" i="4"/>
  <c r="H87" i="2"/>
  <c r="D21" i="6"/>
  <c r="D98" i="4"/>
  <c r="L65" i="6"/>
  <c r="H65" i="4"/>
  <c r="L21" i="6"/>
  <c r="M43" i="6"/>
  <c r="M32" i="4"/>
  <c r="L109" i="3"/>
  <c r="D32" i="3"/>
  <c r="H54" i="4"/>
  <c r="H10" i="3"/>
  <c r="M65" i="4"/>
  <c r="L32" i="4"/>
  <c r="H109" i="6"/>
  <c r="M54" i="4"/>
  <c r="M98" i="4"/>
  <c r="L98" i="4"/>
  <c r="M10" i="3"/>
  <c r="H98" i="4"/>
  <c r="L10" i="3"/>
  <c r="D32" i="4"/>
  <c r="H109" i="3"/>
  <c r="L32" i="3"/>
  <c r="H32" i="4"/>
  <c r="D65" i="4"/>
  <c r="D10" i="3"/>
  <c r="M87" i="2"/>
  <c r="L65" i="4"/>
  <c r="D65" i="6"/>
  <c r="D98" i="3"/>
  <c r="D109" i="3"/>
  <c r="M32" i="3"/>
  <c r="H21" i="6"/>
  <c r="D54" i="4"/>
  <c r="M21" i="6"/>
  <c r="P40" i="6"/>
  <c r="P43" i="6"/>
  <c r="P29" i="4"/>
  <c r="P32" i="4"/>
  <c r="P10" i="3"/>
  <c r="P7" i="3"/>
  <c r="P32" i="3"/>
  <c r="P29" i="3"/>
  <c r="P18" i="6"/>
  <c r="P21" i="6"/>
  <c r="J65" i="4" l="1"/>
  <c r="J109" i="6"/>
  <c r="N65" i="4"/>
  <c r="J10" i="3"/>
  <c r="N65" i="6"/>
  <c r="N98" i="3"/>
  <c r="J98" i="4"/>
  <c r="J98" i="3"/>
  <c r="J12" i="3"/>
  <c r="J13" i="3"/>
  <c r="J34" i="3"/>
  <c r="J35" i="3"/>
  <c r="J32" i="4"/>
  <c r="N43" i="6"/>
  <c r="N32" i="3"/>
  <c r="N98" i="4"/>
  <c r="J109" i="3"/>
  <c r="N54" i="4"/>
  <c r="N87" i="2"/>
  <c r="J35" i="4"/>
  <c r="J34" i="4"/>
  <c r="J65" i="6"/>
  <c r="J24" i="6"/>
  <c r="J23" i="6"/>
  <c r="J54" i="4"/>
  <c r="J87" i="2"/>
  <c r="N109" i="6"/>
  <c r="J43" i="6"/>
  <c r="J45" i="6"/>
  <c r="J46" i="6"/>
  <c r="N10" i="3"/>
  <c r="J21" i="6"/>
  <c r="N32" i="4"/>
  <c r="J32" i="3"/>
  <c r="N109" i="3"/>
  <c r="N21" i="6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<sst xmlns="http://schemas.openxmlformats.org/spreadsheetml/2006/main" count="7258" uniqueCount="189">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</sst>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7C-4C93-86C8-4FE983289AB5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29.222879333333328</c:v>
                </c:pt>
                <c:pt idx="1">
                  <c:v>32.0439814</c:v>
                </c:pt>
                <c:pt idx="2">
                  <c:v>33.854099333333323</c:v>
                </c:pt>
                <c:pt idx="3">
                  <c:v>34.327738599999996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7C-4C93-86C8-4FE983289A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7C-4C93-86C8-4FE983289A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7C-4C93-86C8-4FE983289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5D0-950C-76D6DBEC9186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30.772404761904756</c:v>
                </c:pt>
                <c:pt idx="1">
                  <c:v>32.487970095238083</c:v>
                </c:pt>
                <c:pt idx="2">
                  <c:v>33.555725047619049</c:v>
                </c:pt>
                <c:pt idx="3">
                  <c:v>34.118603190476193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5D0-950C-76D6DBEC91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5D0-950C-76D6DBEC91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48-45D0-950C-76D6DBEC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0D-43FD-8704-BDDD09082DA6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30.814120952380954</c:v>
                </c:pt>
                <c:pt idx="1">
                  <c:v>32.445831809523803</c:v>
                </c:pt>
                <c:pt idx="2">
                  <c:v>33.46804938095238</c:v>
                </c:pt>
                <c:pt idx="3">
                  <c:v>33.937025952380949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0D-43FD-8704-BDDD09082D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0D-43FD-8704-BDDD09082D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0D-43FD-8704-BDDD09082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7-4DE5-A961-5C164E5E432A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7-4DE5-A961-5C164E5E432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27-4DE5-A961-5C164E5E432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27-4DE5-A961-5C164E5E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93-495D-9A13-CB212DEA2DBC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93-495D-9A13-CB212DEA2D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3-495D-9A13-CB212DEA2D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93-495D-9A13-CB212DEA2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BE-4EE3-9131-3E3ED5F4E86F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BE-4EE3-9131-3E3ED5F4E8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BE-4EE3-9131-3E3ED5F4E8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BE-4EE3-9131-3E3ED5F4E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4-41C8-8706-65517DD881B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4-41C8-8706-65517DD881B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94-41C8-8706-65517DD88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E2-464F-BF68-295C578AFAB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E2-464F-BF68-295C578AFAB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E2-464F-BF68-295C578AF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8A-48FD-BB21-02CC3079CB8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8A-48FD-BB21-02CC3079CB8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8A-48FD-BB21-02CC3079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9-4AB8-ABFD-B4C23956069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29.340622799999998</c:v>
                </c:pt>
                <c:pt idx="1">
                  <c:v>32.068796666666671</c:v>
                </c:pt>
                <c:pt idx="2">
                  <c:v>33.901179133333329</c:v>
                </c:pt>
                <c:pt idx="3">
                  <c:v>34.493653533333337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9-4AB8-ABFD-B4C2395606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39-4AB8-ABFD-B4C2395606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39-4AB8-ABFD-B4C239560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3F-4B8F-B478-9A426925B26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33.817192933333331</c:v>
                </c:pt>
                <c:pt idx="1">
                  <c:v>36.305583666666664</c:v>
                </c:pt>
                <c:pt idx="2">
                  <c:v>37.908959066666661</c:v>
                </c:pt>
                <c:pt idx="3">
                  <c:v>38.372546799999995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3F-4B8F-B478-9A426925B26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3F-4B8F-B478-9A426925B26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3F-4B8F-B478-9A426925B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9-4A9C-941F-81FE8411A979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34.546610666666666</c:v>
                </c:pt>
                <c:pt idx="1">
                  <c:v>36.245469761904765</c:v>
                </c:pt>
                <c:pt idx="2">
                  <c:v>37.342620285714283</c:v>
                </c:pt>
                <c:pt idx="3">
                  <c:v>37.981158761904759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9-4A9C-941F-81FE8411A9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69-4A9C-941F-81FE8411A9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69-4A9C-941F-81FE8411A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6-4AB1-83EE-F152152B876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34.527315619047606</c:v>
                </c:pt>
                <c:pt idx="1">
                  <c:v>36.179487000000002</c:v>
                </c:pt>
                <c:pt idx="2">
                  <c:v>37.292052047619038</c:v>
                </c:pt>
                <c:pt idx="3">
                  <c:v>37.827774619047624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06-4AB1-83EE-F152152B87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6-4AB1-83EE-F152152B87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06-4AB1-83EE-F152152B8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8-4576-A36C-445ECAB915FA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8-4576-A36C-445ECAB915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8-4576-A36C-445ECAB915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8-4576-A36C-445ECAB9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EB-4F36-9570-C054DCBD32FD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EB-4F36-9570-C054DCBD32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EB-4F36-9570-C054DCBD32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EB-4F36-9570-C054DCBD3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F-4126-B118-2D391BA5C1F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F-4126-B118-2D391BA5C1F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4F-4126-B118-2D391BA5C1F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4F-4126-B118-2D391BA5C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85-47EB-9FD9-07BFC1FFA6DC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85-47EB-9FD9-07BFC1FFA6D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85-47EB-9FD9-07BFC1FFA6D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85-47EB-9FD9-07BFC1FFA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5C-4FDF-B1F6-E9A6E8BC426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5C-4FDF-B1F6-E9A6E8BC42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5C-4FDF-B1F6-E9A6E8BC42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5C-4FDF-B1F6-E9A6E8BC4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D-42A1-B995-911ABFAD0F3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DD-42A1-B995-911ABFAD0F3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D-42A1-B995-911ABFAD0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1-4E34-B913-FC7AB2FFC9E8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34.049194066666672</c:v>
                </c:pt>
                <c:pt idx="1">
                  <c:v>36.435331133333335</c:v>
                </c:pt>
                <c:pt idx="2">
                  <c:v>37.958659466666667</c:v>
                </c:pt>
                <c:pt idx="3">
                  <c:v>38.53805666666667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1-4E34-B913-FC7AB2FFC9E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1-4E34-B913-FC7AB2FFC9E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31-4E34-B913-FC7AB2FFC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5-46FB-A895-93ECFFCBF76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0.9624632173333334</c:v>
                </c:pt>
                <c:pt idx="1">
                  <c:v>0.97723644733333326</c:v>
                </c:pt>
                <c:pt idx="2">
                  <c:v>0.98395395200000002</c:v>
                </c:pt>
                <c:pt idx="3">
                  <c:v>0.98601048533333324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95-46FB-A895-93ECFFCBF76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95-46FB-A895-93ECFFCBF76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95-46FB-A895-93ECFFCB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22-4826-9307-916C8B288A18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0.96955707190476181</c:v>
                </c:pt>
                <c:pt idx="1">
                  <c:v>0.97992966428571426</c:v>
                </c:pt>
                <c:pt idx="2">
                  <c:v>0.98528982523809527</c:v>
                </c:pt>
                <c:pt idx="3">
                  <c:v>0.98764443142857128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22-4826-9307-916C8B288A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22-4826-9307-916C8B288A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22-4826-9307-916C8B28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3-49C3-A04A-D1B19280ACEF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0.96848710095238089</c:v>
                </c:pt>
                <c:pt idx="1">
                  <c:v>0.97903563952380945</c:v>
                </c:pt>
                <c:pt idx="2">
                  <c:v>0.98464654904761928</c:v>
                </c:pt>
                <c:pt idx="3">
                  <c:v>0.98699961952380932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3-49C3-A04A-D1B19280AC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83-49C3-A04A-D1B19280AC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83-49C3-A04A-D1B19280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40-41C1-A407-BAA10B6D338A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40-41C1-A407-BAA10B6D338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40-41C1-A407-BAA10B6D338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40-41C1-A407-BAA10B6D3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E-4FA5-80B0-7D4DCC63B380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0E-4FA5-80B0-7D4DCC63B3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0E-4FA5-80B0-7D4DCC63B3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0E-4FA5-80B0-7D4DCC63B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7-423C-8A9C-AE006D1BC39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77-423C-8A9C-AE006D1BC3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77-423C-8A9C-AE006D1BC3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77-423C-8A9C-AE006D1BC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10-4669-8EDF-4B8A803F0D4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10-4669-8EDF-4B8A803F0D4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10-4669-8EDF-4B8A803F0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D-48FA-8DB8-D86BD516E1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4D-48FA-8DB8-D86BD516E1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4D-48FA-8DB8-D86BD516E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0D-4697-8A16-55A2F9AF48D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0D-4697-8A16-55A2F9AF48D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0D-4697-8A16-55A2F9AF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CF-41DC-A71D-C9C96C4E5D44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0.96366566133333353</c:v>
                </c:pt>
                <c:pt idx="1">
                  <c:v>0.97803892599999998</c:v>
                </c:pt>
                <c:pt idx="2">
                  <c:v>0.98453887799999995</c:v>
                </c:pt>
                <c:pt idx="3">
                  <c:v>0.98665276800000001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CF-41DC-A71D-C9C96C4E5D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CF-41DC-A71D-C9C96C4E5D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CF-41DC-A71D-C9C96C4E5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2C-489C-B646-785182F964FE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0.96665037266666665</c:v>
                </c:pt>
                <c:pt idx="1">
                  <c:v>0.97984417200000007</c:v>
                </c:pt>
                <c:pt idx="2">
                  <c:v>0.98695071200000006</c:v>
                </c:pt>
                <c:pt idx="3">
                  <c:v>0.98918031866666667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C-489C-B646-785182F964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C-489C-B646-785182F964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C-489C-B646-785182F96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0E-4553-8FD0-43C4F8BEAF1C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0.97666167285714267</c:v>
                </c:pt>
                <c:pt idx="1">
                  <c:v>0.98355694047619058</c:v>
                </c:pt>
                <c:pt idx="2">
                  <c:v>0.98742601666666663</c:v>
                </c:pt>
                <c:pt idx="3">
                  <c:v>0.98898397904761925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0E-4553-8FD0-43C4F8BEAF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0E-4553-8FD0-43C4F8BEAF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0E-4553-8FD0-43C4F8BEA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1-4232-A82A-65E7C80B5206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0.97618784333333319</c:v>
                </c:pt>
                <c:pt idx="1">
                  <c:v>0.98318869285714294</c:v>
                </c:pt>
                <c:pt idx="2">
                  <c:v>0.98716631238095265</c:v>
                </c:pt>
                <c:pt idx="3">
                  <c:v>0.98858127619047609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1-4232-A82A-65E7C80B52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C1-4232-A82A-65E7C80B52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C1-4232-A82A-65E7C80B5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B-41D0-8127-3D8308C683E5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0B-41D0-8127-3D8308C683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0B-41D0-8127-3D8308C683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0B-41D0-8127-3D8308C68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DB-40E1-BD3F-126C1735CD22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DB-40E1-BD3F-126C1735CD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DB-40E1-BD3F-126C1735CD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DB-40E1-BD3F-126C1735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A-46D8-BADC-FDD20697ACA5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2A-46D8-BADC-FDD20697AC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A-46D8-BADC-FDD20697AC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2A-46D8-BADC-FDD20697A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0-47A3-A9BE-C4E7DDB19C4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F0-47A3-A9BE-C4E7DDB19C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F0-47A3-A9BE-C4E7DDB19C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F0-47A3-A9BE-C4E7DDB19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6D3-9410-E4A3C16A9DF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6D3-9410-E4A3C16A9DF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4D-46D3-9410-E4A3C16A9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E8-4BD0-BC72-016D6CCF4EF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E8-4BD0-BC72-016D6CCF4EF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E8-4BD0-BC72-016D6CCF4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B-47BA-8A13-04CF2B33A1F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2B-47BA-8A13-04CF2B33A1F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B-47BA-8A13-04CF2B33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4-48B5-93A1-CDFBD83033FA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0.96674560933333331</c:v>
                </c:pt>
                <c:pt idx="1">
                  <c:v>0.97986542199999993</c:v>
                </c:pt>
                <c:pt idx="2">
                  <c:v>0.98674437333333342</c:v>
                </c:pt>
                <c:pt idx="3">
                  <c:v>0.98932459400000006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24-48B5-93A1-CDFBD83033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4-48B5-93A1-CDFBD83033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24-48B5-93A1-CDFBD830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9-48E2-94AF-3798F0F41F9C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6.01478628E-2</c:v>
                </c:pt>
                <c:pt idx="1">
                  <c:v>3.73384296E-2</c:v>
                </c:pt>
                <c:pt idx="2">
                  <c:v>2.747929013333333E-2</c:v>
                </c:pt>
                <c:pt idx="3">
                  <c:v>2.4941430866666666E-2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E9-48E2-94AF-3798F0F41F9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E9-48E2-94AF-3798F0F41F9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E9-48E2-94AF-3798F0F4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A-4049-8594-45026CF280FD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5.5798627809523799E-2</c:v>
                </c:pt>
                <c:pt idx="1">
                  <c:v>4.0242587285714275E-2</c:v>
                </c:pt>
                <c:pt idx="2">
                  <c:v>3.0444402523809522E-2</c:v>
                </c:pt>
                <c:pt idx="3">
                  <c:v>2.4761903476190481E-2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7A-4049-8594-45026CF280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7A-4049-8594-45026CF280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7A-4049-8594-45026CF28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E7-407B-BDB1-65C4992EC35E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5.7878620238095244E-2</c:v>
                </c:pt>
                <c:pt idx="1">
                  <c:v>4.1414261523809524E-2</c:v>
                </c:pt>
                <c:pt idx="2">
                  <c:v>3.1737669761904765E-2</c:v>
                </c:pt>
                <c:pt idx="3">
                  <c:v>2.6161215380952386E-2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E7-407B-BDB1-65C4992EC3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E7-407B-BDB1-65C4992EC3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E7-407B-BDB1-65C4992EC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0-43E3-8561-070E78B0D088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0-43E3-8561-070E78B0D0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E0-43E3-8561-070E78B0D0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E0-43E3-8561-070E78B0D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1-4A3C-95AA-8F3572DFA63E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1-4A3C-95AA-8F3572DFA6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21-4A3C-95AA-8F3572DFA6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21-4A3C-95AA-8F3572DFA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6-4A11-909C-E0E3FD46B7D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06-4A11-909C-E0E3FD46B7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06-4A11-909C-E0E3FD46B7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06-4A11-909C-E0E3FD46B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C2-49C3-96D2-1A9745FBB6C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C2-49C3-96D2-1A9745FBB6C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C2-49C3-96D2-1A9745FBB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20-438A-B86B-4BC8ECEEA0D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20-438A-B86B-4BC8ECEEA0D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20-438A-B86B-4BC8ECEEA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3-418A-B26C-E2519DD391E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3-418A-B26C-E2519DD391E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23-418A-B26C-E2519DD39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B4-4CA8-BDBE-D0F6CD940EC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5.6594949266666666E-2</c:v>
                </c:pt>
                <c:pt idx="1">
                  <c:v>3.5269137000000006E-2</c:v>
                </c:pt>
                <c:pt idx="2">
                  <c:v>2.7108057533333337E-2</c:v>
                </c:pt>
                <c:pt idx="3">
                  <c:v>2.3920777266666669E-2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B4-4CA8-BDBE-D0F6CD940E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B4-4CA8-BDBE-D0F6CD940E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B4-4CA8-BDBE-D0F6CD940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C3" sqref="C3:H3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-0.16086613975607145</v>
      </c>
      <c r="E9" s="218">
        <f t="shared" ref="E9:E18" ca="1" si="2">INDIRECT($C9&amp;"!AN$5")</f>
        <v>-0.15036754152791965</v>
      </c>
      <c r="F9" s="218">
        <f t="shared" ref="F9:F18" ca="1" si="3">INDIRECT($C9&amp;"!AO$5")</f>
        <v>-0.1090551084758451</v>
      </c>
      <c r="G9" s="218">
        <f t="shared" ref="G9:G18" ca="1" si="4">INDIRECT($C9&amp;"!AP$5")</f>
        <v>-0.17424544276783271</v>
      </c>
      <c r="H9" s="219">
        <f t="shared" ref="H9:H18" ca="1" si="5">INDIRECT($C9&amp;"!AQ$5")</f>
        <v>-0.14995501683403778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-0.16165222384711808</v>
      </c>
      <c r="E10" s="218">
        <f t="shared" ca="1" si="2"/>
        <v>-0.15021127898546205</v>
      </c>
      <c r="F10" s="218">
        <f t="shared" ca="1" si="3"/>
        <v>-0.1116413844457872</v>
      </c>
      <c r="G10" s="218">
        <f t="shared" ca="1" si="4"/>
        <v>-0.18657792220710234</v>
      </c>
      <c r="H10" s="221">
        <f t="shared" ca="1" si="5"/>
        <v>-0.14279006432060903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5.4672945975490217E-2</v>
      </c>
      <c r="E11" s="218">
        <f t="shared" ca="1" si="2"/>
        <v>3.56250737652688E-2</v>
      </c>
      <c r="F11" s="218">
        <f t="shared" ca="1" si="3"/>
        <v>-3.4736435387931142E-2</v>
      </c>
      <c r="G11" s="218">
        <f t="shared" ca="1" si="4"/>
        <v>-1.1216151408990349E-2</v>
      </c>
      <c r="H11" s="221">
        <f t="shared" ca="1" si="5"/>
        <v>-9.7455984296444531E-2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4.2623939890297002E-2</v>
      </c>
      <c r="E12" s="218">
        <f t="shared" ca="1" si="2"/>
        <v>2.2731790268855745E-2</v>
      </c>
      <c r="F12" s="218">
        <f t="shared" ca="1" si="3"/>
        <v>-3.905349292066107E-2</v>
      </c>
      <c r="G12" s="218">
        <f t="shared" ca="1" si="4"/>
        <v>-2.280767620517643E-2</v>
      </c>
      <c r="H12" s="221">
        <f t="shared" ca="1" si="5"/>
        <v>-9.7156902766341702E-2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23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27.262733600000001</v>
      </c>
      <c r="M7" s="75">
        <f ca="1">INDIRECT($B7&amp;"!"&amp;M$3&amp;"5")</f>
        <v>29.340622799999998</v>
      </c>
      <c r="N7" s="76">
        <f ca="1">M7-L7</f>
        <v>2.0778891999999978</v>
      </c>
      <c r="O7" s="226"/>
      <c r="P7" s="228">
        <f ca="1">bdrate(D7:D10,L7:L10,H7:H10,M7:M10)</f>
        <v>-0.160866139756072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30.5955504</v>
      </c>
      <c r="M8" s="75">
        <f ca="1">INDIRECT($B8&amp;"!"&amp;M$3&amp;"6")</f>
        <v>32.068796666666671</v>
      </c>
      <c r="N8" s="76">
        <f ca="1">M8-L8</f>
        <v>1.4732462666666706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35.178384000000008</v>
      </c>
      <c r="M9" s="75">
        <f ca="1">INDIRECT($B9&amp;"!"&amp;M$3&amp;"7")</f>
        <v>33.901179133333329</v>
      </c>
      <c r="N9" s="76">
        <f ca="1">M9-L9</f>
        <v>-1.2772048666666791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37.847506266666663</v>
      </c>
      <c r="M10" s="75">
        <f ca="1">INDIRECT($B10&amp;"!"&amp;M$3&amp;"8")</f>
        <v>34.493653533333337</v>
      </c>
      <c r="N10" s="76">
        <f ca="1">M10-L10</f>
        <v>-3.3538527333333263</v>
      </c>
      <c r="O10" s="226"/>
      <c r="P10" s="231">
        <f ca="1">bdrate(L7:L10,D7:D10,M7:M10,H7:H10)</f>
        <v>2.5560076779674645E-2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23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27.225800466666666</v>
      </c>
      <c r="M18" s="75">
        <f ca="1">INDIRECT($B18&amp;"!"&amp;M$3&amp;"5")</f>
        <v>29.222879333333328</v>
      </c>
      <c r="N18" s="76">
        <f ca="1">M18-L18</f>
        <v>1.9970788666666621</v>
      </c>
      <c r="O18" s="226"/>
      <c r="P18" s="228">
        <f ca="1">bdrate(D18:D21,L18:L21,H18:H21,M18:M21)</f>
        <v>-0.16165222384712008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30.717614933333337</v>
      </c>
      <c r="M19" s="75">
        <f ca="1">INDIRECT($B19&amp;"!"&amp;M$3&amp;"6")</f>
        <v>32.0439814</v>
      </c>
      <c r="N19" s="76">
        <f ca="1">M19-L19</f>
        <v>1.3263664666666628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35.108155866666671</v>
      </c>
      <c r="M20" s="75">
        <f ca="1">INDIRECT($B20&amp;"!"&amp;M$3&amp;"7")</f>
        <v>33.854099333333323</v>
      </c>
      <c r="N20" s="76">
        <f ca="1">M20-L20</f>
        <v>-1.2540565333333475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37.605895933333336</v>
      </c>
      <c r="M21" s="75">
        <f ca="1">INDIRECT($B21&amp;"!"&amp;M$3&amp;"8")</f>
        <v>34.327738599999996</v>
      </c>
      <c r="N21" s="76">
        <f ca="1">M21-L21</f>
        <v>-3.2781573333333398</v>
      </c>
      <c r="O21" s="226"/>
      <c r="P21" s="231">
        <f ca="1">bdrate(L18:L21,D18:D21,M18:M21,H18:H21)</f>
        <v>2.3706700986724005E-2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23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30.246270333333335</v>
      </c>
      <c r="M29" s="75">
        <f ca="1">INDIRECT($B29&amp;"!"&amp;M$3&amp;"5")</f>
        <v>30.772404761904756</v>
      </c>
      <c r="N29" s="76">
        <f ca="1">M29-L29</f>
        <v>0.5261344285714209</v>
      </c>
      <c r="O29" s="226"/>
      <c r="P29" s="228">
        <f ca="1">bdrate(D29:D32,L29:L32,H29:H32,M29:M32)</f>
        <v>5.4672945975487108E-2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33.072678761904761</v>
      </c>
      <c r="M30" s="75">
        <f ca="1">INDIRECT($B30&amp;"!"&amp;M$3&amp;"6")</f>
        <v>32.487970095238083</v>
      </c>
      <c r="N30" s="76">
        <f ca="1">M30-L30</f>
        <v>-0.58470866666667831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36.281602476190471</v>
      </c>
      <c r="M31" s="75">
        <f ca="1">INDIRECT($B31&amp;"!"&amp;M$3&amp;"7")</f>
        <v>33.555725047619049</v>
      </c>
      <c r="N31" s="76">
        <f ca="1">M31-L31</f>
        <v>-2.7258774285714225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39.436459095238085</v>
      </c>
      <c r="M32" s="75">
        <f ca="1">INDIRECT($B32&amp;"!"&amp;M$3&amp;"8")</f>
        <v>34.118603190476193</v>
      </c>
      <c r="N32" s="76">
        <f ca="1">M32-L32</f>
        <v>-5.3178559047618918</v>
      </c>
      <c r="O32" s="226"/>
      <c r="P32" s="231">
        <f ca="1">bdrate(L29:L32,D29:D32,M29:M32,H29:H32)</f>
        <v>-3.662614083379423E-2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23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30.214093190476195</v>
      </c>
      <c r="M40" s="75">
        <f ca="1">INDIRECT($B40&amp;"!"&amp;M$3&amp;"5")</f>
        <v>30.814120952380954</v>
      </c>
      <c r="N40" s="76">
        <f ca="1">M40-L40</f>
        <v>0.60002776190475871</v>
      </c>
      <c r="O40" s="226"/>
      <c r="P40" s="228">
        <f ca="1">bdrate(D40:D43,L40:L43,H40:H43,M40:M43)</f>
        <v>4.2623939890292784E-2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32.999578714285725</v>
      </c>
      <c r="M41" s="75">
        <f ca="1">INDIRECT($B41&amp;"!"&amp;M$3&amp;"6")</f>
        <v>32.445831809523803</v>
      </c>
      <c r="N41" s="76">
        <f ca="1">M41-L41</f>
        <v>-0.55374690476192256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36.248342999999991</v>
      </c>
      <c r="M42" s="75">
        <f ca="1">INDIRECT($B42&amp;"!"&amp;M$3&amp;"7")</f>
        <v>33.46804938095238</v>
      </c>
      <c r="N42" s="76">
        <f ca="1">M42-L42</f>
        <v>-2.7802936190476117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39.028174857142858</v>
      </c>
      <c r="M43" s="75">
        <f ca="1">INDIRECT($B43&amp;"!"&amp;M$3&amp;"8")</f>
        <v>33.937025952380949</v>
      </c>
      <c r="N43" s="76">
        <f ca="1">M43-L43</f>
        <v>-5.0911489047619085</v>
      </c>
      <c r="O43" s="226"/>
      <c r="P43" s="231">
        <f ca="1">bdrate(L40:L43,D40:D43,M40:M43,H40:H43)</f>
        <v>-3.6640441288993797E-2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23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23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23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23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23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23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P7" sqref="P7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34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32.469316800000001</v>
      </c>
      <c r="M7" s="75">
        <f ca="1">INDIRECT($B7&amp;"!"&amp;M$3&amp;"5")</f>
        <v>34.049194066666672</v>
      </c>
      <c r="N7" s="76">
        <f ca="1">M7-L7</f>
        <v>1.5798772666666707</v>
      </c>
      <c r="O7" s="226"/>
      <c r="P7" s="228">
        <f ca="1">bdrate(D7:D10,L7:L10,H7:H10,M7:M10)</f>
        <v>-0.15036754152791842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35.243102133333331</v>
      </c>
      <c r="M8" s="75">
        <f ca="1">INDIRECT($B8&amp;"!"&amp;M$3&amp;"6")</f>
        <v>36.435331133333335</v>
      </c>
      <c r="N8" s="76">
        <f ca="1">M8-L8</f>
        <v>1.1922290000000046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39.28737146666667</v>
      </c>
      <c r="M9" s="75">
        <f ca="1">INDIRECT($B9&amp;"!"&amp;M$3&amp;"7")</f>
        <v>37.958659466666667</v>
      </c>
      <c r="N9" s="76">
        <f ca="1">M9-L9</f>
        <v>-1.328712000000003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41.929521733333331</v>
      </c>
      <c r="M10" s="75">
        <f ca="1">INDIRECT($B10&amp;"!"&amp;M$3&amp;"8")</f>
        <v>38.53805666666667</v>
      </c>
      <c r="N10" s="76">
        <f ca="1">M10-L10</f>
        <v>-3.3914650666666617</v>
      </c>
      <c r="O10" s="226"/>
      <c r="P10" s="231">
        <f ca="1">bdrate(L7:L10,D7:D10,M7:M10,H7:H10)</f>
        <v>1.4623324076720845E-2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34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32.321196866666668</v>
      </c>
      <c r="M18" s="75">
        <f ca="1">INDIRECT($B18&amp;"!"&amp;M$3&amp;"5")</f>
        <v>33.817192933333331</v>
      </c>
      <c r="N18" s="76">
        <f ca="1">M18-L18</f>
        <v>1.4959960666666632</v>
      </c>
      <c r="O18" s="226"/>
      <c r="P18" s="228">
        <f ca="1">bdrate(D18:D21,L18:L21,H18:H21,M18:M21)</f>
        <v>-0.15021127898546205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35.232715600000006</v>
      </c>
      <c r="M19" s="75">
        <f ca="1">INDIRECT($B19&amp;"!"&amp;M$3&amp;"6")</f>
        <v>36.305583666666664</v>
      </c>
      <c r="N19" s="76">
        <f ca="1">M19-L19</f>
        <v>1.0728680666666577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39.210842266666667</v>
      </c>
      <c r="M20" s="75">
        <f ca="1">INDIRECT($B20&amp;"!"&amp;M$3&amp;"7")</f>
        <v>37.908959066666661</v>
      </c>
      <c r="N20" s="76">
        <f ca="1">M20-L20</f>
        <v>-1.301883200000006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41.687570999999998</v>
      </c>
      <c r="M21" s="75">
        <f ca="1">INDIRECT($B21&amp;"!"&amp;M$3&amp;"8")</f>
        <v>38.372546799999995</v>
      </c>
      <c r="N21" s="76">
        <f ca="1">M21-L21</f>
        <v>-3.3150242000000034</v>
      </c>
      <c r="O21" s="226"/>
      <c r="P21" s="231">
        <f ca="1">bdrate(L18:L21,D18:D21,M18:M21,H18:H21)</f>
        <v>1.3801027206360006E-2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34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33.862599857142854</v>
      </c>
      <c r="M29" s="75">
        <f ca="1">INDIRECT($B29&amp;"!"&amp;M$3&amp;"5")</f>
        <v>34.546610666666666</v>
      </c>
      <c r="N29" s="76">
        <f ca="1">M29-L29</f>
        <v>0.68401080952381221</v>
      </c>
      <c r="O29" s="226"/>
      <c r="P29" s="228">
        <f ca="1">bdrate(D29:D32,L29:L32,H29:H32,M29:M32)</f>
        <v>3.5625073765271242E-2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36.632195285714296</v>
      </c>
      <c r="M30" s="75">
        <f ca="1">INDIRECT($B30&amp;"!"&amp;M$3&amp;"6")</f>
        <v>36.245469761904765</v>
      </c>
      <c r="N30" s="76">
        <f ca="1">M30-L30</f>
        <v>-0.38672552380953107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40.251414476190476</v>
      </c>
      <c r="M31" s="75">
        <f ca="1">INDIRECT($B31&amp;"!"&amp;M$3&amp;"7")</f>
        <v>37.342620285714283</v>
      </c>
      <c r="N31" s="76">
        <f ca="1">M31-L31</f>
        <v>-2.9087941904761934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43.588469761904761</v>
      </c>
      <c r="M32" s="75">
        <f ca="1">INDIRECT($B32&amp;"!"&amp;M$3&amp;"8")</f>
        <v>37.981158761904759</v>
      </c>
      <c r="N32" s="76">
        <f ca="1">M32-L32</f>
        <v>-5.6073110000000028</v>
      </c>
      <c r="O32" s="226"/>
      <c r="P32" s="231">
        <f ca="1">bdrate(L29:L32,D29:D32,M29:M32,H29:H32)</f>
        <v>-3.2391764487769037E-2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34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33.832055285714283</v>
      </c>
      <c r="M40" s="75">
        <f ca="1">INDIRECT($B40&amp;"!"&amp;M$3&amp;"5")</f>
        <v>34.527315619047606</v>
      </c>
      <c r="N40" s="76">
        <f ca="1">M40-L40</f>
        <v>0.69526033333332293</v>
      </c>
      <c r="O40" s="226"/>
      <c r="P40" s="228">
        <f ca="1">bdrate(D40:D43,L40:L43,H40:H43,M40:M43)</f>
        <v>2.2731790268857521E-2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36.531831238095236</v>
      </c>
      <c r="M41" s="75">
        <f ca="1">INDIRECT($B41&amp;"!"&amp;M$3&amp;"6")</f>
        <v>36.179487000000002</v>
      </c>
      <c r="N41" s="76">
        <f ca="1">M41-L41</f>
        <v>-0.35234423809523463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40.276491190476186</v>
      </c>
      <c r="M42" s="75">
        <f ca="1">INDIRECT($B42&amp;"!"&amp;M$3&amp;"7")</f>
        <v>37.292052047619038</v>
      </c>
      <c r="N42" s="76">
        <f ca="1">M42-L42</f>
        <v>-2.9844391428571484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43.229996952380951</v>
      </c>
      <c r="M43" s="75">
        <f ca="1">INDIRECT($B43&amp;"!"&amp;M$3&amp;"8")</f>
        <v>37.827774619047624</v>
      </c>
      <c r="N43" s="76">
        <f ca="1">M43-L43</f>
        <v>-5.4022223333333272</v>
      </c>
      <c r="O43" s="226"/>
      <c r="P43" s="231">
        <f ca="1">bdrate(L40:L43,D40:D43,M40:M43,H40:H43)</f>
        <v>-3.2458381146308501E-2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34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34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34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34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34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34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workbookViewId="0">
      <selection activeCell="M8" sqref="M8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37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0.95834516733333319</v>
      </c>
      <c r="M7" s="75">
        <f ca="1">INDIRECT($B7&amp;"!"&amp;M$3&amp;"5")</f>
        <v>0.96366566133333353</v>
      </c>
      <c r="N7" s="76">
        <f ca="1">M7-L7</f>
        <v>5.320494000000342E-3</v>
      </c>
      <c r="O7" s="226"/>
      <c r="P7" s="228">
        <f ca="1">bdrate(D7:D10,L7:L10,H7:H10,M7:M10)</f>
        <v>-0.10905510847584443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0.97572819666666666</v>
      </c>
      <c r="M8" s="75">
        <f ca="1">INDIRECT($B8&amp;"!"&amp;M$3&amp;"6")</f>
        <v>0.97803892599999998</v>
      </c>
      <c r="N8" s="76">
        <f ca="1">M8-L8</f>
        <v>2.3107293333333168E-3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0.98810945533333316</v>
      </c>
      <c r="M9" s="75">
        <f ca="1">INDIRECT($B9&amp;"!"&amp;M$3&amp;"7")</f>
        <v>0.98453887799999995</v>
      </c>
      <c r="N9" s="76">
        <f ca="1">M9-L9</f>
        <v>-3.5705773333332136E-3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0.99241337466666668</v>
      </c>
      <c r="M10" s="75">
        <f ca="1">INDIRECT($B10&amp;"!"&amp;M$3&amp;"8")</f>
        <v>0.98665276800000001</v>
      </c>
      <c r="N10" s="76">
        <f ca="1">M10-L10</f>
        <v>-5.7606066666666678E-3</v>
      </c>
      <c r="O10" s="226"/>
      <c r="P10" s="231">
        <f ca="1">bdrate(L7:L10,D7:D10,M7:M10,H7:H10)</f>
        <v>1.8792512399925521E-3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37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0.95700066866666644</v>
      </c>
      <c r="M18" s="75">
        <f ca="1">INDIRECT($B18&amp;"!"&amp;M$3&amp;"5")</f>
        <v>0.9624632173333334</v>
      </c>
      <c r="N18" s="76">
        <f ca="1">M18-L18</f>
        <v>5.4625486666669554E-3</v>
      </c>
      <c r="O18" s="226"/>
      <c r="P18" s="228">
        <f ca="1">bdrate(D18:D21,L18:L21,H18:H21,M18:M21)</f>
        <v>-0.11164138444578475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0.97492547266666674</v>
      </c>
      <c r="M19" s="75">
        <f ca="1">INDIRECT($B19&amp;"!"&amp;M$3&amp;"6")</f>
        <v>0.97723644733333326</v>
      </c>
      <c r="N19" s="76">
        <f ca="1">M19-L19</f>
        <v>2.310974666666521E-3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0.98757465333333327</v>
      </c>
      <c r="M20" s="75">
        <f ca="1">INDIRECT($B20&amp;"!"&amp;M$3&amp;"7")</f>
        <v>0.98395395200000002</v>
      </c>
      <c r="N20" s="76">
        <f ca="1">M20-L20</f>
        <v>-3.6207013333332538E-3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0.99193363933333345</v>
      </c>
      <c r="M21" s="75">
        <f ca="1">INDIRECT($B21&amp;"!"&amp;M$3&amp;"8")</f>
        <v>0.98601048533333324</v>
      </c>
      <c r="N21" s="76">
        <f ca="1">M21-L21</f>
        <v>-5.9231540000002081E-3</v>
      </c>
      <c r="O21" s="226"/>
      <c r="P21" s="231">
        <f ca="1">bdrate(L18:L21,D18:D21,M18:M21,H18:H21)</f>
        <v>2.0039961119746597E-3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37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0.96684382285714265</v>
      </c>
      <c r="M29" s="75">
        <f ca="1">INDIRECT($B29&amp;"!"&amp;M$3&amp;"5")</f>
        <v>0.96955707190476181</v>
      </c>
      <c r="N29" s="76">
        <f ca="1">M29-L29</f>
        <v>2.7132490476191595E-3</v>
      </c>
      <c r="O29" s="226"/>
      <c r="P29" s="228">
        <f ca="1">bdrate(D29:D32,L29:L32,H29:H32,M29:M32)</f>
        <v>-3.4736435387930698E-2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0.98000114238095259</v>
      </c>
      <c r="M30" s="75">
        <f ca="1">INDIRECT($B30&amp;"!"&amp;M$3&amp;"6")</f>
        <v>0.97992966428571426</v>
      </c>
      <c r="N30" s="76">
        <f ca="1">M30-L30</f>
        <v>-7.147809523833093E-5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0.98903340333333323</v>
      </c>
      <c r="M31" s="75">
        <f ca="1">INDIRECT($B31&amp;"!"&amp;M$3&amp;"7")</f>
        <v>0.98528982523809527</v>
      </c>
      <c r="N31" s="76">
        <f ca="1">M31-L31</f>
        <v>-3.7435780952379538E-3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0.99375173238095238</v>
      </c>
      <c r="M32" s="75">
        <f ca="1">INDIRECT($B32&amp;"!"&amp;M$3&amp;"8")</f>
        <v>0.98764443142857128</v>
      </c>
      <c r="N32" s="76">
        <f ca="1">M32-L32</f>
        <v>-6.1073009523811006E-3</v>
      </c>
      <c r="O32" s="226"/>
      <c r="P32" s="231">
        <f ca="1">bdrate(L29:L32,D29:D32,M29:M32,H29:H32)</f>
        <v>-3.3695750318296636E-4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37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0.96582942476190481</v>
      </c>
      <c r="M40" s="75">
        <f ca="1">INDIRECT($B40&amp;"!"&amp;M$3&amp;"5")</f>
        <v>0.96848710095238089</v>
      </c>
      <c r="N40" s="76">
        <f ca="1">M40-L40</f>
        <v>2.6576761904760771E-3</v>
      </c>
      <c r="O40" s="226"/>
      <c r="P40" s="228">
        <f ca="1">bdrate(D40:D43,L40:L43,H40:H43,M40:M43)</f>
        <v>-3.9053492920657407E-2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0.97901262523809529</v>
      </c>
      <c r="M41" s="75">
        <f ca="1">INDIRECT($B41&amp;"!"&amp;M$3&amp;"6")</f>
        <v>0.97903563952380945</v>
      </c>
      <c r="N41" s="76">
        <f ca="1">M41-L41</f>
        <v>2.3014285714162419E-5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0.98868709857142867</v>
      </c>
      <c r="M42" s="75">
        <f ca="1">INDIRECT($B42&amp;"!"&amp;M$3&amp;"7")</f>
        <v>0.98464654904761928</v>
      </c>
      <c r="N42" s="76">
        <f ca="1">M42-L42</f>
        <v>-4.0405495238093891E-3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0.99344393809523812</v>
      </c>
      <c r="M43" s="75">
        <f ca="1">INDIRECT($B43&amp;"!"&amp;M$3&amp;"8")</f>
        <v>0.98699961952380932</v>
      </c>
      <c r="N43" s="76">
        <f ca="1">M43-L43</f>
        <v>-6.4443185714287976E-3</v>
      </c>
      <c r="O43" s="226"/>
      <c r="P43" s="231">
        <f ca="1">bdrate(L40:L43,D40:D43,M40:M43,H40:H43)</f>
        <v>-3.4214799574860955E-4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37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37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37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37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37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37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J7" sqref="J7:J11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0.95456353799999993</v>
      </c>
      <c r="M7" s="75">
        <f ca="1">INDIRECT($B7&amp;"!"&amp;M$3&amp;"5")</f>
        <v>0.96674560933333331</v>
      </c>
      <c r="N7" s="76">
        <f ca="1">M7-L7</f>
        <v>1.2182071333333377E-2</v>
      </c>
      <c r="O7" s="226"/>
      <c r="P7" s="228">
        <f ca="1">bdrate(D7:D10,L7:L10,H7:H10,M7:M10)</f>
        <v>-0.17424544276782983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0.97258593333333343</v>
      </c>
      <c r="M8" s="75">
        <f ca="1">INDIRECT($B8&amp;"!"&amp;M$3&amp;"6")</f>
        <v>0.97986542199999993</v>
      </c>
      <c r="N8" s="76">
        <f ca="1">M8-L8</f>
        <v>7.2794886666665004E-3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0.99038261466666655</v>
      </c>
      <c r="M9" s="75">
        <f ca="1">INDIRECT($B9&amp;"!"&amp;M$3&amp;"7")</f>
        <v>0.98674437333333342</v>
      </c>
      <c r="N9" s="76">
        <f ca="1">M9-L9</f>
        <v>-3.6382413333331254E-3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0.99521364000000001</v>
      </c>
      <c r="M10" s="75">
        <f ca="1">INDIRECT($B10&amp;"!"&amp;M$3&amp;"8")</f>
        <v>0.98932459400000006</v>
      </c>
      <c r="N10" s="76">
        <f ca="1">M10-L10</f>
        <v>-5.8890459999999534E-3</v>
      </c>
      <c r="O10" s="226"/>
      <c r="P10" s="231">
        <f ca="1">bdrate(L7:L10,D7:D10,M7:M10,H7:H10)</f>
        <v>4.9316066917921564E-3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0.95395936733333342</v>
      </c>
      <c r="M18" s="75">
        <f ca="1">INDIRECT($B18&amp;"!"&amp;M$3&amp;"5")</f>
        <v>0.96665037266666665</v>
      </c>
      <c r="N18" s="76">
        <f ca="1">M18-L18</f>
        <v>1.2691005333333227E-2</v>
      </c>
      <c r="O18" s="226"/>
      <c r="P18" s="228">
        <f ca="1">bdrate(D18:D21,L18:L21,H18:H21,M18:M21)</f>
        <v>-0.18657792220710179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0.97223756466666666</v>
      </c>
      <c r="M19" s="75">
        <f ca="1">INDIRECT($B19&amp;"!"&amp;M$3&amp;"6")</f>
        <v>0.97984417200000007</v>
      </c>
      <c r="N19" s="76">
        <f ca="1">M19-L19</f>
        <v>7.6066073333334039E-3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0.99005189866666643</v>
      </c>
      <c r="M20" s="75">
        <f ca="1">INDIRECT($B20&amp;"!"&amp;M$3&amp;"7")</f>
        <v>0.98695071200000006</v>
      </c>
      <c r="N20" s="76">
        <f ca="1">M20-L20</f>
        <v>-3.1011866666663668E-3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0.99515773399999985</v>
      </c>
      <c r="M21" s="75">
        <f ca="1">INDIRECT($B21&amp;"!"&amp;M$3&amp;"8")</f>
        <v>0.98918031866666667</v>
      </c>
      <c r="N21" s="76">
        <f ca="1">M21-L21</f>
        <v>-5.9774153333331803E-3</v>
      </c>
      <c r="O21" s="226"/>
      <c r="P21" s="231">
        <f ca="1">bdrate(L18:L21,D18:D21,M18:M21,H18:H21)</f>
        <v>5.4556623960715367E-3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0.97327361047619032</v>
      </c>
      <c r="M29" s="75">
        <f ca="1">INDIRECT($B29&amp;"!"&amp;M$3&amp;"5")</f>
        <v>0.97666167285714267</v>
      </c>
      <c r="N29" s="76">
        <f ca="1">M29-L29</f>
        <v>3.3880623809523502E-3</v>
      </c>
      <c r="O29" s="226"/>
      <c r="P29" s="228">
        <f ca="1">bdrate(D29:D32,L29:L32,H29:H32,M29:M32)</f>
        <v>-1.1216151408992237E-2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0.98426155285714267</v>
      </c>
      <c r="M30" s="75">
        <f ca="1">INDIRECT($B30&amp;"!"&amp;M$3&amp;"6")</f>
        <v>0.98355694047619058</v>
      </c>
      <c r="N30" s="76">
        <f ca="1">M30-L30</f>
        <v>-7.0461238095209655E-4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0.99228081523809508</v>
      </c>
      <c r="M31" s="75">
        <f ca="1">INDIRECT($B31&amp;"!"&amp;M$3&amp;"7")</f>
        <v>0.98742601666666663</v>
      </c>
      <c r="N31" s="76">
        <f ca="1">M31-L31</f>
        <v>-4.8547985714284536E-3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0.99594449714285727</v>
      </c>
      <c r="M32" s="75">
        <f ca="1">INDIRECT($B32&amp;"!"&amp;M$3&amp;"8")</f>
        <v>0.98898397904761925</v>
      </c>
      <c r="N32" s="76">
        <f ca="1">M32-L32</f>
        <v>-6.9605180952380108E-3</v>
      </c>
      <c r="O32" s="226"/>
      <c r="P32" s="231">
        <f ca="1">bdrate(L29:L32,D29:D32,M29:M32,H29:H32)</f>
        <v>-1.4949574702686208E-3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0.9725471133333331</v>
      </c>
      <c r="M40" s="75">
        <f ca="1">INDIRECT($B40&amp;"!"&amp;M$3&amp;"5")</f>
        <v>0.97618784333333319</v>
      </c>
      <c r="N40" s="76">
        <f ca="1">M40-L40</f>
        <v>3.6407300000000919E-3</v>
      </c>
      <c r="O40" s="226"/>
      <c r="P40" s="228">
        <f ca="1">bdrate(D40:D43,L40:L43,H40:H43,M40:M43)</f>
        <v>-2.2807676205177652E-2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0.98376468238095238</v>
      </c>
      <c r="M41" s="75">
        <f ca="1">INDIRECT($B41&amp;"!"&amp;M$3&amp;"6")</f>
        <v>0.98318869285714294</v>
      </c>
      <c r="N41" s="76">
        <f ca="1">M41-L41</f>
        <v>-5.7598952380943924E-4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0.99210457047619049</v>
      </c>
      <c r="M42" s="75">
        <f ca="1">INDIRECT($B42&amp;"!"&amp;M$3&amp;"7")</f>
        <v>0.98716631238095265</v>
      </c>
      <c r="N42" s="76">
        <f ca="1">M42-L42</f>
        <v>-4.9382580952378463E-3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0.99578089857142849</v>
      </c>
      <c r="M43" s="75">
        <f ca="1">INDIRECT($B43&amp;"!"&amp;M$3&amp;"8")</f>
        <v>0.98858127619047609</v>
      </c>
      <c r="N43" s="76">
        <f ca="1">M43-L43</f>
        <v>-7.1996223809523974E-3</v>
      </c>
      <c r="O43" s="226"/>
      <c r="P43" s="231">
        <f ca="1">bdrate(L40:L43,D40:D43,M40:M43,H40:H43)</f>
        <v>-1.4107001582243095E-3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6.6124997733333329E-2</v>
      </c>
      <c r="M7" s="75">
        <f ca="1">INDIRECT($B7&amp;"!"&amp;M$3&amp;"5")</f>
        <v>5.6594949266666666E-2</v>
      </c>
      <c r="N7" s="76">
        <f ca="1">M7-L7</f>
        <v>-9.5300484666666629E-3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4.1026583800000009E-2</v>
      </c>
      <c r="M8" s="75">
        <f ca="1">INDIRECT($B8&amp;"!"&amp;M$3&amp;"6")</f>
        <v>3.5269137000000006E-2</v>
      </c>
      <c r="N8" s="76">
        <f ca="1">M8-L8</f>
        <v>-5.7574468000000031E-3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2.4438632800000002E-2</v>
      </c>
      <c r="M9" s="75">
        <f ca="1">INDIRECT($B9&amp;"!"&amp;M$3&amp;"7")</f>
        <v>2.7108057533333337E-2</v>
      </c>
      <c r="N9" s="76">
        <f ca="1">M9-L9</f>
        <v>2.6694247333333351E-3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1.7444335733333333E-2</v>
      </c>
      <c r="M10" s="75">
        <f ca="1">INDIRECT($B10&amp;"!"&amp;M$3&amp;"8")</f>
        <v>2.3920777266666669E-2</v>
      </c>
      <c r="N10" s="76">
        <f ca="1">M10-L10</f>
        <v>6.4764415333333353E-3</v>
      </c>
      <c r="O10" s="226"/>
      <c r="P10" s="231">
        <f ca="1">bdrate(L7:L10,D7:D10,M7:M10,H7:H10)</f>
        <v>-0.10630031090679382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6.8758821599999992E-2</v>
      </c>
      <c r="M18" s="75">
        <f ca="1">INDIRECT($B18&amp;"!"&amp;M$3&amp;"5")</f>
        <v>6.01478628E-2</v>
      </c>
      <c r="N18" s="76">
        <f ca="1">M18-L18</f>
        <v>-8.6109587999999918E-3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4.2517676533333333E-2</v>
      </c>
      <c r="M19" s="75">
        <f ca="1">INDIRECT($B19&amp;"!"&amp;M$3&amp;"6")</f>
        <v>3.73384296E-2</v>
      </c>
      <c r="N19" s="76">
        <f ca="1">M19-L19</f>
        <v>-5.1792469333333327E-3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2.4925761000000001E-2</v>
      </c>
      <c r="M20" s="75">
        <f ca="1">INDIRECT($B20&amp;"!"&amp;M$3&amp;"7")</f>
        <v>2.747929013333333E-2</v>
      </c>
      <c r="N20" s="76">
        <f ca="1">M20-L20</f>
        <v>2.5535291333333293E-3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1.8274979066666665E-2</v>
      </c>
      <c r="M21" s="75">
        <f ca="1">INDIRECT($B21&amp;"!"&amp;M$3&amp;"8")</f>
        <v>2.4941430866666666E-2</v>
      </c>
      <c r="N21" s="76">
        <f ca="1">M21-L21</f>
        <v>6.6664518000000006E-3</v>
      </c>
      <c r="O21" s="226"/>
      <c r="P21" s="231">
        <f ca="1">bdrate(L18:L21,D18:D21,M18:M21,H18:H21)</f>
        <v>-0.10252955014216703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6.4074182428571436E-2</v>
      </c>
      <c r="M29" s="75">
        <f ca="1">INDIRECT($B29&amp;"!"&amp;M$3&amp;"5")</f>
        <v>5.5798627809523799E-2</v>
      </c>
      <c r="N29" s="76">
        <f ca="1">M29-L29</f>
        <v>-8.275554619047637E-3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4.3200263047619043E-2</v>
      </c>
      <c r="M30" s="75">
        <f ca="1">INDIRECT($B30&amp;"!"&amp;M$3&amp;"6")</f>
        <v>4.0242587285714275E-2</v>
      </c>
      <c r="N30" s="76">
        <f ca="1">M30-L30</f>
        <v>-2.9576757619047683E-3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2.7228831333333335E-2</v>
      </c>
      <c r="M31" s="75">
        <f ca="1">INDIRECT($B31&amp;"!"&amp;M$3&amp;"7")</f>
        <v>3.0444402523809522E-2</v>
      </c>
      <c r="N31" s="76">
        <f ca="1">M31-L31</f>
        <v>3.2155711904761873E-3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1.4458101000000004E-2</v>
      </c>
      <c r="M32" s="75">
        <f ca="1">INDIRECT($B32&amp;"!"&amp;M$3&amp;"8")</f>
        <v>2.4761903476190481E-2</v>
      </c>
      <c r="N32" s="76">
        <f ca="1">M32-L32</f>
        <v>1.0303802476190477E-2</v>
      </c>
      <c r="O32" s="226"/>
      <c r="P32" s="231">
        <f ca="1">bdrate(L29:L32,D29:D32,M29:M32,H29:H32)</f>
        <v>-5.5545382524684439E-2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6.5973396238095255E-2</v>
      </c>
      <c r="M40" s="75">
        <f ca="1">INDIRECT($B40&amp;"!"&amp;M$3&amp;"5")</f>
        <v>5.7878620238095244E-2</v>
      </c>
      <c r="N40" s="76">
        <f ca="1">M40-L40</f>
        <v>-8.0947760000000119E-3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4.448833447619048E-2</v>
      </c>
      <c r="M41" s="75">
        <f ca="1">INDIRECT($B41&amp;"!"&amp;M$3&amp;"6")</f>
        <v>4.1414261523809524E-2</v>
      </c>
      <c r="N41" s="76">
        <f ca="1">M41-L41</f>
        <v>-3.074072952380956E-3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2.7850360190476191E-2</v>
      </c>
      <c r="M42" s="75">
        <f ca="1">INDIRECT($B42&amp;"!"&amp;M$3&amp;"7")</f>
        <v>3.1737669761904765E-2</v>
      </c>
      <c r="N42" s="76">
        <f ca="1">M42-L42</f>
        <v>3.8873095714285731E-3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1.5608584595238097E-2</v>
      </c>
      <c r="M43" s="75">
        <f ca="1">INDIRECT($B43&amp;"!"&amp;M$3&amp;"8")</f>
        <v>2.6161215380952386E-2</v>
      </c>
      <c r="N43" s="76">
        <f ca="1">M43-L43</f>
        <v>1.0552630785714289E-2</v>
      </c>
      <c r="O43" s="226"/>
      <c r="P43" s="231">
        <f ca="1">bdrate(L40:L43,D40:D43,M40:M43,H40:H43)</f>
        <v>-4.7466300364807923E-2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A79" workbookViewId="0">
      <selection activeCell="Q18" sqref="Q1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35870.952000000005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29.340622799999998</v>
      </c>
      <c r="Y5" s="30">
        <f t="shared" si="2"/>
        <v>34.049194066666672</v>
      </c>
      <c r="Z5" s="30">
        <f t="shared" si="2"/>
        <v>0.96366566133333353</v>
      </c>
      <c r="AA5" s="91">
        <f t="shared" si="2"/>
        <v>0.96674560933333331</v>
      </c>
      <c r="AB5" s="91">
        <f t="shared" si="2"/>
        <v>5.6594949266666666E-2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-0.16086613975607145</v>
      </c>
      <c r="AN5" s="245">
        <f>bdrate($E5:$E8,G5:G8,$W5:$W8,Y5:Y8)</f>
        <v>-0.15036754152791965</v>
      </c>
      <c r="AO5" s="245">
        <f>bdrate($E5:$E8,H5:H8,$W5:$W8,Z5:Z8)</f>
        <v>-0.1090551084758451</v>
      </c>
      <c r="AP5" s="245">
        <f>bdrate($E5:$E8,I5:I8,$W5:$W8,AA5:AA8)</f>
        <v>-0.17424544276783271</v>
      </c>
      <c r="AQ5" s="246">
        <f>bdrateInverted($E5:$E8,J5:J8,$W5:$W8,AB5:AB8)</f>
        <v>-0.14995501683403778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49055.944000000003</v>
      </c>
      <c r="X6" s="91">
        <f t="shared" si="2"/>
        <v>32.068796666666671</v>
      </c>
      <c r="Y6" s="91">
        <f t="shared" si="2"/>
        <v>36.435331133333335</v>
      </c>
      <c r="Z6" s="91">
        <f t="shared" si="2"/>
        <v>0.97803892599999998</v>
      </c>
      <c r="AA6" s="91">
        <f t="shared" si="2"/>
        <v>0.97986542199999993</v>
      </c>
      <c r="AB6" s="91">
        <f t="shared" si="2"/>
        <v>3.5269137000000006E-2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66466.464000000007</v>
      </c>
      <c r="X7" s="91">
        <f t="shared" si="2"/>
        <v>33.901179133333329</v>
      </c>
      <c r="Y7" s="91">
        <f t="shared" si="2"/>
        <v>37.958659466666667</v>
      </c>
      <c r="Z7" s="91">
        <f t="shared" si="2"/>
        <v>0.98453887799999995</v>
      </c>
      <c r="AA7" s="91">
        <f t="shared" si="2"/>
        <v>0.98674437333333342</v>
      </c>
      <c r="AB7" s="91">
        <f t="shared" si="2"/>
        <v>2.7108057533333337E-2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88274.816000000006</v>
      </c>
      <c r="X8" s="91">
        <f t="shared" si="2"/>
        <v>34.493653533333337</v>
      </c>
      <c r="Y8" s="91">
        <f t="shared" si="2"/>
        <v>38.53805666666667</v>
      </c>
      <c r="Z8" s="91">
        <f t="shared" si="2"/>
        <v>0.98665276800000001</v>
      </c>
      <c r="AA8" s="91">
        <f t="shared" si="2"/>
        <v>0.98932459400000006</v>
      </c>
      <c r="AB8" s="91">
        <f t="shared" si="2"/>
        <v>2.3920777266666669E-2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5941.2240000000002</v>
      </c>
      <c r="X16" s="167">
        <v>6950.84</v>
      </c>
      <c r="Y16" s="167">
        <v>2236.0479999999998</v>
      </c>
      <c r="Z16" s="167">
        <v>32.112000000000002</v>
      </c>
      <c r="AA16" s="167">
        <v>81.591999999999999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5941.2240000000002</v>
      </c>
      <c r="X17" s="168">
        <v>9208.8799999999992</v>
      </c>
      <c r="Y17" s="168">
        <v>5957.3519999999999</v>
      </c>
      <c r="Z17" s="168">
        <v>376.63200000000001</v>
      </c>
      <c r="AA17" s="168">
        <v>668.87199999999996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5941.2240000000002</v>
      </c>
      <c r="X18" s="168">
        <v>11523.68</v>
      </c>
      <c r="Y18" s="168">
        <v>10985.175999999999</v>
      </c>
      <c r="Z18" s="168">
        <v>1893</v>
      </c>
      <c r="AA18" s="168">
        <v>2709.1039999999998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5941.2240000000002</v>
      </c>
      <c r="X19" s="168">
        <v>13726.208000000001</v>
      </c>
      <c r="Y19" s="168">
        <v>16504.664000000001</v>
      </c>
      <c r="Z19" s="168">
        <v>5272.8639999999996</v>
      </c>
      <c r="AA19" s="168">
        <v>6649.8959999999997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35870.952000000005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49055.944000000003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66466.464000000007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88274.816000000006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29.293821999999999</v>
      </c>
      <c r="Y33" s="97">
        <v>33.959493999999999</v>
      </c>
      <c r="Z33" s="97">
        <v>0.96437450999999996</v>
      </c>
      <c r="AA33" s="60">
        <v>0.96620159000000005</v>
      </c>
      <c r="AB33" s="60">
        <v>5.8534846000000001E-2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2.4954699999999974</v>
      </c>
      <c r="AN33" s="96">
        <f t="shared" ref="AN33:AN96" si="5">IF(OR(Y33="",G33=""),"",Y33-G33)</f>
        <v>1.9037629999999979</v>
      </c>
      <c r="AO33" s="96">
        <f t="shared" ref="AO33:AO96" si="6">IF(OR(Z33="",H33=""),"",Z33-H33)</f>
        <v>6.2586199999999925E-3</v>
      </c>
      <c r="AP33" s="96">
        <f t="shared" ref="AP33:AP96" si="7">IF(OR(AA33="",I33=""),"",AA33-I33)</f>
        <v>1.6068950000000082E-2</v>
      </c>
      <c r="AQ33" s="121">
        <f t="shared" ref="AQ33:AQ96" si="8">IF(OR(AB33="",J33=""),"",AB33-J33)</f>
        <v>-1.2094863999999997E-2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32.173191000000003</v>
      </c>
      <c r="Y34" s="190">
        <v>36.475676</v>
      </c>
      <c r="Z34" s="190">
        <v>0.97812370999999998</v>
      </c>
      <c r="AA34" s="62">
        <v>0.98049039999999998</v>
      </c>
      <c r="AB34" s="62">
        <v>3.6899406000000003E-2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1.4901390000000028</v>
      </c>
      <c r="AN34" s="122">
        <f t="shared" si="5"/>
        <v>1.2863669999999985</v>
      </c>
      <c r="AO34" s="122">
        <f t="shared" si="6"/>
        <v>2.4599800000000283E-3</v>
      </c>
      <c r="AP34" s="122">
        <f t="shared" si="7"/>
        <v>8.070440000000012E-3</v>
      </c>
      <c r="AQ34" s="88">
        <f t="shared" si="8"/>
        <v>-6.8745279999999978E-3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34.144494000000002</v>
      </c>
      <c r="Y35" s="190">
        <v>38.203040000000001</v>
      </c>
      <c r="Z35" s="190">
        <v>0.98472937000000005</v>
      </c>
      <c r="AA35" s="62">
        <v>0.98718587999999996</v>
      </c>
      <c r="AB35" s="62">
        <v>2.8127175000000001E-2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-1.100718999999998</v>
      </c>
      <c r="AN35" s="122">
        <f t="shared" si="5"/>
        <v>-1.1223650000000021</v>
      </c>
      <c r="AO35" s="122">
        <f t="shared" si="6"/>
        <v>-3.2954099999999986E-3</v>
      </c>
      <c r="AP35" s="122">
        <f t="shared" si="7"/>
        <v>-3.0613400000000235E-3</v>
      </c>
      <c r="AQ35" s="88">
        <f t="shared" si="8"/>
        <v>2.2484619999999997E-3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34.790540999999997</v>
      </c>
      <c r="Y36" s="190">
        <v>38.826926999999998</v>
      </c>
      <c r="Z36" s="190">
        <v>0.98681315000000003</v>
      </c>
      <c r="AA36" s="62">
        <v>0.99042699000000001</v>
      </c>
      <c r="AB36" s="62">
        <v>2.4564705999999999E-2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-3.1884410000000045</v>
      </c>
      <c r="AN36" s="122">
        <f t="shared" si="5"/>
        <v>-3.2446419999999989</v>
      </c>
      <c r="AO36" s="122">
        <f t="shared" si="6"/>
        <v>-5.5135899999999571E-3</v>
      </c>
      <c r="AP36" s="122">
        <f t="shared" si="7"/>
        <v>-4.7413299999999881E-3</v>
      </c>
      <c r="AQ36" s="88">
        <f t="shared" si="8"/>
        <v>6.431489999999998E-3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29.429241000000001</v>
      </c>
      <c r="Y38" s="97">
        <v>34.058979999999998</v>
      </c>
      <c r="Z38" s="97">
        <v>0.96504031000000001</v>
      </c>
      <c r="AA38" s="60">
        <v>0.96754949000000001</v>
      </c>
      <c r="AB38" s="60">
        <v>5.6359682000000001E-2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2.2699040000000004</v>
      </c>
      <c r="AN38" s="96">
        <f t="shared" si="5"/>
        <v>1.7453259999999986</v>
      </c>
      <c r="AO38" s="96">
        <f t="shared" si="6"/>
        <v>5.9076999999999602E-3</v>
      </c>
      <c r="AP38" s="96">
        <f t="shared" si="7"/>
        <v>1.4067840000000054E-2</v>
      </c>
      <c r="AQ38" s="121">
        <f t="shared" si="8"/>
        <v>-1.1290907999999995E-2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32.223196000000002</v>
      </c>
      <c r="Y39" s="190">
        <v>36.491784000000003</v>
      </c>
      <c r="Z39" s="190">
        <v>0.97843480000000005</v>
      </c>
      <c r="AA39" s="62">
        <v>0.98065426</v>
      </c>
      <c r="AB39" s="62">
        <v>3.5695232E-2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1.6117060000000016</v>
      </c>
      <c r="AN39" s="122">
        <f t="shared" si="5"/>
        <v>1.3659640000000053</v>
      </c>
      <c r="AO39" s="122">
        <f t="shared" si="6"/>
        <v>2.8867700000000385E-3</v>
      </c>
      <c r="AP39" s="122">
        <f t="shared" si="7"/>
        <v>7.4720200000000236E-3</v>
      </c>
      <c r="AQ39" s="88">
        <f t="shared" si="8"/>
        <v>-7.2096109999999977E-3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34.148491999999997</v>
      </c>
      <c r="Y40" s="190">
        <v>38.181247999999997</v>
      </c>
      <c r="Z40" s="190">
        <v>0.98484539000000004</v>
      </c>
      <c r="AA40" s="62">
        <v>0.98792131000000005</v>
      </c>
      <c r="AB40" s="62">
        <v>2.7393444999999999E-2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-0.95613900000000029</v>
      </c>
      <c r="AN40" s="122">
        <f t="shared" si="5"/>
        <v>-1.0245260000000016</v>
      </c>
      <c r="AO40" s="122">
        <f t="shared" si="6"/>
        <v>-2.8742899999999461E-3</v>
      </c>
      <c r="AP40" s="122">
        <f t="shared" si="7"/>
        <v>-2.4306799999999074E-3</v>
      </c>
      <c r="AQ40" s="88">
        <f t="shared" si="8"/>
        <v>1.1017429999999988E-3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34.779290000000003</v>
      </c>
      <c r="Y41" s="190">
        <v>38.799022999999998</v>
      </c>
      <c r="Z41" s="190">
        <v>0.98686843000000002</v>
      </c>
      <c r="AA41" s="62">
        <v>0.99025781999999996</v>
      </c>
      <c r="AB41" s="62">
        <v>2.4197763000000001E-2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-2.9931569999999965</v>
      </c>
      <c r="AN41" s="122">
        <f t="shared" si="5"/>
        <v>-3.0884320000000045</v>
      </c>
      <c r="AO41" s="122">
        <f t="shared" si="6"/>
        <v>-5.1029000000000213E-3</v>
      </c>
      <c r="AP41" s="122">
        <f t="shared" si="7"/>
        <v>-4.8625400000000818E-3</v>
      </c>
      <c r="AQ41" s="88">
        <f t="shared" si="8"/>
        <v>5.3042039999999999E-3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29.547416999999999</v>
      </c>
      <c r="Y43" s="97">
        <v>34.142651000000001</v>
      </c>
      <c r="Z43" s="97">
        <v>0.96416263000000002</v>
      </c>
      <c r="AA43" s="60">
        <v>0.96792619999999996</v>
      </c>
      <c r="AB43" s="60">
        <v>5.5015698000000002E-2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2.0702069999999999</v>
      </c>
      <c r="AN43" s="96">
        <f t="shared" si="5"/>
        <v>1.5998650000000012</v>
      </c>
      <c r="AO43" s="96">
        <f t="shared" si="6"/>
        <v>5.2737999999999952E-3</v>
      </c>
      <c r="AP43" s="96">
        <f t="shared" si="7"/>
        <v>1.2070789999999998E-2</v>
      </c>
      <c r="AQ43" s="121">
        <f t="shared" si="8"/>
        <v>-9.1415720000000006E-3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32.117860999999998</v>
      </c>
      <c r="Y44" s="190">
        <v>36.409213999999999</v>
      </c>
      <c r="Z44" s="190">
        <v>0.97809051000000002</v>
      </c>
      <c r="AA44" s="62">
        <v>0.98001048000000002</v>
      </c>
      <c r="AB44" s="62">
        <v>3.4363230000000002E-2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1.5285149999999987</v>
      </c>
      <c r="AN44" s="122">
        <f t="shared" si="5"/>
        <v>1.3002589999999969</v>
      </c>
      <c r="AO44" s="122">
        <f t="shared" si="6"/>
        <v>2.7865599999999935E-3</v>
      </c>
      <c r="AP44" s="122">
        <f t="shared" si="7"/>
        <v>6.6910100000000527E-3</v>
      </c>
      <c r="AQ44" s="88">
        <f t="shared" si="8"/>
        <v>-6.3117469999999995E-3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33.997073999999998</v>
      </c>
      <c r="Y45" s="190">
        <v>38.028388</v>
      </c>
      <c r="Z45" s="190">
        <v>0.98465924000000005</v>
      </c>
      <c r="AA45" s="62">
        <v>0.98718238999999997</v>
      </c>
      <c r="AB45" s="62">
        <v>2.6334032E-2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-1.1879580000000018</v>
      </c>
      <c r="AN45" s="122">
        <f t="shared" si="5"/>
        <v>-1.2390809999999988</v>
      </c>
      <c r="AO45" s="122">
        <f t="shared" si="6"/>
        <v>-3.1268099999999244E-3</v>
      </c>
      <c r="AP45" s="122">
        <f t="shared" si="7"/>
        <v>-3.3029500000000267E-3</v>
      </c>
      <c r="AQ45" s="88">
        <f t="shared" si="8"/>
        <v>1.6407499999999998E-3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34.583635000000001</v>
      </c>
      <c r="Y46" s="190">
        <v>38.618045000000002</v>
      </c>
      <c r="Z46" s="190">
        <v>0.98676361999999995</v>
      </c>
      <c r="AA46" s="62">
        <v>0.98942593999999995</v>
      </c>
      <c r="AB46" s="62">
        <v>2.3235146000000002E-2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-3.2577750000000023</v>
      </c>
      <c r="AN46" s="122">
        <f t="shared" si="5"/>
        <v>-3.3291729999999973</v>
      </c>
      <c r="AO46" s="122">
        <f t="shared" si="6"/>
        <v>-5.3456500000000906E-3</v>
      </c>
      <c r="AP46" s="122">
        <f t="shared" si="7"/>
        <v>-5.7100100000000431E-3</v>
      </c>
      <c r="AQ46" s="88">
        <f t="shared" si="8"/>
        <v>5.5108480000000022E-3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29.419889999999999</v>
      </c>
      <c r="Y48" s="97">
        <v>34.034751</v>
      </c>
      <c r="Z48" s="97">
        <v>0.96366342999999999</v>
      </c>
      <c r="AA48" s="60">
        <v>0.96701629</v>
      </c>
      <c r="AB48" s="60">
        <v>5.6499686E-2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1.891375</v>
      </c>
      <c r="AN48" s="96">
        <f t="shared" si="5"/>
        <v>1.4613980000000026</v>
      </c>
      <c r="AO48" s="96">
        <f t="shared" si="6"/>
        <v>4.7733899999999885E-3</v>
      </c>
      <c r="AP48" s="96">
        <f t="shared" si="7"/>
        <v>1.149370999999999E-2</v>
      </c>
      <c r="AQ48" s="121">
        <f t="shared" si="8"/>
        <v>-8.6197939999999931E-3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31.795373999999999</v>
      </c>
      <c r="Y49" s="190">
        <v>36.145445000000002</v>
      </c>
      <c r="Z49" s="190">
        <v>0.97764874999999996</v>
      </c>
      <c r="AA49" s="62">
        <v>0.97918687999999998</v>
      </c>
      <c r="AB49" s="62">
        <v>3.6029070000000003E-2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1.4313699999999976</v>
      </c>
      <c r="AN49" s="122">
        <f t="shared" si="5"/>
        <v>1.234102</v>
      </c>
      <c r="AO49" s="122">
        <f t="shared" si="6"/>
        <v>2.8282399999999264E-3</v>
      </c>
      <c r="AP49" s="122">
        <f t="shared" si="7"/>
        <v>7.0148899999999959E-3</v>
      </c>
      <c r="AQ49" s="88">
        <f t="shared" si="8"/>
        <v>-6.9148919999999989E-3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33.655172999999998</v>
      </c>
      <c r="Y50" s="190">
        <v>37.719932999999997</v>
      </c>
      <c r="Z50" s="190">
        <v>0.98433817000000001</v>
      </c>
      <c r="AA50" s="62">
        <v>0.98637691000000005</v>
      </c>
      <c r="AB50" s="62">
        <v>2.7561764999999998E-2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-1.5236149999999995</v>
      </c>
      <c r="AN50" s="122">
        <f t="shared" si="5"/>
        <v>-1.5336420000000004</v>
      </c>
      <c r="AO50" s="122">
        <f t="shared" si="6"/>
        <v>-3.3267000000000158E-3</v>
      </c>
      <c r="AP50" s="122">
        <f t="shared" si="7"/>
        <v>-4.0933999999999138E-3</v>
      </c>
      <c r="AQ50" s="88">
        <f t="shared" si="8"/>
        <v>1.7838479999999976E-3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34.210419000000002</v>
      </c>
      <c r="Y51" s="190">
        <v>38.298476999999998</v>
      </c>
      <c r="Z51" s="190">
        <v>0.98645088999999997</v>
      </c>
      <c r="AA51" s="62">
        <v>0.98857267999999998</v>
      </c>
      <c r="AB51" s="62">
        <v>2.4183124E-2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-3.5770799999999952</v>
      </c>
      <c r="AN51" s="122">
        <f t="shared" si="5"/>
        <v>-3.5877850000000038</v>
      </c>
      <c r="AO51" s="122">
        <f t="shared" si="6"/>
        <v>-5.5037000000000003E-3</v>
      </c>
      <c r="AP51" s="122">
        <f t="shared" si="7"/>
        <v>-6.4908999999999661E-3</v>
      </c>
      <c r="AQ51" s="88">
        <f t="shared" si="8"/>
        <v>5.5707039999999992E-3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29.258569999999999</v>
      </c>
      <c r="Y53" s="97">
        <v>33.844023</v>
      </c>
      <c r="Z53" s="97">
        <v>0.96096141000000002</v>
      </c>
      <c r="AA53" s="60">
        <v>0.96694937999999997</v>
      </c>
      <c r="AB53" s="60">
        <v>6.1481670000000002E-2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1.6212949999999999</v>
      </c>
      <c r="AN53" s="96">
        <f t="shared" si="5"/>
        <v>1.2404119999999992</v>
      </c>
      <c r="AO53" s="96">
        <f t="shared" si="6"/>
        <v>4.1105000000000169E-3</v>
      </c>
      <c r="AP53" s="96">
        <f t="shared" si="7"/>
        <v>1.0554859999999944E-2</v>
      </c>
      <c r="AQ53" s="121">
        <f t="shared" si="8"/>
        <v>-7.1086600000000028E-3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31.526662000000002</v>
      </c>
      <c r="Y54" s="190">
        <v>35.873638999999997</v>
      </c>
      <c r="Z54" s="190">
        <v>0.97581921999999999</v>
      </c>
      <c r="AA54" s="62">
        <v>0.97912730000000003</v>
      </c>
      <c r="AB54" s="62">
        <v>3.9297779999999997E-2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1.1846070000000033</v>
      </c>
      <c r="AN54" s="122">
        <f t="shared" si="5"/>
        <v>1.000475999999999</v>
      </c>
      <c r="AO54" s="122">
        <f t="shared" si="6"/>
        <v>1.779670000000011E-3</v>
      </c>
      <c r="AP54" s="122">
        <f t="shared" si="7"/>
        <v>6.5934699999999902E-3</v>
      </c>
      <c r="AQ54" s="88">
        <f t="shared" si="8"/>
        <v>-5.712653000000005E-3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33.193044999999998</v>
      </c>
      <c r="Y55" s="190">
        <v>37.264695000000003</v>
      </c>
      <c r="Z55" s="190">
        <v>0.98270979999999997</v>
      </c>
      <c r="AA55" s="62">
        <v>0.98543185</v>
      </c>
      <c r="AB55" s="62">
        <v>3.0787677999999999E-2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-1.8010750000000044</v>
      </c>
      <c r="AN55" s="122">
        <f t="shared" si="5"/>
        <v>-1.7963199999999944</v>
      </c>
      <c r="AO55" s="122">
        <f t="shared" si="6"/>
        <v>-4.3784900000000126E-3</v>
      </c>
      <c r="AP55" s="122">
        <f t="shared" si="7"/>
        <v>-4.9375600000000075E-3</v>
      </c>
      <c r="AQ55" s="88">
        <f t="shared" si="8"/>
        <v>3.2007600000000004E-3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33.702857999999999</v>
      </c>
      <c r="Y56" s="190">
        <v>37.802503999999999</v>
      </c>
      <c r="Z56" s="190">
        <v>0.98487104999999997</v>
      </c>
      <c r="AA56" s="62">
        <v>0.98754496999999997</v>
      </c>
      <c r="AB56" s="62">
        <v>2.7078778000000001E-2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-3.7292109999999994</v>
      </c>
      <c r="AN56" s="122">
        <f t="shared" si="5"/>
        <v>-3.7012180000000043</v>
      </c>
      <c r="AO56" s="122">
        <f t="shared" si="6"/>
        <v>-6.5586100000000203E-3</v>
      </c>
      <c r="AP56" s="122">
        <f t="shared" si="7"/>
        <v>-7.2797600000000795E-3</v>
      </c>
      <c r="AQ56" s="88">
        <f t="shared" si="8"/>
        <v>7.0861860000000013E-3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29.368675</v>
      </c>
      <c r="Y58" s="97">
        <v>34.142302000000001</v>
      </c>
      <c r="Z58" s="97">
        <v>0.96471876999999995</v>
      </c>
      <c r="AA58" s="60">
        <v>0.96827333000000004</v>
      </c>
      <c r="AB58" s="60">
        <v>5.6274965000000003E-2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2.4738529999999983</v>
      </c>
      <c r="AN58" s="96">
        <f t="shared" si="5"/>
        <v>1.8775839999999988</v>
      </c>
      <c r="AO58" s="96">
        <f t="shared" si="6"/>
        <v>6.0443899999998996E-3</v>
      </c>
      <c r="AP58" s="96">
        <f t="shared" si="7"/>
        <v>1.4357600000000081E-2</v>
      </c>
      <c r="AQ58" s="121">
        <f t="shared" si="8"/>
        <v>-1.2968594999999992E-2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32.529586999999999</v>
      </c>
      <c r="Y59" s="190">
        <v>36.865369999999999</v>
      </c>
      <c r="Z59" s="190">
        <v>0.97876867000000001</v>
      </c>
      <c r="AA59" s="62">
        <v>0.98204787999999998</v>
      </c>
      <c r="AB59" s="62">
        <v>3.5005380000000003E-2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1.7132059999999996</v>
      </c>
      <c r="AN59" s="122">
        <f t="shared" si="5"/>
        <v>1.3722969999999961</v>
      </c>
      <c r="AO59" s="122">
        <f t="shared" si="6"/>
        <v>2.3241900000000593E-3</v>
      </c>
      <c r="AP59" s="122">
        <f t="shared" si="7"/>
        <v>7.1034700000000006E-3</v>
      </c>
      <c r="AQ59" s="88">
        <f t="shared" si="8"/>
        <v>-6.0081479999999979E-3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34.399298999999999</v>
      </c>
      <c r="Y60" s="190">
        <v>38.423575</v>
      </c>
      <c r="Z60" s="190">
        <v>0.98519091000000003</v>
      </c>
      <c r="AA60" s="62">
        <v>0.98866008999999999</v>
      </c>
      <c r="AB60" s="62">
        <v>2.6630322000000001E-2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-0.89454700000000287</v>
      </c>
      <c r="AN60" s="122">
        <f t="shared" si="5"/>
        <v>-0.96710500000000366</v>
      </c>
      <c r="AO60" s="122">
        <f t="shared" si="6"/>
        <v>-3.4563399999999467E-3</v>
      </c>
      <c r="AP60" s="122">
        <f t="shared" si="7"/>
        <v>-2.2822300000000517E-3</v>
      </c>
      <c r="AQ60" s="88">
        <f t="shared" si="8"/>
        <v>2.8230500000000006E-3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35.025126</v>
      </c>
      <c r="Y61" s="190">
        <v>39.023868</v>
      </c>
      <c r="Z61" s="190">
        <v>0.98727226000000001</v>
      </c>
      <c r="AA61" s="62">
        <v>0.99110312</v>
      </c>
      <c r="AB61" s="62">
        <v>2.3587733999999999E-2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-2.9314129999999992</v>
      </c>
      <c r="AN61" s="122">
        <f t="shared" si="5"/>
        <v>-3.0163539999999998</v>
      </c>
      <c r="AO61" s="122">
        <f t="shared" si="6"/>
        <v>-5.5807700000000127E-3</v>
      </c>
      <c r="AP61" s="122">
        <f t="shared" si="7"/>
        <v>-4.5916700000000477E-3</v>
      </c>
      <c r="AQ61" s="88">
        <f t="shared" si="8"/>
        <v>6.7650829999999981E-3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29.349212000000001</v>
      </c>
      <c r="Y63" s="97">
        <v>34.132325999999999</v>
      </c>
      <c r="Z63" s="97">
        <v>0.96558896000000005</v>
      </c>
      <c r="AA63" s="60">
        <v>0.96647307000000005</v>
      </c>
      <c r="AB63" s="60">
        <v>5.3843162999999999E-2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2.2691429999999997</v>
      </c>
      <c r="AN63" s="96">
        <f t="shared" si="5"/>
        <v>1.7185559999999995</v>
      </c>
      <c r="AO63" s="96">
        <f t="shared" si="6"/>
        <v>6.0829000000000022E-3</v>
      </c>
      <c r="AP63" s="96">
        <f t="shared" si="7"/>
        <v>1.2401290000000009E-2</v>
      </c>
      <c r="AQ63" s="121">
        <f t="shared" si="8"/>
        <v>-1.1508536999999999E-2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32.391921000000004</v>
      </c>
      <c r="Y64" s="190">
        <v>36.761726000000003</v>
      </c>
      <c r="Z64" s="190">
        <v>0.97958727000000001</v>
      </c>
      <c r="AA64" s="62">
        <v>0.98018722000000003</v>
      </c>
      <c r="AB64" s="62">
        <v>3.2793164E-2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1.745276000000004</v>
      </c>
      <c r="AN64" s="122">
        <f t="shared" si="5"/>
        <v>1.3843650000000025</v>
      </c>
      <c r="AO64" s="122">
        <f t="shared" si="6"/>
        <v>3.1166200000000144E-3</v>
      </c>
      <c r="AP64" s="122">
        <f t="shared" si="7"/>
        <v>8.1107799999999841E-3</v>
      </c>
      <c r="AQ64" s="88">
        <f t="shared" si="8"/>
        <v>-7.0708690000000005E-3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34.410237000000002</v>
      </c>
      <c r="Y65" s="190">
        <v>38.416452</v>
      </c>
      <c r="Z65" s="190">
        <v>0.98584665000000005</v>
      </c>
      <c r="AA65" s="62">
        <v>0.98725291000000004</v>
      </c>
      <c r="AB65" s="62">
        <v>2.5192892000000001E-2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-0.89405199999999496</v>
      </c>
      <c r="AN65" s="122">
        <f t="shared" si="5"/>
        <v>-1.010942</v>
      </c>
      <c r="AO65" s="122">
        <f t="shared" si="6"/>
        <v>-2.7356299999999889E-3</v>
      </c>
      <c r="AP65" s="122">
        <f t="shared" si="7"/>
        <v>-3.2844399999999441E-3</v>
      </c>
      <c r="AQ65" s="88">
        <f t="shared" si="8"/>
        <v>1.6041470000000002E-3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35.026750999999997</v>
      </c>
      <c r="Y66" s="190">
        <v>39.009321999999997</v>
      </c>
      <c r="Z66" s="190">
        <v>0.98784762000000004</v>
      </c>
      <c r="AA66" s="62">
        <v>0.98980137999999995</v>
      </c>
      <c r="AB66" s="62">
        <v>2.2255713E-2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-2.9139470000000003</v>
      </c>
      <c r="AN66" s="122">
        <f t="shared" si="5"/>
        <v>-3.0333380000000005</v>
      </c>
      <c r="AO66" s="122">
        <f t="shared" si="6"/>
        <v>-4.8910599999999471E-3</v>
      </c>
      <c r="AP66" s="122">
        <f t="shared" si="7"/>
        <v>-5.554510000000068E-3</v>
      </c>
      <c r="AQ66" s="88">
        <f t="shared" si="8"/>
        <v>5.5482129999999998E-3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29.487839999999998</v>
      </c>
      <c r="Y68" s="97">
        <v>34.236030999999997</v>
      </c>
      <c r="Z68" s="97">
        <v>0.96541531999999997</v>
      </c>
      <c r="AA68" s="60">
        <v>0.96666686000000002</v>
      </c>
      <c r="AB68" s="60">
        <v>5.2834622999999997E-2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2.1479029999999995</v>
      </c>
      <c r="AN68" s="96">
        <f t="shared" si="5"/>
        <v>1.6373119999999943</v>
      </c>
      <c r="AO68" s="96">
        <f t="shared" si="6"/>
        <v>5.8939199999999969E-3</v>
      </c>
      <c r="AP68" s="96">
        <f t="shared" si="7"/>
        <v>1.1810290000000001E-2</v>
      </c>
      <c r="AQ68" s="121">
        <f t="shared" si="8"/>
        <v>-1.0095723000000001E-2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32.337263</v>
      </c>
      <c r="Y69" s="190">
        <v>36.717131999999999</v>
      </c>
      <c r="Z69" s="190">
        <v>0.97940062000000006</v>
      </c>
      <c r="AA69" s="62">
        <v>0.97954668</v>
      </c>
      <c r="AB69" s="62">
        <v>3.2363966000000001E-2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1.6375640000000011</v>
      </c>
      <c r="AN69" s="122">
        <f t="shared" si="5"/>
        <v>1.298881999999999</v>
      </c>
      <c r="AO69" s="122">
        <f t="shared" si="6"/>
        <v>3.3038400000000578E-3</v>
      </c>
      <c r="AP69" s="122">
        <f t="shared" si="7"/>
        <v>8.1389400000000389E-3</v>
      </c>
      <c r="AQ69" s="88">
        <f t="shared" si="8"/>
        <v>-6.7288760000000017E-3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34.201704999999997</v>
      </c>
      <c r="Y70" s="190">
        <v>38.22748</v>
      </c>
      <c r="Z70" s="190">
        <v>0.98565641000000004</v>
      </c>
      <c r="AA70" s="62">
        <v>0.98625218999999997</v>
      </c>
      <c r="AB70" s="62">
        <v>2.4566548000000001E-2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-1.1241870000000063</v>
      </c>
      <c r="AN70" s="122">
        <f t="shared" si="5"/>
        <v>-1.2169659999999993</v>
      </c>
      <c r="AO70" s="122">
        <f t="shared" si="6"/>
        <v>-2.6763199999999543E-3</v>
      </c>
      <c r="AP70" s="122">
        <f t="shared" si="7"/>
        <v>-3.7516300000000058E-3</v>
      </c>
      <c r="AQ70" s="88">
        <f t="shared" si="8"/>
        <v>1.5154260000000003E-3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34.797989000000001</v>
      </c>
      <c r="Y71" s="190">
        <v>38.805128000000003</v>
      </c>
      <c r="Z71" s="190">
        <v>0.98774772</v>
      </c>
      <c r="AA71" s="62">
        <v>0.98882155000000005</v>
      </c>
      <c r="AB71" s="62">
        <v>2.1668835000000001E-2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-3.1209810000000004</v>
      </c>
      <c r="AN71" s="122">
        <f t="shared" si="5"/>
        <v>-3.2054719999999932</v>
      </c>
      <c r="AO71" s="122">
        <f t="shared" si="6"/>
        <v>-4.8523799999999895E-3</v>
      </c>
      <c r="AP71" s="122">
        <f t="shared" si="7"/>
        <v>-6.2029299999999399E-3</v>
      </c>
      <c r="AQ71" s="88">
        <f t="shared" si="8"/>
        <v>5.0641190000000023E-3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29.517011</v>
      </c>
      <c r="Y73" s="97">
        <v>34.233406000000002</v>
      </c>
      <c r="Z73" s="97">
        <v>0.96504575999999997</v>
      </c>
      <c r="AA73" s="60">
        <v>0.96661834999999996</v>
      </c>
      <c r="AB73" s="60">
        <v>5.3771697E-2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2.062182</v>
      </c>
      <c r="AN73" s="96">
        <f t="shared" si="5"/>
        <v>1.5716380000000001</v>
      </c>
      <c r="AO73" s="96">
        <f t="shared" si="6"/>
        <v>5.5189700000000119E-3</v>
      </c>
      <c r="AP73" s="96">
        <f t="shared" si="7"/>
        <v>1.1554789999999926E-2</v>
      </c>
      <c r="AQ73" s="121">
        <f t="shared" si="8"/>
        <v>-8.9056229999999945E-3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32.201748000000002</v>
      </c>
      <c r="Y74" s="190">
        <v>36.599196999999997</v>
      </c>
      <c r="Z74" s="190">
        <v>0.97911566000000005</v>
      </c>
      <c r="AA74" s="62">
        <v>0.97947788000000002</v>
      </c>
      <c r="AB74" s="62">
        <v>3.2834149999999999E-2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1.5411150000000013</v>
      </c>
      <c r="AN74" s="122">
        <f t="shared" si="5"/>
        <v>1.2376319999999978</v>
      </c>
      <c r="AO74" s="122">
        <f t="shared" si="6"/>
        <v>3.3375600000000727E-3</v>
      </c>
      <c r="AP74" s="122">
        <f t="shared" si="7"/>
        <v>8.3945800000000403E-3</v>
      </c>
      <c r="AQ74" s="88">
        <f t="shared" si="8"/>
        <v>-6.5716130000000039E-3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33.964410000000001</v>
      </c>
      <c r="Y75" s="190">
        <v>38.022385</v>
      </c>
      <c r="Z75" s="190">
        <v>0.98541900000000004</v>
      </c>
      <c r="AA75" s="62">
        <v>0.98597484000000002</v>
      </c>
      <c r="AB75" s="62">
        <v>2.5065074E-2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-1.3498000000000019</v>
      </c>
      <c r="AN75" s="122">
        <f t="shared" si="5"/>
        <v>-1.408890999999997</v>
      </c>
      <c r="AO75" s="122">
        <f t="shared" si="6"/>
        <v>-2.7655399999999553E-3</v>
      </c>
      <c r="AP75" s="122">
        <f t="shared" si="7"/>
        <v>-4.1055100000000344E-3</v>
      </c>
      <c r="AQ75" s="88">
        <f t="shared" si="8"/>
        <v>1.8141570000000003E-3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34.536968000000002</v>
      </c>
      <c r="Y76" s="190">
        <v>38.585344999999997</v>
      </c>
      <c r="Z76" s="190">
        <v>0.98748442999999997</v>
      </c>
      <c r="AA76" s="62">
        <v>0.98844471</v>
      </c>
      <c r="AB76" s="62">
        <v>2.2008936999999999E-2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-3.3447059999999951</v>
      </c>
      <c r="AN76" s="122">
        <f t="shared" si="5"/>
        <v>-3.383338000000002</v>
      </c>
      <c r="AO76" s="122">
        <f t="shared" si="6"/>
        <v>-4.940739999999999E-3</v>
      </c>
      <c r="AP76" s="122">
        <f t="shared" si="7"/>
        <v>-6.6341699999999948E-3</v>
      </c>
      <c r="AQ76" s="88">
        <f t="shared" si="8"/>
        <v>5.1887219999999998E-3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29.369505</v>
      </c>
      <c r="Y78" s="97">
        <v>34.023302999999999</v>
      </c>
      <c r="Z78" s="97">
        <v>0.96257256999999996</v>
      </c>
      <c r="AA78" s="60">
        <v>0.96674009000000005</v>
      </c>
      <c r="AB78" s="60">
        <v>5.8162324000000001E-2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1.8607520000000015</v>
      </c>
      <c r="AN78" s="96">
        <f t="shared" si="5"/>
        <v>1.405146000000002</v>
      </c>
      <c r="AO78" s="96">
        <f t="shared" si="6"/>
        <v>4.9647299999999728E-3</v>
      </c>
      <c r="AP78" s="96">
        <f t="shared" si="7"/>
        <v>1.1061870000000029E-2</v>
      </c>
      <c r="AQ78" s="121">
        <f t="shared" si="8"/>
        <v>-8.0025059999999926E-3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31.907487</v>
      </c>
      <c r="Y79" s="190">
        <v>36.273260000000001</v>
      </c>
      <c r="Z79" s="190">
        <v>0.97724462000000001</v>
      </c>
      <c r="AA79" s="62">
        <v>0.97957145000000001</v>
      </c>
      <c r="AB79" s="62">
        <v>3.661445E-2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1.3187069999999999</v>
      </c>
      <c r="AN79" s="122">
        <f t="shared" si="5"/>
        <v>1.044398000000001</v>
      </c>
      <c r="AO79" s="122">
        <f t="shared" si="6"/>
        <v>2.5739300000000576E-3</v>
      </c>
      <c r="AP79" s="122">
        <f t="shared" si="7"/>
        <v>7.6192699999999558E-3</v>
      </c>
      <c r="AQ79" s="88">
        <f t="shared" si="8"/>
        <v>-6.180320000000003E-3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33.579403999999997</v>
      </c>
      <c r="Y80" s="190">
        <v>37.635891999999998</v>
      </c>
      <c r="Z80" s="190">
        <v>0.98381074000000002</v>
      </c>
      <c r="AA80" s="62">
        <v>0.98574870000000003</v>
      </c>
      <c r="AB80" s="62">
        <v>2.8120361E-2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-1.5509100000000018</v>
      </c>
      <c r="AN80" s="122">
        <f t="shared" si="5"/>
        <v>-1.5900060000000025</v>
      </c>
      <c r="AO80" s="122">
        <f t="shared" si="6"/>
        <v>-3.5655900000000074E-3</v>
      </c>
      <c r="AP80" s="122">
        <f t="shared" si="7"/>
        <v>-4.4279899999999373E-3</v>
      </c>
      <c r="AQ80" s="88">
        <f t="shared" si="8"/>
        <v>2.9711650000000013E-3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34.136856000000002</v>
      </c>
      <c r="Y81" s="190">
        <v>38.191865</v>
      </c>
      <c r="Z81" s="190">
        <v>0.98591640999999997</v>
      </c>
      <c r="AA81" s="62">
        <v>0.98813236999999998</v>
      </c>
      <c r="AB81" s="62">
        <v>2.4992283000000001E-2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-3.4604909999999975</v>
      </c>
      <c r="AN81" s="122">
        <f t="shared" si="5"/>
        <v>-3.4603869999999972</v>
      </c>
      <c r="AO81" s="122">
        <f t="shared" si="6"/>
        <v>-5.7751999999999803E-3</v>
      </c>
      <c r="AP81" s="122">
        <f t="shared" si="7"/>
        <v>-6.7934000000000605E-3</v>
      </c>
      <c r="AQ81" s="88">
        <f t="shared" si="8"/>
        <v>6.5071629999999998E-3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28.948971</v>
      </c>
      <c r="Y83" s="97">
        <v>33.799517000000002</v>
      </c>
      <c r="Z83" s="97">
        <v>0.96121913000000003</v>
      </c>
      <c r="AA83" s="60">
        <v>0.96704718000000001</v>
      </c>
      <c r="AB83" s="60">
        <v>6.0551286000000003E-2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1.9690750000000001</v>
      </c>
      <c r="AN83" s="96">
        <f t="shared" si="5"/>
        <v>1.4742409999999992</v>
      </c>
      <c r="AO83" s="96">
        <f t="shared" si="6"/>
        <v>4.6507100000000579E-3</v>
      </c>
      <c r="AP83" s="96">
        <f t="shared" si="7"/>
        <v>1.1601340000000016E-2</v>
      </c>
      <c r="AQ83" s="121">
        <f t="shared" si="8"/>
        <v>-9.8716439999999919E-3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31.790821999999999</v>
      </c>
      <c r="Y84" s="190">
        <v>36.251703999999997</v>
      </c>
      <c r="Z84" s="190">
        <v>0.97666103999999998</v>
      </c>
      <c r="AA84" s="62">
        <v>0.98063465999999999</v>
      </c>
      <c r="AB84" s="62">
        <v>3.7189078E-2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1.2817179999999979</v>
      </c>
      <c r="AN84" s="122">
        <f t="shared" si="5"/>
        <v>0.97586199999999934</v>
      </c>
      <c r="AO84" s="122">
        <f t="shared" si="6"/>
        <v>5.6298999999992994E-4</v>
      </c>
      <c r="AP84" s="122">
        <f t="shared" si="7"/>
        <v>6.0460799999999537E-3</v>
      </c>
      <c r="AQ84" s="88">
        <f t="shared" si="8"/>
        <v>-3.8336220000000018E-3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33.597180999999999</v>
      </c>
      <c r="Y85" s="190">
        <v>37.720314000000002</v>
      </c>
      <c r="Z85" s="190">
        <v>0.98342315000000002</v>
      </c>
      <c r="AA85" s="62">
        <v>0.98704667999999995</v>
      </c>
      <c r="AB85" s="62">
        <v>2.875757E-2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-1.3983180000000033</v>
      </c>
      <c r="AN85" s="122">
        <f t="shared" si="5"/>
        <v>-1.4112030000000004</v>
      </c>
      <c r="AO85" s="122">
        <f t="shared" si="6"/>
        <v>-5.1518499999999579E-3</v>
      </c>
      <c r="AP85" s="122">
        <f t="shared" si="7"/>
        <v>-4.0786100000000935E-3</v>
      </c>
      <c r="AQ85" s="88">
        <f t="shared" si="8"/>
        <v>4.9894880000000003E-3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34.157401</v>
      </c>
      <c r="Y86" s="190">
        <v>38.248640000000002</v>
      </c>
      <c r="Z86" s="190">
        <v>0.98566745</v>
      </c>
      <c r="AA86" s="62">
        <v>0.99023817999999997</v>
      </c>
      <c r="AB86" s="62">
        <v>2.5690741999999999E-2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-3.6614739999999983</v>
      </c>
      <c r="AN86" s="122">
        <f t="shared" si="5"/>
        <v>-3.6249369999999956</v>
      </c>
      <c r="AO86" s="122">
        <f t="shared" si="6"/>
        <v>-7.3135199999999623E-3</v>
      </c>
      <c r="AP86" s="122">
        <f t="shared" si="7"/>
        <v>-5.4467799999999844E-3</v>
      </c>
      <c r="AQ86" s="88">
        <f t="shared" si="8"/>
        <v>8.9109879999999982E-3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29.176559999999998</v>
      </c>
      <c r="Y88" s="97">
        <v>33.996499999999997</v>
      </c>
      <c r="Z88" s="97">
        <v>0.96308075999999998</v>
      </c>
      <c r="AA88" s="60">
        <v>0.96648736000000002</v>
      </c>
      <c r="AB88" s="60">
        <v>5.7141148000000003E-2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2.1063629999999982</v>
      </c>
      <c r="AN88" s="96">
        <f t="shared" si="5"/>
        <v>1.5888799999999961</v>
      </c>
      <c r="AO88" s="96">
        <f t="shared" si="6"/>
        <v>5.3644699999999546E-3</v>
      </c>
      <c r="AP88" s="96">
        <f t="shared" si="7"/>
        <v>1.1813799999999985E-2</v>
      </c>
      <c r="AQ88" s="121">
        <f t="shared" si="8"/>
        <v>-9.5420519999999953E-3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32.159509999999997</v>
      </c>
      <c r="Y89" s="190">
        <v>36.570543000000001</v>
      </c>
      <c r="Z89" s="190">
        <v>0.97816373999999995</v>
      </c>
      <c r="AA89" s="62">
        <v>0.98014228999999997</v>
      </c>
      <c r="AB89" s="62">
        <v>3.5011463E-2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1.5710779999999964</v>
      </c>
      <c r="AN89" s="122">
        <f t="shared" si="5"/>
        <v>1.2250220000000027</v>
      </c>
      <c r="AO89" s="122">
        <f t="shared" si="6"/>
        <v>1.9194299999999442E-3</v>
      </c>
      <c r="AP89" s="122">
        <f t="shared" si="7"/>
        <v>7.0289199999999941E-3</v>
      </c>
      <c r="AQ89" s="88">
        <f t="shared" si="8"/>
        <v>-4.9165749999999994E-3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34.068649000000001</v>
      </c>
      <c r="Y90" s="190">
        <v>38.130715000000002</v>
      </c>
      <c r="Z90" s="190">
        <v>0.98472389000000005</v>
      </c>
      <c r="AA90" s="62">
        <v>0.98764638000000005</v>
      </c>
      <c r="AB90" s="62">
        <v>2.6909327E-2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-1.0585960000000014</v>
      </c>
      <c r="AN90" s="122">
        <f t="shared" si="5"/>
        <v>-1.1438069999999954</v>
      </c>
      <c r="AO90" s="122">
        <f t="shared" si="6"/>
        <v>-3.8077099999999087E-3</v>
      </c>
      <c r="AP90" s="122">
        <f t="shared" si="7"/>
        <v>-3.071089999999943E-3</v>
      </c>
      <c r="AQ90" s="88">
        <f t="shared" si="8"/>
        <v>3.3131589999999995E-3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34.682119999999998</v>
      </c>
      <c r="Y91" s="190">
        <v>38.699910000000003</v>
      </c>
      <c r="Z91" s="190">
        <v>0.98688158999999998</v>
      </c>
      <c r="AA91" s="62">
        <v>0.99022412000000004</v>
      </c>
      <c r="AB91" s="62">
        <v>2.3899529999999999E-2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-3.2311380000000014</v>
      </c>
      <c r="AN91" s="122">
        <f t="shared" si="5"/>
        <v>-3.2920629999999989</v>
      </c>
      <c r="AO91" s="122">
        <f t="shared" si="6"/>
        <v>-6.0162000000000271E-3</v>
      </c>
      <c r="AP91" s="122">
        <f t="shared" si="7"/>
        <v>-5.2313899999999469E-3</v>
      </c>
      <c r="AQ91" s="88">
        <f t="shared" si="8"/>
        <v>7.2040549999999974E-3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29.299057000000001</v>
      </c>
      <c r="Y93" s="97">
        <v>34.097656999999998</v>
      </c>
      <c r="Z93" s="97">
        <v>0.96371406000000004</v>
      </c>
      <c r="AA93" s="60">
        <v>0.96508004000000003</v>
      </c>
      <c r="AB93" s="60">
        <v>5.4599210000000002E-2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2.0692820000000012</v>
      </c>
      <c r="AN93" s="96">
        <f t="shared" si="5"/>
        <v>1.5665639999999996</v>
      </c>
      <c r="AO93" s="96">
        <f t="shared" si="6"/>
        <v>5.137920000000018E-3</v>
      </c>
      <c r="AP93" s="96">
        <f t="shared" si="7"/>
        <v>1.1689359999999982E-2</v>
      </c>
      <c r="AQ93" s="121">
        <f t="shared" si="8"/>
        <v>-8.9133600000000021E-3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32.168917</v>
      </c>
      <c r="Y94" s="190">
        <v>36.575122999999998</v>
      </c>
      <c r="Z94" s="190">
        <v>0.97849872000000004</v>
      </c>
      <c r="AA94" s="62">
        <v>0.97917600999999999</v>
      </c>
      <c r="AB94" s="62">
        <v>3.3625374999999999E-2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1.4795079999999992</v>
      </c>
      <c r="AN94" s="122">
        <f t="shared" si="5"/>
        <v>1.1631319999999974</v>
      </c>
      <c r="AO94" s="122">
        <f t="shared" si="6"/>
        <v>1.9248000000000598E-3</v>
      </c>
      <c r="AP94" s="122">
        <f t="shared" si="7"/>
        <v>7.8601799999999944E-3</v>
      </c>
      <c r="AQ94" s="88">
        <f t="shared" si="8"/>
        <v>-4.4550790000000007E-3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34.033065999999998</v>
      </c>
      <c r="Y95" s="190">
        <v>38.096297999999997</v>
      </c>
      <c r="Z95" s="190">
        <v>0.98482678000000001</v>
      </c>
      <c r="AA95" s="62">
        <v>0.98637993999999996</v>
      </c>
      <c r="AB95" s="62">
        <v>2.5988104000000001E-2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-1.2964249999999993</v>
      </c>
      <c r="AN95" s="122">
        <f t="shared" si="5"/>
        <v>-1.3577360000000027</v>
      </c>
      <c r="AO95" s="122">
        <f t="shared" si="6"/>
        <v>-3.8253799999999893E-3</v>
      </c>
      <c r="AP95" s="122">
        <f t="shared" si="7"/>
        <v>-3.7581700000000051E-3</v>
      </c>
      <c r="AQ95" s="88">
        <f t="shared" si="8"/>
        <v>3.4222490000000022E-3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34.638843999999999</v>
      </c>
      <c r="Y96" s="190">
        <v>38.671075999999999</v>
      </c>
      <c r="Z96" s="190">
        <v>0.98695166000000001</v>
      </c>
      <c r="AA96" s="62">
        <v>0.98910399999999998</v>
      </c>
      <c r="AB96" s="62">
        <v>2.2926307999999999E-2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-3.4423170000000027</v>
      </c>
      <c r="AN96" s="122">
        <f t="shared" si="5"/>
        <v>-3.4789340000000024</v>
      </c>
      <c r="AO96" s="122">
        <f t="shared" si="6"/>
        <v>-5.978469999999958E-3</v>
      </c>
      <c r="AP96" s="122">
        <f t="shared" si="7"/>
        <v>-6.0579299999999892E-3</v>
      </c>
      <c r="AQ96" s="88">
        <f t="shared" si="8"/>
        <v>6.9219059999999985E-3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29.460927999999999</v>
      </c>
      <c r="Y98" s="97">
        <v>34.227246000000001</v>
      </c>
      <c r="Z98" s="97">
        <v>0.96395781000000003</v>
      </c>
      <c r="AA98" s="60">
        <v>0.96610348000000001</v>
      </c>
      <c r="AB98" s="60">
        <v>5.5276614000000002E-2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2.0611129999999989</v>
      </c>
      <c r="AN98" s="96">
        <f t="shared" si="15"/>
        <v>1.5653520000000043</v>
      </c>
      <c r="AO98" s="96">
        <f t="shared" si="16"/>
        <v>5.2341799999999772E-3</v>
      </c>
      <c r="AP98" s="96">
        <f t="shared" si="17"/>
        <v>1.1409239999999987E-2</v>
      </c>
      <c r="AQ98" s="121">
        <f t="shared" si="18"/>
        <v>-8.0975100000000022E-3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32.121318000000002</v>
      </c>
      <c r="Y99" s="190">
        <v>36.565356999999999</v>
      </c>
      <c r="Z99" s="190">
        <v>0.97857587000000001</v>
      </c>
      <c r="AA99" s="62">
        <v>0.97908702000000003</v>
      </c>
      <c r="AB99" s="62">
        <v>3.4034903999999998E-2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1.470398000000003</v>
      </c>
      <c r="AN99" s="122">
        <f t="shared" si="15"/>
        <v>1.1723780000000019</v>
      </c>
      <c r="AO99" s="122">
        <f t="shared" si="16"/>
        <v>2.086829999999984E-3</v>
      </c>
      <c r="AP99" s="122">
        <f t="shared" si="17"/>
        <v>7.2203100000000076E-3</v>
      </c>
      <c r="AQ99" s="88">
        <f t="shared" si="18"/>
        <v>-4.6391230000000019E-3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33.912542999999999</v>
      </c>
      <c r="Y100" s="190">
        <v>38.015796999999999</v>
      </c>
      <c r="Z100" s="190">
        <v>0.98487022000000002</v>
      </c>
      <c r="AA100" s="62">
        <v>0.98653816000000005</v>
      </c>
      <c r="AB100" s="62">
        <v>2.6230331999999999E-2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-1.3135660000000016</v>
      </c>
      <c r="AN100" s="122">
        <f t="shared" si="15"/>
        <v>-1.3614469999999983</v>
      </c>
      <c r="AO100" s="122">
        <f t="shared" si="16"/>
        <v>-3.699510000000017E-3</v>
      </c>
      <c r="AP100" s="122">
        <f t="shared" si="17"/>
        <v>-3.5700999999999095E-3</v>
      </c>
      <c r="AQ100" s="88">
        <f t="shared" si="18"/>
        <v>2.9288589999999989E-3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34.529398999999998</v>
      </c>
      <c r="Y101" s="190">
        <v>38.605201000000001</v>
      </c>
      <c r="Z101" s="190">
        <v>0.98698567999999998</v>
      </c>
      <c r="AA101" s="62">
        <v>0.98934374999999997</v>
      </c>
      <c r="AB101" s="62">
        <v>2.309025E-2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-3.4995960000000039</v>
      </c>
      <c r="AN101" s="122">
        <f t="shared" si="15"/>
        <v>-3.502561</v>
      </c>
      <c r="AO101" s="122">
        <f t="shared" si="16"/>
        <v>-5.8726500000000348E-3</v>
      </c>
      <c r="AP101" s="122">
        <f t="shared" si="17"/>
        <v>-5.9569200000000322E-3</v>
      </c>
      <c r="AQ101" s="88">
        <f t="shared" si="18"/>
        <v>6.6992259999999991E-3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29.182642999999999</v>
      </c>
      <c r="Y103" s="97">
        <v>33.809724000000003</v>
      </c>
      <c r="Z103" s="97">
        <v>0.96146949000000004</v>
      </c>
      <c r="AA103" s="60">
        <v>0.96605143000000004</v>
      </c>
      <c r="AB103" s="60">
        <v>5.8577627E-2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1.800421</v>
      </c>
      <c r="AN103" s="96">
        <f t="shared" si="15"/>
        <v>1.3421220000000034</v>
      </c>
      <c r="AO103" s="96">
        <f t="shared" si="16"/>
        <v>4.5912100000000677E-3</v>
      </c>
      <c r="AP103" s="96">
        <f t="shared" si="17"/>
        <v>1.0775340000000022E-2</v>
      </c>
      <c r="AQ103" s="121">
        <f t="shared" si="18"/>
        <v>-6.7893790000000051E-3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31.587092999999999</v>
      </c>
      <c r="Y104" s="190">
        <v>35.954796999999999</v>
      </c>
      <c r="Z104" s="190">
        <v>0.97645068999999995</v>
      </c>
      <c r="AA104" s="62">
        <v>0.97864092000000003</v>
      </c>
      <c r="AB104" s="62">
        <v>3.7280407000000002E-2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1.093786999999999</v>
      </c>
      <c r="AN104" s="122">
        <f t="shared" si="15"/>
        <v>0.822299000000001</v>
      </c>
      <c r="AO104" s="122">
        <f t="shared" si="16"/>
        <v>7.6952999999990723E-4</v>
      </c>
      <c r="AP104" s="122">
        <f t="shared" si="17"/>
        <v>5.8279700000000156E-3</v>
      </c>
      <c r="AQ104" s="88">
        <f t="shared" si="18"/>
        <v>-2.9340459999999957E-3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33.212915000000002</v>
      </c>
      <c r="Y105" s="190">
        <v>37.293680000000002</v>
      </c>
      <c r="Z105" s="190">
        <v>0.98303344999999998</v>
      </c>
      <c r="AA105" s="62">
        <v>0.98556737000000005</v>
      </c>
      <c r="AB105" s="62">
        <v>2.8956237999999999E-2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-1.7081659999999985</v>
      </c>
      <c r="AN105" s="122">
        <f t="shared" si="15"/>
        <v>-1.7466429999999988</v>
      </c>
      <c r="AO105" s="122">
        <f t="shared" si="16"/>
        <v>-4.8730900000000243E-3</v>
      </c>
      <c r="AP105" s="122">
        <f t="shared" si="17"/>
        <v>-4.4179199999999641E-3</v>
      </c>
      <c r="AQ105" s="88">
        <f t="shared" si="18"/>
        <v>4.6841079999999993E-3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33.806606000000002</v>
      </c>
      <c r="Y106" s="190">
        <v>37.885519000000002</v>
      </c>
      <c r="Z106" s="190">
        <v>0.98526955999999999</v>
      </c>
      <c r="AA106" s="62">
        <v>0.98842733000000005</v>
      </c>
      <c r="AB106" s="62">
        <v>2.5431809999999999E-2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-3.9560639999999978</v>
      </c>
      <c r="AN106" s="122">
        <f t="shared" si="15"/>
        <v>-3.9233419999999981</v>
      </c>
      <c r="AO106" s="122">
        <f t="shared" si="16"/>
        <v>-7.1636600000000161E-3</v>
      </c>
      <c r="AP106" s="122">
        <f t="shared" si="17"/>
        <v>-6.7814499999999667E-3</v>
      </c>
      <c r="AQ106" s="88">
        <f t="shared" si="18"/>
        <v>8.4337160000000008E-3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28.948971</v>
      </c>
      <c r="Y641" s="136">
        <f t="shared" si="60"/>
        <v>33.799517000000002</v>
      </c>
      <c r="Z641" s="136">
        <f t="shared" si="60"/>
        <v>0.96096141000000002</v>
      </c>
      <c r="AA641" s="136">
        <f t="shared" si="60"/>
        <v>0.96508004000000003</v>
      </c>
      <c r="AB641" s="136">
        <f t="shared" si="60"/>
        <v>5.2834622999999997E-2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31.526662000000002</v>
      </c>
      <c r="Y642" s="18">
        <f t="shared" si="60"/>
        <v>35.873638999999997</v>
      </c>
      <c r="Z642" s="18">
        <f t="shared" si="60"/>
        <v>0.97581921999999999</v>
      </c>
      <c r="AA642" s="18">
        <f t="shared" si="60"/>
        <v>0.97864092000000003</v>
      </c>
      <c r="AB642" s="18">
        <f t="shared" si="60"/>
        <v>3.2363966000000001E-2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33.193044999999998</v>
      </c>
      <c r="Y643" s="18">
        <f t="shared" si="60"/>
        <v>37.264695000000003</v>
      </c>
      <c r="Z643" s="18">
        <f t="shared" si="60"/>
        <v>0.98270979999999997</v>
      </c>
      <c r="AA643" s="18">
        <f t="shared" si="60"/>
        <v>0.98543185</v>
      </c>
      <c r="AB643" s="18">
        <f t="shared" si="60"/>
        <v>2.4566548000000001E-2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33.702857999999999</v>
      </c>
      <c r="Y644" s="18">
        <f t="shared" si="60"/>
        <v>37.802503999999999</v>
      </c>
      <c r="Z644" s="18">
        <f t="shared" si="60"/>
        <v>0.98487104999999997</v>
      </c>
      <c r="AA644" s="18">
        <f t="shared" si="60"/>
        <v>0.98754496999999997</v>
      </c>
      <c r="AB644" s="18">
        <f t="shared" si="60"/>
        <v>2.1668835000000001E-2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29.547416999999999</v>
      </c>
      <c r="Y646" s="136">
        <f t="shared" si="62"/>
        <v>34.236030999999997</v>
      </c>
      <c r="Z646" s="136">
        <f t="shared" si="62"/>
        <v>0.96558896000000005</v>
      </c>
      <c r="AA646" s="136">
        <f t="shared" si="62"/>
        <v>0.96827333000000004</v>
      </c>
      <c r="AB646" s="136">
        <f t="shared" si="62"/>
        <v>6.1481670000000002E-2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32.529586999999999</v>
      </c>
      <c r="Y647" s="18">
        <f t="shared" si="62"/>
        <v>36.865369999999999</v>
      </c>
      <c r="Z647" s="18">
        <f t="shared" si="62"/>
        <v>0.97958727000000001</v>
      </c>
      <c r="AA647" s="18">
        <f t="shared" si="62"/>
        <v>0.98204787999999998</v>
      </c>
      <c r="AB647" s="18">
        <f t="shared" si="62"/>
        <v>3.9297779999999997E-2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34.410237000000002</v>
      </c>
      <c r="Y648" s="18">
        <f t="shared" si="62"/>
        <v>38.423575</v>
      </c>
      <c r="Z648" s="18">
        <f t="shared" si="62"/>
        <v>0.98584665000000005</v>
      </c>
      <c r="AA648" s="18">
        <f t="shared" si="62"/>
        <v>0.98866008999999999</v>
      </c>
      <c r="AB648" s="18">
        <f t="shared" si="62"/>
        <v>3.0787677999999999E-2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35.026750999999997</v>
      </c>
      <c r="Y649" s="18">
        <f t="shared" si="62"/>
        <v>39.023868</v>
      </c>
      <c r="Z649" s="18">
        <f t="shared" si="62"/>
        <v>0.98784762000000004</v>
      </c>
      <c r="AA649" s="18">
        <f t="shared" si="62"/>
        <v>0.99110312</v>
      </c>
      <c r="AB649" s="18">
        <f t="shared" si="62"/>
        <v>2.7078778000000001E-2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0.59844599999999915</v>
      </c>
      <c r="Y651" s="136">
        <f t="shared" si="64"/>
        <v>0.43651399999999541</v>
      </c>
      <c r="Z651" s="136">
        <f t="shared" si="64"/>
        <v>4.6275500000000358E-3</v>
      </c>
      <c r="AA651" s="136">
        <f t="shared" si="64"/>
        <v>3.1932900000000153E-3</v>
      </c>
      <c r="AB651" s="136">
        <f t="shared" si="64"/>
        <v>8.6470470000000049E-3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1.0029249999999976</v>
      </c>
      <c r="Y652" s="18">
        <f t="shared" si="64"/>
        <v>0.99173100000000147</v>
      </c>
      <c r="Z652" s="18">
        <f t="shared" si="64"/>
        <v>3.7680500000000228E-3</v>
      </c>
      <c r="AA652" s="18">
        <f t="shared" si="64"/>
        <v>3.4069599999999589E-3</v>
      </c>
      <c r="AB652" s="18">
        <f t="shared" si="64"/>
        <v>6.9338139999999965E-3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1.2171920000000043</v>
      </c>
      <c r="Y653" s="18">
        <f t="shared" si="64"/>
        <v>1.1588799999999964</v>
      </c>
      <c r="Z653" s="18">
        <f t="shared" si="64"/>
        <v>3.1368500000000799E-3</v>
      </c>
      <c r="AA653" s="18">
        <f t="shared" si="64"/>
        <v>3.2282399999999933E-3</v>
      </c>
      <c r="AB653" s="18">
        <f t="shared" si="64"/>
        <v>6.2211299999999983E-3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1.3238929999999982</v>
      </c>
      <c r="Y654" s="18">
        <f t="shared" si="64"/>
        <v>1.2213640000000012</v>
      </c>
      <c r="Z654" s="18">
        <f t="shared" si="64"/>
        <v>2.9765700000000672E-3</v>
      </c>
      <c r="AA654" s="18">
        <f t="shared" si="64"/>
        <v>3.5581500000000377E-3</v>
      </c>
      <c r="AB654" s="18">
        <f t="shared" si="64"/>
        <v>5.4099430000000004E-3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36701.871999999996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29.222879333333328</v>
      </c>
      <c r="Y5" s="30">
        <f t="shared" si="2"/>
        <v>33.817192933333331</v>
      </c>
      <c r="Z5" s="30">
        <f t="shared" si="2"/>
        <v>0.9624632173333334</v>
      </c>
      <c r="AA5" s="91">
        <f t="shared" si="2"/>
        <v>0.96665037266666665</v>
      </c>
      <c r="AB5" s="91">
        <f t="shared" si="2"/>
        <v>6.01478628E-2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-0.16165222384711808</v>
      </c>
      <c r="AN5" s="245">
        <f>bdrate($E5:$E8,G5:G8,$W5:$W8,Y5:Y8)</f>
        <v>-0.15021127898546205</v>
      </c>
      <c r="AO5" s="245">
        <f>bdrate($E5:$E8,H5:H8,$W5:$W8,Z5:Z8)</f>
        <v>-0.1116413844457872</v>
      </c>
      <c r="AP5" s="245">
        <f>bdrate($E5:$E8,I5:I8,$W5:$W8,AA5:AA8)</f>
        <v>-0.18657792220710234</v>
      </c>
      <c r="AQ5" s="246">
        <f>bdrateInverted($E5:$E8,J5:J8,$W5:$W8,AB5:AB8)</f>
        <v>-0.14279006432060903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50230.216000000008</v>
      </c>
      <c r="X6" s="91">
        <f t="shared" si="2"/>
        <v>32.0439814</v>
      </c>
      <c r="Y6" s="91">
        <f t="shared" si="2"/>
        <v>36.305583666666664</v>
      </c>
      <c r="Z6" s="91">
        <f t="shared" si="2"/>
        <v>0.97723644733333326</v>
      </c>
      <c r="AA6" s="91">
        <f t="shared" si="2"/>
        <v>0.97984417200000007</v>
      </c>
      <c r="AB6" s="91">
        <f t="shared" si="2"/>
        <v>3.73384296E-2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68145.928</v>
      </c>
      <c r="X7" s="91">
        <f t="shared" si="2"/>
        <v>33.854099333333323</v>
      </c>
      <c r="Y7" s="91">
        <f t="shared" si="2"/>
        <v>37.908959066666661</v>
      </c>
      <c r="Z7" s="91">
        <f t="shared" si="2"/>
        <v>0.98395395200000002</v>
      </c>
      <c r="AA7" s="91">
        <f t="shared" si="2"/>
        <v>0.98695071200000006</v>
      </c>
      <c r="AB7" s="91">
        <f t="shared" si="2"/>
        <v>2.747929013333333E-2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90526.767999999996</v>
      </c>
      <c r="X8" s="91">
        <f t="shared" si="2"/>
        <v>34.327738599999996</v>
      </c>
      <c r="Y8" s="91">
        <f t="shared" si="2"/>
        <v>38.372546799999995</v>
      </c>
      <c r="Z8" s="91">
        <f t="shared" si="2"/>
        <v>0.98601048533333324</v>
      </c>
      <c r="AA8" s="91">
        <f t="shared" si="2"/>
        <v>0.98918031866666667</v>
      </c>
      <c r="AB8" s="91">
        <f t="shared" si="2"/>
        <v>2.4941430866666666E-2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6005.9040000000005</v>
      </c>
      <c r="X16" s="167">
        <v>7153.4160000000002</v>
      </c>
      <c r="Y16" s="167">
        <v>2373.8960000000002</v>
      </c>
      <c r="Z16" s="167">
        <v>36.472000000000001</v>
      </c>
      <c r="AA16" s="167">
        <v>93.456000000000003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6005.9040000000005</v>
      </c>
      <c r="X17" s="168">
        <v>9431.2160000000003</v>
      </c>
      <c r="Y17" s="168">
        <v>6250.44</v>
      </c>
      <c r="Z17" s="168">
        <v>423.23200000000003</v>
      </c>
      <c r="AA17" s="168">
        <v>753.62400000000002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6005.9040000000005</v>
      </c>
      <c r="X18" s="168">
        <v>11769.8</v>
      </c>
      <c r="Y18" s="168">
        <v>11388.56</v>
      </c>
      <c r="Z18" s="168">
        <v>2067.2240000000002</v>
      </c>
      <c r="AA18" s="168">
        <v>2976.4319999999998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6005.9040000000005</v>
      </c>
      <c r="X19" s="168">
        <v>13995.472</v>
      </c>
      <c r="Y19" s="168">
        <v>16977.223999999998</v>
      </c>
      <c r="Z19" s="168">
        <v>5642.9359999999997</v>
      </c>
      <c r="AA19" s="168">
        <v>7139.8879999999999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36701.871999999996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50230.216000000008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68145.928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90526.767999999996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29.238347999999998</v>
      </c>
      <c r="Y33" s="97">
        <v>33.734189999999998</v>
      </c>
      <c r="Z33" s="97">
        <v>0.96297023999999998</v>
      </c>
      <c r="AA33" s="60">
        <v>0.96624796000000002</v>
      </c>
      <c r="AB33" s="60">
        <v>6.2047980000000003E-2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2.4156389999999988</v>
      </c>
      <c r="AN33" s="96">
        <f t="shared" ref="AN33:AN96" si="5">IF(OR(Y33="",G33=""),"",Y33-G33)</f>
        <v>1.8399159999999988</v>
      </c>
      <c r="AO33" s="96">
        <f t="shared" ref="AO33:AO96" si="6">IF(OR(Z33="",H33=""),"",Z33-H33)</f>
        <v>6.6258099999999542E-3</v>
      </c>
      <c r="AP33" s="96">
        <f t="shared" ref="AP33:AP96" si="7">IF(OR(AA33="",I33=""),"",AA33-I33)</f>
        <v>1.6504049999999992E-2</v>
      </c>
      <c r="AQ33" s="121">
        <f t="shared" ref="AQ33:AQ96" si="8">IF(OR(AB33="",J33=""),"",AB33-J33)</f>
        <v>-1.1113789999999998E-2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32.062292999999997</v>
      </c>
      <c r="Y34" s="190">
        <v>36.281429000000003</v>
      </c>
      <c r="Z34" s="190">
        <v>0.97731444999999995</v>
      </c>
      <c r="AA34" s="62">
        <v>0.98025700000000004</v>
      </c>
      <c r="AB34" s="62">
        <v>3.9179190000000003E-2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1.3436159999999973</v>
      </c>
      <c r="AN34" s="122">
        <f t="shared" si="5"/>
        <v>1.1756640000000047</v>
      </c>
      <c r="AO34" s="122">
        <f t="shared" si="6"/>
        <v>2.3804699999999679E-3</v>
      </c>
      <c r="AP34" s="122">
        <f t="shared" si="7"/>
        <v>7.6482600000000733E-3</v>
      </c>
      <c r="AQ34" s="88">
        <f t="shared" si="8"/>
        <v>-5.8245219999999986E-3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34.032311</v>
      </c>
      <c r="Y35" s="190">
        <v>38.089675999999997</v>
      </c>
      <c r="Z35" s="190">
        <v>0.98396684999999995</v>
      </c>
      <c r="AA35" s="62">
        <v>0.98682411000000003</v>
      </c>
      <c r="AB35" s="62">
        <v>2.8470054000000002E-2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-1.1760220000000032</v>
      </c>
      <c r="AN35" s="122">
        <f t="shared" si="5"/>
        <v>-1.182973000000004</v>
      </c>
      <c r="AO35" s="122">
        <f t="shared" si="6"/>
        <v>-3.4346100000000046E-3</v>
      </c>
      <c r="AP35" s="122">
        <f t="shared" si="7"/>
        <v>-3.1817599999999224E-3</v>
      </c>
      <c r="AQ35" s="88">
        <f t="shared" si="8"/>
        <v>1.9307820000000024E-3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34.622393000000002</v>
      </c>
      <c r="Y36" s="190">
        <v>38.659799</v>
      </c>
      <c r="Z36" s="190">
        <v>0.98610346000000004</v>
      </c>
      <c r="AA36" s="62">
        <v>0.99006304000000001</v>
      </c>
      <c r="AB36" s="62">
        <v>2.5325228000000002E-2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-3.1994100000000003</v>
      </c>
      <c r="AN36" s="122">
        <f t="shared" si="5"/>
        <v>-3.2517619999999994</v>
      </c>
      <c r="AO36" s="122">
        <f t="shared" si="6"/>
        <v>-5.7367899999999361E-3</v>
      </c>
      <c r="AP36" s="122">
        <f t="shared" si="7"/>
        <v>-5.1508900000000191E-3</v>
      </c>
      <c r="AQ36" s="88">
        <f t="shared" si="8"/>
        <v>6.850224000000002E-3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29.35669</v>
      </c>
      <c r="Y38" s="97">
        <v>33.877830000000003</v>
      </c>
      <c r="Z38" s="97">
        <v>0.96365946000000002</v>
      </c>
      <c r="AA38" s="60">
        <v>0.96760548999999996</v>
      </c>
      <c r="AB38" s="60">
        <v>5.9934950000000001E-2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2.2016600000000004</v>
      </c>
      <c r="AN38" s="96">
        <f t="shared" si="5"/>
        <v>1.6712610000000012</v>
      </c>
      <c r="AO38" s="96">
        <f t="shared" si="6"/>
        <v>6.356200000000034E-3</v>
      </c>
      <c r="AP38" s="96">
        <f t="shared" si="7"/>
        <v>1.4933699999999939E-2</v>
      </c>
      <c r="AQ38" s="121">
        <f t="shared" si="8"/>
        <v>-1.0454140000000001E-2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32.159424999999999</v>
      </c>
      <c r="Y39" s="190">
        <v>36.353960999999998</v>
      </c>
      <c r="Z39" s="190">
        <v>0.97776675000000002</v>
      </c>
      <c r="AA39" s="62">
        <v>0.98046758000000001</v>
      </c>
      <c r="AB39" s="62">
        <v>3.7860043000000003E-2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1.4888619999999975</v>
      </c>
      <c r="AN39" s="122">
        <f t="shared" si="5"/>
        <v>1.2699119999999979</v>
      </c>
      <c r="AO39" s="122">
        <f t="shared" si="6"/>
        <v>2.8409099999999743E-3</v>
      </c>
      <c r="AP39" s="122">
        <f t="shared" si="7"/>
        <v>7.4586700000000006E-3</v>
      </c>
      <c r="AQ39" s="88">
        <f t="shared" si="8"/>
        <v>-6.5064209999999983E-3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34.080328000000002</v>
      </c>
      <c r="Y40" s="190">
        <v>38.105516000000001</v>
      </c>
      <c r="Z40" s="190">
        <v>0.98425815000000005</v>
      </c>
      <c r="AA40" s="62">
        <v>0.98782638</v>
      </c>
      <c r="AB40" s="62">
        <v>2.7842863999999998E-2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-1.0018869999999964</v>
      </c>
      <c r="AN40" s="122">
        <f t="shared" si="5"/>
        <v>-1.0695329999999998</v>
      </c>
      <c r="AO40" s="122">
        <f t="shared" si="6"/>
        <v>-2.9559200000000008E-3</v>
      </c>
      <c r="AP40" s="122">
        <f t="shared" si="7"/>
        <v>-2.5856899999999738E-3</v>
      </c>
      <c r="AQ40" s="88">
        <f t="shared" si="8"/>
        <v>8.5937199999999714E-4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34.618077</v>
      </c>
      <c r="Y41" s="190">
        <v>38.642502</v>
      </c>
      <c r="Z41" s="190">
        <v>0.98626939999999996</v>
      </c>
      <c r="AA41" s="62">
        <v>0.99001291999999996</v>
      </c>
      <c r="AB41" s="62">
        <v>2.5014195999999999E-2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-2.9459459999999993</v>
      </c>
      <c r="AN41" s="122">
        <f t="shared" si="5"/>
        <v>-3.0310309999999987</v>
      </c>
      <c r="AO41" s="122">
        <f t="shared" si="6"/>
        <v>-5.2804300000000026E-3</v>
      </c>
      <c r="AP41" s="122">
        <f t="shared" si="7"/>
        <v>-5.1619999999999999E-3</v>
      </c>
      <c r="AQ41" s="88">
        <f t="shared" si="8"/>
        <v>5.6223460000000003E-3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29.442422000000001</v>
      </c>
      <c r="Y43" s="97">
        <v>33.975237999999997</v>
      </c>
      <c r="Z43" s="97">
        <v>0.96301424999999996</v>
      </c>
      <c r="AA43" s="60">
        <v>0.96784561999999996</v>
      </c>
      <c r="AB43" s="60">
        <v>5.7151149999999998E-2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2.0464950000000002</v>
      </c>
      <c r="AN43" s="96">
        <f t="shared" si="5"/>
        <v>1.5489369999999951</v>
      </c>
      <c r="AO43" s="96">
        <f t="shared" si="6"/>
        <v>5.4611299999999252E-3</v>
      </c>
      <c r="AP43" s="96">
        <f t="shared" si="7"/>
        <v>1.2861809999999974E-2</v>
      </c>
      <c r="AQ43" s="121">
        <f t="shared" si="8"/>
        <v>-8.3262900000000001E-3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32.119064000000002</v>
      </c>
      <c r="Y44" s="190">
        <v>36.333167000000003</v>
      </c>
      <c r="Z44" s="190">
        <v>0.97729204999999997</v>
      </c>
      <c r="AA44" s="62">
        <v>0.97994521000000001</v>
      </c>
      <c r="AB44" s="62">
        <v>3.5828425999999997E-2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1.4213050000000003</v>
      </c>
      <c r="AN44" s="122">
        <f t="shared" si="5"/>
        <v>1.218713000000001</v>
      </c>
      <c r="AO44" s="122">
        <f t="shared" si="6"/>
        <v>2.7384200000000192E-3</v>
      </c>
      <c r="AP44" s="122">
        <f t="shared" si="7"/>
        <v>6.9277199999999706E-3</v>
      </c>
      <c r="AQ44" s="88">
        <f t="shared" si="8"/>
        <v>-5.4331610000000058E-3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33.986728999999997</v>
      </c>
      <c r="Y45" s="190">
        <v>38.000813000000001</v>
      </c>
      <c r="Z45" s="190">
        <v>0.98398629000000004</v>
      </c>
      <c r="AA45" s="62">
        <v>0.98738139999999996</v>
      </c>
      <c r="AB45" s="62">
        <v>2.6442009999999998E-2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-1.2070760000000007</v>
      </c>
      <c r="AN45" s="122">
        <f t="shared" si="5"/>
        <v>-1.2543870000000013</v>
      </c>
      <c r="AO45" s="122">
        <f t="shared" si="6"/>
        <v>-3.2347600000000032E-3</v>
      </c>
      <c r="AP45" s="122">
        <f t="shared" si="7"/>
        <v>-3.0027000000000248E-3</v>
      </c>
      <c r="AQ45" s="88">
        <f t="shared" si="8"/>
        <v>1.5071949999999994E-3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34.454345000000004</v>
      </c>
      <c r="Y46" s="190">
        <v>38.485723999999998</v>
      </c>
      <c r="Z46" s="190">
        <v>0.98605964000000002</v>
      </c>
      <c r="AA46" s="62">
        <v>0.9893748</v>
      </c>
      <c r="AB46" s="62">
        <v>2.3764983E-2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-3.1478699999999975</v>
      </c>
      <c r="AN46" s="122">
        <f t="shared" si="5"/>
        <v>-3.2051470000000037</v>
      </c>
      <c r="AO46" s="122">
        <f t="shared" si="6"/>
        <v>-5.5408499999999306E-3</v>
      </c>
      <c r="AP46" s="122">
        <f t="shared" si="7"/>
        <v>-5.7627099999999487E-3</v>
      </c>
      <c r="AQ46" s="88">
        <f t="shared" si="8"/>
        <v>5.7373380000000015E-3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29.259748999999999</v>
      </c>
      <c r="Y48" s="97">
        <v>33.833691999999999</v>
      </c>
      <c r="Z48" s="97">
        <v>0.96267667999999995</v>
      </c>
      <c r="AA48" s="60">
        <v>0.96710008000000003</v>
      </c>
      <c r="AB48" s="60">
        <v>5.9676269999999997E-2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1.8536619999999999</v>
      </c>
      <c r="AN48" s="96">
        <f t="shared" si="5"/>
        <v>1.406801999999999</v>
      </c>
      <c r="AO48" s="96">
        <f t="shared" si="6"/>
        <v>4.9034499999999204E-3</v>
      </c>
      <c r="AP48" s="96">
        <f t="shared" si="7"/>
        <v>1.213627000000006E-2</v>
      </c>
      <c r="AQ48" s="121">
        <f t="shared" si="8"/>
        <v>-7.4646999999999977E-3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31.852243999999999</v>
      </c>
      <c r="Y49" s="190">
        <v>36.114441999999997</v>
      </c>
      <c r="Z49" s="190">
        <v>0.97680610999999995</v>
      </c>
      <c r="AA49" s="62">
        <v>0.97988571999999996</v>
      </c>
      <c r="AB49" s="62">
        <v>3.7796990000000003E-2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1.3009789999999981</v>
      </c>
      <c r="AN49" s="122">
        <f t="shared" si="5"/>
        <v>1.1355879999999985</v>
      </c>
      <c r="AO49" s="122">
        <f t="shared" si="6"/>
        <v>2.7252499999999014E-3</v>
      </c>
      <c r="AP49" s="122">
        <f t="shared" si="7"/>
        <v>7.706519999999939E-3</v>
      </c>
      <c r="AQ49" s="88">
        <f t="shared" si="8"/>
        <v>-5.8276160000000007E-3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33.675677</v>
      </c>
      <c r="Y50" s="190">
        <v>37.717109000000001</v>
      </c>
      <c r="Z50" s="190">
        <v>0.98362048999999996</v>
      </c>
      <c r="AA50" s="62">
        <v>0.98665071000000004</v>
      </c>
      <c r="AB50" s="62">
        <v>2.8065195000000001E-2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-1.5399729999999963</v>
      </c>
      <c r="AN50" s="122">
        <f t="shared" si="5"/>
        <v>-1.5471170000000001</v>
      </c>
      <c r="AO50" s="122">
        <f t="shared" si="6"/>
        <v>-3.3749900000000777E-3</v>
      </c>
      <c r="AP50" s="122">
        <f t="shared" si="7"/>
        <v>-3.5631399999999092E-3</v>
      </c>
      <c r="AQ50" s="88">
        <f t="shared" si="8"/>
        <v>1.9804810000000027E-3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34.092194999999997</v>
      </c>
      <c r="Y51" s="190">
        <v>38.176462000000001</v>
      </c>
      <c r="Z51" s="190">
        <v>0.98571679000000001</v>
      </c>
      <c r="AA51" s="62">
        <v>0.98846893000000002</v>
      </c>
      <c r="AB51" s="62">
        <v>2.5192823E-2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-3.4526820000000029</v>
      </c>
      <c r="AN51" s="122">
        <f t="shared" si="5"/>
        <v>-3.4434309999999968</v>
      </c>
      <c r="AO51" s="122">
        <f t="shared" si="6"/>
        <v>-5.671520000000041E-3</v>
      </c>
      <c r="AP51" s="122">
        <f t="shared" si="7"/>
        <v>-6.6050100000000223E-3</v>
      </c>
      <c r="AQ51" s="88">
        <f t="shared" si="8"/>
        <v>6.013275999999998E-3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29.073007</v>
      </c>
      <c r="Y53" s="97">
        <v>33.628239000000001</v>
      </c>
      <c r="Z53" s="97">
        <v>0.96007920000000002</v>
      </c>
      <c r="AA53" s="60">
        <v>0.96629690999999995</v>
      </c>
      <c r="AB53" s="60">
        <v>6.4759059999999993E-2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1.6111609999999992</v>
      </c>
      <c r="AN53" s="96">
        <f t="shared" si="5"/>
        <v>1.2099639999999994</v>
      </c>
      <c r="AO53" s="96">
        <f t="shared" si="6"/>
        <v>4.2287100000000244E-3</v>
      </c>
      <c r="AP53" s="96">
        <f t="shared" si="7"/>
        <v>1.0903879999999977E-2</v>
      </c>
      <c r="AQ53" s="121">
        <f t="shared" si="8"/>
        <v>-6.2199500000000019E-3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31.590021</v>
      </c>
      <c r="Y54" s="190">
        <v>35.837961</v>
      </c>
      <c r="Z54" s="190">
        <v>0.97506634000000003</v>
      </c>
      <c r="AA54" s="62">
        <v>0.97925066000000005</v>
      </c>
      <c r="AB54" s="62">
        <v>4.1185960000000001E-2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1.0545210000000012</v>
      </c>
      <c r="AN54" s="122">
        <f t="shared" si="5"/>
        <v>0.89615899999999726</v>
      </c>
      <c r="AO54" s="122">
        <f t="shared" si="6"/>
        <v>1.8098500000000017E-3</v>
      </c>
      <c r="AP54" s="122">
        <f t="shared" si="7"/>
        <v>6.6649400000000636E-3</v>
      </c>
      <c r="AQ54" s="88">
        <f t="shared" si="8"/>
        <v>-4.7110250000000006E-3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33.253300000000003</v>
      </c>
      <c r="Y55" s="190">
        <v>37.291176999999998</v>
      </c>
      <c r="Z55" s="190">
        <v>0.98210348999999997</v>
      </c>
      <c r="AA55" s="62">
        <v>0.98572621000000005</v>
      </c>
      <c r="AB55" s="62">
        <v>3.0941354000000001E-2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-1.7463139999999981</v>
      </c>
      <c r="AN55" s="122">
        <f t="shared" si="5"/>
        <v>-1.739448000000003</v>
      </c>
      <c r="AO55" s="122">
        <f t="shared" si="6"/>
        <v>-4.2907800000000496E-3</v>
      </c>
      <c r="AP55" s="122">
        <f t="shared" si="7"/>
        <v>-4.1487799999999631E-3</v>
      </c>
      <c r="AQ55" s="88">
        <f t="shared" si="8"/>
        <v>3.049164E-3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33.624105</v>
      </c>
      <c r="Y56" s="190">
        <v>37.718694999999997</v>
      </c>
      <c r="Z56" s="190">
        <v>0.98424011</v>
      </c>
      <c r="AA56" s="62">
        <v>0.98753420999999997</v>
      </c>
      <c r="AB56" s="62">
        <v>2.7838353E-2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-3.6234570000000019</v>
      </c>
      <c r="AN56" s="122">
        <f t="shared" si="5"/>
        <v>-3.5756610000000038</v>
      </c>
      <c r="AO56" s="122">
        <f t="shared" si="6"/>
        <v>-6.6852299999999865E-3</v>
      </c>
      <c r="AP56" s="122">
        <f t="shared" si="7"/>
        <v>-7.3085099999999903E-3</v>
      </c>
      <c r="AQ56" s="88">
        <f t="shared" si="8"/>
        <v>7.2146150000000006E-3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29.343557000000001</v>
      </c>
      <c r="Y58" s="97">
        <v>33.889761</v>
      </c>
      <c r="Z58" s="97">
        <v>0.96316889999999999</v>
      </c>
      <c r="AA58" s="60">
        <v>0.96832156999999996</v>
      </c>
      <c r="AB58" s="60">
        <v>6.160993E-2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2.3276439999999994</v>
      </c>
      <c r="AN58" s="96">
        <f t="shared" si="5"/>
        <v>1.7609199999999987</v>
      </c>
      <c r="AO58" s="96">
        <f t="shared" si="6"/>
        <v>6.1487399999999859E-3</v>
      </c>
      <c r="AP58" s="96">
        <f t="shared" si="7"/>
        <v>1.3846429999999965E-2</v>
      </c>
      <c r="AQ58" s="121">
        <f t="shared" si="8"/>
        <v>-1.1841750000000005E-2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32.411583999999998</v>
      </c>
      <c r="Y59" s="190">
        <v>36.630265000000001</v>
      </c>
      <c r="Z59" s="190">
        <v>0.97800935</v>
      </c>
      <c r="AA59" s="62">
        <v>0.98175844000000001</v>
      </c>
      <c r="AB59" s="62">
        <v>3.816866E-2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1.5402439999999977</v>
      </c>
      <c r="AN59" s="122">
        <f t="shared" si="5"/>
        <v>1.2258980000000008</v>
      </c>
      <c r="AO59" s="122">
        <f t="shared" si="6"/>
        <v>2.2622399999999709E-3</v>
      </c>
      <c r="AP59" s="122">
        <f t="shared" si="7"/>
        <v>7.3043499999999595E-3</v>
      </c>
      <c r="AQ59" s="88">
        <f t="shared" si="8"/>
        <v>-5.3692960000000026E-3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34.263823000000002</v>
      </c>
      <c r="Y60" s="190">
        <v>38.306801999999998</v>
      </c>
      <c r="Z60" s="190">
        <v>0.98465928999999996</v>
      </c>
      <c r="AA60" s="62">
        <v>0.98848681999999999</v>
      </c>
      <c r="AB60" s="62">
        <v>2.7323224E-2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-0.92109299999999905</v>
      </c>
      <c r="AN60" s="122">
        <f t="shared" si="5"/>
        <v>-0.99223100000000386</v>
      </c>
      <c r="AO60" s="122">
        <f t="shared" si="6"/>
        <v>-3.5196299999999958E-3</v>
      </c>
      <c r="AP60" s="122">
        <f t="shared" si="7"/>
        <v>-2.0574899999999952E-3</v>
      </c>
      <c r="AQ60" s="88">
        <f t="shared" si="8"/>
        <v>2.7961160000000013E-3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34.815918000000003</v>
      </c>
      <c r="Y61" s="190">
        <v>38.827013000000001</v>
      </c>
      <c r="Z61" s="190">
        <v>0.98668957999999996</v>
      </c>
      <c r="AA61" s="62">
        <v>0.99075926000000003</v>
      </c>
      <c r="AB61" s="62">
        <v>2.4805213999999999E-2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-2.9328009999999978</v>
      </c>
      <c r="AN61" s="122">
        <f t="shared" si="5"/>
        <v>-3.0291500000000013</v>
      </c>
      <c r="AO61" s="122">
        <f t="shared" si="6"/>
        <v>-5.7662099999999938E-3</v>
      </c>
      <c r="AP61" s="122">
        <f t="shared" si="7"/>
        <v>-4.7889700000000035E-3</v>
      </c>
      <c r="AQ61" s="88">
        <f t="shared" si="8"/>
        <v>7.1065290000000003E-3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29.332961999999998</v>
      </c>
      <c r="Y63" s="97">
        <v>33.959071000000002</v>
      </c>
      <c r="Z63" s="97">
        <v>0.96434279000000001</v>
      </c>
      <c r="AA63" s="60">
        <v>0.96657789000000005</v>
      </c>
      <c r="AB63" s="60">
        <v>5.6799903999999998E-2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2.1918599999999984</v>
      </c>
      <c r="AN63" s="96">
        <f t="shared" si="5"/>
        <v>1.6330510000000018</v>
      </c>
      <c r="AO63" s="96">
        <f t="shared" si="6"/>
        <v>6.3520999999999717E-3</v>
      </c>
      <c r="AP63" s="96">
        <f t="shared" si="7"/>
        <v>1.2971210000000011E-2</v>
      </c>
      <c r="AQ63" s="121">
        <f t="shared" si="8"/>
        <v>-1.0411636000000002E-2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32.374969</v>
      </c>
      <c r="Y64" s="190">
        <v>36.626682000000002</v>
      </c>
      <c r="Z64" s="190">
        <v>0.97876563999999999</v>
      </c>
      <c r="AA64" s="62">
        <v>0.98009597999999998</v>
      </c>
      <c r="AB64" s="62">
        <v>3.4987724999999997E-2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1.6104279999999989</v>
      </c>
      <c r="AN64" s="122">
        <f t="shared" si="5"/>
        <v>1.2707910000000027</v>
      </c>
      <c r="AO64" s="122">
        <f t="shared" si="6"/>
        <v>3.2180400000000331E-3</v>
      </c>
      <c r="AP64" s="122">
        <f t="shared" si="7"/>
        <v>8.6645399999999428E-3</v>
      </c>
      <c r="AQ64" s="88">
        <f t="shared" si="8"/>
        <v>-6.6663450000000041E-3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34.356678000000002</v>
      </c>
      <c r="Y65" s="190">
        <v>38.360968</v>
      </c>
      <c r="Z65" s="190">
        <v>0.98529025999999997</v>
      </c>
      <c r="AA65" s="62">
        <v>0.98742825000000001</v>
      </c>
      <c r="AB65" s="62">
        <v>2.528934E-2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-0.85135999999999967</v>
      </c>
      <c r="AN65" s="122">
        <f t="shared" si="5"/>
        <v>-0.97489199999999698</v>
      </c>
      <c r="AO65" s="122">
        <f t="shared" si="6"/>
        <v>-2.7852400000000221E-3</v>
      </c>
      <c r="AP65" s="122">
        <f t="shared" si="7"/>
        <v>-2.7118400000000209E-3</v>
      </c>
      <c r="AQ65" s="88">
        <f t="shared" si="8"/>
        <v>1.4800560000000004E-3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34.831606000000001</v>
      </c>
      <c r="Y66" s="190">
        <v>38.825499999999998</v>
      </c>
      <c r="Z66" s="190">
        <v>0.98723890999999997</v>
      </c>
      <c r="AA66" s="62">
        <v>0.98950590000000005</v>
      </c>
      <c r="AB66" s="62">
        <v>2.3088804000000001E-2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-2.8763099999999966</v>
      </c>
      <c r="AN66" s="122">
        <f t="shared" si="5"/>
        <v>-2.9952210000000008</v>
      </c>
      <c r="AO66" s="122">
        <f t="shared" si="6"/>
        <v>-5.034720000000048E-3</v>
      </c>
      <c r="AP66" s="122">
        <f t="shared" si="7"/>
        <v>-5.7522499999999033E-3</v>
      </c>
      <c r="AQ66" s="88">
        <f t="shared" si="8"/>
        <v>5.6773970000000007E-3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29.423583000000001</v>
      </c>
      <c r="Y68" s="97">
        <v>34.065899999999999</v>
      </c>
      <c r="Z68" s="97">
        <v>0.96435344999999995</v>
      </c>
      <c r="AA68" s="60">
        <v>0.96674448000000002</v>
      </c>
      <c r="AB68" s="60">
        <v>5.5378429999999999E-2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2.0918750000000017</v>
      </c>
      <c r="AN68" s="96">
        <f t="shared" si="5"/>
        <v>1.558759000000002</v>
      </c>
      <c r="AO68" s="96">
        <f t="shared" si="6"/>
        <v>6.0667999999999278E-3</v>
      </c>
      <c r="AP68" s="96">
        <f t="shared" si="7"/>
        <v>1.2408650000000021E-2</v>
      </c>
      <c r="AQ68" s="121">
        <f t="shared" si="8"/>
        <v>-8.8989900000000025E-3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32.345869999999998</v>
      </c>
      <c r="Y69" s="190">
        <v>36.625742000000002</v>
      </c>
      <c r="Z69" s="190">
        <v>0.97862497999999998</v>
      </c>
      <c r="AA69" s="62">
        <v>0.97964373999999999</v>
      </c>
      <c r="AB69" s="62">
        <v>3.4104990000000002E-2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1.4963159999999966</v>
      </c>
      <c r="AN69" s="122">
        <f t="shared" si="5"/>
        <v>1.1792459999999991</v>
      </c>
      <c r="AO69" s="122">
        <f t="shared" si="6"/>
        <v>3.4149799999999564E-3</v>
      </c>
      <c r="AP69" s="122">
        <f t="shared" si="7"/>
        <v>8.7252100000000388E-3</v>
      </c>
      <c r="AQ69" s="88">
        <f t="shared" si="8"/>
        <v>-6.3842329999999961E-3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34.183948999999998</v>
      </c>
      <c r="Y70" s="190">
        <v>38.205092</v>
      </c>
      <c r="Z70" s="190">
        <v>0.98515399000000003</v>
      </c>
      <c r="AA70" s="62">
        <v>0.98672724000000001</v>
      </c>
      <c r="AB70" s="62">
        <v>2.4876332000000001E-2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-1.048601000000005</v>
      </c>
      <c r="AN70" s="122">
        <f t="shared" si="5"/>
        <v>-1.1447409999999962</v>
      </c>
      <c r="AO70" s="122">
        <f t="shared" si="6"/>
        <v>-2.7149699999999832E-3</v>
      </c>
      <c r="AP70" s="122">
        <f t="shared" si="7"/>
        <v>-2.9481599999999775E-3</v>
      </c>
      <c r="AQ70" s="88">
        <f t="shared" si="8"/>
        <v>1.4674570000000019E-3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34.607005000000001</v>
      </c>
      <c r="Y71" s="190">
        <v>38.624156999999997</v>
      </c>
      <c r="Z71" s="190">
        <v>0.98714122000000004</v>
      </c>
      <c r="AA71" s="62">
        <v>0.98875005999999999</v>
      </c>
      <c r="AB71" s="62">
        <v>2.2752499999999998E-2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-3.0374499999999998</v>
      </c>
      <c r="AN71" s="122">
        <f t="shared" si="5"/>
        <v>-3.1124570000000062</v>
      </c>
      <c r="AO71" s="122">
        <f t="shared" si="6"/>
        <v>-4.9762599999999546E-3</v>
      </c>
      <c r="AP71" s="122">
        <f t="shared" si="7"/>
        <v>-6.2927799999999978E-3</v>
      </c>
      <c r="AQ71" s="88">
        <f t="shared" si="8"/>
        <v>5.3894199999999989E-3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29.360859999999999</v>
      </c>
      <c r="Y73" s="97">
        <v>34.004849</v>
      </c>
      <c r="Z73" s="97">
        <v>0.96411851000000004</v>
      </c>
      <c r="AA73" s="60">
        <v>0.96636593000000004</v>
      </c>
      <c r="AB73" s="60">
        <v>5.6510903000000001E-2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1.9963219999999993</v>
      </c>
      <c r="AN73" s="96">
        <f t="shared" si="5"/>
        <v>1.4922480000000036</v>
      </c>
      <c r="AO73" s="96">
        <f t="shared" si="6"/>
        <v>5.7399800000000889E-3</v>
      </c>
      <c r="AP73" s="96">
        <f t="shared" si="7"/>
        <v>1.2934480000000081E-2</v>
      </c>
      <c r="AQ73" s="121">
        <f t="shared" si="8"/>
        <v>-7.9326670000000044E-3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32.220841</v>
      </c>
      <c r="Y74" s="190">
        <v>36.517411000000003</v>
      </c>
      <c r="Z74" s="190">
        <v>0.97845093999999999</v>
      </c>
      <c r="AA74" s="62">
        <v>0.97958860999999997</v>
      </c>
      <c r="AB74" s="62">
        <v>3.4332179999999997E-2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1.3786880000000004</v>
      </c>
      <c r="AN74" s="122">
        <f t="shared" si="5"/>
        <v>1.1068500000000014</v>
      </c>
      <c r="AO74" s="122">
        <f t="shared" si="6"/>
        <v>3.4355999999999831E-3</v>
      </c>
      <c r="AP74" s="122">
        <f t="shared" si="7"/>
        <v>8.7257800000000163E-3</v>
      </c>
      <c r="AQ74" s="88">
        <f t="shared" si="8"/>
        <v>-6.308245000000004E-3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33.972357000000002</v>
      </c>
      <c r="Y75" s="190">
        <v>38.025540999999997</v>
      </c>
      <c r="Z75" s="190">
        <v>0.98494645000000003</v>
      </c>
      <c r="AA75" s="62">
        <v>0.98642932000000005</v>
      </c>
      <c r="AB75" s="62">
        <v>2.5230605E-2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-1.2821259999999981</v>
      </c>
      <c r="AN75" s="122">
        <f t="shared" si="5"/>
        <v>-1.3397810000000021</v>
      </c>
      <c r="AO75" s="122">
        <f t="shared" si="6"/>
        <v>-2.8072299999999384E-3</v>
      </c>
      <c r="AP75" s="122">
        <f t="shared" si="7"/>
        <v>-3.2151499999999444E-3</v>
      </c>
      <c r="AQ75" s="88">
        <f t="shared" si="8"/>
        <v>1.5518069999999988E-3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34.381779999999999</v>
      </c>
      <c r="Y76" s="190">
        <v>38.434458999999997</v>
      </c>
      <c r="Z76" s="190">
        <v>0.98692833000000002</v>
      </c>
      <c r="AA76" s="62">
        <v>0.98843272999999998</v>
      </c>
      <c r="AB76" s="62">
        <v>2.2933117999999999E-2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-3.2455080000000009</v>
      </c>
      <c r="AN76" s="122">
        <f t="shared" si="5"/>
        <v>-3.2731220000000008</v>
      </c>
      <c r="AO76" s="122">
        <f t="shared" si="6"/>
        <v>-5.0769199999999293E-3</v>
      </c>
      <c r="AP76" s="122">
        <f t="shared" si="7"/>
        <v>-6.6484399999999777E-3</v>
      </c>
      <c r="AQ76" s="88">
        <f t="shared" si="8"/>
        <v>5.2824899999999973E-3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29.209159</v>
      </c>
      <c r="Y78" s="97">
        <v>33.799880000000002</v>
      </c>
      <c r="Z78" s="97">
        <v>0.96155314999999997</v>
      </c>
      <c r="AA78" s="60">
        <v>0.96659519999999999</v>
      </c>
      <c r="AB78" s="60">
        <v>6.1450650000000002E-2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1.8034539999999986</v>
      </c>
      <c r="AN78" s="96">
        <f t="shared" si="5"/>
        <v>1.3420380000000023</v>
      </c>
      <c r="AO78" s="96">
        <f t="shared" si="6"/>
        <v>5.1723099999999578E-3</v>
      </c>
      <c r="AP78" s="96">
        <f t="shared" si="7"/>
        <v>1.2605059999999946E-2</v>
      </c>
      <c r="AQ78" s="121">
        <f t="shared" si="8"/>
        <v>-6.8668599999999955E-3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31.926618999999999</v>
      </c>
      <c r="Y79" s="190">
        <v>36.191327999999999</v>
      </c>
      <c r="Z79" s="190">
        <v>0.97629463999999999</v>
      </c>
      <c r="AA79" s="62">
        <v>0.97960913999999999</v>
      </c>
      <c r="AB79" s="62">
        <v>3.8803074999999999E-2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1.1533750000000005</v>
      </c>
      <c r="AN79" s="122">
        <f t="shared" si="5"/>
        <v>0.91346199999999556</v>
      </c>
      <c r="AO79" s="122">
        <f t="shared" si="6"/>
        <v>2.6296599999999781E-3</v>
      </c>
      <c r="AP79" s="122">
        <f t="shared" si="7"/>
        <v>7.8447600000000062E-3</v>
      </c>
      <c r="AQ79" s="88">
        <f t="shared" si="8"/>
        <v>-5.2910150000000031E-3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33.587203000000002</v>
      </c>
      <c r="Y80" s="190">
        <v>37.640839999999997</v>
      </c>
      <c r="Z80" s="190">
        <v>0.98313244</v>
      </c>
      <c r="AA80" s="62">
        <v>0.98613317</v>
      </c>
      <c r="AB80" s="62">
        <v>2.9116139999999999E-2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-1.4930079999999961</v>
      </c>
      <c r="AN80" s="122">
        <f t="shared" si="5"/>
        <v>-1.5284480000000045</v>
      </c>
      <c r="AO80" s="122">
        <f t="shared" si="6"/>
        <v>-3.5623799999999761E-3</v>
      </c>
      <c r="AP80" s="122">
        <f t="shared" si="7"/>
        <v>-3.5598100000000521E-3</v>
      </c>
      <c r="AQ80" s="88">
        <f t="shared" si="8"/>
        <v>2.9127759999999989E-3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34.001486</v>
      </c>
      <c r="Y81" s="190">
        <v>38.065572000000003</v>
      </c>
      <c r="Z81" s="190">
        <v>0.98516037000000001</v>
      </c>
      <c r="AA81" s="62">
        <v>0.98817787999999995</v>
      </c>
      <c r="AB81" s="62">
        <v>2.6535969999999999E-2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-3.3589079999999996</v>
      </c>
      <c r="AN81" s="122">
        <f t="shared" si="5"/>
        <v>-3.3358969999999957</v>
      </c>
      <c r="AO81" s="122">
        <f t="shared" si="6"/>
        <v>-5.9325000000000072E-3</v>
      </c>
      <c r="AP81" s="122">
        <f t="shared" si="7"/>
        <v>-6.6998900000000416E-3</v>
      </c>
      <c r="AQ81" s="88">
        <f t="shared" si="8"/>
        <v>6.5859679999999976E-3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28.762179</v>
      </c>
      <c r="Y83" s="97">
        <v>33.438065999999999</v>
      </c>
      <c r="Z83" s="97">
        <v>0.95927821999999996</v>
      </c>
      <c r="AA83" s="60">
        <v>0.96675752000000004</v>
      </c>
      <c r="AB83" s="60">
        <v>6.6021399999999994E-2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1.7991039999999998</v>
      </c>
      <c r="AN83" s="96">
        <f t="shared" si="5"/>
        <v>1.3178769999999957</v>
      </c>
      <c r="AO83" s="96">
        <f t="shared" si="6"/>
        <v>4.6564199999999945E-3</v>
      </c>
      <c r="AP83" s="96">
        <f t="shared" si="7"/>
        <v>1.1924319999999988E-2</v>
      </c>
      <c r="AQ83" s="121">
        <f t="shared" si="8"/>
        <v>-8.9531400000000122E-3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31.686064999999999</v>
      </c>
      <c r="Y84" s="190">
        <v>36.021268999999997</v>
      </c>
      <c r="Z84" s="190">
        <v>0.97580056999999998</v>
      </c>
      <c r="AA84" s="62">
        <v>0.98018240000000001</v>
      </c>
      <c r="AB84" s="62">
        <v>4.0090196000000002E-2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1.094462</v>
      </c>
      <c r="AN84" s="122">
        <f t="shared" si="5"/>
        <v>0.81399699999999342</v>
      </c>
      <c r="AO84" s="122">
        <f t="shared" si="6"/>
        <v>3.8128999999997859E-4</v>
      </c>
      <c r="AP84" s="122">
        <f t="shared" si="7"/>
        <v>6.2831800000000548E-3</v>
      </c>
      <c r="AQ84" s="88">
        <f t="shared" si="8"/>
        <v>-3.5820039999999997E-3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33.437959999999997</v>
      </c>
      <c r="Y85" s="190">
        <v>37.572406999999998</v>
      </c>
      <c r="Z85" s="190">
        <v>0.98280073999999995</v>
      </c>
      <c r="AA85" s="62">
        <v>0.98699809999999999</v>
      </c>
      <c r="AB85" s="62">
        <v>2.9394758999999999E-2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-1.3946980000000053</v>
      </c>
      <c r="AN85" s="122">
        <f t="shared" si="5"/>
        <v>-1.4100409999999997</v>
      </c>
      <c r="AO85" s="122">
        <f t="shared" si="6"/>
        <v>-5.2461500000000605E-3</v>
      </c>
      <c r="AP85" s="122">
        <f t="shared" si="7"/>
        <v>-3.5747700000000604E-3</v>
      </c>
      <c r="AQ85" s="88">
        <f t="shared" si="8"/>
        <v>4.9712249999999993E-3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33.918286000000002</v>
      </c>
      <c r="Y86" s="190">
        <v>38.007454000000003</v>
      </c>
      <c r="Z86" s="190">
        <v>0.98495779000000006</v>
      </c>
      <c r="AA86" s="62">
        <v>0.98984340000000004</v>
      </c>
      <c r="AB86" s="62">
        <v>2.6962574999999999E-2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-3.6504119999999958</v>
      </c>
      <c r="AN86" s="122">
        <f t="shared" si="5"/>
        <v>-3.6531759999999949</v>
      </c>
      <c r="AO86" s="122">
        <f t="shared" si="6"/>
        <v>-7.5482999999999523E-3</v>
      </c>
      <c r="AP86" s="122">
        <f t="shared" si="7"/>
        <v>-5.5980700000000105E-3</v>
      </c>
      <c r="AQ86" s="88">
        <f t="shared" si="8"/>
        <v>9.2820290000000007E-3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29.102293</v>
      </c>
      <c r="Y88" s="97">
        <v>33.744433000000001</v>
      </c>
      <c r="Z88" s="97">
        <v>0.96170264000000005</v>
      </c>
      <c r="AA88" s="60">
        <v>0.96637751999999999</v>
      </c>
      <c r="AB88" s="60">
        <v>6.1367563999999999E-2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1.9877429999999983</v>
      </c>
      <c r="AN88" s="96">
        <f t="shared" si="5"/>
        <v>1.4730130000000017</v>
      </c>
      <c r="AO88" s="96">
        <f t="shared" si="6"/>
        <v>5.5128100000000346E-3</v>
      </c>
      <c r="AP88" s="96">
        <f t="shared" si="7"/>
        <v>1.2292049999999999E-2</v>
      </c>
      <c r="AQ88" s="121">
        <f t="shared" si="8"/>
        <v>-9.2336610000000041E-3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32.082604000000003</v>
      </c>
      <c r="Y89" s="190">
        <v>36.367265000000003</v>
      </c>
      <c r="Z89" s="190">
        <v>0.97726820000000003</v>
      </c>
      <c r="AA89" s="62">
        <v>0.97969713000000003</v>
      </c>
      <c r="AB89" s="62">
        <v>3.7545040000000002E-2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1.4114700000000049</v>
      </c>
      <c r="AN89" s="122">
        <f t="shared" si="5"/>
        <v>1.0851910000000018</v>
      </c>
      <c r="AO89" s="122">
        <f t="shared" si="6"/>
        <v>1.8783700000000181E-3</v>
      </c>
      <c r="AP89" s="122">
        <f t="shared" si="7"/>
        <v>7.3469999999999924E-3</v>
      </c>
      <c r="AQ89" s="88">
        <f t="shared" si="8"/>
        <v>-4.6474820000000014E-3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33.958720999999997</v>
      </c>
      <c r="Y90" s="190">
        <v>38.027625999999998</v>
      </c>
      <c r="Z90" s="190">
        <v>0.98418547999999995</v>
      </c>
      <c r="AA90" s="62">
        <v>0.98785111000000003</v>
      </c>
      <c r="AB90" s="62">
        <v>2.7267208000000001E-2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-1.0385920000000013</v>
      </c>
      <c r="AN90" s="122">
        <f t="shared" si="5"/>
        <v>-1.1227840000000029</v>
      </c>
      <c r="AO90" s="122">
        <f t="shared" si="6"/>
        <v>-3.9173400000001024E-3</v>
      </c>
      <c r="AP90" s="122">
        <f t="shared" si="7"/>
        <v>-2.5251800000000157E-3</v>
      </c>
      <c r="AQ90" s="88">
        <f t="shared" si="8"/>
        <v>3.176331000000001E-3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34.476697000000001</v>
      </c>
      <c r="Y91" s="190">
        <v>38.492257000000002</v>
      </c>
      <c r="Z91" s="190">
        <v>0.98626685000000003</v>
      </c>
      <c r="AA91" s="62">
        <v>0.98996485000000001</v>
      </c>
      <c r="AB91" s="62">
        <v>2.5095643000000001E-2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-3.1843140000000005</v>
      </c>
      <c r="AN91" s="122">
        <f t="shared" si="5"/>
        <v>-3.2712519999999969</v>
      </c>
      <c r="AO91" s="122">
        <f t="shared" si="6"/>
        <v>-6.1970099999999473E-3</v>
      </c>
      <c r="AP91" s="122">
        <f t="shared" si="7"/>
        <v>-5.3627699999999612E-3</v>
      </c>
      <c r="AQ91" s="88">
        <f t="shared" si="8"/>
        <v>7.3106409999999997E-3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29.188137000000001</v>
      </c>
      <c r="Y93" s="97">
        <v>33.859676</v>
      </c>
      <c r="Z93" s="97">
        <v>0.96252848000000002</v>
      </c>
      <c r="AA93" s="60">
        <v>0.96508488000000003</v>
      </c>
      <c r="AB93" s="60">
        <v>5.8171889999999997E-2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1.9858390000000021</v>
      </c>
      <c r="AN93" s="96">
        <f t="shared" si="5"/>
        <v>1.4728169999999992</v>
      </c>
      <c r="AO93" s="96">
        <f t="shared" si="6"/>
        <v>5.1741600000000387E-3</v>
      </c>
      <c r="AP93" s="96">
        <f t="shared" si="7"/>
        <v>1.1235990000000085E-2</v>
      </c>
      <c r="AQ93" s="121">
        <f t="shared" si="8"/>
        <v>-8.3709500000000089E-3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32.144379000000001</v>
      </c>
      <c r="Y94" s="190">
        <v>36.434587999999998</v>
      </c>
      <c r="Z94" s="190">
        <v>0.97758677999999999</v>
      </c>
      <c r="AA94" s="62">
        <v>0.97900710999999996</v>
      </c>
      <c r="AB94" s="62">
        <v>3.5326692999999999E-2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1.3429360000000017</v>
      </c>
      <c r="AN94" s="122">
        <f t="shared" si="5"/>
        <v>1.0440669999999983</v>
      </c>
      <c r="AO94" s="122">
        <f t="shared" si="6"/>
        <v>1.9206200000000395E-3</v>
      </c>
      <c r="AP94" s="122">
        <f t="shared" si="7"/>
        <v>8.4529599999999538E-3</v>
      </c>
      <c r="AQ94" s="88">
        <f t="shared" si="8"/>
        <v>-4.1773989999999983E-3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33.988154999999999</v>
      </c>
      <c r="Y95" s="190">
        <v>38.052926999999997</v>
      </c>
      <c r="Z95" s="190">
        <v>0.98429533000000002</v>
      </c>
      <c r="AA95" s="62">
        <v>0.98689554000000002</v>
      </c>
      <c r="AB95" s="62">
        <v>2.6023728999999999E-2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-1.207889999999999</v>
      </c>
      <c r="AN95" s="122">
        <f t="shared" si="5"/>
        <v>-1.2706510000000009</v>
      </c>
      <c r="AO95" s="122">
        <f t="shared" si="6"/>
        <v>-3.905239999999921E-3</v>
      </c>
      <c r="AP95" s="122">
        <f t="shared" si="7"/>
        <v>-2.9903000000000013E-3</v>
      </c>
      <c r="AQ95" s="88">
        <f t="shared" si="8"/>
        <v>3.2618139999999983E-3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34.448680000000003</v>
      </c>
      <c r="Y96" s="190">
        <v>38.477466999999997</v>
      </c>
      <c r="Z96" s="190">
        <v>0.98631502000000004</v>
      </c>
      <c r="AA96" s="62">
        <v>0.98907531999999998</v>
      </c>
      <c r="AB96" s="62">
        <v>2.3910508E-2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-3.3064359999999979</v>
      </c>
      <c r="AN96" s="122">
        <f t="shared" si="5"/>
        <v>-3.3578740000000025</v>
      </c>
      <c r="AO96" s="122">
        <f t="shared" si="6"/>
        <v>-6.1231199999999264E-3</v>
      </c>
      <c r="AP96" s="122">
        <f t="shared" si="7"/>
        <v>-6.0793100000000599E-3</v>
      </c>
      <c r="AQ96" s="88">
        <f t="shared" si="8"/>
        <v>7.0080380000000012E-3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29.290986</v>
      </c>
      <c r="Y98" s="97">
        <v>33.947498000000003</v>
      </c>
      <c r="Z98" s="97">
        <v>0.96303134000000001</v>
      </c>
      <c r="AA98" s="60">
        <v>0.96603634000000005</v>
      </c>
      <c r="AB98" s="60">
        <v>5.8794037E-2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1.9627920000000003</v>
      </c>
      <c r="AN98" s="96">
        <f t="shared" si="15"/>
        <v>1.4651449999999997</v>
      </c>
      <c r="AO98" s="96">
        <f t="shared" si="16"/>
        <v>5.1663200000000575E-3</v>
      </c>
      <c r="AP98" s="96">
        <f t="shared" si="17"/>
        <v>1.1746720000000099E-2</v>
      </c>
      <c r="AQ98" s="121">
        <f t="shared" si="18"/>
        <v>-7.2795970000000057E-3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32.119712</v>
      </c>
      <c r="Y99" s="190">
        <v>36.435955999999997</v>
      </c>
      <c r="Z99" s="190">
        <v>0.9778597</v>
      </c>
      <c r="AA99" s="62">
        <v>0.97968900000000003</v>
      </c>
      <c r="AB99" s="62">
        <v>3.5714900000000001E-2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1.3077849999999991</v>
      </c>
      <c r="AN99" s="122">
        <f t="shared" si="15"/>
        <v>1.0401859999999985</v>
      </c>
      <c r="AO99" s="122">
        <f t="shared" si="16"/>
        <v>2.1525000000000016E-3</v>
      </c>
      <c r="AP99" s="122">
        <f t="shared" si="17"/>
        <v>8.2731500000000624E-3</v>
      </c>
      <c r="AQ99" s="88">
        <f t="shared" si="18"/>
        <v>-4.4409099999999993E-3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33.881509999999999</v>
      </c>
      <c r="Y100" s="190">
        <v>37.986153000000002</v>
      </c>
      <c r="Z100" s="190">
        <v>0.98442487000000001</v>
      </c>
      <c r="AA100" s="62">
        <v>0.98697504000000003</v>
      </c>
      <c r="AB100" s="62">
        <v>2.6638255999999999E-2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-1.2556220000000025</v>
      </c>
      <c r="AN100" s="122">
        <f t="shared" si="15"/>
        <v>-1.2894980000000018</v>
      </c>
      <c r="AO100" s="122">
        <f t="shared" si="16"/>
        <v>-3.716060000000021E-3</v>
      </c>
      <c r="AP100" s="122">
        <f t="shared" si="17"/>
        <v>-2.8066299999999211E-3</v>
      </c>
      <c r="AQ100" s="88">
        <f t="shared" si="18"/>
        <v>2.9024050000000003E-3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34.373635</v>
      </c>
      <c r="Y101" s="190">
        <v>38.431469999999997</v>
      </c>
      <c r="Z101" s="190">
        <v>0.98645773000000003</v>
      </c>
      <c r="AA101" s="62">
        <v>0.98930980999999996</v>
      </c>
      <c r="AB101" s="62">
        <v>2.4349526E-2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-3.3805270000000007</v>
      </c>
      <c r="AN101" s="122">
        <f t="shared" si="15"/>
        <v>-3.3963880000000017</v>
      </c>
      <c r="AO101" s="122">
        <f t="shared" si="16"/>
        <v>-5.9871899999999201E-3</v>
      </c>
      <c r="AP101" s="122">
        <f t="shared" si="17"/>
        <v>-5.9186500000000253E-3</v>
      </c>
      <c r="AQ101" s="88">
        <f t="shared" si="18"/>
        <v>6.7491070000000007E-3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28.959257999999998</v>
      </c>
      <c r="Y103" s="97">
        <v>33.499571000000003</v>
      </c>
      <c r="Z103" s="97">
        <v>0.96047095000000005</v>
      </c>
      <c r="AA103" s="60">
        <v>0.96579820000000005</v>
      </c>
      <c r="AB103" s="60">
        <v>6.2543823999999998E-2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1.6809329999999996</v>
      </c>
      <c r="AN103" s="96">
        <f t="shared" si="15"/>
        <v>1.2471930000000029</v>
      </c>
      <c r="AO103" s="96">
        <f t="shared" si="16"/>
        <v>4.3732900000000852E-3</v>
      </c>
      <c r="AP103" s="96">
        <f t="shared" si="17"/>
        <v>1.106046000000005E-2</v>
      </c>
      <c r="AQ103" s="121">
        <f t="shared" si="18"/>
        <v>-5.796260999999997E-3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31.564031</v>
      </c>
      <c r="Y104" s="190">
        <v>35.812289</v>
      </c>
      <c r="Z104" s="190">
        <v>0.97564021000000001</v>
      </c>
      <c r="AA104" s="62">
        <v>0.97858486</v>
      </c>
      <c r="AB104" s="62">
        <v>3.9152376000000003E-2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0.9505100000000013</v>
      </c>
      <c r="AN104" s="122">
        <f t="shared" si="15"/>
        <v>0.71729700000000207</v>
      </c>
      <c r="AO104" s="122">
        <f t="shared" si="16"/>
        <v>8.7641999999998887E-4</v>
      </c>
      <c r="AP104" s="122">
        <f t="shared" si="17"/>
        <v>6.072069999999985E-3</v>
      </c>
      <c r="AQ104" s="88">
        <f t="shared" si="18"/>
        <v>-2.5190299999999985E-3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33.152788999999999</v>
      </c>
      <c r="Y105" s="190">
        <v>37.251739000000001</v>
      </c>
      <c r="Z105" s="190">
        <v>0.98248515999999997</v>
      </c>
      <c r="AA105" s="62">
        <v>0.98592727999999996</v>
      </c>
      <c r="AB105" s="62">
        <v>2.9268282E-2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-1.6465859999999992</v>
      </c>
      <c r="AN105" s="122">
        <f t="shared" si="15"/>
        <v>-1.6617230000000021</v>
      </c>
      <c r="AO105" s="122">
        <f t="shared" si="16"/>
        <v>-4.8452199999999834E-3</v>
      </c>
      <c r="AP105" s="122">
        <f t="shared" si="17"/>
        <v>-3.6464000000000496E-3</v>
      </c>
      <c r="AQ105" s="88">
        <f t="shared" si="18"/>
        <v>4.4559560000000005E-3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33.649870999999997</v>
      </c>
      <c r="Y106" s="190">
        <v>37.719670999999998</v>
      </c>
      <c r="Z106" s="190">
        <v>0.98461208</v>
      </c>
      <c r="AA106" s="62">
        <v>0.98843166999999998</v>
      </c>
      <c r="AB106" s="62">
        <v>2.6552022000000002E-2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-3.8303290000000061</v>
      </c>
      <c r="AN106" s="122">
        <f t="shared" si="15"/>
        <v>-3.7937939999999983</v>
      </c>
      <c r="AO106" s="122">
        <f t="shared" si="16"/>
        <v>-7.2902599999999929E-3</v>
      </c>
      <c r="AP106" s="122">
        <f t="shared" si="17"/>
        <v>-6.530979999999964E-3</v>
      </c>
      <c r="AQ106" s="88">
        <f t="shared" si="18"/>
        <v>8.1673590000000025E-3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28.762179</v>
      </c>
      <c r="Y641" s="136">
        <f t="shared" si="60"/>
        <v>33.438065999999999</v>
      </c>
      <c r="Z641" s="136">
        <f t="shared" si="60"/>
        <v>0.95927821999999996</v>
      </c>
      <c r="AA641" s="136">
        <f t="shared" si="60"/>
        <v>0.96508488000000003</v>
      </c>
      <c r="AB641" s="136">
        <f t="shared" si="60"/>
        <v>5.5378429999999999E-2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31.564031</v>
      </c>
      <c r="Y642" s="18">
        <f t="shared" si="60"/>
        <v>35.812289</v>
      </c>
      <c r="Z642" s="18">
        <f t="shared" si="60"/>
        <v>0.97506634000000003</v>
      </c>
      <c r="AA642" s="18">
        <f t="shared" si="60"/>
        <v>0.97858486</v>
      </c>
      <c r="AB642" s="18">
        <f t="shared" si="60"/>
        <v>3.4104990000000002E-2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33.152788999999999</v>
      </c>
      <c r="Y643" s="18">
        <f t="shared" si="60"/>
        <v>37.251739000000001</v>
      </c>
      <c r="Z643" s="18">
        <f t="shared" si="60"/>
        <v>0.98210348999999997</v>
      </c>
      <c r="AA643" s="18">
        <f t="shared" si="60"/>
        <v>0.98572621000000005</v>
      </c>
      <c r="AB643" s="18">
        <f t="shared" si="60"/>
        <v>2.4876332000000001E-2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33.624105</v>
      </c>
      <c r="Y644" s="18">
        <f t="shared" si="60"/>
        <v>37.718694999999997</v>
      </c>
      <c r="Z644" s="18">
        <f t="shared" si="60"/>
        <v>0.98424011</v>
      </c>
      <c r="AA644" s="18">
        <f t="shared" si="60"/>
        <v>0.98753420999999997</v>
      </c>
      <c r="AB644" s="18">
        <f t="shared" si="60"/>
        <v>2.2752499999999998E-2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29.442422000000001</v>
      </c>
      <c r="Y646" s="136">
        <f t="shared" si="62"/>
        <v>34.065899999999999</v>
      </c>
      <c r="Z646" s="136">
        <f t="shared" si="62"/>
        <v>0.96435344999999995</v>
      </c>
      <c r="AA646" s="136">
        <f t="shared" si="62"/>
        <v>0.96832156999999996</v>
      </c>
      <c r="AB646" s="136">
        <f t="shared" si="62"/>
        <v>6.6021399999999994E-2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32.411583999999998</v>
      </c>
      <c r="Y647" s="18">
        <f t="shared" si="62"/>
        <v>36.630265000000001</v>
      </c>
      <c r="Z647" s="18">
        <f t="shared" si="62"/>
        <v>0.97876563999999999</v>
      </c>
      <c r="AA647" s="18">
        <f t="shared" si="62"/>
        <v>0.98175844000000001</v>
      </c>
      <c r="AB647" s="18">
        <f t="shared" si="62"/>
        <v>4.1185960000000001E-2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34.356678000000002</v>
      </c>
      <c r="Y648" s="18">
        <f t="shared" si="62"/>
        <v>38.360968</v>
      </c>
      <c r="Z648" s="18">
        <f t="shared" si="62"/>
        <v>0.98529025999999997</v>
      </c>
      <c r="AA648" s="18">
        <f t="shared" si="62"/>
        <v>0.98848681999999999</v>
      </c>
      <c r="AB648" s="18">
        <f t="shared" si="62"/>
        <v>3.0941354000000001E-2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34.831606000000001</v>
      </c>
      <c r="Y649" s="18">
        <f t="shared" si="62"/>
        <v>38.827013000000001</v>
      </c>
      <c r="Z649" s="18">
        <f t="shared" si="62"/>
        <v>0.98723890999999997</v>
      </c>
      <c r="AA649" s="18">
        <f t="shared" si="62"/>
        <v>0.99075926000000003</v>
      </c>
      <c r="AB649" s="18">
        <f t="shared" si="62"/>
        <v>2.7838353E-2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0.68024300000000082</v>
      </c>
      <c r="Y651" s="136">
        <f t="shared" si="64"/>
        <v>0.627834</v>
      </c>
      <c r="Z651" s="136">
        <f t="shared" si="64"/>
        <v>5.0752299999999861E-3</v>
      </c>
      <c r="AA651" s="136">
        <f t="shared" si="64"/>
        <v>3.236689999999931E-3</v>
      </c>
      <c r="AB651" s="136">
        <f t="shared" si="64"/>
        <v>1.0642969999999995E-2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0.84755299999999778</v>
      </c>
      <c r="Y652" s="18">
        <f t="shared" si="64"/>
        <v>0.81797600000000159</v>
      </c>
      <c r="Z652" s="18">
        <f t="shared" si="64"/>
        <v>3.699299999999961E-3</v>
      </c>
      <c r="AA652" s="18">
        <f t="shared" si="64"/>
        <v>3.1735800000000092E-3</v>
      </c>
      <c r="AB652" s="18">
        <f t="shared" si="64"/>
        <v>7.0809699999999989E-3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1.2038890000000038</v>
      </c>
      <c r="Y653" s="18">
        <f t="shared" si="64"/>
        <v>1.1092289999999991</v>
      </c>
      <c r="Z653" s="18">
        <f t="shared" si="64"/>
        <v>3.1867700000000054E-3</v>
      </c>
      <c r="AA653" s="18">
        <f t="shared" si="64"/>
        <v>2.7606099999999412E-3</v>
      </c>
      <c r="AB653" s="18">
        <f t="shared" si="64"/>
        <v>6.0650219999999998E-3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1.2075010000000006</v>
      </c>
      <c r="Y654" s="18">
        <f t="shared" si="64"/>
        <v>1.1083180000000041</v>
      </c>
      <c r="Z654" s="18">
        <f t="shared" si="64"/>
        <v>2.9987999999999682E-3</v>
      </c>
      <c r="AA654" s="18">
        <f t="shared" si="64"/>
        <v>3.2250500000000626E-3</v>
      </c>
      <c r="AB654" s="18">
        <f t="shared" si="64"/>
        <v>5.0858530000000013E-3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A127" workbookViewId="0">
      <selection activeCell="W26" sqref="W26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26995.696000000004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30.772404761904756</v>
      </c>
      <c r="Y5" s="30">
        <f t="shared" si="2"/>
        <v>34.546610666666666</v>
      </c>
      <c r="Z5" s="30">
        <f t="shared" si="2"/>
        <v>0.96955707190476181</v>
      </c>
      <c r="AA5" s="91">
        <f t="shared" si="2"/>
        <v>0.97666167285714267</v>
      </c>
      <c r="AB5" s="91">
        <f t="shared" si="2"/>
        <v>5.5798627809523799E-2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5.4672945975490217E-2</v>
      </c>
      <c r="AN5" s="245">
        <f>bdrate($E5:$E8,G5:G8,$W5:$W8,Y5:Y8)</f>
        <v>3.56250737652688E-2</v>
      </c>
      <c r="AO5" s="245">
        <f>bdrate($E5:$E8,H5:H8,$W5:$W8,Z5:Z8)</f>
        <v>-3.4736435387931142E-2</v>
      </c>
      <c r="AP5" s="245">
        <f>bdrate($E5:$E8,I5:I8,$W5:$W8,AA5:AA8)</f>
        <v>-1.1216151408990349E-2</v>
      </c>
      <c r="AQ5" s="246">
        <f>bdrateInverted($E5:$E8,J5:J8,$W5:$W8,AB5:AB8)</f>
        <v>-9.7455984296444531E-2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37287.447999999997</v>
      </c>
      <c r="X6" s="91">
        <f t="shared" si="2"/>
        <v>32.487970095238083</v>
      </c>
      <c r="Y6" s="91">
        <f t="shared" si="2"/>
        <v>36.245469761904765</v>
      </c>
      <c r="Z6" s="91">
        <f t="shared" si="2"/>
        <v>0.97992966428571426</v>
      </c>
      <c r="AA6" s="91">
        <f t="shared" si="2"/>
        <v>0.98355694047619058</v>
      </c>
      <c r="AB6" s="91">
        <f t="shared" si="2"/>
        <v>4.0242587285714275E-2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51822.536</v>
      </c>
      <c r="X7" s="91">
        <f t="shared" si="2"/>
        <v>33.555725047619049</v>
      </c>
      <c r="Y7" s="91">
        <f t="shared" si="2"/>
        <v>37.342620285714283</v>
      </c>
      <c r="Z7" s="91">
        <f t="shared" si="2"/>
        <v>0.98528982523809527</v>
      </c>
      <c r="AA7" s="91">
        <f t="shared" si="2"/>
        <v>0.98742601666666663</v>
      </c>
      <c r="AB7" s="91">
        <f t="shared" si="2"/>
        <v>3.0444402523809522E-2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70145.968000000008</v>
      </c>
      <c r="X8" s="91">
        <f t="shared" si="2"/>
        <v>34.118603190476193</v>
      </c>
      <c r="Y8" s="91">
        <f t="shared" si="2"/>
        <v>37.981158761904759</v>
      </c>
      <c r="Z8" s="91">
        <f t="shared" si="2"/>
        <v>0.98764443142857128</v>
      </c>
      <c r="AA8" s="91">
        <f t="shared" si="2"/>
        <v>0.98898397904761925</v>
      </c>
      <c r="AB8" s="91">
        <f t="shared" si="2"/>
        <v>2.4761903476190481E-2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4622.4719999999998</v>
      </c>
      <c r="X16" s="167">
        <v>5835.96</v>
      </c>
      <c r="Y16" s="167">
        <v>952.01599999999996</v>
      </c>
      <c r="Z16" s="167">
        <v>25.431999999999999</v>
      </c>
      <c r="AA16" s="167">
        <v>108.848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4622.4719999999998</v>
      </c>
      <c r="X17" s="168">
        <v>7698.6719999999996</v>
      </c>
      <c r="Y17" s="168">
        <v>3369.0880000000002</v>
      </c>
      <c r="Z17" s="168">
        <v>321.488</v>
      </c>
      <c r="AA17" s="168">
        <v>858.51199999999994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4622.4719999999998</v>
      </c>
      <c r="X18" s="168">
        <v>9632.4240000000009</v>
      </c>
      <c r="Y18" s="168">
        <v>7300.6080000000002</v>
      </c>
      <c r="Z18" s="168">
        <v>1672.1120000000001</v>
      </c>
      <c r="AA18" s="168">
        <v>3035.808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4622.4719999999998</v>
      </c>
      <c r="X19" s="168">
        <v>11479.904</v>
      </c>
      <c r="Y19" s="168">
        <v>11851.656000000001</v>
      </c>
      <c r="Z19" s="168">
        <v>4588.9440000000004</v>
      </c>
      <c r="AA19" s="168">
        <v>6666.768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26995.696000000004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37287.447999999997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51822.536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70145.968000000008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27.510626999999999</v>
      </c>
      <c r="Y33" s="97">
        <v>31.103023</v>
      </c>
      <c r="Z33" s="97">
        <v>0.96245698000000002</v>
      </c>
      <c r="AA33" s="60">
        <v>0.97085705</v>
      </c>
      <c r="AB33" s="60">
        <v>7.0987135000000007E-2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0.60377099999999828</v>
      </c>
      <c r="AN33" s="96">
        <f t="shared" ref="AN33:AN96" si="5">IF(OR(Y33="",G33=""),"",Y33-G33)</f>
        <v>0.73513900000000021</v>
      </c>
      <c r="AO33" s="96">
        <f t="shared" ref="AO33:AO96" si="6">IF(OR(Z33="",H33=""),"",Z33-H33)</f>
        <v>3.7463199999999697E-3</v>
      </c>
      <c r="AP33" s="96">
        <f t="shared" ref="AP33:AP96" si="7">IF(OR(AA33="",I33=""),"",AA33-I33)</f>
        <v>6.3010700000000197E-3</v>
      </c>
      <c r="AQ33" s="121">
        <f t="shared" ref="AQ33:AQ96" si="8">IF(OR(AB33="",J33=""),"",AB33-J33)</f>
        <v>-1.173962499999999E-2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30.325029000000001</v>
      </c>
      <c r="Y34" s="190">
        <v>33.989148999999998</v>
      </c>
      <c r="Z34" s="190">
        <v>0.97741551999999998</v>
      </c>
      <c r="AA34" s="62">
        <v>0.98116682</v>
      </c>
      <c r="AB34" s="62">
        <v>4.9462415000000003E-2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-0.46540200000000098</v>
      </c>
      <c r="AN34" s="122">
        <f t="shared" si="5"/>
        <v>-0.20930200000000099</v>
      </c>
      <c r="AO34" s="122">
        <f t="shared" si="6"/>
        <v>-3.4593000000004981E-4</v>
      </c>
      <c r="AP34" s="122">
        <f t="shared" si="7"/>
        <v>2.4305999999996164E-4</v>
      </c>
      <c r="AQ34" s="88">
        <f t="shared" si="8"/>
        <v>-7.1462449999999955E-3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31.250209000000002</v>
      </c>
      <c r="Y35" s="190">
        <v>35.078198999999998</v>
      </c>
      <c r="Z35" s="190">
        <v>0.98365970000000003</v>
      </c>
      <c r="AA35" s="62">
        <v>0.98564812000000002</v>
      </c>
      <c r="AB35" s="62">
        <v>3.6415561999999999E-2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-2.5482459999999953</v>
      </c>
      <c r="AN35" s="122">
        <f t="shared" si="5"/>
        <v>-2.7720620000000054</v>
      </c>
      <c r="AO35" s="122">
        <f t="shared" si="6"/>
        <v>-4.5511099999999693E-3</v>
      </c>
      <c r="AP35" s="122">
        <f t="shared" si="7"/>
        <v>-5.5100499999999331E-3</v>
      </c>
      <c r="AQ35" s="88">
        <f t="shared" si="8"/>
        <v>3.306723999999997E-3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32.194443</v>
      </c>
      <c r="Y36" s="190">
        <v>36.051912000000002</v>
      </c>
      <c r="Z36" s="190">
        <v>0.98676386999999999</v>
      </c>
      <c r="AA36" s="62">
        <v>0.98770418999999998</v>
      </c>
      <c r="AB36" s="62">
        <v>2.8857543999999999E-2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-5.5648410000000013</v>
      </c>
      <c r="AN36" s="122">
        <f t="shared" si="5"/>
        <v>-6.0096629999999962</v>
      </c>
      <c r="AO36" s="122">
        <f t="shared" si="6"/>
        <v>-6.9729699999999672E-3</v>
      </c>
      <c r="AP36" s="122">
        <f t="shared" si="7"/>
        <v>-8.1197299999999917E-3</v>
      </c>
      <c r="AQ36" s="88">
        <f t="shared" si="8"/>
        <v>1.2690517999999998E-2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27.686875000000001</v>
      </c>
      <c r="Y38" s="97">
        <v>31.805572000000002</v>
      </c>
      <c r="Z38" s="97">
        <v>0.96480591999999998</v>
      </c>
      <c r="AA38" s="60">
        <v>0.97166058</v>
      </c>
      <c r="AB38" s="60">
        <v>6.1917130000000001E-2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0.48645300000000091</v>
      </c>
      <c r="AN38" s="96">
        <f t="shared" si="5"/>
        <v>0.71782900000000183</v>
      </c>
      <c r="AO38" s="96">
        <f t="shared" si="6"/>
        <v>3.9474200000000348E-3</v>
      </c>
      <c r="AP38" s="96">
        <f t="shared" si="7"/>
        <v>6.4773999999999665E-3</v>
      </c>
      <c r="AQ38" s="121">
        <f t="shared" si="8"/>
        <v>-1.27805E-2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30.662932999999999</v>
      </c>
      <c r="Y39" s="190">
        <v>34.535342</v>
      </c>
      <c r="Z39" s="190">
        <v>0.97807924999999996</v>
      </c>
      <c r="AA39" s="62">
        <v>0.98123610999999999</v>
      </c>
      <c r="AB39" s="62">
        <v>4.4666499999999998E-2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-0.69923900000000216</v>
      </c>
      <c r="AN39" s="122">
        <f t="shared" si="5"/>
        <v>-0.32046900000000278</v>
      </c>
      <c r="AO39" s="122">
        <f t="shared" si="6"/>
        <v>-2.2624000000004418E-4</v>
      </c>
      <c r="AP39" s="122">
        <f t="shared" si="7"/>
        <v>1.5748999999998237E-4</v>
      </c>
      <c r="AQ39" s="88">
        <f t="shared" si="8"/>
        <v>-8.1671700000000014E-3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31.501785999999999</v>
      </c>
      <c r="Y40" s="190">
        <v>35.500701999999997</v>
      </c>
      <c r="Z40" s="190">
        <v>0.98387533000000005</v>
      </c>
      <c r="AA40" s="62">
        <v>0.98552441999999996</v>
      </c>
      <c r="AB40" s="62">
        <v>3.3764929999999999E-2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-3.3199470000000026</v>
      </c>
      <c r="AN40" s="122">
        <f t="shared" si="5"/>
        <v>-3.3533420000000049</v>
      </c>
      <c r="AO40" s="122">
        <f t="shared" si="6"/>
        <v>-4.5533299999999111E-3</v>
      </c>
      <c r="AP40" s="122">
        <f t="shared" si="7"/>
        <v>-5.8951200000000314E-3</v>
      </c>
      <c r="AQ40" s="88">
        <f t="shared" si="8"/>
        <v>2.401399999999998E-3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32.022728000000001</v>
      </c>
      <c r="Y41" s="190">
        <v>36.146560999999998</v>
      </c>
      <c r="Z41" s="190">
        <v>0.98657567000000002</v>
      </c>
      <c r="AA41" s="62">
        <v>0.98727646999999996</v>
      </c>
      <c r="AB41" s="62">
        <v>2.7178686000000001E-2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-5.9208859999999959</v>
      </c>
      <c r="AN41" s="122">
        <f t="shared" si="5"/>
        <v>-6.1485869999999991</v>
      </c>
      <c r="AO41" s="122">
        <f t="shared" si="6"/>
        <v>-7.0740099999999639E-3</v>
      </c>
      <c r="AP41" s="122">
        <f t="shared" si="7"/>
        <v>-8.458610000000033E-3</v>
      </c>
      <c r="AQ41" s="88">
        <f t="shared" si="8"/>
        <v>9.8046809999999991E-3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29.108955000000002</v>
      </c>
      <c r="Y43" s="97">
        <v>33.072612999999997</v>
      </c>
      <c r="Z43" s="97">
        <v>0.96667802999999997</v>
      </c>
      <c r="AA43" s="60">
        <v>0.97296388</v>
      </c>
      <c r="AB43" s="60">
        <v>5.9714219999999998E-2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0.44979500000000172</v>
      </c>
      <c r="AN43" s="96">
        <f t="shared" si="5"/>
        <v>0.70058299999999463</v>
      </c>
      <c r="AO43" s="96">
        <f t="shared" si="6"/>
        <v>3.6398999999999182E-3</v>
      </c>
      <c r="AP43" s="96">
        <f t="shared" si="7"/>
        <v>4.8981099999999556E-3</v>
      </c>
      <c r="AQ43" s="121">
        <f t="shared" si="8"/>
        <v>-1.2406899999999998E-2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30.91039</v>
      </c>
      <c r="Y44" s="190">
        <v>34.774932</v>
      </c>
      <c r="Z44" s="190">
        <v>0.97806820999999999</v>
      </c>
      <c r="AA44" s="62">
        <v>0.98058062000000001</v>
      </c>
      <c r="AB44" s="62">
        <v>4.4235416E-2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-0.88625400000000099</v>
      </c>
      <c r="AN44" s="122">
        <f t="shared" si="5"/>
        <v>-0.59734399999999965</v>
      </c>
      <c r="AO44" s="122">
        <f t="shared" si="6"/>
        <v>-6.0353000000001877E-4</v>
      </c>
      <c r="AP44" s="122">
        <f t="shared" si="7"/>
        <v>-9.889600000000387E-4</v>
      </c>
      <c r="AQ44" s="88">
        <f t="shared" si="8"/>
        <v>-5.4444670000000014E-3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31.756806000000001</v>
      </c>
      <c r="Y45" s="190">
        <v>35.698870999999997</v>
      </c>
      <c r="Z45" s="190">
        <v>0.98371048999999999</v>
      </c>
      <c r="AA45" s="62">
        <v>0.98471889999999995</v>
      </c>
      <c r="AB45" s="62">
        <v>3.4900934000000002E-2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-3.4641139999999986</v>
      </c>
      <c r="AN45" s="122">
        <f t="shared" si="5"/>
        <v>-3.6585140000000038</v>
      </c>
      <c r="AO45" s="122">
        <f t="shared" si="6"/>
        <v>-4.904989999999998E-3</v>
      </c>
      <c r="AP45" s="122">
        <f t="shared" si="7"/>
        <v>-6.8308500000000549E-3</v>
      </c>
      <c r="AQ45" s="88">
        <f t="shared" si="8"/>
        <v>3.2904860000000022E-3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32.199522000000002</v>
      </c>
      <c r="Y46" s="190">
        <v>36.271098000000002</v>
      </c>
      <c r="Z46" s="190">
        <v>0.98637940999999996</v>
      </c>
      <c r="AA46" s="62">
        <v>0.98652808000000003</v>
      </c>
      <c r="AB46" s="62">
        <v>2.8333288000000002E-2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-6.2178240000000002</v>
      </c>
      <c r="AN46" s="122">
        <f t="shared" si="5"/>
        <v>-6.4963499999999996</v>
      </c>
      <c r="AO46" s="122">
        <f t="shared" si="6"/>
        <v>-7.2908999999999891E-3</v>
      </c>
      <c r="AP46" s="122">
        <f t="shared" si="7"/>
        <v>-9.1921999999999837E-3</v>
      </c>
      <c r="AQ46" s="88">
        <f t="shared" si="8"/>
        <v>1.1751812E-2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30.317919</v>
      </c>
      <c r="Y48" s="97">
        <v>33.995863999999997</v>
      </c>
      <c r="Z48" s="97">
        <v>0.96729016999999995</v>
      </c>
      <c r="AA48" s="60">
        <v>0.97305775000000005</v>
      </c>
      <c r="AB48" s="60">
        <v>5.2308377000000003E-2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0.5720799999999997</v>
      </c>
      <c r="AN48" s="96">
        <f t="shared" si="5"/>
        <v>0.77042399999999844</v>
      </c>
      <c r="AO48" s="96">
        <f t="shared" si="6"/>
        <v>3.4219599999999462E-3</v>
      </c>
      <c r="AP48" s="96">
        <f t="shared" si="7"/>
        <v>3.4625800000001039E-3</v>
      </c>
      <c r="AQ48" s="121">
        <f t="shared" si="8"/>
        <v>-1.1214617999999996E-2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31.858124</v>
      </c>
      <c r="Y49" s="190">
        <v>35.478966</v>
      </c>
      <c r="Z49" s="190">
        <v>0.97772451000000005</v>
      </c>
      <c r="AA49" s="62">
        <v>0.97984844999999998</v>
      </c>
      <c r="AB49" s="62">
        <v>3.8629523999999998E-2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-0.87696200000000246</v>
      </c>
      <c r="AN49" s="122">
        <f t="shared" si="5"/>
        <v>-0.72637499999999733</v>
      </c>
      <c r="AO49" s="122">
        <f t="shared" si="6"/>
        <v>-5.8230999999997479E-4</v>
      </c>
      <c r="AP49" s="122">
        <f t="shared" si="7"/>
        <v>-2.5266800000000034E-3</v>
      </c>
      <c r="AQ49" s="88">
        <f t="shared" si="8"/>
        <v>-4.0740410000000005E-3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32.869034999999997</v>
      </c>
      <c r="Y50" s="190">
        <v>36.491459999999996</v>
      </c>
      <c r="Z50" s="190">
        <v>0.98316709000000002</v>
      </c>
      <c r="AA50" s="62">
        <v>0.98411059999999995</v>
      </c>
      <c r="AB50" s="62">
        <v>3.0267962999999998E-2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-3.0984660000000019</v>
      </c>
      <c r="AN50" s="122">
        <f t="shared" si="5"/>
        <v>-3.5561300000000031</v>
      </c>
      <c r="AO50" s="122">
        <f t="shared" si="6"/>
        <v>-5.1909799999999562E-3</v>
      </c>
      <c r="AP50" s="122">
        <f t="shared" si="7"/>
        <v>-7.4549700000000607E-3</v>
      </c>
      <c r="AQ50" s="88">
        <f t="shared" si="8"/>
        <v>2.2894429999999986E-3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33.237414000000001</v>
      </c>
      <c r="Y51" s="190">
        <v>36.973717000000001</v>
      </c>
      <c r="Z51" s="190">
        <v>0.98574629999999996</v>
      </c>
      <c r="AA51" s="62">
        <v>0.98596804999999998</v>
      </c>
      <c r="AB51" s="62">
        <v>2.5314382999999999E-2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-5.6498360000000005</v>
      </c>
      <c r="AN51" s="122">
        <f t="shared" si="5"/>
        <v>-6.2038909999999987</v>
      </c>
      <c r="AO51" s="122">
        <f t="shared" si="6"/>
        <v>-7.7453700000000847E-3</v>
      </c>
      <c r="AP51" s="122">
        <f t="shared" si="7"/>
        <v>-9.6864199999999734E-3</v>
      </c>
      <c r="AQ51" s="88">
        <f t="shared" si="8"/>
        <v>1.0591903999999999E-2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30.031396999999998</v>
      </c>
      <c r="Y53" s="97">
        <v>33.800564000000001</v>
      </c>
      <c r="Z53" s="97">
        <v>0.96700997</v>
      </c>
      <c r="AA53" s="60">
        <v>0.97201892000000001</v>
      </c>
      <c r="AB53" s="60">
        <v>5.3102650000000001E-2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0.33765599999999907</v>
      </c>
      <c r="AN53" s="96">
        <f t="shared" si="5"/>
        <v>0.53345300000000151</v>
      </c>
      <c r="AO53" s="96">
        <f t="shared" si="6"/>
        <v>3.1232199999999821E-3</v>
      </c>
      <c r="AP53" s="96">
        <f t="shared" si="7"/>
        <v>1.7349300000000234E-3</v>
      </c>
      <c r="AQ53" s="121">
        <f t="shared" si="8"/>
        <v>-1.0872683999999994E-2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31.497662999999999</v>
      </c>
      <c r="Y54" s="190">
        <v>35.251807999999997</v>
      </c>
      <c r="Z54" s="190">
        <v>0.97738754999999999</v>
      </c>
      <c r="AA54" s="62">
        <v>0.97993881999999999</v>
      </c>
      <c r="AB54" s="62">
        <v>3.8918950000000001E-2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-1.1074030000000015</v>
      </c>
      <c r="AN54" s="122">
        <f t="shared" si="5"/>
        <v>-0.89582300000000004</v>
      </c>
      <c r="AO54" s="122">
        <f t="shared" si="6"/>
        <v>-8.5360000000000991E-4</v>
      </c>
      <c r="AP54" s="122">
        <f t="shared" si="7"/>
        <v>-2.55099999999997E-3</v>
      </c>
      <c r="AQ54" s="88">
        <f t="shared" si="8"/>
        <v>-3.475126000000002E-3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32.505105</v>
      </c>
      <c r="Y55" s="190">
        <v>36.271777</v>
      </c>
      <c r="Z55" s="190">
        <v>0.98292729000000001</v>
      </c>
      <c r="AA55" s="62">
        <v>0.98439012000000004</v>
      </c>
      <c r="AB55" s="62">
        <v>3.0644871000000001E-2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-3.344616000000002</v>
      </c>
      <c r="AN55" s="122">
        <f t="shared" si="5"/>
        <v>-3.6658919999999995</v>
      </c>
      <c r="AO55" s="122">
        <f t="shared" si="6"/>
        <v>-5.2230899999999858E-3</v>
      </c>
      <c r="AP55" s="122">
        <f t="shared" si="7"/>
        <v>-7.0701699999999867E-3</v>
      </c>
      <c r="AQ55" s="88">
        <f t="shared" si="8"/>
        <v>2.3271270000000017E-3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32.973213000000001</v>
      </c>
      <c r="Y56" s="190">
        <v>36.833405999999997</v>
      </c>
      <c r="Z56" s="190">
        <v>0.98552715999999996</v>
      </c>
      <c r="AA56" s="62">
        <v>0.98532924</v>
      </c>
      <c r="AB56" s="62">
        <v>2.4536733000000002E-2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-6.0630769999999998</v>
      </c>
      <c r="AN56" s="122">
        <f t="shared" si="5"/>
        <v>-6.3716470000000029</v>
      </c>
      <c r="AO56" s="122">
        <f t="shared" si="6"/>
        <v>-7.9046500000000686E-3</v>
      </c>
      <c r="AP56" s="122">
        <f t="shared" si="7"/>
        <v>-1.023289000000005E-2</v>
      </c>
      <c r="AQ56" s="88">
        <f t="shared" si="8"/>
        <v>1.0974033000000001E-2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30.080432999999999</v>
      </c>
      <c r="Y58" s="97">
        <v>33.848953999999999</v>
      </c>
      <c r="Z58" s="97">
        <v>0.96672460000000004</v>
      </c>
      <c r="AA58" s="60">
        <v>0.97284855000000003</v>
      </c>
      <c r="AB58" s="60">
        <v>5.4289299999999999E-2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0.19107100000000088</v>
      </c>
      <c r="AN58" s="96">
        <f t="shared" si="5"/>
        <v>0.40547399999999811</v>
      </c>
      <c r="AO58" s="96">
        <f t="shared" si="6"/>
        <v>3.1861300000000092E-3</v>
      </c>
      <c r="AP58" s="96">
        <f t="shared" si="7"/>
        <v>1.9160000000000288E-3</v>
      </c>
      <c r="AQ58" s="121">
        <f t="shared" si="8"/>
        <v>-1.0544410000000004E-2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31.678992999999998</v>
      </c>
      <c r="Y59" s="190">
        <v>35.400153000000003</v>
      </c>
      <c r="Z59" s="190">
        <v>0.97750566999999999</v>
      </c>
      <c r="AA59" s="62">
        <v>0.98066101999999999</v>
      </c>
      <c r="AB59" s="62">
        <v>3.9961749999999997E-2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-1.0789710000000028</v>
      </c>
      <c r="AN59" s="122">
        <f t="shared" si="5"/>
        <v>-0.8712459999999993</v>
      </c>
      <c r="AO59" s="122">
        <f t="shared" si="6"/>
        <v>-6.2280999999997366E-4</v>
      </c>
      <c r="AP59" s="122">
        <f t="shared" si="7"/>
        <v>-2.3454499999999712E-3</v>
      </c>
      <c r="AQ59" s="88">
        <f t="shared" si="8"/>
        <v>-2.8012860000000001E-3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32.715589000000001</v>
      </c>
      <c r="Y60" s="190">
        <v>36.468555000000002</v>
      </c>
      <c r="Z60" s="190">
        <v>0.98322728000000004</v>
      </c>
      <c r="AA60" s="62">
        <v>0.98506389999999999</v>
      </c>
      <c r="AB60" s="62">
        <v>3.0986070000000001E-2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-3.1874800000000008</v>
      </c>
      <c r="AN60" s="122">
        <f t="shared" si="5"/>
        <v>-3.4741659999999968</v>
      </c>
      <c r="AO60" s="122">
        <f t="shared" si="6"/>
        <v>-4.9689699999999615E-3</v>
      </c>
      <c r="AP60" s="122">
        <f t="shared" si="7"/>
        <v>-6.3546500000000172E-3</v>
      </c>
      <c r="AQ60" s="88">
        <f t="shared" si="8"/>
        <v>2.2984600000000022E-3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33.252996000000003</v>
      </c>
      <c r="Y61" s="190">
        <v>37.110619999999997</v>
      </c>
      <c r="Z61" s="190">
        <v>0.98580341000000005</v>
      </c>
      <c r="AA61" s="62">
        <v>0.98674552999999998</v>
      </c>
      <c r="AB61" s="62">
        <v>2.4451297E-2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-6.0785879999999963</v>
      </c>
      <c r="AN61" s="122">
        <f t="shared" si="5"/>
        <v>-6.2846850000000032</v>
      </c>
      <c r="AO61" s="122">
        <f t="shared" si="6"/>
        <v>-7.6681399999999345E-3</v>
      </c>
      <c r="AP61" s="122">
        <f t="shared" si="7"/>
        <v>-8.7882999999999711E-3</v>
      </c>
      <c r="AQ61" s="88">
        <f t="shared" si="8"/>
        <v>1.1417574E-2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30.285048</v>
      </c>
      <c r="Y63" s="97">
        <v>34.078392999999998</v>
      </c>
      <c r="Z63" s="97">
        <v>0.96535477000000003</v>
      </c>
      <c r="AA63" s="60">
        <v>0.97264603000000005</v>
      </c>
      <c r="AB63" s="60">
        <v>5.4712183999999997E-2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9.2269999999999186E-2</v>
      </c>
      <c r="AN63" s="96">
        <f t="shared" si="5"/>
        <v>0.22866099999999534</v>
      </c>
      <c r="AO63" s="96">
        <f t="shared" si="6"/>
        <v>2.8540400000000021E-3</v>
      </c>
      <c r="AP63" s="96">
        <f t="shared" si="7"/>
        <v>1.0318800000000961E-3</v>
      </c>
      <c r="AQ63" s="121">
        <f t="shared" si="8"/>
        <v>-8.6053360000000051E-3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32.085315000000001</v>
      </c>
      <c r="Y64" s="190">
        <v>35.724767999999997</v>
      </c>
      <c r="Z64" s="190">
        <v>0.97705982000000002</v>
      </c>
      <c r="AA64" s="62">
        <v>0.98072183999999996</v>
      </c>
      <c r="AB64" s="62">
        <v>3.8935717000000002E-2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-1.189904999999996</v>
      </c>
      <c r="AN64" s="122">
        <f t="shared" si="5"/>
        <v>-0.96386900000000253</v>
      </c>
      <c r="AO64" s="122">
        <f t="shared" si="6"/>
        <v>-8.5025999999999158E-4</v>
      </c>
      <c r="AP64" s="122">
        <f t="shared" si="7"/>
        <v>-2.4777900000000352E-3</v>
      </c>
      <c r="AQ64" s="88">
        <f t="shared" si="8"/>
        <v>-1.5383999999999953E-3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33.175936999999998</v>
      </c>
      <c r="Y65" s="190">
        <v>36.771050000000002</v>
      </c>
      <c r="Z65" s="190">
        <v>0.98299751999999996</v>
      </c>
      <c r="AA65" s="62">
        <v>0.98440525000000001</v>
      </c>
      <c r="AB65" s="62">
        <v>3.0380435000000001E-2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-3.3616120000000009</v>
      </c>
      <c r="AN65" s="122">
        <f t="shared" si="5"/>
        <v>-3.6182579999999973</v>
      </c>
      <c r="AO65" s="122">
        <f t="shared" si="6"/>
        <v>-5.3810900000000883E-3</v>
      </c>
      <c r="AP65" s="122">
        <f t="shared" si="7"/>
        <v>-7.3891699999999449E-3</v>
      </c>
      <c r="AQ65" s="88">
        <f t="shared" si="8"/>
        <v>3.5393420000000009E-3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33.740473999999999</v>
      </c>
      <c r="Y66" s="190">
        <v>37.433207000000003</v>
      </c>
      <c r="Z66" s="190">
        <v>0.98555753999999995</v>
      </c>
      <c r="AA66" s="62">
        <v>0.98628115000000005</v>
      </c>
      <c r="AB66" s="62">
        <v>2.4274528E-2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-6.2853399999999979</v>
      </c>
      <c r="AN66" s="122">
        <f t="shared" si="5"/>
        <v>-6.4434299999999993</v>
      </c>
      <c r="AO66" s="122">
        <f t="shared" si="6"/>
        <v>-8.0474799999999957E-3</v>
      </c>
      <c r="AP66" s="122">
        <f t="shared" si="7"/>
        <v>-9.4663499999999567E-3</v>
      </c>
      <c r="AQ66" s="88">
        <f t="shared" si="8"/>
        <v>1.2006762000000001E-2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29.633738000000001</v>
      </c>
      <c r="Y68" s="97">
        <v>33.121740000000003</v>
      </c>
      <c r="Z68" s="97">
        <v>0.96587301999999997</v>
      </c>
      <c r="AA68" s="60">
        <v>0.97556045000000002</v>
      </c>
      <c r="AB68" s="60">
        <v>6.2321260000000003E-2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0.87570799999999949</v>
      </c>
      <c r="AN68" s="96">
        <f t="shared" si="5"/>
        <v>0.94586900000000185</v>
      </c>
      <c r="AO68" s="96">
        <f t="shared" si="6"/>
        <v>3.4078199999999503E-3</v>
      </c>
      <c r="AP68" s="96">
        <f t="shared" si="7"/>
        <v>7.0534400000000774E-3</v>
      </c>
      <c r="AQ68" s="121">
        <f t="shared" si="8"/>
        <v>-7.954669999999997E-3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31.682555000000001</v>
      </c>
      <c r="Y69" s="190">
        <v>35.293301999999997</v>
      </c>
      <c r="Z69" s="190">
        <v>0.97857298999999998</v>
      </c>
      <c r="AA69" s="62">
        <v>0.98336382</v>
      </c>
      <c r="AB69" s="62">
        <v>4.479284E-2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-0.31197500000000034</v>
      </c>
      <c r="AN69" s="122">
        <f t="shared" si="5"/>
        <v>-0.26589100000000343</v>
      </c>
      <c r="AO69" s="122">
        <f t="shared" si="6"/>
        <v>2.288599999999974E-4</v>
      </c>
      <c r="AP69" s="122">
        <f t="shared" si="7"/>
        <v>8.3418999999995691E-4</v>
      </c>
      <c r="AQ69" s="88">
        <f t="shared" si="8"/>
        <v>-2.3150730000000008E-3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32.571193000000001</v>
      </c>
      <c r="Y70" s="190">
        <v>36.384864</v>
      </c>
      <c r="Z70" s="190">
        <v>0.98476076999999995</v>
      </c>
      <c r="AA70" s="62">
        <v>0.98707241999999995</v>
      </c>
      <c r="AB70" s="62">
        <v>3.2173205000000003E-2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-2.2694970000000012</v>
      </c>
      <c r="AN70" s="122">
        <f t="shared" si="5"/>
        <v>-2.671211999999997</v>
      </c>
      <c r="AO70" s="122">
        <f t="shared" si="6"/>
        <v>-3.9670400000000328E-3</v>
      </c>
      <c r="AP70" s="122">
        <f t="shared" si="7"/>
        <v>-4.7386400000000162E-3</v>
      </c>
      <c r="AQ70" s="88">
        <f t="shared" si="8"/>
        <v>2.7081420000000037E-3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33.087997000000001</v>
      </c>
      <c r="Y71" s="190">
        <v>37.006656</v>
      </c>
      <c r="Z71" s="190">
        <v>0.98728174999999996</v>
      </c>
      <c r="AA71" s="62">
        <v>0.98870888999999995</v>
      </c>
      <c r="AB71" s="62">
        <v>2.6189799999999999E-2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-4.9946559999999991</v>
      </c>
      <c r="AN71" s="122">
        <f t="shared" si="5"/>
        <v>-5.4093780000000038</v>
      </c>
      <c r="AO71" s="122">
        <f t="shared" si="6"/>
        <v>-6.4235900000000345E-3</v>
      </c>
      <c r="AP71" s="122">
        <f t="shared" si="7"/>
        <v>-7.0852400000001037E-3</v>
      </c>
      <c r="AQ71" s="88">
        <f t="shared" si="8"/>
        <v>1.1228912999999998E-2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30.715326999999998</v>
      </c>
      <c r="Y73" s="97">
        <v>34.519544000000003</v>
      </c>
      <c r="Z73" s="97">
        <v>0.96870405000000004</v>
      </c>
      <c r="AA73" s="60">
        <v>0.97557715</v>
      </c>
      <c r="AB73" s="60">
        <v>5.2834164000000003E-2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0.99350199999999944</v>
      </c>
      <c r="AN73" s="96">
        <f t="shared" si="5"/>
        <v>1.0783950000000004</v>
      </c>
      <c r="AO73" s="96">
        <f t="shared" si="6"/>
        <v>3.4182300000000776E-3</v>
      </c>
      <c r="AP73" s="96">
        <f t="shared" si="7"/>
        <v>5.8648100000000536E-3</v>
      </c>
      <c r="AQ73" s="121">
        <f t="shared" si="8"/>
        <v>-8.7932199999999974E-3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32.143965999999999</v>
      </c>
      <c r="Y74" s="190">
        <v>35.996690999999998</v>
      </c>
      <c r="Z74" s="190">
        <v>0.97942198000000003</v>
      </c>
      <c r="AA74" s="62">
        <v>0.98267419</v>
      </c>
      <c r="AB74" s="62">
        <v>3.7666970000000001E-2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-0.4151470000000046</v>
      </c>
      <c r="AN74" s="122">
        <f t="shared" si="5"/>
        <v>-0.27862700000000018</v>
      </c>
      <c r="AO74" s="122">
        <f t="shared" si="6"/>
        <v>2.8448000000003137E-4</v>
      </c>
      <c r="AP74" s="122">
        <f t="shared" si="7"/>
        <v>-8.0859999999960408E-5</v>
      </c>
      <c r="AQ74" s="88">
        <f t="shared" si="8"/>
        <v>-3.3845899999999998E-3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32.983184000000001</v>
      </c>
      <c r="Y75" s="190">
        <v>36.936307999999997</v>
      </c>
      <c r="Z75" s="190">
        <v>0.98508941000000005</v>
      </c>
      <c r="AA75" s="62">
        <v>0.98614942999999999</v>
      </c>
      <c r="AB75" s="62">
        <v>2.7513754000000001E-2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-3.2811099999999982</v>
      </c>
      <c r="AN75" s="122">
        <f t="shared" si="5"/>
        <v>-3.3223540000000042</v>
      </c>
      <c r="AO75" s="122">
        <f t="shared" si="6"/>
        <v>-3.7867499999999499E-3</v>
      </c>
      <c r="AP75" s="122">
        <f t="shared" si="7"/>
        <v>-5.6961199999999712E-3</v>
      </c>
      <c r="AQ75" s="88">
        <f t="shared" si="8"/>
        <v>3.6693280000000029E-3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33.232458000000001</v>
      </c>
      <c r="Y76" s="190">
        <v>37.302408</v>
      </c>
      <c r="Z76" s="190">
        <v>0.98740897999999999</v>
      </c>
      <c r="AA76" s="62">
        <v>0.98766423000000003</v>
      </c>
      <c r="AB76" s="62">
        <v>2.3113604999999999E-2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-5.0421109999999985</v>
      </c>
      <c r="AN76" s="122">
        <f t="shared" si="5"/>
        <v>-5.3941489999999988</v>
      </c>
      <c r="AO76" s="122">
        <f t="shared" si="6"/>
        <v>-6.268240000000036E-3</v>
      </c>
      <c r="AP76" s="122">
        <f t="shared" si="7"/>
        <v>-8.0962599999999663E-3</v>
      </c>
      <c r="AQ76" s="88">
        <f t="shared" si="8"/>
        <v>6.8700949999999997E-3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30.559788000000001</v>
      </c>
      <c r="Y78" s="97">
        <v>34.400761000000003</v>
      </c>
      <c r="Z78" s="97">
        <v>0.96989579999999997</v>
      </c>
      <c r="AA78" s="60">
        <v>0.97544149000000002</v>
      </c>
      <c r="AB78" s="60">
        <v>5.4706589999999999E-2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0.74374600000000157</v>
      </c>
      <c r="AN78" s="96">
        <f t="shared" si="5"/>
        <v>0.89418300000000528</v>
      </c>
      <c r="AO78" s="96">
        <f t="shared" si="6"/>
        <v>3.0819300000000105E-3</v>
      </c>
      <c r="AP78" s="96">
        <f t="shared" si="7"/>
        <v>4.0602900000000774E-3</v>
      </c>
      <c r="AQ78" s="121">
        <f t="shared" si="8"/>
        <v>-9.6168400000000015E-3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31.888711000000001</v>
      </c>
      <c r="Y79" s="190">
        <v>35.785463</v>
      </c>
      <c r="Z79" s="190">
        <v>0.97980202000000005</v>
      </c>
      <c r="AA79" s="62">
        <v>0.98216930999999996</v>
      </c>
      <c r="AB79" s="62">
        <v>4.0471130000000001E-2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-0.50013799999999975</v>
      </c>
      <c r="AN79" s="122">
        <f t="shared" si="5"/>
        <v>-0.41416900000000112</v>
      </c>
      <c r="AO79" s="122">
        <f t="shared" si="6"/>
        <v>2.098700000000564E-4</v>
      </c>
      <c r="AP79" s="122">
        <f t="shared" si="7"/>
        <v>-7.3743000000003889E-4</v>
      </c>
      <c r="AQ79" s="88">
        <f t="shared" si="8"/>
        <v>-2.3086599999999971E-3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32.954039000000002</v>
      </c>
      <c r="Y80" s="190">
        <v>36.859402000000003</v>
      </c>
      <c r="Z80" s="190">
        <v>0.98510067999999995</v>
      </c>
      <c r="AA80" s="62">
        <v>0.98608379999999995</v>
      </c>
      <c r="AB80" s="62">
        <v>3.1294956999999998E-2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-2.978550999999996</v>
      </c>
      <c r="AN80" s="122">
        <f t="shared" si="5"/>
        <v>-3.2784349999999947</v>
      </c>
      <c r="AO80" s="122">
        <f t="shared" si="6"/>
        <v>-3.9206600000000202E-3</v>
      </c>
      <c r="AP80" s="122">
        <f t="shared" si="7"/>
        <v>-5.8046400000000276E-3</v>
      </c>
      <c r="AQ80" s="88">
        <f t="shared" si="8"/>
        <v>3.9847789999999973E-3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33.256625</v>
      </c>
      <c r="Y81" s="190">
        <v>37.255727</v>
      </c>
      <c r="Z81" s="190">
        <v>0.98742766999999998</v>
      </c>
      <c r="AA81" s="62">
        <v>0.98764816</v>
      </c>
      <c r="AB81" s="62">
        <v>2.6806272999999999E-2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-5.4290950000000038</v>
      </c>
      <c r="AN81" s="122">
        <f t="shared" si="5"/>
        <v>-5.8529660000000021</v>
      </c>
      <c r="AO81" s="122">
        <f t="shared" si="6"/>
        <v>-6.2917300000000509E-3</v>
      </c>
      <c r="AP81" s="122">
        <f t="shared" si="7"/>
        <v>-8.1631399999999577E-3</v>
      </c>
      <c r="AQ81" s="88">
        <f t="shared" si="8"/>
        <v>1.1209622999999998E-2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31.138058000000001</v>
      </c>
      <c r="Y83" s="97">
        <v>34.670945000000003</v>
      </c>
      <c r="Z83" s="97">
        <v>0.97088483999999997</v>
      </c>
      <c r="AA83" s="60">
        <v>0.97560970999999996</v>
      </c>
      <c r="AB83" s="60">
        <v>5.0491574999999997E-2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0.63342600000000004</v>
      </c>
      <c r="AN83" s="96">
        <f t="shared" si="5"/>
        <v>0.81590600000000535</v>
      </c>
      <c r="AO83" s="96">
        <f t="shared" si="6"/>
        <v>3.1446199999999314E-3</v>
      </c>
      <c r="AP83" s="96">
        <f t="shared" si="7"/>
        <v>2.2382199999999575E-3</v>
      </c>
      <c r="AQ83" s="121">
        <f t="shared" si="8"/>
        <v>-9.0827090000000013E-3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32.691507999999999</v>
      </c>
      <c r="Y84" s="190">
        <v>36.236792000000001</v>
      </c>
      <c r="Z84" s="190">
        <v>0.98048899</v>
      </c>
      <c r="AA84" s="62">
        <v>0.98250992000000004</v>
      </c>
      <c r="AB84" s="62">
        <v>3.6598026999999998E-2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-0.53409500000000065</v>
      </c>
      <c r="AN84" s="122">
        <f t="shared" si="5"/>
        <v>-0.48652099999999621</v>
      </c>
      <c r="AO84" s="122">
        <f t="shared" si="6"/>
        <v>3.418200000000482E-4</v>
      </c>
      <c r="AP84" s="122">
        <f t="shared" si="7"/>
        <v>-1.5656099999999951E-3</v>
      </c>
      <c r="AQ84" s="88">
        <f t="shared" si="8"/>
        <v>-2.7784070000000036E-3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33.830241000000001</v>
      </c>
      <c r="Y85" s="190">
        <v>37.339376000000001</v>
      </c>
      <c r="Z85" s="190">
        <v>0.98545400999999999</v>
      </c>
      <c r="AA85" s="62">
        <v>0.98634611999999999</v>
      </c>
      <c r="AB85" s="62">
        <v>2.8124016000000002E-2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-2.4687229999999971</v>
      </c>
      <c r="AN85" s="122">
        <f t="shared" si="5"/>
        <v>-3.0789289999999951</v>
      </c>
      <c r="AO85" s="122">
        <f t="shared" si="6"/>
        <v>-3.4187900000000049E-3</v>
      </c>
      <c r="AP85" s="122">
        <f t="shared" si="7"/>
        <v>-5.848660000000061E-3</v>
      </c>
      <c r="AQ85" s="88">
        <f t="shared" si="8"/>
        <v>2.3324310000000029E-3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34.208677000000002</v>
      </c>
      <c r="Y86" s="190">
        <v>37.820824999999999</v>
      </c>
      <c r="Z86" s="190">
        <v>0.98773279999999997</v>
      </c>
      <c r="AA86" s="62">
        <v>0.98793578000000004</v>
      </c>
      <c r="AB86" s="62">
        <v>2.3636580000000001E-2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-4.9706569999999957</v>
      </c>
      <c r="AN86" s="122">
        <f t="shared" si="5"/>
        <v>-5.6513279999999995</v>
      </c>
      <c r="AO86" s="122">
        <f t="shared" si="6"/>
        <v>-5.8327799999999819E-3</v>
      </c>
      <c r="AP86" s="122">
        <f t="shared" si="7"/>
        <v>-7.8349099999999172E-3</v>
      </c>
      <c r="AQ86" s="88">
        <f t="shared" si="8"/>
        <v>9.7096540000000016E-3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30.968433999999998</v>
      </c>
      <c r="Y88" s="97">
        <v>34.689534999999999</v>
      </c>
      <c r="Z88" s="97">
        <v>0.97151385000000001</v>
      </c>
      <c r="AA88" s="60">
        <v>0.97595635999999997</v>
      </c>
      <c r="AB88" s="60">
        <v>4.8819550000000003E-2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0.46198099999999798</v>
      </c>
      <c r="AN88" s="96">
        <f t="shared" si="5"/>
        <v>0.62383599999999717</v>
      </c>
      <c r="AO88" s="96">
        <f t="shared" si="6"/>
        <v>3.3815600000000057E-3</v>
      </c>
      <c r="AP88" s="96">
        <f t="shared" si="7"/>
        <v>2.478959999999919E-3</v>
      </c>
      <c r="AQ88" s="121">
        <f t="shared" si="8"/>
        <v>-9.0714869999999961E-3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32.627077999999997</v>
      </c>
      <c r="Y89" s="190">
        <v>36.354118</v>
      </c>
      <c r="Z89" s="190">
        <v>0.98108158999999995</v>
      </c>
      <c r="AA89" s="62">
        <v>0.98254940999999996</v>
      </c>
      <c r="AB89" s="62">
        <v>3.4685399999999998E-2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-0.85074700000000547</v>
      </c>
      <c r="AN89" s="122">
        <f t="shared" si="5"/>
        <v>-0.59328599999999909</v>
      </c>
      <c r="AO89" s="122">
        <f t="shared" si="6"/>
        <v>4.6048999999992457E-4</v>
      </c>
      <c r="AP89" s="122">
        <f t="shared" si="7"/>
        <v>-2.0609700000000508E-3</v>
      </c>
      <c r="AQ89" s="88">
        <f t="shared" si="8"/>
        <v>-3.0553040000000017E-3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33.749549999999999</v>
      </c>
      <c r="Y90" s="190">
        <v>37.498458999999997</v>
      </c>
      <c r="Z90" s="190">
        <v>0.98595447999999997</v>
      </c>
      <c r="AA90" s="62">
        <v>0.98653886999999996</v>
      </c>
      <c r="AB90" s="62">
        <v>2.5765206999999998E-2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-2.9995040000000017</v>
      </c>
      <c r="AN90" s="122">
        <f t="shared" si="5"/>
        <v>-3.2280420000000021</v>
      </c>
      <c r="AO90" s="122">
        <f t="shared" si="6"/>
        <v>-3.1237400000000415E-3</v>
      </c>
      <c r="AP90" s="122">
        <f t="shared" si="7"/>
        <v>-5.6508800000000248E-3</v>
      </c>
      <c r="AQ90" s="88">
        <f t="shared" si="8"/>
        <v>1.9798709999999976E-3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34.263123</v>
      </c>
      <c r="Y91" s="190">
        <v>38.103200999999999</v>
      </c>
      <c r="Z91" s="190">
        <v>0.98816786999999995</v>
      </c>
      <c r="AA91" s="62">
        <v>0.98800931999999997</v>
      </c>
      <c r="AB91" s="62">
        <v>2.0578560999999999E-2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-5.4102060000000023</v>
      </c>
      <c r="AN91" s="122">
        <f t="shared" si="5"/>
        <v>-5.748344000000003</v>
      </c>
      <c r="AO91" s="122">
        <f t="shared" si="6"/>
        <v>-5.6054700000000013E-3</v>
      </c>
      <c r="AP91" s="122">
        <f t="shared" si="7"/>
        <v>-7.8481599999999929E-3</v>
      </c>
      <c r="AQ91" s="88">
        <f t="shared" si="8"/>
        <v>7.907703999999998E-3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30.900821000000001</v>
      </c>
      <c r="Y93" s="97">
        <v>34.746471</v>
      </c>
      <c r="Z93" s="97">
        <v>0.97197758999999995</v>
      </c>
      <c r="AA93" s="60">
        <v>0.97647072000000001</v>
      </c>
      <c r="AB93" s="60">
        <v>4.9987085000000001E-2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0.2085700000000017</v>
      </c>
      <c r="AN93" s="96">
        <f t="shared" si="5"/>
        <v>0.36977999999999867</v>
      </c>
      <c r="AO93" s="96">
        <f t="shared" si="6"/>
        <v>3.5522599999999738E-3</v>
      </c>
      <c r="AP93" s="96">
        <f t="shared" si="7"/>
        <v>2.0254899999999632E-3</v>
      </c>
      <c r="AQ93" s="121">
        <f t="shared" si="8"/>
        <v>-9.0880019999999978E-3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32.528080000000003</v>
      </c>
      <c r="Y94" s="190">
        <v>36.359171000000003</v>
      </c>
      <c r="Z94" s="190">
        <v>0.98141871999999997</v>
      </c>
      <c r="AA94" s="62">
        <v>0.98399378000000004</v>
      </c>
      <c r="AB94" s="62">
        <v>3.5767693000000003E-2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-0.99468299999999488</v>
      </c>
      <c r="AN94" s="122">
        <f t="shared" si="5"/>
        <v>-0.80946899999999999</v>
      </c>
      <c r="AO94" s="122">
        <f t="shared" si="6"/>
        <v>7.1262999999999188E-4</v>
      </c>
      <c r="AP94" s="122">
        <f t="shared" si="7"/>
        <v>-1.1115299999999717E-3</v>
      </c>
      <c r="AQ94" s="88">
        <f t="shared" si="8"/>
        <v>-2.5152749999999974E-3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33.495043000000003</v>
      </c>
      <c r="Y95" s="190">
        <v>37.343778999999998</v>
      </c>
      <c r="Z95" s="190">
        <v>0.98631581000000002</v>
      </c>
      <c r="AA95" s="62">
        <v>0.98766748999999998</v>
      </c>
      <c r="AB95" s="62">
        <v>2.6894498999999999E-2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-3.2483590000000007</v>
      </c>
      <c r="AN95" s="122">
        <f t="shared" si="5"/>
        <v>-3.3266740000000041</v>
      </c>
      <c r="AO95" s="122">
        <f t="shared" si="6"/>
        <v>-2.9120599999999941E-3</v>
      </c>
      <c r="AP95" s="122">
        <f t="shared" si="7"/>
        <v>-4.6924999999999883E-3</v>
      </c>
      <c r="AQ95" s="88">
        <f t="shared" si="8"/>
        <v>2.5082899999999998E-3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34.088251</v>
      </c>
      <c r="Y96" s="190">
        <v>38.005671999999997</v>
      </c>
      <c r="Z96" s="190">
        <v>0.98848886000000002</v>
      </c>
      <c r="AA96" s="62">
        <v>0.98912118999999998</v>
      </c>
      <c r="AB96" s="62">
        <v>2.1225049999999999E-2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-5.8974570000000028</v>
      </c>
      <c r="AN96" s="122">
        <f t="shared" si="5"/>
        <v>-6.1105230000000006</v>
      </c>
      <c r="AO96" s="122">
        <f t="shared" si="6"/>
        <v>-5.3888399999999503E-3</v>
      </c>
      <c r="AP96" s="122">
        <f t="shared" si="7"/>
        <v>-6.8154300000000667E-3</v>
      </c>
      <c r="AQ96" s="88">
        <f t="shared" si="8"/>
        <v>8.9376169999999984E-3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31.334703999999999</v>
      </c>
      <c r="Y98" s="97">
        <v>35.262312000000001</v>
      </c>
      <c r="Z98" s="97">
        <v>0.97100302000000005</v>
      </c>
      <c r="AA98" s="60">
        <v>0.97713799000000001</v>
      </c>
      <c r="AB98" s="60">
        <v>4.8582016999999998E-2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0.13460699999999903</v>
      </c>
      <c r="AN98" s="96">
        <f t="shared" si="15"/>
        <v>0.22958700000000221</v>
      </c>
      <c r="AO98" s="96">
        <f t="shared" si="16"/>
        <v>3.3150200000000574E-3</v>
      </c>
      <c r="AP98" s="96">
        <f t="shared" si="17"/>
        <v>2.1800200000000602E-3</v>
      </c>
      <c r="AQ98" s="121">
        <f t="shared" si="18"/>
        <v>-7.8035930000000045E-3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33.122611999999997</v>
      </c>
      <c r="Y99" s="190">
        <v>36.911695999999999</v>
      </c>
      <c r="Z99" s="190">
        <v>0.98105602999999997</v>
      </c>
      <c r="AA99" s="62">
        <v>0.98422854000000004</v>
      </c>
      <c r="AB99" s="62">
        <v>3.3861477000000001E-2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-1.1041180000000068</v>
      </c>
      <c r="AN99" s="122">
        <f t="shared" si="15"/>
        <v>-0.9047300000000007</v>
      </c>
      <c r="AO99" s="122">
        <f t="shared" si="16"/>
        <v>5.8207999999992932E-4</v>
      </c>
      <c r="AP99" s="122">
        <f t="shared" si="17"/>
        <v>-1.1265699999999379E-3</v>
      </c>
      <c r="AQ99" s="88">
        <f t="shared" si="18"/>
        <v>-1.7105079999999995E-3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34.081307000000002</v>
      </c>
      <c r="Y100" s="190">
        <v>37.815126999999997</v>
      </c>
      <c r="Z100" s="190">
        <v>0.98615461000000004</v>
      </c>
      <c r="AA100" s="62">
        <v>0.98785051999999995</v>
      </c>
      <c r="AB100" s="62">
        <v>2.5766710000000002E-2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-3.2359469999999959</v>
      </c>
      <c r="AN100" s="122">
        <f t="shared" si="15"/>
        <v>-3.2273530000000008</v>
      </c>
      <c r="AO100" s="122">
        <f t="shared" si="16"/>
        <v>-3.1456899999999788E-3</v>
      </c>
      <c r="AP100" s="122">
        <f t="shared" si="17"/>
        <v>-4.6248700000000031E-3</v>
      </c>
      <c r="AQ100" s="88">
        <f t="shared" si="18"/>
        <v>2.9474600000000024E-3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34.668731999999999</v>
      </c>
      <c r="Y101" s="190">
        <v>38.509087999999998</v>
      </c>
      <c r="Z101" s="190">
        <v>0.98837438</v>
      </c>
      <c r="AA101" s="62">
        <v>0.98942761999999995</v>
      </c>
      <c r="AB101" s="62">
        <v>2.0578941E-2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-6.0949050000000042</v>
      </c>
      <c r="AN101" s="122">
        <f t="shared" si="15"/>
        <v>-6.1207740000000044</v>
      </c>
      <c r="AO101" s="122">
        <f t="shared" si="16"/>
        <v>-5.634130000000015E-3</v>
      </c>
      <c r="AP101" s="122">
        <f t="shared" si="17"/>
        <v>-6.636830000000038E-3</v>
      </c>
      <c r="AQ101" s="88">
        <f t="shared" si="18"/>
        <v>9.0784170000000001E-3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31.47175</v>
      </c>
      <c r="Y103" s="97">
        <v>35.132970999999998</v>
      </c>
      <c r="Z103" s="97">
        <v>0.9702267</v>
      </c>
      <c r="AA103" s="60">
        <v>0.98014089999999998</v>
      </c>
      <c r="AB103" s="60">
        <v>6.6071370000000004E-2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0.58007600000000181</v>
      </c>
      <c r="AN103" s="96">
        <f t="shared" si="15"/>
        <v>0.84612500000000068</v>
      </c>
      <c r="AO103" s="96">
        <f t="shared" si="16"/>
        <v>1.4611599999999614E-3</v>
      </c>
      <c r="AP103" s="96">
        <f t="shared" si="17"/>
        <v>2.9629099999999298E-3</v>
      </c>
      <c r="AQ103" s="121">
        <f t="shared" si="18"/>
        <v>-5.5297200000000019E-3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32.987974999999999</v>
      </c>
      <c r="Y104" s="190">
        <v>36.784447</v>
      </c>
      <c r="Z104" s="190">
        <v>0.98081839999999998</v>
      </c>
      <c r="AA104" s="62">
        <v>0.98626104000000003</v>
      </c>
      <c r="AB104" s="62">
        <v>4.6621879999999997E-2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-0.52591300000000274</v>
      </c>
      <c r="AN104" s="122">
        <f t="shared" si="15"/>
        <v>-0.14773199999999775</v>
      </c>
      <c r="AO104" s="122">
        <f t="shared" si="16"/>
        <v>-2.1601000000004422E-4</v>
      </c>
      <c r="AP104" s="122">
        <f t="shared" si="17"/>
        <v>-1.9419999999992221E-4</v>
      </c>
      <c r="AQ104" s="88">
        <f t="shared" si="18"/>
        <v>-1.8237550000000033E-3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33.925440000000002</v>
      </c>
      <c r="Y105" s="190">
        <v>37.937584000000001</v>
      </c>
      <c r="Z105" s="190">
        <v>0.98636332999999998</v>
      </c>
      <c r="AA105" s="62">
        <v>0.98997133999999998</v>
      </c>
      <c r="AB105" s="62">
        <v>3.4211147999999997E-2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-2.103549000000001</v>
      </c>
      <c r="AN105" s="122">
        <f t="shared" si="15"/>
        <v>-2.2514779999999988</v>
      </c>
      <c r="AO105" s="122">
        <f t="shared" si="16"/>
        <v>-3.3895800000000031E-3</v>
      </c>
      <c r="AP105" s="122">
        <f t="shared" si="17"/>
        <v>-3.1484000000000512E-3</v>
      </c>
      <c r="AQ105" s="88">
        <f t="shared" si="18"/>
        <v>3.1946719999999956E-3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34.487188000000003</v>
      </c>
      <c r="Y106" s="190">
        <v>38.599021999999998</v>
      </c>
      <c r="Z106" s="190">
        <v>0.98851633000000005</v>
      </c>
      <c r="AA106" s="62">
        <v>0.99145247999999997</v>
      </c>
      <c r="AB106" s="62">
        <v>2.7434106999999999E-2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-4.6013299999999973</v>
      </c>
      <c r="AN106" s="122">
        <f t="shared" si="15"/>
        <v>-4.8328480000000056</v>
      </c>
      <c r="AO106" s="122">
        <f t="shared" si="16"/>
        <v>-5.3307299999999502E-3</v>
      </c>
      <c r="AP106" s="122">
        <f t="shared" si="17"/>
        <v>-4.7750300000000134E-3</v>
      </c>
      <c r="AQ106" s="88">
        <f t="shared" si="18"/>
        <v>1.0686050999999998E-2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32.234121999999999</v>
      </c>
      <c r="Y108" s="97">
        <v>35.925778999999999</v>
      </c>
      <c r="Z108" s="97">
        <v>0.97218453000000005</v>
      </c>
      <c r="AA108" s="60">
        <v>0.98129873999999995</v>
      </c>
      <c r="AB108" s="60">
        <v>5.7201389999999998E-2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0.94393600000000077</v>
      </c>
      <c r="AN108" s="96">
        <f t="shared" si="15"/>
        <v>1.116659999999996</v>
      </c>
      <c r="AO108" s="96">
        <f t="shared" si="16"/>
        <v>1.4900100000000416E-3</v>
      </c>
      <c r="AP108" s="96">
        <f t="shared" si="17"/>
        <v>3.0178399999999383E-3</v>
      </c>
      <c r="AQ108" s="121">
        <f t="shared" si="18"/>
        <v>-5.7413900000000059E-3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33.791159</v>
      </c>
      <c r="Y109" s="190">
        <v>37.515180000000001</v>
      </c>
      <c r="Z109" s="190">
        <v>0.98158159</v>
      </c>
      <c r="AA109" s="62">
        <v>0.98681081999999998</v>
      </c>
      <c r="AB109" s="62">
        <v>4.1345859999999998E-2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-0.18157599999999974</v>
      </c>
      <c r="AN109" s="122">
        <f t="shared" si="15"/>
        <v>0.21465700000000254</v>
      </c>
      <c r="AO109" s="122">
        <f t="shared" si="16"/>
        <v>4.4930000000054093E-5</v>
      </c>
      <c r="AP109" s="122">
        <f t="shared" si="17"/>
        <v>1.4358000000003202E-4</v>
      </c>
      <c r="AQ109" s="88">
        <f t="shared" si="18"/>
        <v>-1.9631500000000038E-3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34.974946000000003</v>
      </c>
      <c r="Y110" s="190">
        <v>38.791789999999999</v>
      </c>
      <c r="Z110" s="190">
        <v>0.98684841999999995</v>
      </c>
      <c r="AA110" s="62">
        <v>0.99032792999999997</v>
      </c>
      <c r="AB110" s="62">
        <v>3.0891847E-2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-2.3744799999999984</v>
      </c>
      <c r="AN110" s="122">
        <f t="shared" si="15"/>
        <v>-2.3283210000000025</v>
      </c>
      <c r="AO110" s="122">
        <f t="shared" si="16"/>
        <v>-2.8384399999999976E-3</v>
      </c>
      <c r="AP110" s="122">
        <f t="shared" si="17"/>
        <v>-2.8212600000000476E-3</v>
      </c>
      <c r="AQ110" s="88">
        <f t="shared" si="18"/>
        <v>4.4802269999999998E-3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35.540520999999998</v>
      </c>
      <c r="Y111" s="190">
        <v>39.433692999999998</v>
      </c>
      <c r="Z111" s="190">
        <v>0.98893750999999996</v>
      </c>
      <c r="AA111" s="62">
        <v>0.99184441999999995</v>
      </c>
      <c r="AB111" s="62">
        <v>2.5075149000000001E-2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-3.6634689999999992</v>
      </c>
      <c r="AN111" s="122">
        <f t="shared" si="15"/>
        <v>-4.2061470000000014</v>
      </c>
      <c r="AO111" s="122">
        <f t="shared" si="16"/>
        <v>-4.905539999999986E-3</v>
      </c>
      <c r="AP111" s="122">
        <f t="shared" si="17"/>
        <v>-4.2676100000000883E-3</v>
      </c>
      <c r="AQ111" s="88">
        <f t="shared" si="18"/>
        <v>6.4540680000000003E-3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31.886835999999999</v>
      </c>
      <c r="Y113" s="97">
        <v>35.749206000000001</v>
      </c>
      <c r="Z113" s="97">
        <v>0.97292336000000001</v>
      </c>
      <c r="AA113" s="60">
        <v>0.98172106999999997</v>
      </c>
      <c r="AB113" s="60">
        <v>6.0627176999999997E-2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0.57945699999999789</v>
      </c>
      <c r="AN113" s="96">
        <f t="shared" si="15"/>
        <v>0.87281699999999773</v>
      </c>
      <c r="AO113" s="96">
        <f t="shared" si="16"/>
        <v>1.4021699999999804E-3</v>
      </c>
      <c r="AP113" s="96">
        <f t="shared" si="17"/>
        <v>2.8143600000000157E-3</v>
      </c>
      <c r="AQ113" s="121">
        <f t="shared" si="18"/>
        <v>-5.0348930000000056E-3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33.196869</v>
      </c>
      <c r="Y114" s="190">
        <v>37.140948000000002</v>
      </c>
      <c r="Z114" s="190">
        <v>0.98168995999999997</v>
      </c>
      <c r="AA114" s="62">
        <v>0.98645128999999998</v>
      </c>
      <c r="AB114" s="62">
        <v>4.5824773999999999E-2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-0.31392000000000309</v>
      </c>
      <c r="AN114" s="122">
        <f t="shared" si="15"/>
        <v>-8.9723999999996806E-2</v>
      </c>
      <c r="AO114" s="122">
        <f t="shared" si="16"/>
        <v>-1.9279999999999298E-4</v>
      </c>
      <c r="AP114" s="122">
        <f t="shared" si="17"/>
        <v>-1.0591999999998158E-4</v>
      </c>
      <c r="AQ114" s="88">
        <f t="shared" si="18"/>
        <v>-8.0910600000000388E-4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34.504809999999999</v>
      </c>
      <c r="Y115" s="190">
        <v>38.492085000000003</v>
      </c>
      <c r="Z115" s="190">
        <v>0.98679424999999998</v>
      </c>
      <c r="AA115" s="62">
        <v>0.99030733000000004</v>
      </c>
      <c r="AB115" s="62">
        <v>3.6276455999999999E-2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-2.0376070000000013</v>
      </c>
      <c r="AN115" s="122">
        <f t="shared" si="15"/>
        <v>-2.1839879999999994</v>
      </c>
      <c r="AO115" s="122">
        <f t="shared" si="16"/>
        <v>-2.8424500000000519E-3</v>
      </c>
      <c r="AP115" s="122">
        <f t="shared" si="17"/>
        <v>-2.8664899999999438E-3</v>
      </c>
      <c r="AQ115" s="88">
        <f t="shared" si="18"/>
        <v>5.4666659999999985E-3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35.063631000000001</v>
      </c>
      <c r="Y116" s="190">
        <v>39.118124999999999</v>
      </c>
      <c r="Z116" s="190">
        <v>0.98890365999999996</v>
      </c>
      <c r="AA116" s="62">
        <v>0.99177296000000004</v>
      </c>
      <c r="AB116" s="62">
        <v>3.0759235999999999E-2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-4.4907339999999962</v>
      </c>
      <c r="AN116" s="122">
        <f t="shared" si="15"/>
        <v>-4.7313669999999988</v>
      </c>
      <c r="AO116" s="122">
        <f t="shared" si="16"/>
        <v>-4.9742300000000794E-3</v>
      </c>
      <c r="AP116" s="122">
        <f t="shared" si="17"/>
        <v>-4.4993999999999312E-3</v>
      </c>
      <c r="AQ116" s="88">
        <f t="shared" si="18"/>
        <v>1.4190299999999999E-2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32.450843999999996</v>
      </c>
      <c r="Y118" s="97">
        <v>36.125228999999997</v>
      </c>
      <c r="Z118" s="97">
        <v>0.97359611000000001</v>
      </c>
      <c r="AA118" s="60">
        <v>0.98237752</v>
      </c>
      <c r="AB118" s="60">
        <v>5.3987822999999997E-2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0.47375099999999648</v>
      </c>
      <c r="AN118" s="96">
        <f t="shared" si="15"/>
        <v>0.74552199999999402</v>
      </c>
      <c r="AO118" s="96">
        <f t="shared" si="16"/>
        <v>1.2862999999999625E-3</v>
      </c>
      <c r="AP118" s="96">
        <f t="shared" si="17"/>
        <v>2.3894899999999941E-3</v>
      </c>
      <c r="AQ118" s="121">
        <f t="shared" si="18"/>
        <v>-4.5659400000000044E-3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33.842149999999997</v>
      </c>
      <c r="Y119" s="190">
        <v>37.571224999999998</v>
      </c>
      <c r="Z119" s="190">
        <v>0.98192897999999995</v>
      </c>
      <c r="AA119" s="62">
        <v>0.98724725000000002</v>
      </c>
      <c r="AB119" s="62">
        <v>3.9883255999999999E-2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-0.16096300000000241</v>
      </c>
      <c r="AN119" s="122">
        <f t="shared" si="15"/>
        <v>-1.2827999999998951E-2</v>
      </c>
      <c r="AO119" s="122">
        <f t="shared" si="16"/>
        <v>-1.7893000000002157E-4</v>
      </c>
      <c r="AP119" s="122">
        <f t="shared" si="17"/>
        <v>2.5152999999999981E-4</v>
      </c>
      <c r="AQ119" s="88">
        <f t="shared" si="18"/>
        <v>-1.4694840000000001E-3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35.262903000000001</v>
      </c>
      <c r="Y120" s="190">
        <v>38.988432000000003</v>
      </c>
      <c r="Z120" s="190">
        <v>0.98674642000000001</v>
      </c>
      <c r="AA120" s="62">
        <v>0.99084492999999996</v>
      </c>
      <c r="AB120" s="62">
        <v>3.0782070000000002E-2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-1.6307079999999985</v>
      </c>
      <c r="AN120" s="122">
        <f t="shared" si="15"/>
        <v>-1.8797149999999974</v>
      </c>
      <c r="AO120" s="122">
        <f t="shared" si="16"/>
        <v>-2.7350800000000008E-3</v>
      </c>
      <c r="AP120" s="122">
        <f t="shared" si="17"/>
        <v>-2.5041900000000172E-3</v>
      </c>
      <c r="AQ120" s="88">
        <f t="shared" si="18"/>
        <v>3.5952300000000013E-3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35.909252000000002</v>
      </c>
      <c r="Y121" s="190">
        <v>39.688158000000001</v>
      </c>
      <c r="Z121" s="190">
        <v>0.98880573000000005</v>
      </c>
      <c r="AA121" s="62">
        <v>0.99219237999999998</v>
      </c>
      <c r="AB121" s="62">
        <v>2.5717826999999999E-2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-4.3191169999999985</v>
      </c>
      <c r="AN121" s="122">
        <f t="shared" si="15"/>
        <v>-4.6298949999999977</v>
      </c>
      <c r="AO121" s="122">
        <f t="shared" si="16"/>
        <v>-4.9556999999998963E-3</v>
      </c>
      <c r="AP121" s="122">
        <f t="shared" si="17"/>
        <v>-4.0606800000000387E-3</v>
      </c>
      <c r="AQ121" s="88">
        <f t="shared" si="18"/>
        <v>1.1676035999999999E-2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32.593575000000001</v>
      </c>
      <c r="Y123" s="97">
        <v>36.355490000000003</v>
      </c>
      <c r="Z123" s="97">
        <v>0.97400984999999995</v>
      </c>
      <c r="AA123" s="60">
        <v>0.98238760000000003</v>
      </c>
      <c r="AB123" s="60">
        <v>5.2300785000000002E-2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0.53209600000000279</v>
      </c>
      <c r="AN123" s="96">
        <f t="shared" si="15"/>
        <v>0.66879400000000544</v>
      </c>
      <c r="AO123" s="96">
        <f t="shared" si="16"/>
        <v>1.475039999999983E-3</v>
      </c>
      <c r="AP123" s="96">
        <f t="shared" si="17"/>
        <v>2.7015000000000233E-3</v>
      </c>
      <c r="AQ123" s="121">
        <f t="shared" si="18"/>
        <v>-4.7888489999999978E-3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34.202688999999999</v>
      </c>
      <c r="Y124" s="190">
        <v>37.957213000000003</v>
      </c>
      <c r="Z124" s="190">
        <v>0.98243701000000005</v>
      </c>
      <c r="AA124" s="62">
        <v>0.98724352000000004</v>
      </c>
      <c r="AB124" s="62">
        <v>3.7893610000000001E-2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-6.9298000000003412E-2</v>
      </c>
      <c r="AN124" s="122">
        <f t="shared" si="15"/>
        <v>0.23418000000000205</v>
      </c>
      <c r="AO124" s="122">
        <f t="shared" si="16"/>
        <v>1.7601000000000422E-4</v>
      </c>
      <c r="AP124" s="122">
        <f t="shared" si="17"/>
        <v>1.1777000000001703E-4</v>
      </c>
      <c r="AQ124" s="88">
        <f t="shared" si="18"/>
        <v>-2.2498129999999963E-3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35.666134</v>
      </c>
      <c r="Y125" s="190">
        <v>39.379116000000003</v>
      </c>
      <c r="Z125" s="190">
        <v>0.98720604000000001</v>
      </c>
      <c r="AA125" s="62">
        <v>0.99104300999999995</v>
      </c>
      <c r="AB125" s="62">
        <v>2.7937533000000001E-2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-1.9408129999999986</v>
      </c>
      <c r="AN125" s="122">
        <f t="shared" si="15"/>
        <v>-1.9275239999999982</v>
      </c>
      <c r="AO125" s="122">
        <f t="shared" si="16"/>
        <v>-2.4621700000000413E-3</v>
      </c>
      <c r="AP125" s="122">
        <f t="shared" si="17"/>
        <v>-2.323170000000041E-3</v>
      </c>
      <c r="AQ125" s="88">
        <f t="shared" si="18"/>
        <v>3.3384169999999998E-3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36.434196999999998</v>
      </c>
      <c r="Y126" s="190">
        <v>40.143757999999998</v>
      </c>
      <c r="Z126" s="190">
        <v>0.98925675999999996</v>
      </c>
      <c r="AA126" s="62">
        <v>0.99243557000000004</v>
      </c>
      <c r="AB126" s="62">
        <v>2.2422795999999998E-2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-4.5962999999999994</v>
      </c>
      <c r="AN126" s="122">
        <f t="shared" si="15"/>
        <v>-4.7133670000000052</v>
      </c>
      <c r="AO126" s="122">
        <f t="shared" si="16"/>
        <v>-4.6444500000000222E-3</v>
      </c>
      <c r="AP126" s="122">
        <f t="shared" si="17"/>
        <v>-3.9671799999999591E-3</v>
      </c>
      <c r="AQ126" s="88">
        <f t="shared" si="18"/>
        <v>9.5468159999999979E-3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32.471063999999998</v>
      </c>
      <c r="Y128" s="97">
        <v>36.334690999999999</v>
      </c>
      <c r="Z128" s="97">
        <v>0.97444684000000004</v>
      </c>
      <c r="AA128" s="60">
        <v>0.98225799999999996</v>
      </c>
      <c r="AB128" s="60">
        <v>5.3325160000000003E-2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0.43950299999999487</v>
      </c>
      <c r="AN128" s="96">
        <f t="shared" si="15"/>
        <v>0.48209599999999853</v>
      </c>
      <c r="AO128" s="96">
        <f t="shared" si="16"/>
        <v>1.4016199999999923E-3</v>
      </c>
      <c r="AP128" s="96">
        <f t="shared" si="17"/>
        <v>2.6733899999999977E-3</v>
      </c>
      <c r="AQ128" s="121">
        <f t="shared" si="18"/>
        <v>-3.9049329999999993E-3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33.936120000000003</v>
      </c>
      <c r="Y129" s="190">
        <v>37.759447000000002</v>
      </c>
      <c r="Z129" s="190">
        <v>0.98277504000000004</v>
      </c>
      <c r="AA129" s="62">
        <v>0.98776006000000005</v>
      </c>
      <c r="AB129" s="62">
        <v>3.8038700000000002E-2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-0.16358400000000017</v>
      </c>
      <c r="AN129" s="122">
        <f t="shared" si="15"/>
        <v>-7.5109999999995125E-2</v>
      </c>
      <c r="AO129" s="122">
        <f t="shared" si="16"/>
        <v>2.4537000000002251E-4</v>
      </c>
      <c r="AP129" s="122">
        <f t="shared" si="17"/>
        <v>8.3614000000009625E-4</v>
      </c>
      <c r="AQ129" s="88">
        <f t="shared" si="18"/>
        <v>-1.5246579999999982E-3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35.090249999999997</v>
      </c>
      <c r="Y130" s="190">
        <v>38.782103999999997</v>
      </c>
      <c r="Z130" s="190">
        <v>0.98755071999999999</v>
      </c>
      <c r="AA130" s="62">
        <v>0.99100052999999999</v>
      </c>
      <c r="AB130" s="62">
        <v>2.7481545E-2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-2.3727680000000007</v>
      </c>
      <c r="AN130" s="122">
        <f t="shared" si="15"/>
        <v>-2.3482390000000066</v>
      </c>
      <c r="AO130" s="122">
        <f t="shared" si="16"/>
        <v>-2.3724699999999599E-3</v>
      </c>
      <c r="AP130" s="122">
        <f t="shared" si="17"/>
        <v>-2.2508100000000475E-3</v>
      </c>
      <c r="AQ130" s="88">
        <f t="shared" si="18"/>
        <v>4.0188380000000003E-3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35.937156000000002</v>
      </c>
      <c r="Y131" s="190">
        <v>39.566609</v>
      </c>
      <c r="Z131" s="190">
        <v>0.98959472000000004</v>
      </c>
      <c r="AA131" s="62">
        <v>0.99235209999999996</v>
      </c>
      <c r="AB131" s="62">
        <v>2.189864E-2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-5.3722119999999975</v>
      </c>
      <c r="AN131" s="122">
        <f t="shared" si="15"/>
        <v>-5.4332180000000037</v>
      </c>
      <c r="AO131" s="122">
        <f t="shared" si="16"/>
        <v>-4.4527999999999235E-3</v>
      </c>
      <c r="AP131" s="122">
        <f t="shared" si="17"/>
        <v>-4.0346500000000285E-3</v>
      </c>
      <c r="AQ131" s="88">
        <f t="shared" si="18"/>
        <v>9.9693830000000001E-3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32.840184999999998</v>
      </c>
      <c r="Y133" s="97">
        <v>36.739167000000002</v>
      </c>
      <c r="Z133" s="97">
        <v>0.97313850999999996</v>
      </c>
      <c r="AA133" s="60">
        <v>0.98190467000000003</v>
      </c>
      <c r="AB133" s="60">
        <v>5.3484242000000001E-2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0.71536799999999801</v>
      </c>
      <c r="AN133" s="96">
        <f t="shared" si="15"/>
        <v>0.58309400000000267</v>
      </c>
      <c r="AO133" s="96">
        <f t="shared" si="16"/>
        <v>1.2415000000000065E-3</v>
      </c>
      <c r="AP133" s="96">
        <f t="shared" si="17"/>
        <v>2.8666200000000419E-3</v>
      </c>
      <c r="AQ133" s="121">
        <f t="shared" si="18"/>
        <v>-4.6463279999999982E-3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34.587452999999996</v>
      </c>
      <c r="Y134" s="190">
        <v>38.334054000000002</v>
      </c>
      <c r="Z134" s="190">
        <v>0.98220912000000005</v>
      </c>
      <c r="AA134" s="62">
        <v>0.98727911999999995</v>
      </c>
      <c r="AB134" s="62">
        <v>3.6832443999999999E-2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0.15141099999999597</v>
      </c>
      <c r="AN134" s="122">
        <f t="shared" si="15"/>
        <v>9.2441999999998359E-2</v>
      </c>
      <c r="AO134" s="122">
        <f t="shared" si="16"/>
        <v>-1.1516000000000304E-4</v>
      </c>
      <c r="AP134" s="122">
        <f t="shared" si="17"/>
        <v>4.9234999999991924E-4</v>
      </c>
      <c r="AQ134" s="88">
        <f t="shared" si="18"/>
        <v>-1.5566730000000015E-3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35.806719000000001</v>
      </c>
      <c r="Y135" s="190">
        <v>39.365985999999999</v>
      </c>
      <c r="Z135" s="190">
        <v>0.98718267999999998</v>
      </c>
      <c r="AA135" s="62">
        <v>0.99088131999999995</v>
      </c>
      <c r="AB135" s="62">
        <v>2.6858740999999998E-2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-1.9773289999999974</v>
      </c>
      <c r="AN135" s="122">
        <f t="shared" si="15"/>
        <v>-1.9340499999999992</v>
      </c>
      <c r="AO135" s="122">
        <f t="shared" si="16"/>
        <v>-2.9266599999999698E-3</v>
      </c>
      <c r="AP135" s="122">
        <f t="shared" si="17"/>
        <v>-2.4751600000000318E-3</v>
      </c>
      <c r="AQ135" s="88">
        <f t="shared" si="18"/>
        <v>3.8496619999999968E-3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36.692068999999996</v>
      </c>
      <c r="Y136" s="190">
        <v>40.230871</v>
      </c>
      <c r="Z136" s="190">
        <v>0.98928267999999997</v>
      </c>
      <c r="AA136" s="62">
        <v>0.99226574999999995</v>
      </c>
      <c r="AB136" s="62">
        <v>2.1616949E-2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-5.0123330000000053</v>
      </c>
      <c r="AN136" s="122">
        <f t="shared" si="15"/>
        <v>-4.9609740000000002</v>
      </c>
      <c r="AO136" s="122">
        <f t="shared" si="16"/>
        <v>-4.8415700000000728E-3</v>
      </c>
      <c r="AP136" s="122">
        <f t="shared" si="17"/>
        <v>-4.1418600000000527E-3</v>
      </c>
      <c r="AQ136" s="88">
        <f t="shared" si="18"/>
        <v>9.6778909999999992E-3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27.510626999999999</v>
      </c>
      <c r="Y641" s="136">
        <f t="shared" si="60"/>
        <v>31.103023</v>
      </c>
      <c r="Z641" s="136">
        <f t="shared" si="60"/>
        <v>0.96245698000000002</v>
      </c>
      <c r="AA641" s="136">
        <f t="shared" si="60"/>
        <v>0.97085705</v>
      </c>
      <c r="AB641" s="136">
        <f t="shared" si="60"/>
        <v>4.8582016999999998E-2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30.325029000000001</v>
      </c>
      <c r="Y642" s="18">
        <f t="shared" si="60"/>
        <v>33.989148999999998</v>
      </c>
      <c r="Z642" s="18">
        <f t="shared" si="60"/>
        <v>0.97705982000000002</v>
      </c>
      <c r="AA642" s="18">
        <f t="shared" si="60"/>
        <v>0.97984844999999998</v>
      </c>
      <c r="AB642" s="18">
        <f t="shared" si="60"/>
        <v>3.3861477000000001E-2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31.250209000000002</v>
      </c>
      <c r="Y643" s="18">
        <f t="shared" si="60"/>
        <v>35.078198999999998</v>
      </c>
      <c r="Z643" s="18">
        <f t="shared" si="60"/>
        <v>0.98292729000000001</v>
      </c>
      <c r="AA643" s="18">
        <f t="shared" si="60"/>
        <v>0.98411059999999995</v>
      </c>
      <c r="AB643" s="18">
        <f t="shared" si="60"/>
        <v>2.5765206999999998E-2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32.022728000000001</v>
      </c>
      <c r="Y644" s="18">
        <f t="shared" si="60"/>
        <v>36.051912000000002</v>
      </c>
      <c r="Z644" s="18">
        <f t="shared" si="60"/>
        <v>0.98552715999999996</v>
      </c>
      <c r="AA644" s="18">
        <f t="shared" si="60"/>
        <v>0.98532924</v>
      </c>
      <c r="AB644" s="18">
        <f t="shared" si="60"/>
        <v>2.0578560999999999E-2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32.840184999999998</v>
      </c>
      <c r="Y646" s="136">
        <f t="shared" si="62"/>
        <v>36.739167000000002</v>
      </c>
      <c r="Z646" s="136">
        <f t="shared" si="62"/>
        <v>0.97444684000000004</v>
      </c>
      <c r="AA646" s="136">
        <f t="shared" si="62"/>
        <v>0.98238760000000003</v>
      </c>
      <c r="AB646" s="136">
        <f t="shared" si="62"/>
        <v>7.0987135000000007E-2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34.587452999999996</v>
      </c>
      <c r="Y647" s="18">
        <f t="shared" si="62"/>
        <v>38.334054000000002</v>
      </c>
      <c r="Z647" s="18">
        <f t="shared" si="62"/>
        <v>0.98277504000000004</v>
      </c>
      <c r="AA647" s="18">
        <f t="shared" si="62"/>
        <v>0.98776006000000005</v>
      </c>
      <c r="AB647" s="18">
        <f t="shared" si="62"/>
        <v>4.9462415000000003E-2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35.806719000000001</v>
      </c>
      <c r="Y648" s="18">
        <f t="shared" si="62"/>
        <v>39.379116000000003</v>
      </c>
      <c r="Z648" s="18">
        <f t="shared" si="62"/>
        <v>0.98755071999999999</v>
      </c>
      <c r="AA648" s="18">
        <f t="shared" si="62"/>
        <v>0.99104300999999995</v>
      </c>
      <c r="AB648" s="18">
        <f t="shared" si="62"/>
        <v>3.6415561999999999E-2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36.692068999999996</v>
      </c>
      <c r="Y649" s="18">
        <f t="shared" si="62"/>
        <v>40.230871</v>
      </c>
      <c r="Z649" s="18">
        <f t="shared" si="62"/>
        <v>0.98959472000000004</v>
      </c>
      <c r="AA649" s="18">
        <f t="shared" si="62"/>
        <v>0.99243557000000004</v>
      </c>
      <c r="AB649" s="18">
        <f t="shared" si="62"/>
        <v>3.0759235999999999E-2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5.3295579999999987</v>
      </c>
      <c r="Y651" s="136">
        <f t="shared" si="64"/>
        <v>5.6361440000000016</v>
      </c>
      <c r="Z651" s="136">
        <f t="shared" si="64"/>
        <v>1.1989860000000019E-2</v>
      </c>
      <c r="AA651" s="136">
        <f t="shared" si="64"/>
        <v>1.1530550000000028E-2</v>
      </c>
      <c r="AB651" s="136">
        <f t="shared" si="64"/>
        <v>2.2405118000000009E-2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4.2624239999999958</v>
      </c>
      <c r="Y652" s="18">
        <f t="shared" si="64"/>
        <v>4.3449050000000042</v>
      </c>
      <c r="Z652" s="18">
        <f t="shared" si="64"/>
        <v>5.7152200000000208E-3</v>
      </c>
      <c r="AA652" s="18">
        <f t="shared" si="64"/>
        <v>7.9116100000000689E-3</v>
      </c>
      <c r="AB652" s="18">
        <f t="shared" si="64"/>
        <v>1.5600938000000002E-2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4.5565099999999994</v>
      </c>
      <c r="Y653" s="18">
        <f t="shared" si="64"/>
        <v>4.3009170000000054</v>
      </c>
      <c r="Z653" s="18">
        <f t="shared" si="64"/>
        <v>4.6234299999999839E-3</v>
      </c>
      <c r="AA653" s="18">
        <f t="shared" si="64"/>
        <v>6.93241E-3</v>
      </c>
      <c r="AB653" s="18">
        <f t="shared" si="64"/>
        <v>1.0650355E-2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4.6693409999999957</v>
      </c>
      <c r="Y654" s="18">
        <f t="shared" si="64"/>
        <v>4.178958999999999</v>
      </c>
      <c r="Z654" s="18">
        <f t="shared" si="64"/>
        <v>4.0675600000000811E-3</v>
      </c>
      <c r="AA654" s="18">
        <f t="shared" si="64"/>
        <v>7.1063300000000496E-3</v>
      </c>
      <c r="AB654" s="18">
        <f t="shared" si="64"/>
        <v>1.0180675E-2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27814.695999999996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30.814120952380954</v>
      </c>
      <c r="Y5" s="30">
        <f t="shared" si="2"/>
        <v>34.527315619047606</v>
      </c>
      <c r="Z5" s="30">
        <f t="shared" si="2"/>
        <v>0.96848710095238089</v>
      </c>
      <c r="AA5" s="91">
        <f t="shared" si="2"/>
        <v>0.97618784333333319</v>
      </c>
      <c r="AB5" s="91">
        <f t="shared" si="2"/>
        <v>5.7878620238095244E-2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4.2623939890297002E-2</v>
      </c>
      <c r="AN5" s="245">
        <f>bdrate($E5:$E8,G5:G8,$W5:$W8,Y5:Y8)</f>
        <v>2.2731790268855745E-2</v>
      </c>
      <c r="AO5" s="245">
        <f>bdrate($E5:$E8,H5:H8,$W5:$W8,Z5:Z8)</f>
        <v>-3.905349292066107E-2</v>
      </c>
      <c r="AP5" s="245">
        <f>bdrate($E5:$E8,I5:I8,$W5:$W8,AA5:AA8)</f>
        <v>-2.280767620517643E-2</v>
      </c>
      <c r="AQ5" s="246">
        <f>bdrateInverted($E5:$E8,J5:J8,$W5:$W8,AB5:AB8)</f>
        <v>-9.7156902766341702E-2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38470.464</v>
      </c>
      <c r="X6" s="91">
        <f t="shared" si="2"/>
        <v>32.445831809523803</v>
      </c>
      <c r="Y6" s="91">
        <f t="shared" si="2"/>
        <v>36.179487000000002</v>
      </c>
      <c r="Z6" s="91">
        <f t="shared" si="2"/>
        <v>0.97903563952380945</v>
      </c>
      <c r="AA6" s="91">
        <f t="shared" si="2"/>
        <v>0.98318869285714294</v>
      </c>
      <c r="AB6" s="91">
        <f t="shared" si="2"/>
        <v>4.1414261523809524E-2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53569.063999999998</v>
      </c>
      <c r="X7" s="91">
        <f t="shared" si="2"/>
        <v>33.46804938095238</v>
      </c>
      <c r="Y7" s="91">
        <f t="shared" si="2"/>
        <v>37.292052047619038</v>
      </c>
      <c r="Z7" s="91">
        <f t="shared" si="2"/>
        <v>0.98464654904761928</v>
      </c>
      <c r="AA7" s="91">
        <f t="shared" si="2"/>
        <v>0.98716631238095265</v>
      </c>
      <c r="AB7" s="91">
        <f t="shared" si="2"/>
        <v>3.1737669761904765E-2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72537.344000000012</v>
      </c>
      <c r="X8" s="91">
        <f t="shared" si="2"/>
        <v>33.937025952380949</v>
      </c>
      <c r="Y8" s="91">
        <f t="shared" si="2"/>
        <v>37.827774619047624</v>
      </c>
      <c r="Z8" s="91">
        <f t="shared" si="2"/>
        <v>0.98699961952380932</v>
      </c>
      <c r="AA8" s="91">
        <f t="shared" si="2"/>
        <v>0.98858127619047609</v>
      </c>
      <c r="AB8" s="91">
        <f t="shared" si="2"/>
        <v>2.6161215380952386E-2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4688.8959999999997</v>
      </c>
      <c r="X16" s="167">
        <v>6056.2079999999996</v>
      </c>
      <c r="Y16" s="167">
        <v>1034.5039999999999</v>
      </c>
      <c r="Z16" s="167">
        <v>29.576000000000001</v>
      </c>
      <c r="AA16" s="167">
        <v>120.712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4688.8959999999997</v>
      </c>
      <c r="X17" s="168">
        <v>7941.5919999999996</v>
      </c>
      <c r="Y17" s="168">
        <v>3628.04</v>
      </c>
      <c r="Z17" s="168">
        <v>363.6</v>
      </c>
      <c r="AA17" s="168">
        <v>938.928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4688.8959999999997</v>
      </c>
      <c r="X18" s="168">
        <v>9902.32</v>
      </c>
      <c r="Y18" s="168">
        <v>7722.6</v>
      </c>
      <c r="Z18" s="168">
        <v>1857.2560000000001</v>
      </c>
      <c r="AA18" s="168">
        <v>3276.04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4688.8959999999997</v>
      </c>
      <c r="X19" s="168">
        <v>11776.415999999999</v>
      </c>
      <c r="Y19" s="168">
        <v>12354.352000000001</v>
      </c>
      <c r="Z19" s="168">
        <v>5033.3680000000004</v>
      </c>
      <c r="AA19" s="168">
        <v>7111.96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27814.695999999996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38470.464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53569.063999999998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72537.344000000012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28.260946000000001</v>
      </c>
      <c r="Y33" s="97">
        <v>31.964936999999999</v>
      </c>
      <c r="Z33" s="97">
        <v>0.96277800999999996</v>
      </c>
      <c r="AA33" s="60">
        <v>0.97236891999999997</v>
      </c>
      <c r="AB33" s="60">
        <v>7.3202959999999997E-2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0.68348999999999904</v>
      </c>
      <c r="AN33" s="96">
        <f t="shared" ref="AN33:AN96" si="5">IF(OR(Y33="",G33=""),"",Y33-G33)</f>
        <v>0.83074999999999832</v>
      </c>
      <c r="AO33" s="96">
        <f t="shared" ref="AO33:AO96" si="6">IF(OR(Z33="",H33=""),"",Z33-H33)</f>
        <v>3.3430599999999533E-3</v>
      </c>
      <c r="AP33" s="96">
        <f t="shared" ref="AP33:AP96" si="7">IF(OR(AA33="",I33=""),"",AA33-I33)</f>
        <v>6.3491099999999356E-3</v>
      </c>
      <c r="AQ33" s="121">
        <f t="shared" ref="AQ33:AQ96" si="8">IF(OR(AB33="",J33=""),"",AB33-J33)</f>
        <v>-1.0321209999999997E-2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30.241652999999999</v>
      </c>
      <c r="Y34" s="190">
        <v>33.848480000000002</v>
      </c>
      <c r="Z34" s="190">
        <v>0.97675701000000004</v>
      </c>
      <c r="AA34" s="62">
        <v>0.98091576000000003</v>
      </c>
      <c r="AB34" s="62">
        <v>5.0929356000000002E-2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-0.51740700000000217</v>
      </c>
      <c r="AN34" s="122">
        <f t="shared" si="5"/>
        <v>-0.2278609999999972</v>
      </c>
      <c r="AO34" s="122">
        <f t="shared" si="6"/>
        <v>-1.8259999999992171E-4</v>
      </c>
      <c r="AP34" s="122">
        <f t="shared" si="7"/>
        <v>7.3073000000001276E-4</v>
      </c>
      <c r="AQ34" s="88">
        <f t="shared" si="8"/>
        <v>-7.1608319999999989E-3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31.521518</v>
      </c>
      <c r="Y35" s="190">
        <v>35.361707000000003</v>
      </c>
      <c r="Z35" s="190">
        <v>0.98366467000000002</v>
      </c>
      <c r="AA35" s="62">
        <v>0.98517063000000005</v>
      </c>
      <c r="AB35" s="62">
        <v>3.7946153000000003E-2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-3.180104</v>
      </c>
      <c r="AN35" s="122">
        <f t="shared" si="5"/>
        <v>-3.6864789999999985</v>
      </c>
      <c r="AO35" s="122">
        <f t="shared" si="6"/>
        <v>-5.0473100000000271E-3</v>
      </c>
      <c r="AP35" s="122">
        <f t="shared" si="7"/>
        <v>-6.6115299999999211E-3</v>
      </c>
      <c r="AQ35" s="88">
        <f t="shared" si="8"/>
        <v>4.8513300000000009E-3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31.988302000000001</v>
      </c>
      <c r="Y36" s="190">
        <v>35.930140000000002</v>
      </c>
      <c r="Z36" s="190">
        <v>0.98613070000000003</v>
      </c>
      <c r="AA36" s="62">
        <v>0.98688770999999997</v>
      </c>
      <c r="AB36" s="62">
        <v>3.1526282000000003E-2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-5.2968379999999975</v>
      </c>
      <c r="AN36" s="122">
        <f t="shared" si="5"/>
        <v>-5.7655090000000015</v>
      </c>
      <c r="AO36" s="122">
        <f t="shared" si="6"/>
        <v>-7.3660500000000129E-3</v>
      </c>
      <c r="AP36" s="122">
        <f t="shared" si="7"/>
        <v>-8.7749700000000486E-3</v>
      </c>
      <c r="AQ36" s="88">
        <f t="shared" si="8"/>
        <v>1.2502936000000003E-2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28.735544000000001</v>
      </c>
      <c r="Y38" s="97">
        <v>32.552118</v>
      </c>
      <c r="Z38" s="97">
        <v>0.96439481999999999</v>
      </c>
      <c r="AA38" s="60">
        <v>0.97220280000000003</v>
      </c>
      <c r="AB38" s="60">
        <v>6.4508974999999996E-2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0.54219499999999954</v>
      </c>
      <c r="AN38" s="96">
        <f t="shared" si="5"/>
        <v>0.74369599999999991</v>
      </c>
      <c r="AO38" s="96">
        <f t="shared" si="6"/>
        <v>3.5391799999999751E-3</v>
      </c>
      <c r="AP38" s="96">
        <f t="shared" si="7"/>
        <v>6.1182400000000525E-3</v>
      </c>
      <c r="AQ38" s="121">
        <f t="shared" si="8"/>
        <v>-1.1556729000000002E-2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30.485593000000001</v>
      </c>
      <c r="Y39" s="190">
        <v>34.353549999999998</v>
      </c>
      <c r="Z39" s="190">
        <v>0.97712792000000004</v>
      </c>
      <c r="AA39" s="62">
        <v>0.98064161999999999</v>
      </c>
      <c r="AB39" s="62">
        <v>4.5474760000000003E-2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-0.76709599999999867</v>
      </c>
      <c r="AN39" s="122">
        <f t="shared" si="5"/>
        <v>-0.3789510000000007</v>
      </c>
      <c r="AO39" s="122">
        <f t="shared" si="6"/>
        <v>-6.3590000000002256E-5</v>
      </c>
      <c r="AP39" s="122">
        <f t="shared" si="7"/>
        <v>2.8896000000000477E-4</v>
      </c>
      <c r="AQ39" s="88">
        <f t="shared" si="8"/>
        <v>-8.5382999999999987E-3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31.374734</v>
      </c>
      <c r="Y40" s="190">
        <v>35.384709000000001</v>
      </c>
      <c r="Z40" s="190">
        <v>0.98356127999999998</v>
      </c>
      <c r="AA40" s="62">
        <v>0.98511470999999995</v>
      </c>
      <c r="AB40" s="62">
        <v>3.5261309999999997E-2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-3.6266029999999994</v>
      </c>
      <c r="AN40" s="122">
        <f t="shared" si="5"/>
        <v>-3.8349699999999984</v>
      </c>
      <c r="AO40" s="122">
        <f t="shared" si="6"/>
        <v>-4.8529400000000278E-3</v>
      </c>
      <c r="AP40" s="122">
        <f t="shared" si="7"/>
        <v>-6.3043900000000486E-3</v>
      </c>
      <c r="AQ40" s="88">
        <f t="shared" si="8"/>
        <v>3.4364939999999983E-3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31.771076000000001</v>
      </c>
      <c r="Y41" s="190">
        <v>35.911681999999999</v>
      </c>
      <c r="Z41" s="190">
        <v>0.98606316999999999</v>
      </c>
      <c r="AA41" s="62">
        <v>0.98635645000000005</v>
      </c>
      <c r="AB41" s="62">
        <v>2.9127624000000001E-2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-5.6189060000000026</v>
      </c>
      <c r="AN41" s="122">
        <f t="shared" si="5"/>
        <v>-5.8516690000000011</v>
      </c>
      <c r="AO41" s="122">
        <f t="shared" si="6"/>
        <v>-7.2670400000000024E-3</v>
      </c>
      <c r="AP41" s="122">
        <f t="shared" si="7"/>
        <v>-9.1526499999999844E-3</v>
      </c>
      <c r="AQ41" s="88">
        <f t="shared" si="8"/>
        <v>1.0205930000000002E-2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29.196065000000001</v>
      </c>
      <c r="Y43" s="97">
        <v>33.060336999999997</v>
      </c>
      <c r="Z43" s="97">
        <v>0.96545848000000001</v>
      </c>
      <c r="AA43" s="60">
        <v>0.97228331000000001</v>
      </c>
      <c r="AB43" s="60">
        <v>6.3328770000000006E-2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0.42786100000000005</v>
      </c>
      <c r="AN43" s="96">
        <f t="shared" si="5"/>
        <v>0.65068699999999779</v>
      </c>
      <c r="AO43" s="96">
        <f t="shared" si="6"/>
        <v>3.3440900000000218E-3</v>
      </c>
      <c r="AP43" s="96">
        <f t="shared" si="7"/>
        <v>4.4858100000000345E-3</v>
      </c>
      <c r="AQ43" s="121">
        <f t="shared" si="8"/>
        <v>-1.1281449999999998E-2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30.697478</v>
      </c>
      <c r="Y44" s="190">
        <v>34.571249000000002</v>
      </c>
      <c r="Z44" s="190">
        <v>0.97702385999999997</v>
      </c>
      <c r="AA44" s="62">
        <v>0.98007880999999997</v>
      </c>
      <c r="AB44" s="62">
        <v>4.538648E-2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-0.99587899999999863</v>
      </c>
      <c r="AN44" s="122">
        <f t="shared" si="5"/>
        <v>-0.68170399999999631</v>
      </c>
      <c r="AO44" s="122">
        <f t="shared" si="6"/>
        <v>-4.9069000000001584E-4</v>
      </c>
      <c r="AP44" s="122">
        <f t="shared" si="7"/>
        <v>-9.0531000000004802E-4</v>
      </c>
      <c r="AQ44" s="88">
        <f t="shared" si="8"/>
        <v>-4.6662599999999985E-3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31.53472</v>
      </c>
      <c r="Y45" s="190">
        <v>35.506036999999999</v>
      </c>
      <c r="Z45" s="190">
        <v>0.98305248000000001</v>
      </c>
      <c r="AA45" s="62">
        <v>0.98432834999999996</v>
      </c>
      <c r="AB45" s="62">
        <v>3.6317557E-2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-3.4845389999999981</v>
      </c>
      <c r="AN45" s="122">
        <f t="shared" si="5"/>
        <v>-3.7801230000000032</v>
      </c>
      <c r="AO45" s="122">
        <f t="shared" si="6"/>
        <v>-5.3482400000000041E-3</v>
      </c>
      <c r="AP45" s="122">
        <f t="shared" si="7"/>
        <v>-7.1615999999999902E-3</v>
      </c>
      <c r="AQ45" s="88">
        <f t="shared" si="8"/>
        <v>3.8078569999999978E-3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31.932994999999998</v>
      </c>
      <c r="Y46" s="190">
        <v>36.035532000000003</v>
      </c>
      <c r="Z46" s="190">
        <v>0.98556310999999996</v>
      </c>
      <c r="AA46" s="62">
        <v>0.98605348999999998</v>
      </c>
      <c r="AB46" s="62">
        <v>3.0248311999999999E-2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-5.8596810000000019</v>
      </c>
      <c r="AN46" s="122">
        <f t="shared" si="5"/>
        <v>-6.1331759999999989</v>
      </c>
      <c r="AO46" s="122">
        <f t="shared" si="6"/>
        <v>-7.758900000000013E-3</v>
      </c>
      <c r="AP46" s="122">
        <f t="shared" si="7"/>
        <v>-9.4859600000000155E-3</v>
      </c>
      <c r="AQ46" s="88">
        <f t="shared" si="8"/>
        <v>1.2110746999999998E-2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30.111238</v>
      </c>
      <c r="Y48" s="97">
        <v>33.766235999999999</v>
      </c>
      <c r="Z48" s="97">
        <v>0.96589069000000005</v>
      </c>
      <c r="AA48" s="60">
        <v>0.97200692</v>
      </c>
      <c r="AB48" s="60">
        <v>5.6092296E-2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0.46519500000000136</v>
      </c>
      <c r="AN48" s="96">
        <f t="shared" si="5"/>
        <v>0.65962599999999583</v>
      </c>
      <c r="AO48" s="96">
        <f t="shared" si="6"/>
        <v>3.1906100000000936E-3</v>
      </c>
      <c r="AP48" s="96">
        <f t="shared" si="7"/>
        <v>3.1748400000000121E-3</v>
      </c>
      <c r="AQ48" s="121">
        <f t="shared" si="8"/>
        <v>-1.0832464E-2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31.745593</v>
      </c>
      <c r="Y49" s="190">
        <v>35.363152999999997</v>
      </c>
      <c r="Z49" s="190">
        <v>0.97641354000000002</v>
      </c>
      <c r="AA49" s="62">
        <v>0.97934650999999995</v>
      </c>
      <c r="AB49" s="62">
        <v>4.0538749999999998E-2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-0.88948400000000305</v>
      </c>
      <c r="AN49" s="122">
        <f t="shared" si="5"/>
        <v>-0.72772499999999951</v>
      </c>
      <c r="AO49" s="122">
        <f t="shared" si="6"/>
        <v>-5.7267999999999208E-4</v>
      </c>
      <c r="AP49" s="122">
        <f t="shared" si="7"/>
        <v>-2.4533700000000103E-3</v>
      </c>
      <c r="AQ49" s="88">
        <f t="shared" si="8"/>
        <v>-3.6206660000000015E-3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32.642305</v>
      </c>
      <c r="Y50" s="190">
        <v>36.310287000000002</v>
      </c>
      <c r="Z50" s="190">
        <v>0.98228037999999995</v>
      </c>
      <c r="AA50" s="62">
        <v>0.98392999000000003</v>
      </c>
      <c r="AB50" s="62">
        <v>3.2529429999999998E-2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-2.9917980000000028</v>
      </c>
      <c r="AN50" s="122">
        <f t="shared" si="5"/>
        <v>-3.4990759999999952</v>
      </c>
      <c r="AO50" s="122">
        <f t="shared" si="6"/>
        <v>-5.6286899999999918E-3</v>
      </c>
      <c r="AP50" s="122">
        <f t="shared" si="7"/>
        <v>-7.4084399999999606E-3</v>
      </c>
      <c r="AQ50" s="88">
        <f t="shared" si="8"/>
        <v>3.2440269999999966E-3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32.948155999999997</v>
      </c>
      <c r="Y51" s="190">
        <v>36.716894000000003</v>
      </c>
      <c r="Z51" s="190">
        <v>0.98489095000000004</v>
      </c>
      <c r="AA51" s="62">
        <v>0.98547589999999996</v>
      </c>
      <c r="AB51" s="62">
        <v>2.7680052E-2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-5.4195880000000045</v>
      </c>
      <c r="AN51" s="122">
        <f t="shared" si="5"/>
        <v>-6.0054639999999964</v>
      </c>
      <c r="AO51" s="122">
        <f t="shared" si="6"/>
        <v>-8.323279999999933E-3</v>
      </c>
      <c r="AP51" s="122">
        <f t="shared" si="7"/>
        <v>-1.0010390000000036E-2</v>
      </c>
      <c r="AQ51" s="88">
        <f t="shared" si="8"/>
        <v>1.1549607999999999E-2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29.853724</v>
      </c>
      <c r="Y53" s="97">
        <v>33.611297999999998</v>
      </c>
      <c r="Z53" s="97">
        <v>0.96531416000000003</v>
      </c>
      <c r="AA53" s="60">
        <v>0.97103976000000003</v>
      </c>
      <c r="AB53" s="60">
        <v>5.5888258000000003E-2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0.33167500000000061</v>
      </c>
      <c r="AN53" s="96">
        <f t="shared" si="5"/>
        <v>0.51587199999999456</v>
      </c>
      <c r="AO53" s="96">
        <f t="shared" si="6"/>
        <v>2.9372899999999813E-3</v>
      </c>
      <c r="AP53" s="96">
        <f t="shared" si="7"/>
        <v>1.6734200000000365E-3</v>
      </c>
      <c r="AQ53" s="121">
        <f t="shared" si="8"/>
        <v>-1.0743101999999997E-2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31.357136000000001</v>
      </c>
      <c r="Y54" s="190">
        <v>35.095993999999997</v>
      </c>
      <c r="Z54" s="190">
        <v>0.97599133000000005</v>
      </c>
      <c r="AA54" s="62">
        <v>0.97900978000000005</v>
      </c>
      <c r="AB54" s="62">
        <v>4.0730589999999997E-2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-1.1015309999999978</v>
      </c>
      <c r="AN54" s="122">
        <f t="shared" si="5"/>
        <v>-0.88892400000000293</v>
      </c>
      <c r="AO54" s="122">
        <f t="shared" si="6"/>
        <v>-9.0660999999991887E-4</v>
      </c>
      <c r="AP54" s="122">
        <f t="shared" si="7"/>
        <v>-2.7466499999999616E-3</v>
      </c>
      <c r="AQ54" s="88">
        <f t="shared" si="8"/>
        <v>-3.7024380000000023E-3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32.274715999999998</v>
      </c>
      <c r="Y55" s="190">
        <v>36.088818000000003</v>
      </c>
      <c r="Z55" s="190">
        <v>0.98200445000000003</v>
      </c>
      <c r="AA55" s="62">
        <v>0.98341719000000005</v>
      </c>
      <c r="AB55" s="62">
        <v>3.1879156999999998E-2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-3.4050500000000028</v>
      </c>
      <c r="AN55" s="122">
        <f t="shared" si="5"/>
        <v>-3.6746509999999972</v>
      </c>
      <c r="AO55" s="122">
        <f t="shared" si="6"/>
        <v>-5.7716099999999271E-3</v>
      </c>
      <c r="AP55" s="122">
        <f t="shared" si="7"/>
        <v>-7.7396099999998968E-3</v>
      </c>
      <c r="AQ55" s="88">
        <f t="shared" si="8"/>
        <v>3.3443289999999966E-3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32.687049000000002</v>
      </c>
      <c r="Y56" s="190">
        <v>36.586011999999997</v>
      </c>
      <c r="Z56" s="190">
        <v>0.98464059000000004</v>
      </c>
      <c r="AA56" s="62">
        <v>0.98490012999999998</v>
      </c>
      <c r="AB56" s="62">
        <v>2.6164270999999999E-2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-5.9104559999999964</v>
      </c>
      <c r="AN56" s="122">
        <f t="shared" si="5"/>
        <v>-6.2392150000000015</v>
      </c>
      <c r="AO56" s="122">
        <f t="shared" si="6"/>
        <v>-8.5040699999999747E-3</v>
      </c>
      <c r="AP56" s="122">
        <f t="shared" si="7"/>
        <v>-1.0467960000000054E-2</v>
      </c>
      <c r="AQ56" s="88">
        <f t="shared" si="8"/>
        <v>1.1165469999999999E-2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29.898401</v>
      </c>
      <c r="Y58" s="97">
        <v>33.677891000000002</v>
      </c>
      <c r="Z58" s="97">
        <v>0.96506150000000002</v>
      </c>
      <c r="AA58" s="60">
        <v>0.97099601999999996</v>
      </c>
      <c r="AB58" s="60">
        <v>5.6607052999999997E-2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0.21607099999999946</v>
      </c>
      <c r="AN58" s="96">
        <f t="shared" si="5"/>
        <v>0.41978200000000498</v>
      </c>
      <c r="AO58" s="96">
        <f t="shared" si="6"/>
        <v>3.2314100000000456E-3</v>
      </c>
      <c r="AP58" s="96">
        <f t="shared" si="7"/>
        <v>1.3887099999999597E-3</v>
      </c>
      <c r="AQ58" s="121">
        <f t="shared" si="8"/>
        <v>-1.0725347000000003E-2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31.451329999999999</v>
      </c>
      <c r="Y59" s="190">
        <v>35.177653999999997</v>
      </c>
      <c r="Z59" s="190">
        <v>0.97592928000000001</v>
      </c>
      <c r="AA59" s="62">
        <v>0.97944138999999997</v>
      </c>
      <c r="AB59" s="62">
        <v>4.1720054999999999E-2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-1.1344619999999992</v>
      </c>
      <c r="AN59" s="122">
        <f t="shared" si="5"/>
        <v>-0.91970200000000091</v>
      </c>
      <c r="AO59" s="122">
        <f t="shared" si="6"/>
        <v>-7.2364000000002537E-4</v>
      </c>
      <c r="AP59" s="122">
        <f t="shared" si="7"/>
        <v>-2.4531200000000863E-3</v>
      </c>
      <c r="AQ59" s="88">
        <f t="shared" si="8"/>
        <v>-3.2830309999999988E-3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32.517310000000002</v>
      </c>
      <c r="Y60" s="190">
        <v>36.305988999999997</v>
      </c>
      <c r="Z60" s="190">
        <v>0.98227703</v>
      </c>
      <c r="AA60" s="62">
        <v>0.98407562999999998</v>
      </c>
      <c r="AB60" s="62">
        <v>3.2169797E-2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-3.3223479999999981</v>
      </c>
      <c r="AN60" s="122">
        <f t="shared" si="5"/>
        <v>-3.5256200000000035</v>
      </c>
      <c r="AO60" s="122">
        <f t="shared" si="6"/>
        <v>-5.5115500000000317E-3</v>
      </c>
      <c r="AP60" s="122">
        <f t="shared" si="7"/>
        <v>-7.0756299999999994E-3</v>
      </c>
      <c r="AQ60" s="88">
        <f t="shared" si="8"/>
        <v>3.7631620000000005E-3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33.012093</v>
      </c>
      <c r="Y61" s="190">
        <v>36.898482000000001</v>
      </c>
      <c r="Z61" s="190">
        <v>0.98489289000000002</v>
      </c>
      <c r="AA61" s="62">
        <v>0.98573871999999996</v>
      </c>
      <c r="AB61" s="62">
        <v>2.5982663E-2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-5.9956710000000015</v>
      </c>
      <c r="AN61" s="122">
        <f t="shared" si="5"/>
        <v>-6.2267119999999991</v>
      </c>
      <c r="AO61" s="122">
        <f t="shared" si="6"/>
        <v>-8.2859699999999759E-3</v>
      </c>
      <c r="AP61" s="122">
        <f t="shared" si="7"/>
        <v>-9.5851500000000422E-3</v>
      </c>
      <c r="AQ61" s="88">
        <f t="shared" si="8"/>
        <v>1.1661811999999999E-2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30.099997999999999</v>
      </c>
      <c r="Y63" s="97">
        <v>33.917622000000001</v>
      </c>
      <c r="Z63" s="97">
        <v>0.96408558</v>
      </c>
      <c r="AA63" s="60">
        <v>0.97185820000000001</v>
      </c>
      <c r="AB63" s="60">
        <v>5.6724629999999998E-2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0.10298500000000033</v>
      </c>
      <c r="AN63" s="96">
        <f t="shared" si="5"/>
        <v>0.2571399999999997</v>
      </c>
      <c r="AO63" s="96">
        <f t="shared" si="6"/>
        <v>2.9385600000000345E-3</v>
      </c>
      <c r="AP63" s="96">
        <f t="shared" si="7"/>
        <v>1.5085200000000132E-3</v>
      </c>
      <c r="AQ63" s="121">
        <f t="shared" si="8"/>
        <v>-9.121746E-3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31.882152000000001</v>
      </c>
      <c r="Y64" s="190">
        <v>35.543016999999999</v>
      </c>
      <c r="Z64" s="190">
        <v>0.97568021000000005</v>
      </c>
      <c r="AA64" s="62">
        <v>0.97914462999999996</v>
      </c>
      <c r="AB64" s="62">
        <v>4.0316306000000003E-2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-1.2655080000000005</v>
      </c>
      <c r="AN64" s="122">
        <f t="shared" si="5"/>
        <v>-1.0222300000000004</v>
      </c>
      <c r="AO64" s="122">
        <f t="shared" si="6"/>
        <v>-9.2366999999993205E-4</v>
      </c>
      <c r="AP64" s="122">
        <f t="shared" si="7"/>
        <v>-3.0796000000000712E-3</v>
      </c>
      <c r="AQ64" s="88">
        <f t="shared" si="8"/>
        <v>-1.6799159999999966E-3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32.972338999999998</v>
      </c>
      <c r="Y65" s="190">
        <v>36.616359000000003</v>
      </c>
      <c r="Z65" s="190">
        <v>0.98221071999999998</v>
      </c>
      <c r="AA65" s="62">
        <v>0.98427445999999996</v>
      </c>
      <c r="AB65" s="62">
        <v>3.1523679999999998E-2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-3.4191690000000037</v>
      </c>
      <c r="AN65" s="122">
        <f t="shared" si="5"/>
        <v>-3.6358499999999978</v>
      </c>
      <c r="AO65" s="122">
        <f t="shared" si="6"/>
        <v>-5.7692700000000485E-3</v>
      </c>
      <c r="AP65" s="122">
        <f t="shared" si="7"/>
        <v>-7.0551600000000603E-3</v>
      </c>
      <c r="AQ65" s="88">
        <f t="shared" si="8"/>
        <v>4.6023519999999971E-3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33.520099000000002</v>
      </c>
      <c r="Y66" s="190">
        <v>37.247754999999998</v>
      </c>
      <c r="Z66" s="190">
        <v>0.98475694999999996</v>
      </c>
      <c r="AA66" s="62">
        <v>0.98605180000000003</v>
      </c>
      <c r="AB66" s="62">
        <v>2.5541218000000001E-2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-6.1676019999999951</v>
      </c>
      <c r="AN66" s="122">
        <f t="shared" si="5"/>
        <v>-6.3412870000000012</v>
      </c>
      <c r="AO66" s="122">
        <f t="shared" si="6"/>
        <v>-8.5633900000000596E-3</v>
      </c>
      <c r="AP66" s="122">
        <f t="shared" si="7"/>
        <v>-9.5003999999999644E-3</v>
      </c>
      <c r="AQ66" s="88">
        <f t="shared" si="8"/>
        <v>1.2420762E-2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29.905125999999999</v>
      </c>
      <c r="Y68" s="97">
        <v>33.394159999999999</v>
      </c>
      <c r="Z68" s="97">
        <v>0.96542843</v>
      </c>
      <c r="AA68" s="60">
        <v>0.97541708000000005</v>
      </c>
      <c r="AB68" s="60">
        <v>6.4431169999999996E-2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0.92054599999999809</v>
      </c>
      <c r="AN68" s="96">
        <f t="shared" si="5"/>
        <v>0.93537599999999799</v>
      </c>
      <c r="AO68" s="96">
        <f t="shared" si="6"/>
        <v>3.1404499999999613E-3</v>
      </c>
      <c r="AP68" s="96">
        <f t="shared" si="7"/>
        <v>7.2428600000000731E-3</v>
      </c>
      <c r="AQ68" s="121">
        <f t="shared" si="8"/>
        <v>-6.9358700000000106E-3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31.628633000000001</v>
      </c>
      <c r="Y69" s="190">
        <v>35.267834999999998</v>
      </c>
      <c r="Z69" s="190">
        <v>0.97791777000000002</v>
      </c>
      <c r="AA69" s="62">
        <v>0.98301331000000003</v>
      </c>
      <c r="AB69" s="62">
        <v>4.6183795E-2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-0.35010099999999866</v>
      </c>
      <c r="AN69" s="122">
        <f t="shared" si="5"/>
        <v>-0.29311900000000435</v>
      </c>
      <c r="AO69" s="122">
        <f t="shared" si="6"/>
        <v>4.112900000000641E-4</v>
      </c>
      <c r="AP69" s="122">
        <f t="shared" si="7"/>
        <v>1.2433000000000582E-3</v>
      </c>
      <c r="AQ69" s="88">
        <f t="shared" si="8"/>
        <v>-6.8259500000000112E-4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32.564134000000003</v>
      </c>
      <c r="Y70" s="190">
        <v>36.412388999999997</v>
      </c>
      <c r="Z70" s="190">
        <v>0.98415664999999997</v>
      </c>
      <c r="AA70" s="62">
        <v>0.98675151999999999</v>
      </c>
      <c r="AB70" s="62">
        <v>3.3570066000000003E-2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-2.5181039999999939</v>
      </c>
      <c r="AN70" s="122">
        <f t="shared" si="5"/>
        <v>-3.0238040000000055</v>
      </c>
      <c r="AO70" s="122">
        <f t="shared" si="6"/>
        <v>-4.4086800000000537E-3</v>
      </c>
      <c r="AP70" s="122">
        <f t="shared" si="7"/>
        <v>-5.0627899999999837E-3</v>
      </c>
      <c r="AQ70" s="88">
        <f t="shared" si="8"/>
        <v>3.5241460000000023E-3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32.938350999999997</v>
      </c>
      <c r="Y71" s="190">
        <v>36.886139</v>
      </c>
      <c r="Z71" s="190">
        <v>0.98662293000000001</v>
      </c>
      <c r="AA71" s="62">
        <v>0.98844398</v>
      </c>
      <c r="AB71" s="62">
        <v>2.7956214E-2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-4.604684000000006</v>
      </c>
      <c r="AN71" s="122">
        <f t="shared" si="5"/>
        <v>-5.0971329999999995</v>
      </c>
      <c r="AO71" s="122">
        <f t="shared" si="6"/>
        <v>-6.7517200000000166E-3</v>
      </c>
      <c r="AP71" s="122">
        <f t="shared" si="7"/>
        <v>-7.201169999999979E-3</v>
      </c>
      <c r="AQ71" s="88">
        <f t="shared" si="8"/>
        <v>1.0374166000000001E-2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30.510092</v>
      </c>
      <c r="Y73" s="97">
        <v>34.265247000000002</v>
      </c>
      <c r="Z73" s="97">
        <v>0.96756403000000002</v>
      </c>
      <c r="AA73" s="60">
        <v>0.97513304999999995</v>
      </c>
      <c r="AB73" s="60">
        <v>5.5385410000000003E-2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0.98311899999999852</v>
      </c>
      <c r="AN73" s="96">
        <f t="shared" si="5"/>
        <v>0.99906500000000165</v>
      </c>
      <c r="AO73" s="96">
        <f t="shared" si="6"/>
        <v>3.3946099999999646E-3</v>
      </c>
      <c r="AP73" s="96">
        <f t="shared" si="7"/>
        <v>6.3455199999999934E-3</v>
      </c>
      <c r="AQ73" s="121">
        <f t="shared" si="8"/>
        <v>-8.6216799999999996E-3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31.929371</v>
      </c>
      <c r="Y74" s="190">
        <v>35.784528000000002</v>
      </c>
      <c r="Z74" s="190">
        <v>0.97858529000000005</v>
      </c>
      <c r="AA74" s="62">
        <v>0.98198337000000002</v>
      </c>
      <c r="AB74" s="62">
        <v>3.9061119999999998E-2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-0.35363200000000106</v>
      </c>
      <c r="AN74" s="122">
        <f t="shared" si="5"/>
        <v>-0.22649599999999737</v>
      </c>
      <c r="AO74" s="122">
        <f t="shared" si="6"/>
        <v>4.7152999999999778E-4</v>
      </c>
      <c r="AP74" s="122">
        <f t="shared" si="7"/>
        <v>3.5607000000004163E-4</v>
      </c>
      <c r="AQ74" s="88">
        <f t="shared" si="8"/>
        <v>-3.2183840000000047E-3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32.750202000000002</v>
      </c>
      <c r="Y75" s="190">
        <v>36.696807</v>
      </c>
      <c r="Z75" s="190">
        <v>0.98427244999999997</v>
      </c>
      <c r="AA75" s="62">
        <v>0.98558466</v>
      </c>
      <c r="AB75" s="62">
        <v>2.9210847000000002E-2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-3.2281350000000018</v>
      </c>
      <c r="AN75" s="122">
        <f t="shared" si="5"/>
        <v>-3.3674559999999971</v>
      </c>
      <c r="AO75" s="122">
        <f t="shared" si="6"/>
        <v>-4.1626900000000244E-3</v>
      </c>
      <c r="AP75" s="122">
        <f t="shared" si="7"/>
        <v>-5.9782800000000025E-3</v>
      </c>
      <c r="AQ75" s="88">
        <f t="shared" si="8"/>
        <v>3.6966020000000002E-3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33.069088000000001</v>
      </c>
      <c r="Y76" s="190">
        <v>37.141981000000001</v>
      </c>
      <c r="Z76" s="190">
        <v>0.98677866000000003</v>
      </c>
      <c r="AA76" s="62">
        <v>0.98737797000000005</v>
      </c>
      <c r="AB76" s="62">
        <v>2.4098228999999999E-2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-4.8339050000000015</v>
      </c>
      <c r="AN76" s="122">
        <f t="shared" si="5"/>
        <v>-5.1466020000000015</v>
      </c>
      <c r="AO76" s="122">
        <f t="shared" si="6"/>
        <v>-6.5784799999999422E-3</v>
      </c>
      <c r="AP76" s="122">
        <f t="shared" si="7"/>
        <v>-8.2504199999999805E-3</v>
      </c>
      <c r="AQ76" s="88">
        <f t="shared" si="8"/>
        <v>7.5354339999999971E-3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30.454651999999999</v>
      </c>
      <c r="Y78" s="97">
        <v>34.241720000000001</v>
      </c>
      <c r="Z78" s="97">
        <v>0.96897803000000005</v>
      </c>
      <c r="AA78" s="60">
        <v>0.97448024</v>
      </c>
      <c r="AB78" s="60">
        <v>5.7273780000000003E-2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0.8179009999999991</v>
      </c>
      <c r="AN78" s="96">
        <f t="shared" si="5"/>
        <v>0.90280299999999869</v>
      </c>
      <c r="AO78" s="96">
        <f t="shared" si="6"/>
        <v>3.2298000000000604E-3</v>
      </c>
      <c r="AP78" s="96">
        <f t="shared" si="7"/>
        <v>4.4058599999999837E-3</v>
      </c>
      <c r="AQ78" s="121">
        <f t="shared" si="8"/>
        <v>-9.1993539999999999E-3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31.857537000000001</v>
      </c>
      <c r="Y79" s="190">
        <v>35.738207000000003</v>
      </c>
      <c r="Z79" s="190">
        <v>0.97898182</v>
      </c>
      <c r="AA79" s="62">
        <v>0.98183914000000005</v>
      </c>
      <c r="AB79" s="62">
        <v>4.1639198000000002E-2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-0.38345199999999835</v>
      </c>
      <c r="AN79" s="122">
        <f t="shared" si="5"/>
        <v>-0.31643700000000052</v>
      </c>
      <c r="AO79" s="122">
        <f t="shared" si="6"/>
        <v>2.9186999999997187E-4</v>
      </c>
      <c r="AP79" s="122">
        <f t="shared" si="7"/>
        <v>-3.8437999999996197E-4</v>
      </c>
      <c r="AQ79" s="88">
        <f t="shared" si="8"/>
        <v>-2.5818020000000011E-3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32.737670999999999</v>
      </c>
      <c r="Y80" s="190">
        <v>36.662798000000002</v>
      </c>
      <c r="Z80" s="190">
        <v>0.98432858999999995</v>
      </c>
      <c r="AA80" s="62">
        <v>0.98571595000000001</v>
      </c>
      <c r="AB80" s="62">
        <v>3.3464093E-2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-2.8235010000000003</v>
      </c>
      <c r="AN80" s="122">
        <f t="shared" si="5"/>
        <v>-3.2062949999999972</v>
      </c>
      <c r="AO80" s="122">
        <f t="shared" si="6"/>
        <v>-4.1908300000000898E-3</v>
      </c>
      <c r="AP80" s="122">
        <f t="shared" si="7"/>
        <v>-6.021460000000034E-3</v>
      </c>
      <c r="AQ80" s="88">
        <f t="shared" si="8"/>
        <v>4.4291319999999988E-3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33.052937</v>
      </c>
      <c r="Y81" s="190">
        <v>37.069246999999997</v>
      </c>
      <c r="Z81" s="190">
        <v>0.98677616000000001</v>
      </c>
      <c r="AA81" s="62">
        <v>0.98674881999999997</v>
      </c>
      <c r="AB81" s="62">
        <v>2.8287864999999999E-2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-5.2645849999999967</v>
      </c>
      <c r="AN81" s="122">
        <f t="shared" si="5"/>
        <v>-5.6364730000000023</v>
      </c>
      <c r="AO81" s="122">
        <f t="shared" si="6"/>
        <v>-6.6249099999999839E-3</v>
      </c>
      <c r="AP81" s="122">
        <f t="shared" si="7"/>
        <v>-8.9198600000000017E-3</v>
      </c>
      <c r="AQ81" s="88">
        <f t="shared" si="8"/>
        <v>1.2168327E-2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31.056615000000001</v>
      </c>
      <c r="Y83" s="97">
        <v>34.518684</v>
      </c>
      <c r="Z83" s="97">
        <v>0.96980586999999996</v>
      </c>
      <c r="AA83" s="60">
        <v>0.97526303999999997</v>
      </c>
      <c r="AB83" s="60">
        <v>5.2752032999999997E-2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0.70994800000000069</v>
      </c>
      <c r="AN83" s="96">
        <f t="shared" si="5"/>
        <v>0.81987399999999866</v>
      </c>
      <c r="AO83" s="96">
        <f t="shared" si="6"/>
        <v>3.2118299999999156E-3</v>
      </c>
      <c r="AP83" s="96">
        <f t="shared" si="7"/>
        <v>3.2609200000000005E-3</v>
      </c>
      <c r="AQ83" s="121">
        <f t="shared" si="8"/>
        <v>-8.9582500000000009E-3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32.813173999999997</v>
      </c>
      <c r="Y84" s="190">
        <v>36.298915999999998</v>
      </c>
      <c r="Z84" s="190">
        <v>0.97969340999999999</v>
      </c>
      <c r="AA84" s="62">
        <v>0.98243323999999999</v>
      </c>
      <c r="AB84" s="62">
        <v>3.7433684000000002E-2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-0.38478700000000288</v>
      </c>
      <c r="AN84" s="122">
        <f t="shared" si="5"/>
        <v>-0.34383100000000155</v>
      </c>
      <c r="AO84" s="122">
        <f t="shared" si="6"/>
        <v>5.2277000000000573E-4</v>
      </c>
      <c r="AP84" s="122">
        <f t="shared" si="7"/>
        <v>-1.1913799999999641E-3</v>
      </c>
      <c r="AQ84" s="88">
        <f t="shared" si="8"/>
        <v>-3.2037759999999985E-3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33.781970999999999</v>
      </c>
      <c r="Y85" s="190">
        <v>37.322761</v>
      </c>
      <c r="Z85" s="190">
        <v>0.98470625000000001</v>
      </c>
      <c r="AA85" s="62">
        <v>0.98626908000000002</v>
      </c>
      <c r="AB85" s="62">
        <v>2.9464207999999999E-2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-2.5412540000000021</v>
      </c>
      <c r="AN85" s="122">
        <f t="shared" si="5"/>
        <v>-3.1382860000000008</v>
      </c>
      <c r="AO85" s="122">
        <f t="shared" si="6"/>
        <v>-3.6617199999999794E-3</v>
      </c>
      <c r="AP85" s="122">
        <f t="shared" si="7"/>
        <v>-5.6088399999999483E-3</v>
      </c>
      <c r="AQ85" s="88">
        <f t="shared" si="8"/>
        <v>3.4802299999999974E-3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34.042783</v>
      </c>
      <c r="Y86" s="190">
        <v>37.675784999999998</v>
      </c>
      <c r="Z86" s="190">
        <v>0.98710418</v>
      </c>
      <c r="AA86" s="62">
        <v>0.98763495000000001</v>
      </c>
      <c r="AB86" s="62">
        <v>2.5100210000000001E-2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-4.5618750000000006</v>
      </c>
      <c r="AN86" s="122">
        <f t="shared" si="5"/>
        <v>-5.3112840000000006</v>
      </c>
      <c r="AO86" s="122">
        <f t="shared" si="6"/>
        <v>-6.1533799999999861E-3</v>
      </c>
      <c r="AP86" s="122">
        <f t="shared" si="7"/>
        <v>-7.9572799999999555E-3</v>
      </c>
      <c r="AQ86" s="88">
        <f t="shared" si="8"/>
        <v>9.8319610000000019E-3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30.935381</v>
      </c>
      <c r="Y88" s="97">
        <v>34.594501000000001</v>
      </c>
      <c r="Z88" s="97">
        <v>0.97055846999999995</v>
      </c>
      <c r="AA88" s="60">
        <v>0.97524462000000001</v>
      </c>
      <c r="AB88" s="60">
        <v>5.1000904E-2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0.60460600000000042</v>
      </c>
      <c r="AN88" s="96">
        <f t="shared" si="5"/>
        <v>0.70558799999999877</v>
      </c>
      <c r="AO88" s="96">
        <f t="shared" si="6"/>
        <v>3.3726299999999876E-3</v>
      </c>
      <c r="AP88" s="96">
        <f t="shared" si="7"/>
        <v>2.9085800000000495E-3</v>
      </c>
      <c r="AQ88" s="121">
        <f t="shared" si="8"/>
        <v>-9.2689920000000037E-3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32.699241999999998</v>
      </c>
      <c r="Y89" s="190">
        <v>36.364460999999999</v>
      </c>
      <c r="Z89" s="190">
        <v>0.98036897000000001</v>
      </c>
      <c r="AA89" s="62">
        <v>0.98284278000000003</v>
      </c>
      <c r="AB89" s="62">
        <v>3.5892519999999997E-2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-0.75806599999999946</v>
      </c>
      <c r="AN89" s="122">
        <f t="shared" si="5"/>
        <v>-0.51611199999999968</v>
      </c>
      <c r="AO89" s="122">
        <f t="shared" si="6"/>
        <v>6.8358000000001695E-4</v>
      </c>
      <c r="AP89" s="122">
        <f t="shared" si="7"/>
        <v>-1.5227999999999353E-3</v>
      </c>
      <c r="AQ89" s="88">
        <f t="shared" si="8"/>
        <v>-3.5485740000000057E-3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33.744768999999998</v>
      </c>
      <c r="Y90" s="190">
        <v>37.517524000000002</v>
      </c>
      <c r="Z90" s="190">
        <v>0.98529878999999998</v>
      </c>
      <c r="AA90" s="62">
        <v>0.98665020000000003</v>
      </c>
      <c r="AB90" s="62">
        <v>2.6807580000000001E-2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-3.0084750000000042</v>
      </c>
      <c r="AN90" s="122">
        <f t="shared" si="5"/>
        <v>-3.2314019999999957</v>
      </c>
      <c r="AO90" s="122">
        <f t="shared" si="6"/>
        <v>-3.3285800000000254E-3</v>
      </c>
      <c r="AP90" s="122">
        <f t="shared" si="7"/>
        <v>-5.2806699999999873E-3</v>
      </c>
      <c r="AQ90" s="88">
        <f t="shared" si="8"/>
        <v>2.3543500000000016E-3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34.14819</v>
      </c>
      <c r="Y91" s="190">
        <v>37.998778000000001</v>
      </c>
      <c r="Z91" s="190">
        <v>0.98762132999999996</v>
      </c>
      <c r="AA91" s="62">
        <v>0.98787124999999998</v>
      </c>
      <c r="AB91" s="62">
        <v>2.1505479000000001E-2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-5.0733379999999997</v>
      </c>
      <c r="AN91" s="122">
        <f t="shared" si="5"/>
        <v>-5.4924169999999961</v>
      </c>
      <c r="AO91" s="122">
        <f t="shared" si="6"/>
        <v>-5.8629800000000731E-3</v>
      </c>
      <c r="AP91" s="122">
        <f t="shared" si="7"/>
        <v>-7.8533600000000314E-3</v>
      </c>
      <c r="AQ91" s="88">
        <f t="shared" si="8"/>
        <v>7.7682250000000001E-3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30.740368</v>
      </c>
      <c r="Y93" s="97">
        <v>34.562396999999997</v>
      </c>
      <c r="Z93" s="97">
        <v>0.97075725000000002</v>
      </c>
      <c r="AA93" s="60">
        <v>0.97579446000000003</v>
      </c>
      <c r="AB93" s="60">
        <v>5.2391592000000001E-2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0.3369800000000005</v>
      </c>
      <c r="AN93" s="96">
        <f t="shared" si="5"/>
        <v>0.44845499999999561</v>
      </c>
      <c r="AO93" s="96">
        <f t="shared" si="6"/>
        <v>3.4993899999999911E-3</v>
      </c>
      <c r="AP93" s="96">
        <f t="shared" si="7"/>
        <v>2.9238400000000109E-3</v>
      </c>
      <c r="AQ93" s="121">
        <f t="shared" si="8"/>
        <v>-8.7502159999999982E-3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32.458101999999997</v>
      </c>
      <c r="Y94" s="190">
        <v>36.269160999999997</v>
      </c>
      <c r="Z94" s="190">
        <v>0.98059057999999999</v>
      </c>
      <c r="AA94" s="62">
        <v>0.98340183000000003</v>
      </c>
      <c r="AB94" s="62">
        <v>3.7343559999999998E-2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-0.97853900000000493</v>
      </c>
      <c r="AN94" s="122">
        <f t="shared" si="5"/>
        <v>-0.80052500000000038</v>
      </c>
      <c r="AO94" s="122">
        <f t="shared" si="6"/>
        <v>7.4693999999997374E-4</v>
      </c>
      <c r="AP94" s="122">
        <f t="shared" si="7"/>
        <v>-1.3005999999999851E-3</v>
      </c>
      <c r="AQ94" s="88">
        <f t="shared" si="8"/>
        <v>-3.2705870000000054E-3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33.490850000000002</v>
      </c>
      <c r="Y95" s="190">
        <v>37.355829999999997</v>
      </c>
      <c r="Z95" s="190">
        <v>0.98561783000000003</v>
      </c>
      <c r="AA95" s="62">
        <v>0.98716899000000002</v>
      </c>
      <c r="AB95" s="62">
        <v>2.8059089999999998E-2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-3.2993120000000005</v>
      </c>
      <c r="AN95" s="122">
        <f t="shared" si="5"/>
        <v>-3.3578270000000003</v>
      </c>
      <c r="AO95" s="122">
        <f t="shared" si="6"/>
        <v>-3.1646499999999911E-3</v>
      </c>
      <c r="AP95" s="122">
        <f t="shared" si="7"/>
        <v>-5.0026599999999366E-3</v>
      </c>
      <c r="AQ95" s="88">
        <f t="shared" si="8"/>
        <v>3.3525679999999967E-3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33.990169000000002</v>
      </c>
      <c r="Y96" s="190">
        <v>37.919367999999999</v>
      </c>
      <c r="Z96" s="190">
        <v>0.98789336000000005</v>
      </c>
      <c r="AA96" s="62">
        <v>0.98839880000000002</v>
      </c>
      <c r="AB96" s="62">
        <v>2.193873E-2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-5.7194719999999961</v>
      </c>
      <c r="AN96" s="122">
        <f t="shared" si="5"/>
        <v>-5.9735550000000046</v>
      </c>
      <c r="AO96" s="122">
        <f t="shared" si="6"/>
        <v>-5.6765099999999125E-3</v>
      </c>
      <c r="AP96" s="122">
        <f t="shared" si="7"/>
        <v>-7.3114499999999971E-3</v>
      </c>
      <c r="AQ96" s="88">
        <f t="shared" si="8"/>
        <v>8.6783209999999993E-3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31.085781999999998</v>
      </c>
      <c r="Y98" s="97">
        <v>35.013433999999997</v>
      </c>
      <c r="Z98" s="97">
        <v>0.96951361000000003</v>
      </c>
      <c r="AA98" s="60">
        <v>0.97569534999999996</v>
      </c>
      <c r="AB98" s="60">
        <v>5.0909205999999999E-2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0.22326999999999941</v>
      </c>
      <c r="AN98" s="96">
        <f t="shared" si="15"/>
        <v>0.29251899999999864</v>
      </c>
      <c r="AO98" s="96">
        <f t="shared" si="16"/>
        <v>3.423130000000052E-3</v>
      </c>
      <c r="AP98" s="96">
        <f t="shared" si="17"/>
        <v>2.5205400000000155E-3</v>
      </c>
      <c r="AQ98" s="121">
        <f t="shared" si="18"/>
        <v>-8.1557039999999997E-3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32.982981000000002</v>
      </c>
      <c r="Y99" s="190">
        <v>36.752448999999999</v>
      </c>
      <c r="Z99" s="190">
        <v>0.98017204999999996</v>
      </c>
      <c r="AA99" s="62">
        <v>0.98359558000000002</v>
      </c>
      <c r="AB99" s="62">
        <v>3.505631E-2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-1.1260829999999942</v>
      </c>
      <c r="AN99" s="122">
        <f t="shared" si="15"/>
        <v>-0.8877470000000045</v>
      </c>
      <c r="AO99" s="122">
        <f t="shared" si="16"/>
        <v>6.4155999999992996E-4</v>
      </c>
      <c r="AP99" s="122">
        <f t="shared" si="17"/>
        <v>-1.1206999999999745E-3</v>
      </c>
      <c r="AQ99" s="88">
        <f t="shared" si="18"/>
        <v>-2.8081069999999972E-3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34.073515999999998</v>
      </c>
      <c r="Y100" s="190">
        <v>37.814264000000001</v>
      </c>
      <c r="Z100" s="190">
        <v>0.98549471</v>
      </c>
      <c r="AA100" s="62">
        <v>0.98789201999999998</v>
      </c>
      <c r="AB100" s="62">
        <v>2.6734686000000001E-2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-3.2054240000000007</v>
      </c>
      <c r="AN100" s="122">
        <f t="shared" si="15"/>
        <v>-3.1817959999999985</v>
      </c>
      <c r="AO100" s="122">
        <f t="shared" si="16"/>
        <v>-3.3446700000000495E-3</v>
      </c>
      <c r="AP100" s="122">
        <f t="shared" si="17"/>
        <v>-4.3799600000000716E-3</v>
      </c>
      <c r="AQ100" s="88">
        <f t="shared" si="18"/>
        <v>3.0194709999999993E-3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34.540937999999997</v>
      </c>
      <c r="Y101" s="190">
        <v>38.399721999999997</v>
      </c>
      <c r="Z101" s="190">
        <v>0.98777086000000003</v>
      </c>
      <c r="AA101" s="62">
        <v>0.98930960999999995</v>
      </c>
      <c r="AB101" s="62">
        <v>2.1361939999999999E-2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-5.8934190000000015</v>
      </c>
      <c r="AN101" s="122">
        <f t="shared" si="15"/>
        <v>-5.9481940000000009</v>
      </c>
      <c r="AO101" s="122">
        <f t="shared" si="16"/>
        <v>-5.87282999999994E-3</v>
      </c>
      <c r="AP101" s="122">
        <f t="shared" si="17"/>
        <v>-6.5481800000000145E-3</v>
      </c>
      <c r="AQ101" s="88">
        <f t="shared" si="18"/>
        <v>8.8626989999999999E-3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31.307496</v>
      </c>
      <c r="Y103" s="97">
        <v>34.993639000000002</v>
      </c>
      <c r="Z103" s="97">
        <v>0.96883328999999996</v>
      </c>
      <c r="AA103" s="60">
        <v>0.97925903999999997</v>
      </c>
      <c r="AB103" s="60">
        <v>6.8189725000000007E-2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0.58711699999999922</v>
      </c>
      <c r="AN103" s="96">
        <f t="shared" si="15"/>
        <v>0.69756399999999985</v>
      </c>
      <c r="AO103" s="96">
        <f t="shared" si="16"/>
        <v>1.3160299999999125E-3</v>
      </c>
      <c r="AP103" s="96">
        <f t="shared" si="17"/>
        <v>3.5003399999999907E-3</v>
      </c>
      <c r="AQ103" s="121">
        <f t="shared" si="18"/>
        <v>-4.6624249999999978E-3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32.907311999999997</v>
      </c>
      <c r="Y104" s="190">
        <v>36.706156</v>
      </c>
      <c r="Z104" s="190">
        <v>0.97982610999999997</v>
      </c>
      <c r="AA104" s="62">
        <v>0.98606621000000005</v>
      </c>
      <c r="AB104" s="62">
        <v>4.8076805E-2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-0.56269500000000505</v>
      </c>
      <c r="AN104" s="122">
        <f t="shared" si="15"/>
        <v>-0.19559600000000188</v>
      </c>
      <c r="AO104" s="122">
        <f t="shared" si="16"/>
        <v>-2.3749000000006237E-4</v>
      </c>
      <c r="AP104" s="122">
        <f t="shared" si="17"/>
        <v>6.8650000000003431E-5</v>
      </c>
      <c r="AQ104" s="88">
        <f t="shared" si="18"/>
        <v>1.4072500000000127E-4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33.812995000000001</v>
      </c>
      <c r="Y105" s="190">
        <v>37.846488999999998</v>
      </c>
      <c r="Z105" s="190">
        <v>0.98568487000000005</v>
      </c>
      <c r="AA105" s="62">
        <v>0.98970913999999999</v>
      </c>
      <c r="AB105" s="62">
        <v>3.5417650000000002E-2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-2.1863159999999979</v>
      </c>
      <c r="AN105" s="122">
        <f t="shared" si="15"/>
        <v>-2.3537670000000048</v>
      </c>
      <c r="AO105" s="122">
        <f t="shared" si="16"/>
        <v>-3.6402199999999718E-3</v>
      </c>
      <c r="AP105" s="122">
        <f t="shared" si="17"/>
        <v>-3.1964199999999776E-3</v>
      </c>
      <c r="AQ105" s="88">
        <f t="shared" si="18"/>
        <v>3.6455900000000041E-3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34.287542000000002</v>
      </c>
      <c r="Y106" s="190">
        <v>38.408731000000003</v>
      </c>
      <c r="Z106" s="190">
        <v>0.98789906000000005</v>
      </c>
      <c r="AA106" s="62">
        <v>0.99118879999999998</v>
      </c>
      <c r="AB106" s="62">
        <v>2.9039822999999999E-2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-4.2479589999999945</v>
      </c>
      <c r="AN106" s="122">
        <f t="shared" si="15"/>
        <v>-4.5128689999999949</v>
      </c>
      <c r="AO106" s="122">
        <f t="shared" si="16"/>
        <v>-5.6286499999999018E-3</v>
      </c>
      <c r="AP106" s="122">
        <f t="shared" si="17"/>
        <v>-4.8557999999999657E-3</v>
      </c>
      <c r="AQ106" s="88">
        <f t="shared" si="18"/>
        <v>1.0008367000000001E-2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32.085265999999997</v>
      </c>
      <c r="Y108" s="97">
        <v>35.726495999999997</v>
      </c>
      <c r="Z108" s="97">
        <v>0.97101643000000004</v>
      </c>
      <c r="AA108" s="60">
        <v>0.98075014000000005</v>
      </c>
      <c r="AB108" s="60">
        <v>5.9117620000000003E-2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0.98799799999999749</v>
      </c>
      <c r="AN108" s="96">
        <f t="shared" si="15"/>
        <v>0.99732699999999852</v>
      </c>
      <c r="AO108" s="96">
        <f t="shared" si="16"/>
        <v>1.5733199999999892E-3</v>
      </c>
      <c r="AP108" s="96">
        <f t="shared" si="17"/>
        <v>3.3864400000001016E-3</v>
      </c>
      <c r="AQ108" s="121">
        <f t="shared" si="18"/>
        <v>-5.4254099999999986E-3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33.821230999999997</v>
      </c>
      <c r="Y109" s="190">
        <v>37.531481999999997</v>
      </c>
      <c r="Z109" s="190">
        <v>0.98091481999999997</v>
      </c>
      <c r="AA109" s="62">
        <v>0.98692888999999995</v>
      </c>
      <c r="AB109" s="62">
        <v>4.1784514000000002E-2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-0.10525499999999965</v>
      </c>
      <c r="AN109" s="122">
        <f t="shared" si="15"/>
        <v>0.21246899999999869</v>
      </c>
      <c r="AO109" s="122">
        <f t="shared" si="16"/>
        <v>1.6810000000000436E-4</v>
      </c>
      <c r="AP109" s="122">
        <f t="shared" si="17"/>
        <v>4.5701999999991916E-4</v>
      </c>
      <c r="AQ109" s="88">
        <f t="shared" si="18"/>
        <v>-1.4273339999999954E-3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34.800682999999999</v>
      </c>
      <c r="Y110" s="190">
        <v>38.669274999999999</v>
      </c>
      <c r="Z110" s="190">
        <v>0.98625657</v>
      </c>
      <c r="AA110" s="62">
        <v>0.99024009999999996</v>
      </c>
      <c r="AB110" s="62">
        <v>3.1818279999999997E-2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-2.4293309999999977</v>
      </c>
      <c r="AN110" s="122">
        <f t="shared" si="15"/>
        <v>-2.3594289999999987</v>
      </c>
      <c r="AO110" s="122">
        <f t="shared" si="16"/>
        <v>-2.9935399999999612E-3</v>
      </c>
      <c r="AP110" s="122">
        <f t="shared" si="17"/>
        <v>-2.6684000000000152E-3</v>
      </c>
      <c r="AQ110" s="88">
        <f t="shared" si="18"/>
        <v>5.316363999999997E-3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35.330001000000003</v>
      </c>
      <c r="Y111" s="190">
        <v>39.247433999999998</v>
      </c>
      <c r="Z111" s="190">
        <v>0.98845059000000002</v>
      </c>
      <c r="AA111" s="62">
        <v>0.99170554</v>
      </c>
      <c r="AB111" s="62">
        <v>2.6209106999999999E-2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-3.6981789999999961</v>
      </c>
      <c r="AN111" s="122">
        <f t="shared" si="15"/>
        <v>-4.101733000000003</v>
      </c>
      <c r="AO111" s="122">
        <f t="shared" si="16"/>
        <v>-5.0886399999999776E-3</v>
      </c>
      <c r="AP111" s="122">
        <f t="shared" si="17"/>
        <v>-4.3172799999999789E-3</v>
      </c>
      <c r="AQ111" s="88">
        <f t="shared" si="18"/>
        <v>7.8630950000000005E-3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31.796029000000001</v>
      </c>
      <c r="Y113" s="97">
        <v>35.574176999999999</v>
      </c>
      <c r="Z113" s="97">
        <v>0.97183987999999999</v>
      </c>
      <c r="AA113" s="60">
        <v>0.98141869999999998</v>
      </c>
      <c r="AB113" s="60">
        <v>6.1632304999999998E-2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0.71761700000000062</v>
      </c>
      <c r="AN113" s="96">
        <f t="shared" si="15"/>
        <v>0.87237100000000112</v>
      </c>
      <c r="AO113" s="96">
        <f t="shared" si="16"/>
        <v>1.6068799999999772E-3</v>
      </c>
      <c r="AP113" s="96">
        <f t="shared" si="17"/>
        <v>3.449909999999945E-3</v>
      </c>
      <c r="AQ113" s="121">
        <f t="shared" si="18"/>
        <v>-5.1568349999999985E-3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33.332371999999999</v>
      </c>
      <c r="Y114" s="190">
        <v>37.249983999999998</v>
      </c>
      <c r="Z114" s="190">
        <v>0.98111636999999996</v>
      </c>
      <c r="AA114" s="62">
        <v>0.98679815999999998</v>
      </c>
      <c r="AB114" s="62">
        <v>4.5818563999999999E-2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-9.5565000000000566E-2</v>
      </c>
      <c r="AN114" s="122">
        <f t="shared" si="15"/>
        <v>9.101299999999668E-2</v>
      </c>
      <c r="AO114" s="122">
        <f t="shared" si="16"/>
        <v>1.3929999999939824E-5</v>
      </c>
      <c r="AP114" s="122">
        <f t="shared" si="17"/>
        <v>3.514799999999596E-4</v>
      </c>
      <c r="AQ114" s="88">
        <f t="shared" si="18"/>
        <v>-1.8788529999999998E-3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34.352241999999997</v>
      </c>
      <c r="Y115" s="190">
        <v>38.404316000000001</v>
      </c>
      <c r="Z115" s="190">
        <v>0.98612522999999996</v>
      </c>
      <c r="AA115" s="62">
        <v>0.99029792000000005</v>
      </c>
      <c r="AB115" s="62">
        <v>3.7697759999999997E-2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-2.0065230000000014</v>
      </c>
      <c r="AN115" s="122">
        <f t="shared" si="15"/>
        <v>-2.1056659999999994</v>
      </c>
      <c r="AO115" s="122">
        <f t="shared" si="16"/>
        <v>-3.0646100000000231E-3</v>
      </c>
      <c r="AP115" s="122">
        <f t="shared" si="17"/>
        <v>-2.5297899999999762E-3</v>
      </c>
      <c r="AQ115" s="88">
        <f t="shared" si="18"/>
        <v>7.0600789999999969E-3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34.802916000000003</v>
      </c>
      <c r="Y116" s="190">
        <v>38.895674999999997</v>
      </c>
      <c r="Z116" s="190">
        <v>0.98829425999999998</v>
      </c>
      <c r="AA116" s="62">
        <v>0.99164892000000004</v>
      </c>
      <c r="AB116" s="62">
        <v>3.2191575E-2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-4.4860149999999948</v>
      </c>
      <c r="AN116" s="122">
        <f t="shared" si="15"/>
        <v>-4.626650000000005</v>
      </c>
      <c r="AO116" s="122">
        <f t="shared" si="16"/>
        <v>-5.228110000000008E-3</v>
      </c>
      <c r="AP116" s="122">
        <f t="shared" si="17"/>
        <v>-4.4732999999999024E-3</v>
      </c>
      <c r="AQ116" s="88">
        <f t="shared" si="18"/>
        <v>1.5473882000000001E-2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32.488312999999998</v>
      </c>
      <c r="Y118" s="97">
        <v>36.035727999999999</v>
      </c>
      <c r="Z118" s="97">
        <v>0.97265122000000004</v>
      </c>
      <c r="AA118" s="60">
        <v>0.98224632999999995</v>
      </c>
      <c r="AB118" s="60">
        <v>5.5096609999999997E-2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0.59996199999999789</v>
      </c>
      <c r="AN118" s="96">
        <f t="shared" si="15"/>
        <v>0.73980900000000105</v>
      </c>
      <c r="AO118" s="96">
        <f t="shared" si="16"/>
        <v>1.2769599999999937E-3</v>
      </c>
      <c r="AP118" s="96">
        <f t="shared" si="17"/>
        <v>2.5984799999999586E-3</v>
      </c>
      <c r="AQ118" s="121">
        <f t="shared" si="18"/>
        <v>-5.2281500000000009E-3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34.076247000000002</v>
      </c>
      <c r="Y119" s="190">
        <v>37.726235000000003</v>
      </c>
      <c r="Z119" s="190">
        <v>0.98137602999999995</v>
      </c>
      <c r="AA119" s="62">
        <v>0.98764774</v>
      </c>
      <c r="AB119" s="62">
        <v>4.0267490000000003E-2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0.10295500000000146</v>
      </c>
      <c r="AN119" s="122">
        <f t="shared" si="15"/>
        <v>0.19946400000000608</v>
      </c>
      <c r="AO119" s="122">
        <f t="shared" si="16"/>
        <v>1.0712999999995532E-4</v>
      </c>
      <c r="AP119" s="122">
        <f t="shared" si="17"/>
        <v>5.1131000000004256E-4</v>
      </c>
      <c r="AQ119" s="88">
        <f t="shared" si="18"/>
        <v>-2.5060999999999972E-3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35.233220000000003</v>
      </c>
      <c r="Y120" s="190">
        <v>38.994878</v>
      </c>
      <c r="Z120" s="190">
        <v>0.98613251000000002</v>
      </c>
      <c r="AA120" s="62">
        <v>0.99039173999999996</v>
      </c>
      <c r="AB120" s="62">
        <v>3.1826276000000001E-2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-1.6657790000000006</v>
      </c>
      <c r="AN120" s="122">
        <f t="shared" si="15"/>
        <v>-1.8601839999999967</v>
      </c>
      <c r="AO120" s="122">
        <f t="shared" si="16"/>
        <v>-2.9232299999999434E-3</v>
      </c>
      <c r="AP120" s="122">
        <f t="shared" si="17"/>
        <v>-2.6606100000000632E-3</v>
      </c>
      <c r="AQ120" s="88">
        <f t="shared" si="18"/>
        <v>4.8151389999999995E-3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35.706190999999997</v>
      </c>
      <c r="Y121" s="190">
        <v>39.504013</v>
      </c>
      <c r="Z121" s="190">
        <v>0.98823680000000003</v>
      </c>
      <c r="AA121" s="62">
        <v>0.99157779999999995</v>
      </c>
      <c r="AB121" s="62">
        <v>2.7344500000000001E-2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-4.132552000000004</v>
      </c>
      <c r="AN121" s="122">
        <f t="shared" si="15"/>
        <v>-4.4736630000000019</v>
      </c>
      <c r="AO121" s="122">
        <f t="shared" si="16"/>
        <v>-5.2335299999999307E-3</v>
      </c>
      <c r="AP121" s="122">
        <f t="shared" si="17"/>
        <v>-4.5531800000000455E-3</v>
      </c>
      <c r="AQ121" s="88">
        <f t="shared" si="18"/>
        <v>1.2601315E-2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32.794687000000003</v>
      </c>
      <c r="Y123" s="97">
        <v>36.400770000000001</v>
      </c>
      <c r="Z123" s="97">
        <v>0.97317836000000002</v>
      </c>
      <c r="AA123" s="60">
        <v>0.98242691000000004</v>
      </c>
      <c r="AB123" s="60">
        <v>5.3223565E-2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0.76469800000000276</v>
      </c>
      <c r="AN123" s="96">
        <f t="shared" si="15"/>
        <v>0.78571600000000075</v>
      </c>
      <c r="AO123" s="96">
        <f t="shared" si="16"/>
        <v>1.5661799999999726E-3</v>
      </c>
      <c r="AP123" s="96">
        <f t="shared" si="17"/>
        <v>3.0911399999999922E-3</v>
      </c>
      <c r="AQ123" s="121">
        <f t="shared" si="18"/>
        <v>-5.3590989999999991E-3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34.385416999999997</v>
      </c>
      <c r="Y124" s="190">
        <v>38.049075000000002</v>
      </c>
      <c r="Z124" s="190">
        <v>0.98182970999999997</v>
      </c>
      <c r="AA124" s="62">
        <v>0.98727997000000001</v>
      </c>
      <c r="AB124" s="62">
        <v>3.8479767999999998E-2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7.5851000000000113E-2</v>
      </c>
      <c r="AN124" s="122">
        <f t="shared" si="15"/>
        <v>0.38719900000000251</v>
      </c>
      <c r="AO124" s="122">
        <f t="shared" si="16"/>
        <v>3.0819999999998071E-4</v>
      </c>
      <c r="AP124" s="122">
        <f t="shared" si="17"/>
        <v>8.3130000000042337E-5</v>
      </c>
      <c r="AQ124" s="88">
        <f t="shared" si="18"/>
        <v>-2.959415E-3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35.683877000000003</v>
      </c>
      <c r="Y125" s="190">
        <v>39.451388999999999</v>
      </c>
      <c r="Z125" s="190">
        <v>0.98668816999999998</v>
      </c>
      <c r="AA125" s="62">
        <v>0.99129323999999996</v>
      </c>
      <c r="AB125" s="62">
        <v>2.8624653999999999E-2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-1.7491419999999991</v>
      </c>
      <c r="AN125" s="122">
        <f t="shared" si="15"/>
        <v>-1.7403919999999999</v>
      </c>
      <c r="AO125" s="122">
        <f t="shared" si="16"/>
        <v>-2.5404399999999772E-3</v>
      </c>
      <c r="AP125" s="122">
        <f t="shared" si="17"/>
        <v>-1.8095900000000276E-3</v>
      </c>
      <c r="AQ125" s="88">
        <f t="shared" si="18"/>
        <v>2.8851480000000006E-3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36.387723999999999</v>
      </c>
      <c r="Y126" s="190">
        <v>40.115310000000001</v>
      </c>
      <c r="Z126" s="190">
        <v>0.98876238000000005</v>
      </c>
      <c r="AA126" s="62">
        <v>0.99234153999999997</v>
      </c>
      <c r="AB126" s="62">
        <v>2.3190809999999999E-2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-4.0531750000000031</v>
      </c>
      <c r="AN126" s="122">
        <f t="shared" si="15"/>
        <v>-4.3140840000000011</v>
      </c>
      <c r="AO126" s="122">
        <f t="shared" si="16"/>
        <v>-4.8251499999999448E-3</v>
      </c>
      <c r="AP126" s="122">
        <f t="shared" si="17"/>
        <v>-3.8048999999999999E-3</v>
      </c>
      <c r="AQ126" s="88">
        <f t="shared" si="18"/>
        <v>9.3615004999999998E-3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32.696393999999998</v>
      </c>
      <c r="Y128" s="97">
        <v>36.422255999999997</v>
      </c>
      <c r="Z128" s="97">
        <v>0.97337837000000005</v>
      </c>
      <c r="AA128" s="60">
        <v>0.98217986000000002</v>
      </c>
      <c r="AB128" s="60">
        <v>5.3734669999999998E-2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0.66797799999999796</v>
      </c>
      <c r="AN128" s="96">
        <f t="shared" si="15"/>
        <v>0.6368009999999984</v>
      </c>
      <c r="AO128" s="96">
        <f t="shared" si="16"/>
        <v>1.3596900000000245E-3</v>
      </c>
      <c r="AP128" s="96">
        <f t="shared" si="17"/>
        <v>2.8203300000000375E-3</v>
      </c>
      <c r="AQ128" s="121">
        <f t="shared" si="18"/>
        <v>-4.555856000000004E-3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34.033951999999999</v>
      </c>
      <c r="Y129" s="190">
        <v>37.839550000000003</v>
      </c>
      <c r="Z129" s="190">
        <v>0.98200953000000002</v>
      </c>
      <c r="AA129" s="62">
        <v>0.98764362999999999</v>
      </c>
      <c r="AB129" s="62">
        <v>3.9564423000000001E-2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-0.11518699999999882</v>
      </c>
      <c r="AN129" s="122">
        <f t="shared" si="15"/>
        <v>3.8077000000001249E-2</v>
      </c>
      <c r="AO129" s="122">
        <f t="shared" si="16"/>
        <v>2.5532999999999806E-4</v>
      </c>
      <c r="AP129" s="122">
        <f t="shared" si="17"/>
        <v>7.2950999999998878E-4</v>
      </c>
      <c r="AQ129" s="88">
        <f t="shared" si="18"/>
        <v>-1.869618999999996E-3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35.104750000000003</v>
      </c>
      <c r="Y130" s="190">
        <v>38.900996999999997</v>
      </c>
      <c r="Z130" s="190">
        <v>0.98700763000000002</v>
      </c>
      <c r="AA130" s="62">
        <v>0.99125138000000002</v>
      </c>
      <c r="AB130" s="62">
        <v>2.8648725E-2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-2.3203849999999946</v>
      </c>
      <c r="AN130" s="122">
        <f t="shared" si="15"/>
        <v>-2.2428629999999998</v>
      </c>
      <c r="AO130" s="122">
        <f t="shared" si="16"/>
        <v>-2.5018199999999879E-3</v>
      </c>
      <c r="AP130" s="122">
        <f t="shared" si="17"/>
        <v>-1.8804799999999622E-3</v>
      </c>
      <c r="AQ130" s="88">
        <f t="shared" si="18"/>
        <v>3.8920399999999994E-3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35.884866000000002</v>
      </c>
      <c r="Y131" s="190">
        <v>39.575693999999999</v>
      </c>
      <c r="Z131" s="190">
        <v>0.98905624999999997</v>
      </c>
      <c r="AA131" s="62">
        <v>0.99234228000000002</v>
      </c>
      <c r="AB131" s="62">
        <v>2.2548819000000001E-2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-5.1172569999999951</v>
      </c>
      <c r="AN131" s="122">
        <f t="shared" si="15"/>
        <v>-5.2861720000000005</v>
      </c>
      <c r="AO131" s="122">
        <f t="shared" si="16"/>
        <v>-4.7046200000000482E-3</v>
      </c>
      <c r="AP131" s="122">
        <f t="shared" si="17"/>
        <v>-3.9823799999999521E-3</v>
      </c>
      <c r="AQ131" s="88">
        <f t="shared" si="18"/>
        <v>9.7359350000000011E-3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33.084423000000001</v>
      </c>
      <c r="Y133" s="97">
        <v>36.779980000000002</v>
      </c>
      <c r="Z133" s="97">
        <v>0.97174263999999999</v>
      </c>
      <c r="AA133" s="60">
        <v>0.98187996</v>
      </c>
      <c r="AB133" s="60">
        <v>5.3959492999999997E-2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0.90937100000000015</v>
      </c>
      <c r="AN133" s="96">
        <f t="shared" si="15"/>
        <v>0.68964600000000331</v>
      </c>
      <c r="AO133" s="96">
        <f t="shared" si="16"/>
        <v>1.3161000000000422E-3</v>
      </c>
      <c r="AP133" s="96">
        <f t="shared" si="17"/>
        <v>3.3019199999999582E-3</v>
      </c>
      <c r="AQ133" s="121">
        <f t="shared" si="18"/>
        <v>-5.1304070000000035E-3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34.575961999999997</v>
      </c>
      <c r="Y134" s="190">
        <v>38.238090999999997</v>
      </c>
      <c r="Z134" s="190">
        <v>0.98144282000000005</v>
      </c>
      <c r="AA134" s="62">
        <v>0.98691019999999996</v>
      </c>
      <c r="AB134" s="62">
        <v>3.8001444000000002E-2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7.7237999999994145E-2</v>
      </c>
      <c r="AN134" s="122">
        <f t="shared" si="15"/>
        <v>9.9508999999997627E-2</v>
      </c>
      <c r="AO134" s="122">
        <f t="shared" si="16"/>
        <v>-3.7960000000003546E-5</v>
      </c>
      <c r="AP134" s="122">
        <f t="shared" si="17"/>
        <v>2.4196999999992475E-4</v>
      </c>
      <c r="AQ134" s="88">
        <f t="shared" si="18"/>
        <v>-2.0896679999999959E-3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35.860514999999999</v>
      </c>
      <c r="Y135" s="190">
        <v>39.50947</v>
      </c>
      <c r="Z135" s="190">
        <v>0.98675626999999999</v>
      </c>
      <c r="AA135" s="62">
        <v>0.99096565999999997</v>
      </c>
      <c r="AB135" s="62">
        <v>2.7520065999999999E-2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-1.9748739999999998</v>
      </c>
      <c r="AN135" s="122">
        <f t="shared" si="15"/>
        <v>-1.867286</v>
      </c>
      <c r="AO135" s="122">
        <f t="shared" si="16"/>
        <v>-2.9962500000000336E-3</v>
      </c>
      <c r="AP135" s="122">
        <f t="shared" si="17"/>
        <v>-2.2671100000000166E-3</v>
      </c>
      <c r="AQ135" s="88">
        <f t="shared" si="18"/>
        <v>3.1130909999999984E-3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36.636079000000002</v>
      </c>
      <c r="Y136" s="190">
        <v>40.218893000000001</v>
      </c>
      <c r="Z136" s="190">
        <v>0.98878683000000001</v>
      </c>
      <c r="AA136" s="62">
        <v>0.99215233999999997</v>
      </c>
      <c r="AB136" s="62">
        <v>2.2341799999999998E-2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-4.9589700000000008</v>
      </c>
      <c r="AN136" s="122">
        <f t="shared" si="15"/>
        <v>-4.9628079999999954</v>
      </c>
      <c r="AO136" s="122">
        <f t="shared" si="16"/>
        <v>-5.0324800000000058E-3</v>
      </c>
      <c r="AP136" s="122">
        <f t="shared" si="17"/>
        <v>-4.1860300000000628E-3</v>
      </c>
      <c r="AQ136" s="88">
        <f t="shared" si="18"/>
        <v>9.7247539999999986E-3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28.260946000000001</v>
      </c>
      <c r="Y641" s="136">
        <f t="shared" si="60"/>
        <v>31.964936999999999</v>
      </c>
      <c r="Z641" s="136">
        <f t="shared" si="60"/>
        <v>0.96277800999999996</v>
      </c>
      <c r="AA641" s="136">
        <f t="shared" si="60"/>
        <v>0.97099601999999996</v>
      </c>
      <c r="AB641" s="136">
        <f t="shared" si="60"/>
        <v>5.0909205999999999E-2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30.241652999999999</v>
      </c>
      <c r="Y642" s="18">
        <f t="shared" si="60"/>
        <v>33.848480000000002</v>
      </c>
      <c r="Z642" s="18">
        <f t="shared" si="60"/>
        <v>0.97568021000000005</v>
      </c>
      <c r="AA642" s="18">
        <f t="shared" si="60"/>
        <v>0.97900978000000005</v>
      </c>
      <c r="AB642" s="18">
        <f t="shared" si="60"/>
        <v>3.505631E-2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31.374734</v>
      </c>
      <c r="Y643" s="18">
        <f t="shared" si="60"/>
        <v>35.361707000000003</v>
      </c>
      <c r="Z643" s="18">
        <f t="shared" si="60"/>
        <v>0.98200445000000003</v>
      </c>
      <c r="AA643" s="18">
        <f t="shared" si="60"/>
        <v>0.98341719000000005</v>
      </c>
      <c r="AB643" s="18">
        <f t="shared" si="60"/>
        <v>2.6734686000000001E-2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31.771076000000001</v>
      </c>
      <c r="Y644" s="18">
        <f t="shared" si="60"/>
        <v>35.911681999999999</v>
      </c>
      <c r="Z644" s="18">
        <f t="shared" si="60"/>
        <v>0.98464059000000004</v>
      </c>
      <c r="AA644" s="18">
        <f t="shared" si="60"/>
        <v>0.98490012999999998</v>
      </c>
      <c r="AB644" s="18">
        <f t="shared" si="60"/>
        <v>2.1361939999999999E-2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33.084423000000001</v>
      </c>
      <c r="Y646" s="136">
        <f t="shared" si="62"/>
        <v>36.779980000000002</v>
      </c>
      <c r="Z646" s="136">
        <f t="shared" si="62"/>
        <v>0.97337837000000005</v>
      </c>
      <c r="AA646" s="136">
        <f t="shared" si="62"/>
        <v>0.98242691000000004</v>
      </c>
      <c r="AB646" s="136">
        <f t="shared" si="62"/>
        <v>7.3202959999999997E-2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34.575961999999997</v>
      </c>
      <c r="Y647" s="18">
        <f t="shared" si="62"/>
        <v>38.238090999999997</v>
      </c>
      <c r="Z647" s="18">
        <f t="shared" si="62"/>
        <v>0.98200953000000002</v>
      </c>
      <c r="AA647" s="18">
        <f t="shared" si="62"/>
        <v>0.98764774</v>
      </c>
      <c r="AB647" s="18">
        <f t="shared" si="62"/>
        <v>5.0929356000000002E-2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35.860514999999999</v>
      </c>
      <c r="Y648" s="18">
        <f t="shared" si="62"/>
        <v>39.50947</v>
      </c>
      <c r="Z648" s="18">
        <f t="shared" si="62"/>
        <v>0.98700763000000002</v>
      </c>
      <c r="AA648" s="18">
        <f t="shared" si="62"/>
        <v>0.99129323999999996</v>
      </c>
      <c r="AB648" s="18">
        <f t="shared" si="62"/>
        <v>3.7946153000000003E-2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36.636079000000002</v>
      </c>
      <c r="Y649" s="18">
        <f t="shared" si="62"/>
        <v>40.218893000000001</v>
      </c>
      <c r="Z649" s="18">
        <f t="shared" si="62"/>
        <v>0.98905624999999997</v>
      </c>
      <c r="AA649" s="18">
        <f t="shared" si="62"/>
        <v>0.99234228000000002</v>
      </c>
      <c r="AB649" s="18">
        <f t="shared" si="62"/>
        <v>3.2191575E-2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4.8234770000000005</v>
      </c>
      <c r="Y651" s="136">
        <f t="shared" si="64"/>
        <v>4.8150430000000028</v>
      </c>
      <c r="Z651" s="136">
        <f t="shared" si="64"/>
        <v>1.0600360000000086E-2</v>
      </c>
      <c r="AA651" s="136">
        <f t="shared" si="64"/>
        <v>1.1430890000000082E-2</v>
      </c>
      <c r="AB651" s="136">
        <f t="shared" si="64"/>
        <v>2.2293753999999999E-2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4.3343089999999975</v>
      </c>
      <c r="Y652" s="18">
        <f t="shared" si="64"/>
        <v>4.389610999999995</v>
      </c>
      <c r="Z652" s="18">
        <f t="shared" si="64"/>
        <v>6.3293199999999716E-3</v>
      </c>
      <c r="AA652" s="18">
        <f t="shared" si="64"/>
        <v>8.6379599999999446E-3</v>
      </c>
      <c r="AB652" s="18">
        <f t="shared" si="64"/>
        <v>1.5873046000000002E-2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4.4857809999999994</v>
      </c>
      <c r="Y653" s="18">
        <f t="shared" si="64"/>
        <v>4.1477629999999976</v>
      </c>
      <c r="Z653" s="18">
        <f t="shared" si="64"/>
        <v>5.003179999999996E-3</v>
      </c>
      <c r="AA653" s="18">
        <f t="shared" si="64"/>
        <v>7.8760499999999123E-3</v>
      </c>
      <c r="AB653" s="18">
        <f t="shared" si="64"/>
        <v>1.1211467000000003E-2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4.8650030000000015</v>
      </c>
      <c r="Y654" s="18">
        <f t="shared" si="64"/>
        <v>4.3072110000000023</v>
      </c>
      <c r="Z654" s="18">
        <f t="shared" si="64"/>
        <v>4.4156599999999324E-3</v>
      </c>
      <c r="AA654" s="18">
        <f t="shared" si="64"/>
        <v>7.4421500000000362E-3</v>
      </c>
      <c r="AB654" s="18">
        <f t="shared" si="64"/>
        <v>1.0829635000000001E-2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2025-05-21T10:22:03Z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