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829D6D1F-82BB-4A73-96B4-84A89748B1A4}" xr6:coauthVersionLast="47" xr6:coauthVersionMax="47" xr10:uidLastSave="{00000000-0000-0000-0000-000000000000}"/>
  <bookViews>
    <workbookView xWindow="2724" yWindow="1848" windowWidth="12516" windowHeight="13524" activeTab="1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54" i="10" l="1"/>
  <c r="AB653" i="10"/>
  <c r="Z653" i="10"/>
  <c r="G653" i="10"/>
  <c r="X652" i="10"/>
  <c r="J652" i="10"/>
  <c r="J651" i="10"/>
  <c r="G651" i="10"/>
  <c r="AB649" i="10"/>
  <c r="AB654" i="10" s="1"/>
  <c r="AA649" i="10"/>
  <c r="AA654" i="10" s="1"/>
  <c r="Z649" i="10"/>
  <c r="Z654" i="10" s="1"/>
  <c r="Y649" i="10"/>
  <c r="Y654" i="10" s="1"/>
  <c r="X649" i="10"/>
  <c r="X654" i="10" s="1"/>
  <c r="J649" i="10"/>
  <c r="J654" i="10" s="1"/>
  <c r="I649" i="10"/>
  <c r="I654" i="10" s="1"/>
  <c r="H649" i="10"/>
  <c r="G649" i="10"/>
  <c r="G654" i="10" s="1"/>
  <c r="F649" i="10"/>
  <c r="F654" i="10" s="1"/>
  <c r="AB648" i="10"/>
  <c r="AA648" i="10"/>
  <c r="Z648" i="10"/>
  <c r="Y648" i="10"/>
  <c r="Y653" i="10" s="1"/>
  <c r="X648" i="10"/>
  <c r="X653" i="10" s="1"/>
  <c r="J648" i="10"/>
  <c r="J653" i="10" s="1"/>
  <c r="I648" i="10"/>
  <c r="H648" i="10"/>
  <c r="G648" i="10"/>
  <c r="F648" i="10"/>
  <c r="AB647" i="10"/>
  <c r="AA647" i="10"/>
  <c r="Z647" i="10"/>
  <c r="Y647" i="10"/>
  <c r="Y652" i="10" s="1"/>
  <c r="X647" i="10"/>
  <c r="J647" i="10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I646" i="10"/>
  <c r="I651" i="10" s="1"/>
  <c r="H646" i="10"/>
  <c r="H651" i="10" s="1"/>
  <c r="G646" i="10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AA653" i="10" s="1"/>
  <c r="Z643" i="10"/>
  <c r="Y643" i="10"/>
  <c r="X643" i="10"/>
  <c r="J643" i="10"/>
  <c r="I643" i="10"/>
  <c r="I653" i="10" s="1"/>
  <c r="H643" i="10"/>
  <c r="H653" i="10" s="1"/>
  <c r="G643" i="10"/>
  <c r="F643" i="10"/>
  <c r="F653" i="10" s="1"/>
  <c r="AB642" i="10"/>
  <c r="AB652" i="10" s="1"/>
  <c r="AA642" i="10"/>
  <c r="AA652" i="10" s="1"/>
  <c r="Z642" i="10"/>
  <c r="Z652" i="10" s="1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F651" i="10" s="1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E7" i="10" s="1"/>
  <c r="W24" i="10"/>
  <c r="W6" i="10" s="1"/>
  <c r="E24" i="10"/>
  <c r="W23" i="10"/>
  <c r="W5" i="10" s="1"/>
  <c r="E23" i="10"/>
  <c r="E5" i="10" s="1"/>
  <c r="U13" i="10"/>
  <c r="C13" i="10"/>
  <c r="AH10" i="10"/>
  <c r="R10" i="10"/>
  <c r="P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E6" i="10"/>
  <c r="AJ5" i="10"/>
  <c r="AJ10" i="10" s="1"/>
  <c r="AI5" i="10"/>
  <c r="AI10" i="10" s="1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AL2" i="10"/>
  <c r="U2" i="10"/>
  <c r="T2" i="10"/>
  <c r="C2" i="10"/>
  <c r="AB654" i="9"/>
  <c r="J654" i="9"/>
  <c r="I654" i="9"/>
  <c r="G654" i="9"/>
  <c r="F653" i="9"/>
  <c r="J652" i="9"/>
  <c r="I652" i="9"/>
  <c r="H652" i="9"/>
  <c r="Y651" i="9"/>
  <c r="I651" i="9"/>
  <c r="AB649" i="9"/>
  <c r="AA649" i="9"/>
  <c r="Z649" i="9"/>
  <c r="Y649" i="9"/>
  <c r="X649" i="9"/>
  <c r="J649" i="9"/>
  <c r="I649" i="9"/>
  <c r="H649" i="9"/>
  <c r="H654" i="9" s="1"/>
  <c r="G649" i="9"/>
  <c r="F649" i="9"/>
  <c r="F654" i="9" s="1"/>
  <c r="AB648" i="9"/>
  <c r="AB653" i="9" s="1"/>
  <c r="AA648" i="9"/>
  <c r="Z648" i="9"/>
  <c r="Z653" i="9" s="1"/>
  <c r="Y648" i="9"/>
  <c r="Y653" i="9" s="1"/>
  <c r="X648" i="9"/>
  <c r="X653" i="9" s="1"/>
  <c r="J648" i="9"/>
  <c r="J653" i="9" s="1"/>
  <c r="I648" i="9"/>
  <c r="I653" i="9" s="1"/>
  <c r="H648" i="9"/>
  <c r="H653" i="9" s="1"/>
  <c r="G648" i="9"/>
  <c r="G653" i="9" s="1"/>
  <c r="F648" i="9"/>
  <c r="AB647" i="9"/>
  <c r="AB652" i="9" s="1"/>
  <c r="AA647" i="9"/>
  <c r="AA652" i="9" s="1"/>
  <c r="Z647" i="9"/>
  <c r="Z652" i="9" s="1"/>
  <c r="Y647" i="9"/>
  <c r="X647" i="9"/>
  <c r="X652" i="9" s="1"/>
  <c r="J647" i="9"/>
  <c r="I647" i="9"/>
  <c r="H647" i="9"/>
  <c r="G647" i="9"/>
  <c r="F647" i="9"/>
  <c r="AB646" i="9"/>
  <c r="AA646" i="9"/>
  <c r="Z646" i="9"/>
  <c r="Y646" i="9"/>
  <c r="X646" i="9"/>
  <c r="J646" i="9"/>
  <c r="J651" i="9" s="1"/>
  <c r="I646" i="9"/>
  <c r="H646" i="9"/>
  <c r="H651" i="9" s="1"/>
  <c r="G646" i="9"/>
  <c r="G651" i="9" s="1"/>
  <c r="F646" i="9"/>
  <c r="AB644" i="9"/>
  <c r="AA644" i="9"/>
  <c r="AA654" i="9" s="1"/>
  <c r="Z644" i="9"/>
  <c r="Z654" i="9" s="1"/>
  <c r="Y644" i="9"/>
  <c r="Y654" i="9" s="1"/>
  <c r="X644" i="9"/>
  <c r="X654" i="9" s="1"/>
  <c r="J644" i="9"/>
  <c r="I644" i="9"/>
  <c r="H644" i="9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G652" i="9" s="1"/>
  <c r="F642" i="9"/>
  <c r="F652" i="9" s="1"/>
  <c r="AB641" i="9"/>
  <c r="AB651" i="9" s="1"/>
  <c r="AA641" i="9"/>
  <c r="AA651" i="9" s="1"/>
  <c r="Z641" i="9"/>
  <c r="Z651" i="9" s="1"/>
  <c r="Y641" i="9"/>
  <c r="X641" i="9"/>
  <c r="X651" i="9" s="1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E25" i="9"/>
  <c r="E7" i="9" s="1"/>
  <c r="W24" i="9"/>
  <c r="E24" i="9"/>
  <c r="W23" i="9"/>
  <c r="W5" i="9" s="1"/>
  <c r="E23" i="9"/>
  <c r="U13" i="9"/>
  <c r="C13" i="9"/>
  <c r="AJ10" i="9"/>
  <c r="AI10" i="9"/>
  <c r="R10" i="9"/>
  <c r="P10" i="9"/>
  <c r="AJ8" i="9"/>
  <c r="AI8" i="9"/>
  <c r="AH8" i="9"/>
  <c r="AB8" i="9"/>
  <c r="AA8" i="9"/>
  <c r="Z8" i="9"/>
  <c r="Y8" i="9"/>
  <c r="X8" i="9"/>
  <c r="R8" i="9"/>
  <c r="Q8" i="9"/>
  <c r="Q10" i="9" s="1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Q5" i="9"/>
  <c r="P5" i="9"/>
  <c r="J5" i="9"/>
  <c r="I5" i="9"/>
  <c r="H5" i="9"/>
  <c r="G5" i="9"/>
  <c r="F5" i="9"/>
  <c r="E5" i="9"/>
  <c r="AL2" i="9"/>
  <c r="U2" i="9"/>
  <c r="T2" i="9"/>
  <c r="C2" i="9"/>
  <c r="Z654" i="8"/>
  <c r="Y653" i="8"/>
  <c r="F653" i="8"/>
  <c r="AB652" i="8"/>
  <c r="AA652" i="8"/>
  <c r="I652" i="8"/>
  <c r="AB651" i="8"/>
  <c r="AB649" i="8"/>
  <c r="AA649" i="8"/>
  <c r="AA654" i="8" s="1"/>
  <c r="Z649" i="8"/>
  <c r="Y649" i="8"/>
  <c r="Y654" i="8" s="1"/>
  <c r="X649" i="8"/>
  <c r="X654" i="8" s="1"/>
  <c r="J649" i="8"/>
  <c r="I649" i="8"/>
  <c r="I654" i="8" s="1"/>
  <c r="H649" i="8"/>
  <c r="H654" i="8" s="1"/>
  <c r="G649" i="8"/>
  <c r="G654" i="8" s="1"/>
  <c r="F649" i="8"/>
  <c r="F654" i="8" s="1"/>
  <c r="AB648" i="8"/>
  <c r="AB653" i="8" s="1"/>
  <c r="AA648" i="8"/>
  <c r="AA653" i="8" s="1"/>
  <c r="Z648" i="8"/>
  <c r="Z653" i="8" s="1"/>
  <c r="Y648" i="8"/>
  <c r="X648" i="8"/>
  <c r="X653" i="8" s="1"/>
  <c r="J648" i="8"/>
  <c r="J653" i="8" s="1"/>
  <c r="I648" i="8"/>
  <c r="I653" i="8" s="1"/>
  <c r="H648" i="8"/>
  <c r="H653" i="8" s="1"/>
  <c r="G648" i="8"/>
  <c r="G653" i="8" s="1"/>
  <c r="F648" i="8"/>
  <c r="AB647" i="8"/>
  <c r="AA647" i="8"/>
  <c r="Z647" i="8"/>
  <c r="Y647" i="8"/>
  <c r="X647" i="8"/>
  <c r="J647" i="8"/>
  <c r="I647" i="8"/>
  <c r="H647" i="8"/>
  <c r="G647" i="8"/>
  <c r="F647" i="8"/>
  <c r="F652" i="8" s="1"/>
  <c r="AB646" i="8"/>
  <c r="AA646" i="8"/>
  <c r="AA651" i="8" s="1"/>
  <c r="Z646" i="8"/>
  <c r="Z651" i="8" s="1"/>
  <c r="Y646" i="8"/>
  <c r="X646" i="8"/>
  <c r="X651" i="8" s="1"/>
  <c r="J646" i="8"/>
  <c r="J651" i="8" s="1"/>
  <c r="I646" i="8"/>
  <c r="I651" i="8" s="1"/>
  <c r="H646" i="8"/>
  <c r="H651" i="8" s="1"/>
  <c r="G646" i="8"/>
  <c r="G651" i="8" s="1"/>
  <c r="F646" i="8"/>
  <c r="F651" i="8" s="1"/>
  <c r="AB644" i="8"/>
  <c r="AB654" i="8" s="1"/>
  <c r="AA644" i="8"/>
  <c r="Z644" i="8"/>
  <c r="Y644" i="8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Z652" i="8" s="1"/>
  <c r="Y642" i="8"/>
  <c r="Y652" i="8" s="1"/>
  <c r="X642" i="8"/>
  <c r="X652" i="8" s="1"/>
  <c r="J642" i="8"/>
  <c r="J652" i="8" s="1"/>
  <c r="I642" i="8"/>
  <c r="H642" i="8"/>
  <c r="H652" i="8" s="1"/>
  <c r="G642" i="8"/>
  <c r="G652" i="8" s="1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E24" i="8"/>
  <c r="E6" i="8" s="1"/>
  <c r="W23" i="8"/>
  <c r="E23" i="8"/>
  <c r="E5" i="8" s="1"/>
  <c r="U13" i="8"/>
  <c r="C13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H10" i="8" s="1"/>
  <c r="AB5" i="8"/>
  <c r="AA5" i="8"/>
  <c r="Z5" i="8"/>
  <c r="Y5" i="8"/>
  <c r="X5" i="8"/>
  <c r="W5" i="8"/>
  <c r="R5" i="8"/>
  <c r="R10" i="8" s="1"/>
  <c r="Q5" i="8"/>
  <c r="Q10" i="8" s="1"/>
  <c r="P5" i="8"/>
  <c r="P10" i="8" s="1"/>
  <c r="J5" i="8"/>
  <c r="I5" i="8"/>
  <c r="H5" i="8"/>
  <c r="G5" i="8"/>
  <c r="F5" i="8"/>
  <c r="AL2" i="8"/>
  <c r="U2" i="8"/>
  <c r="T2" i="8"/>
  <c r="C2" i="8"/>
  <c r="Y653" i="7"/>
  <c r="X653" i="7"/>
  <c r="J653" i="7"/>
  <c r="G653" i="7"/>
  <c r="F653" i="7"/>
  <c r="AB652" i="7"/>
  <c r="X652" i="7"/>
  <c r="AB649" i="7"/>
  <c r="AA649" i="7"/>
  <c r="AA654" i="7" s="1"/>
  <c r="Z649" i="7"/>
  <c r="Z654" i="7" s="1"/>
  <c r="Y649" i="7"/>
  <c r="Y654" i="7" s="1"/>
  <c r="X649" i="7"/>
  <c r="X654" i="7" s="1"/>
  <c r="J649" i="7"/>
  <c r="J654" i="7" s="1"/>
  <c r="I649" i="7"/>
  <c r="I654" i="7" s="1"/>
  <c r="H649" i="7"/>
  <c r="H654" i="7" s="1"/>
  <c r="G649" i="7"/>
  <c r="G654" i="7" s="1"/>
  <c r="F649" i="7"/>
  <c r="F654" i="7" s="1"/>
  <c r="AB648" i="7"/>
  <c r="AB653" i="7" s="1"/>
  <c r="AA648" i="7"/>
  <c r="AA653" i="7" s="1"/>
  <c r="Z648" i="7"/>
  <c r="Z653" i="7" s="1"/>
  <c r="Y648" i="7"/>
  <c r="X648" i="7"/>
  <c r="J648" i="7"/>
  <c r="I648" i="7"/>
  <c r="H648" i="7"/>
  <c r="G648" i="7"/>
  <c r="F648" i="7"/>
  <c r="AB647" i="7"/>
  <c r="AA647" i="7"/>
  <c r="Z647" i="7"/>
  <c r="Y647" i="7"/>
  <c r="Y652" i="7" s="1"/>
  <c r="X647" i="7"/>
  <c r="J647" i="7"/>
  <c r="J652" i="7" s="1"/>
  <c r="I647" i="7"/>
  <c r="H647" i="7"/>
  <c r="G647" i="7"/>
  <c r="F647" i="7"/>
  <c r="F652" i="7" s="1"/>
  <c r="AB646" i="7"/>
  <c r="AB651" i="7" s="1"/>
  <c r="AA646" i="7"/>
  <c r="AA651" i="7" s="1"/>
  <c r="Z646" i="7"/>
  <c r="Z651" i="7" s="1"/>
  <c r="Y646" i="7"/>
  <c r="Y651" i="7" s="1"/>
  <c r="X646" i="7"/>
  <c r="X651" i="7" s="1"/>
  <c r="J646" i="7"/>
  <c r="J651" i="7" s="1"/>
  <c r="I646" i="7"/>
  <c r="I651" i="7" s="1"/>
  <c r="H646" i="7"/>
  <c r="H651" i="7" s="1"/>
  <c r="G646" i="7"/>
  <c r="G651" i="7" s="1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I653" i="7" s="1"/>
  <c r="H643" i="7"/>
  <c r="H653" i="7" s="1"/>
  <c r="G643" i="7"/>
  <c r="F643" i="7"/>
  <c r="AB642" i="7"/>
  <c r="AA642" i="7"/>
  <c r="AA652" i="7" s="1"/>
  <c r="Z642" i="7"/>
  <c r="Z652" i="7" s="1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E7" i="7" s="1"/>
  <c r="W24" i="7"/>
  <c r="E24" i="7"/>
  <c r="W23" i="7"/>
  <c r="E23" i="7"/>
  <c r="E5" i="7" s="1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J10" i="7" s="1"/>
  <c r="AI5" i="7"/>
  <c r="AI10" i="7" s="1"/>
  <c r="AH5" i="7"/>
  <c r="AH10" i="7" s="1"/>
  <c r="AB5" i="7"/>
  <c r="AA5" i="7"/>
  <c r="Z5" i="7"/>
  <c r="Y5" i="7"/>
  <c r="X5" i="7"/>
  <c r="W5" i="7"/>
  <c r="R5" i="7"/>
  <c r="R10" i="7" s="1"/>
  <c r="Q5" i="7"/>
  <c r="Q10" i="7" s="1"/>
  <c r="P5" i="7"/>
  <c r="J5" i="7"/>
  <c r="I5" i="7"/>
  <c r="H5" i="7"/>
  <c r="G5" i="7"/>
  <c r="F5" i="7"/>
  <c r="AL2" i="7"/>
  <c r="U2" i="7"/>
  <c r="T2" i="7"/>
  <c r="C2" i="7"/>
  <c r="M112" i="6"/>
  <c r="L112" i="6"/>
  <c r="B106" i="6"/>
  <c r="L103" i="6"/>
  <c r="M105" i="6" s="1"/>
  <c r="F103" i="6"/>
  <c r="F106" i="6" s="1"/>
  <c r="F107" i="6" s="1"/>
  <c r="F108" i="6" s="1"/>
  <c r="F109" i="6" s="1"/>
  <c r="M101" i="6"/>
  <c r="L101" i="6"/>
  <c r="F96" i="6"/>
  <c r="F97" i="6" s="1"/>
  <c r="F98" i="6" s="1"/>
  <c r="B96" i="6"/>
  <c r="F95" i="6"/>
  <c r="B95" i="6"/>
  <c r="F92" i="6"/>
  <c r="L92" i="6" s="1"/>
  <c r="M90" i="6"/>
  <c r="L90" i="6"/>
  <c r="F84" i="6"/>
  <c r="F85" i="6" s="1"/>
  <c r="F86" i="6" s="1"/>
  <c r="F87" i="6" s="1"/>
  <c r="B84" i="6"/>
  <c r="L83" i="6"/>
  <c r="L81" i="6"/>
  <c r="M83" i="6" s="1"/>
  <c r="F81" i="6"/>
  <c r="M79" i="6"/>
  <c r="L79" i="6"/>
  <c r="B75" i="6"/>
  <c r="F74" i="6"/>
  <c r="F75" i="6" s="1"/>
  <c r="F76" i="6" s="1"/>
  <c r="B74" i="6"/>
  <c r="F73" i="6"/>
  <c r="B73" i="6"/>
  <c r="F70" i="6"/>
  <c r="L70" i="6" s="1"/>
  <c r="M68" i="6"/>
  <c r="L68" i="6"/>
  <c r="F62" i="6"/>
  <c r="F63" i="6" s="1"/>
  <c r="F64" i="6" s="1"/>
  <c r="F65" i="6" s="1"/>
  <c r="B62" i="6"/>
  <c r="L59" i="6"/>
  <c r="M61" i="6" s="1"/>
  <c r="F59" i="6"/>
  <c r="M57" i="6"/>
  <c r="L57" i="6"/>
  <c r="B53" i="6"/>
  <c r="F52" i="6"/>
  <c r="F53" i="6" s="1"/>
  <c r="F54" i="6" s="1"/>
  <c r="B52" i="6"/>
  <c r="F51" i="6"/>
  <c r="B51" i="6"/>
  <c r="F48" i="6"/>
  <c r="L48" i="6" s="1"/>
  <c r="M46" i="6"/>
  <c r="L46" i="6"/>
  <c r="F42" i="6"/>
  <c r="F43" i="6" s="1"/>
  <c r="F40" i="6"/>
  <c r="F41" i="6" s="1"/>
  <c r="B40" i="6"/>
  <c r="F37" i="6"/>
  <c r="L37" i="6" s="1"/>
  <c r="M39" i="6" s="1"/>
  <c r="M35" i="6"/>
  <c r="L35" i="6"/>
  <c r="B31" i="6"/>
  <c r="F30" i="6"/>
  <c r="F31" i="6" s="1"/>
  <c r="F32" i="6" s="1"/>
  <c r="B30" i="6"/>
  <c r="F29" i="6"/>
  <c r="B29" i="6"/>
  <c r="F26" i="6"/>
  <c r="L26" i="6" s="1"/>
  <c r="M24" i="6"/>
  <c r="L24" i="6"/>
  <c r="F18" i="6"/>
  <c r="F19" i="6" s="1"/>
  <c r="F20" i="6" s="1"/>
  <c r="F21" i="6" s="1"/>
  <c r="B18" i="6"/>
  <c r="F15" i="6"/>
  <c r="L15" i="6" s="1"/>
  <c r="M17" i="6" s="1"/>
  <c r="M13" i="6"/>
  <c r="L13" i="6"/>
  <c r="F8" i="6"/>
  <c r="F9" i="6" s="1"/>
  <c r="F10" i="6" s="1"/>
  <c r="B8" i="6"/>
  <c r="F7" i="6"/>
  <c r="B7" i="6"/>
  <c r="F4" i="6"/>
  <c r="L4" i="6" s="1"/>
  <c r="F2" i="6"/>
  <c r="B2" i="6"/>
  <c r="M112" i="5"/>
  <c r="L112" i="5"/>
  <c r="B106" i="5"/>
  <c r="L103" i="5"/>
  <c r="M105" i="5" s="1"/>
  <c r="F103" i="5"/>
  <c r="F106" i="5" s="1"/>
  <c r="F107" i="5" s="1"/>
  <c r="F108" i="5" s="1"/>
  <c r="F109" i="5" s="1"/>
  <c r="M101" i="5"/>
  <c r="L101" i="5"/>
  <c r="B96" i="5"/>
  <c r="B95" i="5"/>
  <c r="F92" i="5"/>
  <c r="M90" i="5"/>
  <c r="L90" i="5"/>
  <c r="F87" i="5"/>
  <c r="F84" i="5"/>
  <c r="F85" i="5" s="1"/>
  <c r="F86" i="5" s="1"/>
  <c r="B84" i="5"/>
  <c r="M83" i="5"/>
  <c r="L83" i="5"/>
  <c r="L81" i="5"/>
  <c r="F81" i="5"/>
  <c r="M79" i="5"/>
  <c r="L79" i="5"/>
  <c r="B74" i="5"/>
  <c r="B73" i="5"/>
  <c r="F70" i="5"/>
  <c r="M68" i="5"/>
  <c r="L68" i="5"/>
  <c r="F62" i="5"/>
  <c r="F63" i="5" s="1"/>
  <c r="F64" i="5" s="1"/>
  <c r="F65" i="5" s="1"/>
  <c r="B62" i="5"/>
  <c r="L59" i="5"/>
  <c r="M61" i="5" s="1"/>
  <c r="F59" i="5"/>
  <c r="M57" i="5"/>
  <c r="L57" i="5"/>
  <c r="B53" i="5"/>
  <c r="B52" i="5"/>
  <c r="B51" i="5"/>
  <c r="F48" i="5"/>
  <c r="M46" i="5"/>
  <c r="L46" i="5"/>
  <c r="F43" i="5"/>
  <c r="F40" i="5"/>
  <c r="F41" i="5" s="1"/>
  <c r="F42" i="5" s="1"/>
  <c r="B40" i="5"/>
  <c r="F37" i="5"/>
  <c r="L37" i="5" s="1"/>
  <c r="M35" i="5"/>
  <c r="L35" i="5"/>
  <c r="B31" i="5"/>
  <c r="B30" i="5"/>
  <c r="B29" i="5"/>
  <c r="F26" i="5"/>
  <c r="M24" i="5"/>
  <c r="L24" i="5"/>
  <c r="F18" i="5"/>
  <c r="F19" i="5" s="1"/>
  <c r="F20" i="5" s="1"/>
  <c r="F21" i="5" s="1"/>
  <c r="B18" i="5"/>
  <c r="F15" i="5"/>
  <c r="L15" i="5" s="1"/>
  <c r="M13" i="5"/>
  <c r="L13" i="5"/>
  <c r="B8" i="5"/>
  <c r="B9" i="5" s="1"/>
  <c r="B7" i="5"/>
  <c r="F4" i="5"/>
  <c r="F2" i="5"/>
  <c r="B2" i="5"/>
  <c r="M112" i="4"/>
  <c r="L112" i="4"/>
  <c r="F106" i="4"/>
  <c r="F107" i="4" s="1"/>
  <c r="F108" i="4" s="1"/>
  <c r="F109" i="4" s="1"/>
  <c r="B106" i="4"/>
  <c r="L103" i="4"/>
  <c r="M105" i="4" s="1"/>
  <c r="F103" i="4"/>
  <c r="M101" i="4"/>
  <c r="L101" i="4"/>
  <c r="F96" i="4"/>
  <c r="F97" i="4" s="1"/>
  <c r="F98" i="4" s="1"/>
  <c r="B96" i="4"/>
  <c r="B97" i="4" s="1"/>
  <c r="B95" i="4"/>
  <c r="F92" i="4"/>
  <c r="F95" i="4" s="1"/>
  <c r="M90" i="4"/>
  <c r="L90" i="4"/>
  <c r="F84" i="4"/>
  <c r="F85" i="4" s="1"/>
  <c r="F86" i="4" s="1"/>
  <c r="F87" i="4" s="1"/>
  <c r="B84" i="4"/>
  <c r="L81" i="4"/>
  <c r="L83" i="4" s="1"/>
  <c r="F81" i="4"/>
  <c r="M79" i="4"/>
  <c r="L79" i="4"/>
  <c r="F75" i="4"/>
  <c r="F76" i="4" s="1"/>
  <c r="F74" i="4"/>
  <c r="B74" i="4"/>
  <c r="B75" i="4" s="1"/>
  <c r="B73" i="4"/>
  <c r="F70" i="4"/>
  <c r="F73" i="4" s="1"/>
  <c r="M68" i="4"/>
  <c r="L68" i="4"/>
  <c r="F65" i="4"/>
  <c r="F62" i="4"/>
  <c r="F63" i="4" s="1"/>
  <c r="F64" i="4" s="1"/>
  <c r="B62" i="4"/>
  <c r="F59" i="4"/>
  <c r="L59" i="4" s="1"/>
  <c r="M57" i="4"/>
  <c r="L57" i="4"/>
  <c r="B52" i="4"/>
  <c r="B53" i="4" s="1"/>
  <c r="B51" i="4"/>
  <c r="F48" i="4"/>
  <c r="F51" i="4" s="1"/>
  <c r="F52" i="4" s="1"/>
  <c r="F53" i="4" s="1"/>
  <c r="F54" i="4" s="1"/>
  <c r="M46" i="4"/>
  <c r="L46" i="4"/>
  <c r="F43" i="4"/>
  <c r="F40" i="4"/>
  <c r="F41" i="4" s="1"/>
  <c r="F42" i="4" s="1"/>
  <c r="B40" i="4"/>
  <c r="M39" i="4"/>
  <c r="L39" i="4"/>
  <c r="L37" i="4"/>
  <c r="F37" i="4"/>
  <c r="M35" i="4"/>
  <c r="L35" i="4"/>
  <c r="B30" i="4"/>
  <c r="B31" i="4" s="1"/>
  <c r="B29" i="4"/>
  <c r="F26" i="4"/>
  <c r="F29" i="4" s="1"/>
  <c r="F30" i="4" s="1"/>
  <c r="F31" i="4" s="1"/>
  <c r="F32" i="4" s="1"/>
  <c r="M24" i="4"/>
  <c r="L24" i="4"/>
  <c r="F18" i="4"/>
  <c r="F19" i="4" s="1"/>
  <c r="F20" i="4" s="1"/>
  <c r="F21" i="4" s="1"/>
  <c r="B18" i="4"/>
  <c r="F15" i="4"/>
  <c r="L15" i="4" s="1"/>
  <c r="M13" i="4"/>
  <c r="L13" i="4"/>
  <c r="B8" i="4"/>
  <c r="B9" i="4" s="1"/>
  <c r="B7" i="4"/>
  <c r="F4" i="4"/>
  <c r="F7" i="4" s="1"/>
  <c r="F8" i="4" s="1"/>
  <c r="F9" i="4" s="1"/>
  <c r="F10" i="4" s="1"/>
  <c r="F2" i="4"/>
  <c r="B2" i="4"/>
  <c r="M112" i="3"/>
  <c r="L112" i="3"/>
  <c r="F109" i="3"/>
  <c r="B107" i="3"/>
  <c r="F106" i="3"/>
  <c r="F107" i="3" s="1"/>
  <c r="F108" i="3" s="1"/>
  <c r="B106" i="3"/>
  <c r="L103" i="3"/>
  <c r="F103" i="3"/>
  <c r="M101" i="3"/>
  <c r="L101" i="3"/>
  <c r="F96" i="3"/>
  <c r="F97" i="3" s="1"/>
  <c r="F98" i="3" s="1"/>
  <c r="B95" i="3"/>
  <c r="L92" i="3"/>
  <c r="F92" i="3"/>
  <c r="F95" i="3" s="1"/>
  <c r="M90" i="3"/>
  <c r="L90" i="3"/>
  <c r="F84" i="3"/>
  <c r="F85" i="3" s="1"/>
  <c r="F86" i="3" s="1"/>
  <c r="F87" i="3" s="1"/>
  <c r="B84" i="3"/>
  <c r="L81" i="3"/>
  <c r="M83" i="3" s="1"/>
  <c r="F81" i="3"/>
  <c r="M79" i="3"/>
  <c r="L79" i="3"/>
  <c r="F74" i="3"/>
  <c r="F75" i="3" s="1"/>
  <c r="F76" i="3" s="1"/>
  <c r="B73" i="3"/>
  <c r="L70" i="3"/>
  <c r="F70" i="3"/>
  <c r="F73" i="3" s="1"/>
  <c r="M68" i="3"/>
  <c r="L68" i="3"/>
  <c r="B63" i="3"/>
  <c r="F62" i="3"/>
  <c r="F63" i="3" s="1"/>
  <c r="F64" i="3" s="1"/>
  <c r="F65" i="3" s="1"/>
  <c r="B62" i="3"/>
  <c r="L61" i="3"/>
  <c r="L59" i="3"/>
  <c r="F59" i="3"/>
  <c r="M57" i="3"/>
  <c r="L57" i="3"/>
  <c r="B51" i="3"/>
  <c r="L48" i="3"/>
  <c r="F48" i="3"/>
  <c r="F51" i="3" s="1"/>
  <c r="F52" i="3" s="1"/>
  <c r="F53" i="3" s="1"/>
  <c r="F54" i="3" s="1"/>
  <c r="M46" i="3"/>
  <c r="L46" i="3"/>
  <c r="F43" i="3"/>
  <c r="B41" i="3"/>
  <c r="F40" i="3"/>
  <c r="F41" i="3" s="1"/>
  <c r="F42" i="3" s="1"/>
  <c r="B40" i="3"/>
  <c r="L37" i="3"/>
  <c r="L39" i="3" s="1"/>
  <c r="F37" i="3"/>
  <c r="M35" i="3"/>
  <c r="L35" i="3"/>
  <c r="F30" i="3"/>
  <c r="F31" i="3" s="1"/>
  <c r="F32" i="3" s="1"/>
  <c r="B29" i="3"/>
  <c r="L26" i="3"/>
  <c r="F26" i="3"/>
  <c r="F29" i="3" s="1"/>
  <c r="M24" i="3"/>
  <c r="L24" i="3"/>
  <c r="F18" i="3"/>
  <c r="F19" i="3" s="1"/>
  <c r="F20" i="3" s="1"/>
  <c r="F21" i="3" s="1"/>
  <c r="B18" i="3"/>
  <c r="B19" i="3" s="1"/>
  <c r="L15" i="3"/>
  <c r="F15" i="3"/>
  <c r="M13" i="3"/>
  <c r="L13" i="3"/>
  <c r="F8" i="3"/>
  <c r="F9" i="3" s="1"/>
  <c r="F10" i="3" s="1"/>
  <c r="B7" i="3"/>
  <c r="L4" i="3"/>
  <c r="F4" i="3"/>
  <c r="F7" i="3" s="1"/>
  <c r="F2" i="3"/>
  <c r="M17" i="3" s="1"/>
  <c r="B2" i="3"/>
  <c r="L17" i="3" s="1"/>
  <c r="M112" i="2"/>
  <c r="L112" i="2"/>
  <c r="B107" i="2"/>
  <c r="F106" i="2"/>
  <c r="F107" i="2" s="1"/>
  <c r="F108" i="2" s="1"/>
  <c r="F109" i="2" s="1"/>
  <c r="B106" i="2"/>
  <c r="F103" i="2"/>
  <c r="L103" i="2" s="1"/>
  <c r="M101" i="2"/>
  <c r="L101" i="2"/>
  <c r="B97" i="2"/>
  <c r="B96" i="2"/>
  <c r="F95" i="2"/>
  <c r="F96" i="2" s="1"/>
  <c r="F97" i="2" s="1"/>
  <c r="F98" i="2" s="1"/>
  <c r="B95" i="2"/>
  <c r="L92" i="2"/>
  <c r="F92" i="2"/>
  <c r="M90" i="2"/>
  <c r="L90" i="2"/>
  <c r="F87" i="2"/>
  <c r="F85" i="2"/>
  <c r="F86" i="2" s="1"/>
  <c r="F84" i="2"/>
  <c r="B84" i="2"/>
  <c r="B85" i="2" s="1"/>
  <c r="F81" i="2"/>
  <c r="L81" i="2" s="1"/>
  <c r="M79" i="2"/>
  <c r="L79" i="2"/>
  <c r="B75" i="2"/>
  <c r="B74" i="2"/>
  <c r="F73" i="2"/>
  <c r="F74" i="2" s="1"/>
  <c r="F75" i="2" s="1"/>
  <c r="F76" i="2" s="1"/>
  <c r="B73" i="2"/>
  <c r="F70" i="2"/>
  <c r="L70" i="2" s="1"/>
  <c r="M68" i="2"/>
  <c r="L68" i="2"/>
  <c r="F63" i="2"/>
  <c r="F64" i="2" s="1"/>
  <c r="F65" i="2" s="1"/>
  <c r="B63" i="2"/>
  <c r="F62" i="2"/>
  <c r="B62" i="2"/>
  <c r="F59" i="2"/>
  <c r="L59" i="2" s="1"/>
  <c r="M57" i="2"/>
  <c r="L57" i="2"/>
  <c r="B54" i="2"/>
  <c r="B53" i="2"/>
  <c r="B52" i="2"/>
  <c r="B51" i="2"/>
  <c r="F48" i="2"/>
  <c r="F51" i="2" s="1"/>
  <c r="F52" i="2" s="1"/>
  <c r="F53" i="2" s="1"/>
  <c r="F54" i="2" s="1"/>
  <c r="M46" i="2"/>
  <c r="L46" i="2"/>
  <c r="F40" i="2"/>
  <c r="F41" i="2" s="1"/>
  <c r="F42" i="2" s="1"/>
  <c r="F43" i="2" s="1"/>
  <c r="B40" i="2"/>
  <c r="F37" i="2"/>
  <c r="L37" i="2" s="1"/>
  <c r="M35" i="2"/>
  <c r="L35" i="2"/>
  <c r="B32" i="2"/>
  <c r="B31" i="2"/>
  <c r="B30" i="2"/>
  <c r="F29" i="2"/>
  <c r="F30" i="2" s="1"/>
  <c r="F31" i="2" s="1"/>
  <c r="F32" i="2" s="1"/>
  <c r="B29" i="2"/>
  <c r="F26" i="2"/>
  <c r="L26" i="2" s="1"/>
  <c r="M24" i="2"/>
  <c r="L24" i="2"/>
  <c r="F18" i="2"/>
  <c r="F19" i="2" s="1"/>
  <c r="F20" i="2" s="1"/>
  <c r="F21" i="2" s="1"/>
  <c r="B18" i="2"/>
  <c r="B19" i="2" s="1"/>
  <c r="F15" i="2"/>
  <c r="L15" i="2" s="1"/>
  <c r="M13" i="2"/>
  <c r="L13" i="2"/>
  <c r="B10" i="2"/>
  <c r="B9" i="2"/>
  <c r="B8" i="2"/>
  <c r="B7" i="2"/>
  <c r="F4" i="2"/>
  <c r="F7" i="2" s="1"/>
  <c r="F8" i="2" s="1"/>
  <c r="F9" i="2" s="1"/>
  <c r="F10" i="2" s="1"/>
  <c r="F2" i="2"/>
  <c r="B2" i="2"/>
  <c r="AO5" i="10"/>
  <c r="AM5" i="9"/>
  <c r="AN5" i="10"/>
  <c r="AM5" i="10"/>
  <c r="AQ5" i="7"/>
  <c r="AP5" i="7"/>
  <c r="AO5" i="7"/>
  <c r="AN5" i="7"/>
  <c r="AM5" i="7"/>
  <c r="AQ5" i="8"/>
  <c r="AP5" i="9"/>
  <c r="AP5" i="8"/>
  <c r="AO5" i="8"/>
  <c r="AM5" i="8"/>
  <c r="AQ5" i="9"/>
  <c r="AQ5" i="10"/>
  <c r="AO5" i="9"/>
  <c r="AN5" i="8"/>
  <c r="AP5" i="10"/>
  <c r="AN5" i="9"/>
  <c r="H15" i="1"/>
  <c r="D11" i="1"/>
  <c r="D18" i="1"/>
  <c r="F13" i="1"/>
  <c r="H95" i="6"/>
  <c r="H73" i="6"/>
  <c r="H51" i="6"/>
  <c r="H29" i="6"/>
  <c r="H7" i="6"/>
  <c r="B18" i="1"/>
  <c r="E13" i="1"/>
  <c r="M95" i="4"/>
  <c r="M73" i="4"/>
  <c r="M51" i="4"/>
  <c r="M29" i="4"/>
  <c r="M7" i="4"/>
  <c r="H17" i="1"/>
  <c r="D13" i="1"/>
  <c r="D95" i="6"/>
  <c r="D73" i="6"/>
  <c r="D51" i="6"/>
  <c r="D29" i="6"/>
  <c r="D7" i="6"/>
  <c r="H95" i="5"/>
  <c r="H73" i="5"/>
  <c r="H51" i="5"/>
  <c r="H29" i="5"/>
  <c r="H7" i="5"/>
  <c r="L95" i="4"/>
  <c r="L73" i="4"/>
  <c r="L51" i="4"/>
  <c r="L29" i="4"/>
  <c r="L7" i="4"/>
  <c r="B13" i="1"/>
  <c r="F17" i="1"/>
  <c r="H12" i="1"/>
  <c r="H95" i="4"/>
  <c r="H73" i="4"/>
  <c r="H51" i="4"/>
  <c r="H29" i="4"/>
  <c r="H7" i="4"/>
  <c r="E17" i="1"/>
  <c r="G12" i="1"/>
  <c r="D17" i="1"/>
  <c r="F12" i="1"/>
  <c r="B17" i="1"/>
  <c r="E12" i="1"/>
  <c r="H16" i="1"/>
  <c r="D12" i="1"/>
  <c r="G16" i="1"/>
  <c r="B12" i="1"/>
  <c r="E16" i="1"/>
  <c r="G11" i="1"/>
  <c r="D16" i="1"/>
  <c r="F11" i="1"/>
  <c r="M95" i="6"/>
  <c r="L74" i="2"/>
  <c r="G10" i="1"/>
  <c r="L95" i="6"/>
  <c r="M95" i="5"/>
  <c r="D52" i="5"/>
  <c r="D95" i="4"/>
  <c r="D62" i="3"/>
  <c r="M51" i="2"/>
  <c r="F10" i="1"/>
  <c r="M52" i="5"/>
  <c r="D29" i="4"/>
  <c r="L62" i="3"/>
  <c r="P65" i="3" s="1"/>
  <c r="H74" i="2"/>
  <c r="E10" i="1"/>
  <c r="D62" i="2"/>
  <c r="L106" i="5"/>
  <c r="L106" i="4"/>
  <c r="M96" i="2"/>
  <c r="D10" i="1"/>
  <c r="L75" i="6"/>
  <c r="L51" i="6"/>
  <c r="P54" i="6" s="1"/>
  <c r="H106" i="5"/>
  <c r="M51" i="5"/>
  <c r="D8" i="5"/>
  <c r="M73" i="2"/>
  <c r="G18" i="1"/>
  <c r="H9" i="1"/>
  <c r="M8" i="5"/>
  <c r="D106" i="4"/>
  <c r="P106" i="4" s="1"/>
  <c r="H96" i="2"/>
  <c r="F18" i="1"/>
  <c r="G9" i="1"/>
  <c r="E18" i="1"/>
  <c r="F9" i="1"/>
  <c r="M74" i="6"/>
  <c r="M7" i="6"/>
  <c r="H75" i="4"/>
  <c r="H84" i="3"/>
  <c r="L106" i="2"/>
  <c r="L9" i="2"/>
  <c r="G17" i="1"/>
  <c r="E9" i="1"/>
  <c r="L74" i="6"/>
  <c r="H62" i="6"/>
  <c r="L7" i="6"/>
  <c r="L74" i="5"/>
  <c r="H62" i="5"/>
  <c r="M7" i="5"/>
  <c r="H9" i="4"/>
  <c r="M95" i="2"/>
  <c r="F16" i="1"/>
  <c r="D9" i="1"/>
  <c r="H74" i="6"/>
  <c r="D31" i="5"/>
  <c r="D75" i="4"/>
  <c r="D84" i="3"/>
  <c r="M18" i="3"/>
  <c r="H106" i="2"/>
  <c r="H9" i="2"/>
  <c r="B16" i="1"/>
  <c r="B9" i="1"/>
  <c r="D62" i="6"/>
  <c r="L18" i="5"/>
  <c r="D51" i="4"/>
  <c r="D9" i="4"/>
  <c r="L107" i="3"/>
  <c r="L84" i="3"/>
  <c r="P87" i="3" s="1"/>
  <c r="L18" i="3"/>
  <c r="L54" i="2"/>
  <c r="M31" i="2"/>
  <c r="G15" i="1"/>
  <c r="D74" i="6"/>
  <c r="M30" i="6"/>
  <c r="M74" i="4"/>
  <c r="M62" i="4"/>
  <c r="L41" i="3"/>
  <c r="D106" i="2"/>
  <c r="L31" i="2"/>
  <c r="D9" i="2"/>
  <c r="F15" i="1"/>
  <c r="L30" i="6"/>
  <c r="L30" i="5"/>
  <c r="L74" i="4"/>
  <c r="L62" i="4"/>
  <c r="M8" i="4"/>
  <c r="E15" i="1"/>
  <c r="H30" i="6"/>
  <c r="M74" i="5"/>
  <c r="L8" i="4"/>
  <c r="H31" i="2"/>
  <c r="D15" i="1"/>
  <c r="D18" i="6"/>
  <c r="H30" i="5"/>
  <c r="H74" i="4"/>
  <c r="M106" i="3"/>
  <c r="D18" i="3"/>
  <c r="M53" i="2"/>
  <c r="M8" i="2"/>
  <c r="B15" i="1"/>
  <c r="M73" i="6"/>
  <c r="D30" i="6"/>
  <c r="D62" i="4"/>
  <c r="P62" i="4" s="1"/>
  <c r="H8" i="4"/>
  <c r="M40" i="3"/>
  <c r="L53" i="2"/>
  <c r="D31" i="2"/>
  <c r="L8" i="2"/>
  <c r="H14" i="1"/>
  <c r="H96" i="5"/>
  <c r="M40" i="2"/>
  <c r="H40" i="5"/>
  <c r="H30" i="4"/>
  <c r="L73" i="6"/>
  <c r="M73" i="5"/>
  <c r="D30" i="5"/>
  <c r="H97" i="4"/>
  <c r="D74" i="4"/>
  <c r="H106" i="3"/>
  <c r="L40" i="3"/>
  <c r="G14" i="1"/>
  <c r="M97" i="2"/>
  <c r="H40" i="6"/>
  <c r="M30" i="5"/>
  <c r="H53" i="2"/>
  <c r="H8" i="2"/>
  <c r="F14" i="1"/>
  <c r="H96" i="4"/>
  <c r="L97" i="2"/>
  <c r="L52" i="5"/>
  <c r="D106" i="3"/>
  <c r="E14" i="1"/>
  <c r="G13" i="1"/>
  <c r="H11" i="1"/>
  <c r="M29" i="6"/>
  <c r="D73" i="4"/>
  <c r="L106" i="3"/>
  <c r="D53" i="2"/>
  <c r="D14" i="1"/>
  <c r="L18" i="4"/>
  <c r="M52" i="2"/>
  <c r="L40" i="2"/>
  <c r="D84" i="4"/>
  <c r="M62" i="3"/>
  <c r="P62" i="3" s="1"/>
  <c r="M29" i="2"/>
  <c r="L29" i="6"/>
  <c r="M29" i="5"/>
  <c r="D7" i="4"/>
  <c r="M7" i="2"/>
  <c r="B14" i="1"/>
  <c r="L40" i="5"/>
  <c r="L52" i="2"/>
  <c r="D96" i="5"/>
  <c r="L96" i="4"/>
  <c r="M30" i="4"/>
  <c r="M18" i="4"/>
  <c r="H13" i="1"/>
  <c r="L30" i="4"/>
  <c r="M52" i="6"/>
  <c r="E11" i="1"/>
  <c r="H52" i="6"/>
  <c r="M96" i="5"/>
  <c r="D96" i="4"/>
  <c r="D18" i="4"/>
  <c r="H97" i="2"/>
  <c r="H52" i="2"/>
  <c r="H40" i="2"/>
  <c r="B11" i="1"/>
  <c r="L52" i="4"/>
  <c r="L96" i="2"/>
  <c r="B10" i="1"/>
  <c r="H52" i="5"/>
  <c r="D30" i="4"/>
  <c r="H62" i="3"/>
  <c r="M74" i="2"/>
  <c r="H10" i="1"/>
  <c r="M51" i="6"/>
  <c r="P51" i="6" s="1"/>
  <c r="D8" i="6"/>
  <c r="L40" i="4"/>
  <c r="L84" i="2"/>
  <c r="H18" i="1"/>
  <c r="L52" i="6"/>
  <c r="M8" i="6"/>
  <c r="M9" i="2"/>
  <c r="H40" i="3"/>
  <c r="D40" i="6"/>
  <c r="D75" i="2"/>
  <c r="D40" i="2"/>
  <c r="H31" i="4"/>
  <c r="M106" i="2"/>
  <c r="D96" i="6"/>
  <c r="D97" i="2"/>
  <c r="D53" i="5"/>
  <c r="H53" i="4"/>
  <c r="L62" i="2"/>
  <c r="P65" i="2" s="1"/>
  <c r="D52" i="6"/>
  <c r="P95" i="6"/>
  <c r="P98" i="6"/>
  <c r="P98" i="4"/>
  <c r="P95" i="4"/>
  <c r="P54" i="4"/>
  <c r="P51" i="4"/>
  <c r="P109" i="2"/>
  <c r="P106" i="2"/>
  <c r="P73" i="6"/>
  <c r="P76" i="6"/>
  <c r="P76" i="4"/>
  <c r="P73" i="4"/>
  <c r="P106" i="3"/>
  <c r="P109" i="3"/>
  <c r="N106" i="2" l="1"/>
  <c r="N9" i="2"/>
  <c r="N51" i="6"/>
  <c r="H19" i="1"/>
  <c r="N74" i="2"/>
  <c r="J62" i="3"/>
  <c r="J52" i="5"/>
  <c r="J40" i="2"/>
  <c r="J97" i="2"/>
  <c r="J52" i="6"/>
  <c r="N52" i="6"/>
  <c r="N18" i="4"/>
  <c r="N30" i="4"/>
  <c r="N62" i="3"/>
  <c r="J90" i="4"/>
  <c r="J89" i="4"/>
  <c r="N52" i="2"/>
  <c r="J79" i="4"/>
  <c r="J78" i="4"/>
  <c r="N29" i="6"/>
  <c r="J112" i="3"/>
  <c r="J111" i="3"/>
  <c r="J96" i="4"/>
  <c r="J53" i="2"/>
  <c r="N30" i="5"/>
  <c r="J40" i="6"/>
  <c r="N97" i="2"/>
  <c r="J106" i="3"/>
  <c r="J30" i="4"/>
  <c r="N40" i="2"/>
  <c r="J96" i="5"/>
  <c r="N40" i="3"/>
  <c r="J68" i="4"/>
  <c r="J67" i="4"/>
  <c r="N73" i="6"/>
  <c r="N8" i="2"/>
  <c r="N53" i="2"/>
  <c r="N106" i="3"/>
  <c r="J74" i="4"/>
  <c r="J30" i="5"/>
  <c r="J31" i="2"/>
  <c r="N74" i="5"/>
  <c r="J30" i="6"/>
  <c r="N8" i="4"/>
  <c r="J112" i="2"/>
  <c r="J111" i="2"/>
  <c r="N62" i="4"/>
  <c r="N74" i="4"/>
  <c r="N30" i="6"/>
  <c r="N31" i="2"/>
  <c r="J57" i="4"/>
  <c r="J56" i="4"/>
  <c r="J68" i="6"/>
  <c r="J67" i="6"/>
  <c r="J9" i="2"/>
  <c r="J106" i="2"/>
  <c r="N18" i="3"/>
  <c r="J90" i="3"/>
  <c r="J89" i="3"/>
  <c r="J74" i="6"/>
  <c r="J9" i="4"/>
  <c r="J62" i="6"/>
  <c r="J84" i="3"/>
  <c r="J75" i="4"/>
  <c r="N7" i="6"/>
  <c r="N74" i="6"/>
  <c r="J112" i="4"/>
  <c r="J111" i="4"/>
  <c r="D19" i="1"/>
  <c r="N96" i="2"/>
  <c r="J68" i="2"/>
  <c r="J67" i="2"/>
  <c r="E19" i="1"/>
  <c r="N52" i="5"/>
  <c r="F19" i="1"/>
  <c r="J68" i="3"/>
  <c r="J67" i="3"/>
  <c r="J101" i="4"/>
  <c r="J100" i="4"/>
  <c r="G19" i="1"/>
  <c r="N95" i="6"/>
  <c r="J7" i="4"/>
  <c r="J29" i="4"/>
  <c r="J51" i="4"/>
  <c r="J73" i="4"/>
  <c r="J95" i="4"/>
  <c r="J57" i="6"/>
  <c r="J56" i="6"/>
  <c r="J79" i="6"/>
  <c r="J78" i="6"/>
  <c r="J101" i="6"/>
  <c r="J100" i="6"/>
  <c r="N7" i="4"/>
  <c r="N29" i="4"/>
  <c r="N51" i="4"/>
  <c r="N73" i="4"/>
  <c r="N95" i="4"/>
  <c r="J7" i="6"/>
  <c r="J29" i="6"/>
  <c r="J51" i="6"/>
  <c r="J73" i="6"/>
  <c r="J95" i="6"/>
  <c r="M17" i="5"/>
  <c r="L17" i="5"/>
  <c r="B20" i="2"/>
  <c r="B10" i="5"/>
  <c r="B20" i="3"/>
  <c r="M17" i="4"/>
  <c r="L17" i="4"/>
  <c r="M61" i="4"/>
  <c r="L61" i="4"/>
  <c r="M50" i="2"/>
  <c r="M39" i="5"/>
  <c r="L39" i="5"/>
  <c r="L17" i="6"/>
  <c r="B86" i="2"/>
  <c r="B108" i="2"/>
  <c r="B19" i="4"/>
  <c r="M83" i="4"/>
  <c r="B98" i="4"/>
  <c r="B41" i="5"/>
  <c r="AI10" i="8"/>
  <c r="L94" i="2"/>
  <c r="L72" i="2"/>
  <c r="L28" i="2"/>
  <c r="L105" i="2"/>
  <c r="L83" i="2"/>
  <c r="L61" i="2"/>
  <c r="L39" i="2"/>
  <c r="L17" i="2"/>
  <c r="M17" i="2"/>
  <c r="M28" i="2"/>
  <c r="B85" i="4"/>
  <c r="B9" i="6"/>
  <c r="B85" i="5"/>
  <c r="B64" i="3"/>
  <c r="L105" i="3"/>
  <c r="F29" i="5"/>
  <c r="F30" i="5" s="1"/>
  <c r="F31" i="5" s="1"/>
  <c r="F32" i="5" s="1"/>
  <c r="L26" i="5"/>
  <c r="B54" i="6"/>
  <c r="B85" i="6"/>
  <c r="L4" i="2"/>
  <c r="L6" i="2" s="1"/>
  <c r="B98" i="2"/>
  <c r="M105" i="3"/>
  <c r="M39" i="3"/>
  <c r="B54" i="5"/>
  <c r="B41" i="2"/>
  <c r="F651" i="9"/>
  <c r="AA653" i="9"/>
  <c r="B64" i="2"/>
  <c r="B10" i="4"/>
  <c r="B97" i="5"/>
  <c r="B76" i="4"/>
  <c r="F73" i="5"/>
  <c r="F74" i="5" s="1"/>
  <c r="F75" i="5" s="1"/>
  <c r="F76" i="5" s="1"/>
  <c r="L70" i="5"/>
  <c r="B97" i="6"/>
  <c r="B76" i="2"/>
  <c r="B30" i="3"/>
  <c r="B63" i="4"/>
  <c r="B52" i="3"/>
  <c r="L94" i="3"/>
  <c r="L72" i="3"/>
  <c r="L50" i="3"/>
  <c r="L28" i="3"/>
  <c r="L6" i="3"/>
  <c r="B19" i="6"/>
  <c r="M94" i="3"/>
  <c r="M72" i="3"/>
  <c r="M50" i="3"/>
  <c r="M28" i="3"/>
  <c r="M6" i="3"/>
  <c r="B19" i="5"/>
  <c r="M105" i="2"/>
  <c r="B96" i="3"/>
  <c r="L94" i="6"/>
  <c r="L72" i="6"/>
  <c r="L50" i="6"/>
  <c r="L28" i="6"/>
  <c r="L6" i="6"/>
  <c r="B42" i="3"/>
  <c r="L83" i="3"/>
  <c r="L61" i="5"/>
  <c r="M94" i="6"/>
  <c r="L61" i="6"/>
  <c r="Y651" i="8"/>
  <c r="J654" i="8"/>
  <c r="B8" i="3"/>
  <c r="B108" i="3"/>
  <c r="L94" i="5"/>
  <c r="B63" i="6"/>
  <c r="B32" i="5"/>
  <c r="B63" i="5"/>
  <c r="M83" i="2"/>
  <c r="M94" i="2"/>
  <c r="F7" i="5"/>
  <c r="F8" i="5" s="1"/>
  <c r="F9" i="5" s="1"/>
  <c r="F10" i="5" s="1"/>
  <c r="L4" i="5"/>
  <c r="B32" i="6"/>
  <c r="B54" i="4"/>
  <c r="L105" i="4"/>
  <c r="L105" i="5"/>
  <c r="L105" i="6"/>
  <c r="B41" i="4"/>
  <c r="B107" i="6"/>
  <c r="B107" i="4"/>
  <c r="B75" i="5"/>
  <c r="B107" i="5"/>
  <c r="P10" i="7"/>
  <c r="M61" i="2"/>
  <c r="M72" i="2"/>
  <c r="F51" i="5"/>
  <c r="F52" i="5" s="1"/>
  <c r="F53" i="5" s="1"/>
  <c r="F54" i="5" s="1"/>
  <c r="L48" i="5"/>
  <c r="M50" i="5" s="1"/>
  <c r="B76" i="6"/>
  <c r="B74" i="3"/>
  <c r="Y652" i="9"/>
  <c r="L48" i="2"/>
  <c r="L50" i="2" s="1"/>
  <c r="M61" i="3"/>
  <c r="B85" i="3"/>
  <c r="G652" i="7"/>
  <c r="AB654" i="7"/>
  <c r="M39" i="2"/>
  <c r="F95" i="5"/>
  <c r="F96" i="5" s="1"/>
  <c r="F97" i="5" s="1"/>
  <c r="F98" i="5" s="1"/>
  <c r="L92" i="5"/>
  <c r="M94" i="5" s="1"/>
  <c r="H652" i="7"/>
  <c r="L39" i="6"/>
  <c r="I652" i="7"/>
  <c r="B32" i="4"/>
  <c r="B41" i="6"/>
  <c r="L4" i="4"/>
  <c r="L6" i="4" s="1"/>
  <c r="L26" i="4"/>
  <c r="L28" i="4" s="1"/>
  <c r="L48" i="4"/>
  <c r="L50" i="4" s="1"/>
  <c r="L70" i="4"/>
  <c r="L72" i="4" s="1"/>
  <c r="L92" i="4"/>
  <c r="L94" i="4" s="1"/>
  <c r="M6" i="4"/>
  <c r="M28" i="4"/>
  <c r="M72" i="4"/>
  <c r="L6" i="5"/>
  <c r="L28" i="5"/>
  <c r="L72" i="5"/>
  <c r="M6" i="5"/>
  <c r="M28" i="5"/>
  <c r="M72" i="5"/>
  <c r="M6" i="6"/>
  <c r="M28" i="6"/>
  <c r="M50" i="6"/>
  <c r="M72" i="6"/>
  <c r="L18" i="2"/>
  <c r="H18" i="6"/>
  <c r="D7" i="2"/>
  <c r="D31" i="6"/>
  <c r="D51" i="2"/>
  <c r="D106" i="6"/>
  <c r="M85" i="2"/>
  <c r="L53" i="4"/>
  <c r="L30" i="2"/>
  <c r="M18" i="5"/>
  <c r="M106" i="5"/>
  <c r="M84" i="2"/>
  <c r="D29" i="2"/>
  <c r="D18" i="5"/>
  <c r="D106" i="5"/>
  <c r="D73" i="2"/>
  <c r="D95" i="2"/>
  <c r="D73" i="5"/>
  <c r="M84" i="6"/>
  <c r="H62" i="4"/>
  <c r="P65" i="4" s="1"/>
  <c r="M84" i="3"/>
  <c r="P84" i="3" s="1"/>
  <c r="L85" i="2"/>
  <c r="D18" i="2"/>
  <c r="D8" i="2"/>
  <c r="D53" i="6"/>
  <c r="D107" i="2"/>
  <c r="D29" i="5"/>
  <c r="L75" i="2"/>
  <c r="D95" i="3"/>
  <c r="M53" i="6"/>
  <c r="D31" i="4"/>
  <c r="M29" i="3"/>
  <c r="M31" i="6"/>
  <c r="D7" i="5"/>
  <c r="H53" i="6"/>
  <c r="M96" i="6"/>
  <c r="L29" i="3"/>
  <c r="M7" i="3"/>
  <c r="H31" i="6"/>
  <c r="M40" i="4"/>
  <c r="M63" i="2"/>
  <c r="H96" i="6"/>
  <c r="H29" i="3"/>
  <c r="M95" i="3"/>
  <c r="L7" i="3"/>
  <c r="D32" i="2"/>
  <c r="M52" i="4"/>
  <c r="D51" i="5"/>
  <c r="D107" i="3"/>
  <c r="H7" i="2"/>
  <c r="L84" i="4"/>
  <c r="P87" i="4" s="1"/>
  <c r="H85" i="2"/>
  <c r="L84" i="6"/>
  <c r="D29" i="3"/>
  <c r="L95" i="3"/>
  <c r="H7" i="3"/>
  <c r="M32" i="2"/>
  <c r="H8" i="5"/>
  <c r="M40" i="6"/>
  <c r="H63" i="2"/>
  <c r="H95" i="3"/>
  <c r="D7" i="3"/>
  <c r="H32" i="2"/>
  <c r="H84" i="2"/>
  <c r="D95" i="5"/>
  <c r="M53" i="4"/>
  <c r="H52" i="4"/>
  <c r="D85" i="2"/>
  <c r="L63" i="2"/>
  <c r="M107" i="3"/>
  <c r="H62" i="2"/>
  <c r="H29" i="2"/>
  <c r="H75" i="2"/>
  <c r="D75" i="6"/>
  <c r="H19" i="2"/>
  <c r="H107" i="2"/>
  <c r="H84" i="4"/>
  <c r="D40" i="3"/>
  <c r="D63" i="2"/>
  <c r="M51" i="3"/>
  <c r="H107" i="3"/>
  <c r="M106" i="4"/>
  <c r="H51" i="2"/>
  <c r="L63" i="3"/>
  <c r="L51" i="3"/>
  <c r="H73" i="2"/>
  <c r="M19" i="2"/>
  <c r="M107" i="2"/>
  <c r="M18" i="2"/>
  <c r="H51" i="3"/>
  <c r="L62" i="6"/>
  <c r="P65" i="6" s="1"/>
  <c r="L31" i="6"/>
  <c r="H95" i="2"/>
  <c r="D52" i="2"/>
  <c r="D96" i="2"/>
  <c r="L8" i="5"/>
  <c r="D73" i="3"/>
  <c r="L95" i="2"/>
  <c r="L19" i="2"/>
  <c r="L107" i="2"/>
  <c r="M84" i="5"/>
  <c r="M84" i="4"/>
  <c r="P84" i="4" s="1"/>
  <c r="M30" i="2"/>
  <c r="D51" i="3"/>
  <c r="D54" i="2"/>
  <c r="M75" i="6"/>
  <c r="H8" i="6"/>
  <c r="D74" i="2"/>
  <c r="H31" i="5"/>
  <c r="D40" i="5"/>
  <c r="H18" i="5"/>
  <c r="D19" i="2"/>
  <c r="M62" i="2"/>
  <c r="P62" i="2" s="1"/>
  <c r="D84" i="5"/>
  <c r="M96" i="4"/>
  <c r="M75" i="2"/>
  <c r="M54" i="2"/>
  <c r="M62" i="6"/>
  <c r="P62" i="6" s="1"/>
  <c r="D84" i="2"/>
  <c r="H75" i="6"/>
  <c r="M10" i="2"/>
  <c r="M63" i="3"/>
  <c r="M75" i="4"/>
  <c r="D40" i="4"/>
  <c r="H74" i="5"/>
  <c r="H9" i="5"/>
  <c r="H18" i="4"/>
  <c r="H84" i="5"/>
  <c r="M9" i="4"/>
  <c r="H54" i="2"/>
  <c r="H40" i="4"/>
  <c r="D10" i="2"/>
  <c r="D53" i="4"/>
  <c r="L7" i="5"/>
  <c r="L9" i="4"/>
  <c r="H18" i="3"/>
  <c r="L29" i="5"/>
  <c r="H19" i="3"/>
  <c r="L96" i="5"/>
  <c r="M9" i="5"/>
  <c r="H18" i="2"/>
  <c r="L53" i="6"/>
  <c r="D41" i="3"/>
  <c r="D52" i="4"/>
  <c r="H10" i="2"/>
  <c r="L8" i="6"/>
  <c r="L51" i="5"/>
  <c r="M62" i="5"/>
  <c r="L31" i="4"/>
  <c r="H63" i="3"/>
  <c r="H106" i="6"/>
  <c r="D84" i="6"/>
  <c r="P84" i="6" s="1"/>
  <c r="L9" i="5"/>
  <c r="L97" i="4"/>
  <c r="H30" i="2"/>
  <c r="H84" i="6"/>
  <c r="P87" i="6" s="1"/>
  <c r="D97" i="4"/>
  <c r="M31" i="5"/>
  <c r="L106" i="6"/>
  <c r="P109" i="6" s="1"/>
  <c r="L73" i="5"/>
  <c r="M31" i="4"/>
  <c r="H73" i="3"/>
  <c r="M53" i="5"/>
  <c r="H106" i="4"/>
  <c r="P109" i="4" s="1"/>
  <c r="D9" i="5"/>
  <c r="D30" i="2"/>
  <c r="L96" i="6"/>
  <c r="L84" i="5"/>
  <c r="L18" i="6"/>
  <c r="M41" i="3"/>
  <c r="L31" i="5"/>
  <c r="M73" i="3"/>
  <c r="L95" i="5"/>
  <c r="L73" i="3"/>
  <c r="L32" i="2"/>
  <c r="L29" i="2"/>
  <c r="L75" i="4"/>
  <c r="L51" i="2"/>
  <c r="L10" i="2"/>
  <c r="D19" i="3"/>
  <c r="M97" i="4"/>
  <c r="D63" i="3"/>
  <c r="H41" i="3"/>
  <c r="M106" i="6"/>
  <c r="P106" i="6" s="1"/>
  <c r="D62" i="5"/>
  <c r="M19" i="3"/>
  <c r="M40" i="5"/>
  <c r="H53" i="5"/>
  <c r="D8" i="4"/>
  <c r="M18" i="6"/>
  <c r="L7" i="2"/>
  <c r="L40" i="6"/>
  <c r="L62" i="5"/>
  <c r="L19" i="3"/>
  <c r="L53" i="5"/>
  <c r="D74" i="5"/>
  <c r="L73" i="2"/>
  <c r="P109" i="5"/>
  <c r="P106" i="5"/>
  <c r="P95" i="3"/>
  <c r="P98" i="3"/>
  <c r="P95" i="2"/>
  <c r="P98" i="2"/>
  <c r="P54" i="3"/>
  <c r="P51" i="3"/>
  <c r="P87" i="2"/>
  <c r="P84" i="2"/>
  <c r="P51" i="5"/>
  <c r="P54" i="5"/>
  <c r="P73" i="5"/>
  <c r="P76" i="5"/>
  <c r="P84" i="5"/>
  <c r="P87" i="5"/>
  <c r="P95" i="5"/>
  <c r="P98" i="5"/>
  <c r="P73" i="3"/>
  <c r="P76" i="3"/>
  <c r="P29" i="2"/>
  <c r="P32" i="2"/>
  <c r="P51" i="2"/>
  <c r="P54" i="2"/>
  <c r="P7" i="2"/>
  <c r="P10" i="2"/>
  <c r="P62" i="5"/>
  <c r="P65" i="5"/>
  <c r="P73" i="2"/>
  <c r="P76" i="2"/>
  <c r="N73" i="2" l="1"/>
  <c r="N7" i="2"/>
  <c r="N18" i="6"/>
  <c r="J8" i="4"/>
  <c r="J53" i="5"/>
  <c r="N40" i="5"/>
  <c r="N19" i="3"/>
  <c r="J68" i="5"/>
  <c r="J67" i="5"/>
  <c r="J62" i="5"/>
  <c r="N106" i="6"/>
  <c r="J41" i="3"/>
  <c r="N97" i="4"/>
  <c r="N51" i="2"/>
  <c r="N29" i="2"/>
  <c r="N95" i="5"/>
  <c r="N73" i="3"/>
  <c r="N41" i="3"/>
  <c r="J106" i="4"/>
  <c r="N53" i="5"/>
  <c r="J73" i="3"/>
  <c r="N31" i="4"/>
  <c r="N73" i="5"/>
  <c r="N31" i="5"/>
  <c r="J97" i="4"/>
  <c r="J84" i="6"/>
  <c r="J30" i="2"/>
  <c r="J90" i="6"/>
  <c r="J89" i="6"/>
  <c r="J106" i="6"/>
  <c r="J63" i="3"/>
  <c r="N62" i="5"/>
  <c r="N51" i="5"/>
  <c r="N8" i="6"/>
  <c r="J10" i="2"/>
  <c r="J18" i="2"/>
  <c r="N9" i="5"/>
  <c r="N96" i="5"/>
  <c r="J19" i="3"/>
  <c r="N29" i="5"/>
  <c r="J18" i="3"/>
  <c r="N7" i="5"/>
  <c r="J53" i="4"/>
  <c r="J40" i="4"/>
  <c r="J54" i="2"/>
  <c r="N9" i="4"/>
  <c r="J84" i="5"/>
  <c r="J18" i="4"/>
  <c r="J9" i="5"/>
  <c r="J74" i="5"/>
  <c r="N75" i="4"/>
  <c r="N63" i="3"/>
  <c r="N10" i="2"/>
  <c r="J75" i="6"/>
  <c r="J90" i="2"/>
  <c r="J89" i="2"/>
  <c r="N62" i="6"/>
  <c r="N54" i="2"/>
  <c r="N75" i="2"/>
  <c r="N96" i="4"/>
  <c r="J90" i="5"/>
  <c r="J89" i="5"/>
  <c r="N62" i="2"/>
  <c r="J18" i="5"/>
  <c r="J40" i="5"/>
  <c r="J31" i="5"/>
  <c r="J74" i="2"/>
  <c r="J8" i="6"/>
  <c r="N75" i="6"/>
  <c r="J57" i="3"/>
  <c r="J56" i="3"/>
  <c r="N30" i="2"/>
  <c r="N84" i="4"/>
  <c r="N84" i="5"/>
  <c r="N95" i="2"/>
  <c r="J79" i="3"/>
  <c r="J78" i="3"/>
  <c r="N8" i="5"/>
  <c r="J96" i="2"/>
  <c r="J52" i="2"/>
  <c r="J95" i="2"/>
  <c r="J51" i="3"/>
  <c r="N18" i="2"/>
  <c r="N107" i="2"/>
  <c r="N19" i="2"/>
  <c r="J73" i="2"/>
  <c r="J51" i="2"/>
  <c r="N106" i="4"/>
  <c r="J107" i="3"/>
  <c r="N51" i="3"/>
  <c r="J40" i="3"/>
  <c r="J84" i="4"/>
  <c r="J107" i="2"/>
  <c r="J19" i="2"/>
  <c r="J75" i="2"/>
  <c r="J29" i="2"/>
  <c r="J62" i="2"/>
  <c r="N107" i="3"/>
  <c r="J52" i="4"/>
  <c r="N53" i="4"/>
  <c r="J100" i="5"/>
  <c r="J101" i="5"/>
  <c r="J95" i="5"/>
  <c r="J84" i="2"/>
  <c r="J32" i="2"/>
  <c r="J95" i="3"/>
  <c r="J63" i="2"/>
  <c r="N40" i="6"/>
  <c r="J8" i="5"/>
  <c r="N32" i="2"/>
  <c r="J7" i="3"/>
  <c r="J85" i="2"/>
  <c r="J7" i="2"/>
  <c r="J56" i="5"/>
  <c r="J57" i="5"/>
  <c r="J51" i="5"/>
  <c r="N52" i="4"/>
  <c r="N95" i="3"/>
  <c r="J29" i="3"/>
  <c r="J96" i="6"/>
  <c r="N63" i="2"/>
  <c r="N40" i="4"/>
  <c r="J31" i="6"/>
  <c r="N7" i="3"/>
  <c r="N96" i="6"/>
  <c r="J53" i="6"/>
  <c r="J7" i="5"/>
  <c r="N31" i="6"/>
  <c r="N29" i="3"/>
  <c r="J31" i="4"/>
  <c r="N53" i="6"/>
  <c r="J101" i="3"/>
  <c r="J100" i="3"/>
  <c r="J29" i="5"/>
  <c r="J8" i="2"/>
  <c r="N84" i="3"/>
  <c r="J62" i="4"/>
  <c r="N84" i="6"/>
  <c r="J78" i="5"/>
  <c r="J79" i="5"/>
  <c r="J73" i="5"/>
  <c r="J101" i="2"/>
  <c r="J100" i="2"/>
  <c r="J79" i="2"/>
  <c r="J78" i="2"/>
  <c r="J112" i="5"/>
  <c r="J111" i="5"/>
  <c r="J106" i="5"/>
  <c r="J35" i="2"/>
  <c r="J34" i="2"/>
  <c r="N84" i="2"/>
  <c r="N106" i="5"/>
  <c r="N18" i="5"/>
  <c r="N85" i="2"/>
  <c r="J112" i="6"/>
  <c r="J111" i="6"/>
  <c r="J57" i="2"/>
  <c r="J56" i="2"/>
  <c r="J13" i="2"/>
  <c r="J12" i="2"/>
  <c r="J18" i="6"/>
  <c r="B42" i="6"/>
  <c r="B108" i="4"/>
  <c r="B42" i="5"/>
  <c r="B65" i="3"/>
  <c r="B21" i="3"/>
  <c r="B64" i="5"/>
  <c r="B20" i="6"/>
  <c r="L50" i="5"/>
  <c r="B108" i="6"/>
  <c r="B75" i="3"/>
  <c r="B43" i="3"/>
  <c r="B98" i="5"/>
  <c r="M6" i="2"/>
  <c r="B20" i="4"/>
  <c r="B42" i="4"/>
  <c r="M50" i="4"/>
  <c r="B86" i="5"/>
  <c r="B64" i="6"/>
  <c r="M94" i="4"/>
  <c r="B109" i="2"/>
  <c r="B10" i="6"/>
  <c r="B21" i="2"/>
  <c r="B53" i="3"/>
  <c r="B86" i="4"/>
  <c r="B65" i="2"/>
  <c r="B64" i="4"/>
  <c r="B86" i="6"/>
  <c r="B87" i="2"/>
  <c r="B97" i="3"/>
  <c r="B109" i="3"/>
  <c r="B9" i="3"/>
  <c r="B108" i="5"/>
  <c r="B20" i="5"/>
  <c r="B31" i="3"/>
  <c r="B86" i="3"/>
  <c r="B42" i="2"/>
  <c r="B98" i="6"/>
  <c r="B76" i="5"/>
  <c r="H107" i="4"/>
  <c r="D63" i="5"/>
  <c r="D42" i="3"/>
  <c r="D41" i="4"/>
  <c r="H8" i="3"/>
  <c r="H85" i="3"/>
  <c r="D32" i="5"/>
  <c r="M10" i="4"/>
  <c r="D54" i="5"/>
  <c r="M76" i="6"/>
  <c r="L9" i="6"/>
  <c r="M76" i="4"/>
  <c r="H41" i="4"/>
  <c r="M20" i="2"/>
  <c r="M63" i="4"/>
  <c r="L85" i="3"/>
  <c r="L52" i="3"/>
  <c r="M97" i="6"/>
  <c r="L41" i="4"/>
  <c r="L76" i="4"/>
  <c r="M19" i="6"/>
  <c r="H97" i="5"/>
  <c r="L20" i="2"/>
  <c r="L63" i="4"/>
  <c r="M32" i="6"/>
  <c r="D32" i="6"/>
  <c r="L63" i="6"/>
  <c r="L54" i="5"/>
  <c r="M86" i="2"/>
  <c r="H52" i="3"/>
  <c r="M8" i="3"/>
  <c r="H76" i="4"/>
  <c r="L19" i="6"/>
  <c r="H20" i="2"/>
  <c r="D63" i="4"/>
  <c r="M107" i="5"/>
  <c r="L32" i="6"/>
  <c r="H63" i="6"/>
  <c r="L98" i="4"/>
  <c r="H63" i="5"/>
  <c r="D76" i="4"/>
  <c r="H19" i="6"/>
  <c r="M97" i="5"/>
  <c r="M85" i="5"/>
  <c r="D20" i="2"/>
  <c r="H63" i="4"/>
  <c r="L107" i="5"/>
  <c r="H32" i="6"/>
  <c r="M52" i="3"/>
  <c r="H54" i="5"/>
  <c r="D63" i="6"/>
  <c r="H64" i="2"/>
  <c r="D19" i="6"/>
  <c r="L97" i="5"/>
  <c r="L85" i="5"/>
  <c r="M54" i="4"/>
  <c r="M85" i="6"/>
  <c r="H107" i="5"/>
  <c r="H107" i="6"/>
  <c r="M98" i="4"/>
  <c r="D30" i="3"/>
  <c r="D64" i="2"/>
  <c r="M41" i="5"/>
  <c r="D97" i="5"/>
  <c r="H85" i="5"/>
  <c r="L54" i="4"/>
  <c r="D107" i="5"/>
  <c r="H41" i="2"/>
  <c r="M54" i="5"/>
  <c r="D107" i="6"/>
  <c r="D19" i="5"/>
  <c r="L86" i="2"/>
  <c r="L41" i="5"/>
  <c r="M32" i="5"/>
  <c r="D85" i="5"/>
  <c r="H54" i="4"/>
  <c r="L85" i="6"/>
  <c r="D97" i="6"/>
  <c r="L10" i="4"/>
  <c r="H10" i="4"/>
  <c r="H86" i="2"/>
  <c r="L76" i="2"/>
  <c r="H41" i="5"/>
  <c r="M107" i="6"/>
  <c r="L32" i="5"/>
  <c r="D54" i="4"/>
  <c r="H85" i="6"/>
  <c r="M19" i="5"/>
  <c r="M41" i="2"/>
  <c r="D41" i="2"/>
  <c r="D41" i="5"/>
  <c r="L107" i="6"/>
  <c r="H32" i="5"/>
  <c r="M63" i="6"/>
  <c r="D52" i="3"/>
  <c r="D85" i="6"/>
  <c r="L19" i="5"/>
  <c r="L41" i="2"/>
  <c r="H19" i="5"/>
  <c r="M64" i="3"/>
  <c r="H98" i="4"/>
  <c r="D10" i="4"/>
  <c r="L76" i="6"/>
  <c r="D98" i="2"/>
  <c r="D86" i="2"/>
  <c r="M30" i="3"/>
  <c r="H97" i="6"/>
  <c r="H30" i="3"/>
  <c r="M54" i="6"/>
  <c r="D32" i="4"/>
  <c r="L75" i="5"/>
  <c r="D108" i="2"/>
  <c r="D107" i="4"/>
  <c r="L64" i="3"/>
  <c r="D98" i="4"/>
  <c r="H76" i="6"/>
  <c r="M98" i="2"/>
  <c r="D96" i="3"/>
  <c r="L30" i="3"/>
  <c r="L97" i="6"/>
  <c r="H98" i="2"/>
  <c r="M108" i="2"/>
  <c r="D20" i="3"/>
  <c r="L8" i="3"/>
  <c r="H64" i="3"/>
  <c r="M32" i="4"/>
  <c r="D76" i="6"/>
  <c r="H75" i="5"/>
  <c r="D19" i="4"/>
  <c r="H85" i="4"/>
  <c r="D64" i="3"/>
  <c r="L32" i="4"/>
  <c r="M19" i="4"/>
  <c r="L98" i="2"/>
  <c r="M96" i="3"/>
  <c r="H54" i="6"/>
  <c r="L10" i="5"/>
  <c r="D85" i="3"/>
  <c r="H32" i="4"/>
  <c r="L19" i="4"/>
  <c r="L96" i="3"/>
  <c r="L54" i="6"/>
  <c r="M75" i="5"/>
  <c r="H96" i="3"/>
  <c r="H74" i="3"/>
  <c r="M20" i="3"/>
  <c r="M85" i="4"/>
  <c r="L64" i="2"/>
  <c r="M41" i="6"/>
  <c r="L20" i="3"/>
  <c r="D74" i="3"/>
  <c r="H19" i="4"/>
  <c r="L108" i="2"/>
  <c r="L85" i="4"/>
  <c r="M108" i="3"/>
  <c r="D54" i="6"/>
  <c r="D75" i="5"/>
  <c r="M10" i="5"/>
  <c r="D76" i="2"/>
  <c r="M76" i="2"/>
  <c r="M9" i="6"/>
  <c r="L41" i="6"/>
  <c r="H20" i="3"/>
  <c r="L74" i="3"/>
  <c r="H108" i="2"/>
  <c r="D85" i="4"/>
  <c r="L108" i="3"/>
  <c r="M42" i="3"/>
  <c r="H41" i="6"/>
  <c r="H108" i="3"/>
  <c r="D41" i="6"/>
  <c r="H10" i="5"/>
  <c r="D9" i="6"/>
  <c r="D108" i="3"/>
  <c r="H76" i="2"/>
  <c r="D8" i="3"/>
  <c r="M85" i="3"/>
  <c r="M74" i="3"/>
  <c r="D10" i="5"/>
  <c r="M64" i="2"/>
  <c r="H42" i="3"/>
  <c r="M107" i="4"/>
  <c r="M63" i="5"/>
  <c r="L107" i="4"/>
  <c r="L63" i="5"/>
  <c r="L42" i="3"/>
  <c r="M41" i="4"/>
  <c r="H9" i="6"/>
  <c r="P32" i="6"/>
  <c r="P29" i="6"/>
  <c r="P32" i="5"/>
  <c r="P29" i="5"/>
  <c r="P10" i="4"/>
  <c r="P7" i="4"/>
  <c r="P32" i="4"/>
  <c r="P29" i="4"/>
  <c r="P10" i="5"/>
  <c r="P7" i="5"/>
  <c r="J9" i="6" l="1"/>
  <c r="N41" i="4"/>
  <c r="N63" i="5"/>
  <c r="N107" i="4"/>
  <c r="J42" i="3"/>
  <c r="N64" i="2"/>
  <c r="J12" i="5"/>
  <c r="J13" i="5"/>
  <c r="N74" i="3"/>
  <c r="N85" i="3"/>
  <c r="J76" i="2"/>
  <c r="J10" i="5"/>
  <c r="J108" i="3"/>
  <c r="J41" i="6"/>
  <c r="N42" i="3"/>
  <c r="J108" i="2"/>
  <c r="J20" i="3"/>
  <c r="N9" i="6"/>
  <c r="N76" i="2"/>
  <c r="N10" i="5"/>
  <c r="N108" i="3"/>
  <c r="J19" i="4"/>
  <c r="N41" i="6"/>
  <c r="N85" i="4"/>
  <c r="N20" i="3"/>
  <c r="J74" i="3"/>
  <c r="J96" i="3"/>
  <c r="N75" i="5"/>
  <c r="J32" i="4"/>
  <c r="J54" i="6"/>
  <c r="N96" i="3"/>
  <c r="N19" i="4"/>
  <c r="J85" i="4"/>
  <c r="J75" i="5"/>
  <c r="N32" i="4"/>
  <c r="J64" i="3"/>
  <c r="N108" i="2"/>
  <c r="J98" i="2"/>
  <c r="N98" i="2"/>
  <c r="J76" i="6"/>
  <c r="J34" i="4"/>
  <c r="J35" i="4"/>
  <c r="N54" i="6"/>
  <c r="J30" i="3"/>
  <c r="J97" i="6"/>
  <c r="N30" i="3"/>
  <c r="J13" i="4"/>
  <c r="J12" i="4"/>
  <c r="J98" i="4"/>
  <c r="N64" i="3"/>
  <c r="J19" i="5"/>
  <c r="N63" i="6"/>
  <c r="J32" i="5"/>
  <c r="N41" i="2"/>
  <c r="N19" i="5"/>
  <c r="J85" i="6"/>
  <c r="N107" i="6"/>
  <c r="J41" i="5"/>
  <c r="J86" i="2"/>
  <c r="J10" i="4"/>
  <c r="J54" i="4"/>
  <c r="N32" i="5"/>
  <c r="N54" i="5"/>
  <c r="J41" i="2"/>
  <c r="J85" i="5"/>
  <c r="N41" i="5"/>
  <c r="N98" i="4"/>
  <c r="J107" i="6"/>
  <c r="J107" i="5"/>
  <c r="N85" i="6"/>
  <c r="N54" i="4"/>
  <c r="J64" i="2"/>
  <c r="J54" i="5"/>
  <c r="N52" i="3"/>
  <c r="J32" i="6"/>
  <c r="J63" i="4"/>
  <c r="N85" i="5"/>
  <c r="N97" i="5"/>
  <c r="J19" i="6"/>
  <c r="J63" i="5"/>
  <c r="J63" i="6"/>
  <c r="N107" i="5"/>
  <c r="J20" i="2"/>
  <c r="J76" i="4"/>
  <c r="N8" i="3"/>
  <c r="J52" i="3"/>
  <c r="N86" i="2"/>
  <c r="J35" i="6"/>
  <c r="J34" i="6"/>
  <c r="N32" i="6"/>
  <c r="J97" i="5"/>
  <c r="N19" i="6"/>
  <c r="N97" i="6"/>
  <c r="N63" i="4"/>
  <c r="N20" i="2"/>
  <c r="J41" i="4"/>
  <c r="N76" i="4"/>
  <c r="N76" i="6"/>
  <c r="N10" i="4"/>
  <c r="J34" i="5"/>
  <c r="J35" i="5"/>
  <c r="J85" i="3"/>
  <c r="J8" i="3"/>
  <c r="J107" i="4"/>
  <c r="B65" i="5"/>
  <c r="B109" i="4"/>
  <c r="B76" i="3"/>
  <c r="B43" i="6"/>
  <c r="B87" i="4"/>
  <c r="B98" i="3"/>
  <c r="B43" i="4"/>
  <c r="B21" i="4"/>
  <c r="B65" i="6"/>
  <c r="B43" i="2"/>
  <c r="B21" i="5"/>
  <c r="B109" i="6"/>
  <c r="B87" i="6"/>
  <c r="B43" i="5"/>
  <c r="B32" i="3"/>
  <c r="B87" i="5"/>
  <c r="B109" i="5"/>
  <c r="B87" i="3"/>
  <c r="B54" i="3"/>
  <c r="B10" i="3"/>
  <c r="B21" i="6"/>
  <c r="B65" i="4"/>
  <c r="D86" i="4"/>
  <c r="M86" i="6"/>
  <c r="H64" i="4"/>
  <c r="H65" i="3"/>
  <c r="M53" i="3"/>
  <c r="L53" i="3"/>
  <c r="D53" i="3"/>
  <c r="L31" i="3"/>
  <c r="D86" i="5"/>
  <c r="L20" i="4"/>
  <c r="L64" i="4"/>
  <c r="M64" i="5"/>
  <c r="M20" i="4"/>
  <c r="L86" i="6"/>
  <c r="M108" i="5"/>
  <c r="D64" i="4"/>
  <c r="M64" i="6"/>
  <c r="M65" i="2"/>
  <c r="H65" i="2"/>
  <c r="H53" i="3"/>
  <c r="L98" i="5"/>
  <c r="D108" i="5"/>
  <c r="L64" i="5"/>
  <c r="M86" i="4"/>
  <c r="M98" i="6"/>
  <c r="H86" i="6"/>
  <c r="L108" i="5"/>
  <c r="M76" i="5"/>
  <c r="M98" i="5"/>
  <c r="H20" i="4"/>
  <c r="L108" i="4"/>
  <c r="D109" i="2"/>
  <c r="L98" i="6"/>
  <c r="H42" i="5"/>
  <c r="M86" i="3"/>
  <c r="M64" i="4"/>
  <c r="L86" i="3"/>
  <c r="H64" i="6"/>
  <c r="L87" i="2"/>
  <c r="M42" i="2"/>
  <c r="L42" i="2"/>
  <c r="H75" i="3"/>
  <c r="M109" i="3"/>
  <c r="H108" i="6"/>
  <c r="H98" i="5"/>
  <c r="M108" i="6"/>
  <c r="D86" i="6"/>
  <c r="H108" i="4"/>
  <c r="L109" i="2"/>
  <c r="H98" i="6"/>
  <c r="D42" i="5"/>
  <c r="D21" i="2"/>
  <c r="L64" i="6"/>
  <c r="D75" i="3"/>
  <c r="M20" i="5"/>
  <c r="M42" i="4"/>
  <c r="D108" i="4"/>
  <c r="M109" i="2"/>
  <c r="D98" i="6"/>
  <c r="H86" i="3"/>
  <c r="M21" i="2"/>
  <c r="L65" i="3"/>
  <c r="M87" i="2"/>
  <c r="H76" i="5"/>
  <c r="D21" i="3"/>
  <c r="L20" i="6"/>
  <c r="H108" i="5"/>
  <c r="H109" i="2"/>
  <c r="D64" i="6"/>
  <c r="M42" i="5"/>
  <c r="D86" i="3"/>
  <c r="L21" i="2"/>
  <c r="D65" i="2"/>
  <c r="L109" i="3"/>
  <c r="H86" i="4"/>
  <c r="M108" i="4"/>
  <c r="M65" i="3"/>
  <c r="L42" i="5"/>
  <c r="H21" i="2"/>
  <c r="D87" i="2"/>
  <c r="L65" i="2"/>
  <c r="H87" i="2"/>
  <c r="D65" i="3"/>
  <c r="H9" i="3"/>
  <c r="M43" i="3"/>
  <c r="D108" i="6"/>
  <c r="D64" i="5"/>
  <c r="L76" i="5"/>
  <c r="D97" i="3"/>
  <c r="H42" i="4"/>
  <c r="M31" i="3"/>
  <c r="M20" i="6"/>
  <c r="H20" i="6"/>
  <c r="M75" i="3"/>
  <c r="D76" i="5"/>
  <c r="H42" i="2"/>
  <c r="H31" i="3"/>
  <c r="D9" i="3"/>
  <c r="L75" i="3"/>
  <c r="D42" i="2"/>
  <c r="D31" i="3"/>
  <c r="M9" i="3"/>
  <c r="M97" i="3"/>
  <c r="D42" i="6"/>
  <c r="M42" i="6"/>
  <c r="D10" i="6"/>
  <c r="H64" i="5"/>
  <c r="H20" i="5"/>
  <c r="D20" i="6"/>
  <c r="H21" i="3"/>
  <c r="L97" i="3"/>
  <c r="D20" i="5"/>
  <c r="H86" i="5"/>
  <c r="L9" i="3"/>
  <c r="H10" i="6"/>
  <c r="D20" i="4"/>
  <c r="H109" i="3"/>
  <c r="M21" i="3"/>
  <c r="H97" i="3"/>
  <c r="L20" i="5"/>
  <c r="L43" i="3"/>
  <c r="L86" i="5"/>
  <c r="L42" i="6"/>
  <c r="D109" i="3"/>
  <c r="L21" i="3"/>
  <c r="L42" i="4"/>
  <c r="M86" i="5"/>
  <c r="H43" i="3"/>
  <c r="D43" i="3"/>
  <c r="L10" i="6"/>
  <c r="H42" i="6"/>
  <c r="M10" i="6"/>
  <c r="D42" i="4"/>
  <c r="L108" i="6"/>
  <c r="D98" i="5"/>
  <c r="L86" i="4"/>
  <c r="P21" i="2"/>
  <c r="P18" i="2"/>
  <c r="P18" i="3"/>
  <c r="P21" i="3"/>
  <c r="P43" i="3"/>
  <c r="P40" i="3"/>
  <c r="P10" i="6"/>
  <c r="P7" i="6"/>
  <c r="N10" i="6" l="1"/>
  <c r="J42" i="6"/>
  <c r="J45" i="3"/>
  <c r="J46" i="3"/>
  <c r="J43" i="3"/>
  <c r="N86" i="5"/>
  <c r="J97" i="3"/>
  <c r="N21" i="3"/>
  <c r="J109" i="3"/>
  <c r="J10" i="6"/>
  <c r="J86" i="5"/>
  <c r="J21" i="3"/>
  <c r="J20" i="5"/>
  <c r="J64" i="5"/>
  <c r="J12" i="6"/>
  <c r="J13" i="6"/>
  <c r="N42" i="6"/>
  <c r="N97" i="3"/>
  <c r="N9" i="3"/>
  <c r="J31" i="3"/>
  <c r="J42" i="2"/>
  <c r="N75" i="3"/>
  <c r="J20" i="6"/>
  <c r="N20" i="6"/>
  <c r="N31" i="3"/>
  <c r="J42" i="4"/>
  <c r="N43" i="3"/>
  <c r="J9" i="3"/>
  <c r="J87" i="2"/>
  <c r="J21" i="2"/>
  <c r="N65" i="3"/>
  <c r="N108" i="4"/>
  <c r="J86" i="4"/>
  <c r="N42" i="5"/>
  <c r="J109" i="2"/>
  <c r="J108" i="5"/>
  <c r="J24" i="3"/>
  <c r="J23" i="3"/>
  <c r="J76" i="5"/>
  <c r="N87" i="2"/>
  <c r="N21" i="2"/>
  <c r="J86" i="3"/>
  <c r="N109" i="2"/>
  <c r="N42" i="4"/>
  <c r="N20" i="5"/>
  <c r="J23" i="2"/>
  <c r="J24" i="2"/>
  <c r="J98" i="6"/>
  <c r="J108" i="4"/>
  <c r="N108" i="6"/>
  <c r="J98" i="5"/>
  <c r="J108" i="6"/>
  <c r="N109" i="3"/>
  <c r="J75" i="3"/>
  <c r="N42" i="2"/>
  <c r="J64" i="6"/>
  <c r="N64" i="4"/>
  <c r="N86" i="3"/>
  <c r="J42" i="5"/>
  <c r="J20" i="4"/>
  <c r="N98" i="5"/>
  <c r="N76" i="5"/>
  <c r="J86" i="6"/>
  <c r="N98" i="6"/>
  <c r="N86" i="4"/>
  <c r="J53" i="3"/>
  <c r="J65" i="2"/>
  <c r="N65" i="2"/>
  <c r="N64" i="6"/>
  <c r="N108" i="5"/>
  <c r="N20" i="4"/>
  <c r="N64" i="5"/>
  <c r="N53" i="3"/>
  <c r="J65" i="3"/>
  <c r="J64" i="4"/>
  <c r="N86" i="6"/>
  <c r="D98" i="3"/>
  <c r="L109" i="4"/>
  <c r="H21" i="6"/>
  <c r="M65" i="6"/>
  <c r="H98" i="3"/>
  <c r="H109" i="4"/>
  <c r="D21" i="6"/>
  <c r="H65" i="4"/>
  <c r="M87" i="4"/>
  <c r="L43" i="4"/>
  <c r="M21" i="6"/>
  <c r="M87" i="6"/>
  <c r="M10" i="3"/>
  <c r="M109" i="5"/>
  <c r="M65" i="5"/>
  <c r="L43" i="6"/>
  <c r="H54" i="3"/>
  <c r="L98" i="3"/>
  <c r="L87" i="6"/>
  <c r="L10" i="3"/>
  <c r="L109" i="5"/>
  <c r="D65" i="5"/>
  <c r="L109" i="6"/>
  <c r="H87" i="6"/>
  <c r="D10" i="3"/>
  <c r="D109" i="5"/>
  <c r="H10" i="3"/>
  <c r="H21" i="4"/>
  <c r="M76" i="3"/>
  <c r="D76" i="3"/>
  <c r="D87" i="6"/>
  <c r="H109" i="5"/>
  <c r="M54" i="3"/>
  <c r="H65" i="5"/>
  <c r="L65" i="5"/>
  <c r="M65" i="4"/>
  <c r="M43" i="2"/>
  <c r="H43" i="2"/>
  <c r="M32" i="3"/>
  <c r="M43" i="5"/>
  <c r="M21" i="4"/>
  <c r="D87" i="3"/>
  <c r="L65" i="4"/>
  <c r="D21" i="5"/>
  <c r="H87" i="4"/>
  <c r="H43" i="4"/>
  <c r="L32" i="3"/>
  <c r="L43" i="5"/>
  <c r="L21" i="4"/>
  <c r="L54" i="3"/>
  <c r="H76" i="3"/>
  <c r="M87" i="5"/>
  <c r="D32" i="3"/>
  <c r="H43" i="5"/>
  <c r="M43" i="6"/>
  <c r="L76" i="3"/>
  <c r="D54" i="3"/>
  <c r="D43" i="6"/>
  <c r="M87" i="3"/>
  <c r="L87" i="3"/>
  <c r="D87" i="4"/>
  <c r="M109" i="4"/>
  <c r="H32" i="3"/>
  <c r="D43" i="5"/>
  <c r="D21" i="4"/>
  <c r="H43" i="6"/>
  <c r="H21" i="5"/>
  <c r="M43" i="4"/>
  <c r="D43" i="2"/>
  <c r="D109" i="6"/>
  <c r="L21" i="5"/>
  <c r="D65" i="6"/>
  <c r="H109" i="6"/>
  <c r="M109" i="6"/>
  <c r="D87" i="5"/>
  <c r="M21" i="5"/>
  <c r="H87" i="3"/>
  <c r="D65" i="4"/>
  <c r="H65" i="6"/>
  <c r="L21" i="6"/>
  <c r="L87" i="5"/>
  <c r="L65" i="6"/>
  <c r="L87" i="4"/>
  <c r="L43" i="2"/>
  <c r="M98" i="3"/>
  <c r="H87" i="5"/>
  <c r="D109" i="4"/>
  <c r="D43" i="4"/>
  <c r="P7" i="3"/>
  <c r="P10" i="3"/>
  <c r="P29" i="3"/>
  <c r="P32" i="3"/>
  <c r="P43" i="5"/>
  <c r="P40" i="5"/>
  <c r="P21" i="4"/>
  <c r="P18" i="4"/>
  <c r="P40" i="6"/>
  <c r="P43" i="6"/>
  <c r="P21" i="5"/>
  <c r="P18" i="5"/>
  <c r="P18" i="6"/>
  <c r="P21" i="6"/>
  <c r="P40" i="2"/>
  <c r="P43" i="2"/>
  <c r="P43" i="4"/>
  <c r="P40" i="4"/>
  <c r="J45" i="4" l="1"/>
  <c r="J46" i="4"/>
  <c r="J87" i="5"/>
  <c r="N98" i="3"/>
  <c r="J65" i="6"/>
  <c r="J87" i="3"/>
  <c r="N21" i="5"/>
  <c r="N109" i="6"/>
  <c r="J109" i="6"/>
  <c r="J45" i="2"/>
  <c r="J46" i="2"/>
  <c r="N43" i="4"/>
  <c r="J21" i="5"/>
  <c r="J43" i="6"/>
  <c r="J24" i="4"/>
  <c r="J23" i="4"/>
  <c r="J45" i="5"/>
  <c r="J46" i="5"/>
  <c r="J32" i="3"/>
  <c r="N109" i="4"/>
  <c r="N87" i="3"/>
  <c r="J45" i="6"/>
  <c r="J46" i="6"/>
  <c r="N43" i="6"/>
  <c r="J43" i="5"/>
  <c r="J35" i="3"/>
  <c r="J34" i="3"/>
  <c r="N87" i="5"/>
  <c r="J76" i="3"/>
  <c r="J43" i="4"/>
  <c r="J87" i="4"/>
  <c r="J23" i="5"/>
  <c r="J24" i="5"/>
  <c r="N21" i="4"/>
  <c r="N43" i="5"/>
  <c r="N32" i="3"/>
  <c r="J43" i="2"/>
  <c r="N43" i="2"/>
  <c r="N65" i="4"/>
  <c r="J65" i="5"/>
  <c r="N54" i="3"/>
  <c r="J109" i="5"/>
  <c r="N76" i="3"/>
  <c r="J21" i="4"/>
  <c r="J10" i="3"/>
  <c r="J13" i="3"/>
  <c r="J12" i="3"/>
  <c r="J87" i="6"/>
  <c r="J54" i="3"/>
  <c r="N65" i="5"/>
  <c r="N109" i="5"/>
  <c r="N10" i="3"/>
  <c r="N87" i="6"/>
  <c r="N21" i="6"/>
  <c r="N87" i="4"/>
  <c r="J65" i="4"/>
  <c r="J23" i="6"/>
  <c r="J24" i="6"/>
  <c r="J109" i="4"/>
  <c r="J98" i="3"/>
  <c r="N65" i="6"/>
  <c r="J21" i="6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<sst xmlns="http://schemas.openxmlformats.org/spreadsheetml/2006/main" count="7258" uniqueCount="189">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</sst>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26-499E-96D0-86FB68428AC7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36.804712000000002</c:v>
                </c:pt>
                <c:pt idx="1">
                  <c:v>53.20823200000001</c:v>
                </c:pt>
                <c:pt idx="2">
                  <c:v>77.353151999999994</c:v>
                </c:pt>
                <c:pt idx="3">
                  <c:v>110.21858400000001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27.627274400000001</c:v>
                </c:pt>
                <c:pt idx="1">
                  <c:v>31.604472466666664</c:v>
                </c:pt>
                <c:pt idx="2">
                  <c:v>36.592307933333331</c:v>
                </c:pt>
                <c:pt idx="3">
                  <c:v>39.449368133333337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26-499E-96D0-86FB68428A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26-499E-96D0-86FB68428A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26-499E-96D0-86FB68428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44-4759-90C2-6B333C035E1C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27.093624000000005</c:v>
                </c:pt>
                <c:pt idx="1">
                  <c:v>39.15352</c:v>
                </c:pt>
                <c:pt idx="2">
                  <c:v>58.907279999999993</c:v>
                </c:pt>
                <c:pt idx="3">
                  <c:v>86.291304000000011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30.403648714285719</c:v>
                </c:pt>
                <c:pt idx="1">
                  <c:v>33.863004428571422</c:v>
                </c:pt>
                <c:pt idx="2">
                  <c:v>37.747717761904767</c:v>
                </c:pt>
                <c:pt idx="3">
                  <c:v>41.705396666666672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44-4759-90C2-6B333C035E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44-4759-90C2-6B333C035E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44-4759-90C2-6B333C035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34-497B-8D11-D54460DF40F7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27.909271999999998</c:v>
                </c:pt>
                <c:pt idx="1">
                  <c:v>40.481008000000003</c:v>
                </c:pt>
                <c:pt idx="2">
                  <c:v>61.147655999999998</c:v>
                </c:pt>
                <c:pt idx="3">
                  <c:v>89.643144000000021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30.49982819047619</c:v>
                </c:pt>
                <c:pt idx="1">
                  <c:v>33.844719476190477</c:v>
                </c:pt>
                <c:pt idx="2">
                  <c:v>37.791047000000013</c:v>
                </c:pt>
                <c:pt idx="3">
                  <c:v>41.519661428571432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34-497B-8D11-D54460DF40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34-497B-8D11-D54460DF40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34-497B-8D11-D54460DF4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FF-48F8-9EAD-8083D5DBCC73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FF-48F8-9EAD-8083D5DBCC7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FF-48F8-9EAD-8083D5DBCC7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FF-48F8-9EAD-8083D5DBC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1D-4730-8C01-47CD72C8C447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1D-4730-8C01-47CD72C8C4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1D-4730-8C01-47CD72C8C4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1D-4730-8C01-47CD72C8C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18-4E0A-8E2E-CA9F7FABF323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18-4E0A-8E2E-CA9F7FABF3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18-4E0A-8E2E-CA9F7FABF3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18-4E0A-8E2E-CA9F7FABF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75-4A85-82F3-4BC4E9929B8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75-4A85-82F3-4BC4E9929B8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75-4A85-82F3-4BC4E9929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EE-4BEA-B4AA-DF6F6F6B725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EE-4BEA-B4AA-DF6F6F6B725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EE-4BEA-B4AA-DF6F6F6B7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8F-4655-B2C0-6C14E68A565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8F-4655-B2C0-6C14E68A565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8F-4655-B2C0-6C14E68A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C-48A1-88C3-CD1408DE3FEE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35.990608000000002</c:v>
                </c:pt>
                <c:pt idx="1">
                  <c:v>51.894272000000008</c:v>
                </c:pt>
                <c:pt idx="2">
                  <c:v>75.221007999999998</c:v>
                </c:pt>
                <c:pt idx="3">
                  <c:v>107.07605599999999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27.662055266666673</c:v>
                </c:pt>
                <c:pt idx="1">
                  <c:v>31.524994466666673</c:v>
                </c:pt>
                <c:pt idx="2">
                  <c:v>36.757244000000007</c:v>
                </c:pt>
                <c:pt idx="3">
                  <c:v>39.735717266666668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5C-48A1-88C3-CD1408DE3FE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5C-48A1-88C3-CD1408DE3FE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5C-48A1-88C3-CD1408DE3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97-4025-933A-B7724221935C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36.804712000000002</c:v>
                </c:pt>
                <c:pt idx="1">
                  <c:v>53.20823200000001</c:v>
                </c:pt>
                <c:pt idx="2">
                  <c:v>77.353151999999994</c:v>
                </c:pt>
                <c:pt idx="3">
                  <c:v>110.21858400000001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33.642301799999998</c:v>
                </c:pt>
                <c:pt idx="1">
                  <c:v>36.521085599999999</c:v>
                </c:pt>
                <c:pt idx="2">
                  <c:v>40.420502066666664</c:v>
                </c:pt>
                <c:pt idx="3">
                  <c:v>43.029639333333336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97-4025-933A-B772422193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97-4025-933A-B772422193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97-4025-933A-B77242219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93-488F-B79F-2459241D1313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27.093624000000005</c:v>
                </c:pt>
                <c:pt idx="1">
                  <c:v>39.15352</c:v>
                </c:pt>
                <c:pt idx="2">
                  <c:v>58.907279999999993</c:v>
                </c:pt>
                <c:pt idx="3">
                  <c:v>86.291304000000011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34.356587095238091</c:v>
                </c:pt>
                <c:pt idx="1">
                  <c:v>37.256791285714272</c:v>
                </c:pt>
                <c:pt idx="2">
                  <c:v>41.038814142857134</c:v>
                </c:pt>
                <c:pt idx="3">
                  <c:v>44.770728047619045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93-488F-B79F-2459241D13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93-488F-B79F-2459241D13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93-488F-B79F-2459241D1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8C-48AF-9BAA-C0A4B6335EF7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27.909271999999998</c:v>
                </c:pt>
                <c:pt idx="1">
                  <c:v>40.481008000000003</c:v>
                </c:pt>
                <c:pt idx="2">
                  <c:v>61.147655999999998</c:v>
                </c:pt>
                <c:pt idx="3">
                  <c:v>89.643144000000021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34.440841095238106</c:v>
                </c:pt>
                <c:pt idx="1">
                  <c:v>37.197973333333323</c:v>
                </c:pt>
                <c:pt idx="2">
                  <c:v>41.096162666666665</c:v>
                </c:pt>
                <c:pt idx="3">
                  <c:v>44.606781095238091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8C-48AF-9BAA-C0A4B6335E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8C-48AF-9BAA-C0A4B6335E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8C-48AF-9BAA-C0A4B6335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1-49A8-A07A-92A62DD17BCF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1-49A8-A07A-92A62DD17B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1-49A8-A07A-92A62DD17B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1-49A8-A07A-92A62DD17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DC-494F-BBC5-CB03795ADBE1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DC-494F-BBC5-CB03795ADBE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DC-494F-BBC5-CB03795ADBE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DC-494F-BBC5-CB03795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B7-4581-BE27-CCB25DBE46B7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B7-4581-BE27-CCB25DBE46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B7-4581-BE27-CCB25DBE46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B7-4581-BE27-CCB25DBE4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48-475C-AAE1-DBA8683D9C3A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48-475C-AAE1-DBA8683D9C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48-475C-AAE1-DBA8683D9C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48-475C-AAE1-DBA8683D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5E-403D-8657-F6A90464FBD5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5E-403D-8657-F6A90464FB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5E-403D-8657-F6A90464FB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5E-403D-8657-F6A90464F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03-4347-876F-F5CFB4BFBD6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03-4347-876F-F5CFB4BFBD6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03-4347-876F-F5CFB4BFB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56-443A-B8B3-22B337AE05D0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35.990608000000002</c:v>
                </c:pt>
                <c:pt idx="1">
                  <c:v>51.894272000000008</c:v>
                </c:pt>
                <c:pt idx="2">
                  <c:v>75.221007999999998</c:v>
                </c:pt>
                <c:pt idx="3">
                  <c:v>107.07605599999999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33.684400533333331</c:v>
                </c:pt>
                <c:pt idx="1">
                  <c:v>36.522476733333335</c:v>
                </c:pt>
                <c:pt idx="2">
                  <c:v>40.5889326</c:v>
                </c:pt>
                <c:pt idx="3">
                  <c:v>43.274362133333327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56-443A-B8B3-22B337AE05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56-443A-B8B3-22B337AE05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56-443A-B8B3-22B337AE0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88-4902-9F81-FEA9CBD18423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36.804712000000002</c:v>
                </c:pt>
                <c:pt idx="1">
                  <c:v>53.20823200000001</c:v>
                </c:pt>
                <c:pt idx="2">
                  <c:v>77.353151999999994</c:v>
                </c:pt>
                <c:pt idx="3">
                  <c:v>110.21858400000001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0.95651238800000005</c:v>
                </c:pt>
                <c:pt idx="1">
                  <c:v>0.97445972199999997</c:v>
                </c:pt>
                <c:pt idx="2">
                  <c:v>0.98700047400000002</c:v>
                </c:pt>
                <c:pt idx="3">
                  <c:v>0.99135368866666662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88-4902-9F81-FEA9CBD184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88-4902-9F81-FEA9CBD184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88-4902-9F81-FEA9CBD18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D-4304-B0BC-C6043A3DEF52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27.093624000000005</c:v>
                </c:pt>
                <c:pt idx="1">
                  <c:v>39.15352</c:v>
                </c:pt>
                <c:pt idx="2">
                  <c:v>58.907279999999993</c:v>
                </c:pt>
                <c:pt idx="3">
                  <c:v>86.291304000000011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0.96685358714285707</c:v>
                </c:pt>
                <c:pt idx="1">
                  <c:v>0.97971692142857147</c:v>
                </c:pt>
                <c:pt idx="2">
                  <c:v>0.98881808904761903</c:v>
                </c:pt>
                <c:pt idx="3">
                  <c:v>0.99357286047619042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D-4304-B0BC-C6043A3DEF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D-4304-B0BC-C6043A3DEF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2D-4304-B0BC-C6043A3DE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52-476B-9580-5BDF9105CAA4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27.909271999999998</c:v>
                </c:pt>
                <c:pt idx="1">
                  <c:v>40.481008000000003</c:v>
                </c:pt>
                <c:pt idx="2">
                  <c:v>61.147655999999998</c:v>
                </c:pt>
                <c:pt idx="3">
                  <c:v>89.643144000000021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0.96571089380952368</c:v>
                </c:pt>
                <c:pt idx="1">
                  <c:v>0.97879555380952377</c:v>
                </c:pt>
                <c:pt idx="2">
                  <c:v>0.98842657952380941</c:v>
                </c:pt>
                <c:pt idx="3">
                  <c:v>0.99326130619047626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52-476B-9580-5BDF9105CAA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52-476B-9580-5BDF9105CAA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52-476B-9580-5BDF9105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C4-4800-9D63-DAD6A743A3AB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4-4800-9D63-DAD6A743A3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C4-4800-9D63-DAD6A743A3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4-4800-9D63-DAD6A743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D5-4E02-B240-33D08B15D60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D5-4E02-B240-33D08B15D60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D5-4E02-B240-33D08B15D60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D5-4E02-B240-33D08B15D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1-4D1A-9969-8DC2B6AD655B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1-4D1A-9969-8DC2B6AD655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51-4D1A-9969-8DC2B6AD655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51-4D1A-9969-8DC2B6AD6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EF-4B56-BCE6-4B7B0DBB727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EF-4B56-BCE6-4B7B0DBB727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EF-4B56-BCE6-4B7B0DBB7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1B-482B-8D0B-58846433433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1B-482B-8D0B-58846433433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1B-482B-8D0B-58846433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C-48EC-B717-D0628783F93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8C-48EC-B717-D0628783F93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8C-48EC-B717-D0628783F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F3-4405-972E-81DCA93EE6E1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35.990608000000002</c:v>
                </c:pt>
                <c:pt idx="1">
                  <c:v>51.894272000000008</c:v>
                </c:pt>
                <c:pt idx="2">
                  <c:v>75.221007999999998</c:v>
                </c:pt>
                <c:pt idx="3">
                  <c:v>107.07605599999999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0.95778845133333335</c:v>
                </c:pt>
                <c:pt idx="1">
                  <c:v>0.97513598666666657</c:v>
                </c:pt>
                <c:pt idx="2">
                  <c:v>0.98755882000000006</c:v>
                </c:pt>
                <c:pt idx="3">
                  <c:v>0.99187991933333353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F3-4405-972E-81DCA93EE6E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F3-4405-972E-81DCA93EE6E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F3-4405-972E-81DCA93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8-4DF4-A9D4-EE33BD2B5AE7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36.804712000000002</c:v>
                </c:pt>
                <c:pt idx="1">
                  <c:v>53.20823200000001</c:v>
                </c:pt>
                <c:pt idx="2">
                  <c:v>77.353151999999994</c:v>
                </c:pt>
                <c:pt idx="3">
                  <c:v>110.21858400000001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0.95514014866666674</c:v>
                </c:pt>
                <c:pt idx="1">
                  <c:v>0.9738253733333333</c:v>
                </c:pt>
                <c:pt idx="2">
                  <c:v>0.99000022200000004</c:v>
                </c:pt>
                <c:pt idx="3">
                  <c:v>0.99580271466666681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98-4DF4-A9D4-EE33BD2B5AE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98-4DF4-A9D4-EE33BD2B5AE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8-4DF4-A9D4-EE33BD2B5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34-4053-B3E9-DB183ECEEA09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27.093624000000005</c:v>
                </c:pt>
                <c:pt idx="1">
                  <c:v>39.15352</c:v>
                </c:pt>
                <c:pt idx="2">
                  <c:v>58.907279999999993</c:v>
                </c:pt>
                <c:pt idx="3">
                  <c:v>86.291304000000011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0.97378071857142867</c:v>
                </c:pt>
                <c:pt idx="1">
                  <c:v>0.98461938619047629</c:v>
                </c:pt>
                <c:pt idx="2">
                  <c:v>0.99247748571428573</c:v>
                </c:pt>
                <c:pt idx="3">
                  <c:v>0.99622638333333347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34-4053-B3E9-DB183ECEEA0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34-4053-B3E9-DB183ECEEA0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34-4053-B3E9-DB183ECEE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9D-4FB4-A7C2-0BCA1DF8F037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27.909271999999998</c:v>
                </c:pt>
                <c:pt idx="1">
                  <c:v>40.481008000000003</c:v>
                </c:pt>
                <c:pt idx="2">
                  <c:v>61.147655999999998</c:v>
                </c:pt>
                <c:pt idx="3">
                  <c:v>89.643144000000021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0.97310243761904736</c:v>
                </c:pt>
                <c:pt idx="1">
                  <c:v>0.98428817047619055</c:v>
                </c:pt>
                <c:pt idx="2">
                  <c:v>0.9923041419047619</c:v>
                </c:pt>
                <c:pt idx="3">
                  <c:v>0.99608095428571408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9D-4FB4-A7C2-0BCA1DF8F03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9D-4FB4-A7C2-0BCA1DF8F03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9D-4FB4-A7C2-0BCA1DF8F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DD-4C40-B9E3-856F7AF9DC93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DD-4C40-B9E3-856F7AF9DC9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DD-4C40-B9E3-856F7AF9DC9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DD-4C40-B9E3-856F7AF9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D4-439E-B77F-3302A7B0066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D4-439E-B77F-3302A7B006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D4-439E-B77F-3302A7B006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D4-439E-B77F-3302A7B00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01C-A7E2-6118B9E0715D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7-401C-A7E2-6118B9E0715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7-401C-A7E2-6118B9E0715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77-401C-A7E2-6118B9E07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1F-4403-A5FC-D79E334B00CE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1F-4403-A5FC-D79E334B00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1F-4403-A5FC-D79E334B00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1F-4403-A5FC-D79E334B0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0-43B5-A3FB-C8519B8D723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0-43B5-A3FB-C8519B8D723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C0-43B5-A3FB-C8519B8D7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3-4759-BA02-FB452F55D4A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23-4759-BA02-FB452F55D4A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23-4759-BA02-FB452F55D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72-4086-8C52-9728A76E4A9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72-4086-8C52-9728A76E4A9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72-4086-8C52-9728A76E4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E4-4254-8A71-D4A466F2F272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35.990608000000002</c:v>
                </c:pt>
                <c:pt idx="1">
                  <c:v>51.894272000000008</c:v>
                </c:pt>
                <c:pt idx="2">
                  <c:v>75.221007999999998</c:v>
                </c:pt>
                <c:pt idx="3">
                  <c:v>107.07605599999999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0.95539978733333342</c:v>
                </c:pt>
                <c:pt idx="1">
                  <c:v>0.97379156599999994</c:v>
                </c:pt>
                <c:pt idx="2">
                  <c:v>0.99036042599999996</c:v>
                </c:pt>
                <c:pt idx="3">
                  <c:v>0.995959594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E4-4254-8A71-D4A466F2F27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E4-4254-8A71-D4A466F2F27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E4-4254-8A71-D4A466F2F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80-4EA0-A0A5-5F366F27953F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36.804712000000002</c:v>
                </c:pt>
                <c:pt idx="1">
                  <c:v>53.20823200000001</c:v>
                </c:pt>
                <c:pt idx="2">
                  <c:v>77.353151999999994</c:v>
                </c:pt>
                <c:pt idx="3">
                  <c:v>110.21858400000001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5.8698954666666671E-2</c:v>
                </c:pt>
                <c:pt idx="1">
                  <c:v>3.4032391666666668E-2</c:v>
                </c:pt>
                <c:pt idx="2">
                  <c:v>1.7721277733333332E-2</c:v>
                </c:pt>
                <c:pt idx="3">
                  <c:v>1.1306130100000001E-2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80-4EA0-A0A5-5F366F2795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80-4EA0-A0A5-5F366F2795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80-4EA0-A0A5-5F366F279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D-4F6A-B055-C3870E4B521C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27.093624000000005</c:v>
                </c:pt>
                <c:pt idx="1">
                  <c:v>39.15352</c:v>
                </c:pt>
                <c:pt idx="2">
                  <c:v>58.907279999999993</c:v>
                </c:pt>
                <c:pt idx="3">
                  <c:v>86.291304000000011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5.6009217999999993E-2</c:v>
                </c:pt>
                <c:pt idx="1">
                  <c:v>3.6500594714285718E-2</c:v>
                </c:pt>
                <c:pt idx="2">
                  <c:v>2.1285181238095235E-2</c:v>
                </c:pt>
                <c:pt idx="3">
                  <c:v>9.668171642857144E-3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D-4F6A-B055-C3870E4B52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D-4F6A-B055-C3870E4B52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27.093624000000005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D-4F6A-B055-C3870E4B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C6-488A-BCE1-D7F18C328C7E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27.909271999999998</c:v>
                </c:pt>
                <c:pt idx="1">
                  <c:v>40.481008000000003</c:v>
                </c:pt>
                <c:pt idx="2">
                  <c:v>61.147655999999998</c:v>
                </c:pt>
                <c:pt idx="3">
                  <c:v>89.643144000000021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5.7331039190476184E-2</c:v>
                </c:pt>
                <c:pt idx="1">
                  <c:v>3.7033319952380954E-2</c:v>
                </c:pt>
                <c:pt idx="2">
                  <c:v>2.1611790333333335E-2</c:v>
                </c:pt>
                <c:pt idx="3">
                  <c:v>1.0000444500000002E-2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C6-488A-BCE1-D7F18C328C7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C6-488A-BCE1-D7F18C328C7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27.909271999999998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C6-488A-BCE1-D7F18C328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2-416F-B4F9-92274D3E305B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2-416F-B4F9-92274D3E305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B2-416F-B4F9-92274D3E305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B2-416F-B4F9-92274D3E3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99-4AF8-AF99-FCCDF29E5597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99-4AF8-AF99-FCCDF29E559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99-4AF8-AF99-FCCDF29E559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99-4AF8-AF99-FCCDF29E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EC-4AEE-A92C-C434341D5A96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EC-4AEE-A92C-C434341D5A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EC-4AEE-A92C-C434341D5A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EC-4AEE-A92C-C434341D5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B-4F67-B570-97A0A49586B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2B-4F67-B570-97A0A49586B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B-4F67-B570-97A0A4958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3F-4F27-AB7A-5E1ADB50B96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3F-4F27-AB7A-5E1ADB50B96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3F-4F27-AB7A-5E1ADB50B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1B-4886-86FE-559D66E2B9A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1B-4886-86FE-559D66E2B9A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1B-4886-86FE-559D66E2B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09-4A34-BEE1-EC2DCDD36768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35.990608000000002</c:v>
                </c:pt>
                <c:pt idx="1">
                  <c:v>51.894272000000008</c:v>
                </c:pt>
                <c:pt idx="2">
                  <c:v>75.221007999999998</c:v>
                </c:pt>
                <c:pt idx="3">
                  <c:v>107.07605599999999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5.76701534E-2</c:v>
                </c:pt>
                <c:pt idx="1">
                  <c:v>3.3284546666666665E-2</c:v>
                </c:pt>
                <c:pt idx="2">
                  <c:v>1.71571142E-2</c:v>
                </c:pt>
                <c:pt idx="3">
                  <c:v>1.0521220966666666E-2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09-4A34-BEE1-EC2DCDD3676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09-4A34-BEE1-EC2DCDD3676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36.804712000000002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09-4A34-BEE1-EC2DCDD36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G9" sqref="G9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-0.12155069927774087</v>
      </c>
      <c r="E9" s="218">
        <f t="shared" ref="E9:E18" ca="1" si="2">INDIRECT($C9&amp;"!AN$5")</f>
        <v>-0.15109392390060317</v>
      </c>
      <c r="F9" s="218">
        <f t="shared" ref="F9:F18" ca="1" si="3">INDIRECT($C9&amp;"!AO$5")</f>
        <v>-7.0286875858545095E-3</v>
      </c>
      <c r="G9" s="218">
        <f t="shared" ref="G9:G18" ca="1" si="4">INDIRECT($C9&amp;"!AP$5")</f>
        <v>-4.0656252786644753E-2</v>
      </c>
      <c r="H9" s="219">
        <f t="shared" ref="H9:H18" ca="1" si="5">INDIRECT($C9&amp;"!AQ$5")</f>
        <v>-0.16872322972459741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-0.12028521680903559</v>
      </c>
      <c r="E10" s="218">
        <f t="shared" ca="1" si="2"/>
        <v>-0.15264362539884435</v>
      </c>
      <c r="F10" s="218">
        <f t="shared" ca="1" si="3"/>
        <v>-1.0528896774732899E-2</v>
      </c>
      <c r="G10" s="218">
        <f t="shared" ca="1" si="4"/>
        <v>-4.6649386128100434E-2</v>
      </c>
      <c r="H10" s="221">
        <f t="shared" ca="1" si="5"/>
        <v>-0.17634617576625411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-0.12509511623621705</v>
      </c>
      <c r="E11" s="218">
        <f t="shared" ca="1" si="2"/>
        <v>-9.106602019884702E-2</v>
      </c>
      <c r="F11" s="218">
        <f t="shared" ca="1" si="3"/>
        <v>-3.6988746889881075E-3</v>
      </c>
      <c r="G11" s="218">
        <f t="shared" ca="1" si="4"/>
        <v>-2.8431765940914899E-2</v>
      </c>
      <c r="H11" s="221">
        <f t="shared" ca="1" si="5"/>
        <v>-0.15443225591292564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-0.13597316051439645</v>
      </c>
      <c r="E12" s="218">
        <f t="shared" ca="1" si="2"/>
        <v>-9.9788625401059816E-2</v>
      </c>
      <c r="F12" s="218">
        <f t="shared" ca="1" si="3"/>
        <v>-4.9832665364727413E-3</v>
      </c>
      <c r="G12" s="218">
        <f t="shared" ca="1" si="4"/>
        <v>-3.3101211204304981E-2</v>
      </c>
      <c r="H12" s="221">
        <f t="shared" ca="1" si="5"/>
        <v>-0.16524299386975683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abSelected="1" topLeftCell="G1" workbookViewId="0">
      <selection activeCell="N29" sqref="N29:N32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35.990608000000002</v>
      </c>
      <c r="I7" s="10"/>
      <c r="J7" s="228">
        <f ca="1">H7/D7-1</f>
        <v>-2.8160038572672907E-2</v>
      </c>
      <c r="L7" s="74">
        <f ca="1">INDIRECT($B7&amp;"!"&amp;L$3&amp;"5")</f>
        <v>27.262733600000001</v>
      </c>
      <c r="M7" s="75">
        <f ca="1">INDIRECT($B7&amp;"!"&amp;M$3&amp;"5")</f>
        <v>27.662055266666673</v>
      </c>
      <c r="N7" s="76">
        <f ca="1">M7-L7</f>
        <v>0.39932166666667257</v>
      </c>
      <c r="O7" s="226"/>
      <c r="P7" s="228">
        <f ca="1">bdrate(D7:D10,L7:L10,H7:H10,M7:M10)</f>
        <v>-0.12155069927773954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51.894272000000008</v>
      </c>
      <c r="I8" s="10"/>
      <c r="J8" s="228">
        <f ca="1">H8/D8-1</f>
        <v>-2.5339024128583132E-2</v>
      </c>
      <c r="L8" s="74">
        <f ca="1">INDIRECT($B8&amp;"!"&amp;L$3&amp;"6")</f>
        <v>30.5955504</v>
      </c>
      <c r="M8" s="75">
        <f ca="1">INDIRECT($B8&amp;"!"&amp;M$3&amp;"6")</f>
        <v>31.524994466666673</v>
      </c>
      <c r="N8" s="76">
        <f ca="1">M8-L8</f>
        <v>0.92944406666667234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75.221007999999998</v>
      </c>
      <c r="I9" s="10"/>
      <c r="J9" s="228">
        <f ca="1">H9/D9-1</f>
        <v>-2.0219624167432504E-2</v>
      </c>
      <c r="L9" s="74">
        <f ca="1">INDIRECT($B9&amp;"!"&amp;L$3&amp;"7")</f>
        <v>35.178384000000008</v>
      </c>
      <c r="M9" s="75">
        <f ca="1">INDIRECT($B9&amp;"!"&amp;M$3&amp;"7")</f>
        <v>36.757244000000007</v>
      </c>
      <c r="N9" s="76">
        <f ca="1">M9-L9</f>
        <v>1.5788599999999988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107.07605599999999</v>
      </c>
      <c r="I10" s="10"/>
      <c r="J10" s="228">
        <f ca="1">H10/D10-1</f>
        <v>-1.6406372804460667E-2</v>
      </c>
      <c r="L10" s="74">
        <f ca="1">INDIRECT($B10&amp;"!"&amp;L$3&amp;"8")</f>
        <v>37.847506266666663</v>
      </c>
      <c r="M10" s="75">
        <f ca="1">INDIRECT($B10&amp;"!"&amp;M$3&amp;"8")</f>
        <v>39.735717266666668</v>
      </c>
      <c r="N10" s="76">
        <f ca="1">M10-L10</f>
        <v>1.8882110000000054</v>
      </c>
      <c r="O10" s="226"/>
      <c r="P10" s="231">
        <f ca="1">bdrate(L7:L10,D7:D10,M7:M10,H7:H10)</f>
        <v>4.6636911793805913E-2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35.990608000000002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36.804712000000002</v>
      </c>
      <c r="I18" s="10"/>
      <c r="J18" s="228">
        <f ca="1">H18/D18-1</f>
        <v>-3.0056390783257725E-2</v>
      </c>
      <c r="L18" s="74">
        <f ca="1">INDIRECT($B18&amp;"!"&amp;L$3&amp;"5")</f>
        <v>27.225800466666666</v>
      </c>
      <c r="M18" s="75">
        <f ca="1">INDIRECT($B18&amp;"!"&amp;M$3&amp;"5")</f>
        <v>27.627274400000001</v>
      </c>
      <c r="N18" s="76">
        <f ca="1">M18-L18</f>
        <v>0.40147393333333525</v>
      </c>
      <c r="O18" s="226"/>
      <c r="P18" s="228">
        <f ca="1">bdrate(D18:D21,L18:L21,H18:H21,M18:M21)</f>
        <v>-0.12028521680903492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53.20823200000001</v>
      </c>
      <c r="I19" s="10"/>
      <c r="J19" s="228">
        <f ca="1">H19/D19-1</f>
        <v>-2.6943923773363521E-2</v>
      </c>
      <c r="L19" s="74">
        <f ca="1">INDIRECT($B19&amp;"!"&amp;L$3&amp;"6")</f>
        <v>30.717614933333337</v>
      </c>
      <c r="M19" s="75">
        <f ca="1">INDIRECT($B19&amp;"!"&amp;M$3&amp;"6")</f>
        <v>31.604472466666664</v>
      </c>
      <c r="N19" s="76">
        <f ca="1">M19-L19</f>
        <v>0.88685753333332684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77.353151999999994</v>
      </c>
      <c r="I20" s="10"/>
      <c r="J20" s="228">
        <f ca="1">H20/D20-1</f>
        <v>-2.1351506700489575E-2</v>
      </c>
      <c r="L20" s="74">
        <f ca="1">INDIRECT($B20&amp;"!"&amp;L$3&amp;"7")</f>
        <v>35.108155866666671</v>
      </c>
      <c r="M20" s="75">
        <f ca="1">INDIRECT($B20&amp;"!"&amp;M$3&amp;"7")</f>
        <v>36.592307933333331</v>
      </c>
      <c r="N20" s="76">
        <f ca="1">M20-L20</f>
        <v>1.4841520666666597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110.21858400000001</v>
      </c>
      <c r="I21" s="10"/>
      <c r="J21" s="228">
        <f ca="1">H21/D21-1</f>
        <v>-1.7171313146617906E-2</v>
      </c>
      <c r="L21" s="74">
        <f ca="1">INDIRECT($B21&amp;"!"&amp;L$3&amp;"8")</f>
        <v>37.605895933333336</v>
      </c>
      <c r="M21" s="75">
        <f ca="1">INDIRECT($B21&amp;"!"&amp;M$3&amp;"8")</f>
        <v>39.449368133333337</v>
      </c>
      <c r="N21" s="76">
        <f ca="1">M21-L21</f>
        <v>1.8434722000000008</v>
      </c>
      <c r="O21" s="226"/>
      <c r="P21" s="231">
        <f ca="1">bdrate(L18:L21,D18:D21,M18:M21,H18:H21)</f>
        <v>4.5053230644836351E-2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36.804712000000002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27.093624000000005</v>
      </c>
      <c r="I29" s="10"/>
      <c r="J29" s="228">
        <f ca="1">H29/D29-1</f>
        <v>-1.3245004169383567E-2</v>
      </c>
      <c r="L29" s="74">
        <f ca="1">INDIRECT($B29&amp;"!"&amp;L$3&amp;"5")</f>
        <v>30.246270333333335</v>
      </c>
      <c r="M29" s="75">
        <f ca="1">INDIRECT($B29&amp;"!"&amp;M$3&amp;"5")</f>
        <v>30.403648714285719</v>
      </c>
      <c r="N29" s="76">
        <f ca="1">M29-L29</f>
        <v>0.15737838095238388</v>
      </c>
      <c r="O29" s="226"/>
      <c r="P29" s="228">
        <f ca="1">bdrate(D29:D32,L29:L32,H29:H32,M29:M32)</f>
        <v>-0.1250951162362155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39.15352</v>
      </c>
      <c r="I30" s="10"/>
      <c r="J30" s="228">
        <f ca="1">H30/D30-1</f>
        <v>-1.4554390096474856E-2</v>
      </c>
      <c r="L30" s="74">
        <f ca="1">INDIRECT($B30&amp;"!"&amp;L$3&amp;"6")</f>
        <v>33.072678761904761</v>
      </c>
      <c r="M30" s="75">
        <f ca="1">INDIRECT($B30&amp;"!"&amp;M$3&amp;"6")</f>
        <v>33.863004428571422</v>
      </c>
      <c r="N30" s="76">
        <f ca="1">M30-L30</f>
        <v>0.79032566666666071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58.907279999999993</v>
      </c>
      <c r="I31" s="10"/>
      <c r="J31" s="228">
        <f ca="1">H31/D31-1</f>
        <v>-1.0825902962359968E-2</v>
      </c>
      <c r="L31" s="74">
        <f ca="1">INDIRECT($B31&amp;"!"&amp;L$3&amp;"7")</f>
        <v>36.281602476190471</v>
      </c>
      <c r="M31" s="75">
        <f ca="1">INDIRECT($B31&amp;"!"&amp;M$3&amp;"7")</f>
        <v>37.747717761904767</v>
      </c>
      <c r="N31" s="76">
        <f ca="1">M31-L31</f>
        <v>1.4661152857142952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86.291304000000011</v>
      </c>
      <c r="I32" s="10"/>
      <c r="J32" s="228">
        <f ca="1">H32/D32-1</f>
        <v>-8.04997412163444E-3</v>
      </c>
      <c r="L32" s="74">
        <f ca="1">INDIRECT($B32&amp;"!"&amp;L$3&amp;"8")</f>
        <v>39.436459095238085</v>
      </c>
      <c r="M32" s="75">
        <f ca="1">INDIRECT($B32&amp;"!"&amp;M$3&amp;"8")</f>
        <v>41.705396666666672</v>
      </c>
      <c r="N32" s="76">
        <f ca="1">M32-L32</f>
        <v>2.2689375714285873</v>
      </c>
      <c r="O32" s="226"/>
      <c r="P32" s="231">
        <f ca="1">bdrate(L29:L32,D29:D32,M29:M32,H29:H32)</f>
        <v>3.9781729688562084E-2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27.093624000000005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27.909271999999998</v>
      </c>
      <c r="I40" s="10"/>
      <c r="J40" s="228">
        <f ca="1">H40/D40-1</f>
        <v>-1.4393409887993314E-2</v>
      </c>
      <c r="L40" s="74">
        <f ca="1">INDIRECT($B40&amp;"!"&amp;L$3&amp;"5")</f>
        <v>30.214093190476195</v>
      </c>
      <c r="M40" s="75">
        <f ca="1">INDIRECT($B40&amp;"!"&amp;M$3&amp;"5")</f>
        <v>30.49982819047619</v>
      </c>
      <c r="N40" s="76">
        <f ca="1">M40-L40</f>
        <v>0.28573499999999541</v>
      </c>
      <c r="O40" s="226"/>
      <c r="P40" s="228">
        <f ca="1">bdrate(D40:D43,L40:L43,H40:H43,M40:M43)</f>
        <v>-0.13597316051439445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40.481008000000003</v>
      </c>
      <c r="I41" s="10"/>
      <c r="J41" s="228">
        <f ca="1">H41/D41-1</f>
        <v>-1.5694802959066667E-2</v>
      </c>
      <c r="L41" s="74">
        <f ca="1">INDIRECT($B41&amp;"!"&amp;L$3&amp;"6")</f>
        <v>32.999578714285725</v>
      </c>
      <c r="M41" s="75">
        <f ca="1">INDIRECT($B41&amp;"!"&amp;M$3&amp;"6")</f>
        <v>33.844719476190477</v>
      </c>
      <c r="N41" s="76">
        <f ca="1">M41-L41</f>
        <v>0.84514076190475151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61.147655999999998</v>
      </c>
      <c r="I42" s="10"/>
      <c r="J42" s="228">
        <f ca="1">H42/D42-1</f>
        <v>-1.1595951445275143E-2</v>
      </c>
      <c r="L42" s="74">
        <f ca="1">INDIRECT($B42&amp;"!"&amp;L$3&amp;"7")</f>
        <v>36.248342999999991</v>
      </c>
      <c r="M42" s="75">
        <f ca="1">INDIRECT($B42&amp;"!"&amp;M$3&amp;"7")</f>
        <v>37.791047000000013</v>
      </c>
      <c r="N42" s="76">
        <f ca="1">M42-L42</f>
        <v>1.5427040000000218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89.643144000000021</v>
      </c>
      <c r="I43" s="10"/>
      <c r="J43" s="228">
        <f ca="1">H43/D43-1</f>
        <v>-8.5561128268696329E-3</v>
      </c>
      <c r="L43" s="74">
        <f ca="1">INDIRECT($B43&amp;"!"&amp;L$3&amp;"8")</f>
        <v>39.028174857142858</v>
      </c>
      <c r="M43" s="75">
        <f ca="1">INDIRECT($B43&amp;"!"&amp;M$3&amp;"8")</f>
        <v>41.519661428571432</v>
      </c>
      <c r="N43" s="76">
        <f ca="1">M43-L43</f>
        <v>2.4914865714285739</v>
      </c>
      <c r="O43" s="226"/>
      <c r="P43" s="231">
        <f ca="1">bdrate(L40:L43,D40:D43,M40:M43,H40:H43)</f>
        <v>4.2787470821243234E-2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27.909271999999998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35.990608000000002</v>
      </c>
      <c r="I7" s="10"/>
      <c r="J7" s="228">
        <f ca="1">H7/D7-1</f>
        <v>-2.8160038572672907E-2</v>
      </c>
      <c r="L7" s="74">
        <f ca="1">INDIRECT($B7&amp;"!"&amp;L$3&amp;"5")</f>
        <v>32.469316800000001</v>
      </c>
      <c r="M7" s="75">
        <f ca="1">INDIRECT($B7&amp;"!"&amp;M$3&amp;"5")</f>
        <v>33.684400533333331</v>
      </c>
      <c r="N7" s="76">
        <f ca="1">M7-L7</f>
        <v>1.21508373333333</v>
      </c>
      <c r="O7" s="226"/>
      <c r="P7" s="228">
        <f ca="1">bdrate(D7:D10,L7:L10,H7:H10,M7:M10)</f>
        <v>-0.15109392390059884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51.894272000000008</v>
      </c>
      <c r="I8" s="10"/>
      <c r="J8" s="228">
        <f ca="1">H8/D8-1</f>
        <v>-2.5339024128583132E-2</v>
      </c>
      <c r="L8" s="74">
        <f ca="1">INDIRECT($B8&amp;"!"&amp;L$3&amp;"6")</f>
        <v>35.243102133333331</v>
      </c>
      <c r="M8" s="75">
        <f ca="1">INDIRECT($B8&amp;"!"&amp;M$3&amp;"6")</f>
        <v>36.522476733333335</v>
      </c>
      <c r="N8" s="76">
        <f ca="1">M8-L8</f>
        <v>1.2793746000000041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75.221007999999998</v>
      </c>
      <c r="I9" s="10"/>
      <c r="J9" s="228">
        <f ca="1">H9/D9-1</f>
        <v>-2.0219624167432504E-2</v>
      </c>
      <c r="L9" s="74">
        <f ca="1">INDIRECT($B9&amp;"!"&amp;L$3&amp;"7")</f>
        <v>39.28737146666667</v>
      </c>
      <c r="M9" s="75">
        <f ca="1">INDIRECT($B9&amp;"!"&amp;M$3&amp;"7")</f>
        <v>40.5889326</v>
      </c>
      <c r="N9" s="76">
        <f ca="1">M9-L9</f>
        <v>1.3015611333333297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107.07605599999999</v>
      </c>
      <c r="I10" s="10"/>
      <c r="J10" s="228">
        <f ca="1">H10/D10-1</f>
        <v>-1.6406372804460667E-2</v>
      </c>
      <c r="L10" s="74">
        <f ca="1">INDIRECT($B10&amp;"!"&amp;L$3&amp;"8")</f>
        <v>41.929521733333331</v>
      </c>
      <c r="M10" s="75">
        <f ca="1">INDIRECT($B10&amp;"!"&amp;M$3&amp;"8")</f>
        <v>43.274362133333327</v>
      </c>
      <c r="N10" s="76">
        <f ca="1">M10-L10</f>
        <v>1.3448403999999954</v>
      </c>
      <c r="O10" s="226"/>
      <c r="P10" s="231">
        <f ca="1">bdrate(L7:L10,D7:D10,M7:M10,H7:H10)</f>
        <v>3.9424463301637402E-2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35.990608000000002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36.804712000000002</v>
      </c>
      <c r="I18" s="10"/>
      <c r="J18" s="228">
        <f ca="1">H18/D18-1</f>
        <v>-3.0056390783257725E-2</v>
      </c>
      <c r="L18" s="74">
        <f ca="1">INDIRECT($B18&amp;"!"&amp;L$3&amp;"5")</f>
        <v>32.321196866666668</v>
      </c>
      <c r="M18" s="75">
        <f ca="1">INDIRECT($B18&amp;"!"&amp;M$3&amp;"5")</f>
        <v>33.642301799999998</v>
      </c>
      <c r="N18" s="76">
        <f ca="1">M18-L18</f>
        <v>1.3211049333333307</v>
      </c>
      <c r="O18" s="226"/>
      <c r="P18" s="228">
        <f ca="1">bdrate(D18:D21,L18:L21,H18:H21,M18:M21)</f>
        <v>-0.15264362539884213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53.20823200000001</v>
      </c>
      <c r="I19" s="10"/>
      <c r="J19" s="228">
        <f ca="1">H19/D19-1</f>
        <v>-2.6943923773363521E-2</v>
      </c>
      <c r="L19" s="74">
        <f ca="1">INDIRECT($B19&amp;"!"&amp;L$3&amp;"6")</f>
        <v>35.232715600000006</v>
      </c>
      <c r="M19" s="75">
        <f ca="1">INDIRECT($B19&amp;"!"&amp;M$3&amp;"6")</f>
        <v>36.521085599999999</v>
      </c>
      <c r="N19" s="76">
        <f ca="1">M19-L19</f>
        <v>1.2883699999999934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77.353151999999994</v>
      </c>
      <c r="I20" s="10"/>
      <c r="J20" s="228">
        <f ca="1">H20/D20-1</f>
        <v>-2.1351506700489575E-2</v>
      </c>
      <c r="L20" s="74">
        <f ca="1">INDIRECT($B20&amp;"!"&amp;L$3&amp;"7")</f>
        <v>39.210842266666667</v>
      </c>
      <c r="M20" s="75">
        <f ca="1">INDIRECT($B20&amp;"!"&amp;M$3&amp;"7")</f>
        <v>40.420502066666664</v>
      </c>
      <c r="N20" s="76">
        <f ca="1">M20-L20</f>
        <v>1.2096597999999972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110.21858400000001</v>
      </c>
      <c r="I21" s="10"/>
      <c r="J21" s="228">
        <f ca="1">H21/D21-1</f>
        <v>-1.7171313146617906E-2</v>
      </c>
      <c r="L21" s="74">
        <f ca="1">INDIRECT($B21&amp;"!"&amp;L$3&amp;"8")</f>
        <v>41.687570999999998</v>
      </c>
      <c r="M21" s="75">
        <f ca="1">INDIRECT($B21&amp;"!"&amp;M$3&amp;"8")</f>
        <v>43.029639333333336</v>
      </c>
      <c r="N21" s="76">
        <f ca="1">M21-L21</f>
        <v>1.3420683333333372</v>
      </c>
      <c r="O21" s="226"/>
      <c r="P21" s="231">
        <f ca="1">bdrate(L18:L21,D18:D21,M18:M21,H18:H21)</f>
        <v>3.8872865253606337E-2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36.804712000000002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27.093624000000005</v>
      </c>
      <c r="I29" s="10"/>
      <c r="J29" s="228">
        <f ca="1">H29/D29-1</f>
        <v>-1.3245004169383567E-2</v>
      </c>
      <c r="L29" s="74">
        <f ca="1">INDIRECT($B29&amp;"!"&amp;L$3&amp;"5")</f>
        <v>33.862599857142854</v>
      </c>
      <c r="M29" s="75">
        <f ca="1">INDIRECT($B29&amp;"!"&amp;M$3&amp;"5")</f>
        <v>34.356587095238091</v>
      </c>
      <c r="N29" s="76">
        <f ca="1">M29-L29</f>
        <v>0.49398723809523659</v>
      </c>
      <c r="O29" s="226"/>
      <c r="P29" s="228">
        <f ca="1">bdrate(D29:D32,L29:L32,H29:H32,M29:M32)</f>
        <v>-9.1066020198847353E-2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39.15352</v>
      </c>
      <c r="I30" s="10"/>
      <c r="J30" s="228">
        <f ca="1">H30/D30-1</f>
        <v>-1.4554390096474856E-2</v>
      </c>
      <c r="L30" s="74">
        <f ca="1">INDIRECT($B30&amp;"!"&amp;L$3&amp;"6")</f>
        <v>36.632195285714296</v>
      </c>
      <c r="M30" s="75">
        <f ca="1">INDIRECT($B30&amp;"!"&amp;M$3&amp;"6")</f>
        <v>37.256791285714272</v>
      </c>
      <c r="N30" s="76">
        <f ca="1">M30-L30</f>
        <v>0.6245959999999755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58.907279999999993</v>
      </c>
      <c r="I31" s="10"/>
      <c r="J31" s="228">
        <f ca="1">H31/D31-1</f>
        <v>-1.0825902962359968E-2</v>
      </c>
      <c r="L31" s="74">
        <f ca="1">INDIRECT($B31&amp;"!"&amp;L$3&amp;"7")</f>
        <v>40.251414476190476</v>
      </c>
      <c r="M31" s="75">
        <f ca="1">INDIRECT($B31&amp;"!"&amp;M$3&amp;"7")</f>
        <v>41.038814142857134</v>
      </c>
      <c r="N31" s="76">
        <f ca="1">M31-L31</f>
        <v>0.7873996666666585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86.291304000000011</v>
      </c>
      <c r="I32" s="10"/>
      <c r="J32" s="228">
        <f ca="1">H32/D32-1</f>
        <v>-8.04997412163444E-3</v>
      </c>
      <c r="L32" s="74">
        <f ca="1">INDIRECT($B32&amp;"!"&amp;L$3&amp;"8")</f>
        <v>43.588469761904761</v>
      </c>
      <c r="M32" s="75">
        <f ca="1">INDIRECT($B32&amp;"!"&amp;M$3&amp;"8")</f>
        <v>44.770728047619045</v>
      </c>
      <c r="N32" s="76">
        <f ca="1">M32-L32</f>
        <v>1.1822582857142834</v>
      </c>
      <c r="O32" s="226"/>
      <c r="P32" s="231">
        <f ca="1">bdrate(L29:L32,D29:D32,M29:M32,H29:H32)</f>
        <v>2.2585337454500864E-2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27.093624000000005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27.909271999999998</v>
      </c>
      <c r="I40" s="10"/>
      <c r="J40" s="228">
        <f ca="1">H40/D40-1</f>
        <v>-1.4393409887993314E-2</v>
      </c>
      <c r="L40" s="74">
        <f ca="1">INDIRECT($B40&amp;"!"&amp;L$3&amp;"5")</f>
        <v>33.832055285714283</v>
      </c>
      <c r="M40" s="75">
        <f ca="1">INDIRECT($B40&amp;"!"&amp;M$3&amp;"5")</f>
        <v>34.440841095238106</v>
      </c>
      <c r="N40" s="76">
        <f ca="1">M40-L40</f>
        <v>0.60878580952382322</v>
      </c>
      <c r="O40" s="226"/>
      <c r="P40" s="228">
        <f ca="1">bdrate(D40:D43,L40:L43,H40:H43,M40:M43)</f>
        <v>-9.9788625401059261E-2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40.481008000000003</v>
      </c>
      <c r="I41" s="10"/>
      <c r="J41" s="228">
        <f ca="1">H41/D41-1</f>
        <v>-1.5694802959066667E-2</v>
      </c>
      <c r="L41" s="74">
        <f ca="1">INDIRECT($B41&amp;"!"&amp;L$3&amp;"6")</f>
        <v>36.531831238095236</v>
      </c>
      <c r="M41" s="75">
        <f ca="1">INDIRECT($B41&amp;"!"&amp;M$3&amp;"6")</f>
        <v>37.197973333333323</v>
      </c>
      <c r="N41" s="76">
        <f ca="1">M41-L41</f>
        <v>0.66614209523808654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61.147655999999998</v>
      </c>
      <c r="I42" s="10"/>
      <c r="J42" s="228">
        <f ca="1">H42/D42-1</f>
        <v>-1.1595951445275143E-2</v>
      </c>
      <c r="L42" s="74">
        <f ca="1">INDIRECT($B42&amp;"!"&amp;L$3&amp;"7")</f>
        <v>40.276491190476186</v>
      </c>
      <c r="M42" s="75">
        <f ca="1">INDIRECT($B42&amp;"!"&amp;M$3&amp;"7")</f>
        <v>41.096162666666665</v>
      </c>
      <c r="N42" s="76">
        <f ca="1">M42-L42</f>
        <v>0.81967147619047864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89.643144000000021</v>
      </c>
      <c r="I43" s="10"/>
      <c r="J43" s="228">
        <f ca="1">H43/D43-1</f>
        <v>-8.5561128268696329E-3</v>
      </c>
      <c r="L43" s="74">
        <f ca="1">INDIRECT($B43&amp;"!"&amp;L$3&amp;"8")</f>
        <v>43.229996952380951</v>
      </c>
      <c r="M43" s="75">
        <f ca="1">INDIRECT($B43&amp;"!"&amp;M$3&amp;"8")</f>
        <v>44.606781095238091</v>
      </c>
      <c r="N43" s="76">
        <f ca="1">M43-L43</f>
        <v>1.3767841428571401</v>
      </c>
      <c r="O43" s="226"/>
      <c r="P43" s="231">
        <f ca="1">bdrate(L40:L43,D40:D43,M40:M43,H40:H43)</f>
        <v>2.4462496546464152E-2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27.909271999999998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35.990608000000002</v>
      </c>
      <c r="I7" s="10"/>
      <c r="J7" s="228">
        <f ca="1">H7/D7-1</f>
        <v>-2.8160038572672907E-2</v>
      </c>
      <c r="L7" s="74">
        <f ca="1">INDIRECT($B7&amp;"!"&amp;L$3&amp;"5")</f>
        <v>0.95834516733333319</v>
      </c>
      <c r="M7" s="75">
        <f ca="1">INDIRECT($B7&amp;"!"&amp;M$3&amp;"5")</f>
        <v>0.95778845133333335</v>
      </c>
      <c r="N7" s="76">
        <f ca="1">M7-L7</f>
        <v>-5.5671599999984611E-4</v>
      </c>
      <c r="O7" s="226"/>
      <c r="P7" s="228">
        <f ca="1">bdrate(D7:D10,L7:L10,H7:H10,M7:M10)</f>
        <v>-7.0286875858516229E-3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51.894272000000008</v>
      </c>
      <c r="I8" s="10"/>
      <c r="J8" s="228">
        <f ca="1">H8/D8-1</f>
        <v>-2.5339024128583132E-2</v>
      </c>
      <c r="L8" s="74">
        <f ca="1">INDIRECT($B8&amp;"!"&amp;L$3&amp;"6")</f>
        <v>0.97572819666666666</v>
      </c>
      <c r="M8" s="75">
        <f ca="1">INDIRECT($B8&amp;"!"&amp;M$3&amp;"6")</f>
        <v>0.97513598666666657</v>
      </c>
      <c r="N8" s="76">
        <f ca="1">M8-L8</f>
        <v>-5.9221000000009294E-4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75.221007999999998</v>
      </c>
      <c r="I9" s="10"/>
      <c r="J9" s="228">
        <f ca="1">H9/D9-1</f>
        <v>-2.0219624167432504E-2</v>
      </c>
      <c r="L9" s="74">
        <f ca="1">INDIRECT($B9&amp;"!"&amp;L$3&amp;"7")</f>
        <v>0.98810945533333316</v>
      </c>
      <c r="M9" s="75">
        <f ca="1">INDIRECT($B9&amp;"!"&amp;M$3&amp;"7")</f>
        <v>0.98755882000000006</v>
      </c>
      <c r="N9" s="76">
        <f ca="1">M9-L9</f>
        <v>-5.5063533333310488E-4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107.07605599999999</v>
      </c>
      <c r="I10" s="10"/>
      <c r="J10" s="228">
        <f ca="1">H10/D10-1</f>
        <v>-1.6406372804460667E-2</v>
      </c>
      <c r="L10" s="74">
        <f ca="1">INDIRECT($B10&amp;"!"&amp;L$3&amp;"8")</f>
        <v>0.99241337466666668</v>
      </c>
      <c r="M10" s="75">
        <f ca="1">INDIRECT($B10&amp;"!"&amp;M$3&amp;"8")</f>
        <v>0.99187991933333353</v>
      </c>
      <c r="N10" s="76">
        <f ca="1">M10-L10</f>
        <v>-5.3345533333315487E-4</v>
      </c>
      <c r="O10" s="226"/>
      <c r="P10" s="231">
        <f ca="1">bdrate(L7:L10,D7:D10,M7:M10,H7:H10)</f>
        <v>8.7374063715062178E-5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35.990608000000002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36.804712000000002</v>
      </c>
      <c r="I18" s="10"/>
      <c r="J18" s="228">
        <f ca="1">H18/D18-1</f>
        <v>-3.0056390783257725E-2</v>
      </c>
      <c r="L18" s="74">
        <f ca="1">INDIRECT($B18&amp;"!"&amp;L$3&amp;"5")</f>
        <v>0.95700066866666644</v>
      </c>
      <c r="M18" s="75">
        <f ca="1">INDIRECT($B18&amp;"!"&amp;M$3&amp;"5")</f>
        <v>0.95651238800000005</v>
      </c>
      <c r="N18" s="76">
        <f ca="1">M18-L18</f>
        <v>-4.8828066666639636E-4</v>
      </c>
      <c r="O18" s="226"/>
      <c r="P18" s="228">
        <f ca="1">bdrate(D18:D21,L18:L21,H18:H21,M18:M21)</f>
        <v>-1.0528896774730567E-2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53.20823200000001</v>
      </c>
      <c r="I19" s="10"/>
      <c r="J19" s="228">
        <f ca="1">H19/D19-1</f>
        <v>-2.6943923773363521E-2</v>
      </c>
      <c r="L19" s="74">
        <f ca="1">INDIRECT($B19&amp;"!"&amp;L$3&amp;"6")</f>
        <v>0.97492547266666674</v>
      </c>
      <c r="M19" s="75">
        <f ca="1">INDIRECT($B19&amp;"!"&amp;M$3&amp;"6")</f>
        <v>0.97445972199999997</v>
      </c>
      <c r="N19" s="76">
        <f ca="1">M19-L19</f>
        <v>-4.6575066666676435E-4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77.353151999999994</v>
      </c>
      <c r="I20" s="10"/>
      <c r="J20" s="228">
        <f ca="1">H20/D20-1</f>
        <v>-2.1351506700489575E-2</v>
      </c>
      <c r="L20" s="74">
        <f ca="1">INDIRECT($B20&amp;"!"&amp;L$3&amp;"7")</f>
        <v>0.98757465333333327</v>
      </c>
      <c r="M20" s="75">
        <f ca="1">INDIRECT($B20&amp;"!"&amp;M$3&amp;"7")</f>
        <v>0.98700047400000002</v>
      </c>
      <c r="N20" s="76">
        <f ca="1">M20-L20</f>
        <v>-5.7417933333325788E-4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110.21858400000001</v>
      </c>
      <c r="I21" s="10"/>
      <c r="J21" s="228">
        <f ca="1">H21/D21-1</f>
        <v>-1.7171313146617906E-2</v>
      </c>
      <c r="L21" s="74">
        <f ca="1">INDIRECT($B21&amp;"!"&amp;L$3&amp;"8")</f>
        <v>0.99193363933333345</v>
      </c>
      <c r="M21" s="75">
        <f ca="1">INDIRECT($B21&amp;"!"&amp;M$3&amp;"8")</f>
        <v>0.99135368866666662</v>
      </c>
      <c r="N21" s="76">
        <f ca="1">M21-L21</f>
        <v>-5.799506666668286E-4</v>
      </c>
      <c r="O21" s="226"/>
      <c r="P21" s="231">
        <f ca="1">bdrate(L18:L21,D18:D21,M18:M21,H18:H21)</f>
        <v>1.6402136408477652E-4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36.804712000000002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27.093624000000005</v>
      </c>
      <c r="I29" s="10"/>
      <c r="J29" s="228">
        <f ca="1">H29/D29-1</f>
        <v>-1.3245004169383567E-2</v>
      </c>
      <c r="L29" s="74">
        <f ca="1">INDIRECT($B29&amp;"!"&amp;L$3&amp;"5")</f>
        <v>0.96684382285714265</v>
      </c>
      <c r="M29" s="75">
        <f ca="1">INDIRECT($B29&amp;"!"&amp;M$3&amp;"5")</f>
        <v>0.96685358714285707</v>
      </c>
      <c r="N29" s="76">
        <f ca="1">M29-L29</f>
        <v>9.7642857144197848E-6</v>
      </c>
      <c r="O29" s="226"/>
      <c r="P29" s="228">
        <f ca="1">bdrate(D29:D32,L29:L32,H29:H32,M29:M32)</f>
        <v>-3.6988746889869972E-3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39.15352</v>
      </c>
      <c r="I30" s="10"/>
      <c r="J30" s="228">
        <f ca="1">H30/D30-1</f>
        <v>-1.4554390096474856E-2</v>
      </c>
      <c r="L30" s="74">
        <f ca="1">INDIRECT($B30&amp;"!"&amp;L$3&amp;"6")</f>
        <v>0.98000114238095259</v>
      </c>
      <c r="M30" s="75">
        <f ca="1">INDIRECT($B30&amp;"!"&amp;M$3&amp;"6")</f>
        <v>0.97971692142857147</v>
      </c>
      <c r="N30" s="76">
        <f ca="1">M30-L30</f>
        <v>-2.8422095238112011E-4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58.907279999999993</v>
      </c>
      <c r="I31" s="10"/>
      <c r="J31" s="228">
        <f ca="1">H31/D31-1</f>
        <v>-1.0825902962359968E-2</v>
      </c>
      <c r="L31" s="74">
        <f ca="1">INDIRECT($B31&amp;"!"&amp;L$3&amp;"7")</f>
        <v>0.98903340333333323</v>
      </c>
      <c r="M31" s="75">
        <f ca="1">INDIRECT($B31&amp;"!"&amp;M$3&amp;"7")</f>
        <v>0.98881808904761903</v>
      </c>
      <c r="N31" s="76">
        <f ca="1">M31-L31</f>
        <v>-2.1531428571419653E-4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86.291304000000011</v>
      </c>
      <c r="I32" s="10"/>
      <c r="J32" s="228">
        <f ca="1">H32/D32-1</f>
        <v>-8.04997412163444E-3</v>
      </c>
      <c r="L32" s="74">
        <f ca="1">INDIRECT($B32&amp;"!"&amp;L$3&amp;"8")</f>
        <v>0.99375173238095238</v>
      </c>
      <c r="M32" s="75">
        <f ca="1">INDIRECT($B32&amp;"!"&amp;M$3&amp;"8")</f>
        <v>0.99357286047619042</v>
      </c>
      <c r="N32" s="76">
        <f ca="1">M32-L32</f>
        <v>-1.7887190476195691E-4</v>
      </c>
      <c r="O32" s="226"/>
      <c r="P32" s="231">
        <f ca="1">bdrate(L29:L32,D29:D32,M29:M32,H29:H32)</f>
        <v>4.3285867186382276E-5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27.093624000000005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27.909271999999998</v>
      </c>
      <c r="I40" s="10"/>
      <c r="J40" s="228">
        <f ca="1">H40/D40-1</f>
        <v>-1.4393409887993314E-2</v>
      </c>
      <c r="L40" s="74">
        <f ca="1">INDIRECT($B40&amp;"!"&amp;L$3&amp;"5")</f>
        <v>0.96582942476190481</v>
      </c>
      <c r="M40" s="75">
        <f ca="1">INDIRECT($B40&amp;"!"&amp;M$3&amp;"5")</f>
        <v>0.96571089380952368</v>
      </c>
      <c r="N40" s="76">
        <f ca="1">M40-L40</f>
        <v>-1.1853095238112399E-4</v>
      </c>
      <c r="O40" s="226"/>
      <c r="P40" s="228">
        <f ca="1">bdrate(D40:D43,L40:L43,H40:H43,M40:M43)</f>
        <v>-4.9832665364767381E-3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40.481008000000003</v>
      </c>
      <c r="I41" s="10"/>
      <c r="J41" s="228">
        <f ca="1">H41/D41-1</f>
        <v>-1.5694802959066667E-2</v>
      </c>
      <c r="L41" s="74">
        <f ca="1">INDIRECT($B41&amp;"!"&amp;L$3&amp;"6")</f>
        <v>0.97901262523809529</v>
      </c>
      <c r="M41" s="75">
        <f ca="1">INDIRECT($B41&amp;"!"&amp;M$3&amp;"6")</f>
        <v>0.97879555380952377</v>
      </c>
      <c r="N41" s="76">
        <f ca="1">M41-L41</f>
        <v>-2.1707142857152473E-4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61.147655999999998</v>
      </c>
      <c r="I42" s="10"/>
      <c r="J42" s="228">
        <f ca="1">H42/D42-1</f>
        <v>-1.1595951445275143E-2</v>
      </c>
      <c r="L42" s="74">
        <f ca="1">INDIRECT($B42&amp;"!"&amp;L$3&amp;"7")</f>
        <v>0.98868709857142867</v>
      </c>
      <c r="M42" s="75">
        <f ca="1">INDIRECT($B42&amp;"!"&amp;M$3&amp;"7")</f>
        <v>0.98842657952380941</v>
      </c>
      <c r="N42" s="76">
        <f ca="1">M42-L42</f>
        <v>-2.6051904761925648E-4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89.643144000000021</v>
      </c>
      <c r="I43" s="10"/>
      <c r="J43" s="228">
        <f ca="1">H43/D43-1</f>
        <v>-8.5561128268696329E-3</v>
      </c>
      <c r="L43" s="74">
        <f ca="1">INDIRECT($B43&amp;"!"&amp;L$3&amp;"8")</f>
        <v>0.99344393809523812</v>
      </c>
      <c r="M43" s="75">
        <f ca="1">INDIRECT($B43&amp;"!"&amp;M$3&amp;"8")</f>
        <v>0.99326130619047626</v>
      </c>
      <c r="N43" s="76">
        <f ca="1">M43-L43</f>
        <v>-1.8263190476186519E-4</v>
      </c>
      <c r="O43" s="226"/>
      <c r="P43" s="231">
        <f ca="1">bdrate(L40:L43,D40:D43,M40:M43,H40:H43)</f>
        <v>6.0251978442282805E-5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27.909271999999998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35.990608000000002</v>
      </c>
      <c r="I7" s="10"/>
      <c r="J7" s="228">
        <f ca="1">H7/D7-1</f>
        <v>-2.8160038572672907E-2</v>
      </c>
      <c r="L7" s="74">
        <f ca="1">INDIRECT($B7&amp;"!"&amp;L$3&amp;"5")</f>
        <v>0.95456353799999993</v>
      </c>
      <c r="M7" s="75">
        <f ca="1">INDIRECT($B7&amp;"!"&amp;M$3&amp;"5")</f>
        <v>0.95539978733333342</v>
      </c>
      <c r="N7" s="76">
        <f ca="1">M7-L7</f>
        <v>8.3624933333348306E-4</v>
      </c>
      <c r="O7" s="226"/>
      <c r="P7" s="228">
        <f ca="1">bdrate(D7:D10,L7:L10,H7:H10,M7:M10)</f>
        <v>-4.0656252786642533E-2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51.894272000000008</v>
      </c>
      <c r="I8" s="10"/>
      <c r="J8" s="228">
        <f ca="1">H8/D8-1</f>
        <v>-2.5339024128583132E-2</v>
      </c>
      <c r="L8" s="74">
        <f ca="1">INDIRECT($B8&amp;"!"&amp;L$3&amp;"6")</f>
        <v>0.97258593333333343</v>
      </c>
      <c r="M8" s="75">
        <f ca="1">INDIRECT($B8&amp;"!"&amp;M$3&amp;"6")</f>
        <v>0.97379156599999994</v>
      </c>
      <c r="N8" s="76">
        <f ca="1">M8-L8</f>
        <v>1.2056326666665118E-3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75.221007999999998</v>
      </c>
      <c r="I9" s="10"/>
      <c r="J9" s="228">
        <f ca="1">H9/D9-1</f>
        <v>-2.0219624167432504E-2</v>
      </c>
      <c r="L9" s="74">
        <f ca="1">INDIRECT($B9&amp;"!"&amp;L$3&amp;"7")</f>
        <v>0.99038261466666655</v>
      </c>
      <c r="M9" s="75">
        <f ca="1">INDIRECT($B9&amp;"!"&amp;M$3&amp;"7")</f>
        <v>0.99036042599999996</v>
      </c>
      <c r="N9" s="76">
        <f ca="1">M9-L9</f>
        <v>-2.2188666666589363E-5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107.07605599999999</v>
      </c>
      <c r="I10" s="10"/>
      <c r="J10" s="228">
        <f ca="1">H10/D10-1</f>
        <v>-1.6406372804460667E-2</v>
      </c>
      <c r="L10" s="74">
        <f ca="1">INDIRECT($B10&amp;"!"&amp;L$3&amp;"8")</f>
        <v>0.99521364000000001</v>
      </c>
      <c r="M10" s="75">
        <f ca="1">INDIRECT($B10&amp;"!"&amp;M$3&amp;"8")</f>
        <v>0.995959594</v>
      </c>
      <c r="N10" s="76">
        <f ca="1">M10-L10</f>
        <v>7.4595399999999312E-4</v>
      </c>
      <c r="O10" s="226"/>
      <c r="P10" s="231">
        <f ca="1">bdrate(L7:L10,D7:D10,M7:M10,H7:H10)</f>
        <v>1.4145565099232815E-3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35.990608000000002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36.804712000000002</v>
      </c>
      <c r="I18" s="10"/>
      <c r="J18" s="228">
        <f ca="1">H18/D18-1</f>
        <v>-3.0056390783257725E-2</v>
      </c>
      <c r="L18" s="74">
        <f ca="1">INDIRECT($B18&amp;"!"&amp;L$3&amp;"5")</f>
        <v>0.95395936733333342</v>
      </c>
      <c r="M18" s="75">
        <f ca="1">INDIRECT($B18&amp;"!"&amp;M$3&amp;"5")</f>
        <v>0.95514014866666674</v>
      </c>
      <c r="N18" s="76">
        <f ca="1">M18-L18</f>
        <v>1.180781333333325E-3</v>
      </c>
      <c r="O18" s="226"/>
      <c r="P18" s="228">
        <f ca="1">bdrate(D18:D21,L18:L21,H18:H21,M18:M21)</f>
        <v>-4.6649386128101322E-2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53.20823200000001</v>
      </c>
      <c r="I19" s="10"/>
      <c r="J19" s="228">
        <f ca="1">H19/D19-1</f>
        <v>-2.6943923773363521E-2</v>
      </c>
      <c r="L19" s="74">
        <f ca="1">INDIRECT($B19&amp;"!"&amp;L$3&amp;"6")</f>
        <v>0.97223756466666666</v>
      </c>
      <c r="M19" s="75">
        <f ca="1">INDIRECT($B19&amp;"!"&amp;M$3&amp;"6")</f>
        <v>0.9738253733333333</v>
      </c>
      <c r="N19" s="76">
        <f ca="1">M19-L19</f>
        <v>1.5878086666666347E-3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77.353151999999994</v>
      </c>
      <c r="I20" s="10"/>
      <c r="J20" s="228">
        <f ca="1">H20/D20-1</f>
        <v>-2.1351506700489575E-2</v>
      </c>
      <c r="L20" s="74">
        <f ca="1">INDIRECT($B20&amp;"!"&amp;L$3&amp;"7")</f>
        <v>0.99005189866666643</v>
      </c>
      <c r="M20" s="75">
        <f ca="1">INDIRECT($B20&amp;"!"&amp;M$3&amp;"7")</f>
        <v>0.99000022200000004</v>
      </c>
      <c r="N20" s="76">
        <f ca="1">M20-L20</f>
        <v>-5.1676666666389259E-5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110.21858400000001</v>
      </c>
      <c r="I21" s="10"/>
      <c r="J21" s="228">
        <f ca="1">H21/D21-1</f>
        <v>-1.7171313146617906E-2</v>
      </c>
      <c r="L21" s="74">
        <f ca="1">INDIRECT($B21&amp;"!"&amp;L$3&amp;"8")</f>
        <v>0.99515773399999985</v>
      </c>
      <c r="M21" s="75">
        <f ca="1">INDIRECT($B21&amp;"!"&amp;M$3&amp;"8")</f>
        <v>0.99580271466666681</v>
      </c>
      <c r="N21" s="76">
        <f ca="1">M21-L21</f>
        <v>6.4498066666696108E-4</v>
      </c>
      <c r="O21" s="226"/>
      <c r="P21" s="231">
        <f ca="1">bdrate(L18:L21,D18:D21,M18:M21,H18:H21)</f>
        <v>1.5764490578915602E-3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36.804712000000002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27.093624000000005</v>
      </c>
      <c r="I29" s="10"/>
      <c r="J29" s="228">
        <f ca="1">H29/D29-1</f>
        <v>-1.3245004169383567E-2</v>
      </c>
      <c r="L29" s="74">
        <f ca="1">INDIRECT($B29&amp;"!"&amp;L$3&amp;"5")</f>
        <v>0.97327361047619032</v>
      </c>
      <c r="M29" s="75">
        <f ca="1">INDIRECT($B29&amp;"!"&amp;M$3&amp;"5")</f>
        <v>0.97378071857142867</v>
      </c>
      <c r="N29" s="76">
        <f ca="1">M29-L29</f>
        <v>5.071080952383511E-4</v>
      </c>
      <c r="O29" s="226"/>
      <c r="P29" s="228">
        <f ca="1">bdrate(D29:D32,L29:L32,H29:H32,M29:M32)</f>
        <v>-2.8431765940913456E-2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39.15352</v>
      </c>
      <c r="I30" s="10"/>
      <c r="J30" s="228">
        <f ca="1">H30/D30-1</f>
        <v>-1.4554390096474856E-2</v>
      </c>
      <c r="L30" s="74">
        <f ca="1">INDIRECT($B30&amp;"!"&amp;L$3&amp;"6")</f>
        <v>0.98426155285714267</v>
      </c>
      <c r="M30" s="75">
        <f ca="1">INDIRECT($B30&amp;"!"&amp;M$3&amp;"6")</f>
        <v>0.98461938619047629</v>
      </c>
      <c r="N30" s="76">
        <f ca="1">M30-L30</f>
        <v>3.5783333333361256E-4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58.907279999999993</v>
      </c>
      <c r="I31" s="10"/>
      <c r="J31" s="228">
        <f ca="1">H31/D31-1</f>
        <v>-1.0825902962359968E-2</v>
      </c>
      <c r="L31" s="74">
        <f ca="1">INDIRECT($B31&amp;"!"&amp;L$3&amp;"7")</f>
        <v>0.99228081523809508</v>
      </c>
      <c r="M31" s="75">
        <f ca="1">INDIRECT($B31&amp;"!"&amp;M$3&amp;"7")</f>
        <v>0.99247748571428573</v>
      </c>
      <c r="N31" s="76">
        <f ca="1">M31-L31</f>
        <v>1.9667047619065237E-4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86.291304000000011</v>
      </c>
      <c r="I32" s="10"/>
      <c r="J32" s="228">
        <f ca="1">H32/D32-1</f>
        <v>-8.04997412163444E-3</v>
      </c>
      <c r="L32" s="74">
        <f ca="1">INDIRECT($B32&amp;"!"&amp;L$3&amp;"8")</f>
        <v>0.99594449714285727</v>
      </c>
      <c r="M32" s="75">
        <f ca="1">INDIRECT($B32&amp;"!"&amp;M$3&amp;"8")</f>
        <v>0.99622638333333347</v>
      </c>
      <c r="N32" s="76">
        <f ca="1">M32-L32</f>
        <v>2.8188619047619934E-4</v>
      </c>
      <c r="O32" s="226"/>
      <c r="P32" s="231">
        <f ca="1">bdrate(L29:L32,D29:D32,M29:M32,H29:H32)</f>
        <v>5.034008364761533E-4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27.093624000000005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27.909271999999998</v>
      </c>
      <c r="I40" s="10"/>
      <c r="J40" s="228">
        <f ca="1">H40/D40-1</f>
        <v>-1.4393409887993314E-2</v>
      </c>
      <c r="L40" s="74">
        <f ca="1">INDIRECT($B40&amp;"!"&amp;L$3&amp;"5")</f>
        <v>0.9725471133333331</v>
      </c>
      <c r="M40" s="75">
        <f ca="1">INDIRECT($B40&amp;"!"&amp;M$3&amp;"5")</f>
        <v>0.97310243761904736</v>
      </c>
      <c r="N40" s="76">
        <f ca="1">M40-L40</f>
        <v>5.5532428571425374E-4</v>
      </c>
      <c r="O40" s="226"/>
      <c r="P40" s="228">
        <f ca="1">bdrate(D40:D43,L40:L43,H40:H43,M40:M43)</f>
        <v>-3.3101211204304426E-2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40.481008000000003</v>
      </c>
      <c r="I41" s="10"/>
      <c r="J41" s="228">
        <f ca="1">H41/D41-1</f>
        <v>-1.5694802959066667E-2</v>
      </c>
      <c r="L41" s="74">
        <f ca="1">INDIRECT($B41&amp;"!"&amp;L$3&amp;"6")</f>
        <v>0.98376468238095238</v>
      </c>
      <c r="M41" s="75">
        <f ca="1">INDIRECT($B41&amp;"!"&amp;M$3&amp;"6")</f>
        <v>0.98428817047619055</v>
      </c>
      <c r="N41" s="76">
        <f ca="1">M41-L41</f>
        <v>5.2348809523816708E-4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61.147655999999998</v>
      </c>
      <c r="I42" s="10"/>
      <c r="J42" s="228">
        <f ca="1">H42/D42-1</f>
        <v>-1.1595951445275143E-2</v>
      </c>
      <c r="L42" s="74">
        <f ca="1">INDIRECT($B42&amp;"!"&amp;L$3&amp;"7")</f>
        <v>0.99210457047619049</v>
      </c>
      <c r="M42" s="75">
        <f ca="1">INDIRECT($B42&amp;"!"&amp;M$3&amp;"7")</f>
        <v>0.9923041419047619</v>
      </c>
      <c r="N42" s="76">
        <f ca="1">M42-L42</f>
        <v>1.9957142857141008E-4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89.643144000000021</v>
      </c>
      <c r="I43" s="10"/>
      <c r="J43" s="228">
        <f ca="1">H43/D43-1</f>
        <v>-8.5561128268696329E-3</v>
      </c>
      <c r="L43" s="74">
        <f ca="1">INDIRECT($B43&amp;"!"&amp;L$3&amp;"8")</f>
        <v>0.99578089857142849</v>
      </c>
      <c r="M43" s="75">
        <f ca="1">INDIRECT($B43&amp;"!"&amp;M$3&amp;"8")</f>
        <v>0.99608095428571408</v>
      </c>
      <c r="N43" s="76">
        <f ca="1">M43-L43</f>
        <v>3.0005571428559641E-4</v>
      </c>
      <c r="O43" s="226"/>
      <c r="P43" s="231">
        <f ca="1">bdrate(L40:L43,D40:D43,M40:M43,H40:H43)</f>
        <v>5.8123696367617939E-4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27.909271999999998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35.990608000000002</v>
      </c>
      <c r="I7" s="10"/>
      <c r="J7" s="228">
        <f ca="1">H7/D7-1</f>
        <v>-2.8160038572672907E-2</v>
      </c>
      <c r="L7" s="74">
        <f ca="1">INDIRECT($B7&amp;"!"&amp;L$3&amp;"5")</f>
        <v>6.6124997733333329E-2</v>
      </c>
      <c r="M7" s="75">
        <f ca="1">INDIRECT($B7&amp;"!"&amp;M$3&amp;"5")</f>
        <v>5.76701534E-2</v>
      </c>
      <c r="N7" s="76">
        <f ca="1">M7-L7</f>
        <v>-8.4548443333333292E-3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51.894272000000008</v>
      </c>
      <c r="I8" s="10"/>
      <c r="J8" s="228">
        <f ca="1">H8/D8-1</f>
        <v>-2.5339024128583132E-2</v>
      </c>
      <c r="L8" s="74">
        <f ca="1">INDIRECT($B8&amp;"!"&amp;L$3&amp;"6")</f>
        <v>4.1026583800000009E-2</v>
      </c>
      <c r="M8" s="75">
        <f ca="1">INDIRECT($B8&amp;"!"&amp;M$3&amp;"6")</f>
        <v>3.3284546666666665E-2</v>
      </c>
      <c r="N8" s="76">
        <f ca="1">M8-L8</f>
        <v>-7.7420371333333446E-3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75.221007999999998</v>
      </c>
      <c r="I9" s="10"/>
      <c r="J9" s="228">
        <f ca="1">H9/D9-1</f>
        <v>-2.0219624167432504E-2</v>
      </c>
      <c r="L9" s="74">
        <f ca="1">INDIRECT($B9&amp;"!"&amp;L$3&amp;"7")</f>
        <v>2.4438632800000002E-2</v>
      </c>
      <c r="M9" s="75">
        <f ca="1">INDIRECT($B9&amp;"!"&amp;M$3&amp;"7")</f>
        <v>1.71571142E-2</v>
      </c>
      <c r="N9" s="76">
        <f ca="1">M9-L9</f>
        <v>-7.2815186000000018E-3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107.07605599999999</v>
      </c>
      <c r="I10" s="10"/>
      <c r="J10" s="228">
        <f ca="1">H10/D10-1</f>
        <v>-1.6406372804460667E-2</v>
      </c>
      <c r="L10" s="74">
        <f ca="1">INDIRECT($B10&amp;"!"&amp;L$3&amp;"8")</f>
        <v>1.7444335733333333E-2</v>
      </c>
      <c r="M10" s="75">
        <f ca="1">INDIRECT($B10&amp;"!"&amp;M$3&amp;"8")</f>
        <v>1.0521220966666666E-2</v>
      </c>
      <c r="N10" s="76">
        <f ca="1">M10-L10</f>
        <v>-6.923114766666667E-3</v>
      </c>
      <c r="O10" s="226"/>
      <c r="P10" s="231">
        <f ca="1">bdrate(L7:L10,D7:D10,M7:M10,H7:H10)</f>
        <v>-0.29842008779158091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35.990608000000002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36.804712000000002</v>
      </c>
      <c r="I18" s="10"/>
      <c r="J18" s="228">
        <f ca="1">H18/D18-1</f>
        <v>-3.0056390783257725E-2</v>
      </c>
      <c r="L18" s="74">
        <f ca="1">INDIRECT($B18&amp;"!"&amp;L$3&amp;"5")</f>
        <v>6.8758821599999992E-2</v>
      </c>
      <c r="M18" s="75">
        <f ca="1">INDIRECT($B18&amp;"!"&amp;M$3&amp;"5")</f>
        <v>5.8698954666666671E-2</v>
      </c>
      <c r="N18" s="76">
        <f ca="1">M18-L18</f>
        <v>-1.0059866933333321E-2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53.20823200000001</v>
      </c>
      <c r="I19" s="10"/>
      <c r="J19" s="228">
        <f ca="1">H19/D19-1</f>
        <v>-2.6943923773363521E-2</v>
      </c>
      <c r="L19" s="74">
        <f ca="1">INDIRECT($B19&amp;"!"&amp;L$3&amp;"6")</f>
        <v>4.2517676533333333E-2</v>
      </c>
      <c r="M19" s="75">
        <f ca="1">INDIRECT($B19&amp;"!"&amp;M$3&amp;"6")</f>
        <v>3.4032391666666668E-2</v>
      </c>
      <c r="N19" s="76">
        <f ca="1">M19-L19</f>
        <v>-8.4852848666666647E-3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77.353151999999994</v>
      </c>
      <c r="I20" s="10"/>
      <c r="J20" s="228">
        <f ca="1">H20/D20-1</f>
        <v>-2.1351506700489575E-2</v>
      </c>
      <c r="L20" s="74">
        <f ca="1">INDIRECT($B20&amp;"!"&amp;L$3&amp;"7")</f>
        <v>2.4925761000000001E-2</v>
      </c>
      <c r="M20" s="75">
        <f ca="1">INDIRECT($B20&amp;"!"&amp;M$3&amp;"7")</f>
        <v>1.7721277733333332E-2</v>
      </c>
      <c r="N20" s="76">
        <f ca="1">M20-L20</f>
        <v>-7.204483266666669E-3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110.21858400000001</v>
      </c>
      <c r="I21" s="10"/>
      <c r="J21" s="228">
        <f ca="1">H21/D21-1</f>
        <v>-1.7171313146617906E-2</v>
      </c>
      <c r="L21" s="74">
        <f ca="1">INDIRECT($B21&amp;"!"&amp;L$3&amp;"8")</f>
        <v>1.8274979066666665E-2</v>
      </c>
      <c r="M21" s="75">
        <f ca="1">INDIRECT($B21&amp;"!"&amp;M$3&amp;"8")</f>
        <v>1.1306130100000001E-2</v>
      </c>
      <c r="N21" s="76">
        <f ca="1">M21-L21</f>
        <v>-6.9688489666666648E-3</v>
      </c>
      <c r="O21" s="226"/>
      <c r="P21" s="231">
        <f ca="1">bdrate(L18:L21,D18:D21,M18:M21,H18:H21)</f>
        <v>-0.29543928220800841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36.804712000000002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27.093624000000005</v>
      </c>
      <c r="I29" s="10"/>
      <c r="J29" s="228">
        <f ca="1">H29/D29-1</f>
        <v>-1.3245004169383567E-2</v>
      </c>
      <c r="L29" s="74">
        <f ca="1">INDIRECT($B29&amp;"!"&amp;L$3&amp;"5")</f>
        <v>6.4074182428571436E-2</v>
      </c>
      <c r="M29" s="75">
        <f ca="1">INDIRECT($B29&amp;"!"&amp;M$3&amp;"5")</f>
        <v>5.6009217999999993E-2</v>
      </c>
      <c r="N29" s="76">
        <f ca="1">M29-L29</f>
        <v>-8.0649644285714431E-3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39.15352</v>
      </c>
      <c r="I30" s="10"/>
      <c r="J30" s="228">
        <f ca="1">H30/D30-1</f>
        <v>-1.4554390096474856E-2</v>
      </c>
      <c r="L30" s="74">
        <f ca="1">INDIRECT($B30&amp;"!"&amp;L$3&amp;"6")</f>
        <v>4.3200263047619043E-2</v>
      </c>
      <c r="M30" s="75">
        <f ca="1">INDIRECT($B30&amp;"!"&amp;M$3&amp;"6")</f>
        <v>3.6500594714285718E-2</v>
      </c>
      <c r="N30" s="76">
        <f ca="1">M30-L30</f>
        <v>-6.6996683333333251E-3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58.907279999999993</v>
      </c>
      <c r="I31" s="10"/>
      <c r="J31" s="228">
        <f ca="1">H31/D31-1</f>
        <v>-1.0825902962359968E-2</v>
      </c>
      <c r="L31" s="74">
        <f ca="1">INDIRECT($B31&amp;"!"&amp;L$3&amp;"7")</f>
        <v>2.7228831333333335E-2</v>
      </c>
      <c r="M31" s="75">
        <f ca="1">INDIRECT($B31&amp;"!"&amp;M$3&amp;"7")</f>
        <v>2.1285181238095235E-2</v>
      </c>
      <c r="N31" s="76">
        <f ca="1">M31-L31</f>
        <v>-5.9436500952381004E-3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86.291304000000011</v>
      </c>
      <c r="I32" s="10"/>
      <c r="J32" s="228">
        <f ca="1">H32/D32-1</f>
        <v>-8.04997412163444E-3</v>
      </c>
      <c r="L32" s="74">
        <f ca="1">INDIRECT($B32&amp;"!"&amp;L$3&amp;"8")</f>
        <v>1.4458101000000004E-2</v>
      </c>
      <c r="M32" s="75">
        <f ca="1">INDIRECT($B32&amp;"!"&amp;M$3&amp;"8")</f>
        <v>9.668171642857144E-3</v>
      </c>
      <c r="N32" s="76">
        <f ca="1">M32-L32</f>
        <v>-4.7899293571428605E-3</v>
      </c>
      <c r="O32" s="226"/>
      <c r="P32" s="231">
        <f ca="1">bdrate(L29:L32,D29:D32,M29:M32,H29:H32)</f>
        <v>-0.23129849672848912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27.093624000000005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27.909271999999998</v>
      </c>
      <c r="I40" s="10"/>
      <c r="J40" s="228">
        <f ca="1">H40/D40-1</f>
        <v>-1.4393409887993314E-2</v>
      </c>
      <c r="L40" s="74">
        <f ca="1">INDIRECT($B40&amp;"!"&amp;L$3&amp;"5")</f>
        <v>6.5973396238095255E-2</v>
      </c>
      <c r="M40" s="75">
        <f ca="1">INDIRECT($B40&amp;"!"&amp;M$3&amp;"5")</f>
        <v>5.7331039190476184E-2</v>
      </c>
      <c r="N40" s="76">
        <f ca="1">M40-L40</f>
        <v>-8.6423570476190717E-3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40.481008000000003</v>
      </c>
      <c r="I41" s="10"/>
      <c r="J41" s="228">
        <f ca="1">H41/D41-1</f>
        <v>-1.5694802959066667E-2</v>
      </c>
      <c r="L41" s="74">
        <f ca="1">INDIRECT($B41&amp;"!"&amp;L$3&amp;"6")</f>
        <v>4.448833447619048E-2</v>
      </c>
      <c r="M41" s="75">
        <f ca="1">INDIRECT($B41&amp;"!"&amp;M$3&amp;"6")</f>
        <v>3.7033319952380954E-2</v>
      </c>
      <c r="N41" s="76">
        <f ca="1">M41-L41</f>
        <v>-7.4550145238095264E-3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61.147655999999998</v>
      </c>
      <c r="I42" s="10"/>
      <c r="J42" s="228">
        <f ca="1">H42/D42-1</f>
        <v>-1.1595951445275143E-2</v>
      </c>
      <c r="L42" s="74">
        <f ca="1">INDIRECT($B42&amp;"!"&amp;L$3&amp;"7")</f>
        <v>2.7850360190476191E-2</v>
      </c>
      <c r="M42" s="75">
        <f ca="1">INDIRECT($B42&amp;"!"&amp;M$3&amp;"7")</f>
        <v>2.1611790333333335E-2</v>
      </c>
      <c r="N42" s="76">
        <f ca="1">M42-L42</f>
        <v>-6.2385698571428561E-3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89.643144000000021</v>
      </c>
      <c r="I43" s="10"/>
      <c r="J43" s="228">
        <f ca="1">H43/D43-1</f>
        <v>-8.5561128268696329E-3</v>
      </c>
      <c r="L43" s="74">
        <f ca="1">INDIRECT($B43&amp;"!"&amp;L$3&amp;"8")</f>
        <v>1.5608584595238097E-2</v>
      </c>
      <c r="M43" s="75">
        <f ca="1">INDIRECT($B43&amp;"!"&amp;M$3&amp;"8")</f>
        <v>1.0000444500000002E-2</v>
      </c>
      <c r="N43" s="76">
        <f ca="1">M43-L43</f>
        <v>-5.6081400952380945E-3</v>
      </c>
      <c r="O43" s="226"/>
      <c r="P43" s="231">
        <f ca="1">bdrate(L40:L43,D40:D43,M40:M43,H40:H43)</f>
        <v>-0.2434633418254476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27.909271999999998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35990.608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27.662055266666673</v>
      </c>
      <c r="Y5" s="30">
        <f t="shared" si="2"/>
        <v>33.684400533333331</v>
      </c>
      <c r="Z5" s="30">
        <f t="shared" si="2"/>
        <v>0.95778845133333335</v>
      </c>
      <c r="AA5" s="91">
        <f t="shared" si="2"/>
        <v>0.95539978733333342</v>
      </c>
      <c r="AB5" s="91">
        <f t="shared" si="2"/>
        <v>5.76701534E-2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-0.12155069927774087</v>
      </c>
      <c r="AN5" s="245">
        <f>bdrate($E5:$E8,G5:G8,$W5:$W8,Y5:Y8)</f>
        <v>-0.15109392390060317</v>
      </c>
      <c r="AO5" s="245">
        <f>bdrate($E5:$E8,H5:H8,$W5:$W8,Z5:Z8)</f>
        <v>-7.0286875858545095E-3</v>
      </c>
      <c r="AP5" s="245">
        <f>bdrate($E5:$E8,I5:I8,$W5:$W8,AA5:AA8)</f>
        <v>-4.0656252786644753E-2</v>
      </c>
      <c r="AQ5" s="246">
        <f>bdrateInverted($E5:$E8,J5:J8,$W5:$W8,AB5:AB8)</f>
        <v>-0.16872322972459741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51894.272000000004</v>
      </c>
      <c r="X6" s="91">
        <f t="shared" si="2"/>
        <v>31.524994466666673</v>
      </c>
      <c r="Y6" s="91">
        <f t="shared" si="2"/>
        <v>36.522476733333335</v>
      </c>
      <c r="Z6" s="91">
        <f t="shared" si="2"/>
        <v>0.97513598666666657</v>
      </c>
      <c r="AA6" s="91">
        <f t="shared" si="2"/>
        <v>0.97379156599999994</v>
      </c>
      <c r="AB6" s="91">
        <f t="shared" si="2"/>
        <v>3.3284546666666665E-2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75221.008000000002</v>
      </c>
      <c r="X7" s="91">
        <f t="shared" si="2"/>
        <v>36.757244000000007</v>
      </c>
      <c r="Y7" s="91">
        <f t="shared" si="2"/>
        <v>40.5889326</v>
      </c>
      <c r="Z7" s="91">
        <f t="shared" si="2"/>
        <v>0.98755882000000006</v>
      </c>
      <c r="AA7" s="91">
        <f t="shared" si="2"/>
        <v>0.99036042599999996</v>
      </c>
      <c r="AB7" s="91">
        <f t="shared" si="2"/>
        <v>1.71571142E-2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107076.056</v>
      </c>
      <c r="X8" s="91">
        <f t="shared" si="2"/>
        <v>39.735717266666668</v>
      </c>
      <c r="Y8" s="91">
        <f t="shared" si="2"/>
        <v>43.274362133333327</v>
      </c>
      <c r="Z8" s="91">
        <f t="shared" si="2"/>
        <v>0.99187991933333353</v>
      </c>
      <c r="AA8" s="91">
        <f t="shared" si="2"/>
        <v>0.995959594</v>
      </c>
      <c r="AB8" s="91">
        <f t="shared" si="2"/>
        <v>1.0521220966666666E-2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6950.84</v>
      </c>
      <c r="Y16" s="167">
        <v>1935.7840000000001</v>
      </c>
      <c r="Z16" s="167">
        <v>453.91199999999998</v>
      </c>
      <c r="AA16" s="167">
        <v>79.712000000000003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9208.8799999999992</v>
      </c>
      <c r="Y17" s="168">
        <v>6047.84</v>
      </c>
      <c r="Z17" s="168">
        <v>2857.32</v>
      </c>
      <c r="AA17" s="168">
        <v>936.024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11523.68</v>
      </c>
      <c r="Y18" s="168">
        <v>11601.111999999999</v>
      </c>
      <c r="Z18" s="168">
        <v>7859.3360000000002</v>
      </c>
      <c r="AA18" s="168">
        <v>4881.3760000000002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13726.208000000001</v>
      </c>
      <c r="Y19" s="168">
        <v>17710.112000000001</v>
      </c>
      <c r="Z19" s="168">
        <v>15681.624</v>
      </c>
      <c r="AA19" s="168">
        <v>13836.928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35990.608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51894.272000000004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75221.008000000002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107076.056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27.103041999999999</v>
      </c>
      <c r="Y33" s="97">
        <v>33.194223999999998</v>
      </c>
      <c r="Z33" s="97">
        <v>0.95770301000000002</v>
      </c>
      <c r="AA33" s="60">
        <v>0.95252718999999997</v>
      </c>
      <c r="AB33" s="60">
        <v>6.2121193999999998E-2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0.30468999999999724</v>
      </c>
      <c r="AN33" s="96">
        <f t="shared" ref="AN33:AN96" si="5">IF(OR(Y33="",G33=""),"",Y33-G33)</f>
        <v>1.1384929999999969</v>
      </c>
      <c r="AO33" s="96">
        <f t="shared" ref="AO33:AO96" si="6">IF(OR(Z33="",H33=""),"",Z33-H33)</f>
        <v>-4.1287999999994884E-4</v>
      </c>
      <c r="AP33" s="96">
        <f t="shared" ref="AP33:AP96" si="7">IF(OR(AA33="",I33=""),"",AA33-I33)</f>
        <v>2.3945499999999953E-3</v>
      </c>
      <c r="AQ33" s="121">
        <f t="shared" ref="AQ33:AQ96" si="8">IF(OR(AB33="",J33=""),"",AB33-J33)</f>
        <v>-8.5085160000000007E-3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31.445650000000001</v>
      </c>
      <c r="Y34" s="190">
        <v>36.319879</v>
      </c>
      <c r="Z34" s="190">
        <v>0.97508455000000005</v>
      </c>
      <c r="AA34" s="62">
        <v>0.97435912000000002</v>
      </c>
      <c r="AB34" s="62">
        <v>3.6738552000000001E-2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0.76259800000000055</v>
      </c>
      <c r="AN34" s="122">
        <f t="shared" si="5"/>
        <v>1.1305699999999987</v>
      </c>
      <c r="AO34" s="122">
        <f t="shared" si="6"/>
        <v>-5.7917999999990144E-4</v>
      </c>
      <c r="AP34" s="122">
        <f t="shared" si="7"/>
        <v>1.9391600000000508E-3</v>
      </c>
      <c r="AQ34" s="88">
        <f t="shared" si="8"/>
        <v>-7.0353819999999997E-3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36.721224999999997</v>
      </c>
      <c r="Y35" s="190">
        <v>40.514927</v>
      </c>
      <c r="Z35" s="190">
        <v>0.98763869999999998</v>
      </c>
      <c r="AA35" s="62">
        <v>0.99019429999999997</v>
      </c>
      <c r="AB35" s="62">
        <v>1.9090508999999999E-2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1.4760119999999972</v>
      </c>
      <c r="AN35" s="122">
        <f t="shared" si="5"/>
        <v>1.1895219999999966</v>
      </c>
      <c r="AO35" s="122">
        <f t="shared" si="6"/>
        <v>-3.8608000000006637E-4</v>
      </c>
      <c r="AP35" s="122">
        <f t="shared" si="7"/>
        <v>-5.2920000000011846E-5</v>
      </c>
      <c r="AQ35" s="88">
        <f t="shared" si="8"/>
        <v>-6.7882040000000025E-3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39.953755999999998</v>
      </c>
      <c r="Y36" s="190">
        <v>43.445422000000001</v>
      </c>
      <c r="Z36" s="190">
        <v>0.99199705999999999</v>
      </c>
      <c r="AA36" s="62">
        <v>0.99600029999999995</v>
      </c>
      <c r="AB36" s="62">
        <v>1.1180939000000001E-2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1.9747739999999965</v>
      </c>
      <c r="AN36" s="122">
        <f t="shared" si="5"/>
        <v>1.373853000000004</v>
      </c>
      <c r="AO36" s="122">
        <f t="shared" si="6"/>
        <v>-3.2967999999999886E-4</v>
      </c>
      <c r="AP36" s="122">
        <f t="shared" si="7"/>
        <v>8.3197999999995442E-4</v>
      </c>
      <c r="AQ36" s="88">
        <f t="shared" si="8"/>
        <v>-6.9522769999999998E-3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27.591296</v>
      </c>
      <c r="Y38" s="97">
        <v>33.549196999999999</v>
      </c>
      <c r="Z38" s="97">
        <v>0.95881543999999996</v>
      </c>
      <c r="AA38" s="60">
        <v>0.95501806</v>
      </c>
      <c r="AB38" s="60">
        <v>5.8403198000000003E-2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0.43195899999999909</v>
      </c>
      <c r="AN38" s="96">
        <f t="shared" si="5"/>
        <v>1.2355429999999998</v>
      </c>
      <c r="AO38" s="96">
        <f t="shared" si="6"/>
        <v>-3.1717000000008877E-4</v>
      </c>
      <c r="AP38" s="96">
        <f t="shared" si="7"/>
        <v>1.5364100000000436E-3</v>
      </c>
      <c r="AQ38" s="121">
        <f t="shared" si="8"/>
        <v>-9.2473919999999932E-3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31.515986999999999</v>
      </c>
      <c r="Y39" s="190">
        <v>36.384712</v>
      </c>
      <c r="Z39" s="190">
        <v>0.97510346000000003</v>
      </c>
      <c r="AA39" s="62">
        <v>0.97294643999999997</v>
      </c>
      <c r="AB39" s="62">
        <v>3.5017274000000001E-2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0.90449699999999922</v>
      </c>
      <c r="AN39" s="122">
        <f t="shared" si="5"/>
        <v>1.258892000000003</v>
      </c>
      <c r="AO39" s="122">
        <f t="shared" si="6"/>
        <v>-4.4456999999997748E-4</v>
      </c>
      <c r="AP39" s="122">
        <f t="shared" si="7"/>
        <v>-2.3580000000000823E-4</v>
      </c>
      <c r="AQ39" s="88">
        <f t="shared" si="8"/>
        <v>-7.8875689999999971E-3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36.775092999999998</v>
      </c>
      <c r="Y40" s="190">
        <v>40.554259999999999</v>
      </c>
      <c r="Z40" s="190">
        <v>0.98735527999999995</v>
      </c>
      <c r="AA40" s="62">
        <v>0.99052052000000002</v>
      </c>
      <c r="AB40" s="62">
        <v>1.8461544E-2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1.6704620000000006</v>
      </c>
      <c r="AN40" s="122">
        <f t="shared" si="5"/>
        <v>1.3484860000000012</v>
      </c>
      <c r="AO40" s="122">
        <f t="shared" si="6"/>
        <v>-3.6440000000004247E-4</v>
      </c>
      <c r="AP40" s="122">
        <f t="shared" si="7"/>
        <v>1.6853000000005558E-4</v>
      </c>
      <c r="AQ40" s="88">
        <f t="shared" si="8"/>
        <v>-7.8301580000000003E-3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39.903438999999999</v>
      </c>
      <c r="Y41" s="190">
        <v>43.415979</v>
      </c>
      <c r="Z41" s="190">
        <v>0.99163990000000002</v>
      </c>
      <c r="AA41" s="62">
        <v>0.99592153999999999</v>
      </c>
      <c r="AB41" s="62">
        <v>1.1178761000000001E-2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2.1309919999999991</v>
      </c>
      <c r="AN41" s="122">
        <f t="shared" si="5"/>
        <v>1.5285239999999973</v>
      </c>
      <c r="AO41" s="122">
        <f t="shared" si="6"/>
        <v>-3.3143000000002143E-4</v>
      </c>
      <c r="AP41" s="122">
        <f t="shared" si="7"/>
        <v>8.0117999999995693E-4</v>
      </c>
      <c r="AQ41" s="88">
        <f t="shared" si="8"/>
        <v>-7.7147980000000001E-3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27.93158</v>
      </c>
      <c r="Y43" s="97">
        <v>33.754486999999997</v>
      </c>
      <c r="Z43" s="97">
        <v>0.95858129000000003</v>
      </c>
      <c r="AA43" s="60">
        <v>0.95685982999999997</v>
      </c>
      <c r="AB43" s="60">
        <v>5.5261421999999998E-2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0.45437000000000083</v>
      </c>
      <c r="AN43" s="96">
        <f t="shared" si="5"/>
        <v>1.2117009999999979</v>
      </c>
      <c r="AO43" s="96">
        <f t="shared" si="6"/>
        <v>-3.0753999999999504E-4</v>
      </c>
      <c r="AP43" s="96">
        <f t="shared" si="7"/>
        <v>1.0044200000000059E-3</v>
      </c>
      <c r="AQ43" s="121">
        <f t="shared" si="8"/>
        <v>-8.8958480000000048E-3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31.554258000000001</v>
      </c>
      <c r="Y44" s="190">
        <v>36.389437000000001</v>
      </c>
      <c r="Z44" s="190">
        <v>0.97492144999999997</v>
      </c>
      <c r="AA44" s="62">
        <v>0.97340167</v>
      </c>
      <c r="AB44" s="62">
        <v>3.2790273000000002E-2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0.96491200000000177</v>
      </c>
      <c r="AN44" s="122">
        <f t="shared" si="5"/>
        <v>1.2804819999999992</v>
      </c>
      <c r="AO44" s="122">
        <f t="shared" si="6"/>
        <v>-3.8250000000006334E-4</v>
      </c>
      <c r="AP44" s="122">
        <f t="shared" si="7"/>
        <v>8.2200000000032247E-5</v>
      </c>
      <c r="AQ44" s="88">
        <f t="shared" si="8"/>
        <v>-7.8847039999999993E-3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36.866799</v>
      </c>
      <c r="Y45" s="190">
        <v>40.596426000000001</v>
      </c>
      <c r="Z45" s="190">
        <v>0.98743764000000001</v>
      </c>
      <c r="AA45" s="62">
        <v>0.99085515000000002</v>
      </c>
      <c r="AB45" s="62">
        <v>1.7353891999999999E-2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1.6817670000000007</v>
      </c>
      <c r="AN45" s="122">
        <f t="shared" si="5"/>
        <v>1.3289570000000026</v>
      </c>
      <c r="AO45" s="122">
        <f t="shared" si="6"/>
        <v>-3.4840999999996569E-4</v>
      </c>
      <c r="AP45" s="122">
        <f t="shared" si="7"/>
        <v>3.6981000000002595E-4</v>
      </c>
      <c r="AQ45" s="88">
        <f t="shared" si="8"/>
        <v>-7.3393900000000012E-3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39.935536999999997</v>
      </c>
      <c r="Y46" s="190">
        <v>43.421852000000001</v>
      </c>
      <c r="Z46" s="190">
        <v>0.99178065000000004</v>
      </c>
      <c r="AA46" s="62">
        <v>0.99601881999999997</v>
      </c>
      <c r="AB46" s="62">
        <v>1.0664921000000001E-2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2.0941269999999932</v>
      </c>
      <c r="AN46" s="122">
        <f t="shared" si="5"/>
        <v>1.4746340000000018</v>
      </c>
      <c r="AO46" s="122">
        <f t="shared" si="6"/>
        <v>-3.2862000000000169E-4</v>
      </c>
      <c r="AP46" s="122">
        <f t="shared" si="7"/>
        <v>8.8286999999998006E-4</v>
      </c>
      <c r="AQ46" s="88">
        <f t="shared" si="8"/>
        <v>-7.0593769999999986E-3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27.952611999999998</v>
      </c>
      <c r="Y48" s="97">
        <v>33.733614000000003</v>
      </c>
      <c r="Z48" s="97">
        <v>0.95847009000000005</v>
      </c>
      <c r="AA48" s="60">
        <v>0.95668664000000003</v>
      </c>
      <c r="AB48" s="60">
        <v>5.6810899999999998E-2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0.42409699999999972</v>
      </c>
      <c r="AN48" s="96">
        <f t="shared" si="5"/>
        <v>1.1602610000000055</v>
      </c>
      <c r="AO48" s="96">
        <f t="shared" si="6"/>
        <v>-4.1994999999994675E-4</v>
      </c>
      <c r="AP48" s="96">
        <f t="shared" si="7"/>
        <v>1.1640600000000223E-3</v>
      </c>
      <c r="AQ48" s="121">
        <f t="shared" si="8"/>
        <v>-8.308579999999996E-3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31.234037000000001</v>
      </c>
      <c r="Y49" s="190">
        <v>36.120973999999997</v>
      </c>
      <c r="Z49" s="190">
        <v>0.97433354999999999</v>
      </c>
      <c r="AA49" s="62">
        <v>0.97389102999999999</v>
      </c>
      <c r="AB49" s="62">
        <v>3.5054512000000003E-2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0.87003299999999939</v>
      </c>
      <c r="AN49" s="122">
        <f t="shared" si="5"/>
        <v>1.2096309999999946</v>
      </c>
      <c r="AO49" s="122">
        <f t="shared" si="6"/>
        <v>-4.8696000000003625E-4</v>
      </c>
      <c r="AP49" s="122">
        <f t="shared" si="7"/>
        <v>1.719040000000005E-3</v>
      </c>
      <c r="AQ49" s="88">
        <f t="shared" si="8"/>
        <v>-7.8894499999999992E-3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36.761215999999997</v>
      </c>
      <c r="Y50" s="190">
        <v>40.493845999999998</v>
      </c>
      <c r="Z50" s="190">
        <v>0.98718744999999997</v>
      </c>
      <c r="AA50" s="62">
        <v>0.99063615999999999</v>
      </c>
      <c r="AB50" s="62">
        <v>1.8537007000000001E-2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1.5824280000000002</v>
      </c>
      <c r="AN50" s="122">
        <f t="shared" si="5"/>
        <v>1.2402709999999999</v>
      </c>
      <c r="AO50" s="122">
        <f t="shared" si="6"/>
        <v>-4.7742000000006168E-4</v>
      </c>
      <c r="AP50" s="122">
        <f t="shared" si="7"/>
        <v>1.6585000000002292E-4</v>
      </c>
      <c r="AQ50" s="88">
        <f t="shared" si="8"/>
        <v>-7.2409099999999997E-3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39.755436000000003</v>
      </c>
      <c r="Y51" s="190">
        <v>43.260832000000001</v>
      </c>
      <c r="Z51" s="190">
        <v>0.99153121</v>
      </c>
      <c r="AA51" s="62">
        <v>0.99595803000000005</v>
      </c>
      <c r="AB51" s="62">
        <v>1.1786436000000001E-2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1.9679370000000063</v>
      </c>
      <c r="AN51" s="122">
        <f t="shared" si="5"/>
        <v>1.3745699999999985</v>
      </c>
      <c r="AO51" s="122">
        <f t="shared" si="6"/>
        <v>-4.2337999999997322E-4</v>
      </c>
      <c r="AP51" s="122">
        <f t="shared" si="7"/>
        <v>8.9445000000010211E-4</v>
      </c>
      <c r="AQ51" s="88">
        <f t="shared" si="8"/>
        <v>-6.8259840000000002E-3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28.041530999999999</v>
      </c>
      <c r="Y53" s="97">
        <v>33.655952999999997</v>
      </c>
      <c r="Z53" s="97">
        <v>0.95616899</v>
      </c>
      <c r="AA53" s="60">
        <v>0.95745798999999998</v>
      </c>
      <c r="AB53" s="60">
        <v>6.0522534000000003E-2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0.40425600000000017</v>
      </c>
      <c r="AN53" s="96">
        <f t="shared" si="5"/>
        <v>1.0523419999999959</v>
      </c>
      <c r="AO53" s="96">
        <f t="shared" si="6"/>
        <v>-6.8192000000000252E-4</v>
      </c>
      <c r="AP53" s="96">
        <f t="shared" si="7"/>
        <v>1.0634699999999553E-3</v>
      </c>
      <c r="AQ53" s="121">
        <f t="shared" si="8"/>
        <v>-8.0677960000000021E-3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31.193615000000001</v>
      </c>
      <c r="Y54" s="190">
        <v>35.988970999999999</v>
      </c>
      <c r="Z54" s="190">
        <v>0.97332693999999997</v>
      </c>
      <c r="AA54" s="62">
        <v>0.97416159999999996</v>
      </c>
      <c r="AB54" s="62">
        <v>3.7428780000000002E-2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0.85156000000000276</v>
      </c>
      <c r="AN54" s="122">
        <f t="shared" si="5"/>
        <v>1.1158080000000012</v>
      </c>
      <c r="AO54" s="122">
        <f t="shared" si="6"/>
        <v>-7.1261000000000241E-4</v>
      </c>
      <c r="AP54" s="122">
        <f t="shared" si="7"/>
        <v>1.6277699999999173E-3</v>
      </c>
      <c r="AQ54" s="88">
        <f t="shared" si="8"/>
        <v>-7.5816530000000007E-3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36.407587999999997</v>
      </c>
      <c r="Y55" s="190">
        <v>40.164816000000002</v>
      </c>
      <c r="Z55" s="190">
        <v>0.98643528000000003</v>
      </c>
      <c r="AA55" s="62">
        <v>0.99023393999999998</v>
      </c>
      <c r="AB55" s="62">
        <v>2.0507669999999999E-2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1.4134679999999946</v>
      </c>
      <c r="AN55" s="122">
        <f t="shared" si="5"/>
        <v>1.1038010000000043</v>
      </c>
      <c r="AO55" s="122">
        <f t="shared" si="6"/>
        <v>-6.5300999999995391E-4</v>
      </c>
      <c r="AP55" s="122">
        <f t="shared" si="7"/>
        <v>-1.354700000000264E-4</v>
      </c>
      <c r="AQ55" s="88">
        <f t="shared" si="8"/>
        <v>-7.0792479999999998E-3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39.074359000000001</v>
      </c>
      <c r="Y56" s="190">
        <v>42.653967000000002</v>
      </c>
      <c r="Z56" s="190">
        <v>0.99085272999999996</v>
      </c>
      <c r="AA56" s="62">
        <v>0.99564962000000001</v>
      </c>
      <c r="AB56" s="62">
        <v>1.3392734999999999E-2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1.6422900000000027</v>
      </c>
      <c r="AN56" s="122">
        <f t="shared" si="5"/>
        <v>1.1502449999999982</v>
      </c>
      <c r="AO56" s="122">
        <f t="shared" si="6"/>
        <v>-5.7693000000003103E-4</v>
      </c>
      <c r="AP56" s="122">
        <f t="shared" si="7"/>
        <v>8.2488999999996704E-4</v>
      </c>
      <c r="AQ56" s="88">
        <f t="shared" si="8"/>
        <v>-6.5998570000000006E-3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27.238900999999998</v>
      </c>
      <c r="Y58" s="97">
        <v>33.558622999999997</v>
      </c>
      <c r="Z58" s="97">
        <v>0.95806349999999996</v>
      </c>
      <c r="AA58" s="60">
        <v>0.9551442</v>
      </c>
      <c r="AB58" s="60">
        <v>6.0881030000000003E-2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0.34407899999999714</v>
      </c>
      <c r="AN58" s="96">
        <f t="shared" si="5"/>
        <v>1.2939049999999952</v>
      </c>
      <c r="AO58" s="96">
        <f t="shared" si="6"/>
        <v>-6.1088000000009135E-4</v>
      </c>
      <c r="AP58" s="96">
        <f t="shared" si="7"/>
        <v>1.228470000000037E-3</v>
      </c>
      <c r="AQ58" s="121">
        <f t="shared" si="8"/>
        <v>-8.362529999999993E-3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31.734776</v>
      </c>
      <c r="Y59" s="190">
        <v>36.823990000000002</v>
      </c>
      <c r="Z59" s="190">
        <v>0.97592520999999999</v>
      </c>
      <c r="AA59" s="62">
        <v>0.97618437000000002</v>
      </c>
      <c r="AB59" s="62">
        <v>3.3418080000000003E-2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0.91839500000000029</v>
      </c>
      <c r="AN59" s="122">
        <f t="shared" si="5"/>
        <v>1.3309169999999995</v>
      </c>
      <c r="AO59" s="122">
        <f t="shared" si="6"/>
        <v>-5.192699999999606E-4</v>
      </c>
      <c r="AP59" s="122">
        <f t="shared" si="7"/>
        <v>1.2399600000000399E-3</v>
      </c>
      <c r="AQ59" s="88">
        <f t="shared" si="8"/>
        <v>-7.5954479999999977E-3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36.919296000000003</v>
      </c>
      <c r="Y60" s="190">
        <v>40.745342999999998</v>
      </c>
      <c r="Z60" s="190">
        <v>0.98823375999999996</v>
      </c>
      <c r="AA60" s="62">
        <v>0.99074240999999996</v>
      </c>
      <c r="AB60" s="62">
        <v>1.6445523E-2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1.6254500000000007</v>
      </c>
      <c r="AN60" s="122">
        <f t="shared" si="5"/>
        <v>1.3546629999999951</v>
      </c>
      <c r="AO60" s="122">
        <f t="shared" si="6"/>
        <v>-4.1349000000001634E-4</v>
      </c>
      <c r="AP60" s="122">
        <f t="shared" si="7"/>
        <v>-1.9991000000008086E-4</v>
      </c>
      <c r="AQ60" s="88">
        <f t="shared" si="8"/>
        <v>-7.3617490000000008E-3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40.062502000000002</v>
      </c>
      <c r="Y61" s="190">
        <v>43.564036000000002</v>
      </c>
      <c r="Z61" s="190">
        <v>0.99245437000000003</v>
      </c>
      <c r="AA61" s="62">
        <v>0.99614477000000001</v>
      </c>
      <c r="AB61" s="62">
        <v>9.5645899999999996E-3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2.1059630000000027</v>
      </c>
      <c r="AN61" s="122">
        <f t="shared" si="5"/>
        <v>1.5238140000000016</v>
      </c>
      <c r="AO61" s="122">
        <f t="shared" si="6"/>
        <v>-3.9865999999999513E-4</v>
      </c>
      <c r="AP61" s="122">
        <f t="shared" si="7"/>
        <v>4.4997999999996097E-4</v>
      </c>
      <c r="AQ61" s="88">
        <f t="shared" si="8"/>
        <v>-7.2580610000000014E-3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27.54776</v>
      </c>
      <c r="Y63" s="97">
        <v>33.787973000000001</v>
      </c>
      <c r="Z63" s="97">
        <v>0.95943195999999997</v>
      </c>
      <c r="AA63" s="60">
        <v>0.95468019000000004</v>
      </c>
      <c r="AB63" s="60">
        <v>5.5703625E-2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0.46769099999999852</v>
      </c>
      <c r="AN63" s="96">
        <f t="shared" si="5"/>
        <v>1.3742030000000014</v>
      </c>
      <c r="AO63" s="96">
        <f t="shared" si="6"/>
        <v>-7.4100000000076882E-5</v>
      </c>
      <c r="AP63" s="96">
        <f t="shared" si="7"/>
        <v>6.0841000000000367E-4</v>
      </c>
      <c r="AQ63" s="121">
        <f t="shared" si="8"/>
        <v>-9.648074999999999E-3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31.680766999999999</v>
      </c>
      <c r="Y64" s="190">
        <v>36.808466000000003</v>
      </c>
      <c r="Z64" s="190">
        <v>0.97618486000000004</v>
      </c>
      <c r="AA64" s="62">
        <v>0.97415032999999995</v>
      </c>
      <c r="AB64" s="62">
        <v>3.1299014E-2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1.034122</v>
      </c>
      <c r="AN64" s="122">
        <f t="shared" si="5"/>
        <v>1.4311050000000023</v>
      </c>
      <c r="AO64" s="122">
        <f t="shared" si="6"/>
        <v>-2.8578999999995247E-4</v>
      </c>
      <c r="AP64" s="122">
        <f t="shared" si="7"/>
        <v>2.0738899999999116E-3</v>
      </c>
      <c r="AQ64" s="88">
        <f t="shared" si="8"/>
        <v>-8.5650190000000001E-3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37.129193999999998</v>
      </c>
      <c r="Y65" s="190">
        <v>40.934165999999998</v>
      </c>
      <c r="Z65" s="190">
        <v>0.98823114999999995</v>
      </c>
      <c r="AA65" s="62">
        <v>0.99065524999999999</v>
      </c>
      <c r="AB65" s="62">
        <v>1.5716984999999999E-2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1.8249050000000011</v>
      </c>
      <c r="AN65" s="122">
        <f t="shared" si="5"/>
        <v>1.506771999999998</v>
      </c>
      <c r="AO65" s="122">
        <f t="shared" si="6"/>
        <v>-3.5113000000008832E-4</v>
      </c>
      <c r="AP65" s="122">
        <f t="shared" si="7"/>
        <v>1.1790000000000411E-4</v>
      </c>
      <c r="AQ65" s="88">
        <f t="shared" si="8"/>
        <v>-7.871760000000002E-3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40.243029</v>
      </c>
      <c r="Y66" s="190">
        <v>43.703474999999997</v>
      </c>
      <c r="Z66" s="190">
        <v>0.99237492999999999</v>
      </c>
      <c r="AA66" s="62">
        <v>0.99617867999999998</v>
      </c>
      <c r="AB66" s="62">
        <v>9.1246525000000002E-3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2.3023310000000023</v>
      </c>
      <c r="AN66" s="122">
        <f t="shared" si="5"/>
        <v>1.6608149999999995</v>
      </c>
      <c r="AO66" s="122">
        <f t="shared" si="6"/>
        <v>-3.6374999999999602E-4</v>
      </c>
      <c r="AP66" s="122">
        <f t="shared" si="7"/>
        <v>8.2278999999996216E-4</v>
      </c>
      <c r="AQ66" s="88">
        <f t="shared" si="8"/>
        <v>-7.5828474999999999E-3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27.815200999999998</v>
      </c>
      <c r="Y68" s="97">
        <v>33.958992000000002</v>
      </c>
      <c r="Z68" s="97">
        <v>0.95941449000000001</v>
      </c>
      <c r="AA68" s="60">
        <v>0.95524648999999995</v>
      </c>
      <c r="AB68" s="60">
        <v>5.3646966999999997E-2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0.47526399999999924</v>
      </c>
      <c r="AN68" s="96">
        <f t="shared" si="5"/>
        <v>1.3602729999999994</v>
      </c>
      <c r="AO68" s="96">
        <f t="shared" si="6"/>
        <v>-1.0690999999996009E-4</v>
      </c>
      <c r="AP68" s="96">
        <f t="shared" si="7"/>
        <v>3.8991999999993254E-4</v>
      </c>
      <c r="AQ68" s="121">
        <f t="shared" si="8"/>
        <v>-9.2833790000000013E-3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31.779171000000002</v>
      </c>
      <c r="Y69" s="190">
        <v>36.878109000000002</v>
      </c>
      <c r="Z69" s="190">
        <v>0.97579163999999996</v>
      </c>
      <c r="AA69" s="62">
        <v>0.97383397999999999</v>
      </c>
      <c r="AB69" s="62">
        <v>3.0762468000000001E-2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1.0794720000000027</v>
      </c>
      <c r="AN69" s="122">
        <f t="shared" si="5"/>
        <v>1.4598590000000016</v>
      </c>
      <c r="AO69" s="122">
        <f t="shared" si="6"/>
        <v>-3.0514000000003705E-4</v>
      </c>
      <c r="AP69" s="122">
        <f t="shared" si="7"/>
        <v>2.4262400000000239E-3</v>
      </c>
      <c r="AQ69" s="88">
        <f t="shared" si="8"/>
        <v>-8.3303740000000015E-3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37.158580999999998</v>
      </c>
      <c r="Y70" s="190">
        <v>40.960019000000003</v>
      </c>
      <c r="Z70" s="190">
        <v>0.98797042000000002</v>
      </c>
      <c r="AA70" s="62">
        <v>0.99028872000000001</v>
      </c>
      <c r="AB70" s="62">
        <v>1.537003E-2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1.8326889999999949</v>
      </c>
      <c r="AN70" s="122">
        <f t="shared" si="5"/>
        <v>1.5155730000000034</v>
      </c>
      <c r="AO70" s="122">
        <f t="shared" si="6"/>
        <v>-3.6230999999997682E-4</v>
      </c>
      <c r="AP70" s="122">
        <f t="shared" si="7"/>
        <v>2.8490000000003235E-4</v>
      </c>
      <c r="AQ70" s="88">
        <f t="shared" si="8"/>
        <v>-7.6810920000000005E-3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40.189422</v>
      </c>
      <c r="Y71" s="190">
        <v>43.655290999999998</v>
      </c>
      <c r="Z71" s="190">
        <v>0.99221199000000004</v>
      </c>
      <c r="AA71" s="62">
        <v>0.99611066000000004</v>
      </c>
      <c r="AB71" s="62">
        <v>9.3650669999999995E-3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2.2704519999999988</v>
      </c>
      <c r="AN71" s="122">
        <f t="shared" si="5"/>
        <v>1.6446910000000017</v>
      </c>
      <c r="AO71" s="122">
        <f t="shared" si="6"/>
        <v>-3.8810999999994156E-4</v>
      </c>
      <c r="AP71" s="122">
        <f t="shared" si="7"/>
        <v>1.0861800000000477E-3</v>
      </c>
      <c r="AQ71" s="88">
        <f t="shared" si="8"/>
        <v>-7.239648999999999E-3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27.894701000000001</v>
      </c>
      <c r="Y73" s="97">
        <v>33.989384000000001</v>
      </c>
      <c r="Z73" s="97">
        <v>0.95940150000000002</v>
      </c>
      <c r="AA73" s="60">
        <v>0.95550687000000001</v>
      </c>
      <c r="AB73" s="60">
        <v>5.3665909999999997E-2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0.43987200000000115</v>
      </c>
      <c r="AN73" s="96">
        <f t="shared" si="5"/>
        <v>1.327615999999999</v>
      </c>
      <c r="AO73" s="96">
        <f t="shared" si="6"/>
        <v>-1.2528999999994461E-4</v>
      </c>
      <c r="AP73" s="96">
        <f t="shared" si="7"/>
        <v>4.4330999999997456E-4</v>
      </c>
      <c r="AQ73" s="121">
        <f t="shared" si="8"/>
        <v>-9.0114099999999975E-3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31.693639000000001</v>
      </c>
      <c r="Y74" s="190">
        <v>36.791801999999997</v>
      </c>
      <c r="Z74" s="190">
        <v>0.97539783999999996</v>
      </c>
      <c r="AA74" s="62">
        <v>0.97348804</v>
      </c>
      <c r="AB74" s="62">
        <v>3.1172294E-2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1.0330060000000003</v>
      </c>
      <c r="AN74" s="122">
        <f t="shared" si="5"/>
        <v>1.4302369999999982</v>
      </c>
      <c r="AO74" s="122">
        <f t="shared" si="6"/>
        <v>-3.8026000000002114E-4</v>
      </c>
      <c r="AP74" s="122">
        <f t="shared" si="7"/>
        <v>2.4047400000000163E-3</v>
      </c>
      <c r="AQ74" s="88">
        <f t="shared" si="8"/>
        <v>-8.2334690000000037E-3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37.113720000000001</v>
      </c>
      <c r="Y75" s="190">
        <v>40.923892000000002</v>
      </c>
      <c r="Z75" s="190">
        <v>0.98776710999999995</v>
      </c>
      <c r="AA75" s="62">
        <v>0.99030885000000002</v>
      </c>
      <c r="AB75" s="62">
        <v>1.5869892999999999E-2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1.7995099999999979</v>
      </c>
      <c r="AN75" s="122">
        <f t="shared" si="5"/>
        <v>1.4926160000000053</v>
      </c>
      <c r="AO75" s="122">
        <f t="shared" si="6"/>
        <v>-4.1743000000005193E-4</v>
      </c>
      <c r="AP75" s="122">
        <f t="shared" si="7"/>
        <v>2.2849999999996484E-4</v>
      </c>
      <c r="AQ75" s="88">
        <f t="shared" si="8"/>
        <v>-7.3810239999999999E-3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40.055501999999997</v>
      </c>
      <c r="Y76" s="190">
        <v>43.557119</v>
      </c>
      <c r="Z76" s="190">
        <v>0.99199985999999996</v>
      </c>
      <c r="AA76" s="62">
        <v>0.99609212000000003</v>
      </c>
      <c r="AB76" s="62">
        <v>9.9227050000000004E-3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2.1738280000000003</v>
      </c>
      <c r="AN76" s="122">
        <f t="shared" si="5"/>
        <v>1.5884360000000015</v>
      </c>
      <c r="AO76" s="122">
        <f t="shared" si="6"/>
        <v>-4.2531000000001207E-4</v>
      </c>
      <c r="AP76" s="122">
        <f t="shared" si="7"/>
        <v>1.0132400000000263E-3</v>
      </c>
      <c r="AQ76" s="88">
        <f t="shared" si="8"/>
        <v>-6.8975099999999991E-3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27.873505999999999</v>
      </c>
      <c r="Y78" s="97">
        <v>33.737713999999997</v>
      </c>
      <c r="Z78" s="97">
        <v>0.95723451000000004</v>
      </c>
      <c r="AA78" s="60">
        <v>0.95604922999999997</v>
      </c>
      <c r="AB78" s="60">
        <v>5.7904996E-2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0.36475300000000033</v>
      </c>
      <c r="AN78" s="96">
        <f t="shared" si="5"/>
        <v>1.1195570000000004</v>
      </c>
      <c r="AO78" s="96">
        <f t="shared" si="6"/>
        <v>-3.7332999999994954E-4</v>
      </c>
      <c r="AP78" s="96">
        <f t="shared" si="7"/>
        <v>3.7100999999994944E-4</v>
      </c>
      <c r="AQ78" s="121">
        <f t="shared" si="8"/>
        <v>-8.2598339999999937E-3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31.503457999999998</v>
      </c>
      <c r="Y79" s="190">
        <v>36.461492</v>
      </c>
      <c r="Z79" s="190">
        <v>0.97401061</v>
      </c>
      <c r="AA79" s="62">
        <v>0.97399373</v>
      </c>
      <c r="AB79" s="62">
        <v>3.5116939999999999E-2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0.91467799999999855</v>
      </c>
      <c r="AN79" s="122">
        <f t="shared" si="5"/>
        <v>1.2326300000000003</v>
      </c>
      <c r="AO79" s="122">
        <f t="shared" si="6"/>
        <v>-6.6007999999995182E-4</v>
      </c>
      <c r="AP79" s="122">
        <f t="shared" si="7"/>
        <v>2.0415499999999476E-3</v>
      </c>
      <c r="AQ79" s="88">
        <f t="shared" si="8"/>
        <v>-7.6778300000000035E-3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36.636094999999997</v>
      </c>
      <c r="Y80" s="190">
        <v>40.468432</v>
      </c>
      <c r="Z80" s="190">
        <v>0.98671165999999999</v>
      </c>
      <c r="AA80" s="62">
        <v>0.99006461000000001</v>
      </c>
      <c r="AB80" s="62">
        <v>1.8276434000000001E-2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1.5057809999999989</v>
      </c>
      <c r="AN80" s="122">
        <f t="shared" si="5"/>
        <v>1.2425339999999991</v>
      </c>
      <c r="AO80" s="122">
        <f t="shared" si="6"/>
        <v>-6.6467000000003384E-4</v>
      </c>
      <c r="AP80" s="122">
        <f t="shared" si="7"/>
        <v>-1.1207999999995888E-4</v>
      </c>
      <c r="AQ80" s="88">
        <f t="shared" si="8"/>
        <v>-6.8727619999999975E-3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39.305816</v>
      </c>
      <c r="Y81" s="190">
        <v>42.910781</v>
      </c>
      <c r="Z81" s="190">
        <v>0.99105290000000001</v>
      </c>
      <c r="AA81" s="62">
        <v>0.99569342000000005</v>
      </c>
      <c r="AB81" s="62">
        <v>1.2048748999999999E-2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1.7084690000000009</v>
      </c>
      <c r="AN81" s="122">
        <f t="shared" si="5"/>
        <v>1.2585290000000029</v>
      </c>
      <c r="AO81" s="122">
        <f t="shared" si="6"/>
        <v>-6.3870999999993128E-4</v>
      </c>
      <c r="AP81" s="122">
        <f t="shared" si="7"/>
        <v>7.676500000000086E-4</v>
      </c>
      <c r="AQ81" s="88">
        <f t="shared" si="8"/>
        <v>-6.4363710000000015E-3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27.350711</v>
      </c>
      <c r="Y83" s="97">
        <v>33.541007999999998</v>
      </c>
      <c r="Z83" s="97">
        <v>0.95504728999999999</v>
      </c>
      <c r="AA83" s="60">
        <v>0.95536343000000001</v>
      </c>
      <c r="AB83" s="60">
        <v>6.2922320000000004E-2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0.37081500000000034</v>
      </c>
      <c r="AN83" s="96">
        <f t="shared" si="5"/>
        <v>1.2157319999999956</v>
      </c>
      <c r="AO83" s="96">
        <f t="shared" si="6"/>
        <v>-1.5211299999999817E-3</v>
      </c>
      <c r="AP83" s="96">
        <f t="shared" si="7"/>
        <v>-8.2409999999977224E-5</v>
      </c>
      <c r="AQ83" s="121">
        <f t="shared" si="8"/>
        <v>-7.5006099999999909E-3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31.344788000000001</v>
      </c>
      <c r="Y84" s="190">
        <v>36.509695999999998</v>
      </c>
      <c r="Z84" s="190">
        <v>0.97490069999999995</v>
      </c>
      <c r="AA84" s="62">
        <v>0.97439405000000001</v>
      </c>
      <c r="AB84" s="62">
        <v>3.4235729999999999E-2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0.83568400000000054</v>
      </c>
      <c r="AN84" s="122">
        <f t="shared" si="5"/>
        <v>1.2338540000000009</v>
      </c>
      <c r="AO84" s="122">
        <f t="shared" si="6"/>
        <v>-1.1973500000000969E-3</v>
      </c>
      <c r="AP84" s="122">
        <f t="shared" si="7"/>
        <v>-1.9453000000002607E-4</v>
      </c>
      <c r="AQ84" s="88">
        <f t="shared" si="8"/>
        <v>-6.7869700000000033E-3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36.345137000000001</v>
      </c>
      <c r="Y85" s="190">
        <v>40.322878000000003</v>
      </c>
      <c r="Z85" s="190">
        <v>0.98756971000000005</v>
      </c>
      <c r="AA85" s="62">
        <v>0.99060901999999995</v>
      </c>
      <c r="AB85" s="62">
        <v>1.6878623999999998E-2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1.3496379999999988</v>
      </c>
      <c r="AN85" s="122">
        <f t="shared" si="5"/>
        <v>1.1913610000000006</v>
      </c>
      <c r="AO85" s="122">
        <f t="shared" si="6"/>
        <v>-1.0052899999999365E-3</v>
      </c>
      <c r="AP85" s="122">
        <f t="shared" si="7"/>
        <v>-5.1627000000009637E-4</v>
      </c>
      <c r="AQ85" s="88">
        <f t="shared" si="8"/>
        <v>-6.8894580000000011E-3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39.198132999999999</v>
      </c>
      <c r="Y86" s="190">
        <v>42.865004999999996</v>
      </c>
      <c r="Z86" s="190">
        <v>0.99201726000000001</v>
      </c>
      <c r="AA86" s="62">
        <v>0.99580721999999999</v>
      </c>
      <c r="AB86" s="62">
        <v>1.0270033E-2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1.3792580000000001</v>
      </c>
      <c r="AN86" s="122">
        <f t="shared" si="5"/>
        <v>0.99142799999999909</v>
      </c>
      <c r="AO86" s="122">
        <f t="shared" si="6"/>
        <v>-9.6370999999995099E-4</v>
      </c>
      <c r="AP86" s="122">
        <f t="shared" si="7"/>
        <v>1.2226000000004067E-4</v>
      </c>
      <c r="AQ86" s="88">
        <f t="shared" si="8"/>
        <v>-6.5097210000000013E-3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27.520081999999999</v>
      </c>
      <c r="Y88" s="97">
        <v>33.734606999999997</v>
      </c>
      <c r="Z88" s="97">
        <v>0.9569588</v>
      </c>
      <c r="AA88" s="60">
        <v>0.95502105000000004</v>
      </c>
      <c r="AB88" s="60">
        <v>5.8009360000000003E-2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0.44988499999999831</v>
      </c>
      <c r="AN88" s="96">
        <f t="shared" si="5"/>
        <v>1.3269869999999955</v>
      </c>
      <c r="AO88" s="96">
        <f t="shared" si="6"/>
        <v>-7.5749000000002731E-4</v>
      </c>
      <c r="AP88" s="96">
        <f t="shared" si="7"/>
        <v>3.4749000000000585E-4</v>
      </c>
      <c r="AQ88" s="121">
        <f t="shared" si="8"/>
        <v>-8.6738399999999952E-3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31.564834000000001</v>
      </c>
      <c r="Y89" s="190">
        <v>36.699373999999999</v>
      </c>
      <c r="Z89" s="190">
        <v>0.97557853000000005</v>
      </c>
      <c r="AA89" s="62">
        <v>0.97325335000000002</v>
      </c>
      <c r="AB89" s="62">
        <v>3.1795770000000001E-2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0.97640200000000021</v>
      </c>
      <c r="AN89" s="122">
        <f t="shared" si="5"/>
        <v>1.3538530000000009</v>
      </c>
      <c r="AO89" s="122">
        <f t="shared" si="6"/>
        <v>-6.6577999999994919E-4</v>
      </c>
      <c r="AP89" s="122">
        <f t="shared" si="7"/>
        <v>1.3998000000003952E-4</v>
      </c>
      <c r="AQ89" s="88">
        <f t="shared" si="8"/>
        <v>-8.1322679999999981E-3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36.772888000000002</v>
      </c>
      <c r="Y90" s="190">
        <v>40.686227000000002</v>
      </c>
      <c r="Z90" s="190">
        <v>0.98795489000000003</v>
      </c>
      <c r="AA90" s="62">
        <v>0.99049527000000004</v>
      </c>
      <c r="AB90" s="62">
        <v>1.5819361000000001E-2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1.6456429999999997</v>
      </c>
      <c r="AN90" s="122">
        <f t="shared" si="5"/>
        <v>1.4117050000000049</v>
      </c>
      <c r="AO90" s="122">
        <f t="shared" si="6"/>
        <v>-5.7670999999992478E-4</v>
      </c>
      <c r="AP90" s="122">
        <f t="shared" si="7"/>
        <v>-2.2219999999995022E-4</v>
      </c>
      <c r="AQ90" s="88">
        <f t="shared" si="8"/>
        <v>-7.7768070000000002E-3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39.868563000000002</v>
      </c>
      <c r="Y91" s="190">
        <v>43.404259000000003</v>
      </c>
      <c r="Z91" s="190">
        <v>0.99233249999999995</v>
      </c>
      <c r="AA91" s="62">
        <v>0.99610865000000004</v>
      </c>
      <c r="AB91" s="62">
        <v>9.3705330000000003E-3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1.9553050000000027</v>
      </c>
      <c r="AN91" s="122">
        <f t="shared" si="5"/>
        <v>1.4122860000000017</v>
      </c>
      <c r="AO91" s="122">
        <f t="shared" si="6"/>
        <v>-5.6529000000005158E-4</v>
      </c>
      <c r="AP91" s="122">
        <f t="shared" si="7"/>
        <v>6.5314000000005201E-4</v>
      </c>
      <c r="AQ91" s="88">
        <f t="shared" si="8"/>
        <v>-7.324942000000001E-3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27.655632000000001</v>
      </c>
      <c r="Y93" s="97">
        <v>33.817633999999998</v>
      </c>
      <c r="Z93" s="97">
        <v>0.95783499999999999</v>
      </c>
      <c r="AA93" s="60">
        <v>0.95420305000000005</v>
      </c>
      <c r="AB93" s="60">
        <v>5.5174029999999999E-2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0.4258570000000006</v>
      </c>
      <c r="AN93" s="96">
        <f t="shared" si="5"/>
        <v>1.2865409999999997</v>
      </c>
      <c r="AO93" s="96">
        <f t="shared" si="6"/>
        <v>-7.41140000000029E-4</v>
      </c>
      <c r="AP93" s="96">
        <f t="shared" si="7"/>
        <v>8.123700000000067E-4</v>
      </c>
      <c r="AQ93" s="121">
        <f t="shared" si="8"/>
        <v>-8.3385400000000054E-3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31.707711</v>
      </c>
      <c r="Y94" s="190">
        <v>36.766635999999998</v>
      </c>
      <c r="Z94" s="190">
        <v>0.97594738000000003</v>
      </c>
      <c r="AA94" s="62">
        <v>0.97375634</v>
      </c>
      <c r="AB94" s="62">
        <v>3.0278065999999999E-2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1.0183019999999985</v>
      </c>
      <c r="AN94" s="122">
        <f t="shared" si="5"/>
        <v>1.3546449999999979</v>
      </c>
      <c r="AO94" s="122">
        <f t="shared" si="6"/>
        <v>-6.2653999999995325E-4</v>
      </c>
      <c r="AP94" s="122">
        <f t="shared" si="7"/>
        <v>2.4405100000000068E-3</v>
      </c>
      <c r="AQ94" s="88">
        <f t="shared" si="8"/>
        <v>-7.8023880000000004E-3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36.964607999999998</v>
      </c>
      <c r="Y95" s="190">
        <v>40.821744000000002</v>
      </c>
      <c r="Z95" s="190">
        <v>0.98805220000000005</v>
      </c>
      <c r="AA95" s="62">
        <v>0.99010975000000001</v>
      </c>
      <c r="AB95" s="62">
        <v>1.5372686E-2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1.635117000000001</v>
      </c>
      <c r="AN95" s="122">
        <f t="shared" si="5"/>
        <v>1.3677100000000024</v>
      </c>
      <c r="AO95" s="122">
        <f t="shared" si="6"/>
        <v>-5.9995999999995497E-4</v>
      </c>
      <c r="AP95" s="122">
        <f t="shared" si="7"/>
        <v>-2.8359999999949537E-5</v>
      </c>
      <c r="AQ95" s="88">
        <f t="shared" si="8"/>
        <v>-7.1931689999999993E-3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40.014633000000003</v>
      </c>
      <c r="Y96" s="190">
        <v>43.513548</v>
      </c>
      <c r="Z96" s="190">
        <v>0.99230576999999998</v>
      </c>
      <c r="AA96" s="62">
        <v>0.99613794</v>
      </c>
      <c r="AB96" s="62">
        <v>9.140469E-3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1.9334720000000019</v>
      </c>
      <c r="AN96" s="122">
        <f t="shared" si="5"/>
        <v>1.3635379999999984</v>
      </c>
      <c r="AO96" s="122">
        <f t="shared" si="6"/>
        <v>-6.2435999999999048E-4</v>
      </c>
      <c r="AP96" s="122">
        <f t="shared" si="7"/>
        <v>9.7601000000002713E-4</v>
      </c>
      <c r="AQ96" s="88">
        <f t="shared" si="8"/>
        <v>-6.8639330000000009E-3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27.813662000000001</v>
      </c>
      <c r="Y98" s="97">
        <v>33.931299000000003</v>
      </c>
      <c r="Z98" s="97">
        <v>0.95804199999999995</v>
      </c>
      <c r="AA98" s="60">
        <v>0.95566733000000004</v>
      </c>
      <c r="AB98" s="60">
        <v>5.5511955000000002E-2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0.41384700000000052</v>
      </c>
      <c r="AN98" s="96">
        <f t="shared" si="15"/>
        <v>1.2694050000000061</v>
      </c>
      <c r="AO98" s="96">
        <f t="shared" si="16"/>
        <v>-6.8163000000009966E-4</v>
      </c>
      <c r="AP98" s="96">
        <f t="shared" si="17"/>
        <v>9.7309000000000978E-4</v>
      </c>
      <c r="AQ98" s="121">
        <f t="shared" si="18"/>
        <v>-7.8621690000000022E-3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31.673081</v>
      </c>
      <c r="Y99" s="190">
        <v>36.777290999999998</v>
      </c>
      <c r="Z99" s="190">
        <v>0.97589972000000003</v>
      </c>
      <c r="AA99" s="62">
        <v>0.97226014999999999</v>
      </c>
      <c r="AB99" s="62">
        <v>3.0924592000000001E-2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1.0221610000000005</v>
      </c>
      <c r="AN99" s="122">
        <f t="shared" si="15"/>
        <v>1.3843120000000013</v>
      </c>
      <c r="AO99" s="122">
        <f t="shared" si="16"/>
        <v>-5.8932000000000428E-4</v>
      </c>
      <c r="AP99" s="122">
        <f t="shared" si="17"/>
        <v>3.9343999999996715E-4</v>
      </c>
      <c r="AQ99" s="88">
        <f t="shared" si="18"/>
        <v>-7.749434999999999E-3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36.899814999999997</v>
      </c>
      <c r="Y100" s="190">
        <v>40.799725000000002</v>
      </c>
      <c r="Z100" s="190">
        <v>0.98800449999999995</v>
      </c>
      <c r="AA100" s="62">
        <v>0.99017411</v>
      </c>
      <c r="AB100" s="62">
        <v>1.5935959999999999E-2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1.6737059999999957</v>
      </c>
      <c r="AN100" s="122">
        <f t="shared" si="15"/>
        <v>1.4224810000000048</v>
      </c>
      <c r="AO100" s="122">
        <f t="shared" si="16"/>
        <v>-5.6523000000008317E-4</v>
      </c>
      <c r="AP100" s="122">
        <f t="shared" si="17"/>
        <v>6.5850000000033937E-5</v>
      </c>
      <c r="AQ100" s="88">
        <f t="shared" si="18"/>
        <v>-7.3655130000000006E-3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39.967379000000001</v>
      </c>
      <c r="Y101" s="190">
        <v>43.506664999999998</v>
      </c>
      <c r="Z101" s="190">
        <v>0.99227794999999996</v>
      </c>
      <c r="AA101" s="62">
        <v>0.99615385999999995</v>
      </c>
      <c r="AB101" s="62">
        <v>9.6874260000000007E-3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1.9383839999999992</v>
      </c>
      <c r="AN101" s="122">
        <f t="shared" si="15"/>
        <v>1.3989029999999971</v>
      </c>
      <c r="AO101" s="122">
        <f t="shared" si="16"/>
        <v>-5.8038000000004697E-4</v>
      </c>
      <c r="AP101" s="122">
        <f t="shared" si="17"/>
        <v>8.5318999999994816E-4</v>
      </c>
      <c r="AQ101" s="88">
        <f t="shared" si="18"/>
        <v>-6.7035979999999998E-3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27.600612000000002</v>
      </c>
      <c r="Y103" s="97">
        <v>33.321299000000003</v>
      </c>
      <c r="Z103" s="97">
        <v>0.95565889999999998</v>
      </c>
      <c r="AA103" s="60">
        <v>0.95556525999999997</v>
      </c>
      <c r="AB103" s="60">
        <v>5.851286E-2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0.21839000000000297</v>
      </c>
      <c r="AN103" s="96">
        <f t="shared" si="15"/>
        <v>0.85369700000000392</v>
      </c>
      <c r="AO103" s="96">
        <f t="shared" si="16"/>
        <v>-1.2193799999999921E-3</v>
      </c>
      <c r="AP103" s="96">
        <f t="shared" si="17"/>
        <v>2.8916999999994975E-4</v>
      </c>
      <c r="AQ103" s="121">
        <f t="shared" si="18"/>
        <v>-6.8541460000000054E-3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31.249144999999999</v>
      </c>
      <c r="Y104" s="190">
        <v>36.116321999999997</v>
      </c>
      <c r="Z104" s="190">
        <v>0.97463336</v>
      </c>
      <c r="AA104" s="62">
        <v>0.97279928999999998</v>
      </c>
      <c r="AB104" s="62">
        <v>3.3235855000000002E-2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0.75583899999999815</v>
      </c>
      <c r="AN104" s="122">
        <f t="shared" si="15"/>
        <v>0.98382399999999848</v>
      </c>
      <c r="AO104" s="122">
        <f t="shared" si="16"/>
        <v>-1.0478000000000431E-3</v>
      </c>
      <c r="AP104" s="122">
        <f t="shared" si="17"/>
        <v>-1.3660000000026429E-5</v>
      </c>
      <c r="AQ104" s="88">
        <f t="shared" si="18"/>
        <v>-6.9785979999999956E-3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35.887405000000001</v>
      </c>
      <c r="Y105" s="190">
        <v>39.847287999999999</v>
      </c>
      <c r="Z105" s="190">
        <v>0.98683255000000003</v>
      </c>
      <c r="AA105" s="62">
        <v>0.98951833</v>
      </c>
      <c r="AB105" s="62">
        <v>1.7720594999999999E-2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0.96632400000000018</v>
      </c>
      <c r="AN105" s="122">
        <f t="shared" si="15"/>
        <v>0.80696499999999816</v>
      </c>
      <c r="AO105" s="122">
        <f t="shared" si="16"/>
        <v>-1.0739899999999691E-3</v>
      </c>
      <c r="AP105" s="122">
        <f t="shared" si="17"/>
        <v>-4.6696000000001625E-4</v>
      </c>
      <c r="AQ105" s="88">
        <f t="shared" si="18"/>
        <v>-6.5515350000000007E-3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38.508253000000003</v>
      </c>
      <c r="Y106" s="190">
        <v>42.237200999999999</v>
      </c>
      <c r="Z106" s="190">
        <v>0.99136970999999996</v>
      </c>
      <c r="AA106" s="62">
        <v>0.99541827999999999</v>
      </c>
      <c r="AB106" s="62">
        <v>1.1120298000000001E-2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0.74558300000000344</v>
      </c>
      <c r="AN106" s="122">
        <f t="shared" si="15"/>
        <v>0.42833999999999861</v>
      </c>
      <c r="AO106" s="122">
        <f t="shared" si="16"/>
        <v>-1.0635100000000453E-3</v>
      </c>
      <c r="AP106" s="122">
        <f t="shared" si="17"/>
        <v>2.094999999999736E-4</v>
      </c>
      <c r="AQ106" s="88">
        <f t="shared" si="18"/>
        <v>-5.8777959999999976E-3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27.103041999999999</v>
      </c>
      <c r="Y641" s="136">
        <f t="shared" si="60"/>
        <v>33.194223999999998</v>
      </c>
      <c r="Z641" s="136">
        <f t="shared" si="60"/>
        <v>0.95504728999999999</v>
      </c>
      <c r="AA641" s="136">
        <f t="shared" si="60"/>
        <v>0.95252718999999997</v>
      </c>
      <c r="AB641" s="136">
        <f t="shared" si="60"/>
        <v>5.3646966999999997E-2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31.193615000000001</v>
      </c>
      <c r="Y642" s="18">
        <f t="shared" si="60"/>
        <v>35.988970999999999</v>
      </c>
      <c r="Z642" s="18">
        <f t="shared" si="60"/>
        <v>0.97332693999999997</v>
      </c>
      <c r="AA642" s="18">
        <f t="shared" si="60"/>
        <v>0.97226014999999999</v>
      </c>
      <c r="AB642" s="18">
        <f t="shared" si="60"/>
        <v>3.0278065999999999E-2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35.887405000000001</v>
      </c>
      <c r="Y643" s="18">
        <f t="shared" si="60"/>
        <v>39.847287999999999</v>
      </c>
      <c r="Z643" s="18">
        <f t="shared" si="60"/>
        <v>0.98643528000000003</v>
      </c>
      <c r="AA643" s="18">
        <f t="shared" si="60"/>
        <v>0.98951833</v>
      </c>
      <c r="AB643" s="18">
        <f t="shared" si="60"/>
        <v>1.537003E-2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38.508253000000003</v>
      </c>
      <c r="Y644" s="18">
        <f t="shared" si="60"/>
        <v>42.237200999999999</v>
      </c>
      <c r="Z644" s="18">
        <f t="shared" si="60"/>
        <v>0.99085272999999996</v>
      </c>
      <c r="AA644" s="18">
        <f t="shared" si="60"/>
        <v>0.99541827999999999</v>
      </c>
      <c r="AB644" s="18">
        <f t="shared" si="60"/>
        <v>9.1246525000000002E-3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28.041530999999999</v>
      </c>
      <c r="Y646" s="136">
        <f t="shared" si="62"/>
        <v>33.989384000000001</v>
      </c>
      <c r="Z646" s="136">
        <f t="shared" si="62"/>
        <v>0.95943195999999997</v>
      </c>
      <c r="AA646" s="136">
        <f t="shared" si="62"/>
        <v>0.95745798999999998</v>
      </c>
      <c r="AB646" s="136">
        <f t="shared" si="62"/>
        <v>6.2922320000000004E-2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31.779171000000002</v>
      </c>
      <c r="Y647" s="18">
        <f t="shared" si="62"/>
        <v>36.878109000000002</v>
      </c>
      <c r="Z647" s="18">
        <f t="shared" si="62"/>
        <v>0.97618486000000004</v>
      </c>
      <c r="AA647" s="18">
        <f t="shared" si="62"/>
        <v>0.97618437000000002</v>
      </c>
      <c r="AB647" s="18">
        <f t="shared" si="62"/>
        <v>3.7428780000000002E-2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37.158580999999998</v>
      </c>
      <c r="Y648" s="18">
        <f t="shared" si="62"/>
        <v>40.960019000000003</v>
      </c>
      <c r="Z648" s="18">
        <f t="shared" si="62"/>
        <v>0.98823375999999996</v>
      </c>
      <c r="AA648" s="18">
        <f t="shared" si="62"/>
        <v>0.99085515000000002</v>
      </c>
      <c r="AB648" s="18">
        <f t="shared" si="62"/>
        <v>2.0507669999999999E-2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40.243029</v>
      </c>
      <c r="Y649" s="18">
        <f t="shared" si="62"/>
        <v>43.703474999999997</v>
      </c>
      <c r="Z649" s="18">
        <f t="shared" si="62"/>
        <v>0.99245437000000003</v>
      </c>
      <c r="AA649" s="18">
        <f t="shared" si="62"/>
        <v>0.99617867999999998</v>
      </c>
      <c r="AB649" s="18">
        <f t="shared" si="62"/>
        <v>1.3392734999999999E-2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0.93848900000000057</v>
      </c>
      <c r="Y651" s="136">
        <f t="shared" si="64"/>
        <v>0.79516000000000275</v>
      </c>
      <c r="Z651" s="136">
        <f t="shared" si="64"/>
        <v>4.3846699999999794E-3</v>
      </c>
      <c r="AA651" s="136">
        <f t="shared" si="64"/>
        <v>4.930800000000013E-3</v>
      </c>
      <c r="AB651" s="136">
        <f t="shared" si="64"/>
        <v>9.275353000000007E-3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0.58555600000000041</v>
      </c>
      <c r="Y652" s="18">
        <f t="shared" si="64"/>
        <v>0.88913800000000265</v>
      </c>
      <c r="Z652" s="18">
        <f t="shared" si="64"/>
        <v>2.8579200000000693E-3</v>
      </c>
      <c r="AA652" s="18">
        <f t="shared" si="64"/>
        <v>3.9242200000000338E-3</v>
      </c>
      <c r="AB652" s="18">
        <f t="shared" si="64"/>
        <v>7.1507140000000025E-3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1.271175999999997</v>
      </c>
      <c r="Y653" s="18">
        <f t="shared" si="64"/>
        <v>1.1127310000000037</v>
      </c>
      <c r="Z653" s="18">
        <f t="shared" si="64"/>
        <v>1.7984799999999357E-3</v>
      </c>
      <c r="AA653" s="18">
        <f t="shared" si="64"/>
        <v>1.3368200000000163E-3</v>
      </c>
      <c r="AB653" s="18">
        <f t="shared" si="64"/>
        <v>5.1376399999999989E-3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1.7347759999999965</v>
      </c>
      <c r="Y654" s="18">
        <f t="shared" si="64"/>
        <v>1.4662739999999985</v>
      </c>
      <c r="Z654" s="18">
        <f t="shared" si="64"/>
        <v>1.6016400000000708E-3</v>
      </c>
      <c r="AA654" s="18">
        <f t="shared" si="64"/>
        <v>7.6039999999999441E-4</v>
      </c>
      <c r="AB654" s="18">
        <f t="shared" si="64"/>
        <v>4.2680824999999992E-3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36804.712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27.627274400000001</v>
      </c>
      <c r="Y5" s="30">
        <f t="shared" si="2"/>
        <v>33.642301799999998</v>
      </c>
      <c r="Z5" s="30">
        <f t="shared" si="2"/>
        <v>0.95651238800000005</v>
      </c>
      <c r="AA5" s="91">
        <f t="shared" si="2"/>
        <v>0.95514014866666674</v>
      </c>
      <c r="AB5" s="91">
        <f t="shared" si="2"/>
        <v>5.8698954666666671E-2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-0.12028521680903559</v>
      </c>
      <c r="AN5" s="245">
        <f>bdrate($E5:$E8,G5:G8,$W5:$W8,Y5:Y8)</f>
        <v>-0.15264362539884435</v>
      </c>
      <c r="AO5" s="245">
        <f>bdrate($E5:$E8,H5:H8,$W5:$W8,Z5:Z8)</f>
        <v>-1.0528896774732899E-2</v>
      </c>
      <c r="AP5" s="245">
        <f>bdrate($E5:$E8,I5:I8,$W5:$W8,AA5:AA8)</f>
        <v>-4.6649386128100434E-2</v>
      </c>
      <c r="AQ5" s="246">
        <f>bdrateInverted($E5:$E8,J5:J8,$W5:$W8,AB5:AB8)</f>
        <v>-0.17634617576625411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53208.232000000011</v>
      </c>
      <c r="X6" s="91">
        <f t="shared" si="2"/>
        <v>31.604472466666664</v>
      </c>
      <c r="Y6" s="91">
        <f t="shared" si="2"/>
        <v>36.521085599999999</v>
      </c>
      <c r="Z6" s="91">
        <f t="shared" si="2"/>
        <v>0.97445972199999997</v>
      </c>
      <c r="AA6" s="91">
        <f t="shared" si="2"/>
        <v>0.9738253733333333</v>
      </c>
      <c r="AB6" s="91">
        <f t="shared" si="2"/>
        <v>3.4032391666666668E-2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77353.151999999987</v>
      </c>
      <c r="X7" s="91">
        <f t="shared" si="2"/>
        <v>36.592307933333331</v>
      </c>
      <c r="Y7" s="91">
        <f t="shared" si="2"/>
        <v>40.420502066666664</v>
      </c>
      <c r="Z7" s="91">
        <f t="shared" si="2"/>
        <v>0.98700047400000002</v>
      </c>
      <c r="AA7" s="91">
        <f t="shared" si="2"/>
        <v>0.99000022200000004</v>
      </c>
      <c r="AB7" s="91">
        <f t="shared" si="2"/>
        <v>1.7721277733333332E-2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110218.584</v>
      </c>
      <c r="X8" s="91">
        <f t="shared" si="2"/>
        <v>39.449368133333337</v>
      </c>
      <c r="Y8" s="91">
        <f t="shared" si="2"/>
        <v>43.029639333333336</v>
      </c>
      <c r="Z8" s="91">
        <f t="shared" si="2"/>
        <v>0.99135368866666662</v>
      </c>
      <c r="AA8" s="91">
        <f t="shared" si="2"/>
        <v>0.99580271466666681</v>
      </c>
      <c r="AB8" s="91">
        <f t="shared" si="2"/>
        <v>1.1306130100000001E-2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7153.4160000000002</v>
      </c>
      <c r="Y16" s="167">
        <v>2042.232</v>
      </c>
      <c r="Z16" s="167">
        <v>475.38400000000001</v>
      </c>
      <c r="AA16" s="167">
        <v>89.048000000000002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9431.2160000000003</v>
      </c>
      <c r="Y17" s="168">
        <v>6324.9440000000004</v>
      </c>
      <c r="Z17" s="168">
        <v>3024.5039999999999</v>
      </c>
      <c r="AA17" s="168">
        <v>1055.864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11769.8</v>
      </c>
      <c r="Y18" s="168">
        <v>11998.664000000001</v>
      </c>
      <c r="Z18" s="168">
        <v>8271.0879999999997</v>
      </c>
      <c r="AA18" s="168">
        <v>5369.6880000000001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13995.472</v>
      </c>
      <c r="Y19" s="168">
        <v>18181.36</v>
      </c>
      <c r="Z19" s="168">
        <v>16371.896000000001</v>
      </c>
      <c r="AA19" s="168">
        <v>14898.608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36804.712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53208.232000000011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77353.151999999987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110218.584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27.148648999999999</v>
      </c>
      <c r="Y33" s="97">
        <v>33.187545</v>
      </c>
      <c r="Z33" s="97">
        <v>0.95612682999999998</v>
      </c>
      <c r="AA33" s="60">
        <v>0.95233599000000002</v>
      </c>
      <c r="AB33" s="60">
        <v>6.2602340000000006E-2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0.32593999999999923</v>
      </c>
      <c r="AN33" s="96">
        <f t="shared" ref="AN33:AN96" si="5">IF(OR(Y33="",G33=""),"",Y33-G33)</f>
        <v>1.2932710000000007</v>
      </c>
      <c r="AO33" s="96">
        <f t="shared" ref="AO33:AO96" si="6">IF(OR(Z33="",H33=""),"",Z33-H33)</f>
        <v>-2.1760000000003998E-4</v>
      </c>
      <c r="AP33" s="96">
        <f t="shared" ref="AP33:AP96" si="7">IF(OR(AA33="",I33=""),"",AA33-I33)</f>
        <v>2.5920799999999966E-3</v>
      </c>
      <c r="AQ33" s="121">
        <f t="shared" ref="AQ33:AQ96" si="8">IF(OR(AB33="",J33=""),"",AB33-J33)</f>
        <v>-1.0559429999999995E-2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31.438669999999998</v>
      </c>
      <c r="Y34" s="190">
        <v>36.243554000000003</v>
      </c>
      <c r="Z34" s="190">
        <v>0.97445987000000001</v>
      </c>
      <c r="AA34" s="62">
        <v>0.97226095999999995</v>
      </c>
      <c r="AB34" s="62">
        <v>3.6777746E-2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0.71999299999999877</v>
      </c>
      <c r="AN34" s="122">
        <f t="shared" si="5"/>
        <v>1.137789000000005</v>
      </c>
      <c r="AO34" s="122">
        <f t="shared" si="6"/>
        <v>-4.7410999999997205E-4</v>
      </c>
      <c r="AP34" s="122">
        <f t="shared" si="7"/>
        <v>-3.4778000000001974E-4</v>
      </c>
      <c r="AQ34" s="88">
        <f t="shared" si="8"/>
        <v>-8.2259660000000012E-3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36.578884000000002</v>
      </c>
      <c r="Y35" s="190">
        <v>40.332216000000003</v>
      </c>
      <c r="Z35" s="190">
        <v>0.98703551</v>
      </c>
      <c r="AA35" s="62">
        <v>0.98991872000000003</v>
      </c>
      <c r="AB35" s="62">
        <v>1.9601892999999999E-2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1.370550999999999</v>
      </c>
      <c r="AN35" s="122">
        <f t="shared" si="5"/>
        <v>1.0595670000000013</v>
      </c>
      <c r="AO35" s="122">
        <f t="shared" si="6"/>
        <v>-3.6594999999994826E-4</v>
      </c>
      <c r="AP35" s="122">
        <f t="shared" si="7"/>
        <v>-8.7149999999924788E-5</v>
      </c>
      <c r="AQ35" s="88">
        <f t="shared" si="8"/>
        <v>-6.9373790000000005E-3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39.723948</v>
      </c>
      <c r="Y36" s="190">
        <v>43.233404999999998</v>
      </c>
      <c r="Z36" s="190">
        <v>0.99147532999999999</v>
      </c>
      <c r="AA36" s="62">
        <v>0.99586430999999997</v>
      </c>
      <c r="AB36" s="62">
        <v>1.1660657E-2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1.9021449999999973</v>
      </c>
      <c r="AN36" s="122">
        <f t="shared" si="5"/>
        <v>1.3218439999999987</v>
      </c>
      <c r="AO36" s="122">
        <f t="shared" si="6"/>
        <v>-3.6491999999999081E-4</v>
      </c>
      <c r="AP36" s="122">
        <f t="shared" si="7"/>
        <v>6.5037999999995044E-4</v>
      </c>
      <c r="AQ36" s="88">
        <f t="shared" si="8"/>
        <v>-6.8143470000000001E-3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27.587173</v>
      </c>
      <c r="Y38" s="97">
        <v>33.528357999999997</v>
      </c>
      <c r="Z38" s="97">
        <v>0.95708274000000004</v>
      </c>
      <c r="AA38" s="60">
        <v>0.95444863000000002</v>
      </c>
      <c r="AB38" s="60">
        <v>5.9552399999999998E-2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0.43214299999999994</v>
      </c>
      <c r="AN38" s="96">
        <f t="shared" si="5"/>
        <v>1.3217889999999954</v>
      </c>
      <c r="AO38" s="96">
        <f t="shared" si="6"/>
        <v>-2.2051999999994631E-4</v>
      </c>
      <c r="AP38" s="96">
        <f t="shared" si="7"/>
        <v>1.7768400000000018E-3</v>
      </c>
      <c r="AQ38" s="121">
        <f t="shared" si="8"/>
        <v>-1.0836690000000003E-2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31.541013</v>
      </c>
      <c r="Y39" s="190">
        <v>36.338470000000001</v>
      </c>
      <c r="Z39" s="190">
        <v>0.97459298999999999</v>
      </c>
      <c r="AA39" s="62">
        <v>0.97290317000000004</v>
      </c>
      <c r="AB39" s="62">
        <v>3.5591282000000002E-2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0.87044999999999817</v>
      </c>
      <c r="AN39" s="122">
        <f t="shared" si="5"/>
        <v>1.2544210000000007</v>
      </c>
      <c r="AO39" s="122">
        <f t="shared" si="6"/>
        <v>-3.3285000000005116E-4</v>
      </c>
      <c r="AP39" s="122">
        <f t="shared" si="7"/>
        <v>-1.0573999999996531E-4</v>
      </c>
      <c r="AQ39" s="88">
        <f t="shared" si="8"/>
        <v>-8.7751819999999994E-3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36.661437999999997</v>
      </c>
      <c r="Y40" s="190">
        <v>40.407556999999997</v>
      </c>
      <c r="Z40" s="190">
        <v>0.98686377999999997</v>
      </c>
      <c r="AA40" s="62">
        <v>0.99035835999999999</v>
      </c>
      <c r="AB40" s="62">
        <v>1.9007273000000002E-2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1.5792229999999989</v>
      </c>
      <c r="AN40" s="122">
        <f t="shared" si="5"/>
        <v>1.2325079999999957</v>
      </c>
      <c r="AO40" s="122">
        <f t="shared" si="6"/>
        <v>-3.5029000000008637E-4</v>
      </c>
      <c r="AP40" s="122">
        <f t="shared" si="7"/>
        <v>-5.3709999999984603E-5</v>
      </c>
      <c r="AQ40" s="88">
        <f t="shared" si="8"/>
        <v>-7.9762189999999997E-3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39.658254999999997</v>
      </c>
      <c r="Y41" s="190">
        <v>43.195625</v>
      </c>
      <c r="Z41" s="190">
        <v>0.99118996999999998</v>
      </c>
      <c r="AA41" s="62">
        <v>0.99583935999999995</v>
      </c>
      <c r="AB41" s="62">
        <v>1.176424E-2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2.0942319999999981</v>
      </c>
      <c r="AN41" s="122">
        <f t="shared" si="5"/>
        <v>1.5220920000000007</v>
      </c>
      <c r="AO41" s="122">
        <f t="shared" si="6"/>
        <v>-3.5985999999998963E-4</v>
      </c>
      <c r="AP41" s="122">
        <f t="shared" si="7"/>
        <v>6.6443999999998837E-4</v>
      </c>
      <c r="AQ41" s="88">
        <f t="shared" si="8"/>
        <v>-7.6276099999999982E-3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27.808423999999999</v>
      </c>
      <c r="Y43" s="97">
        <v>33.649695999999999</v>
      </c>
      <c r="Z43" s="97">
        <v>0.95718475000000003</v>
      </c>
      <c r="AA43" s="60">
        <v>0.95540957000000004</v>
      </c>
      <c r="AB43" s="60">
        <v>5.5992476999999999E-2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0.41249699999999834</v>
      </c>
      <c r="AN43" s="96">
        <f t="shared" si="5"/>
        <v>1.2233949999999965</v>
      </c>
      <c r="AO43" s="96">
        <f t="shared" si="6"/>
        <v>-3.6837000000000675E-4</v>
      </c>
      <c r="AP43" s="96">
        <f t="shared" si="7"/>
        <v>4.2576000000005276E-4</v>
      </c>
      <c r="AQ43" s="121">
        <f t="shared" si="8"/>
        <v>-9.484962999999999E-3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31.599959999999999</v>
      </c>
      <c r="Y44" s="190">
        <v>36.363295999999998</v>
      </c>
      <c r="Z44" s="190">
        <v>0.97424272999999995</v>
      </c>
      <c r="AA44" s="62">
        <v>0.97499186999999998</v>
      </c>
      <c r="AB44" s="62">
        <v>3.3301940000000002E-2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0.90220099999999803</v>
      </c>
      <c r="AN44" s="122">
        <f t="shared" si="5"/>
        <v>1.2488419999999962</v>
      </c>
      <c r="AO44" s="122">
        <f t="shared" si="6"/>
        <v>-3.1090000000000284E-4</v>
      </c>
      <c r="AP44" s="122">
        <f t="shared" si="7"/>
        <v>1.9743799999999423E-3</v>
      </c>
      <c r="AQ44" s="88">
        <f t="shared" si="8"/>
        <v>-7.9596470000000002E-3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36.755634000000001</v>
      </c>
      <c r="Y45" s="190">
        <v>40.461056999999997</v>
      </c>
      <c r="Z45" s="190">
        <v>0.98688120999999995</v>
      </c>
      <c r="AA45" s="62">
        <v>0.99068328999999999</v>
      </c>
      <c r="AB45" s="62">
        <v>1.7824309E-2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1.561829000000003</v>
      </c>
      <c r="AN45" s="122">
        <f t="shared" si="5"/>
        <v>1.2058569999999946</v>
      </c>
      <c r="AO45" s="122">
        <f t="shared" si="6"/>
        <v>-3.3984000000009118E-4</v>
      </c>
      <c r="AP45" s="122">
        <f t="shared" si="7"/>
        <v>2.9919000000000473E-4</v>
      </c>
      <c r="AQ45" s="88">
        <f t="shared" si="8"/>
        <v>-7.1105059999999991E-3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39.614942999999997</v>
      </c>
      <c r="Y46" s="190">
        <v>43.126292999999997</v>
      </c>
      <c r="Z46" s="190">
        <v>0.99123178999999995</v>
      </c>
      <c r="AA46" s="62">
        <v>0.99585672000000003</v>
      </c>
      <c r="AB46" s="62">
        <v>1.1183525999999999E-2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2.0127279999999956</v>
      </c>
      <c r="AN46" s="122">
        <f t="shared" si="5"/>
        <v>1.4354219999999955</v>
      </c>
      <c r="AO46" s="122">
        <f t="shared" si="6"/>
        <v>-3.6869999999999958E-4</v>
      </c>
      <c r="AP46" s="122">
        <f t="shared" si="7"/>
        <v>7.1921000000008117E-4</v>
      </c>
      <c r="AQ46" s="88">
        <f t="shared" si="8"/>
        <v>-6.8441189999999992E-3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27.81916</v>
      </c>
      <c r="Y48" s="97">
        <v>33.608749000000003</v>
      </c>
      <c r="Z48" s="97">
        <v>0.95740678000000001</v>
      </c>
      <c r="AA48" s="60">
        <v>0.95659742000000003</v>
      </c>
      <c r="AB48" s="60">
        <v>5.8012503999999999E-2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0.41307300000000069</v>
      </c>
      <c r="AN48" s="96">
        <f t="shared" si="5"/>
        <v>1.1818590000000029</v>
      </c>
      <c r="AO48" s="96">
        <f t="shared" si="6"/>
        <v>-3.6645000000001815E-4</v>
      </c>
      <c r="AP48" s="96">
        <f t="shared" si="7"/>
        <v>1.6336100000000631E-3</v>
      </c>
      <c r="AQ48" s="121">
        <f t="shared" si="8"/>
        <v>-9.1284659999999948E-3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31.372439</v>
      </c>
      <c r="Y49" s="190">
        <v>36.175693000000003</v>
      </c>
      <c r="Z49" s="190">
        <v>0.97362890999999996</v>
      </c>
      <c r="AA49" s="62">
        <v>0.97406300999999995</v>
      </c>
      <c r="AB49" s="62">
        <v>3.6048762999999998E-2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0.82117399999999918</v>
      </c>
      <c r="AN49" s="122">
        <f t="shared" si="5"/>
        <v>1.1968390000000042</v>
      </c>
      <c r="AO49" s="122">
        <f t="shared" si="6"/>
        <v>-4.5195000000008978E-4</v>
      </c>
      <c r="AP49" s="122">
        <f t="shared" si="7"/>
        <v>1.8838099999999303E-3</v>
      </c>
      <c r="AQ49" s="88">
        <f t="shared" si="8"/>
        <v>-7.5758430000000057E-3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36.631720000000001</v>
      </c>
      <c r="Y50" s="190">
        <v>40.363041000000003</v>
      </c>
      <c r="Z50" s="190">
        <v>0.98654478999999995</v>
      </c>
      <c r="AA50" s="62">
        <v>0.99031208999999998</v>
      </c>
      <c r="AB50" s="62">
        <v>1.9136488E-2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1.4160700000000048</v>
      </c>
      <c r="AN50" s="122">
        <f t="shared" si="5"/>
        <v>1.0988150000000019</v>
      </c>
      <c r="AO50" s="122">
        <f t="shared" si="6"/>
        <v>-4.5069000000008685E-4</v>
      </c>
      <c r="AP50" s="122">
        <f t="shared" si="7"/>
        <v>9.8240000000027194E-5</v>
      </c>
      <c r="AQ50" s="88">
        <f t="shared" si="8"/>
        <v>-6.9482259999999983E-3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39.391722000000001</v>
      </c>
      <c r="Y51" s="190">
        <v>42.933931999999999</v>
      </c>
      <c r="Z51" s="190">
        <v>0.99091854999999995</v>
      </c>
      <c r="AA51" s="62">
        <v>0.99576922000000001</v>
      </c>
      <c r="AB51" s="62">
        <v>1.2794686499999999E-2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1.8468450000000018</v>
      </c>
      <c r="AN51" s="122">
        <f t="shared" si="5"/>
        <v>1.3140390000000011</v>
      </c>
      <c r="AO51" s="122">
        <f t="shared" si="6"/>
        <v>-4.6976000000009677E-4</v>
      </c>
      <c r="AP51" s="122">
        <f t="shared" si="7"/>
        <v>6.9527999999996482E-4</v>
      </c>
      <c r="AQ51" s="88">
        <f t="shared" si="8"/>
        <v>-6.3848605000000024E-3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27.889562999999999</v>
      </c>
      <c r="Y53" s="97">
        <v>33.515473999999998</v>
      </c>
      <c r="Z53" s="97">
        <v>0.95521933999999997</v>
      </c>
      <c r="AA53" s="60">
        <v>0.95686510999999996</v>
      </c>
      <c r="AB53" s="60">
        <v>6.1844393999999997E-2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0.42771699999999768</v>
      </c>
      <c r="AN53" s="96">
        <f t="shared" si="5"/>
        <v>1.0971989999999963</v>
      </c>
      <c r="AO53" s="96">
        <f t="shared" si="6"/>
        <v>-6.3115000000002475E-4</v>
      </c>
      <c r="AP53" s="96">
        <f t="shared" si="7"/>
        <v>1.4720799999999867E-3</v>
      </c>
      <c r="AQ53" s="121">
        <f t="shared" si="8"/>
        <v>-9.1346159999999982E-3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31.321411000000001</v>
      </c>
      <c r="Y54" s="190">
        <v>36.030715000000001</v>
      </c>
      <c r="Z54" s="190">
        <v>0.97265995000000005</v>
      </c>
      <c r="AA54" s="62">
        <v>0.97434423000000003</v>
      </c>
      <c r="AB54" s="62">
        <v>3.8721899999999997E-2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0.78591100000000225</v>
      </c>
      <c r="AN54" s="122">
        <f t="shared" si="5"/>
        <v>1.088912999999998</v>
      </c>
      <c r="AO54" s="122">
        <f t="shared" si="6"/>
        <v>-5.9653999999997875E-4</v>
      </c>
      <c r="AP54" s="122">
        <f t="shared" si="7"/>
        <v>1.7585100000000464E-3</v>
      </c>
      <c r="AQ54" s="88">
        <f t="shared" si="8"/>
        <v>-7.1750850000000047E-3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36.226658</v>
      </c>
      <c r="Y55" s="190">
        <v>39.988612000000003</v>
      </c>
      <c r="Z55" s="190">
        <v>0.98579912999999997</v>
      </c>
      <c r="AA55" s="62">
        <v>0.98980526000000002</v>
      </c>
      <c r="AB55" s="62">
        <v>2.1211615E-2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1.2270439999999994</v>
      </c>
      <c r="AN55" s="122">
        <f t="shared" si="5"/>
        <v>0.95798700000000281</v>
      </c>
      <c r="AO55" s="122">
        <f t="shared" si="6"/>
        <v>-5.9514000000004952E-4</v>
      </c>
      <c r="AP55" s="122">
        <f t="shared" si="7"/>
        <v>-6.9729999999990078E-5</v>
      </c>
      <c r="AQ55" s="88">
        <f t="shared" si="8"/>
        <v>-6.6805750000000011E-3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38.764088999999998</v>
      </c>
      <c r="Y56" s="190">
        <v>42.362538000000001</v>
      </c>
      <c r="Z56" s="190">
        <v>0.99030200000000002</v>
      </c>
      <c r="AA56" s="62">
        <v>0.99542525999999998</v>
      </c>
      <c r="AB56" s="62">
        <v>1.4576043E-2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1.5165269999999964</v>
      </c>
      <c r="AN56" s="122">
        <f t="shared" si="5"/>
        <v>1.0681820000000002</v>
      </c>
      <c r="AO56" s="122">
        <f t="shared" si="6"/>
        <v>-6.2333999999997225E-4</v>
      </c>
      <c r="AP56" s="122">
        <f t="shared" si="7"/>
        <v>5.8254000000002026E-4</v>
      </c>
      <c r="AQ56" s="88">
        <f t="shared" si="8"/>
        <v>-6.0476949999999988E-3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27.351209000000001</v>
      </c>
      <c r="Y58" s="97">
        <v>33.599007</v>
      </c>
      <c r="Z58" s="97">
        <v>0.95640150000000002</v>
      </c>
      <c r="AA58" s="60">
        <v>0.95508727000000004</v>
      </c>
      <c r="AB58" s="60">
        <v>6.2065974000000003E-2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0.33529599999999959</v>
      </c>
      <c r="AN58" s="96">
        <f t="shared" si="5"/>
        <v>1.470165999999999</v>
      </c>
      <c r="AO58" s="96">
        <f t="shared" si="6"/>
        <v>-6.186599999999931E-4</v>
      </c>
      <c r="AP58" s="96">
        <f t="shared" si="7"/>
        <v>6.1213000000004403E-4</v>
      </c>
      <c r="AQ58" s="121">
        <f t="shared" si="8"/>
        <v>-1.1385706000000002E-2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31.792542999999998</v>
      </c>
      <c r="Y59" s="190">
        <v>36.795996000000002</v>
      </c>
      <c r="Z59" s="190">
        <v>0.97529995000000003</v>
      </c>
      <c r="AA59" s="62">
        <v>0.97568873</v>
      </c>
      <c r="AB59" s="62">
        <v>3.4103109999999999E-2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0.92120299999999844</v>
      </c>
      <c r="AN59" s="122">
        <f t="shared" si="5"/>
        <v>1.3916290000000018</v>
      </c>
      <c r="AO59" s="122">
        <f t="shared" si="6"/>
        <v>-4.47160000000002E-4</v>
      </c>
      <c r="AP59" s="122">
        <f t="shared" si="7"/>
        <v>1.2346399999999536E-3</v>
      </c>
      <c r="AQ59" s="88">
        <f t="shared" si="8"/>
        <v>-9.4348460000000037E-3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36.802033000000002</v>
      </c>
      <c r="Y60" s="190">
        <v>40.613925999999999</v>
      </c>
      <c r="Z60" s="190">
        <v>0.98779567999999995</v>
      </c>
      <c r="AA60" s="62">
        <v>0.99023618000000002</v>
      </c>
      <c r="AB60" s="62">
        <v>1.6929759999999999E-2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1.6171170000000004</v>
      </c>
      <c r="AN60" s="122">
        <f t="shared" si="5"/>
        <v>1.3148929999999979</v>
      </c>
      <c r="AO60" s="122">
        <f t="shared" si="6"/>
        <v>-3.8324000000000691E-4</v>
      </c>
      <c r="AP60" s="122">
        <f t="shared" si="7"/>
        <v>-3.0812999999996205E-4</v>
      </c>
      <c r="AQ60" s="88">
        <f t="shared" si="8"/>
        <v>-7.5973480000000003E-3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39.875601000000003</v>
      </c>
      <c r="Y61" s="190">
        <v>43.427373000000003</v>
      </c>
      <c r="Z61" s="190">
        <v>0.99205367</v>
      </c>
      <c r="AA61" s="62">
        <v>0.99609303999999999</v>
      </c>
      <c r="AB61" s="62">
        <v>1.0181668E-2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2.1268820000000019</v>
      </c>
      <c r="AN61" s="122">
        <f t="shared" si="5"/>
        <v>1.5712100000000007</v>
      </c>
      <c r="AO61" s="122">
        <f t="shared" si="6"/>
        <v>-4.0211999999995029E-4</v>
      </c>
      <c r="AP61" s="122">
        <f t="shared" si="7"/>
        <v>5.4480999999995117E-4</v>
      </c>
      <c r="AQ61" s="88">
        <f t="shared" si="8"/>
        <v>-7.5170169999999991E-3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27.590167999999998</v>
      </c>
      <c r="Y63" s="97">
        <v>33.806060000000002</v>
      </c>
      <c r="Z63" s="97">
        <v>0.95794703000000003</v>
      </c>
      <c r="AA63" s="60">
        <v>0.95442400000000005</v>
      </c>
      <c r="AB63" s="60">
        <v>5.6081100000000002E-2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0.44906599999999841</v>
      </c>
      <c r="AN63" s="96">
        <f t="shared" si="5"/>
        <v>1.4800400000000025</v>
      </c>
      <c r="AO63" s="96">
        <f t="shared" si="6"/>
        <v>-4.366000000000092E-5</v>
      </c>
      <c r="AP63" s="96">
        <f t="shared" si="7"/>
        <v>8.1732000000001026E-4</v>
      </c>
      <c r="AQ63" s="121">
        <f t="shared" si="8"/>
        <v>-1.1130439999999998E-2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31.760242999999999</v>
      </c>
      <c r="Y64" s="190">
        <v>36.803041999999998</v>
      </c>
      <c r="Z64" s="190">
        <v>0.97540230999999999</v>
      </c>
      <c r="AA64" s="62">
        <v>0.97357559000000005</v>
      </c>
      <c r="AB64" s="62">
        <v>3.2042827000000003E-2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0.99570199999999787</v>
      </c>
      <c r="AN64" s="122">
        <f t="shared" si="5"/>
        <v>1.4471509999999981</v>
      </c>
      <c r="AO64" s="122">
        <f t="shared" si="6"/>
        <v>-1.4528999999996461E-4</v>
      </c>
      <c r="AP64" s="122">
        <f t="shared" si="7"/>
        <v>2.1441500000000113E-3</v>
      </c>
      <c r="AQ64" s="88">
        <f t="shared" si="8"/>
        <v>-9.6112429999999985E-3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36.992127000000004</v>
      </c>
      <c r="Y65" s="190">
        <v>40.773705</v>
      </c>
      <c r="Z65" s="190">
        <v>0.98771193000000002</v>
      </c>
      <c r="AA65" s="62">
        <v>0.99018494999999995</v>
      </c>
      <c r="AB65" s="62">
        <v>1.5869188999999999E-2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1.7840890000000016</v>
      </c>
      <c r="AN65" s="122">
        <f t="shared" si="5"/>
        <v>1.4378450000000029</v>
      </c>
      <c r="AO65" s="122">
        <f t="shared" si="6"/>
        <v>-3.6356999999997974E-4</v>
      </c>
      <c r="AP65" s="122">
        <f t="shared" si="7"/>
        <v>4.4859999999924405E-5</v>
      </c>
      <c r="AQ65" s="88">
        <f t="shared" si="8"/>
        <v>-7.9400950000000012E-3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40.034038000000002</v>
      </c>
      <c r="Y66" s="190">
        <v>43.535018999999998</v>
      </c>
      <c r="Z66" s="190">
        <v>0.99189428000000002</v>
      </c>
      <c r="AA66" s="62">
        <v>0.99606443</v>
      </c>
      <c r="AB66" s="62">
        <v>9.6629530000000002E-3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2.3261220000000051</v>
      </c>
      <c r="AN66" s="122">
        <f t="shared" si="5"/>
        <v>1.7142979999999994</v>
      </c>
      <c r="AO66" s="122">
        <f t="shared" si="6"/>
        <v>-3.7935000000000052E-4</v>
      </c>
      <c r="AP66" s="122">
        <f t="shared" si="7"/>
        <v>8.0628000000004807E-4</v>
      </c>
      <c r="AQ66" s="88">
        <f t="shared" si="8"/>
        <v>-7.7484540000000001E-3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27.780083999999999</v>
      </c>
      <c r="Y68" s="97">
        <v>33.922209000000002</v>
      </c>
      <c r="Z68" s="97">
        <v>0.95822501999999998</v>
      </c>
      <c r="AA68" s="60">
        <v>0.95500744999999998</v>
      </c>
      <c r="AB68" s="60">
        <v>5.4144940000000003E-2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0.44837599999999966</v>
      </c>
      <c r="AN68" s="96">
        <f t="shared" si="5"/>
        <v>1.4150680000000051</v>
      </c>
      <c r="AO68" s="96">
        <f t="shared" si="6"/>
        <v>-6.1630000000034713E-5</v>
      </c>
      <c r="AP68" s="96">
        <f t="shared" si="7"/>
        <v>6.716199999999839E-4</v>
      </c>
      <c r="AQ68" s="121">
        <f t="shared" si="8"/>
        <v>-1.0132479999999999E-2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31.868238000000002</v>
      </c>
      <c r="Y69" s="190">
        <v>36.889307000000002</v>
      </c>
      <c r="Z69" s="190">
        <v>0.97503324000000002</v>
      </c>
      <c r="AA69" s="62">
        <v>0.97340015000000002</v>
      </c>
      <c r="AB69" s="62">
        <v>3.1711925000000002E-2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1.0186840000000004</v>
      </c>
      <c r="AN69" s="122">
        <f t="shared" si="5"/>
        <v>1.442810999999999</v>
      </c>
      <c r="AO69" s="122">
        <f t="shared" si="6"/>
        <v>-1.7675999999999803E-4</v>
      </c>
      <c r="AP69" s="122">
        <f t="shared" si="7"/>
        <v>2.4816200000000732E-3</v>
      </c>
      <c r="AQ69" s="88">
        <f t="shared" si="8"/>
        <v>-8.7772979999999959E-3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37.011701000000002</v>
      </c>
      <c r="Y70" s="190">
        <v>40.793961000000003</v>
      </c>
      <c r="Z70" s="190">
        <v>0.98749198999999999</v>
      </c>
      <c r="AA70" s="62">
        <v>0.98997811000000002</v>
      </c>
      <c r="AB70" s="62">
        <v>1.5789654E-2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1.7791509999999988</v>
      </c>
      <c r="AN70" s="122">
        <f t="shared" si="5"/>
        <v>1.4441280000000063</v>
      </c>
      <c r="AO70" s="122">
        <f t="shared" si="6"/>
        <v>-3.76970000000032E-4</v>
      </c>
      <c r="AP70" s="122">
        <f t="shared" si="7"/>
        <v>3.0271000000003934E-4</v>
      </c>
      <c r="AQ70" s="88">
        <f t="shared" si="8"/>
        <v>-7.6192209999999989E-3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39.908056000000002</v>
      </c>
      <c r="Y71" s="190">
        <v>43.418765999999998</v>
      </c>
      <c r="Z71" s="190">
        <v>0.99169658999999999</v>
      </c>
      <c r="AA71" s="62">
        <v>0.99598940000000002</v>
      </c>
      <c r="AB71" s="62">
        <v>9.9301270000000004E-3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2.2636010000000013</v>
      </c>
      <c r="AN71" s="122">
        <f t="shared" si="5"/>
        <v>1.682151999999995</v>
      </c>
      <c r="AO71" s="122">
        <f t="shared" si="6"/>
        <v>-4.2089000000000709E-4</v>
      </c>
      <c r="AP71" s="122">
        <f t="shared" si="7"/>
        <v>9.465600000000407E-4</v>
      </c>
      <c r="AQ71" s="88">
        <f t="shared" si="8"/>
        <v>-7.4329529999999991E-3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27.801576000000001</v>
      </c>
      <c r="Y73" s="97">
        <v>33.915132999999997</v>
      </c>
      <c r="Z73" s="97">
        <v>0.95833716000000002</v>
      </c>
      <c r="AA73" s="60">
        <v>0.95508656999999997</v>
      </c>
      <c r="AB73" s="60">
        <v>5.4188114000000003E-2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0.43703800000000115</v>
      </c>
      <c r="AN73" s="96">
        <f t="shared" si="5"/>
        <v>1.4025320000000008</v>
      </c>
      <c r="AO73" s="96">
        <f t="shared" si="6"/>
        <v>-4.1369999999929519E-5</v>
      </c>
      <c r="AP73" s="96">
        <f t="shared" si="7"/>
        <v>1.6551200000000099E-3</v>
      </c>
      <c r="AQ73" s="121">
        <f t="shared" si="8"/>
        <v>-1.0255456000000003E-2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31.800919</v>
      </c>
      <c r="Y74" s="190">
        <v>36.825217000000002</v>
      </c>
      <c r="Z74" s="190">
        <v>0.97475789999999995</v>
      </c>
      <c r="AA74" s="62">
        <v>0.97325167999999995</v>
      </c>
      <c r="AB74" s="62">
        <v>3.2202891999999997E-2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0.95876600000000067</v>
      </c>
      <c r="AN74" s="122">
        <f t="shared" si="5"/>
        <v>1.4146560000000008</v>
      </c>
      <c r="AO74" s="122">
        <f t="shared" si="6"/>
        <v>-2.5744000000005318E-4</v>
      </c>
      <c r="AP74" s="122">
        <f t="shared" si="7"/>
        <v>2.3888499999999979E-3</v>
      </c>
      <c r="AQ74" s="88">
        <f t="shared" si="8"/>
        <v>-8.437533000000004E-3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36.948827999999999</v>
      </c>
      <c r="Y75" s="190">
        <v>40.760630999999997</v>
      </c>
      <c r="Z75" s="190">
        <v>0.98731926999999997</v>
      </c>
      <c r="AA75" s="62">
        <v>0.98983469999999996</v>
      </c>
      <c r="AB75" s="62">
        <v>1.6383907E-2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1.6943449999999984</v>
      </c>
      <c r="AN75" s="122">
        <f t="shared" si="5"/>
        <v>1.3953089999999975</v>
      </c>
      <c r="AO75" s="122">
        <f t="shared" si="6"/>
        <v>-4.3440999999999619E-4</v>
      </c>
      <c r="AP75" s="122">
        <f t="shared" si="7"/>
        <v>1.9022999999995793E-4</v>
      </c>
      <c r="AQ75" s="88">
        <f t="shared" si="8"/>
        <v>-7.2948910000000013E-3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39.773004999999998</v>
      </c>
      <c r="Y76" s="190">
        <v>43.313796000000004</v>
      </c>
      <c r="Z76" s="190">
        <v>0.99152501999999998</v>
      </c>
      <c r="AA76" s="62">
        <v>0.99591613999999995</v>
      </c>
      <c r="AB76" s="62">
        <v>1.0617668E-2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2.1457169999999977</v>
      </c>
      <c r="AN76" s="122">
        <f t="shared" si="5"/>
        <v>1.6062150000000059</v>
      </c>
      <c r="AO76" s="122">
        <f t="shared" si="6"/>
        <v>-4.802299999999704E-4</v>
      </c>
      <c r="AP76" s="122">
        <f t="shared" si="7"/>
        <v>8.3496999999999044E-4</v>
      </c>
      <c r="AQ76" s="88">
        <f t="shared" si="8"/>
        <v>-7.0329600000000013E-3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27.798832000000001</v>
      </c>
      <c r="Y78" s="97">
        <v>33.677377</v>
      </c>
      <c r="Z78" s="97">
        <v>0.95621752999999998</v>
      </c>
      <c r="AA78" s="60">
        <v>0.95565243</v>
      </c>
      <c r="AB78" s="60">
        <v>5.8851630000000002E-2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0.39312699999999978</v>
      </c>
      <c r="AN78" s="96">
        <f t="shared" si="5"/>
        <v>1.2195350000000005</v>
      </c>
      <c r="AO78" s="96">
        <f t="shared" si="6"/>
        <v>-1.633100000000276E-4</v>
      </c>
      <c r="AP78" s="96">
        <f t="shared" si="7"/>
        <v>1.6622899999999552E-3</v>
      </c>
      <c r="AQ78" s="121">
        <f t="shared" si="8"/>
        <v>-9.465879999999996E-3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31.610237999999999</v>
      </c>
      <c r="Y79" s="190">
        <v>36.500388000000001</v>
      </c>
      <c r="Z79" s="190">
        <v>0.97322355999999999</v>
      </c>
      <c r="AA79" s="62">
        <v>0.97390999</v>
      </c>
      <c r="AB79" s="62">
        <v>3.6235603999999998E-2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0.83699400000000068</v>
      </c>
      <c r="AN79" s="122">
        <f t="shared" si="5"/>
        <v>1.2225219999999979</v>
      </c>
      <c r="AO79" s="122">
        <f t="shared" si="6"/>
        <v>-4.4142000000002568E-4</v>
      </c>
      <c r="AP79" s="122">
        <f t="shared" si="7"/>
        <v>2.14561000000002E-3</v>
      </c>
      <c r="AQ79" s="88">
        <f t="shared" si="8"/>
        <v>-7.8584860000000048E-3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36.449055999999999</v>
      </c>
      <c r="Y80" s="190">
        <v>40.295138000000001</v>
      </c>
      <c r="Z80" s="190">
        <v>0.98600858999999996</v>
      </c>
      <c r="AA80" s="62">
        <v>0.98961268000000002</v>
      </c>
      <c r="AB80" s="62">
        <v>1.9541197E-2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1.3688450000000003</v>
      </c>
      <c r="AN80" s="122">
        <f t="shared" si="5"/>
        <v>1.1258499999999998</v>
      </c>
      <c r="AO80" s="122">
        <f t="shared" si="6"/>
        <v>-6.8623000000000989E-4</v>
      </c>
      <c r="AP80" s="122">
        <f t="shared" si="7"/>
        <v>-8.0300000000033123E-5</v>
      </c>
      <c r="AQ80" s="88">
        <f t="shared" si="8"/>
        <v>-6.6621670000000001E-3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38.993828999999998</v>
      </c>
      <c r="Y81" s="190">
        <v>42.634551999999999</v>
      </c>
      <c r="Z81" s="190">
        <v>0.99038117999999997</v>
      </c>
      <c r="AA81" s="62">
        <v>0.99548550000000002</v>
      </c>
      <c r="AB81" s="62">
        <v>1.3603389E-2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1.6334349999999986</v>
      </c>
      <c r="AN81" s="122">
        <f t="shared" si="5"/>
        <v>1.2330830000000006</v>
      </c>
      <c r="AO81" s="122">
        <f t="shared" si="6"/>
        <v>-7.1169000000004257E-4</v>
      </c>
      <c r="AP81" s="122">
        <f t="shared" si="7"/>
        <v>6.0773000000002853E-4</v>
      </c>
      <c r="AQ81" s="88">
        <f t="shared" si="8"/>
        <v>-6.3466130000000009E-3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27.360747</v>
      </c>
      <c r="Y83" s="97">
        <v>33.548043</v>
      </c>
      <c r="Z83" s="97">
        <v>0.95312644000000002</v>
      </c>
      <c r="AA83" s="60">
        <v>0.95557596</v>
      </c>
      <c r="AB83" s="60">
        <v>6.4610496000000003E-2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0.39767200000000003</v>
      </c>
      <c r="AN83" s="96">
        <f t="shared" si="5"/>
        <v>1.4278539999999964</v>
      </c>
      <c r="AO83" s="96">
        <f t="shared" si="6"/>
        <v>-1.4953599999999456E-3</v>
      </c>
      <c r="AP83" s="96">
        <f t="shared" si="7"/>
        <v>7.4275999999995346E-4</v>
      </c>
      <c r="AQ83" s="121">
        <f t="shared" si="8"/>
        <v>-1.0364044000000003E-2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31.448975000000001</v>
      </c>
      <c r="Y84" s="190">
        <v>36.522326</v>
      </c>
      <c r="Z84" s="190">
        <v>0.97432426000000005</v>
      </c>
      <c r="AA84" s="62">
        <v>0.97385122999999996</v>
      </c>
      <c r="AB84" s="62">
        <v>3.4896812999999999E-2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0.85737200000000158</v>
      </c>
      <c r="AN84" s="122">
        <f t="shared" si="5"/>
        <v>1.3150539999999964</v>
      </c>
      <c r="AO84" s="122">
        <f t="shared" si="6"/>
        <v>-1.0950199999999466E-3</v>
      </c>
      <c r="AP84" s="122">
        <f t="shared" si="7"/>
        <v>-4.7989999999997757E-5</v>
      </c>
      <c r="AQ84" s="88">
        <f t="shared" si="8"/>
        <v>-8.7753870000000025E-3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36.126541000000003</v>
      </c>
      <c r="Y85" s="190">
        <v>40.13908</v>
      </c>
      <c r="Z85" s="190">
        <v>0.98695663</v>
      </c>
      <c r="AA85" s="62">
        <v>0.99011203999999997</v>
      </c>
      <c r="AB85" s="62">
        <v>1.7424945000000001E-2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1.293883000000001</v>
      </c>
      <c r="AN85" s="122">
        <f t="shared" si="5"/>
        <v>1.1566320000000019</v>
      </c>
      <c r="AO85" s="122">
        <f t="shared" si="6"/>
        <v>-1.0902600000000096E-3</v>
      </c>
      <c r="AP85" s="122">
        <f t="shared" si="7"/>
        <v>-4.6083000000007868E-4</v>
      </c>
      <c r="AQ85" s="88">
        <f t="shared" si="8"/>
        <v>-6.9985889999999995E-3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38.922752000000003</v>
      </c>
      <c r="Y86" s="190">
        <v>42.648169000000003</v>
      </c>
      <c r="Z86" s="190">
        <v>0.99147971999999995</v>
      </c>
      <c r="AA86" s="62">
        <v>0.99562581999999999</v>
      </c>
      <c r="AB86" s="62">
        <v>1.0811249E-2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1.354054000000005</v>
      </c>
      <c r="AN86" s="122">
        <f t="shared" si="5"/>
        <v>0.98753900000000527</v>
      </c>
      <c r="AO86" s="122">
        <f t="shared" si="6"/>
        <v>-1.0263700000000542E-3</v>
      </c>
      <c r="AP86" s="122">
        <f t="shared" si="7"/>
        <v>1.8434999999994428E-4</v>
      </c>
      <c r="AQ86" s="88">
        <f t="shared" si="8"/>
        <v>-6.8692969999999982E-3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27.563735999999999</v>
      </c>
      <c r="Y88" s="97">
        <v>33.746574000000003</v>
      </c>
      <c r="Z88" s="97">
        <v>0.95539076000000001</v>
      </c>
      <c r="AA88" s="60">
        <v>0.95514284000000005</v>
      </c>
      <c r="AB88" s="60">
        <v>5.9205603000000002E-2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0.44918599999999742</v>
      </c>
      <c r="AN88" s="96">
        <f t="shared" si="5"/>
        <v>1.4751540000000034</v>
      </c>
      <c r="AO88" s="96">
        <f t="shared" si="6"/>
        <v>-7.9907000000001283E-4</v>
      </c>
      <c r="AP88" s="96">
        <f t="shared" si="7"/>
        <v>1.0573700000000574E-3</v>
      </c>
      <c r="AQ88" s="121">
        <f t="shared" si="8"/>
        <v>-1.1395622000000001E-2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31.646605000000001</v>
      </c>
      <c r="Y89" s="190">
        <v>36.685890000000001</v>
      </c>
      <c r="Z89" s="190">
        <v>0.97491609000000001</v>
      </c>
      <c r="AA89" s="62">
        <v>0.97424018999999995</v>
      </c>
      <c r="AB89" s="62">
        <v>3.2292075000000003E-2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0.97547100000000242</v>
      </c>
      <c r="AN89" s="122">
        <f t="shared" si="5"/>
        <v>1.4038159999999991</v>
      </c>
      <c r="AO89" s="122">
        <f t="shared" si="6"/>
        <v>-4.7374000000000027E-4</v>
      </c>
      <c r="AP89" s="122">
        <f t="shared" si="7"/>
        <v>1.8900599999999157E-3</v>
      </c>
      <c r="AQ89" s="88">
        <f t="shared" si="8"/>
        <v>-9.9004469999999997E-3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36.584266999999997</v>
      </c>
      <c r="Y90" s="190">
        <v>40.510958000000002</v>
      </c>
      <c r="Z90" s="190">
        <v>0.98748935000000004</v>
      </c>
      <c r="AA90" s="62">
        <v>0.99014902000000005</v>
      </c>
      <c r="AB90" s="62">
        <v>1.618174E-2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1.5869539999999986</v>
      </c>
      <c r="AN90" s="122">
        <f t="shared" si="5"/>
        <v>1.3605480000000014</v>
      </c>
      <c r="AO90" s="122">
        <f t="shared" si="6"/>
        <v>-6.1347000000000484E-4</v>
      </c>
      <c r="AP90" s="122">
        <f t="shared" si="7"/>
        <v>-2.2727000000000164E-4</v>
      </c>
      <c r="AQ90" s="88">
        <f t="shared" si="8"/>
        <v>-7.9091370000000001E-3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39.595886</v>
      </c>
      <c r="Y91" s="190">
        <v>43.188462999999999</v>
      </c>
      <c r="Z91" s="190">
        <v>0.99185917999999995</v>
      </c>
      <c r="AA91" s="62">
        <v>0.99597787000000004</v>
      </c>
      <c r="AB91" s="62">
        <v>1.0107689E-2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1.9348749999999981</v>
      </c>
      <c r="AN91" s="122">
        <f t="shared" si="5"/>
        <v>1.4249539999999996</v>
      </c>
      <c r="AO91" s="122">
        <f t="shared" si="6"/>
        <v>-6.0468000000002409E-4</v>
      </c>
      <c r="AP91" s="122">
        <f t="shared" si="7"/>
        <v>6.5025000000007438E-4</v>
      </c>
      <c r="AQ91" s="88">
        <f t="shared" si="8"/>
        <v>-7.6773130000000016E-3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27.627376999999999</v>
      </c>
      <c r="Y93" s="97">
        <v>33.786183000000001</v>
      </c>
      <c r="Z93" s="97">
        <v>0.95678198000000003</v>
      </c>
      <c r="AA93" s="60">
        <v>0.95452943999999995</v>
      </c>
      <c r="AB93" s="60">
        <v>5.6714933000000002E-2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0.42507900000000021</v>
      </c>
      <c r="AN93" s="96">
        <f t="shared" si="5"/>
        <v>1.399324</v>
      </c>
      <c r="AO93" s="96">
        <f t="shared" si="6"/>
        <v>-5.72339999999949E-4</v>
      </c>
      <c r="AP93" s="96">
        <f t="shared" si="7"/>
        <v>6.8055000000000199E-4</v>
      </c>
      <c r="AQ93" s="121">
        <f t="shared" si="8"/>
        <v>-9.8279070000000038E-3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31.772537</v>
      </c>
      <c r="Y94" s="190">
        <v>36.747838999999999</v>
      </c>
      <c r="Z94" s="190">
        <v>0.97521647</v>
      </c>
      <c r="AA94" s="62">
        <v>0.97309688000000005</v>
      </c>
      <c r="AB94" s="62">
        <v>3.0891972E-2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0.97109400000000079</v>
      </c>
      <c r="AN94" s="122">
        <f t="shared" si="5"/>
        <v>1.3573179999999994</v>
      </c>
      <c r="AO94" s="122">
        <f t="shared" si="6"/>
        <v>-4.4968999999994708E-4</v>
      </c>
      <c r="AP94" s="122">
        <f t="shared" si="7"/>
        <v>2.5427300000000486E-3</v>
      </c>
      <c r="AQ94" s="88">
        <f t="shared" si="8"/>
        <v>-8.6121199999999974E-3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36.786043999999997</v>
      </c>
      <c r="Y95" s="190">
        <v>40.635285000000003</v>
      </c>
      <c r="Z95" s="190">
        <v>0.98751449000000002</v>
      </c>
      <c r="AA95" s="62">
        <v>0.98984601999999999</v>
      </c>
      <c r="AB95" s="62">
        <v>1.5645717999999999E-2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1.5899989999999988</v>
      </c>
      <c r="AN95" s="122">
        <f t="shared" si="5"/>
        <v>1.3117070000000055</v>
      </c>
      <c r="AO95" s="122">
        <f t="shared" si="6"/>
        <v>-6.8607999999992231E-4</v>
      </c>
      <c r="AP95" s="122">
        <f t="shared" si="7"/>
        <v>-3.9820000000023725E-5</v>
      </c>
      <c r="AQ95" s="88">
        <f t="shared" si="8"/>
        <v>-7.1161970000000012E-3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39.678153000000002</v>
      </c>
      <c r="Y96" s="190">
        <v>43.237819000000002</v>
      </c>
      <c r="Z96" s="190">
        <v>0.99177994999999997</v>
      </c>
      <c r="AA96" s="62">
        <v>0.99598063000000003</v>
      </c>
      <c r="AB96" s="62">
        <v>9.7645874999999997E-3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1.9230370000000008</v>
      </c>
      <c r="AN96" s="122">
        <f t="shared" si="5"/>
        <v>1.4024780000000021</v>
      </c>
      <c r="AO96" s="122">
        <f t="shared" si="6"/>
        <v>-6.5819000000000294E-4</v>
      </c>
      <c r="AP96" s="122">
        <f t="shared" si="7"/>
        <v>8.2599999999999341E-4</v>
      </c>
      <c r="AQ96" s="88">
        <f t="shared" si="8"/>
        <v>-7.1378824999999996E-3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27.753018000000001</v>
      </c>
      <c r="Y98" s="97">
        <v>33.881805999999997</v>
      </c>
      <c r="Z98" s="97">
        <v>0.95728279000000005</v>
      </c>
      <c r="AA98" s="60">
        <v>0.95554788000000002</v>
      </c>
      <c r="AB98" s="60">
        <v>5.6705209999999999E-2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0.42482400000000098</v>
      </c>
      <c r="AN98" s="96">
        <f t="shared" si="15"/>
        <v>1.3994529999999941</v>
      </c>
      <c r="AO98" s="96">
        <f t="shared" si="16"/>
        <v>-5.8222999999990588E-4</v>
      </c>
      <c r="AP98" s="96">
        <f t="shared" si="17"/>
        <v>1.2582600000000665E-3</v>
      </c>
      <c r="AQ98" s="121">
        <f t="shared" si="18"/>
        <v>-9.3684240000000071E-3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31.783465</v>
      </c>
      <c r="Y99" s="190">
        <v>36.777890999999997</v>
      </c>
      <c r="Z99" s="190">
        <v>0.97524390999999999</v>
      </c>
      <c r="AA99" s="62">
        <v>0.97367356000000005</v>
      </c>
      <c r="AB99" s="62">
        <v>3.1644378000000001E-2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0.9715379999999989</v>
      </c>
      <c r="AN99" s="122">
        <f t="shared" si="15"/>
        <v>1.3821209999999979</v>
      </c>
      <c r="AO99" s="122">
        <f t="shared" si="16"/>
        <v>-4.6329000000000509E-4</v>
      </c>
      <c r="AP99" s="122">
        <f t="shared" si="17"/>
        <v>2.2577100000000794E-3</v>
      </c>
      <c r="AQ99" s="88">
        <f t="shared" si="18"/>
        <v>-8.5114319999999993E-3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36.710980999999997</v>
      </c>
      <c r="Y100" s="190">
        <v>40.613759999999999</v>
      </c>
      <c r="Z100" s="190">
        <v>0.98746964999999998</v>
      </c>
      <c r="AA100" s="62">
        <v>0.98981673999999997</v>
      </c>
      <c r="AB100" s="62">
        <v>1.6583397999999999E-2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1.5738489999999956</v>
      </c>
      <c r="AN100" s="122">
        <f t="shared" si="15"/>
        <v>1.3381089999999958</v>
      </c>
      <c r="AO100" s="122">
        <f t="shared" si="16"/>
        <v>-6.7128000000005184E-4</v>
      </c>
      <c r="AP100" s="122">
        <f t="shared" si="17"/>
        <v>3.5070000000025914E-5</v>
      </c>
      <c r="AQ100" s="88">
        <f t="shared" si="18"/>
        <v>-7.1524529999999996E-3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39.658754000000002</v>
      </c>
      <c r="Y101" s="190">
        <v>43.246628000000001</v>
      </c>
      <c r="Z101" s="190">
        <v>0.99180687999999995</v>
      </c>
      <c r="AA101" s="62">
        <v>0.9959827</v>
      </c>
      <c r="AB101" s="62">
        <v>1.0604217000000001E-2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1.904592000000001</v>
      </c>
      <c r="AN101" s="122">
        <f t="shared" si="15"/>
        <v>1.4187700000000021</v>
      </c>
      <c r="AO101" s="122">
        <f t="shared" si="16"/>
        <v>-6.3804000000000638E-4</v>
      </c>
      <c r="AP101" s="122">
        <f t="shared" si="17"/>
        <v>7.5424000000001712E-4</v>
      </c>
      <c r="AQ101" s="88">
        <f t="shared" si="18"/>
        <v>-6.9962019999999982E-3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27.529399999999999</v>
      </c>
      <c r="Y103" s="97">
        <v>33.262312999999999</v>
      </c>
      <c r="Z103" s="97">
        <v>0.95495516999999996</v>
      </c>
      <c r="AA103" s="60">
        <v>0.95539167000000003</v>
      </c>
      <c r="AB103" s="60">
        <v>5.9912205000000003E-2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0.25107500000000016</v>
      </c>
      <c r="AN103" s="96">
        <f t="shared" si="15"/>
        <v>1.0099349999999987</v>
      </c>
      <c r="AO103" s="96">
        <f t="shared" si="16"/>
        <v>-1.142489999999996E-3</v>
      </c>
      <c r="AP103" s="96">
        <f t="shared" si="17"/>
        <v>6.5393000000002477E-4</v>
      </c>
      <c r="AQ103" s="121">
        <f t="shared" si="18"/>
        <v>-8.4278799999999918E-3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31.309830999999999</v>
      </c>
      <c r="Y104" s="190">
        <v>36.116660000000003</v>
      </c>
      <c r="Z104" s="190">
        <v>0.97389369000000003</v>
      </c>
      <c r="AA104" s="62">
        <v>0.97412936000000006</v>
      </c>
      <c r="AB104" s="62">
        <v>3.4022648000000003E-2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0.69631000000000043</v>
      </c>
      <c r="AN104" s="122">
        <f t="shared" si="15"/>
        <v>1.0216680000000053</v>
      </c>
      <c r="AO104" s="122">
        <f t="shared" si="16"/>
        <v>-8.7009999999998477E-4</v>
      </c>
      <c r="AP104" s="122">
        <f t="shared" si="17"/>
        <v>1.6165700000000394E-3</v>
      </c>
      <c r="AQ104" s="88">
        <f t="shared" si="18"/>
        <v>-7.6487579999999986E-3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35.618707000000001</v>
      </c>
      <c r="Y105" s="190">
        <v>39.618603999999998</v>
      </c>
      <c r="Z105" s="190">
        <v>0.98612511000000003</v>
      </c>
      <c r="AA105" s="62">
        <v>0.98915516999999997</v>
      </c>
      <c r="AB105" s="62">
        <v>1.8688079999999999E-2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0.81933200000000284</v>
      </c>
      <c r="AN105" s="122">
        <f t="shared" si="15"/>
        <v>0.70514199999999505</v>
      </c>
      <c r="AO105" s="122">
        <f t="shared" si="16"/>
        <v>-1.205269999999925E-3</v>
      </c>
      <c r="AP105" s="122">
        <f t="shared" si="17"/>
        <v>-4.1851000000003857E-4</v>
      </c>
      <c r="AQ105" s="88">
        <f t="shared" si="18"/>
        <v>-6.1242459999999999E-3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38.147491000000002</v>
      </c>
      <c r="Y106" s="190">
        <v>41.942211999999998</v>
      </c>
      <c r="Z106" s="190">
        <v>0.99071122</v>
      </c>
      <c r="AA106" s="62">
        <v>0.99517032000000005</v>
      </c>
      <c r="AB106" s="62">
        <v>1.2329251499999999E-2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0.66729099999999875</v>
      </c>
      <c r="AN106" s="122">
        <f t="shared" si="15"/>
        <v>0.42874700000000132</v>
      </c>
      <c r="AO106" s="122">
        <f t="shared" si="16"/>
        <v>-1.19111999999999E-3</v>
      </c>
      <c r="AP106" s="122">
        <f t="shared" si="17"/>
        <v>2.0767000000010416E-4</v>
      </c>
      <c r="AQ106" s="88">
        <f t="shared" si="18"/>
        <v>-6.0554114999999999E-3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27.148648999999999</v>
      </c>
      <c r="Y641" s="136">
        <f t="shared" si="60"/>
        <v>33.187545</v>
      </c>
      <c r="Z641" s="136">
        <f t="shared" si="60"/>
        <v>0.95312644000000002</v>
      </c>
      <c r="AA641" s="136">
        <f t="shared" si="60"/>
        <v>0.95233599000000002</v>
      </c>
      <c r="AB641" s="136">
        <f t="shared" si="60"/>
        <v>5.4144940000000003E-2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31.309830999999999</v>
      </c>
      <c r="Y642" s="18">
        <f t="shared" si="60"/>
        <v>36.030715000000001</v>
      </c>
      <c r="Z642" s="18">
        <f t="shared" si="60"/>
        <v>0.97265995000000005</v>
      </c>
      <c r="AA642" s="18">
        <f t="shared" si="60"/>
        <v>0.97226095999999995</v>
      </c>
      <c r="AB642" s="18">
        <f t="shared" si="60"/>
        <v>3.0891972E-2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35.618707000000001</v>
      </c>
      <c r="Y643" s="18">
        <f t="shared" si="60"/>
        <v>39.618603999999998</v>
      </c>
      <c r="Z643" s="18">
        <f t="shared" si="60"/>
        <v>0.98579912999999997</v>
      </c>
      <c r="AA643" s="18">
        <f t="shared" si="60"/>
        <v>0.98915516999999997</v>
      </c>
      <c r="AB643" s="18">
        <f t="shared" si="60"/>
        <v>1.5645717999999999E-2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38.147491000000002</v>
      </c>
      <c r="Y644" s="18">
        <f t="shared" si="60"/>
        <v>41.942211999999998</v>
      </c>
      <c r="Z644" s="18">
        <f t="shared" si="60"/>
        <v>0.99030200000000002</v>
      </c>
      <c r="AA644" s="18">
        <f t="shared" si="60"/>
        <v>0.99517032000000005</v>
      </c>
      <c r="AB644" s="18">
        <f t="shared" si="60"/>
        <v>9.6629530000000002E-3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27.889562999999999</v>
      </c>
      <c r="Y646" s="136">
        <f t="shared" si="62"/>
        <v>33.922209000000002</v>
      </c>
      <c r="Z646" s="136">
        <f t="shared" si="62"/>
        <v>0.95833716000000002</v>
      </c>
      <c r="AA646" s="136">
        <f t="shared" si="62"/>
        <v>0.95686510999999996</v>
      </c>
      <c r="AB646" s="136">
        <f t="shared" si="62"/>
        <v>6.4610496000000003E-2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31.868238000000002</v>
      </c>
      <c r="Y647" s="18">
        <f t="shared" si="62"/>
        <v>36.889307000000002</v>
      </c>
      <c r="Z647" s="18">
        <f t="shared" si="62"/>
        <v>0.97540230999999999</v>
      </c>
      <c r="AA647" s="18">
        <f t="shared" si="62"/>
        <v>0.97568873</v>
      </c>
      <c r="AB647" s="18">
        <f t="shared" si="62"/>
        <v>3.8721899999999997E-2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37.011701000000002</v>
      </c>
      <c r="Y648" s="18">
        <f t="shared" si="62"/>
        <v>40.793961000000003</v>
      </c>
      <c r="Z648" s="18">
        <f t="shared" si="62"/>
        <v>0.98779567999999995</v>
      </c>
      <c r="AA648" s="18">
        <f t="shared" si="62"/>
        <v>0.99068328999999999</v>
      </c>
      <c r="AB648" s="18">
        <f t="shared" si="62"/>
        <v>2.1211615E-2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40.034038000000002</v>
      </c>
      <c r="Y649" s="18">
        <f t="shared" si="62"/>
        <v>43.535018999999998</v>
      </c>
      <c r="Z649" s="18">
        <f t="shared" si="62"/>
        <v>0.99205367</v>
      </c>
      <c r="AA649" s="18">
        <f t="shared" si="62"/>
        <v>0.99609303999999999</v>
      </c>
      <c r="AB649" s="18">
        <f t="shared" si="62"/>
        <v>1.4576043E-2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0.74091400000000007</v>
      </c>
      <c r="Y651" s="136">
        <f t="shared" si="64"/>
        <v>0.7346640000000022</v>
      </c>
      <c r="Z651" s="136">
        <f t="shared" si="64"/>
        <v>5.210720000000002E-3</v>
      </c>
      <c r="AA651" s="136">
        <f t="shared" si="64"/>
        <v>4.5291199999999421E-3</v>
      </c>
      <c r="AB651" s="136">
        <f t="shared" si="64"/>
        <v>1.0465556000000001E-2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0.55840700000000254</v>
      </c>
      <c r="Y652" s="18">
        <f t="shared" si="64"/>
        <v>0.85859200000000158</v>
      </c>
      <c r="Z652" s="18">
        <f t="shared" si="64"/>
        <v>2.7423599999999437E-3</v>
      </c>
      <c r="AA652" s="18">
        <f t="shared" si="64"/>
        <v>3.4277700000000522E-3</v>
      </c>
      <c r="AB652" s="18">
        <f t="shared" si="64"/>
        <v>7.8299279999999964E-3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1.3929940000000016</v>
      </c>
      <c r="Y653" s="18">
        <f t="shared" si="64"/>
        <v>1.1753570000000053</v>
      </c>
      <c r="Z653" s="18">
        <f t="shared" si="64"/>
        <v>1.9965499999999858E-3</v>
      </c>
      <c r="AA653" s="18">
        <f t="shared" si="64"/>
        <v>1.5281200000000217E-3</v>
      </c>
      <c r="AB653" s="18">
        <f t="shared" si="64"/>
        <v>5.5658970000000002E-3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1.8865470000000002</v>
      </c>
      <c r="Y654" s="18">
        <f t="shared" si="64"/>
        <v>1.5928070000000005</v>
      </c>
      <c r="Z654" s="18">
        <f t="shared" si="64"/>
        <v>1.751669999999983E-3</v>
      </c>
      <c r="AA654" s="18">
        <f t="shared" si="64"/>
        <v>9.2271999999993248E-4</v>
      </c>
      <c r="AB654" s="18">
        <f t="shared" si="64"/>
        <v>4.9130900000000002E-3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27093.624000000003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30.403648714285719</v>
      </c>
      <c r="Y5" s="30">
        <f t="shared" si="2"/>
        <v>34.356587095238091</v>
      </c>
      <c r="Z5" s="30">
        <f t="shared" si="2"/>
        <v>0.96685358714285707</v>
      </c>
      <c r="AA5" s="91">
        <f t="shared" si="2"/>
        <v>0.97378071857142867</v>
      </c>
      <c r="AB5" s="91">
        <f t="shared" si="2"/>
        <v>5.6009217999999993E-2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-0.12509511623621705</v>
      </c>
      <c r="AN5" s="245">
        <f>bdrate($E5:$E8,G5:G8,$W5:$W8,Y5:Y8)</f>
        <v>-9.106602019884702E-2</v>
      </c>
      <c r="AO5" s="245">
        <f>bdrate($E5:$E8,H5:H8,$W5:$W8,Z5:Z8)</f>
        <v>-3.6988746889881075E-3</v>
      </c>
      <c r="AP5" s="245">
        <f>bdrate($E5:$E8,I5:I8,$W5:$W8,AA5:AA8)</f>
        <v>-2.8431765940914899E-2</v>
      </c>
      <c r="AQ5" s="246">
        <f>bdrateInverted($E5:$E8,J5:J8,$W5:$W8,AB5:AB8)</f>
        <v>-0.15443225591292564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39153.519999999997</v>
      </c>
      <c r="X6" s="91">
        <f t="shared" si="2"/>
        <v>33.863004428571422</v>
      </c>
      <c r="Y6" s="91">
        <f t="shared" si="2"/>
        <v>37.256791285714272</v>
      </c>
      <c r="Z6" s="91">
        <f t="shared" si="2"/>
        <v>0.97971692142857147</v>
      </c>
      <c r="AA6" s="91">
        <f t="shared" si="2"/>
        <v>0.98461938619047629</v>
      </c>
      <c r="AB6" s="91">
        <f t="shared" si="2"/>
        <v>3.6500594714285718E-2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58907.279999999992</v>
      </c>
      <c r="X7" s="91">
        <f t="shared" si="2"/>
        <v>37.747717761904767</v>
      </c>
      <c r="Y7" s="91">
        <f t="shared" si="2"/>
        <v>41.038814142857134</v>
      </c>
      <c r="Z7" s="91">
        <f t="shared" si="2"/>
        <v>0.98881808904761903</v>
      </c>
      <c r="AA7" s="91">
        <f t="shared" si="2"/>
        <v>0.99247748571428573</v>
      </c>
      <c r="AB7" s="91">
        <f t="shared" si="2"/>
        <v>2.1285181238095235E-2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86291.304000000004</v>
      </c>
      <c r="X8" s="91">
        <f t="shared" si="2"/>
        <v>41.705396666666672</v>
      </c>
      <c r="Y8" s="91">
        <f t="shared" si="2"/>
        <v>44.770728047619045</v>
      </c>
      <c r="Z8" s="91">
        <f t="shared" si="2"/>
        <v>0.99357286047619042</v>
      </c>
      <c r="AA8" s="91">
        <f t="shared" si="2"/>
        <v>0.99622638333333347</v>
      </c>
      <c r="AB8" s="91">
        <f t="shared" si="2"/>
        <v>9.668171642857144E-3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870.70399999999995</v>
      </c>
      <c r="Z16" s="167">
        <v>192.92</v>
      </c>
      <c r="AA16" s="167">
        <v>120.6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3554.4720000000002</v>
      </c>
      <c r="Z17" s="168">
        <v>1645.7919999999999</v>
      </c>
      <c r="AA17" s="168">
        <v>1214.896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7952.1760000000004</v>
      </c>
      <c r="Z18" s="168">
        <v>5649.6719999999996</v>
      </c>
      <c r="AA18" s="168">
        <v>5491.424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13066.216</v>
      </c>
      <c r="Z19" s="168">
        <v>12316.064</v>
      </c>
      <c r="AA19" s="168">
        <v>13870.424000000001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27093.624000000003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39153.519999999997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58907.279999999992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86291.304000000004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27.136382000000001</v>
      </c>
      <c r="Y33" s="97">
        <v>30.970351999999998</v>
      </c>
      <c r="Z33" s="97">
        <v>0.95877584000000005</v>
      </c>
      <c r="AA33" s="60">
        <v>0.96580600000000005</v>
      </c>
      <c r="AB33" s="60">
        <v>6.6715434000000004E-2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0.2295259999999999</v>
      </c>
      <c r="AN33" s="96">
        <f t="shared" ref="AN33:AN96" si="5">IF(OR(Y33="",G33=""),"",Y33-G33)</f>
        <v>0.60246799999999823</v>
      </c>
      <c r="AO33" s="96">
        <f t="shared" ref="AO33:AO96" si="6">IF(OR(Z33="",H33=""),"",Z33-H33)</f>
        <v>6.5179999999998017E-5</v>
      </c>
      <c r="AP33" s="96">
        <f t="shared" ref="AP33:AP96" si="7">IF(OR(AA33="",I33=""),"",AA33-I33)</f>
        <v>1.2500200000000738E-3</v>
      </c>
      <c r="AQ33" s="121">
        <f t="shared" ref="AQ33:AQ96" si="8">IF(OR(AB33="",J33=""),"",AB33-J33)</f>
        <v>-1.6011325999999992E-2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31.787053</v>
      </c>
      <c r="Y34" s="190">
        <v>35.090916999999997</v>
      </c>
      <c r="Z34" s="190">
        <v>0.97758374999999997</v>
      </c>
      <c r="AA34" s="62">
        <v>0.98175833000000001</v>
      </c>
      <c r="AB34" s="62">
        <v>4.0958617000000003E-2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0.99662199999999856</v>
      </c>
      <c r="AN34" s="122">
        <f t="shared" si="5"/>
        <v>0.89246599999999887</v>
      </c>
      <c r="AO34" s="122">
        <f t="shared" si="6"/>
        <v>-1.7770000000005837E-4</v>
      </c>
      <c r="AP34" s="122">
        <f t="shared" si="7"/>
        <v>8.3456999999997894E-4</v>
      </c>
      <c r="AQ34" s="88">
        <f t="shared" si="8"/>
        <v>-1.5650042999999995E-2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35.475042000000002</v>
      </c>
      <c r="Y35" s="190">
        <v>38.835628</v>
      </c>
      <c r="Z35" s="190">
        <v>0.98801439999999996</v>
      </c>
      <c r="AA35" s="62">
        <v>0.99137246999999995</v>
      </c>
      <c r="AB35" s="62">
        <v>2.2577357999999999E-2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1.6765870000000049</v>
      </c>
      <c r="AN35" s="122">
        <f t="shared" si="5"/>
        <v>0.98536699999999655</v>
      </c>
      <c r="AO35" s="122">
        <f t="shared" si="6"/>
        <v>-1.9641000000003572E-4</v>
      </c>
      <c r="AP35" s="122">
        <f t="shared" si="7"/>
        <v>2.143000000000006E-4</v>
      </c>
      <c r="AQ35" s="88">
        <f t="shared" si="8"/>
        <v>-1.0531480000000003E-2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40.709184999999998</v>
      </c>
      <c r="Y36" s="190">
        <v>43.685482</v>
      </c>
      <c r="Z36" s="190">
        <v>0.99360026999999995</v>
      </c>
      <c r="AA36" s="62">
        <v>0.99602696000000002</v>
      </c>
      <c r="AB36" s="62">
        <v>9.4562359999999998E-3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2.949900999999997</v>
      </c>
      <c r="AN36" s="122">
        <f t="shared" si="5"/>
        <v>1.6239070000000027</v>
      </c>
      <c r="AO36" s="122">
        <f t="shared" si="6"/>
        <v>-1.3657000000000252E-4</v>
      </c>
      <c r="AP36" s="122">
        <f t="shared" si="7"/>
        <v>2.0304000000004319E-4</v>
      </c>
      <c r="AQ36" s="88">
        <f t="shared" si="8"/>
        <v>-6.7107900000000012E-3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27.509954</v>
      </c>
      <c r="Y38" s="97">
        <v>31.782947</v>
      </c>
      <c r="Z38" s="97">
        <v>0.96115784999999998</v>
      </c>
      <c r="AA38" s="60">
        <v>0.96649761000000001</v>
      </c>
      <c r="AB38" s="60">
        <v>6.1806380000000001E-2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0.30953200000000081</v>
      </c>
      <c r="AN38" s="96">
        <f t="shared" si="5"/>
        <v>0.69520400000000038</v>
      </c>
      <c r="AO38" s="96">
        <f t="shared" si="6"/>
        <v>2.9935000000003154E-4</v>
      </c>
      <c r="AP38" s="96">
        <f t="shared" si="7"/>
        <v>1.3144299999999776E-3</v>
      </c>
      <c r="AQ38" s="121">
        <f t="shared" si="8"/>
        <v>-1.289125E-2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32.513213999999998</v>
      </c>
      <c r="Y39" s="190">
        <v>35.814647000000001</v>
      </c>
      <c r="Z39" s="190">
        <v>0.97807873000000001</v>
      </c>
      <c r="AA39" s="62">
        <v>0.98179510000000003</v>
      </c>
      <c r="AB39" s="62">
        <v>4.0885940000000003E-2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1.1510419999999968</v>
      </c>
      <c r="AN39" s="122">
        <f t="shared" si="5"/>
        <v>0.95883599999999802</v>
      </c>
      <c r="AO39" s="122">
        <f t="shared" si="6"/>
        <v>-2.2675999999999252E-4</v>
      </c>
      <c r="AP39" s="122">
        <f t="shared" si="7"/>
        <v>7.1648000000001932E-4</v>
      </c>
      <c r="AQ39" s="88">
        <f t="shared" si="8"/>
        <v>-1.1947729999999997E-2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36.554982000000003</v>
      </c>
      <c r="Y40" s="190">
        <v>39.847133999999997</v>
      </c>
      <c r="Z40" s="190">
        <v>0.98821407999999999</v>
      </c>
      <c r="AA40" s="62">
        <v>0.99164688000000001</v>
      </c>
      <c r="AB40" s="62">
        <v>2.367621E-2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1.7332490000000007</v>
      </c>
      <c r="AN40" s="122">
        <f t="shared" si="5"/>
        <v>0.99308999999999514</v>
      </c>
      <c r="AO40" s="122">
        <f t="shared" si="6"/>
        <v>-2.1457999999996424E-4</v>
      </c>
      <c r="AP40" s="122">
        <f t="shared" si="7"/>
        <v>2.273400000000203E-4</v>
      </c>
      <c r="AQ40" s="88">
        <f t="shared" si="8"/>
        <v>-7.687320000000001E-3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40.881228999999998</v>
      </c>
      <c r="Y41" s="190">
        <v>43.963410000000003</v>
      </c>
      <c r="Z41" s="190">
        <v>0.99349341999999996</v>
      </c>
      <c r="AA41" s="62">
        <v>0.99598363000000001</v>
      </c>
      <c r="AB41" s="62">
        <v>1.0083618000000001E-2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2.937615000000001</v>
      </c>
      <c r="AN41" s="122">
        <f t="shared" si="5"/>
        <v>1.6682620000000057</v>
      </c>
      <c r="AO41" s="122">
        <f t="shared" si="6"/>
        <v>-1.5626000000001916E-4</v>
      </c>
      <c r="AP41" s="122">
        <f t="shared" si="7"/>
        <v>2.4855000000001404E-4</v>
      </c>
      <c r="AQ41" s="88">
        <f t="shared" si="8"/>
        <v>-7.2903870000000006E-3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28.980184999999999</v>
      </c>
      <c r="Y43" s="97">
        <v>32.876705999999999</v>
      </c>
      <c r="Z43" s="97">
        <v>0.96312187000000005</v>
      </c>
      <c r="AA43" s="60">
        <v>0.9690453</v>
      </c>
      <c r="AB43" s="60">
        <v>6.1235603E-2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0.32102499999999878</v>
      </c>
      <c r="AN43" s="96">
        <f t="shared" si="5"/>
        <v>0.50467599999999635</v>
      </c>
      <c r="AO43" s="96">
        <f t="shared" si="6"/>
        <v>8.3739999999998815E-5</v>
      </c>
      <c r="AP43" s="96">
        <f t="shared" si="7"/>
        <v>9.7952999999995072E-4</v>
      </c>
      <c r="AQ43" s="121">
        <f t="shared" si="8"/>
        <v>-1.0885516999999997E-2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32.806924000000002</v>
      </c>
      <c r="Y44" s="190">
        <v>36.070520000000002</v>
      </c>
      <c r="Z44" s="190">
        <v>0.97820231999999996</v>
      </c>
      <c r="AA44" s="62">
        <v>0.98215054999999996</v>
      </c>
      <c r="AB44" s="62">
        <v>4.1363087E-2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1.0102800000000016</v>
      </c>
      <c r="AN44" s="122">
        <f t="shared" si="5"/>
        <v>0.69824400000000253</v>
      </c>
      <c r="AO44" s="122">
        <f t="shared" si="6"/>
        <v>-4.6942000000005368E-4</v>
      </c>
      <c r="AP44" s="122">
        <f t="shared" si="7"/>
        <v>5.8096999999990295E-4</v>
      </c>
      <c r="AQ44" s="88">
        <f t="shared" si="8"/>
        <v>-8.3167960000000013E-3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36.900564000000003</v>
      </c>
      <c r="Y45" s="190">
        <v>40.276530999999999</v>
      </c>
      <c r="Z45" s="190">
        <v>0.98817155999999995</v>
      </c>
      <c r="AA45" s="62">
        <v>0.99165729000000002</v>
      </c>
      <c r="AB45" s="62">
        <v>2.4326587E-2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1.6796440000000032</v>
      </c>
      <c r="AN45" s="122">
        <f t="shared" si="5"/>
        <v>0.9191459999999978</v>
      </c>
      <c r="AO45" s="122">
        <f t="shared" si="6"/>
        <v>-4.4392000000004206E-4</v>
      </c>
      <c r="AP45" s="122">
        <f t="shared" si="7"/>
        <v>1.0754000000001707E-4</v>
      </c>
      <c r="AQ45" s="88">
        <f t="shared" si="8"/>
        <v>-7.2838609999999991E-3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40.883660999999996</v>
      </c>
      <c r="Y46" s="190">
        <v>43.995601000000001</v>
      </c>
      <c r="Z46" s="190">
        <v>0.99335225000000005</v>
      </c>
      <c r="AA46" s="62">
        <v>0.99585159999999995</v>
      </c>
      <c r="AB46" s="62">
        <v>1.0546733000000001E-2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2.4663149999999945</v>
      </c>
      <c r="AN46" s="122">
        <f t="shared" si="5"/>
        <v>1.2281529999999989</v>
      </c>
      <c r="AO46" s="122">
        <f t="shared" si="6"/>
        <v>-3.1805999999989787E-4</v>
      </c>
      <c r="AP46" s="122">
        <f t="shared" si="7"/>
        <v>1.3131999999993482E-4</v>
      </c>
      <c r="AQ46" s="88">
        <f t="shared" si="8"/>
        <v>-6.0347430000000004E-3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29.605169</v>
      </c>
      <c r="Y48" s="97">
        <v>33.451548000000003</v>
      </c>
      <c r="Z48" s="97">
        <v>0.96363578000000005</v>
      </c>
      <c r="AA48" s="60">
        <v>0.97023369000000004</v>
      </c>
      <c r="AB48" s="60">
        <v>5.6841902E-2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-0.14067000000000007</v>
      </c>
      <c r="AN48" s="96">
        <f t="shared" si="5"/>
        <v>0.22610800000000353</v>
      </c>
      <c r="AO48" s="96">
        <f t="shared" si="6"/>
        <v>-2.3242999999995018E-4</v>
      </c>
      <c r="AP48" s="96">
        <f t="shared" si="7"/>
        <v>6.385200000000868E-4</v>
      </c>
      <c r="AQ48" s="121">
        <f t="shared" si="8"/>
        <v>-6.6810929999999991E-3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33.440997000000003</v>
      </c>
      <c r="Y49" s="190">
        <v>36.687061999999997</v>
      </c>
      <c r="Z49" s="190">
        <v>0.97766476999999996</v>
      </c>
      <c r="AA49" s="62">
        <v>0.98243961000000002</v>
      </c>
      <c r="AB49" s="62">
        <v>3.790777E-2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0.7059110000000004</v>
      </c>
      <c r="AN49" s="122">
        <f t="shared" si="5"/>
        <v>0.48172100000000029</v>
      </c>
      <c r="AO49" s="122">
        <f t="shared" si="6"/>
        <v>-6.4205000000006063E-4</v>
      </c>
      <c r="AP49" s="122">
        <f t="shared" si="7"/>
        <v>6.4480000000033399E-5</v>
      </c>
      <c r="AQ49" s="88">
        <f t="shared" si="8"/>
        <v>-4.7957949999999985E-3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37.452598999999999</v>
      </c>
      <c r="Y50" s="190">
        <v>40.747056999999998</v>
      </c>
      <c r="Z50" s="190">
        <v>0.98783792000000004</v>
      </c>
      <c r="AA50" s="62">
        <v>0.99170005000000006</v>
      </c>
      <c r="AB50" s="62">
        <v>2.2389967E-2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1.4850980000000007</v>
      </c>
      <c r="AN50" s="122">
        <f t="shared" si="5"/>
        <v>0.69946699999999851</v>
      </c>
      <c r="AO50" s="122">
        <f t="shared" si="6"/>
        <v>-5.2014999999994149E-4</v>
      </c>
      <c r="AP50" s="122">
        <f t="shared" si="7"/>
        <v>1.3448000000004789E-4</v>
      </c>
      <c r="AQ50" s="88">
        <f t="shared" si="8"/>
        <v>-5.5885529999999996E-3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41.037160999999998</v>
      </c>
      <c r="Y51" s="190">
        <v>44.135078</v>
      </c>
      <c r="Z51" s="190">
        <v>0.99310401999999998</v>
      </c>
      <c r="AA51" s="62">
        <v>0.99581637999999995</v>
      </c>
      <c r="AB51" s="62">
        <v>1.0082012E-2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2.1499109999999959</v>
      </c>
      <c r="AN51" s="122">
        <f t="shared" si="5"/>
        <v>0.95747000000000071</v>
      </c>
      <c r="AO51" s="122">
        <f t="shared" si="6"/>
        <v>-3.8765000000007266E-4</v>
      </c>
      <c r="AP51" s="122">
        <f t="shared" si="7"/>
        <v>1.6190999999998734E-4</v>
      </c>
      <c r="AQ51" s="88">
        <f t="shared" si="8"/>
        <v>-4.6404670000000005E-3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29.874842000000001</v>
      </c>
      <c r="Y53" s="97">
        <v>33.642761999999998</v>
      </c>
      <c r="Z53" s="97">
        <v>0.96358889000000003</v>
      </c>
      <c r="AA53" s="60">
        <v>0.97072188000000004</v>
      </c>
      <c r="AB53" s="60">
        <v>5.6228273000000002E-2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0.18110100000000173</v>
      </c>
      <c r="AN53" s="96">
        <f t="shared" si="5"/>
        <v>0.37565099999999774</v>
      </c>
      <c r="AO53" s="96">
        <f t="shared" si="6"/>
        <v>-2.9785999999998314E-4</v>
      </c>
      <c r="AP53" s="96">
        <f t="shared" si="7"/>
        <v>4.3789000000005185E-4</v>
      </c>
      <c r="AQ53" s="121">
        <f t="shared" si="8"/>
        <v>-7.7470609999999926E-3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33.395401</v>
      </c>
      <c r="Y54" s="190">
        <v>36.678046000000002</v>
      </c>
      <c r="Z54" s="190">
        <v>0.97766142</v>
      </c>
      <c r="AA54" s="62">
        <v>0.98266213999999996</v>
      </c>
      <c r="AB54" s="62">
        <v>3.6589419999999998E-2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0.7903349999999989</v>
      </c>
      <c r="AN54" s="122">
        <f t="shared" si="5"/>
        <v>0.53041500000000497</v>
      </c>
      <c r="AO54" s="122">
        <f t="shared" si="6"/>
        <v>-5.7973000000000052E-4</v>
      </c>
      <c r="AP54" s="122">
        <f t="shared" si="7"/>
        <v>1.7232000000000358E-4</v>
      </c>
      <c r="AQ54" s="88">
        <f t="shared" si="8"/>
        <v>-5.8046560000000053E-3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37.286768000000002</v>
      </c>
      <c r="Y55" s="190">
        <v>40.615664000000002</v>
      </c>
      <c r="Z55" s="190">
        <v>0.98768869999999997</v>
      </c>
      <c r="AA55" s="62">
        <v>0.99161613999999998</v>
      </c>
      <c r="AB55" s="62">
        <v>2.2581559000000001E-2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1.4370469999999997</v>
      </c>
      <c r="AN55" s="122">
        <f t="shared" si="5"/>
        <v>0.67799500000000279</v>
      </c>
      <c r="AO55" s="122">
        <f t="shared" si="6"/>
        <v>-4.6168000000001985E-4</v>
      </c>
      <c r="AP55" s="122">
        <f t="shared" si="7"/>
        <v>1.5584999999995741E-4</v>
      </c>
      <c r="AQ55" s="88">
        <f t="shared" si="8"/>
        <v>-5.7361849999999978E-3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40.953637999999998</v>
      </c>
      <c r="Y56" s="190">
        <v>44.067453999999998</v>
      </c>
      <c r="Z56" s="190">
        <v>0.99308616000000005</v>
      </c>
      <c r="AA56" s="62">
        <v>0.99578650999999996</v>
      </c>
      <c r="AB56" s="62">
        <v>9.7864700000000002E-3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1.9173479999999969</v>
      </c>
      <c r="AN56" s="122">
        <f t="shared" si="5"/>
        <v>0.86240099999999842</v>
      </c>
      <c r="AO56" s="122">
        <f t="shared" si="6"/>
        <v>-3.4564999999997514E-4</v>
      </c>
      <c r="AP56" s="122">
        <f t="shared" si="7"/>
        <v>2.2437999999991298E-4</v>
      </c>
      <c r="AQ56" s="88">
        <f t="shared" si="8"/>
        <v>-3.7762300000000002E-3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30.068854999999999</v>
      </c>
      <c r="Y58" s="97">
        <v>33.814394</v>
      </c>
      <c r="Z58" s="97">
        <v>0.96329471</v>
      </c>
      <c r="AA58" s="60">
        <v>0.97111932999999995</v>
      </c>
      <c r="AB58" s="60">
        <v>5.7475545000000003E-2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0.17949300000000079</v>
      </c>
      <c r="AN58" s="96">
        <f t="shared" si="5"/>
        <v>0.37091399999999908</v>
      </c>
      <c r="AO58" s="96">
        <f t="shared" si="6"/>
        <v>-2.4376000000003728E-4</v>
      </c>
      <c r="AP58" s="96">
        <f t="shared" si="7"/>
        <v>1.8677999999994199E-4</v>
      </c>
      <c r="AQ58" s="121">
        <f t="shared" si="8"/>
        <v>-7.3581649999999998E-3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33.449938000000003</v>
      </c>
      <c r="Y59" s="190">
        <v>36.754029000000003</v>
      </c>
      <c r="Z59" s="190">
        <v>0.97758493999999996</v>
      </c>
      <c r="AA59" s="62">
        <v>0.98313877999999999</v>
      </c>
      <c r="AB59" s="62">
        <v>3.6853141999999998E-2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0.69197400000000187</v>
      </c>
      <c r="AN59" s="122">
        <f t="shared" si="5"/>
        <v>0.48263000000000034</v>
      </c>
      <c r="AO59" s="122">
        <f t="shared" si="6"/>
        <v>-5.4354000000000902E-4</v>
      </c>
      <c r="AP59" s="122">
        <f t="shared" si="7"/>
        <v>1.3231000000002435E-4</v>
      </c>
      <c r="AQ59" s="88">
        <f t="shared" si="8"/>
        <v>-5.9098939999999989E-3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37.038542</v>
      </c>
      <c r="Y60" s="190">
        <v>40.421664999999997</v>
      </c>
      <c r="Z60" s="190">
        <v>0.98771452000000004</v>
      </c>
      <c r="AA60" s="62">
        <v>0.99162167000000001</v>
      </c>
      <c r="AB60" s="62">
        <v>2.3318796999999999E-2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1.1354729999999975</v>
      </c>
      <c r="AN60" s="122">
        <f t="shared" si="5"/>
        <v>0.47894399999999848</v>
      </c>
      <c r="AO60" s="122">
        <f t="shared" si="6"/>
        <v>-4.8172999999995803E-4</v>
      </c>
      <c r="AP60" s="122">
        <f t="shared" si="7"/>
        <v>2.0312000000000108E-4</v>
      </c>
      <c r="AQ60" s="88">
        <f t="shared" si="8"/>
        <v>-5.3688130000000001E-3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40.767468999999998</v>
      </c>
      <c r="Y61" s="190">
        <v>43.924280000000003</v>
      </c>
      <c r="Z61" s="190">
        <v>0.99308048000000004</v>
      </c>
      <c r="AA61" s="62">
        <v>0.99577837000000002</v>
      </c>
      <c r="AB61" s="62">
        <v>1.0145506E-2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1.435884999999999</v>
      </c>
      <c r="AN61" s="122">
        <f t="shared" si="5"/>
        <v>0.52897500000000264</v>
      </c>
      <c r="AO61" s="122">
        <f t="shared" si="6"/>
        <v>-3.9106999999993786E-4</v>
      </c>
      <c r="AP61" s="122">
        <f t="shared" si="7"/>
        <v>2.4454000000007081E-4</v>
      </c>
      <c r="AQ61" s="88">
        <f t="shared" si="8"/>
        <v>-2.8882170000000002E-3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30.076286</v>
      </c>
      <c r="Y63" s="97">
        <v>33.988770000000002</v>
      </c>
      <c r="Z63" s="97">
        <v>0.96206411000000003</v>
      </c>
      <c r="AA63" s="60">
        <v>0.97180489999999997</v>
      </c>
      <c r="AB63" s="60">
        <v>5.9154930000000001E-2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-0.11649200000000093</v>
      </c>
      <c r="AN63" s="96">
        <f t="shared" si="5"/>
        <v>0.13903799999999933</v>
      </c>
      <c r="AO63" s="96">
        <f t="shared" si="6"/>
        <v>-4.3661999999999868E-4</v>
      </c>
      <c r="AP63" s="96">
        <f t="shared" si="7"/>
        <v>1.9075000000001729E-4</v>
      </c>
      <c r="AQ63" s="121">
        <f t="shared" si="8"/>
        <v>-4.1625900000000007E-3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33.466411000000001</v>
      </c>
      <c r="Y64" s="190">
        <v>36.853242000000002</v>
      </c>
      <c r="Z64" s="190">
        <v>0.97727998000000005</v>
      </c>
      <c r="AA64" s="62">
        <v>0.98329007999999996</v>
      </c>
      <c r="AB64" s="62">
        <v>3.7455015000000001E-2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0.19119100000000344</v>
      </c>
      <c r="AN64" s="122">
        <f t="shared" si="5"/>
        <v>0.16460500000000167</v>
      </c>
      <c r="AO64" s="122">
        <f t="shared" si="6"/>
        <v>-6.300999999999668E-4</v>
      </c>
      <c r="AP64" s="122">
        <f t="shared" si="7"/>
        <v>9.044999999996417E-5</v>
      </c>
      <c r="AQ64" s="88">
        <f t="shared" si="8"/>
        <v>-3.0191019999999957E-3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37.143763999999997</v>
      </c>
      <c r="Y65" s="190">
        <v>40.498137</v>
      </c>
      <c r="Z65" s="190">
        <v>0.98777252000000004</v>
      </c>
      <c r="AA65" s="62">
        <v>0.99172989</v>
      </c>
      <c r="AB65" s="62">
        <v>2.3147292E-2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0.60621499999999884</v>
      </c>
      <c r="AN65" s="122">
        <f t="shared" si="5"/>
        <v>0.10882900000000006</v>
      </c>
      <c r="AO65" s="122">
        <f t="shared" si="6"/>
        <v>-6.0609000000000357E-4</v>
      </c>
      <c r="AP65" s="122">
        <f t="shared" si="7"/>
        <v>-6.4529999999951571E-5</v>
      </c>
      <c r="AQ65" s="88">
        <f t="shared" si="8"/>
        <v>-3.693801E-3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40.706449999999997</v>
      </c>
      <c r="Y66" s="190">
        <v>43.859662999999998</v>
      </c>
      <c r="Z66" s="190">
        <v>0.99307224999999999</v>
      </c>
      <c r="AA66" s="62">
        <v>0.99583440000000001</v>
      </c>
      <c r="AB66" s="62">
        <v>1.0414743000000001E-2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0.6806359999999998</v>
      </c>
      <c r="AN66" s="122">
        <f t="shared" si="5"/>
        <v>-1.6974000000004708E-2</v>
      </c>
      <c r="AO66" s="122">
        <f t="shared" si="6"/>
        <v>-5.3276999999996022E-4</v>
      </c>
      <c r="AP66" s="122">
        <f t="shared" si="7"/>
        <v>8.6900000000000865E-5</v>
      </c>
      <c r="AQ66" s="88">
        <f t="shared" si="8"/>
        <v>-1.8530229999999988E-3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29.053699999999999</v>
      </c>
      <c r="Y68" s="97">
        <v>33.147042999999996</v>
      </c>
      <c r="Z68" s="97">
        <v>0.96266331999999999</v>
      </c>
      <c r="AA68" s="60">
        <v>0.96955986999999999</v>
      </c>
      <c r="AB68" s="60">
        <v>5.6395250000000001E-2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0.29566999999999766</v>
      </c>
      <c r="AN68" s="96">
        <f t="shared" si="5"/>
        <v>0.97117199999999571</v>
      </c>
      <c r="AO68" s="96">
        <f t="shared" si="6"/>
        <v>1.9811999999996832E-4</v>
      </c>
      <c r="AP68" s="96">
        <f t="shared" si="7"/>
        <v>1.0528600000000443E-3</v>
      </c>
      <c r="AQ68" s="121">
        <f t="shared" si="8"/>
        <v>-1.3880679999999999E-2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33.380825000000002</v>
      </c>
      <c r="Y69" s="190">
        <v>36.734642999999998</v>
      </c>
      <c r="Z69" s="190">
        <v>0.97827354</v>
      </c>
      <c r="AA69" s="62">
        <v>0.98324761000000005</v>
      </c>
      <c r="AB69" s="62">
        <v>3.5135989999999999E-2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1.3862950000000005</v>
      </c>
      <c r="AN69" s="122">
        <f t="shared" si="5"/>
        <v>1.1754499999999979</v>
      </c>
      <c r="AO69" s="122">
        <f t="shared" si="6"/>
        <v>-7.0589999999981501E-5</v>
      </c>
      <c r="AP69" s="122">
        <f t="shared" si="7"/>
        <v>7.1798000000000695E-4</v>
      </c>
      <c r="AQ69" s="88">
        <f t="shared" si="8"/>
        <v>-1.1971923000000002E-2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37.386259000000003</v>
      </c>
      <c r="Y70" s="190">
        <v>40.586809000000002</v>
      </c>
      <c r="Z70" s="190">
        <v>0.98875584000000005</v>
      </c>
      <c r="AA70" s="62">
        <v>0.99231016999999999</v>
      </c>
      <c r="AB70" s="62">
        <v>1.8832415000000002E-2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2.5455690000000004</v>
      </c>
      <c r="AN70" s="122">
        <f t="shared" si="5"/>
        <v>1.530733000000005</v>
      </c>
      <c r="AO70" s="122">
        <f t="shared" si="6"/>
        <v>2.8030000000067723E-5</v>
      </c>
      <c r="AP70" s="122">
        <f t="shared" si="7"/>
        <v>4.9911000000002481E-4</v>
      </c>
      <c r="AQ70" s="88">
        <f t="shared" si="8"/>
        <v>-1.0632647999999998E-2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41.602922</v>
      </c>
      <c r="Y71" s="190">
        <v>44.628239999999998</v>
      </c>
      <c r="Z71" s="190">
        <v>0.99373451000000002</v>
      </c>
      <c r="AA71" s="62">
        <v>0.99616161999999997</v>
      </c>
      <c r="AB71" s="62">
        <v>8.5133369999999993E-3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3.520268999999999</v>
      </c>
      <c r="AN71" s="122">
        <f t="shared" si="5"/>
        <v>2.2122059999999948</v>
      </c>
      <c r="AO71" s="122">
        <f t="shared" si="6"/>
        <v>2.9170000000022789E-5</v>
      </c>
      <c r="AP71" s="122">
        <f t="shared" si="7"/>
        <v>3.6748999999991483E-4</v>
      </c>
      <c r="AQ71" s="88">
        <f t="shared" si="8"/>
        <v>-6.4475500000000015E-3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29.986813999999999</v>
      </c>
      <c r="Y73" s="97">
        <v>34.179893999999997</v>
      </c>
      <c r="Z73" s="97">
        <v>0.96562817000000001</v>
      </c>
      <c r="AA73" s="60">
        <v>0.97073304999999999</v>
      </c>
      <c r="AB73" s="60">
        <v>5.2308895000000001E-2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0.26498899999999992</v>
      </c>
      <c r="AN73" s="96">
        <f t="shared" si="5"/>
        <v>0.73874499999999443</v>
      </c>
      <c r="AO73" s="96">
        <f t="shared" si="6"/>
        <v>3.4235000000004678E-4</v>
      </c>
      <c r="AP73" s="96">
        <f t="shared" si="7"/>
        <v>1.0207100000000358E-3</v>
      </c>
      <c r="AQ73" s="121">
        <f t="shared" si="8"/>
        <v>-9.3184889999999992E-3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33.699930000000002</v>
      </c>
      <c r="Y74" s="190">
        <v>37.117106</v>
      </c>
      <c r="Z74" s="190">
        <v>0.97902509999999998</v>
      </c>
      <c r="AA74" s="62">
        <v>0.98326336999999997</v>
      </c>
      <c r="AB74" s="62">
        <v>3.4000836E-2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1.1408169999999984</v>
      </c>
      <c r="AN74" s="122">
        <f t="shared" si="5"/>
        <v>0.84178800000000109</v>
      </c>
      <c r="AO74" s="122">
        <f t="shared" si="6"/>
        <v>-1.1240000000001249E-4</v>
      </c>
      <c r="AP74" s="122">
        <f t="shared" si="7"/>
        <v>5.0832000000000654E-4</v>
      </c>
      <c r="AQ74" s="88">
        <f t="shared" si="8"/>
        <v>-7.0507240000000013E-3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38.007523999999997</v>
      </c>
      <c r="Y75" s="190">
        <v>41.270392000000001</v>
      </c>
      <c r="Z75" s="190">
        <v>0.98884744999999996</v>
      </c>
      <c r="AA75" s="62">
        <v>0.99233044999999998</v>
      </c>
      <c r="AB75" s="62">
        <v>1.8555453E-2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1.7432299999999969</v>
      </c>
      <c r="AN75" s="122">
        <f t="shared" si="5"/>
        <v>1.01173</v>
      </c>
      <c r="AO75" s="122">
        <f t="shared" si="6"/>
        <v>-2.8710000000042868E-5</v>
      </c>
      <c r="AP75" s="122">
        <f t="shared" si="7"/>
        <v>4.8490000000001032E-4</v>
      </c>
      <c r="AQ75" s="88">
        <f t="shared" si="8"/>
        <v>-5.2889729999999989E-3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41.792606999999997</v>
      </c>
      <c r="Y76" s="190">
        <v>44.843606000000001</v>
      </c>
      <c r="Z76" s="190">
        <v>0.9937011</v>
      </c>
      <c r="AA76" s="62">
        <v>0.99620997</v>
      </c>
      <c r="AB76" s="62">
        <v>8.571281E-3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3.5180379999999971</v>
      </c>
      <c r="AN76" s="122">
        <f t="shared" si="5"/>
        <v>2.1470490000000026</v>
      </c>
      <c r="AO76" s="122">
        <f t="shared" si="6"/>
        <v>2.3879999999976143E-5</v>
      </c>
      <c r="AP76" s="122">
        <f t="shared" si="7"/>
        <v>4.494800000000021E-4</v>
      </c>
      <c r="AQ76" s="88">
        <f t="shared" si="8"/>
        <v>-7.6722289999999992E-3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30.232248999999999</v>
      </c>
      <c r="Y78" s="97">
        <v>34.040793999999998</v>
      </c>
      <c r="Z78" s="97">
        <v>0.96706897000000003</v>
      </c>
      <c r="AA78" s="60">
        <v>0.97204663999999996</v>
      </c>
      <c r="AB78" s="60">
        <v>5.3849055999999999E-2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0.41620699999999999</v>
      </c>
      <c r="AN78" s="96">
        <f t="shared" si="5"/>
        <v>0.53421600000000069</v>
      </c>
      <c r="AO78" s="96">
        <f t="shared" si="6"/>
        <v>2.5510000000006361E-4</v>
      </c>
      <c r="AP78" s="96">
        <f t="shared" si="7"/>
        <v>6.6544000000001713E-4</v>
      </c>
      <c r="AQ78" s="121">
        <f t="shared" si="8"/>
        <v>-1.0474374000000002E-2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33.464694999999999</v>
      </c>
      <c r="Y79" s="190">
        <v>36.801937000000002</v>
      </c>
      <c r="Z79" s="190">
        <v>0.97936002</v>
      </c>
      <c r="AA79" s="62">
        <v>0.98324160999999999</v>
      </c>
      <c r="AB79" s="62">
        <v>3.5697237E-2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1.0758459999999985</v>
      </c>
      <c r="AN79" s="122">
        <f t="shared" si="5"/>
        <v>0.6023050000000012</v>
      </c>
      <c r="AO79" s="122">
        <f t="shared" si="6"/>
        <v>-2.3212999999999706E-4</v>
      </c>
      <c r="AP79" s="122">
        <f t="shared" si="7"/>
        <v>3.3486999999998712E-4</v>
      </c>
      <c r="AQ79" s="88">
        <f t="shared" si="8"/>
        <v>-7.0825529999999984E-3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37.730300999999997</v>
      </c>
      <c r="Y80" s="190">
        <v>41.092908999999999</v>
      </c>
      <c r="Z80" s="190">
        <v>0.98883463000000005</v>
      </c>
      <c r="AA80" s="62">
        <v>0.99228207999999996</v>
      </c>
      <c r="AB80" s="62">
        <v>1.9856711999999999E-2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1.7977109999999996</v>
      </c>
      <c r="AN80" s="122">
        <f t="shared" si="5"/>
        <v>0.95507200000000125</v>
      </c>
      <c r="AO80" s="122">
        <f t="shared" si="6"/>
        <v>-1.8670999999992333E-4</v>
      </c>
      <c r="AP80" s="122">
        <f t="shared" si="7"/>
        <v>3.936399999999729E-4</v>
      </c>
      <c r="AQ80" s="88">
        <f t="shared" si="8"/>
        <v>-7.4534660000000023E-3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41.661816999999999</v>
      </c>
      <c r="Y81" s="190">
        <v>44.820932999999997</v>
      </c>
      <c r="Z81" s="190">
        <v>0.99359520000000001</v>
      </c>
      <c r="AA81" s="62">
        <v>0.99616563000000002</v>
      </c>
      <c r="AB81" s="62">
        <v>8.9345569999999992E-3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2.9760969999999958</v>
      </c>
      <c r="AN81" s="122">
        <f t="shared" si="5"/>
        <v>1.7122399999999942</v>
      </c>
      <c r="AO81" s="122">
        <f t="shared" si="6"/>
        <v>-1.2420000000001874E-4</v>
      </c>
      <c r="AP81" s="122">
        <f t="shared" si="7"/>
        <v>3.5433000000006931E-4</v>
      </c>
      <c r="AQ81" s="88">
        <f t="shared" si="8"/>
        <v>-6.6620930000000009E-3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30.369592000000001</v>
      </c>
      <c r="Y83" s="97">
        <v>34.272987999999998</v>
      </c>
      <c r="Z83" s="97">
        <v>0.96802597000000001</v>
      </c>
      <c r="AA83" s="60">
        <v>0.97403220999999995</v>
      </c>
      <c r="AB83" s="60">
        <v>5.1669100000000003E-2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-0.13504000000000005</v>
      </c>
      <c r="AN83" s="96">
        <f t="shared" si="5"/>
        <v>0.41794900000000013</v>
      </c>
      <c r="AO83" s="96">
        <f t="shared" si="6"/>
        <v>2.8574999999997353E-4</v>
      </c>
      <c r="AP83" s="96">
        <f t="shared" si="7"/>
        <v>6.6071999999994802E-4</v>
      </c>
      <c r="AQ83" s="121">
        <f t="shared" si="8"/>
        <v>-7.9051839999999957E-3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34.154195000000001</v>
      </c>
      <c r="Y84" s="190">
        <v>37.417852000000003</v>
      </c>
      <c r="Z84" s="190">
        <v>0.97990633999999999</v>
      </c>
      <c r="AA84" s="62">
        <v>0.98454441999999998</v>
      </c>
      <c r="AB84" s="62">
        <v>3.3533880000000002E-2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0.92859200000000186</v>
      </c>
      <c r="AN84" s="122">
        <f t="shared" si="5"/>
        <v>0.69453900000000601</v>
      </c>
      <c r="AO84" s="122">
        <f t="shared" si="6"/>
        <v>-2.4082999999996968E-4</v>
      </c>
      <c r="AP84" s="122">
        <f t="shared" si="7"/>
        <v>4.6888999999994407E-4</v>
      </c>
      <c r="AQ84" s="88">
        <f t="shared" si="8"/>
        <v>-5.8425539999999998E-3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38.133707000000001</v>
      </c>
      <c r="Y85" s="190">
        <v>41.371785000000003</v>
      </c>
      <c r="Z85" s="190">
        <v>0.98871332999999995</v>
      </c>
      <c r="AA85" s="62">
        <v>0.99238044999999997</v>
      </c>
      <c r="AB85" s="62">
        <v>1.9693375999999999E-2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1.8347430000000031</v>
      </c>
      <c r="AN85" s="122">
        <f t="shared" si="5"/>
        <v>0.9534800000000061</v>
      </c>
      <c r="AO85" s="122">
        <f t="shared" si="6"/>
        <v>-1.594700000000504E-4</v>
      </c>
      <c r="AP85" s="122">
        <f t="shared" si="7"/>
        <v>1.8566999999991562E-4</v>
      </c>
      <c r="AQ85" s="88">
        <f t="shared" si="8"/>
        <v>-6.0982090000000003E-3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41.792910999999997</v>
      </c>
      <c r="Y86" s="190">
        <v>44.877738999999998</v>
      </c>
      <c r="Z86" s="190">
        <v>0.99343857999999996</v>
      </c>
      <c r="AA86" s="62">
        <v>0.99616203999999997</v>
      </c>
      <c r="AB86" s="62">
        <v>9.0162599999999999E-3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2.6135769999999994</v>
      </c>
      <c r="AN86" s="122">
        <f t="shared" si="5"/>
        <v>1.4055859999999996</v>
      </c>
      <c r="AO86" s="122">
        <f t="shared" si="6"/>
        <v>-1.2699999999998823E-4</v>
      </c>
      <c r="AP86" s="122">
        <f t="shared" si="7"/>
        <v>3.9135000000001252E-4</v>
      </c>
      <c r="AQ86" s="88">
        <f t="shared" si="8"/>
        <v>-4.9106659999999993E-3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30.651720000000001</v>
      </c>
      <c r="Y88" s="97">
        <v>34.509962000000002</v>
      </c>
      <c r="Z88" s="97">
        <v>0.96844859999999999</v>
      </c>
      <c r="AA88" s="60">
        <v>0.97426195000000004</v>
      </c>
      <c r="AB88" s="60">
        <v>5.0179686000000001E-2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0.14526700000000048</v>
      </c>
      <c r="AN88" s="96">
        <f t="shared" si="5"/>
        <v>0.44426299999999941</v>
      </c>
      <c r="AO88" s="96">
        <f t="shared" si="6"/>
        <v>3.1630999999998632E-4</v>
      </c>
      <c r="AP88" s="96">
        <f t="shared" si="7"/>
        <v>7.8454999999999497E-4</v>
      </c>
      <c r="AQ88" s="121">
        <f t="shared" si="8"/>
        <v>-7.7113509999999982E-3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34.236018999999999</v>
      </c>
      <c r="Y89" s="190">
        <v>37.486795000000001</v>
      </c>
      <c r="Z89" s="190">
        <v>0.98036688999999999</v>
      </c>
      <c r="AA89" s="62">
        <v>0.98506948999999999</v>
      </c>
      <c r="AB89" s="62">
        <v>3.2696437000000002E-2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0.75819399999999604</v>
      </c>
      <c r="AN89" s="122">
        <f t="shared" si="5"/>
        <v>0.53939100000000195</v>
      </c>
      <c r="AO89" s="122">
        <f t="shared" si="6"/>
        <v>-2.5421000000003247E-4</v>
      </c>
      <c r="AP89" s="122">
        <f t="shared" si="7"/>
        <v>4.5910999999998481E-4</v>
      </c>
      <c r="AQ89" s="88">
        <f t="shared" si="8"/>
        <v>-5.0442669999999981E-3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38.354571999999997</v>
      </c>
      <c r="Y90" s="190">
        <v>41.589095</v>
      </c>
      <c r="Z90" s="190">
        <v>0.98893202999999996</v>
      </c>
      <c r="AA90" s="62">
        <v>0.99257945999999997</v>
      </c>
      <c r="AB90" s="62">
        <v>1.9068762999999999E-2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1.6055179999999964</v>
      </c>
      <c r="AN90" s="122">
        <f t="shared" si="5"/>
        <v>0.86259400000000142</v>
      </c>
      <c r="AO90" s="122">
        <f t="shared" si="6"/>
        <v>-1.4619000000004601E-4</v>
      </c>
      <c r="AP90" s="122">
        <f t="shared" si="7"/>
        <v>3.8970999999998757E-4</v>
      </c>
      <c r="AQ90" s="88">
        <f t="shared" si="8"/>
        <v>-4.7165730000000017E-3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42.030455000000003</v>
      </c>
      <c r="Y91" s="190">
        <v>45.108491999999998</v>
      </c>
      <c r="Z91" s="190">
        <v>0.993645</v>
      </c>
      <c r="AA91" s="62">
        <v>0.99625039999999998</v>
      </c>
      <c r="AB91" s="62">
        <v>8.6972695000000003E-3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2.3571260000000009</v>
      </c>
      <c r="AN91" s="122">
        <f t="shared" si="5"/>
        <v>1.2569469999999967</v>
      </c>
      <c r="AO91" s="122">
        <f t="shared" si="6"/>
        <v>-1.2833999999994905E-4</v>
      </c>
      <c r="AP91" s="122">
        <f t="shared" si="7"/>
        <v>3.9292000000001881E-4</v>
      </c>
      <c r="AQ91" s="88">
        <f t="shared" si="8"/>
        <v>-3.9735875000000004E-3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31.023472000000002</v>
      </c>
      <c r="Y93" s="97">
        <v>34.784705000000002</v>
      </c>
      <c r="Z93" s="97">
        <v>0.96874539000000004</v>
      </c>
      <c r="AA93" s="60">
        <v>0.97468259999999995</v>
      </c>
      <c r="AB93" s="60">
        <v>5.1244836000000002E-2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0.33122100000000287</v>
      </c>
      <c r="AN93" s="96">
        <f t="shared" si="5"/>
        <v>0.40801400000000143</v>
      </c>
      <c r="AO93" s="96">
        <f t="shared" si="6"/>
        <v>3.200600000000664E-4</v>
      </c>
      <c r="AP93" s="96">
        <f t="shared" si="7"/>
        <v>2.3736999999990349E-4</v>
      </c>
      <c r="AQ93" s="121">
        <f t="shared" si="8"/>
        <v>-7.8302509999999964E-3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34.344028000000002</v>
      </c>
      <c r="Y94" s="190">
        <v>37.655901</v>
      </c>
      <c r="Z94" s="190">
        <v>0.98049891</v>
      </c>
      <c r="AA94" s="62">
        <v>0.98539734000000001</v>
      </c>
      <c r="AB94" s="62">
        <v>3.3478964E-2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0.82126500000000391</v>
      </c>
      <c r="AN94" s="122">
        <f t="shared" si="5"/>
        <v>0.48726099999999661</v>
      </c>
      <c r="AO94" s="122">
        <f t="shared" si="6"/>
        <v>-2.071799999999735E-4</v>
      </c>
      <c r="AP94" s="122">
        <f t="shared" si="7"/>
        <v>2.9202999999999868E-4</v>
      </c>
      <c r="AQ94" s="88">
        <f t="shared" si="8"/>
        <v>-4.8040040000000006E-3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37.950622000000003</v>
      </c>
      <c r="Y95" s="190">
        <v>41.358257999999999</v>
      </c>
      <c r="Z95" s="190">
        <v>0.98908841000000003</v>
      </c>
      <c r="AA95" s="62">
        <v>0.99260601000000004</v>
      </c>
      <c r="AB95" s="62">
        <v>2.0309641999999999E-2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1.2072199999999995</v>
      </c>
      <c r="AN95" s="122">
        <f t="shared" si="5"/>
        <v>0.68780499999999734</v>
      </c>
      <c r="AO95" s="122">
        <f t="shared" si="6"/>
        <v>-1.3945999999998016E-4</v>
      </c>
      <c r="AP95" s="122">
        <f t="shared" si="7"/>
        <v>2.4602000000006896E-4</v>
      </c>
      <c r="AQ95" s="88">
        <f t="shared" si="8"/>
        <v>-4.0765669999999997E-3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41.997101999999998</v>
      </c>
      <c r="Y96" s="190">
        <v>45.152678000000002</v>
      </c>
      <c r="Z96" s="190">
        <v>0.99373990999999995</v>
      </c>
      <c r="AA96" s="62">
        <v>0.99627979</v>
      </c>
      <c r="AB96" s="62">
        <v>8.9809989999999999E-3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2.0113939999999957</v>
      </c>
      <c r="AN96" s="122">
        <f t="shared" si="5"/>
        <v>1.036483000000004</v>
      </c>
      <c r="AO96" s="122">
        <f t="shared" si="6"/>
        <v>-1.377900000000265E-4</v>
      </c>
      <c r="AP96" s="122">
        <f t="shared" si="7"/>
        <v>3.4316999999994824E-4</v>
      </c>
      <c r="AQ96" s="88">
        <f t="shared" si="8"/>
        <v>-3.3064340000000005E-3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31.083456999999999</v>
      </c>
      <c r="Y98" s="97">
        <v>35.176729999999999</v>
      </c>
      <c r="Z98" s="97">
        <v>0.96779126000000004</v>
      </c>
      <c r="AA98" s="60">
        <v>0.97497387000000002</v>
      </c>
      <c r="AB98" s="60">
        <v>5.3142904999999997E-2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-0.1166400000000003</v>
      </c>
      <c r="AN98" s="96">
        <f t="shared" si="15"/>
        <v>0.14400499999999994</v>
      </c>
      <c r="AO98" s="96">
        <f t="shared" si="16"/>
        <v>1.0326000000004942E-4</v>
      </c>
      <c r="AP98" s="96">
        <f t="shared" si="17"/>
        <v>1.5900000000068637E-5</v>
      </c>
      <c r="AQ98" s="121">
        <f t="shared" si="18"/>
        <v>-3.2427050000000054E-3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34.572626</v>
      </c>
      <c r="Y99" s="190">
        <v>38.051445000000001</v>
      </c>
      <c r="Z99" s="190">
        <v>0.98019223</v>
      </c>
      <c r="AA99" s="62">
        <v>0.98559103000000003</v>
      </c>
      <c r="AB99" s="62">
        <v>3.3905465000000003E-2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0.34589599999999621</v>
      </c>
      <c r="AN99" s="122">
        <f t="shared" si="15"/>
        <v>0.2350190000000012</v>
      </c>
      <c r="AO99" s="122">
        <f t="shared" si="16"/>
        <v>-2.8172000000004083E-4</v>
      </c>
      <c r="AP99" s="122">
        <f t="shared" si="17"/>
        <v>2.3592000000005608E-4</v>
      </c>
      <c r="AQ99" s="88">
        <f t="shared" si="18"/>
        <v>-1.6665199999999977E-3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38.149242000000001</v>
      </c>
      <c r="Y100" s="190">
        <v>41.458145999999999</v>
      </c>
      <c r="Z100" s="190">
        <v>0.98908514999999997</v>
      </c>
      <c r="AA100" s="62">
        <v>0.9925408</v>
      </c>
      <c r="AB100" s="62">
        <v>2.0479942000000001E-2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0.83198800000000261</v>
      </c>
      <c r="AN100" s="122">
        <f t="shared" si="15"/>
        <v>0.41566600000000165</v>
      </c>
      <c r="AO100" s="122">
        <f t="shared" si="16"/>
        <v>-2.151500000000528E-4</v>
      </c>
      <c r="AP100" s="122">
        <f t="shared" si="17"/>
        <v>6.5410000000043489E-5</v>
      </c>
      <c r="AQ100" s="88">
        <f t="shared" si="18"/>
        <v>-2.3393079999999983E-3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42.049107999999997</v>
      </c>
      <c r="Y101" s="190">
        <v>45.195444000000002</v>
      </c>
      <c r="Z101" s="190">
        <v>0.99378825000000004</v>
      </c>
      <c r="AA101" s="62">
        <v>0.99629184000000004</v>
      </c>
      <c r="AB101" s="62">
        <v>9.5033380000000001E-3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1.285470999999994</v>
      </c>
      <c r="AN101" s="122">
        <f t="shared" si="15"/>
        <v>0.56558199999999914</v>
      </c>
      <c r="AO101" s="122">
        <f t="shared" si="16"/>
        <v>-2.2025999999997214E-4</v>
      </c>
      <c r="AP101" s="122">
        <f t="shared" si="17"/>
        <v>2.273900000000495E-4</v>
      </c>
      <c r="AQ101" s="88">
        <f t="shared" si="18"/>
        <v>-1.9971859999999998E-3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31.107296000000002</v>
      </c>
      <c r="Y103" s="97">
        <v>35.398940000000003</v>
      </c>
      <c r="Z103" s="97">
        <v>0.96872579999999997</v>
      </c>
      <c r="AA103" s="60">
        <v>0.97721104000000003</v>
      </c>
      <c r="AB103" s="60">
        <v>5.9604443999999999E-2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0.21562200000000331</v>
      </c>
      <c r="AN103" s="96">
        <f t="shared" si="15"/>
        <v>1.1120940000000061</v>
      </c>
      <c r="AO103" s="96">
        <f t="shared" si="16"/>
        <v>-3.9740000000065834E-5</v>
      </c>
      <c r="AP103" s="96">
        <f t="shared" si="17"/>
        <v>3.304999999997893E-5</v>
      </c>
      <c r="AQ103" s="121">
        <f t="shared" si="18"/>
        <v>-1.1996646000000007E-2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34.537292000000001</v>
      </c>
      <c r="Y104" s="190">
        <v>38.168291000000004</v>
      </c>
      <c r="Z104" s="190">
        <v>0.98095988000000001</v>
      </c>
      <c r="AA104" s="62">
        <v>0.98670756000000004</v>
      </c>
      <c r="AB104" s="62">
        <v>3.7364083999999999E-2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1.0234039999999993</v>
      </c>
      <c r="AN104" s="122">
        <f t="shared" si="15"/>
        <v>1.2361120000000057</v>
      </c>
      <c r="AO104" s="122">
        <f t="shared" si="16"/>
        <v>-7.4530000000017083E-5</v>
      </c>
      <c r="AP104" s="122">
        <f t="shared" si="17"/>
        <v>2.5232000000008359E-4</v>
      </c>
      <c r="AQ104" s="88">
        <f t="shared" si="18"/>
        <v>-1.1081551000000002E-2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38.616835000000002</v>
      </c>
      <c r="Y105" s="190">
        <v>41.796349999999997</v>
      </c>
      <c r="Z105" s="190">
        <v>0.98979801999999995</v>
      </c>
      <c r="AA105" s="62">
        <v>0.99353778000000004</v>
      </c>
      <c r="AB105" s="62">
        <v>2.0215866999999998E-2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2.587845999999999</v>
      </c>
      <c r="AN105" s="122">
        <f t="shared" si="15"/>
        <v>1.6072879999999969</v>
      </c>
      <c r="AO105" s="122">
        <f t="shared" si="16"/>
        <v>4.5109999999959349E-5</v>
      </c>
      <c r="AP105" s="122">
        <f t="shared" si="17"/>
        <v>4.180400000000084E-4</v>
      </c>
      <c r="AQ105" s="88">
        <f t="shared" si="18"/>
        <v>-1.0800609000000003E-2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42.254458999999997</v>
      </c>
      <c r="Y106" s="190">
        <v>45.194530999999998</v>
      </c>
      <c r="Z106" s="190">
        <v>0.99384233</v>
      </c>
      <c r="AA106" s="62">
        <v>0.99655318000000004</v>
      </c>
      <c r="AB106" s="62">
        <v>9.9414719999999998E-3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3.1659409999999966</v>
      </c>
      <c r="AN106" s="122">
        <f t="shared" si="15"/>
        <v>1.7626609999999943</v>
      </c>
      <c r="AO106" s="122">
        <f t="shared" si="16"/>
        <v>-4.7300000000083386E-6</v>
      </c>
      <c r="AP106" s="122">
        <f t="shared" si="17"/>
        <v>3.2567000000005564E-4</v>
      </c>
      <c r="AQ106" s="88">
        <f t="shared" si="18"/>
        <v>-6.8065840000000009E-3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31.021584000000001</v>
      </c>
      <c r="Y108" s="97">
        <v>35.393937999999999</v>
      </c>
      <c r="Z108" s="97">
        <v>0.97066089</v>
      </c>
      <c r="AA108" s="60">
        <v>0.97846924000000002</v>
      </c>
      <c r="AB108" s="60">
        <v>5.6064200000000002E-2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-0.26860199999999779</v>
      </c>
      <c r="AN108" s="96">
        <f t="shared" si="15"/>
        <v>0.58481899999999598</v>
      </c>
      <c r="AO108" s="96">
        <f t="shared" si="16"/>
        <v>-3.363000000000671E-5</v>
      </c>
      <c r="AP108" s="96">
        <f t="shared" si="17"/>
        <v>1.8834000000000906E-4</v>
      </c>
      <c r="AQ108" s="121">
        <f t="shared" si="18"/>
        <v>-6.8785800000000022E-3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34.190193999999998</v>
      </c>
      <c r="Y109" s="190">
        <v>37.966737000000002</v>
      </c>
      <c r="Z109" s="190">
        <v>0.98136783000000005</v>
      </c>
      <c r="AA109" s="62">
        <v>0.98678617999999996</v>
      </c>
      <c r="AB109" s="62">
        <v>3.6179700000000002E-2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0.21745899999999807</v>
      </c>
      <c r="AN109" s="122">
        <f t="shared" si="15"/>
        <v>0.66621400000000364</v>
      </c>
      <c r="AO109" s="122">
        <f t="shared" si="16"/>
        <v>-1.6882999999989767E-4</v>
      </c>
      <c r="AP109" s="122">
        <f t="shared" si="17"/>
        <v>1.1894000000001181E-4</v>
      </c>
      <c r="AQ109" s="88">
        <f t="shared" si="18"/>
        <v>-7.1293099999999998E-3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38.639167</v>
      </c>
      <c r="Y110" s="190">
        <v>41.825307000000002</v>
      </c>
      <c r="Z110" s="190">
        <v>0.98966061999999999</v>
      </c>
      <c r="AA110" s="62">
        <v>0.99319900999999999</v>
      </c>
      <c r="AB110" s="62">
        <v>2.079394E-2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1.2897409999999994</v>
      </c>
      <c r="AN110" s="122">
        <f t="shared" si="15"/>
        <v>0.70519600000000082</v>
      </c>
      <c r="AO110" s="122">
        <f t="shared" si="16"/>
        <v>-2.6239999999955188E-5</v>
      </c>
      <c r="AP110" s="122">
        <f t="shared" si="17"/>
        <v>4.9819999999978215E-5</v>
      </c>
      <c r="AQ110" s="88">
        <f t="shared" si="18"/>
        <v>-5.6176799999999999E-3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42.238866999999999</v>
      </c>
      <c r="Y111" s="190">
        <v>45.168399999999998</v>
      </c>
      <c r="Z111" s="190">
        <v>0.99380767999999997</v>
      </c>
      <c r="AA111" s="62">
        <v>0.99652713000000004</v>
      </c>
      <c r="AB111" s="62">
        <v>1.0337686E-2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3.0348770000000016</v>
      </c>
      <c r="AN111" s="122">
        <f t="shared" si="15"/>
        <v>1.5285599999999988</v>
      </c>
      <c r="AO111" s="122">
        <f t="shared" si="16"/>
        <v>-3.5369999999979029E-5</v>
      </c>
      <c r="AP111" s="122">
        <f t="shared" si="17"/>
        <v>4.1510000000000158E-4</v>
      </c>
      <c r="AQ111" s="88">
        <f t="shared" si="18"/>
        <v>-8.2833950000000007E-3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31.76341</v>
      </c>
      <c r="Y113" s="97">
        <v>35.480491000000001</v>
      </c>
      <c r="Z113" s="97">
        <v>0.97140881000000001</v>
      </c>
      <c r="AA113" s="60">
        <v>0.97916778000000004</v>
      </c>
      <c r="AB113" s="60">
        <v>5.6071598E-2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0.45603099999999941</v>
      </c>
      <c r="AN113" s="96">
        <f t="shared" si="15"/>
        <v>0.60410199999999747</v>
      </c>
      <c r="AO113" s="96">
        <f t="shared" si="16"/>
        <v>-1.1238000000002302E-4</v>
      </c>
      <c r="AP113" s="96">
        <f t="shared" si="17"/>
        <v>2.610700000000854E-4</v>
      </c>
      <c r="AQ113" s="121">
        <f t="shared" si="18"/>
        <v>-9.5904720000000027E-3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34.450780000000002</v>
      </c>
      <c r="Y114" s="190">
        <v>37.839419999999997</v>
      </c>
      <c r="Z114" s="190">
        <v>0.98162769999999999</v>
      </c>
      <c r="AA114" s="62">
        <v>0.98677146000000004</v>
      </c>
      <c r="AB114" s="62">
        <v>3.7362890000000003E-2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0.93999099999999913</v>
      </c>
      <c r="AN114" s="122">
        <f t="shared" si="15"/>
        <v>0.60874799999999851</v>
      </c>
      <c r="AO114" s="122">
        <f t="shared" si="16"/>
        <v>-2.5505999999997364E-4</v>
      </c>
      <c r="AP114" s="122">
        <f t="shared" si="17"/>
        <v>2.1425000000008243E-4</v>
      </c>
      <c r="AQ114" s="88">
        <f t="shared" si="18"/>
        <v>-9.2709899999999998E-3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38.254714</v>
      </c>
      <c r="Y115" s="190">
        <v>41.534590999999999</v>
      </c>
      <c r="Z115" s="190">
        <v>0.98952593</v>
      </c>
      <c r="AA115" s="62">
        <v>0.99333925000000001</v>
      </c>
      <c r="AB115" s="62">
        <v>2.1890301000000001E-2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1.7122969999999995</v>
      </c>
      <c r="AN115" s="122">
        <f t="shared" si="15"/>
        <v>0.85851799999999656</v>
      </c>
      <c r="AO115" s="122">
        <f t="shared" si="16"/>
        <v>-1.1077000000003778E-4</v>
      </c>
      <c r="AP115" s="122">
        <f t="shared" si="17"/>
        <v>1.6543000000002195E-4</v>
      </c>
      <c r="AQ115" s="88">
        <f t="shared" si="18"/>
        <v>-8.9194889999999992E-3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42.181910000000002</v>
      </c>
      <c r="Y116" s="190">
        <v>45.280858000000002</v>
      </c>
      <c r="Z116" s="190">
        <v>0.99376198000000004</v>
      </c>
      <c r="AA116" s="62">
        <v>0.99662446000000005</v>
      </c>
      <c r="AB116" s="62">
        <v>9.9586919999999999E-3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2.6275450000000049</v>
      </c>
      <c r="AN116" s="122">
        <f t="shared" si="15"/>
        <v>1.4313660000000041</v>
      </c>
      <c r="AO116" s="122">
        <f t="shared" si="16"/>
        <v>-1.1590999999999685E-4</v>
      </c>
      <c r="AP116" s="122">
        <f t="shared" si="17"/>
        <v>3.5210000000007735E-4</v>
      </c>
      <c r="AQ116" s="88">
        <f t="shared" si="18"/>
        <v>-6.6102439999999995E-3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32.205443000000002</v>
      </c>
      <c r="Y118" s="97">
        <v>35.989609999999999</v>
      </c>
      <c r="Z118" s="97">
        <v>0.97220951</v>
      </c>
      <c r="AA118" s="60">
        <v>0.98026442000000003</v>
      </c>
      <c r="AB118" s="60">
        <v>5.2364632000000001E-2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0.2283500000000025</v>
      </c>
      <c r="AN118" s="96">
        <f t="shared" si="15"/>
        <v>0.60990299999999564</v>
      </c>
      <c r="AO118" s="96">
        <f t="shared" si="16"/>
        <v>-1.0030000000005312E-4</v>
      </c>
      <c r="AP118" s="96">
        <f t="shared" si="17"/>
        <v>2.7639000000001523E-4</v>
      </c>
      <c r="AQ118" s="121">
        <f t="shared" si="18"/>
        <v>-6.1891310000000005E-3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34.967953999999999</v>
      </c>
      <c r="Y119" s="190">
        <v>38.398228000000003</v>
      </c>
      <c r="Z119" s="190">
        <v>0.98186861999999997</v>
      </c>
      <c r="AA119" s="62">
        <v>0.98742101999999998</v>
      </c>
      <c r="AB119" s="62">
        <v>3.4837489999999999E-2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0.96484099999999984</v>
      </c>
      <c r="AN119" s="122">
        <f t="shared" si="15"/>
        <v>0.81417500000000587</v>
      </c>
      <c r="AO119" s="122">
        <f t="shared" si="16"/>
        <v>-2.3929000000000311E-4</v>
      </c>
      <c r="AP119" s="122">
        <f t="shared" si="17"/>
        <v>4.2529999999996182E-4</v>
      </c>
      <c r="AQ119" s="88">
        <f t="shared" si="18"/>
        <v>-6.5152500000000002E-3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38.525072000000002</v>
      </c>
      <c r="Y120" s="190">
        <v>41.767536999999997</v>
      </c>
      <c r="Z120" s="190">
        <v>0.98932008000000005</v>
      </c>
      <c r="AA120" s="62">
        <v>0.99343411000000004</v>
      </c>
      <c r="AB120" s="62">
        <v>2.1161908E-2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1.6314610000000016</v>
      </c>
      <c r="AN120" s="122">
        <f t="shared" si="15"/>
        <v>0.8993899999999968</v>
      </c>
      <c r="AO120" s="122">
        <f t="shared" si="16"/>
        <v>-1.614199999999677E-4</v>
      </c>
      <c r="AP120" s="122">
        <f t="shared" si="17"/>
        <v>8.4990000000062516E-5</v>
      </c>
      <c r="AQ120" s="88">
        <f t="shared" si="18"/>
        <v>-6.0249320000000002E-3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42.348587999999999</v>
      </c>
      <c r="Y121" s="190">
        <v>45.399566</v>
      </c>
      <c r="Z121" s="190">
        <v>0.99359953000000001</v>
      </c>
      <c r="AA121" s="62">
        <v>0.99661098999999997</v>
      </c>
      <c r="AB121" s="62">
        <v>9.9696090000000008E-3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2.1202189999999987</v>
      </c>
      <c r="AN121" s="122">
        <f t="shared" si="15"/>
        <v>1.0815130000000011</v>
      </c>
      <c r="AO121" s="122">
        <f t="shared" si="16"/>
        <v>-1.6189999999993709E-4</v>
      </c>
      <c r="AP121" s="122">
        <f t="shared" si="17"/>
        <v>3.5792999999995079E-4</v>
      </c>
      <c r="AQ121" s="88">
        <f t="shared" si="18"/>
        <v>-4.0721819999999988E-3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32.304217000000001</v>
      </c>
      <c r="Y123" s="97">
        <v>36.128357999999999</v>
      </c>
      <c r="Z123" s="97">
        <v>0.97239896000000003</v>
      </c>
      <c r="AA123" s="60">
        <v>0.97944494000000004</v>
      </c>
      <c r="AB123" s="60">
        <v>5.2822765000000001E-2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0.24273800000000278</v>
      </c>
      <c r="AN123" s="96">
        <f t="shared" si="15"/>
        <v>0.44166200000000089</v>
      </c>
      <c r="AO123" s="96">
        <f t="shared" si="16"/>
        <v>-1.3584999999993741E-4</v>
      </c>
      <c r="AP123" s="96">
        <f t="shared" si="17"/>
        <v>-2.4115999999996252E-4</v>
      </c>
      <c r="AQ123" s="121">
        <f t="shared" si="18"/>
        <v>-4.2668689999999995E-3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34.893723999999999</v>
      </c>
      <c r="Y124" s="190">
        <v>38.288415999999998</v>
      </c>
      <c r="Z124" s="190">
        <v>0.98203618000000004</v>
      </c>
      <c r="AA124" s="62">
        <v>0.98730191</v>
      </c>
      <c r="AB124" s="62">
        <v>3.5429000000000002E-2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0.62173699999999599</v>
      </c>
      <c r="AN124" s="122">
        <f t="shared" si="15"/>
        <v>0.56538299999999708</v>
      </c>
      <c r="AO124" s="122">
        <f t="shared" si="16"/>
        <v>-2.2482000000001445E-4</v>
      </c>
      <c r="AP124" s="122">
        <f t="shared" si="17"/>
        <v>1.7615999999998078E-4</v>
      </c>
      <c r="AQ124" s="88">
        <f t="shared" si="18"/>
        <v>-4.7144229999999954E-3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38.811934999999998</v>
      </c>
      <c r="Y125" s="190">
        <v>41.997112000000001</v>
      </c>
      <c r="Z125" s="190">
        <v>0.98951778000000001</v>
      </c>
      <c r="AA125" s="62">
        <v>0.99354524</v>
      </c>
      <c r="AB125" s="62">
        <v>2.0869700000000001E-2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1.2049880000000002</v>
      </c>
      <c r="AN125" s="122">
        <f t="shared" si="15"/>
        <v>0.69047199999999975</v>
      </c>
      <c r="AO125" s="122">
        <f t="shared" si="16"/>
        <v>-1.504300000000347E-4</v>
      </c>
      <c r="AP125" s="122">
        <f t="shared" si="17"/>
        <v>1.7906000000000866E-4</v>
      </c>
      <c r="AQ125" s="88">
        <f t="shared" si="18"/>
        <v>-3.7294159999999993E-3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42.733103</v>
      </c>
      <c r="Y126" s="190">
        <v>45.710292000000003</v>
      </c>
      <c r="Z126" s="190">
        <v>0.99374302000000003</v>
      </c>
      <c r="AA126" s="62">
        <v>0.99666869999999996</v>
      </c>
      <c r="AB126" s="62">
        <v>9.822239E-3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1.702606000000003</v>
      </c>
      <c r="AN126" s="122">
        <f t="shared" si="15"/>
        <v>0.85316699999999912</v>
      </c>
      <c r="AO126" s="122">
        <f t="shared" si="16"/>
        <v>-1.5818999999994698E-4</v>
      </c>
      <c r="AP126" s="122">
        <f t="shared" si="17"/>
        <v>2.6594999999995927E-4</v>
      </c>
      <c r="AQ126" s="88">
        <f t="shared" si="18"/>
        <v>-3.0537410000000004E-3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32.308086000000003</v>
      </c>
      <c r="Y128" s="97">
        <v>36.130291999999997</v>
      </c>
      <c r="Z128" s="97">
        <v>0.97291205999999997</v>
      </c>
      <c r="AA128" s="60">
        <v>0.97995094999999999</v>
      </c>
      <c r="AB128" s="60">
        <v>5.3964673999999997E-2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0.27652499999999947</v>
      </c>
      <c r="AN128" s="96">
        <f t="shared" si="15"/>
        <v>0.27769699999999631</v>
      </c>
      <c r="AO128" s="96">
        <f t="shared" si="16"/>
        <v>-1.3316000000007655E-4</v>
      </c>
      <c r="AP128" s="96">
        <f t="shared" si="17"/>
        <v>3.6634000000002054E-4</v>
      </c>
      <c r="AQ128" s="121">
        <f t="shared" si="18"/>
        <v>-3.2654190000000055E-3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34.589579000000001</v>
      </c>
      <c r="Y129" s="190">
        <v>38.062980000000003</v>
      </c>
      <c r="Z129" s="190">
        <v>0.98234568</v>
      </c>
      <c r="AA129" s="62">
        <v>0.98717474999999999</v>
      </c>
      <c r="AB129" s="62">
        <v>3.7000070000000003E-2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0.48987499999999784</v>
      </c>
      <c r="AN129" s="122">
        <f t="shared" si="15"/>
        <v>0.22842300000000648</v>
      </c>
      <c r="AO129" s="122">
        <f t="shared" si="16"/>
        <v>-1.8399000000002275E-4</v>
      </c>
      <c r="AP129" s="122">
        <f t="shared" si="17"/>
        <v>2.5083000000003519E-4</v>
      </c>
      <c r="AQ129" s="88">
        <f t="shared" si="18"/>
        <v>-2.5632879999999969E-3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38.122742000000002</v>
      </c>
      <c r="Y130" s="190">
        <v>41.480822000000003</v>
      </c>
      <c r="Z130" s="190">
        <v>0.98976364999999999</v>
      </c>
      <c r="AA130" s="62">
        <v>0.99338384999999996</v>
      </c>
      <c r="AB130" s="62">
        <v>2.1245625000000001E-2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0.6597240000000042</v>
      </c>
      <c r="AN130" s="122">
        <f t="shared" si="15"/>
        <v>0.35047899999999998</v>
      </c>
      <c r="AO130" s="122">
        <f t="shared" si="16"/>
        <v>-1.5953999999995805E-4</v>
      </c>
      <c r="AP130" s="122">
        <f t="shared" si="17"/>
        <v>1.3250999999991908E-4</v>
      </c>
      <c r="AQ130" s="88">
        <f t="shared" si="18"/>
        <v>-2.2170819999999987E-3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42.577789000000003</v>
      </c>
      <c r="Y131" s="190">
        <v>45.585833000000001</v>
      </c>
      <c r="Z131" s="190">
        <v>0.99388891000000001</v>
      </c>
      <c r="AA131" s="62">
        <v>0.99661284000000006</v>
      </c>
      <c r="AB131" s="62">
        <v>9.8519720000000005E-3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1.2684210000000036</v>
      </c>
      <c r="AN131" s="122">
        <f t="shared" si="15"/>
        <v>0.58600599999999758</v>
      </c>
      <c r="AO131" s="122">
        <f t="shared" si="16"/>
        <v>-1.5860999999994796E-4</v>
      </c>
      <c r="AP131" s="122">
        <f t="shared" si="17"/>
        <v>2.2609000000006763E-4</v>
      </c>
      <c r="AQ131" s="88">
        <f t="shared" si="18"/>
        <v>-2.0772849999999999E-3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32.113909999999997</v>
      </c>
      <c r="Y133" s="97">
        <v>36.327105000000003</v>
      </c>
      <c r="Z133" s="97">
        <v>0.97159857000000005</v>
      </c>
      <c r="AA133" s="60">
        <v>0.97936782</v>
      </c>
      <c r="AB133" s="60">
        <v>5.7053470000000002E-2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-1.0907000000003109E-2</v>
      </c>
      <c r="AN133" s="96">
        <f t="shared" si="15"/>
        <v>0.17103200000000385</v>
      </c>
      <c r="AO133" s="96">
        <f t="shared" si="16"/>
        <v>-2.984399999998999E-4</v>
      </c>
      <c r="AP133" s="96">
        <f t="shared" si="17"/>
        <v>3.29770000000007E-4</v>
      </c>
      <c r="AQ133" s="121">
        <f t="shared" si="18"/>
        <v>-1.0770999999999975E-3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34.781314000000002</v>
      </c>
      <c r="Y134" s="190">
        <v>38.454402999999999</v>
      </c>
      <c r="Z134" s="190">
        <v>0.98217052000000005</v>
      </c>
      <c r="AA134" s="62">
        <v>0.98725476999999995</v>
      </c>
      <c r="AB134" s="62">
        <v>3.7877454999999997E-2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0.34527200000000136</v>
      </c>
      <c r="AN134" s="122">
        <f t="shared" si="15"/>
        <v>0.21279099999999573</v>
      </c>
      <c r="AO134" s="122">
        <f t="shared" si="16"/>
        <v>-1.5376000000000278E-4</v>
      </c>
      <c r="AP134" s="122">
        <f t="shared" si="17"/>
        <v>4.6799999999991293E-4</v>
      </c>
      <c r="AQ134" s="88">
        <f t="shared" si="18"/>
        <v>-5.11662000000003E-4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38.167119999999997</v>
      </c>
      <c r="Y135" s="190">
        <v>41.444167999999998</v>
      </c>
      <c r="Z135" s="190">
        <v>0.98992325000000003</v>
      </c>
      <c r="AA135" s="62">
        <v>0.99321415000000002</v>
      </c>
      <c r="AB135" s="62">
        <v>2.1997392000000001E-2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0.38307199999999852</v>
      </c>
      <c r="AN135" s="122">
        <f t="shared" si="15"/>
        <v>0.14413199999999904</v>
      </c>
      <c r="AO135" s="122">
        <f t="shared" si="16"/>
        <v>-1.860899999999166E-4</v>
      </c>
      <c r="AP135" s="122">
        <f t="shared" si="17"/>
        <v>-1.4232999999996832E-4</v>
      </c>
      <c r="AQ135" s="88">
        <f t="shared" si="18"/>
        <v>-1.0116870000000007E-3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42.612898999999999</v>
      </c>
      <c r="Y136" s="190">
        <v>45.587708999999997</v>
      </c>
      <c r="Z136" s="190">
        <v>0.99395522000000003</v>
      </c>
      <c r="AA136" s="62">
        <v>0.99655760999999998</v>
      </c>
      <c r="AB136" s="62">
        <v>1.0417575E-2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0.908496999999997</v>
      </c>
      <c r="AN136" s="122">
        <f t="shared" si="15"/>
        <v>0.395863999999996</v>
      </c>
      <c r="AO136" s="122">
        <f t="shared" si="16"/>
        <v>-1.6903000000001445E-4</v>
      </c>
      <c r="AP136" s="122">
        <f t="shared" si="17"/>
        <v>1.4999999999998348E-4</v>
      </c>
      <c r="AQ136" s="88">
        <f t="shared" si="18"/>
        <v>-1.5214830000000006E-3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27.136382000000001</v>
      </c>
      <c r="Y641" s="136">
        <f t="shared" si="60"/>
        <v>30.970351999999998</v>
      </c>
      <c r="Z641" s="136">
        <f t="shared" si="60"/>
        <v>0.95877584000000005</v>
      </c>
      <c r="AA641" s="136">
        <f t="shared" si="60"/>
        <v>0.96580600000000005</v>
      </c>
      <c r="AB641" s="136">
        <f t="shared" si="60"/>
        <v>5.0179686000000001E-2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31.787053</v>
      </c>
      <c r="Y642" s="18">
        <f t="shared" si="60"/>
        <v>35.090916999999997</v>
      </c>
      <c r="Z642" s="18">
        <f t="shared" si="60"/>
        <v>0.97727998000000005</v>
      </c>
      <c r="AA642" s="18">
        <f t="shared" si="60"/>
        <v>0.98175833000000001</v>
      </c>
      <c r="AB642" s="18">
        <f t="shared" si="60"/>
        <v>3.2696437000000002E-2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35.475042000000002</v>
      </c>
      <c r="Y643" s="18">
        <f t="shared" si="60"/>
        <v>38.835628</v>
      </c>
      <c r="Z643" s="18">
        <f t="shared" si="60"/>
        <v>0.98768869999999997</v>
      </c>
      <c r="AA643" s="18">
        <f t="shared" si="60"/>
        <v>0.99137246999999995</v>
      </c>
      <c r="AB643" s="18">
        <f t="shared" si="60"/>
        <v>1.8555453E-2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40.706449999999997</v>
      </c>
      <c r="Y644" s="18">
        <f t="shared" si="60"/>
        <v>43.685482</v>
      </c>
      <c r="Z644" s="18">
        <f t="shared" si="60"/>
        <v>0.99307224999999999</v>
      </c>
      <c r="AA644" s="18">
        <f t="shared" si="60"/>
        <v>0.99577837000000002</v>
      </c>
      <c r="AB644" s="18">
        <f t="shared" si="60"/>
        <v>8.5133369999999993E-3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32.308086000000003</v>
      </c>
      <c r="Y646" s="136">
        <f t="shared" si="62"/>
        <v>36.327105000000003</v>
      </c>
      <c r="Z646" s="136">
        <f t="shared" si="62"/>
        <v>0.97291205999999997</v>
      </c>
      <c r="AA646" s="136">
        <f t="shared" si="62"/>
        <v>0.98026442000000003</v>
      </c>
      <c r="AB646" s="136">
        <f t="shared" si="62"/>
        <v>6.6715434000000004E-2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34.967953999999999</v>
      </c>
      <c r="Y647" s="18">
        <f t="shared" si="62"/>
        <v>38.454402999999999</v>
      </c>
      <c r="Z647" s="18">
        <f t="shared" si="62"/>
        <v>0.98234568</v>
      </c>
      <c r="AA647" s="18">
        <f t="shared" si="62"/>
        <v>0.98742101999999998</v>
      </c>
      <c r="AB647" s="18">
        <f t="shared" si="62"/>
        <v>4.1363087E-2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38.811934999999998</v>
      </c>
      <c r="Y648" s="18">
        <f t="shared" si="62"/>
        <v>41.997112000000001</v>
      </c>
      <c r="Z648" s="18">
        <f t="shared" si="62"/>
        <v>0.98992325000000003</v>
      </c>
      <c r="AA648" s="18">
        <f t="shared" si="62"/>
        <v>0.99354524</v>
      </c>
      <c r="AB648" s="18">
        <f t="shared" si="62"/>
        <v>2.4326587E-2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42.733103</v>
      </c>
      <c r="Y649" s="18">
        <f t="shared" si="62"/>
        <v>45.710292000000003</v>
      </c>
      <c r="Z649" s="18">
        <f t="shared" si="62"/>
        <v>0.99395522000000003</v>
      </c>
      <c r="AA649" s="18">
        <f t="shared" si="62"/>
        <v>0.99666869999999996</v>
      </c>
      <c r="AB649" s="18">
        <f t="shared" si="62"/>
        <v>1.0546733000000001E-2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5.1717040000000019</v>
      </c>
      <c r="Y651" s="136">
        <f t="shared" si="64"/>
        <v>5.3567530000000048</v>
      </c>
      <c r="Z651" s="136">
        <f t="shared" si="64"/>
        <v>1.4136219999999922E-2</v>
      </c>
      <c r="AA651" s="136">
        <f t="shared" si="64"/>
        <v>1.4458419999999972E-2</v>
      </c>
      <c r="AB651" s="136">
        <f t="shared" si="64"/>
        <v>1.6535748000000003E-2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3.1809009999999986</v>
      </c>
      <c r="Y652" s="18">
        <f t="shared" si="64"/>
        <v>3.3634860000000018</v>
      </c>
      <c r="Z652" s="18">
        <f t="shared" si="64"/>
        <v>5.0656999999999508E-3</v>
      </c>
      <c r="AA652" s="18">
        <f t="shared" si="64"/>
        <v>5.6626899999999702E-3</v>
      </c>
      <c r="AB652" s="18">
        <f t="shared" si="64"/>
        <v>8.666649999999998E-3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3.3368929999999963</v>
      </c>
      <c r="Y653" s="18">
        <f t="shared" si="64"/>
        <v>3.1614840000000015</v>
      </c>
      <c r="Z653" s="18">
        <f t="shared" si="64"/>
        <v>2.2345500000000573E-3</v>
      </c>
      <c r="AA653" s="18">
        <f t="shared" si="64"/>
        <v>2.1727700000000461E-3</v>
      </c>
      <c r="AB653" s="18">
        <f t="shared" si="64"/>
        <v>5.7711340000000007E-3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2.0266530000000031</v>
      </c>
      <c r="Y654" s="18">
        <f t="shared" si="64"/>
        <v>2.0248100000000022</v>
      </c>
      <c r="Z654" s="18">
        <f t="shared" si="64"/>
        <v>8.8297000000003845E-4</v>
      </c>
      <c r="AA654" s="18">
        <f t="shared" si="64"/>
        <v>8.9032999999993923E-4</v>
      </c>
      <c r="AB654" s="18">
        <f t="shared" si="64"/>
        <v>2.0333960000000015E-3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27909.271999999997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30.49982819047619</v>
      </c>
      <c r="Y5" s="30">
        <f t="shared" si="2"/>
        <v>34.440841095238106</v>
      </c>
      <c r="Z5" s="30">
        <f t="shared" si="2"/>
        <v>0.96571089380952368</v>
      </c>
      <c r="AA5" s="91">
        <f t="shared" si="2"/>
        <v>0.97310243761904736</v>
      </c>
      <c r="AB5" s="91">
        <f t="shared" si="2"/>
        <v>5.7331039190476184E-2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-0.13597316051439645</v>
      </c>
      <c r="AN5" s="245">
        <f>bdrate($E5:$E8,G5:G8,$W5:$W8,Y5:Y8)</f>
        <v>-9.9788625401059816E-2</v>
      </c>
      <c r="AO5" s="245">
        <f>bdrate($E5:$E8,H5:H8,$W5:$W8,Z5:Z8)</f>
        <v>-4.9832665364727413E-3</v>
      </c>
      <c r="AP5" s="245">
        <f>bdrate($E5:$E8,I5:I8,$W5:$W8,AA5:AA8)</f>
        <v>-3.3101211204304981E-2</v>
      </c>
      <c r="AQ5" s="246">
        <f>bdrateInverted($E5:$E8,J5:J8,$W5:$W8,AB5:AB8)</f>
        <v>-0.16524299386975683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40481.008000000002</v>
      </c>
      <c r="X6" s="91">
        <f t="shared" si="2"/>
        <v>33.844719476190477</v>
      </c>
      <c r="Y6" s="91">
        <f t="shared" si="2"/>
        <v>37.197973333333323</v>
      </c>
      <c r="Z6" s="91">
        <f t="shared" si="2"/>
        <v>0.97879555380952377</v>
      </c>
      <c r="AA6" s="91">
        <f t="shared" si="2"/>
        <v>0.98428817047619055</v>
      </c>
      <c r="AB6" s="91">
        <f t="shared" si="2"/>
        <v>3.7033319952380954E-2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61147.655999999995</v>
      </c>
      <c r="X7" s="91">
        <f t="shared" si="2"/>
        <v>37.791047000000013</v>
      </c>
      <c r="Y7" s="91">
        <f t="shared" si="2"/>
        <v>41.096162666666665</v>
      </c>
      <c r="Z7" s="91">
        <f t="shared" si="2"/>
        <v>0.98842657952380941</v>
      </c>
      <c r="AA7" s="91">
        <f t="shared" si="2"/>
        <v>0.9923041419047619</v>
      </c>
      <c r="AB7" s="91">
        <f t="shared" si="2"/>
        <v>2.1611790333333335E-2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89643.144000000015</v>
      </c>
      <c r="X8" s="91">
        <f t="shared" si="2"/>
        <v>41.519661428571432</v>
      </c>
      <c r="Y8" s="91">
        <f t="shared" si="2"/>
        <v>44.606781095238091</v>
      </c>
      <c r="Z8" s="91">
        <f t="shared" si="2"/>
        <v>0.99326130619047626</v>
      </c>
      <c r="AA8" s="91">
        <f t="shared" si="2"/>
        <v>0.99608095428571408</v>
      </c>
      <c r="AB8" s="91">
        <f t="shared" si="2"/>
        <v>1.0000444500000002E-2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6056.2079999999996</v>
      </c>
      <c r="Y16" s="167">
        <v>941.45600000000002</v>
      </c>
      <c r="Z16" s="167">
        <v>205.928</v>
      </c>
      <c r="AA16" s="167">
        <v>131.98400000000001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7941.5919999999996</v>
      </c>
      <c r="Y17" s="168">
        <v>3821.72</v>
      </c>
      <c r="Z17" s="168">
        <v>1787.8</v>
      </c>
      <c r="AA17" s="168">
        <v>1331.5920000000001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9902.32</v>
      </c>
      <c r="Y18" s="168">
        <v>8403.9840000000004</v>
      </c>
      <c r="Z18" s="168">
        <v>6098.4880000000003</v>
      </c>
      <c r="AA18" s="168">
        <v>5932.0159999999996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11776.415999999999</v>
      </c>
      <c r="Y19" s="168">
        <v>13608.392</v>
      </c>
      <c r="Z19" s="168">
        <v>13131.736000000001</v>
      </c>
      <c r="AA19" s="168">
        <v>14865.352000000001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27909.271999999997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40481.008000000002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61147.655999999995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89643.144000000015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27.937729999999998</v>
      </c>
      <c r="Y33" s="97">
        <v>31.993687000000001</v>
      </c>
      <c r="Z33" s="97">
        <v>0.95932371000000005</v>
      </c>
      <c r="AA33" s="60">
        <v>0.96697025000000003</v>
      </c>
      <c r="AB33" s="60">
        <v>6.5288730000000003E-2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0.36027399999999687</v>
      </c>
      <c r="AN33" s="96">
        <f t="shared" ref="AN33:AN96" si="5">IF(OR(Y33="",G33=""),"",Y33-G33)</f>
        <v>0.8595000000000006</v>
      </c>
      <c r="AO33" s="96">
        <f t="shared" ref="AO33:AO96" si="6">IF(OR(Z33="",H33=""),"",Z33-H33)</f>
        <v>-1.1123999999995693E-4</v>
      </c>
      <c r="AP33" s="96">
        <f t="shared" ref="AP33:AP96" si="7">IF(OR(AA33="",I33=""),"",AA33-I33)</f>
        <v>9.5043999999999684E-4</v>
      </c>
      <c r="AQ33" s="121">
        <f t="shared" ref="AQ33:AQ96" si="8">IF(OR(AB33="",J33=""),"",AB33-J33)</f>
        <v>-1.8235439999999992E-2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31.851904999999999</v>
      </c>
      <c r="Y34" s="190">
        <v>34.977694</v>
      </c>
      <c r="Z34" s="190">
        <v>0.97699975999999999</v>
      </c>
      <c r="AA34" s="62">
        <v>0.98143833000000003</v>
      </c>
      <c r="AB34" s="62">
        <v>4.1326585999999998E-2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1.092844999999997</v>
      </c>
      <c r="AN34" s="122">
        <f t="shared" si="5"/>
        <v>0.90135300000000029</v>
      </c>
      <c r="AO34" s="122">
        <f t="shared" si="6"/>
        <v>6.0150000000036563E-5</v>
      </c>
      <c r="AP34" s="122">
        <f t="shared" si="7"/>
        <v>1.2533000000000127E-3</v>
      </c>
      <c r="AQ34" s="88">
        <f t="shared" si="8"/>
        <v>-1.6763602000000002E-2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36.913977000000003</v>
      </c>
      <c r="Y35" s="190">
        <v>40.213461000000002</v>
      </c>
      <c r="Z35" s="190">
        <v>0.98855263000000004</v>
      </c>
      <c r="AA35" s="62">
        <v>0.99191430999999997</v>
      </c>
      <c r="AB35" s="62">
        <v>2.2376745999999999E-2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2.2123550000000023</v>
      </c>
      <c r="AN35" s="122">
        <f t="shared" si="5"/>
        <v>1.1652750000000012</v>
      </c>
      <c r="AO35" s="122">
        <f t="shared" si="6"/>
        <v>-1.5935000000000255E-4</v>
      </c>
      <c r="AP35" s="122">
        <f t="shared" si="7"/>
        <v>1.3214999999999755E-4</v>
      </c>
      <c r="AQ35" s="88">
        <f t="shared" si="8"/>
        <v>-1.0718077000000003E-2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40.732444000000001</v>
      </c>
      <c r="Y36" s="190">
        <v>43.823967000000003</v>
      </c>
      <c r="Z36" s="190">
        <v>0.99339999999999995</v>
      </c>
      <c r="AA36" s="62">
        <v>0.99590891999999998</v>
      </c>
      <c r="AB36" s="62">
        <v>9.8124519999999993E-3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3.4473040000000026</v>
      </c>
      <c r="AN36" s="122">
        <f t="shared" si="5"/>
        <v>2.1283180000000002</v>
      </c>
      <c r="AO36" s="122">
        <f t="shared" si="6"/>
        <v>-9.675000000008982E-5</v>
      </c>
      <c r="AP36" s="122">
        <f t="shared" si="7"/>
        <v>2.4623999999995316E-4</v>
      </c>
      <c r="AQ36" s="88">
        <f t="shared" si="8"/>
        <v>-9.2108940000000007E-3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28.581016999999999</v>
      </c>
      <c r="Y38" s="97">
        <v>32.545755999999997</v>
      </c>
      <c r="Z38" s="97">
        <v>0.96094950999999995</v>
      </c>
      <c r="AA38" s="60">
        <v>0.96729865999999998</v>
      </c>
      <c r="AB38" s="60">
        <v>6.1212566000000003E-2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0.3876679999999979</v>
      </c>
      <c r="AN38" s="96">
        <f t="shared" si="5"/>
        <v>0.73733399999999705</v>
      </c>
      <c r="AO38" s="96">
        <f t="shared" si="6"/>
        <v>9.386999999994039E-5</v>
      </c>
      <c r="AP38" s="96">
        <f t="shared" si="7"/>
        <v>1.2140999999999957E-3</v>
      </c>
      <c r="AQ38" s="121">
        <f t="shared" si="8"/>
        <v>-1.4853137999999995E-2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32.464685000000003</v>
      </c>
      <c r="Y39" s="190">
        <v>35.731896999999996</v>
      </c>
      <c r="Z39" s="190">
        <v>0.97707451999999995</v>
      </c>
      <c r="AA39" s="62">
        <v>0.98133557999999999</v>
      </c>
      <c r="AB39" s="62">
        <v>4.0892273E-2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1.2119960000000027</v>
      </c>
      <c r="AN39" s="122">
        <f t="shared" si="5"/>
        <v>0.99939599999999729</v>
      </c>
      <c r="AO39" s="122">
        <f t="shared" si="6"/>
        <v>-1.1699000000009452E-4</v>
      </c>
      <c r="AP39" s="122">
        <f t="shared" si="7"/>
        <v>9.8291999999999824E-4</v>
      </c>
      <c r="AQ39" s="88">
        <f t="shared" si="8"/>
        <v>-1.3120787000000002E-2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36.948833</v>
      </c>
      <c r="Y40" s="190">
        <v>40.282173999999998</v>
      </c>
      <c r="Z40" s="190">
        <v>0.98823855000000005</v>
      </c>
      <c r="AA40" s="62">
        <v>0.99164646999999995</v>
      </c>
      <c r="AB40" s="62">
        <v>2.3208860000000001E-2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1.947496000000001</v>
      </c>
      <c r="AN40" s="122">
        <f t="shared" si="5"/>
        <v>1.0624949999999984</v>
      </c>
      <c r="AO40" s="122">
        <f t="shared" si="6"/>
        <v>-1.7566999999996114E-4</v>
      </c>
      <c r="AP40" s="122">
        <f t="shared" si="7"/>
        <v>2.27369999999949E-4</v>
      </c>
      <c r="AQ40" s="88">
        <f t="shared" si="8"/>
        <v>-8.6159559999999975E-3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40.704517000000003</v>
      </c>
      <c r="Y41" s="190">
        <v>43.807763000000001</v>
      </c>
      <c r="Z41" s="190">
        <v>0.99324126999999995</v>
      </c>
      <c r="AA41" s="62">
        <v>0.99581432000000003</v>
      </c>
      <c r="AB41" s="62">
        <v>1.0067375E-2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3.3145349999999993</v>
      </c>
      <c r="AN41" s="122">
        <f t="shared" si="5"/>
        <v>2.0444120000000012</v>
      </c>
      <c r="AO41" s="122">
        <f t="shared" si="6"/>
        <v>-8.8940000000037323E-5</v>
      </c>
      <c r="AP41" s="122">
        <f t="shared" si="7"/>
        <v>3.0521999999999494E-4</v>
      </c>
      <c r="AQ41" s="88">
        <f t="shared" si="8"/>
        <v>-8.8543189999999994E-3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29.144390999999999</v>
      </c>
      <c r="Y43" s="97">
        <v>32.993881999999999</v>
      </c>
      <c r="Z43" s="97">
        <v>0.96206199000000003</v>
      </c>
      <c r="AA43" s="60">
        <v>0.96857539999999998</v>
      </c>
      <c r="AB43" s="60">
        <v>6.2690930000000006E-2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0.37618699999999805</v>
      </c>
      <c r="AN43" s="96">
        <f t="shared" si="5"/>
        <v>0.58423200000000008</v>
      </c>
      <c r="AO43" s="96">
        <f t="shared" si="6"/>
        <v>-5.2399999999952485E-5</v>
      </c>
      <c r="AP43" s="96">
        <f t="shared" si="7"/>
        <v>7.7789999999999804E-4</v>
      </c>
      <c r="AQ43" s="121">
        <f t="shared" si="8"/>
        <v>-1.1919289999999999E-2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32.698163999999998</v>
      </c>
      <c r="Y44" s="190">
        <v>35.971344000000002</v>
      </c>
      <c r="Z44" s="190">
        <v>0.97708985999999998</v>
      </c>
      <c r="AA44" s="62">
        <v>0.98177135999999998</v>
      </c>
      <c r="AB44" s="62">
        <v>4.1409719999999997E-2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1.0048069999999996</v>
      </c>
      <c r="AN44" s="122">
        <f t="shared" si="5"/>
        <v>0.718391000000004</v>
      </c>
      <c r="AO44" s="122">
        <f t="shared" si="6"/>
        <v>-4.2469000000000534E-4</v>
      </c>
      <c r="AP44" s="122">
        <f t="shared" si="7"/>
        <v>7.8723999999996686E-4</v>
      </c>
      <c r="AQ44" s="88">
        <f t="shared" si="8"/>
        <v>-8.6430200000000013E-3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36.889595999999997</v>
      </c>
      <c r="Y45" s="190">
        <v>40.325899</v>
      </c>
      <c r="Z45" s="190">
        <v>0.98793076999999996</v>
      </c>
      <c r="AA45" s="62">
        <v>0.99154900000000001</v>
      </c>
      <c r="AB45" s="62">
        <v>2.4193481999999999E-2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1.8703369999999993</v>
      </c>
      <c r="AN45" s="122">
        <f t="shared" si="5"/>
        <v>1.0397389999999973</v>
      </c>
      <c r="AO45" s="122">
        <f t="shared" si="6"/>
        <v>-4.6995000000005227E-4</v>
      </c>
      <c r="AP45" s="122">
        <f t="shared" si="7"/>
        <v>5.9050000000060443E-5</v>
      </c>
      <c r="AQ45" s="88">
        <f t="shared" si="8"/>
        <v>-8.3162180000000037E-3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40.624656000000002</v>
      </c>
      <c r="Y46" s="190">
        <v>43.765019000000002</v>
      </c>
      <c r="Z46" s="190">
        <v>0.99303850000000005</v>
      </c>
      <c r="AA46" s="62">
        <v>0.99570033000000002</v>
      </c>
      <c r="AB46" s="62">
        <v>1.0652713499999999E-2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2.8319800000000015</v>
      </c>
      <c r="AN46" s="122">
        <f t="shared" si="5"/>
        <v>1.596311</v>
      </c>
      <c r="AO46" s="122">
        <f t="shared" si="6"/>
        <v>-2.8350999999993132E-4</v>
      </c>
      <c r="AP46" s="122">
        <f t="shared" si="7"/>
        <v>1.6088000000002989E-4</v>
      </c>
      <c r="AQ46" s="88">
        <f t="shared" si="8"/>
        <v>-7.4848515000000022E-3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29.754443999999999</v>
      </c>
      <c r="Y48" s="97">
        <v>33.553932000000003</v>
      </c>
      <c r="Z48" s="97">
        <v>0.96235068000000001</v>
      </c>
      <c r="AA48" s="60">
        <v>0.96929704999999999</v>
      </c>
      <c r="AB48" s="60">
        <v>5.8915189999999999E-2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0.10840100000000064</v>
      </c>
      <c r="AN48" s="96">
        <f t="shared" si="5"/>
        <v>0.44732199999999978</v>
      </c>
      <c r="AO48" s="96">
        <f t="shared" si="6"/>
        <v>-3.493999999999442E-4</v>
      </c>
      <c r="AP48" s="96">
        <f t="shared" si="7"/>
        <v>4.6497000000000899E-4</v>
      </c>
      <c r="AQ48" s="121">
        <f t="shared" si="8"/>
        <v>-8.0095700000000006E-3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33.389130999999999</v>
      </c>
      <c r="Y49" s="190">
        <v>36.611634000000002</v>
      </c>
      <c r="Z49" s="190">
        <v>0.97639067000000002</v>
      </c>
      <c r="AA49" s="62">
        <v>0.98203377000000003</v>
      </c>
      <c r="AB49" s="62">
        <v>3.8721029999999997E-2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0.75405399999999645</v>
      </c>
      <c r="AN49" s="122">
        <f t="shared" si="5"/>
        <v>0.52075600000000577</v>
      </c>
      <c r="AO49" s="122">
        <f t="shared" si="6"/>
        <v>-5.9555000000000025E-4</v>
      </c>
      <c r="AP49" s="122">
        <f t="shared" si="7"/>
        <v>2.3389000000006988E-4</v>
      </c>
      <c r="AQ49" s="88">
        <f t="shared" si="8"/>
        <v>-5.4383860000000034E-3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37.220011999999997</v>
      </c>
      <c r="Y50" s="190">
        <v>40.596356999999998</v>
      </c>
      <c r="Z50" s="190">
        <v>0.98738687999999997</v>
      </c>
      <c r="AA50" s="62">
        <v>0.99141093999999996</v>
      </c>
      <c r="AB50" s="62">
        <v>2.3225997000000002E-2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1.5859089999999938</v>
      </c>
      <c r="AN50" s="122">
        <f t="shared" si="5"/>
        <v>0.78699399999999997</v>
      </c>
      <c r="AO50" s="122">
        <f t="shared" si="6"/>
        <v>-5.2218999999997795E-4</v>
      </c>
      <c r="AP50" s="122">
        <f t="shared" si="7"/>
        <v>7.2509999999970098E-5</v>
      </c>
      <c r="AQ50" s="88">
        <f t="shared" si="8"/>
        <v>-6.0594059999999998E-3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40.855106999999997</v>
      </c>
      <c r="Y51" s="190">
        <v>43.986051000000003</v>
      </c>
      <c r="Z51" s="190">
        <v>0.99282683999999999</v>
      </c>
      <c r="AA51" s="62">
        <v>0.99566739000000004</v>
      </c>
      <c r="AB51" s="62">
        <v>1.03400955E-2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2.4873629999999949</v>
      </c>
      <c r="AN51" s="122">
        <f t="shared" si="5"/>
        <v>1.2636930000000035</v>
      </c>
      <c r="AO51" s="122">
        <f t="shared" si="6"/>
        <v>-3.8738999999998747E-4</v>
      </c>
      <c r="AP51" s="122">
        <f t="shared" si="7"/>
        <v>1.8110000000004511E-4</v>
      </c>
      <c r="AQ51" s="88">
        <f t="shared" si="8"/>
        <v>-5.7903485000000005E-3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29.845230000000001</v>
      </c>
      <c r="Y53" s="97">
        <v>33.611837999999999</v>
      </c>
      <c r="Z53" s="97">
        <v>0.96176678999999998</v>
      </c>
      <c r="AA53" s="60">
        <v>0.96963918999999998</v>
      </c>
      <c r="AB53" s="60">
        <v>5.8218754999999997E-2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0.32318100000000172</v>
      </c>
      <c r="AN53" s="96">
        <f t="shared" si="5"/>
        <v>0.51641199999999543</v>
      </c>
      <c r="AO53" s="96">
        <f t="shared" si="6"/>
        <v>-6.1008000000006835E-4</v>
      </c>
      <c r="AP53" s="96">
        <f t="shared" si="7"/>
        <v>2.7284999999999116E-4</v>
      </c>
      <c r="AQ53" s="121">
        <f t="shared" si="8"/>
        <v>-8.4126050000000036E-3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33.273158000000002</v>
      </c>
      <c r="Y54" s="190">
        <v>36.529533999999998</v>
      </c>
      <c r="Z54" s="190">
        <v>0.97617173999999995</v>
      </c>
      <c r="AA54" s="62">
        <v>0.98204638</v>
      </c>
      <c r="AB54" s="62">
        <v>3.7657916999999999E-2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0.81449100000000385</v>
      </c>
      <c r="AN54" s="122">
        <f t="shared" si="5"/>
        <v>0.54461599999999777</v>
      </c>
      <c r="AO54" s="122">
        <f t="shared" si="6"/>
        <v>-7.2620000000001017E-4</v>
      </c>
      <c r="AP54" s="122">
        <f t="shared" si="7"/>
        <v>2.8994999999998328E-4</v>
      </c>
      <c r="AQ54" s="88">
        <f t="shared" si="8"/>
        <v>-6.7751110000000003E-3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36.968378999999999</v>
      </c>
      <c r="Y55" s="190">
        <v>40.370607</v>
      </c>
      <c r="Z55" s="190">
        <v>0.98720534000000004</v>
      </c>
      <c r="AA55" s="62">
        <v>0.99122356</v>
      </c>
      <c r="AB55" s="62">
        <v>2.3432850000000002E-2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1.288612999999998</v>
      </c>
      <c r="AN55" s="122">
        <f t="shared" si="5"/>
        <v>0.60713799999999907</v>
      </c>
      <c r="AO55" s="122">
        <f t="shared" si="6"/>
        <v>-5.7071999999991352E-4</v>
      </c>
      <c r="AP55" s="122">
        <f t="shared" si="7"/>
        <v>6.6760000000054553E-5</v>
      </c>
      <c r="AQ55" s="88">
        <f t="shared" si="8"/>
        <v>-5.1019780000000001E-3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40.562717999999997</v>
      </c>
      <c r="Y56" s="190">
        <v>43.709435999999997</v>
      </c>
      <c r="Z56" s="190">
        <v>0.99272128000000004</v>
      </c>
      <c r="AA56" s="62">
        <v>0.99555130000000003</v>
      </c>
      <c r="AB56" s="62">
        <v>1.0624655E-2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1.9652129999999985</v>
      </c>
      <c r="AN56" s="122">
        <f t="shared" si="5"/>
        <v>0.88420899999999847</v>
      </c>
      <c r="AO56" s="122">
        <f t="shared" si="6"/>
        <v>-4.2337999999997322E-4</v>
      </c>
      <c r="AP56" s="122">
        <f t="shared" si="7"/>
        <v>1.8320999999998921E-4</v>
      </c>
      <c r="AQ56" s="88">
        <f t="shared" si="8"/>
        <v>-4.3741460000000006E-3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29.985617000000001</v>
      </c>
      <c r="Y58" s="97">
        <v>33.746687999999999</v>
      </c>
      <c r="Z58" s="97">
        <v>0.96127054999999995</v>
      </c>
      <c r="AA58" s="60">
        <v>0.96944125999999997</v>
      </c>
      <c r="AB58" s="60">
        <v>5.9498507999999999E-2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0.30328700000000097</v>
      </c>
      <c r="AN58" s="96">
        <f t="shared" si="5"/>
        <v>0.48857900000000143</v>
      </c>
      <c r="AO58" s="96">
        <f t="shared" si="6"/>
        <v>-5.5954000000002502E-4</v>
      </c>
      <c r="AP58" s="96">
        <f t="shared" si="7"/>
        <v>-1.6605000000002867E-4</v>
      </c>
      <c r="AQ58" s="121">
        <f t="shared" si="8"/>
        <v>-7.833892000000002E-3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33.323472000000002</v>
      </c>
      <c r="Y59" s="190">
        <v>36.595354</v>
      </c>
      <c r="Z59" s="190">
        <v>0.97602772000000004</v>
      </c>
      <c r="AA59" s="62">
        <v>0.98221223000000002</v>
      </c>
      <c r="AB59" s="62">
        <v>3.8396522000000002E-2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0.73768000000000455</v>
      </c>
      <c r="AN59" s="122">
        <f t="shared" si="5"/>
        <v>0.49799800000000261</v>
      </c>
      <c r="AO59" s="122">
        <f t="shared" si="6"/>
        <v>-6.2519999999999243E-4</v>
      </c>
      <c r="AP59" s="122">
        <f t="shared" si="7"/>
        <v>3.1771999999996581E-4</v>
      </c>
      <c r="AQ59" s="88">
        <f t="shared" si="8"/>
        <v>-6.6065639999999953E-3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36.758057000000001</v>
      </c>
      <c r="Y60" s="190">
        <v>40.210155</v>
      </c>
      <c r="Z60" s="190">
        <v>0.98723616000000003</v>
      </c>
      <c r="AA60" s="62">
        <v>0.99128684</v>
      </c>
      <c r="AB60" s="62">
        <v>2.4567203999999999E-2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0.91839900000000085</v>
      </c>
      <c r="AN60" s="122">
        <f t="shared" si="5"/>
        <v>0.37854600000000005</v>
      </c>
      <c r="AO60" s="122">
        <f t="shared" si="6"/>
        <v>-5.5241999999999791E-4</v>
      </c>
      <c r="AP60" s="122">
        <f t="shared" si="7"/>
        <v>1.3558000000002401E-4</v>
      </c>
      <c r="AQ60" s="88">
        <f t="shared" si="8"/>
        <v>-3.8394310000000008E-3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40.429506000000003</v>
      </c>
      <c r="Y61" s="190">
        <v>43.605735000000003</v>
      </c>
      <c r="Z61" s="190">
        <v>0.99267311000000003</v>
      </c>
      <c r="AA61" s="62">
        <v>0.99552954999999999</v>
      </c>
      <c r="AB61" s="62">
        <v>1.1047921E-2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1.4217420000000018</v>
      </c>
      <c r="AN61" s="122">
        <f t="shared" si="5"/>
        <v>0.48054100000000233</v>
      </c>
      <c r="AO61" s="122">
        <f t="shared" si="6"/>
        <v>-5.057499999999715E-4</v>
      </c>
      <c r="AP61" s="122">
        <f t="shared" si="7"/>
        <v>2.0567999999998587E-4</v>
      </c>
      <c r="AQ61" s="88">
        <f t="shared" si="8"/>
        <v>-3.2729300000000003E-3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30.023091999999998</v>
      </c>
      <c r="Y63" s="97">
        <v>33.928286</v>
      </c>
      <c r="Z63" s="97">
        <v>0.96049783</v>
      </c>
      <c r="AA63" s="60">
        <v>0.97064433000000006</v>
      </c>
      <c r="AB63" s="60">
        <v>6.1408890000000001E-2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2.6078999999999297E-2</v>
      </c>
      <c r="AN63" s="96">
        <f t="shared" si="5"/>
        <v>0.26780399999999815</v>
      </c>
      <c r="AO63" s="96">
        <f t="shared" si="6"/>
        <v>-6.4918999999996618E-4</v>
      </c>
      <c r="AP63" s="96">
        <f t="shared" si="7"/>
        <v>2.9465000000006292E-4</v>
      </c>
      <c r="AQ63" s="121">
        <f t="shared" si="8"/>
        <v>-4.4374859999999974E-3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33.433684999999997</v>
      </c>
      <c r="Y64" s="190">
        <v>36.779097</v>
      </c>
      <c r="Z64" s="190">
        <v>0.97593220999999997</v>
      </c>
      <c r="AA64" s="62">
        <v>0.98259918000000002</v>
      </c>
      <c r="AB64" s="62">
        <v>3.8256480000000002E-2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0.28602499999999509</v>
      </c>
      <c r="AN64" s="122">
        <f t="shared" si="5"/>
        <v>0.21385000000000076</v>
      </c>
      <c r="AO64" s="122">
        <f t="shared" si="6"/>
        <v>-6.7167000000001309E-4</v>
      </c>
      <c r="AP64" s="122">
        <f t="shared" si="7"/>
        <v>3.7494999999998502E-4</v>
      </c>
      <c r="AQ64" s="88">
        <f t="shared" si="8"/>
        <v>-3.7397419999999973E-3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36.847340000000003</v>
      </c>
      <c r="Y65" s="190">
        <v>40.288414000000003</v>
      </c>
      <c r="Z65" s="190">
        <v>0.98731038999999998</v>
      </c>
      <c r="AA65" s="62">
        <v>0.99146517999999995</v>
      </c>
      <c r="AB65" s="62">
        <v>2.4230060000000001E-2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0.4558320000000009</v>
      </c>
      <c r="AN65" s="122">
        <f t="shared" si="5"/>
        <v>3.6205000000002485E-2</v>
      </c>
      <c r="AO65" s="122">
        <f t="shared" si="6"/>
        <v>-6.6960000000004793E-4</v>
      </c>
      <c r="AP65" s="122">
        <f t="shared" si="7"/>
        <v>1.3555999999992352E-4</v>
      </c>
      <c r="AQ65" s="88">
        <f t="shared" si="8"/>
        <v>-2.6912680000000001E-3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40.382392000000003</v>
      </c>
      <c r="Y66" s="190">
        <v>43.544989999999999</v>
      </c>
      <c r="Z66" s="190">
        <v>0.99270316999999997</v>
      </c>
      <c r="AA66" s="62">
        <v>0.99561558999999999</v>
      </c>
      <c r="AB66" s="62">
        <v>1.108994E-2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0.69469100000000594</v>
      </c>
      <c r="AN66" s="122">
        <f t="shared" si="5"/>
        <v>-4.4052000000000646E-2</v>
      </c>
      <c r="AO66" s="122">
        <f t="shared" si="6"/>
        <v>-6.1717000000005573E-4</v>
      </c>
      <c r="AP66" s="122">
        <f t="shared" si="7"/>
        <v>6.3389999999996505E-5</v>
      </c>
      <c r="AQ66" s="88">
        <f t="shared" si="8"/>
        <v>-2.0305160000000013E-3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29.442955000000001</v>
      </c>
      <c r="Y68" s="97">
        <v>33.562671000000002</v>
      </c>
      <c r="Z68" s="97">
        <v>0.96243299999999998</v>
      </c>
      <c r="AA68" s="60">
        <v>0.96940305000000004</v>
      </c>
      <c r="AB68" s="60">
        <v>5.6599631999999997E-2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0.4583750000000002</v>
      </c>
      <c r="AN68" s="96">
        <f t="shared" si="5"/>
        <v>1.1038870000000003</v>
      </c>
      <c r="AO68" s="96">
        <f t="shared" si="6"/>
        <v>1.450199999999402E-4</v>
      </c>
      <c r="AP68" s="96">
        <f t="shared" si="7"/>
        <v>1.2288300000000696E-3</v>
      </c>
      <c r="AQ68" s="121">
        <f t="shared" si="8"/>
        <v>-1.476740800000001E-2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33.308881</v>
      </c>
      <c r="Y69" s="190">
        <v>36.655206</v>
      </c>
      <c r="Z69" s="190">
        <v>0.97766063000000003</v>
      </c>
      <c r="AA69" s="62">
        <v>0.98275513999999997</v>
      </c>
      <c r="AB69" s="62">
        <v>3.5424452000000002E-2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1.3301470000000002</v>
      </c>
      <c r="AN69" s="122">
        <f t="shared" si="5"/>
        <v>1.0942519999999973</v>
      </c>
      <c r="AO69" s="122">
        <f t="shared" si="6"/>
        <v>1.5415000000007506E-4</v>
      </c>
      <c r="AP69" s="122">
        <f t="shared" si="7"/>
        <v>9.8513000000000073E-4</v>
      </c>
      <c r="AQ69" s="88">
        <f t="shared" si="8"/>
        <v>-1.1441937999999999E-2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37.903545999999999</v>
      </c>
      <c r="Y70" s="190">
        <v>41.075785000000003</v>
      </c>
      <c r="Z70" s="190">
        <v>0.98854721999999995</v>
      </c>
      <c r="AA70" s="62">
        <v>0.99218713000000003</v>
      </c>
      <c r="AB70" s="62">
        <v>1.8850489000000002E-2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2.8213080000000019</v>
      </c>
      <c r="AN70" s="122">
        <f t="shared" si="5"/>
        <v>1.6395920000000004</v>
      </c>
      <c r="AO70" s="122">
        <f t="shared" si="6"/>
        <v>-1.8110000000071125E-5</v>
      </c>
      <c r="AP70" s="122">
        <f t="shared" si="7"/>
        <v>3.7282000000005144E-4</v>
      </c>
      <c r="AQ70" s="88">
        <f t="shared" si="8"/>
        <v>-1.1195430999999999E-2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41.404502000000001</v>
      </c>
      <c r="Y71" s="190">
        <v>44.449416999999997</v>
      </c>
      <c r="Z71" s="190">
        <v>0.99339476000000004</v>
      </c>
      <c r="AA71" s="62">
        <v>0.99601700000000004</v>
      </c>
      <c r="AB71" s="62">
        <v>8.9107279999999997E-3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3.8614669999999975</v>
      </c>
      <c r="AN71" s="122">
        <f t="shared" si="5"/>
        <v>2.4661449999999974</v>
      </c>
      <c r="AO71" s="122">
        <f t="shared" si="6"/>
        <v>2.0110000000017614E-5</v>
      </c>
      <c r="AP71" s="122">
        <f t="shared" si="7"/>
        <v>3.7185000000006241E-4</v>
      </c>
      <c r="AQ71" s="88">
        <f t="shared" si="8"/>
        <v>-8.6713199999999997E-3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29.897587999999999</v>
      </c>
      <c r="Y73" s="97">
        <v>34.085051</v>
      </c>
      <c r="Z73" s="97">
        <v>0.96444067</v>
      </c>
      <c r="AA73" s="60">
        <v>0.96982639999999998</v>
      </c>
      <c r="AB73" s="60">
        <v>5.3861025999999999E-2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0.37061499999999725</v>
      </c>
      <c r="AN73" s="96">
        <f t="shared" si="5"/>
        <v>0.8188689999999994</v>
      </c>
      <c r="AO73" s="96">
        <f t="shared" si="6"/>
        <v>2.7124999999994515E-4</v>
      </c>
      <c r="AP73" s="96">
        <f t="shared" si="7"/>
        <v>1.0388700000000251E-3</v>
      </c>
      <c r="AQ73" s="121">
        <f t="shared" si="8"/>
        <v>-1.0146064000000003E-2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33.521605000000001</v>
      </c>
      <c r="Y74" s="190">
        <v>36.931057000000003</v>
      </c>
      <c r="Z74" s="190">
        <v>0.97812372000000003</v>
      </c>
      <c r="AA74" s="62">
        <v>0.98246341999999998</v>
      </c>
      <c r="AB74" s="62">
        <v>3.4602985000000003E-2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1.2386020000000002</v>
      </c>
      <c r="AN74" s="122">
        <f t="shared" si="5"/>
        <v>0.92003300000000365</v>
      </c>
      <c r="AO74" s="122">
        <f t="shared" si="6"/>
        <v>9.959999999975544E-6</v>
      </c>
      <c r="AP74" s="122">
        <f t="shared" si="7"/>
        <v>8.3611999999999576E-4</v>
      </c>
      <c r="AQ74" s="88">
        <f t="shared" si="8"/>
        <v>-7.6765189999999997E-3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37.942807000000002</v>
      </c>
      <c r="Y75" s="190">
        <v>41.150784999999999</v>
      </c>
      <c r="Z75" s="190">
        <v>0.98839573999999997</v>
      </c>
      <c r="AA75" s="62">
        <v>0.99200297000000004</v>
      </c>
      <c r="AB75" s="62">
        <v>1.9099507000000002E-2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1.9644699999999986</v>
      </c>
      <c r="AN75" s="122">
        <f t="shared" si="5"/>
        <v>1.0865220000000022</v>
      </c>
      <c r="AO75" s="122">
        <f t="shared" si="6"/>
        <v>-3.940000000002275E-5</v>
      </c>
      <c r="AP75" s="122">
        <f t="shared" si="7"/>
        <v>4.4003000000003567E-4</v>
      </c>
      <c r="AQ75" s="88">
        <f t="shared" si="8"/>
        <v>-6.4147379999999997E-3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41.572012999999998</v>
      </c>
      <c r="Y76" s="190">
        <v>44.638761000000002</v>
      </c>
      <c r="Z76" s="190">
        <v>0.99338269000000001</v>
      </c>
      <c r="AA76" s="62">
        <v>0.99605149000000004</v>
      </c>
      <c r="AB76" s="62">
        <v>8.7632730000000002E-3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3.6690199999999962</v>
      </c>
      <c r="AN76" s="122">
        <f t="shared" si="5"/>
        <v>2.3501779999999997</v>
      </c>
      <c r="AO76" s="122">
        <f t="shared" si="6"/>
        <v>2.5550000000040818E-5</v>
      </c>
      <c r="AP76" s="122">
        <f t="shared" si="7"/>
        <v>4.2310000000000958E-4</v>
      </c>
      <c r="AQ76" s="88">
        <f t="shared" si="8"/>
        <v>-7.7995220000000014E-3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30.246276000000002</v>
      </c>
      <c r="Y78" s="97">
        <v>34.061231999999997</v>
      </c>
      <c r="Z78" s="97">
        <v>0.96592195999999997</v>
      </c>
      <c r="AA78" s="60">
        <v>0.97100357000000004</v>
      </c>
      <c r="AB78" s="60">
        <v>5.4508958000000003E-2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0.60952500000000143</v>
      </c>
      <c r="AN78" s="96">
        <f t="shared" si="5"/>
        <v>0.72231499999999471</v>
      </c>
      <c r="AO78" s="96">
        <f t="shared" si="6"/>
        <v>1.7372999999998306E-4</v>
      </c>
      <c r="AP78" s="96">
        <f t="shared" si="7"/>
        <v>9.2919000000002416E-4</v>
      </c>
      <c r="AQ78" s="121">
        <f t="shared" si="8"/>
        <v>-1.1964176E-2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33.489514</v>
      </c>
      <c r="Y79" s="190">
        <v>36.79992</v>
      </c>
      <c r="Z79" s="190">
        <v>0.97850552999999996</v>
      </c>
      <c r="AA79" s="62">
        <v>0.98281295999999996</v>
      </c>
      <c r="AB79" s="62">
        <v>3.5777773999999998E-2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1.2485250000000008</v>
      </c>
      <c r="AN79" s="122">
        <f t="shared" si="5"/>
        <v>0.74527599999999694</v>
      </c>
      <c r="AO79" s="122">
        <f t="shared" si="6"/>
        <v>-1.8442000000007397E-4</v>
      </c>
      <c r="AP79" s="122">
        <f t="shared" si="7"/>
        <v>5.8943999999994112E-4</v>
      </c>
      <c r="AQ79" s="88">
        <f t="shared" si="8"/>
        <v>-8.4432260000000051E-3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37.671145000000003</v>
      </c>
      <c r="Y80" s="190">
        <v>41.053572000000003</v>
      </c>
      <c r="Z80" s="190">
        <v>0.98828187000000001</v>
      </c>
      <c r="AA80" s="62">
        <v>0.99204108999999996</v>
      </c>
      <c r="AB80" s="62">
        <v>2.0399998999999999E-2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2.1099730000000037</v>
      </c>
      <c r="AN80" s="122">
        <f t="shared" si="5"/>
        <v>1.1844790000000032</v>
      </c>
      <c r="AO80" s="122">
        <f t="shared" si="6"/>
        <v>-2.3755000000003079E-4</v>
      </c>
      <c r="AP80" s="122">
        <f t="shared" si="7"/>
        <v>3.0367999999991735E-4</v>
      </c>
      <c r="AQ80" s="88">
        <f t="shared" si="8"/>
        <v>-8.634962000000003E-3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41.560873000000001</v>
      </c>
      <c r="Y81" s="190">
        <v>44.676281000000003</v>
      </c>
      <c r="Z81" s="190">
        <v>0.99329290000000003</v>
      </c>
      <c r="AA81" s="62">
        <v>0.99603421000000003</v>
      </c>
      <c r="AB81" s="62">
        <v>9.0860790000000004E-3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3.2433510000000041</v>
      </c>
      <c r="AN81" s="122">
        <f t="shared" si="5"/>
        <v>1.9705610000000036</v>
      </c>
      <c r="AO81" s="122">
        <f t="shared" si="6"/>
        <v>-1.0816999999996302E-4</v>
      </c>
      <c r="AP81" s="122">
        <f t="shared" si="7"/>
        <v>3.6553000000005831E-4</v>
      </c>
      <c r="AQ81" s="88">
        <f t="shared" si="8"/>
        <v>-7.0334589999999989E-3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30.425785000000001</v>
      </c>
      <c r="Y83" s="97">
        <v>34.331600999999999</v>
      </c>
      <c r="Z83" s="97">
        <v>0.96673659000000001</v>
      </c>
      <c r="AA83" s="60">
        <v>0.97280407000000002</v>
      </c>
      <c r="AB83" s="60">
        <v>5.2950054000000003E-2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7.9118000000001132E-2</v>
      </c>
      <c r="AN83" s="96">
        <f t="shared" si="5"/>
        <v>0.63279099999999744</v>
      </c>
      <c r="AO83" s="96">
        <f t="shared" si="6"/>
        <v>1.4254999999996354E-4</v>
      </c>
      <c r="AP83" s="96">
        <f t="shared" si="7"/>
        <v>8.0195000000005123E-4</v>
      </c>
      <c r="AQ83" s="121">
        <f t="shared" si="8"/>
        <v>-8.7602289999999944E-3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34.193953999999998</v>
      </c>
      <c r="Y84" s="190">
        <v>37.418610000000001</v>
      </c>
      <c r="Z84" s="190">
        <v>0.97897106</v>
      </c>
      <c r="AA84" s="62">
        <v>0.98431495000000002</v>
      </c>
      <c r="AB84" s="62">
        <v>3.3605496999999998E-2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0.99599299999999857</v>
      </c>
      <c r="AN84" s="122">
        <f t="shared" si="5"/>
        <v>0.77586300000000108</v>
      </c>
      <c r="AO84" s="122">
        <f t="shared" si="6"/>
        <v>-1.99579999999977E-4</v>
      </c>
      <c r="AP84" s="122">
        <f t="shared" si="7"/>
        <v>6.9033000000007227E-4</v>
      </c>
      <c r="AQ84" s="88">
        <f t="shared" si="8"/>
        <v>-7.0319630000000022E-3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38.053069999999998</v>
      </c>
      <c r="Y85" s="190">
        <v>41.304976000000003</v>
      </c>
      <c r="Z85" s="190">
        <v>0.98815217</v>
      </c>
      <c r="AA85" s="62">
        <v>0.99210220999999998</v>
      </c>
      <c r="AB85" s="62">
        <v>2.0027942999999999E-2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1.7298449999999974</v>
      </c>
      <c r="AN85" s="122">
        <f t="shared" si="5"/>
        <v>0.84392900000000282</v>
      </c>
      <c r="AO85" s="122">
        <f t="shared" si="6"/>
        <v>-2.1579999999998822E-4</v>
      </c>
      <c r="AP85" s="122">
        <f t="shared" si="7"/>
        <v>2.2429000000001587E-4</v>
      </c>
      <c r="AQ85" s="88">
        <f t="shared" si="8"/>
        <v>-5.9560350000000019E-3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41.576191000000001</v>
      </c>
      <c r="Y86" s="190">
        <v>44.667656999999998</v>
      </c>
      <c r="Z86" s="190">
        <v>0.99313943000000005</v>
      </c>
      <c r="AA86" s="62">
        <v>0.99601660999999997</v>
      </c>
      <c r="AB86" s="62">
        <v>9.3047730000000006E-3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2.9715330000000009</v>
      </c>
      <c r="AN86" s="122">
        <f t="shared" si="5"/>
        <v>1.6805880000000002</v>
      </c>
      <c r="AO86" s="122">
        <f t="shared" si="6"/>
        <v>-1.1812999999993856E-4</v>
      </c>
      <c r="AP86" s="122">
        <f t="shared" si="7"/>
        <v>4.2438000000000198E-4</v>
      </c>
      <c r="AQ86" s="88">
        <f t="shared" si="8"/>
        <v>-5.9634759999999988E-3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30.63963</v>
      </c>
      <c r="Y88" s="97">
        <v>34.501229000000002</v>
      </c>
      <c r="Z88" s="97">
        <v>0.96729823999999998</v>
      </c>
      <c r="AA88" s="60">
        <v>0.97320627999999998</v>
      </c>
      <c r="AB88" s="60">
        <v>5.1738582999999998E-2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0.30885500000000121</v>
      </c>
      <c r="AN88" s="96">
        <f t="shared" si="5"/>
        <v>0.61231599999999986</v>
      </c>
      <c r="AO88" s="96">
        <f t="shared" si="6"/>
        <v>1.1240000000001249E-4</v>
      </c>
      <c r="AP88" s="96">
        <f t="shared" si="7"/>
        <v>8.7024000000002211E-4</v>
      </c>
      <c r="AQ88" s="121">
        <f t="shared" si="8"/>
        <v>-8.5313130000000056E-3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34.257776999999997</v>
      </c>
      <c r="Y89" s="190">
        <v>37.462676000000002</v>
      </c>
      <c r="Z89" s="190">
        <v>0.97952088999999998</v>
      </c>
      <c r="AA89" s="62">
        <v>0.98484366999999995</v>
      </c>
      <c r="AB89" s="62">
        <v>3.3002022999999998E-2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0.80046899999999965</v>
      </c>
      <c r="AN89" s="122">
        <f t="shared" si="5"/>
        <v>0.58210300000000359</v>
      </c>
      <c r="AO89" s="122">
        <f t="shared" si="6"/>
        <v>-1.6450000000001186E-4</v>
      </c>
      <c r="AP89" s="122">
        <f t="shared" si="7"/>
        <v>4.7808999999998658E-4</v>
      </c>
      <c r="AQ89" s="88">
        <f t="shared" si="8"/>
        <v>-6.4390710000000045E-3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38.156533000000003</v>
      </c>
      <c r="Y90" s="190">
        <v>41.423766999999998</v>
      </c>
      <c r="Z90" s="190">
        <v>0.98837271999999998</v>
      </c>
      <c r="AA90" s="62">
        <v>0.99226221000000003</v>
      </c>
      <c r="AB90" s="62">
        <v>1.9793262999999998E-2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1.4032890000000009</v>
      </c>
      <c r="AN90" s="122">
        <f t="shared" si="5"/>
        <v>0.67484100000000069</v>
      </c>
      <c r="AO90" s="122">
        <f t="shared" si="6"/>
        <v>-2.5465000000002291E-4</v>
      </c>
      <c r="AP90" s="122">
        <f t="shared" si="7"/>
        <v>3.3134000000001329E-4</v>
      </c>
      <c r="AQ90" s="88">
        <f t="shared" si="8"/>
        <v>-4.659967000000001E-3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41.814014</v>
      </c>
      <c r="Y91" s="190">
        <v>44.896493999999997</v>
      </c>
      <c r="Z91" s="190">
        <v>0.99335214999999999</v>
      </c>
      <c r="AA91" s="62">
        <v>0.99613026000000005</v>
      </c>
      <c r="AB91" s="62">
        <v>9.0296720000000007E-3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2.592486000000001</v>
      </c>
      <c r="AN91" s="122">
        <f t="shared" si="5"/>
        <v>1.4052989999999994</v>
      </c>
      <c r="AO91" s="122">
        <f t="shared" si="6"/>
        <v>-1.3216000000004779E-4</v>
      </c>
      <c r="AP91" s="122">
        <f t="shared" si="7"/>
        <v>4.0565000000003515E-4</v>
      </c>
      <c r="AQ91" s="88">
        <f t="shared" si="8"/>
        <v>-4.7075820000000001E-3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30.867733000000001</v>
      </c>
      <c r="Y93" s="97">
        <v>34.658451999999997</v>
      </c>
      <c r="Z93" s="97">
        <v>0.96737890999999998</v>
      </c>
      <c r="AA93" s="60">
        <v>0.97318678999999997</v>
      </c>
      <c r="AB93" s="60">
        <v>5.3394379999999998E-2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0.46434500000000156</v>
      </c>
      <c r="AN93" s="96">
        <f t="shared" si="5"/>
        <v>0.54450999999999539</v>
      </c>
      <c r="AO93" s="96">
        <f t="shared" si="6"/>
        <v>1.2104999999995592E-4</v>
      </c>
      <c r="AP93" s="96">
        <f t="shared" si="7"/>
        <v>3.1616999999994899E-4</v>
      </c>
      <c r="AQ93" s="121">
        <f t="shared" si="8"/>
        <v>-7.7474280000000006E-3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34.449385999999997</v>
      </c>
      <c r="Y94" s="190">
        <v>37.692039999999999</v>
      </c>
      <c r="Z94" s="190">
        <v>0.97974916999999995</v>
      </c>
      <c r="AA94" s="62">
        <v>0.98516687999999997</v>
      </c>
      <c r="AB94" s="62">
        <v>3.3786355999999997E-2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1.0127449999999953</v>
      </c>
      <c r="AN94" s="122">
        <f t="shared" si="5"/>
        <v>0.62235400000000141</v>
      </c>
      <c r="AO94" s="122">
        <f t="shared" si="6"/>
        <v>-9.4470000000068666E-5</v>
      </c>
      <c r="AP94" s="122">
        <f t="shared" si="7"/>
        <v>4.6444999999994963E-4</v>
      </c>
      <c r="AQ94" s="88">
        <f t="shared" si="8"/>
        <v>-6.8277910000000067E-3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37.891308000000002</v>
      </c>
      <c r="Y95" s="190">
        <v>41.300454999999999</v>
      </c>
      <c r="Z95" s="190">
        <v>0.98856124999999995</v>
      </c>
      <c r="AA95" s="62">
        <v>0.99233530999999997</v>
      </c>
      <c r="AB95" s="62">
        <v>2.0702410000000001E-2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1.101146</v>
      </c>
      <c r="AN95" s="122">
        <f t="shared" si="5"/>
        <v>0.58679800000000171</v>
      </c>
      <c r="AO95" s="122">
        <f t="shared" si="6"/>
        <v>-2.212300000000722E-4</v>
      </c>
      <c r="AP95" s="122">
        <f t="shared" si="7"/>
        <v>1.6366000000000991E-4</v>
      </c>
      <c r="AQ95" s="88">
        <f t="shared" si="8"/>
        <v>-4.0041120000000006E-3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41.820531000000003</v>
      </c>
      <c r="Y96" s="190">
        <v>44.982318999999997</v>
      </c>
      <c r="Z96" s="190">
        <v>0.99341082000000003</v>
      </c>
      <c r="AA96" s="62">
        <v>0.99615266999999996</v>
      </c>
      <c r="AB96" s="62">
        <v>9.3341940000000005E-3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2.1108900000000048</v>
      </c>
      <c r="AN96" s="122">
        <f t="shared" si="5"/>
        <v>1.0893959999999936</v>
      </c>
      <c r="AO96" s="122">
        <f t="shared" si="6"/>
        <v>-1.5904999999993841E-4</v>
      </c>
      <c r="AP96" s="122">
        <f t="shared" si="7"/>
        <v>4.4241999999994341E-4</v>
      </c>
      <c r="AQ96" s="88">
        <f t="shared" si="8"/>
        <v>-3.9262150000000003E-3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30.889878</v>
      </c>
      <c r="Y98" s="97">
        <v>34.991208999999998</v>
      </c>
      <c r="Z98" s="97">
        <v>0.96610335000000003</v>
      </c>
      <c r="AA98" s="60">
        <v>0.97344249000000005</v>
      </c>
      <c r="AB98" s="60">
        <v>5.6074644999999999E-2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2.7366000000000668E-2</v>
      </c>
      <c r="AN98" s="96">
        <f t="shared" si="15"/>
        <v>0.27029399999999981</v>
      </c>
      <c r="AO98" s="96">
        <f t="shared" si="16"/>
        <v>1.2870000000053672E-5</v>
      </c>
      <c r="AP98" s="96">
        <f t="shared" si="17"/>
        <v>2.6768000000010339E-4</v>
      </c>
      <c r="AQ98" s="121">
        <f t="shared" si="18"/>
        <v>-2.9902649999999989E-3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34.640554000000002</v>
      </c>
      <c r="Y99" s="190">
        <v>38.054197000000002</v>
      </c>
      <c r="Z99" s="190">
        <v>0.97940223999999998</v>
      </c>
      <c r="AA99" s="62">
        <v>0.98530141000000004</v>
      </c>
      <c r="AB99" s="62">
        <v>3.4461539999999999E-2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0.53149000000000513</v>
      </c>
      <c r="AN99" s="122">
        <f t="shared" si="15"/>
        <v>0.41400099999999895</v>
      </c>
      <c r="AO99" s="122">
        <f t="shared" si="16"/>
        <v>-1.2825000000005193E-4</v>
      </c>
      <c r="AP99" s="122">
        <f t="shared" si="17"/>
        <v>5.8513000000004478E-4</v>
      </c>
      <c r="AQ99" s="88">
        <f t="shared" si="18"/>
        <v>-3.4028769999999986E-3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38.000833999999998</v>
      </c>
      <c r="Y100" s="190">
        <v>41.346603999999999</v>
      </c>
      <c r="Z100" s="190">
        <v>0.98854518999999996</v>
      </c>
      <c r="AA100" s="62">
        <v>0.99231581999999996</v>
      </c>
      <c r="AB100" s="62">
        <v>2.1196336999999999E-2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0.72189399999999893</v>
      </c>
      <c r="AN100" s="122">
        <f t="shared" si="15"/>
        <v>0.3505439999999993</v>
      </c>
      <c r="AO100" s="122">
        <f t="shared" si="16"/>
        <v>-2.94190000000083E-4</v>
      </c>
      <c r="AP100" s="122">
        <f t="shared" si="17"/>
        <v>4.3839999999906176E-5</v>
      </c>
      <c r="AQ100" s="88">
        <f t="shared" si="18"/>
        <v>-2.5188780000000022E-3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41.813704000000001</v>
      </c>
      <c r="Y101" s="190">
        <v>44.973253</v>
      </c>
      <c r="Z101" s="190">
        <v>0.99342467999999995</v>
      </c>
      <c r="AA101" s="62">
        <v>0.99614254000000002</v>
      </c>
      <c r="AB101" s="62">
        <v>1.0051790999999999E-2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1.3793470000000028</v>
      </c>
      <c r="AN101" s="122">
        <f t="shared" si="15"/>
        <v>0.62533700000000181</v>
      </c>
      <c r="AO101" s="122">
        <f t="shared" si="16"/>
        <v>-2.1901000000001947E-4</v>
      </c>
      <c r="AP101" s="122">
        <f t="shared" si="17"/>
        <v>2.8475000000005579E-4</v>
      </c>
      <c r="AQ101" s="88">
        <f t="shared" si="18"/>
        <v>-2.4474500000000003E-3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31.013055000000001</v>
      </c>
      <c r="Y103" s="97">
        <v>35.382449999999999</v>
      </c>
      <c r="Z103" s="97">
        <v>0.96734438</v>
      </c>
      <c r="AA103" s="60">
        <v>0.97603534000000003</v>
      </c>
      <c r="AB103" s="60">
        <v>6.1425064000000001E-2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0.29267600000000016</v>
      </c>
      <c r="AN103" s="96">
        <f t="shared" si="15"/>
        <v>1.0863749999999968</v>
      </c>
      <c r="AO103" s="96">
        <f t="shared" si="16"/>
        <v>-1.7288000000004189E-4</v>
      </c>
      <c r="AP103" s="96">
        <f t="shared" si="17"/>
        <v>2.7664000000005018E-4</v>
      </c>
      <c r="AQ103" s="121">
        <f t="shared" si="18"/>
        <v>-1.1427086000000003E-2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34.336587999999999</v>
      </c>
      <c r="Y104" s="190">
        <v>37.991579000000002</v>
      </c>
      <c r="Z104" s="190">
        <v>0.98011831999999999</v>
      </c>
      <c r="AA104" s="62">
        <v>0.98636314000000003</v>
      </c>
      <c r="AB104" s="62">
        <v>3.7643745999999999E-2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0.86658099999999649</v>
      </c>
      <c r="AN104" s="122">
        <f t="shared" si="15"/>
        <v>1.0898269999999997</v>
      </c>
      <c r="AO104" s="122">
        <f t="shared" si="16"/>
        <v>5.4719999999952584E-5</v>
      </c>
      <c r="AP104" s="122">
        <f t="shared" si="17"/>
        <v>3.6557999999997648E-4</v>
      </c>
      <c r="AQ104" s="88">
        <f t="shared" si="18"/>
        <v>-1.0292334E-2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38.568401999999999</v>
      </c>
      <c r="Y105" s="190">
        <v>41.754711</v>
      </c>
      <c r="Z105" s="190">
        <v>0.98930236000000005</v>
      </c>
      <c r="AA105" s="62">
        <v>0.99329756999999996</v>
      </c>
      <c r="AB105" s="62">
        <v>2.0312500000000001E-2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2.5690910000000002</v>
      </c>
      <c r="AN105" s="122">
        <f t="shared" si="15"/>
        <v>1.5544549999999973</v>
      </c>
      <c r="AO105" s="122">
        <f t="shared" si="16"/>
        <v>-2.2729999999970829E-5</v>
      </c>
      <c r="AP105" s="122">
        <f t="shared" si="17"/>
        <v>3.9200999999999819E-4</v>
      </c>
      <c r="AQ105" s="88">
        <f t="shared" si="18"/>
        <v>-1.1459559999999997E-2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41.972382000000003</v>
      </c>
      <c r="Y106" s="190">
        <v>44.969914000000003</v>
      </c>
      <c r="Z106" s="190">
        <v>0.99354827000000001</v>
      </c>
      <c r="AA106" s="62">
        <v>0.99638494</v>
      </c>
      <c r="AB106" s="62">
        <v>1.0204279E-2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3.4368810000000067</v>
      </c>
      <c r="AN106" s="122">
        <f t="shared" si="15"/>
        <v>2.0483140000000049</v>
      </c>
      <c r="AO106" s="122">
        <f t="shared" si="16"/>
        <v>2.0560000000058309E-5</v>
      </c>
      <c r="AP106" s="122">
        <f t="shared" si="17"/>
        <v>3.4034000000005005E-4</v>
      </c>
      <c r="AQ106" s="88">
        <f t="shared" si="18"/>
        <v>-8.8271769999999986E-3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30.940432999999999</v>
      </c>
      <c r="Y108" s="97">
        <v>35.249951000000003</v>
      </c>
      <c r="Z108" s="97">
        <v>0.96944861999999998</v>
      </c>
      <c r="AA108" s="60">
        <v>0.97765444999999995</v>
      </c>
      <c r="AB108" s="60">
        <v>5.8304376999999998E-2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-0.15683500000000095</v>
      </c>
      <c r="AN108" s="96">
        <f t="shared" si="15"/>
        <v>0.52078200000000407</v>
      </c>
      <c r="AO108" s="96">
        <f t="shared" si="16"/>
        <v>5.509999999930848E-6</v>
      </c>
      <c r="AP108" s="96">
        <f t="shared" si="17"/>
        <v>2.9075000000000628E-4</v>
      </c>
      <c r="AQ108" s="121">
        <f t="shared" si="18"/>
        <v>-6.2386530000000037E-3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34.195025000000001</v>
      </c>
      <c r="Y109" s="190">
        <v>37.943385999999997</v>
      </c>
      <c r="Z109" s="190">
        <v>0.98072879000000002</v>
      </c>
      <c r="AA109" s="62">
        <v>0.98672283000000005</v>
      </c>
      <c r="AB109" s="62">
        <v>3.6395542000000003E-2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0.26853900000000408</v>
      </c>
      <c r="AN109" s="122">
        <f t="shared" si="15"/>
        <v>0.62437299999999851</v>
      </c>
      <c r="AO109" s="122">
        <f t="shared" si="16"/>
        <v>-1.7929999999943824E-5</v>
      </c>
      <c r="AP109" s="122">
        <f t="shared" si="17"/>
        <v>2.5096000000002228E-4</v>
      </c>
      <c r="AQ109" s="88">
        <f t="shared" si="18"/>
        <v>-6.8163059999999942E-3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38.478724999999997</v>
      </c>
      <c r="Y110" s="190">
        <v>41.678455999999997</v>
      </c>
      <c r="Z110" s="190">
        <v>0.98917235999999997</v>
      </c>
      <c r="AA110" s="62">
        <v>0.99304035000000002</v>
      </c>
      <c r="AB110" s="62">
        <v>2.0833312E-2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1.2487110000000001</v>
      </c>
      <c r="AN110" s="122">
        <f t="shared" si="15"/>
        <v>0.64975199999999944</v>
      </c>
      <c r="AO110" s="122">
        <f t="shared" si="16"/>
        <v>-7.7749999999987551E-5</v>
      </c>
      <c r="AP110" s="122">
        <f t="shared" si="17"/>
        <v>1.3185000000004443E-4</v>
      </c>
      <c r="AQ110" s="88">
        <f t="shared" si="18"/>
        <v>-5.6686040000000007E-3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42.025903999999997</v>
      </c>
      <c r="Y111" s="190">
        <v>44.984484000000002</v>
      </c>
      <c r="Z111" s="190">
        <v>0.99351869000000004</v>
      </c>
      <c r="AA111" s="62">
        <v>0.99639131000000003</v>
      </c>
      <c r="AB111" s="62">
        <v>1.0114938E-2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2.9977239999999981</v>
      </c>
      <c r="AN111" s="122">
        <f t="shared" si="15"/>
        <v>1.6353170000000006</v>
      </c>
      <c r="AO111" s="122">
        <f t="shared" si="16"/>
        <v>-2.0539999999957814E-5</v>
      </c>
      <c r="AP111" s="122">
        <f t="shared" si="17"/>
        <v>3.6849000000005461E-4</v>
      </c>
      <c r="AQ111" s="88">
        <f t="shared" si="18"/>
        <v>-8.2310739999999979E-3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31.642665000000001</v>
      </c>
      <c r="Y113" s="97">
        <v>35.407860999999997</v>
      </c>
      <c r="Z113" s="97">
        <v>0.97015810000000002</v>
      </c>
      <c r="AA113" s="60">
        <v>0.97845366</v>
      </c>
      <c r="AB113" s="60">
        <v>5.686045E-2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0.56425300000000078</v>
      </c>
      <c r="AN113" s="96">
        <f t="shared" si="15"/>
        <v>0.70605499999999921</v>
      </c>
      <c r="AO113" s="96">
        <f t="shared" si="16"/>
        <v>-7.4899999999988864E-5</v>
      </c>
      <c r="AP113" s="96">
        <f t="shared" si="17"/>
        <v>4.848699999999706E-4</v>
      </c>
      <c r="AQ113" s="121">
        <f t="shared" si="18"/>
        <v>-9.928689999999997E-3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34.527124999999998</v>
      </c>
      <c r="Y114" s="190">
        <v>37.868797000000001</v>
      </c>
      <c r="Z114" s="190">
        <v>0.98094298999999996</v>
      </c>
      <c r="AA114" s="62">
        <v>0.98687981000000002</v>
      </c>
      <c r="AB114" s="62">
        <v>3.7758340000000001E-2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1.0991879999999981</v>
      </c>
      <c r="AN114" s="122">
        <f t="shared" si="15"/>
        <v>0.70982599999999962</v>
      </c>
      <c r="AO114" s="122">
        <f t="shared" si="16"/>
        <v>-1.5945000000006093E-4</v>
      </c>
      <c r="AP114" s="122">
        <f t="shared" si="17"/>
        <v>4.3313000000000379E-4</v>
      </c>
      <c r="AQ114" s="88">
        <f t="shared" si="18"/>
        <v>-9.9390769999999976E-3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38.299486999999999</v>
      </c>
      <c r="Y115" s="190">
        <v>41.618993000000003</v>
      </c>
      <c r="Z115" s="190">
        <v>0.98901801</v>
      </c>
      <c r="AA115" s="62">
        <v>0.99325169999999996</v>
      </c>
      <c r="AB115" s="62">
        <v>2.1697154E-2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1.9407220000000009</v>
      </c>
      <c r="AN115" s="122">
        <f t="shared" si="15"/>
        <v>1.1090110000000024</v>
      </c>
      <c r="AO115" s="122">
        <f t="shared" si="16"/>
        <v>-1.7182999999998394E-4</v>
      </c>
      <c r="AP115" s="122">
        <f t="shared" si="17"/>
        <v>4.239899999999297E-4</v>
      </c>
      <c r="AQ115" s="88">
        <f t="shared" si="18"/>
        <v>-8.9405270000000002E-3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42.033380999999999</v>
      </c>
      <c r="Y116" s="190">
        <v>45.105539999999998</v>
      </c>
      <c r="Z116" s="190">
        <v>0.99341151999999999</v>
      </c>
      <c r="AA116" s="62">
        <v>0.99646878000000005</v>
      </c>
      <c r="AB116" s="62">
        <v>1.0167893000000001E-2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2.7444500000000005</v>
      </c>
      <c r="AN116" s="122">
        <f t="shared" si="15"/>
        <v>1.5832149999999956</v>
      </c>
      <c r="AO116" s="122">
        <f t="shared" si="16"/>
        <v>-1.1084999999999567E-4</v>
      </c>
      <c r="AP116" s="122">
        <f t="shared" si="17"/>
        <v>3.4656000000010678E-4</v>
      </c>
      <c r="AQ116" s="88">
        <f t="shared" si="18"/>
        <v>-6.549799999999998E-3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32.207915999999997</v>
      </c>
      <c r="Y118" s="97">
        <v>36.004545999999998</v>
      </c>
      <c r="Z118" s="97">
        <v>0.97124787000000001</v>
      </c>
      <c r="AA118" s="60">
        <v>0.98014146000000002</v>
      </c>
      <c r="AB118" s="60">
        <v>5.3799655000000002E-2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0.31956499999999721</v>
      </c>
      <c r="AN118" s="96">
        <f t="shared" si="15"/>
        <v>0.7086269999999999</v>
      </c>
      <c r="AO118" s="96">
        <f t="shared" si="16"/>
        <v>-1.2639000000003175E-4</v>
      </c>
      <c r="AP118" s="96">
        <f t="shared" si="17"/>
        <v>4.9361000000003319E-4</v>
      </c>
      <c r="AQ118" s="121">
        <f t="shared" si="18"/>
        <v>-6.5251049999999963E-3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35.028894000000001</v>
      </c>
      <c r="Y119" s="190">
        <v>38.385545</v>
      </c>
      <c r="Z119" s="190">
        <v>0.98112129000000003</v>
      </c>
      <c r="AA119" s="62">
        <v>0.98765839</v>
      </c>
      <c r="AB119" s="62">
        <v>3.5784400000000001E-2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1.0556020000000004</v>
      </c>
      <c r="AN119" s="122">
        <f t="shared" si="15"/>
        <v>0.85877400000000392</v>
      </c>
      <c r="AO119" s="122">
        <f t="shared" si="16"/>
        <v>-1.4760999999996471E-4</v>
      </c>
      <c r="AP119" s="122">
        <f t="shared" si="17"/>
        <v>5.219600000000435E-4</v>
      </c>
      <c r="AQ119" s="88">
        <f t="shared" si="18"/>
        <v>-6.9891899999999993E-3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38.583243000000003</v>
      </c>
      <c r="Y120" s="190">
        <v>41.798028000000002</v>
      </c>
      <c r="Z120" s="190">
        <v>0.98882965</v>
      </c>
      <c r="AA120" s="62">
        <v>0.99320408999999998</v>
      </c>
      <c r="AB120" s="62">
        <v>2.0888266999999999E-2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1.6842439999999996</v>
      </c>
      <c r="AN120" s="122">
        <f t="shared" si="15"/>
        <v>0.94296600000000552</v>
      </c>
      <c r="AO120" s="122">
        <f t="shared" si="16"/>
        <v>-2.260899999999566E-4</v>
      </c>
      <c r="AP120" s="122">
        <f t="shared" si="17"/>
        <v>1.517399999999558E-4</v>
      </c>
      <c r="AQ120" s="88">
        <f t="shared" si="18"/>
        <v>-6.1228700000000025E-3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42.238860000000003</v>
      </c>
      <c r="Y121" s="190">
        <v>45.279141000000003</v>
      </c>
      <c r="Z121" s="190">
        <v>0.99330116999999996</v>
      </c>
      <c r="AA121" s="62">
        <v>0.99645583000000004</v>
      </c>
      <c r="AB121" s="62">
        <v>1.0236357E-2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2.4001170000000016</v>
      </c>
      <c r="AN121" s="122">
        <f t="shared" si="15"/>
        <v>1.3014650000000003</v>
      </c>
      <c r="AO121" s="122">
        <f t="shared" si="16"/>
        <v>-1.6916000000000153E-4</v>
      </c>
      <c r="AP121" s="122">
        <f t="shared" si="17"/>
        <v>3.2485000000004316E-4</v>
      </c>
      <c r="AQ121" s="88">
        <f t="shared" si="18"/>
        <v>-4.5068280000000009E-3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32.372051999999996</v>
      </c>
      <c r="Y123" s="97">
        <v>36.133277</v>
      </c>
      <c r="Z123" s="97">
        <v>0.97146410999999999</v>
      </c>
      <c r="AA123" s="60">
        <v>0.97937293000000003</v>
      </c>
      <c r="AB123" s="60">
        <v>5.4078399999999999E-2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0.34206299999999601</v>
      </c>
      <c r="AN123" s="96">
        <f t="shared" si="15"/>
        <v>0.51822299999999899</v>
      </c>
      <c r="AO123" s="96">
        <f t="shared" si="16"/>
        <v>-1.4807000000005566E-4</v>
      </c>
      <c r="AP123" s="96">
        <f t="shared" si="17"/>
        <v>3.7159999999980542E-5</v>
      </c>
      <c r="AQ123" s="121">
        <f t="shared" si="18"/>
        <v>-4.5042640000000009E-3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34.891623000000003</v>
      </c>
      <c r="Y124" s="190">
        <v>38.237178</v>
      </c>
      <c r="Z124" s="190">
        <v>0.98133828000000001</v>
      </c>
      <c r="AA124" s="62">
        <v>0.98738046999999995</v>
      </c>
      <c r="AB124" s="62">
        <v>3.6195629999999999E-2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0.58205700000000604</v>
      </c>
      <c r="AN124" s="122">
        <f t="shared" si="15"/>
        <v>0.57530200000000065</v>
      </c>
      <c r="AO124" s="122">
        <f t="shared" si="16"/>
        <v>-1.8322999999997869E-4</v>
      </c>
      <c r="AP124" s="122">
        <f t="shared" si="17"/>
        <v>1.8362999999999019E-4</v>
      </c>
      <c r="AQ124" s="88">
        <f t="shared" si="18"/>
        <v>-5.243552999999998E-3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38.743417000000001</v>
      </c>
      <c r="Y125" s="190">
        <v>41.908141000000001</v>
      </c>
      <c r="Z125" s="190">
        <v>0.98904040000000004</v>
      </c>
      <c r="AA125" s="62">
        <v>0.99332379000000004</v>
      </c>
      <c r="AB125" s="62">
        <v>2.1073226E-2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1.3103979999999993</v>
      </c>
      <c r="AN125" s="122">
        <f t="shared" si="15"/>
        <v>0.71636000000000166</v>
      </c>
      <c r="AO125" s="122">
        <f t="shared" si="16"/>
        <v>-1.8820999999991095E-4</v>
      </c>
      <c r="AP125" s="122">
        <f t="shared" si="17"/>
        <v>2.2096000000004778E-4</v>
      </c>
      <c r="AQ125" s="88">
        <f t="shared" si="18"/>
        <v>-4.6662799999999983E-3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42.590865000000001</v>
      </c>
      <c r="Y126" s="190">
        <v>45.584927999999998</v>
      </c>
      <c r="Z126" s="190">
        <v>0.99344843999999999</v>
      </c>
      <c r="AA126" s="62">
        <v>0.99655877999999998</v>
      </c>
      <c r="AB126" s="62">
        <v>1.0038149E-2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2.1499659999999992</v>
      </c>
      <c r="AN126" s="122">
        <f t="shared" si="15"/>
        <v>1.1555339999999958</v>
      </c>
      <c r="AO126" s="122">
        <f t="shared" si="16"/>
        <v>-1.3909000000000837E-4</v>
      </c>
      <c r="AP126" s="122">
        <f t="shared" si="17"/>
        <v>4.1234000000001103E-4</v>
      </c>
      <c r="AQ126" s="88">
        <f t="shared" si="18"/>
        <v>-3.7911604999999998E-3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32.41686</v>
      </c>
      <c r="Y128" s="97">
        <v>36.182526000000003</v>
      </c>
      <c r="Z128" s="97">
        <v>0.97170999999999996</v>
      </c>
      <c r="AA128" s="60">
        <v>0.97978757000000005</v>
      </c>
      <c r="AB128" s="60">
        <v>5.4902220000000002E-2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0.38844399999999979</v>
      </c>
      <c r="AN128" s="96">
        <f t="shared" si="15"/>
        <v>0.39707100000000395</v>
      </c>
      <c r="AO128" s="96">
        <f t="shared" si="16"/>
        <v>-3.0868000000006113E-4</v>
      </c>
      <c r="AP128" s="96">
        <f t="shared" si="17"/>
        <v>4.2804000000007392E-4</v>
      </c>
      <c r="AQ128" s="121">
        <f t="shared" si="18"/>
        <v>-3.3883060000000007E-3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34.683407000000003</v>
      </c>
      <c r="Y129" s="190">
        <v>38.109935</v>
      </c>
      <c r="Z129" s="190">
        <v>0.98156710999999996</v>
      </c>
      <c r="AA129" s="62">
        <v>0.98702670000000003</v>
      </c>
      <c r="AB129" s="62">
        <v>3.7742928000000002E-2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0.53426800000000441</v>
      </c>
      <c r="AN129" s="122">
        <f t="shared" si="15"/>
        <v>0.30846199999999868</v>
      </c>
      <c r="AO129" s="122">
        <f t="shared" si="16"/>
        <v>-1.8709000000005638E-4</v>
      </c>
      <c r="AP129" s="122">
        <f t="shared" si="17"/>
        <v>1.1258000000002877E-4</v>
      </c>
      <c r="AQ129" s="88">
        <f t="shared" si="18"/>
        <v>-3.6911139999999953E-3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38.333517999999998</v>
      </c>
      <c r="Y130" s="190">
        <v>41.648882</v>
      </c>
      <c r="Z130" s="190">
        <v>0.98932673000000004</v>
      </c>
      <c r="AA130" s="62">
        <v>0.99329634</v>
      </c>
      <c r="AB130" s="62">
        <v>2.1414987999999999E-2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0.90838300000000061</v>
      </c>
      <c r="AN130" s="122">
        <f t="shared" si="15"/>
        <v>0.50502200000000386</v>
      </c>
      <c r="AO130" s="122">
        <f t="shared" si="16"/>
        <v>-1.8271999999996957E-4</v>
      </c>
      <c r="AP130" s="122">
        <f t="shared" si="17"/>
        <v>1.6448000000002239E-4</v>
      </c>
      <c r="AQ130" s="88">
        <f t="shared" si="18"/>
        <v>-3.3416970000000011E-3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42.547187999999998</v>
      </c>
      <c r="Y131" s="190">
        <v>45.636730999999997</v>
      </c>
      <c r="Z131" s="190">
        <v>0.99360959999999998</v>
      </c>
      <c r="AA131" s="62">
        <v>0.99657929999999995</v>
      </c>
      <c r="AB131" s="62">
        <v>1.0229607E-2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1.545065000000001</v>
      </c>
      <c r="AN131" s="122">
        <f t="shared" si="15"/>
        <v>0.77486499999999836</v>
      </c>
      <c r="AO131" s="122">
        <f t="shared" si="16"/>
        <v>-1.5127000000003665E-4</v>
      </c>
      <c r="AP131" s="122">
        <f t="shared" si="17"/>
        <v>2.5463999999997267E-4</v>
      </c>
      <c r="AQ131" s="88">
        <f t="shared" si="18"/>
        <v>-2.5832770000000001E-3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32.222045000000001</v>
      </c>
      <c r="Y133" s="97">
        <v>36.331538000000002</v>
      </c>
      <c r="Z133" s="97">
        <v>0.97002191000000004</v>
      </c>
      <c r="AA133" s="60">
        <v>0.97896698999999998</v>
      </c>
      <c r="AB133" s="60">
        <v>5.8220809999999998E-2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4.6993000000000507E-2</v>
      </c>
      <c r="AN133" s="96">
        <f t="shared" si="15"/>
        <v>0.2412040000000033</v>
      </c>
      <c r="AO133" s="96">
        <f t="shared" si="16"/>
        <v>-4.046299999999059E-4</v>
      </c>
      <c r="AP133" s="96">
        <f t="shared" si="17"/>
        <v>3.8894999999994351E-4</v>
      </c>
      <c r="AQ133" s="121">
        <f t="shared" si="18"/>
        <v>-8.6909000000000292E-4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34.780576000000003</v>
      </c>
      <c r="Y134" s="190">
        <v>38.410760000000003</v>
      </c>
      <c r="Z134" s="190">
        <v>0.98127012999999996</v>
      </c>
      <c r="AA134" s="62">
        <v>0.98692497999999995</v>
      </c>
      <c r="AB134" s="62">
        <v>3.8857978000000001E-2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0.28185200000000066</v>
      </c>
      <c r="AN134" s="122">
        <f t="shared" si="15"/>
        <v>0.27217800000000381</v>
      </c>
      <c r="AO134" s="122">
        <f t="shared" si="16"/>
        <v>-2.1065000000008993E-4</v>
      </c>
      <c r="AP134" s="122">
        <f t="shared" si="17"/>
        <v>2.5674999999991677E-4</v>
      </c>
      <c r="AQ134" s="88">
        <f t="shared" si="18"/>
        <v>-1.2331339999999968E-3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38.439757999999998</v>
      </c>
      <c r="Y135" s="190">
        <v>41.669193999999997</v>
      </c>
      <c r="Z135" s="190">
        <v>0.98955177999999999</v>
      </c>
      <c r="AA135" s="62">
        <v>0.9932301</v>
      </c>
      <c r="AB135" s="62">
        <v>2.2323003000000001E-2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0.60436899999999838</v>
      </c>
      <c r="AN135" s="122">
        <f t="shared" si="15"/>
        <v>0.29243799999999709</v>
      </c>
      <c r="AO135" s="122">
        <f t="shared" si="16"/>
        <v>-2.0074000000003256E-4</v>
      </c>
      <c r="AP135" s="122">
        <f t="shared" si="17"/>
        <v>-2.6699999999824087E-6</v>
      </c>
      <c r="AQ135" s="88">
        <f t="shared" si="18"/>
        <v>-2.0839719999999999E-3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42.651142</v>
      </c>
      <c r="Y136" s="190">
        <v>45.654522</v>
      </c>
      <c r="Z136" s="190">
        <v>0.99364814000000001</v>
      </c>
      <c r="AA136" s="62">
        <v>0.99652892000000004</v>
      </c>
      <c r="AB136" s="62">
        <v>1.09024495E-2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1.0560929999999971</v>
      </c>
      <c r="AN136" s="122">
        <f t="shared" si="15"/>
        <v>0.47282100000000327</v>
      </c>
      <c r="AO136" s="122">
        <f t="shared" si="16"/>
        <v>-1.7116999999999827E-4</v>
      </c>
      <c r="AP136" s="122">
        <f t="shared" si="17"/>
        <v>1.9055000000001154E-4</v>
      </c>
      <c r="AQ136" s="88">
        <f t="shared" si="18"/>
        <v>-1.7145965000000003E-3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27.937729999999998</v>
      </c>
      <c r="Y641" s="136">
        <f t="shared" si="60"/>
        <v>31.993687000000001</v>
      </c>
      <c r="Z641" s="136">
        <f t="shared" si="60"/>
        <v>0.95932371000000005</v>
      </c>
      <c r="AA641" s="136">
        <f t="shared" si="60"/>
        <v>0.96697025000000003</v>
      </c>
      <c r="AB641" s="136">
        <f t="shared" si="60"/>
        <v>5.1738582999999998E-2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31.851904999999999</v>
      </c>
      <c r="Y642" s="18">
        <f t="shared" si="60"/>
        <v>34.977694</v>
      </c>
      <c r="Z642" s="18">
        <f t="shared" si="60"/>
        <v>0.97593220999999997</v>
      </c>
      <c r="AA642" s="18">
        <f t="shared" si="60"/>
        <v>0.98133557999999999</v>
      </c>
      <c r="AB642" s="18">
        <f t="shared" si="60"/>
        <v>3.3002022999999998E-2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36.758057000000001</v>
      </c>
      <c r="Y643" s="18">
        <f t="shared" si="60"/>
        <v>40.210155</v>
      </c>
      <c r="Z643" s="18">
        <f t="shared" si="60"/>
        <v>0.98720534000000004</v>
      </c>
      <c r="AA643" s="18">
        <f t="shared" si="60"/>
        <v>0.99122356</v>
      </c>
      <c r="AB643" s="18">
        <f t="shared" si="60"/>
        <v>1.8850489000000002E-2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40.382392000000003</v>
      </c>
      <c r="Y644" s="18">
        <f t="shared" si="60"/>
        <v>43.544989999999999</v>
      </c>
      <c r="Z644" s="18">
        <f t="shared" si="60"/>
        <v>0.99267311000000003</v>
      </c>
      <c r="AA644" s="18">
        <f t="shared" si="60"/>
        <v>0.99552954999999999</v>
      </c>
      <c r="AB644" s="18">
        <f t="shared" si="60"/>
        <v>8.7632730000000002E-3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32.41686</v>
      </c>
      <c r="Y646" s="136">
        <f t="shared" si="62"/>
        <v>36.331538000000002</v>
      </c>
      <c r="Z646" s="136">
        <f t="shared" si="62"/>
        <v>0.97170999999999996</v>
      </c>
      <c r="AA646" s="136">
        <f t="shared" si="62"/>
        <v>0.98014146000000002</v>
      </c>
      <c r="AB646" s="136">
        <f t="shared" si="62"/>
        <v>6.5288730000000003E-2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35.028894000000001</v>
      </c>
      <c r="Y647" s="18">
        <f t="shared" si="62"/>
        <v>38.410760000000003</v>
      </c>
      <c r="Z647" s="18">
        <f t="shared" si="62"/>
        <v>0.98156710999999996</v>
      </c>
      <c r="AA647" s="18">
        <f t="shared" si="62"/>
        <v>0.98765839</v>
      </c>
      <c r="AB647" s="18">
        <f t="shared" si="62"/>
        <v>4.1409719999999997E-2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38.743417000000001</v>
      </c>
      <c r="Y648" s="18">
        <f t="shared" si="62"/>
        <v>41.908141000000001</v>
      </c>
      <c r="Z648" s="18">
        <f t="shared" si="62"/>
        <v>0.98955177999999999</v>
      </c>
      <c r="AA648" s="18">
        <f t="shared" si="62"/>
        <v>0.99332379000000004</v>
      </c>
      <c r="AB648" s="18">
        <f t="shared" si="62"/>
        <v>2.4567203999999999E-2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42.651142</v>
      </c>
      <c r="Y649" s="18">
        <f t="shared" si="62"/>
        <v>45.654522</v>
      </c>
      <c r="Z649" s="18">
        <f t="shared" si="62"/>
        <v>0.99364814000000001</v>
      </c>
      <c r="AA649" s="18">
        <f t="shared" si="62"/>
        <v>0.99657929999999995</v>
      </c>
      <c r="AB649" s="18">
        <f t="shared" si="62"/>
        <v>1.108994E-2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4.4791300000000014</v>
      </c>
      <c r="Y651" s="136">
        <f t="shared" si="64"/>
        <v>4.3378510000000006</v>
      </c>
      <c r="Z651" s="136">
        <f t="shared" si="64"/>
        <v>1.2386289999999911E-2</v>
      </c>
      <c r="AA651" s="136">
        <f t="shared" si="64"/>
        <v>1.3171209999999989E-2</v>
      </c>
      <c r="AB651" s="136">
        <f t="shared" si="64"/>
        <v>1.3550147000000005E-2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3.1769890000000025</v>
      </c>
      <c r="Y652" s="18">
        <f t="shared" si="64"/>
        <v>3.4330660000000037</v>
      </c>
      <c r="Z652" s="18">
        <f t="shared" si="64"/>
        <v>5.6348999999999982E-3</v>
      </c>
      <c r="AA652" s="18">
        <f t="shared" si="64"/>
        <v>6.322810000000012E-3</v>
      </c>
      <c r="AB652" s="18">
        <f t="shared" si="64"/>
        <v>8.4076969999999987E-3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1.98536</v>
      </c>
      <c r="Y653" s="18">
        <f t="shared" si="64"/>
        <v>1.6979860000000002</v>
      </c>
      <c r="Z653" s="18">
        <f t="shared" si="64"/>
        <v>2.3464399999999497E-3</v>
      </c>
      <c r="AA653" s="18">
        <f t="shared" si="64"/>
        <v>2.1002300000000362E-3</v>
      </c>
      <c r="AB653" s="18">
        <f t="shared" si="64"/>
        <v>5.7167149999999972E-3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2.2687499999999972</v>
      </c>
      <c r="Y654" s="18">
        <f t="shared" si="64"/>
        <v>2.1095320000000015</v>
      </c>
      <c r="Z654" s="18">
        <f t="shared" si="64"/>
        <v>9.7502999999998785E-4</v>
      </c>
      <c r="AA654" s="18">
        <f t="shared" si="64"/>
        <v>1.0497499999999604E-3</v>
      </c>
      <c r="AB654" s="18">
        <f t="shared" si="64"/>
        <v>2.3266669999999993E-3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2025-05-21T07:13:51Z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