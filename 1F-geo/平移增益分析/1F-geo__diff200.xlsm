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26A3B4AD-45B7-4C73-8FC7-0AA9F4FE5B3D}" xr6:coauthVersionLast="47" xr6:coauthVersionMax="47" xr10:uidLastSave="{00000000-0000-0000-0000-000000000000}"/>
  <bookViews>
    <workbookView xWindow="12468" yWindow="2028" windowWidth="14580" windowHeight="13524" activeTab="1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54" i="10" l="1"/>
  <c r="Z654" i="10"/>
  <c r="Y654" i="10"/>
  <c r="X654" i="10"/>
  <c r="Z653" i="10"/>
  <c r="Y653" i="10"/>
  <c r="X653" i="10"/>
  <c r="F652" i="10"/>
  <c r="AB651" i="10"/>
  <c r="AA651" i="10"/>
  <c r="Z651" i="10"/>
  <c r="AB649" i="10"/>
  <c r="AB654" i="10" s="1"/>
  <c r="AA649" i="10"/>
  <c r="Z649" i="10"/>
  <c r="Y649" i="10"/>
  <c r="X649" i="10"/>
  <c r="J649" i="10"/>
  <c r="I649" i="10"/>
  <c r="H649" i="10"/>
  <c r="H654" i="10" s="1"/>
  <c r="G649" i="10"/>
  <c r="F649" i="10"/>
  <c r="AB648" i="10"/>
  <c r="AA648" i="10"/>
  <c r="AA653" i="10" s="1"/>
  <c r="Z648" i="10"/>
  <c r="Y648" i="10"/>
  <c r="X648" i="10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X647" i="10"/>
  <c r="X652" i="10" s="1"/>
  <c r="J647" i="10"/>
  <c r="J652" i="10" s="1"/>
  <c r="I647" i="10"/>
  <c r="I652" i="10" s="1"/>
  <c r="H647" i="10"/>
  <c r="H652" i="10" s="1"/>
  <c r="G647" i="10"/>
  <c r="G652" i="10" s="1"/>
  <c r="F647" i="10"/>
  <c r="AB646" i="10"/>
  <c r="AA646" i="10"/>
  <c r="Z646" i="10"/>
  <c r="Y646" i="10"/>
  <c r="X646" i="10"/>
  <c r="J646" i="10"/>
  <c r="J651" i="10" s="1"/>
  <c r="I646" i="10"/>
  <c r="H646" i="10"/>
  <c r="G646" i="10"/>
  <c r="F646" i="10"/>
  <c r="F651" i="10" s="1"/>
  <c r="AB644" i="10"/>
  <c r="AA644" i="10"/>
  <c r="Z644" i="10"/>
  <c r="Y644" i="10"/>
  <c r="X644" i="10"/>
  <c r="J644" i="10"/>
  <c r="I644" i="10"/>
  <c r="I654" i="10" s="1"/>
  <c r="H644" i="10"/>
  <c r="G644" i="10"/>
  <c r="G654" i="10" s="1"/>
  <c r="F644" i="10"/>
  <c r="F654" i="10" s="1"/>
  <c r="AB643" i="10"/>
  <c r="AB653" i="10" s="1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X651" i="10" s="1"/>
  <c r="J641" i="10"/>
  <c r="I641" i="10"/>
  <c r="I651" i="10" s="1"/>
  <c r="H641" i="10"/>
  <c r="H651" i="10" s="1"/>
  <c r="G641" i="10"/>
  <c r="G651" i="10" s="1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E24" i="10"/>
  <c r="W23" i="10"/>
  <c r="E23" i="10"/>
  <c r="U13" i="10"/>
  <c r="C13" i="10"/>
  <c r="AJ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P10" i="10" s="1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I10" i="10" s="1"/>
  <c r="AH5" i="10"/>
  <c r="AB5" i="10"/>
  <c r="AA5" i="10"/>
  <c r="Z5" i="10"/>
  <c r="Y5" i="10"/>
  <c r="X5" i="10"/>
  <c r="W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B654" i="9"/>
  <c r="Z654" i="9"/>
  <c r="J654" i="9"/>
  <c r="AB653" i="9"/>
  <c r="Y652" i="9"/>
  <c r="J652" i="9"/>
  <c r="G652" i="9"/>
  <c r="AB651" i="9"/>
  <c r="Y651" i="9"/>
  <c r="G651" i="9"/>
  <c r="AB649" i="9"/>
  <c r="AA649" i="9"/>
  <c r="Z649" i="9"/>
  <c r="Y649" i="9"/>
  <c r="X649" i="9"/>
  <c r="J649" i="9"/>
  <c r="I649" i="9"/>
  <c r="H649" i="9"/>
  <c r="G649" i="9"/>
  <c r="F649" i="9"/>
  <c r="AB648" i="9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I653" i="9" s="1"/>
  <c r="H648" i="9"/>
  <c r="G648" i="9"/>
  <c r="G653" i="9" s="1"/>
  <c r="F648" i="9"/>
  <c r="F653" i="9" s="1"/>
  <c r="AB647" i="9"/>
  <c r="AB652" i="9" s="1"/>
  <c r="AA647" i="9"/>
  <c r="AA652" i="9" s="1"/>
  <c r="Z647" i="9"/>
  <c r="Z652" i="9" s="1"/>
  <c r="Y647" i="9"/>
  <c r="X647" i="9"/>
  <c r="X652" i="9" s="1"/>
  <c r="J647" i="9"/>
  <c r="I647" i="9"/>
  <c r="I652" i="9" s="1"/>
  <c r="H647" i="9"/>
  <c r="G647" i="9"/>
  <c r="F647" i="9"/>
  <c r="AB646" i="9"/>
  <c r="AA646" i="9"/>
  <c r="Z646" i="9"/>
  <c r="Y646" i="9"/>
  <c r="X646" i="9"/>
  <c r="J646" i="9"/>
  <c r="I646" i="9"/>
  <c r="H646" i="9"/>
  <c r="G646" i="9"/>
  <c r="F646" i="9"/>
  <c r="F651" i="9" s="1"/>
  <c r="AB644" i="9"/>
  <c r="AA644" i="9"/>
  <c r="Z644" i="9"/>
  <c r="Y644" i="9"/>
  <c r="Y654" i="9" s="1"/>
  <c r="X644" i="9"/>
  <c r="X654" i="9" s="1"/>
  <c r="J644" i="9"/>
  <c r="I644" i="9"/>
  <c r="I654" i="9" s="1"/>
  <c r="H644" i="9"/>
  <c r="H654" i="9" s="1"/>
  <c r="G644" i="9"/>
  <c r="G654" i="9" s="1"/>
  <c r="F644" i="9"/>
  <c r="F654" i="9" s="1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H652" i="9" s="1"/>
  <c r="G642" i="9"/>
  <c r="F642" i="9"/>
  <c r="AB641" i="9"/>
  <c r="AA641" i="9"/>
  <c r="AA651" i="9" s="1"/>
  <c r="Z641" i="9"/>
  <c r="Z651" i="9" s="1"/>
  <c r="Y641" i="9"/>
  <c r="X641" i="9"/>
  <c r="X651" i="9" s="1"/>
  <c r="J641" i="9"/>
  <c r="J651" i="9" s="1"/>
  <c r="I641" i="9"/>
  <c r="I651" i="9" s="1"/>
  <c r="H641" i="9"/>
  <c r="H651" i="9" s="1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W7" i="9" s="1"/>
  <c r="E25" i="9"/>
  <c r="E7" i="9" s="1"/>
  <c r="W24" i="9"/>
  <c r="W6" i="9" s="1"/>
  <c r="E24" i="9"/>
  <c r="E6" i="9" s="1"/>
  <c r="W23" i="9"/>
  <c r="W5" i="9" s="1"/>
  <c r="E23" i="9"/>
  <c r="E5" i="9" s="1"/>
  <c r="U13" i="9"/>
  <c r="C13" i="9"/>
  <c r="AJ10" i="9"/>
  <c r="AH10" i="9"/>
  <c r="R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E8" i="9"/>
  <c r="AJ7" i="9"/>
  <c r="AI7" i="9"/>
  <c r="AI10" i="9" s="1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Q10" i="9" s="1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R5" i="9"/>
  <c r="Q5" i="9"/>
  <c r="P5" i="9"/>
  <c r="J5" i="9"/>
  <c r="I5" i="9"/>
  <c r="H5" i="9"/>
  <c r="G5" i="9"/>
  <c r="F5" i="9"/>
  <c r="AL2" i="9"/>
  <c r="U2" i="9"/>
  <c r="T2" i="9"/>
  <c r="C2" i="9"/>
  <c r="Y654" i="8"/>
  <c r="X654" i="8"/>
  <c r="H654" i="8"/>
  <c r="H653" i="8"/>
  <c r="Z652" i="8"/>
  <c r="X652" i="8"/>
  <c r="H652" i="8"/>
  <c r="Z651" i="8"/>
  <c r="AB649" i="8"/>
  <c r="AA649" i="8"/>
  <c r="Z649" i="8"/>
  <c r="Y649" i="8"/>
  <c r="X649" i="8"/>
  <c r="J649" i="8"/>
  <c r="J654" i="8" s="1"/>
  <c r="I649" i="8"/>
  <c r="I654" i="8" s="1"/>
  <c r="H649" i="8"/>
  <c r="G649" i="8"/>
  <c r="G654" i="8" s="1"/>
  <c r="F649" i="8"/>
  <c r="F654" i="8" s="1"/>
  <c r="AB648" i="8"/>
  <c r="AB653" i="8" s="1"/>
  <c r="AA648" i="8"/>
  <c r="AA653" i="8" s="1"/>
  <c r="Z648" i="8"/>
  <c r="Z653" i="8" s="1"/>
  <c r="Y648" i="8"/>
  <c r="Y653" i="8" s="1"/>
  <c r="X648" i="8"/>
  <c r="X653" i="8" s="1"/>
  <c r="J648" i="8"/>
  <c r="J653" i="8" s="1"/>
  <c r="I648" i="8"/>
  <c r="I653" i="8" s="1"/>
  <c r="H648" i="8"/>
  <c r="G648" i="8"/>
  <c r="G653" i="8" s="1"/>
  <c r="F648" i="8"/>
  <c r="F653" i="8" s="1"/>
  <c r="AB647" i="8"/>
  <c r="AB652" i="8" s="1"/>
  <c r="AA647" i="8"/>
  <c r="Z647" i="8"/>
  <c r="Y647" i="8"/>
  <c r="X647" i="8"/>
  <c r="J647" i="8"/>
  <c r="I647" i="8"/>
  <c r="H647" i="8"/>
  <c r="G647" i="8"/>
  <c r="F647" i="8"/>
  <c r="AB646" i="8"/>
  <c r="AA646" i="8"/>
  <c r="Z646" i="8"/>
  <c r="Y646" i="8"/>
  <c r="Y651" i="8" s="1"/>
  <c r="X646" i="8"/>
  <c r="X651" i="8" s="1"/>
  <c r="J646" i="8"/>
  <c r="J651" i="8" s="1"/>
  <c r="I646" i="8"/>
  <c r="I651" i="8" s="1"/>
  <c r="H646" i="8"/>
  <c r="H651" i="8" s="1"/>
  <c r="G646" i="8"/>
  <c r="G651" i="8" s="1"/>
  <c r="F646" i="8"/>
  <c r="F651" i="8" s="1"/>
  <c r="AB644" i="8"/>
  <c r="AB654" i="8" s="1"/>
  <c r="AA644" i="8"/>
  <c r="AA654" i="8" s="1"/>
  <c r="Z644" i="8"/>
  <c r="Z654" i="8" s="1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AA652" i="8" s="1"/>
  <c r="Z642" i="8"/>
  <c r="Y642" i="8"/>
  <c r="X642" i="8"/>
  <c r="J642" i="8"/>
  <c r="J652" i="8" s="1"/>
  <c r="I642" i="8"/>
  <c r="I652" i="8" s="1"/>
  <c r="H642" i="8"/>
  <c r="G642" i="8"/>
  <c r="G652" i="8" s="1"/>
  <c r="F642" i="8"/>
  <c r="F652" i="8" s="1"/>
  <c r="AB641" i="8"/>
  <c r="AB651" i="8" s="1"/>
  <c r="AA641" i="8"/>
  <c r="AA651" i="8" s="1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E25" i="8"/>
  <c r="E7" i="8" s="1"/>
  <c r="W24" i="8"/>
  <c r="E24" i="8"/>
  <c r="E6" i="8" s="1"/>
  <c r="W23" i="8"/>
  <c r="W5" i="8" s="1"/>
  <c r="E23" i="8"/>
  <c r="U13" i="8"/>
  <c r="C13" i="8"/>
  <c r="AJ10" i="8"/>
  <c r="AI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I5" i="8"/>
  <c r="AH5" i="8"/>
  <c r="AB5" i="8"/>
  <c r="AA5" i="8"/>
  <c r="Z5" i="8"/>
  <c r="Y5" i="8"/>
  <c r="X5" i="8"/>
  <c r="R5" i="8"/>
  <c r="R10" i="8" s="1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Y653" i="7"/>
  <c r="I653" i="7"/>
  <c r="H653" i="7"/>
  <c r="G653" i="7"/>
  <c r="J652" i="7"/>
  <c r="I652" i="7"/>
  <c r="AB649" i="7"/>
  <c r="AB654" i="7" s="1"/>
  <c r="AA649" i="7"/>
  <c r="AA654" i="7" s="1"/>
  <c r="Z649" i="7"/>
  <c r="Y649" i="7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F654" i="7" s="1"/>
  <c r="AB648" i="7"/>
  <c r="AB653" i="7" s="1"/>
  <c r="AA648" i="7"/>
  <c r="AA653" i="7" s="1"/>
  <c r="Z648" i="7"/>
  <c r="Z653" i="7" s="1"/>
  <c r="Y648" i="7"/>
  <c r="X648" i="7"/>
  <c r="X653" i="7" s="1"/>
  <c r="J648" i="7"/>
  <c r="J653" i="7" s="1"/>
  <c r="I648" i="7"/>
  <c r="H648" i="7"/>
  <c r="G648" i="7"/>
  <c r="F648" i="7"/>
  <c r="AB647" i="7"/>
  <c r="AA647" i="7"/>
  <c r="Z647" i="7"/>
  <c r="Y647" i="7"/>
  <c r="X647" i="7"/>
  <c r="J647" i="7"/>
  <c r="I647" i="7"/>
  <c r="H647" i="7"/>
  <c r="G647" i="7"/>
  <c r="G652" i="7" s="1"/>
  <c r="F647" i="7"/>
  <c r="F652" i="7" s="1"/>
  <c r="AB646" i="7"/>
  <c r="AA646" i="7"/>
  <c r="Z646" i="7"/>
  <c r="Z651" i="7" s="1"/>
  <c r="Y646" i="7"/>
  <c r="Y651" i="7" s="1"/>
  <c r="X646" i="7"/>
  <c r="X651" i="7" s="1"/>
  <c r="J646" i="7"/>
  <c r="J651" i="7" s="1"/>
  <c r="I646" i="7"/>
  <c r="I651" i="7" s="1"/>
  <c r="H646" i="7"/>
  <c r="H651" i="7" s="1"/>
  <c r="G646" i="7"/>
  <c r="G651" i="7" s="1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H643" i="7"/>
  <c r="G643" i="7"/>
  <c r="F643" i="7"/>
  <c r="F653" i="7" s="1"/>
  <c r="AB642" i="7"/>
  <c r="AB652" i="7" s="1"/>
  <c r="AA642" i="7"/>
  <c r="AA652" i="7" s="1"/>
  <c r="Z642" i="7"/>
  <c r="Z652" i="7" s="1"/>
  <c r="Y642" i="7"/>
  <c r="Y652" i="7" s="1"/>
  <c r="X642" i="7"/>
  <c r="X652" i="7" s="1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W7" i="7" s="1"/>
  <c r="E25" i="7"/>
  <c r="E7" i="7" s="1"/>
  <c r="W24" i="7"/>
  <c r="E24" i="7"/>
  <c r="E6" i="7" s="1"/>
  <c r="W23" i="7"/>
  <c r="W5" i="7" s="1"/>
  <c r="E23" i="7"/>
  <c r="U13" i="7"/>
  <c r="C13" i="7"/>
  <c r="AJ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I5" i="7"/>
  <c r="AH5" i="7"/>
  <c r="AB5" i="7"/>
  <c r="AA5" i="7"/>
  <c r="Z5" i="7"/>
  <c r="Y5" i="7"/>
  <c r="X5" i="7"/>
  <c r="R5" i="7"/>
  <c r="R10" i="7" s="1"/>
  <c r="Q5" i="7"/>
  <c r="Q10" i="7" s="1"/>
  <c r="P5" i="7"/>
  <c r="J5" i="7"/>
  <c r="I5" i="7"/>
  <c r="H5" i="7"/>
  <c r="G5" i="7"/>
  <c r="F5" i="7"/>
  <c r="E5" i="7"/>
  <c r="AL2" i="7"/>
  <c r="U2" i="7"/>
  <c r="T2" i="7"/>
  <c r="C2" i="7"/>
  <c r="M112" i="6"/>
  <c r="L112" i="6"/>
  <c r="F108" i="6"/>
  <c r="F109" i="6" s="1"/>
  <c r="F106" i="6"/>
  <c r="F107" i="6" s="1"/>
  <c r="B106" i="6"/>
  <c r="F103" i="6"/>
  <c r="L103" i="6" s="1"/>
  <c r="M101" i="6"/>
  <c r="L101" i="6"/>
  <c r="F97" i="6"/>
  <c r="F98" i="6" s="1"/>
  <c r="F96" i="6"/>
  <c r="F95" i="6"/>
  <c r="B95" i="6"/>
  <c r="F92" i="6"/>
  <c r="L92" i="6" s="1"/>
  <c r="M94" i="6" s="1"/>
  <c r="M90" i="6"/>
  <c r="L90" i="6"/>
  <c r="B84" i="6"/>
  <c r="L81" i="6"/>
  <c r="M83" i="6" s="1"/>
  <c r="F81" i="6"/>
  <c r="F84" i="6" s="1"/>
  <c r="F85" i="6" s="1"/>
  <c r="F86" i="6" s="1"/>
  <c r="F87" i="6" s="1"/>
  <c r="M79" i="6"/>
  <c r="L79" i="6"/>
  <c r="F73" i="6"/>
  <c r="F74" i="6" s="1"/>
  <c r="F75" i="6" s="1"/>
  <c r="F76" i="6" s="1"/>
  <c r="B73" i="6"/>
  <c r="M72" i="6"/>
  <c r="L72" i="6"/>
  <c r="F70" i="6"/>
  <c r="L70" i="6" s="1"/>
  <c r="M68" i="6"/>
  <c r="L68" i="6"/>
  <c r="B62" i="6"/>
  <c r="L59" i="6"/>
  <c r="M61" i="6" s="1"/>
  <c r="F59" i="6"/>
  <c r="F62" i="6" s="1"/>
  <c r="F63" i="6" s="1"/>
  <c r="F64" i="6" s="1"/>
  <c r="F65" i="6" s="1"/>
  <c r="M57" i="6"/>
  <c r="L57" i="6"/>
  <c r="F54" i="6"/>
  <c r="F53" i="6"/>
  <c r="F51" i="6"/>
  <c r="F52" i="6" s="1"/>
  <c r="B51" i="6"/>
  <c r="B52" i="6" s="1"/>
  <c r="M50" i="6"/>
  <c r="L50" i="6"/>
  <c r="F48" i="6"/>
  <c r="L48" i="6" s="1"/>
  <c r="M46" i="6"/>
  <c r="L46" i="6"/>
  <c r="F43" i="6"/>
  <c r="F42" i="6"/>
  <c r="F40" i="6"/>
  <c r="F41" i="6" s="1"/>
  <c r="B40" i="6"/>
  <c r="F37" i="6"/>
  <c r="L37" i="6" s="1"/>
  <c r="M35" i="6"/>
  <c r="L35" i="6"/>
  <c r="B30" i="6"/>
  <c r="B31" i="6" s="1"/>
  <c r="B29" i="6"/>
  <c r="M28" i="6"/>
  <c r="F26" i="6"/>
  <c r="L26" i="6" s="1"/>
  <c r="L28" i="6" s="1"/>
  <c r="M24" i="6"/>
  <c r="L24" i="6"/>
  <c r="B18" i="6"/>
  <c r="F15" i="6"/>
  <c r="F18" i="6" s="1"/>
  <c r="F19" i="6" s="1"/>
  <c r="F20" i="6" s="1"/>
  <c r="F21" i="6" s="1"/>
  <c r="M13" i="6"/>
  <c r="L13" i="6"/>
  <c r="B8" i="6"/>
  <c r="B9" i="6" s="1"/>
  <c r="B7" i="6"/>
  <c r="M6" i="6"/>
  <c r="F4" i="6"/>
  <c r="L4" i="6" s="1"/>
  <c r="L6" i="6" s="1"/>
  <c r="F2" i="6"/>
  <c r="B2" i="6"/>
  <c r="M112" i="5"/>
  <c r="L112" i="5"/>
  <c r="B109" i="5"/>
  <c r="B108" i="5"/>
  <c r="B107" i="5"/>
  <c r="B106" i="5"/>
  <c r="L103" i="5"/>
  <c r="L105" i="5" s="1"/>
  <c r="F103" i="5"/>
  <c r="F106" i="5" s="1"/>
  <c r="F107" i="5" s="1"/>
  <c r="F108" i="5" s="1"/>
  <c r="F109" i="5" s="1"/>
  <c r="M101" i="5"/>
  <c r="L101" i="5"/>
  <c r="F95" i="5"/>
  <c r="F96" i="5" s="1"/>
  <c r="F97" i="5" s="1"/>
  <c r="F98" i="5" s="1"/>
  <c r="B95" i="5"/>
  <c r="L94" i="5"/>
  <c r="L92" i="5"/>
  <c r="F92" i="5"/>
  <c r="M90" i="5"/>
  <c r="L90" i="5"/>
  <c r="F86" i="5"/>
  <c r="F87" i="5" s="1"/>
  <c r="F84" i="5"/>
  <c r="F85" i="5" s="1"/>
  <c r="B84" i="5"/>
  <c r="M83" i="5"/>
  <c r="L81" i="5"/>
  <c r="L83" i="5" s="1"/>
  <c r="F81" i="5"/>
  <c r="M79" i="5"/>
  <c r="L79" i="5"/>
  <c r="B75" i="5"/>
  <c r="F74" i="5"/>
  <c r="F75" i="5" s="1"/>
  <c r="F76" i="5" s="1"/>
  <c r="B74" i="5"/>
  <c r="F73" i="5"/>
  <c r="B73" i="5"/>
  <c r="L72" i="5"/>
  <c r="L70" i="5"/>
  <c r="F70" i="5"/>
  <c r="M68" i="5"/>
  <c r="L68" i="5"/>
  <c r="F65" i="5"/>
  <c r="F62" i="5"/>
  <c r="F63" i="5" s="1"/>
  <c r="F64" i="5" s="1"/>
  <c r="B62" i="5"/>
  <c r="B63" i="5" s="1"/>
  <c r="M61" i="5"/>
  <c r="L59" i="5"/>
  <c r="L61" i="5" s="1"/>
  <c r="F59" i="5"/>
  <c r="M57" i="5"/>
  <c r="L57" i="5"/>
  <c r="F53" i="5"/>
  <c r="F54" i="5" s="1"/>
  <c r="B53" i="5"/>
  <c r="F52" i="5"/>
  <c r="B52" i="5"/>
  <c r="F51" i="5"/>
  <c r="B51" i="5"/>
  <c r="L50" i="5"/>
  <c r="L48" i="5"/>
  <c r="F48" i="5"/>
  <c r="M46" i="5"/>
  <c r="L46" i="5"/>
  <c r="F42" i="5"/>
  <c r="F43" i="5" s="1"/>
  <c r="F40" i="5"/>
  <c r="F41" i="5" s="1"/>
  <c r="B40" i="5"/>
  <c r="L37" i="5"/>
  <c r="L39" i="5" s="1"/>
  <c r="F37" i="5"/>
  <c r="M35" i="5"/>
  <c r="L35" i="5"/>
  <c r="F30" i="5"/>
  <c r="F31" i="5" s="1"/>
  <c r="F32" i="5" s="1"/>
  <c r="B30" i="5"/>
  <c r="F29" i="5"/>
  <c r="B29" i="5"/>
  <c r="L28" i="5"/>
  <c r="L26" i="5"/>
  <c r="F26" i="5"/>
  <c r="M24" i="5"/>
  <c r="L24" i="5"/>
  <c r="B21" i="5"/>
  <c r="F20" i="5"/>
  <c r="F21" i="5" s="1"/>
  <c r="B20" i="5"/>
  <c r="B19" i="5"/>
  <c r="B18" i="5"/>
  <c r="F15" i="5"/>
  <c r="F18" i="5" s="1"/>
  <c r="F19" i="5" s="1"/>
  <c r="M13" i="5"/>
  <c r="L13" i="5"/>
  <c r="F7" i="5"/>
  <c r="F8" i="5" s="1"/>
  <c r="F9" i="5" s="1"/>
  <c r="F10" i="5" s="1"/>
  <c r="B7" i="5"/>
  <c r="L6" i="5"/>
  <c r="L4" i="5"/>
  <c r="F4" i="5"/>
  <c r="F2" i="5"/>
  <c r="M39" i="5" s="1"/>
  <c r="B2" i="5"/>
  <c r="M112" i="4"/>
  <c r="L112" i="4"/>
  <c r="B107" i="4"/>
  <c r="F106" i="4"/>
  <c r="F107" i="4" s="1"/>
  <c r="F108" i="4" s="1"/>
  <c r="F109" i="4" s="1"/>
  <c r="B106" i="4"/>
  <c r="L103" i="4"/>
  <c r="M105" i="4" s="1"/>
  <c r="F103" i="4"/>
  <c r="M101" i="4"/>
  <c r="L101" i="4"/>
  <c r="B96" i="4"/>
  <c r="B95" i="4"/>
  <c r="F92" i="4"/>
  <c r="L92" i="4" s="1"/>
  <c r="M90" i="4"/>
  <c r="L90" i="4"/>
  <c r="F86" i="4"/>
  <c r="F87" i="4" s="1"/>
  <c r="F84" i="4"/>
  <c r="F85" i="4" s="1"/>
  <c r="B84" i="4"/>
  <c r="B85" i="4" s="1"/>
  <c r="F81" i="4"/>
  <c r="L81" i="4" s="1"/>
  <c r="M79" i="4"/>
  <c r="L79" i="4"/>
  <c r="B75" i="4"/>
  <c r="B74" i="4"/>
  <c r="B73" i="4"/>
  <c r="F70" i="4"/>
  <c r="F73" i="4" s="1"/>
  <c r="F74" i="4" s="1"/>
  <c r="F75" i="4" s="1"/>
  <c r="F76" i="4" s="1"/>
  <c r="M68" i="4"/>
  <c r="L68" i="4"/>
  <c r="B64" i="4"/>
  <c r="B65" i="4" s="1"/>
  <c r="F63" i="4"/>
  <c r="F64" i="4" s="1"/>
  <c r="F65" i="4" s="1"/>
  <c r="B63" i="4"/>
  <c r="B62" i="4"/>
  <c r="F59" i="4"/>
  <c r="F62" i="4" s="1"/>
  <c r="M57" i="4"/>
  <c r="L57" i="4"/>
  <c r="F53" i="4"/>
  <c r="F54" i="4" s="1"/>
  <c r="B53" i="4"/>
  <c r="B54" i="4" s="1"/>
  <c r="B52" i="4"/>
  <c r="F51" i="4"/>
  <c r="F52" i="4" s="1"/>
  <c r="B51" i="4"/>
  <c r="F48" i="4"/>
  <c r="L48" i="4" s="1"/>
  <c r="M46" i="4"/>
  <c r="L46" i="4"/>
  <c r="F42" i="4"/>
  <c r="F43" i="4" s="1"/>
  <c r="F41" i="4"/>
  <c r="B41" i="4"/>
  <c r="F40" i="4"/>
  <c r="B40" i="4"/>
  <c r="L37" i="4"/>
  <c r="L39" i="4" s="1"/>
  <c r="F37" i="4"/>
  <c r="M35" i="4"/>
  <c r="L35" i="4"/>
  <c r="B30" i="4"/>
  <c r="B31" i="4" s="1"/>
  <c r="B29" i="4"/>
  <c r="F26" i="4"/>
  <c r="F29" i="4" s="1"/>
  <c r="F30" i="4" s="1"/>
  <c r="F31" i="4" s="1"/>
  <c r="F32" i="4" s="1"/>
  <c r="M24" i="4"/>
  <c r="L24" i="4"/>
  <c r="F18" i="4"/>
  <c r="F19" i="4" s="1"/>
  <c r="F20" i="4" s="1"/>
  <c r="F21" i="4" s="1"/>
  <c r="B18" i="4"/>
  <c r="L15" i="4"/>
  <c r="M17" i="4" s="1"/>
  <c r="F15" i="4"/>
  <c r="M13" i="4"/>
  <c r="L13" i="4"/>
  <c r="F7" i="4"/>
  <c r="F8" i="4" s="1"/>
  <c r="F9" i="4" s="1"/>
  <c r="F10" i="4" s="1"/>
  <c r="B7" i="4"/>
  <c r="L4" i="4"/>
  <c r="F4" i="4"/>
  <c r="F2" i="4"/>
  <c r="B2" i="4"/>
  <c r="M112" i="3"/>
  <c r="L112" i="3"/>
  <c r="F106" i="3"/>
  <c r="F107" i="3" s="1"/>
  <c r="F108" i="3" s="1"/>
  <c r="F109" i="3" s="1"/>
  <c r="B106" i="3"/>
  <c r="M105" i="3"/>
  <c r="L103" i="3"/>
  <c r="F103" i="3"/>
  <c r="M101" i="3"/>
  <c r="L101" i="3"/>
  <c r="F96" i="3"/>
  <c r="F97" i="3" s="1"/>
  <c r="F98" i="3" s="1"/>
  <c r="B96" i="3"/>
  <c r="F95" i="3"/>
  <c r="B95" i="3"/>
  <c r="M94" i="3"/>
  <c r="L92" i="3"/>
  <c r="F92" i="3"/>
  <c r="M90" i="3"/>
  <c r="L90" i="3"/>
  <c r="B85" i="3"/>
  <c r="B84" i="3"/>
  <c r="F81" i="3"/>
  <c r="M79" i="3"/>
  <c r="L79" i="3"/>
  <c r="B75" i="3"/>
  <c r="B76" i="3" s="1"/>
  <c r="B74" i="3"/>
  <c r="B73" i="3"/>
  <c r="L70" i="3"/>
  <c r="F70" i="3"/>
  <c r="F73" i="3" s="1"/>
  <c r="F74" i="3" s="1"/>
  <c r="F75" i="3" s="1"/>
  <c r="F76" i="3" s="1"/>
  <c r="M68" i="3"/>
  <c r="L68" i="3"/>
  <c r="B63" i="3"/>
  <c r="B62" i="3"/>
  <c r="F59" i="3"/>
  <c r="F62" i="3" s="1"/>
  <c r="F63" i="3" s="1"/>
  <c r="F64" i="3" s="1"/>
  <c r="F65" i="3" s="1"/>
  <c r="M57" i="3"/>
  <c r="L57" i="3"/>
  <c r="B52" i="3"/>
  <c r="B51" i="3"/>
  <c r="L48" i="3"/>
  <c r="F48" i="3"/>
  <c r="F51" i="3" s="1"/>
  <c r="F52" i="3" s="1"/>
  <c r="F53" i="3" s="1"/>
  <c r="F54" i="3" s="1"/>
  <c r="M46" i="3"/>
  <c r="L46" i="3"/>
  <c r="F42" i="3"/>
  <c r="F43" i="3" s="1"/>
  <c r="F40" i="3"/>
  <c r="F41" i="3" s="1"/>
  <c r="B40" i="3"/>
  <c r="B41" i="3" s="1"/>
  <c r="F37" i="3"/>
  <c r="L37" i="3" s="1"/>
  <c r="M39" i="3" s="1"/>
  <c r="M35" i="3"/>
  <c r="L35" i="3"/>
  <c r="B32" i="3"/>
  <c r="B31" i="3"/>
  <c r="B30" i="3"/>
  <c r="B29" i="3"/>
  <c r="F26" i="3"/>
  <c r="F29" i="3" s="1"/>
  <c r="F30" i="3" s="1"/>
  <c r="F31" i="3" s="1"/>
  <c r="F32" i="3" s="1"/>
  <c r="M24" i="3"/>
  <c r="L24" i="3"/>
  <c r="F20" i="3"/>
  <c r="F21" i="3" s="1"/>
  <c r="F19" i="3"/>
  <c r="B19" i="3"/>
  <c r="B18" i="3"/>
  <c r="F15" i="3"/>
  <c r="F18" i="3" s="1"/>
  <c r="M13" i="3"/>
  <c r="L13" i="3"/>
  <c r="B9" i="3"/>
  <c r="B10" i="3" s="1"/>
  <c r="B8" i="3"/>
  <c r="B7" i="3"/>
  <c r="F4" i="3"/>
  <c r="F2" i="3"/>
  <c r="B2" i="3"/>
  <c r="M112" i="2"/>
  <c r="L112" i="2"/>
  <c r="F106" i="2"/>
  <c r="F107" i="2" s="1"/>
  <c r="F108" i="2" s="1"/>
  <c r="F109" i="2" s="1"/>
  <c r="B106" i="2"/>
  <c r="L103" i="2"/>
  <c r="F103" i="2"/>
  <c r="M101" i="2"/>
  <c r="L101" i="2"/>
  <c r="F96" i="2"/>
  <c r="F97" i="2" s="1"/>
  <c r="F98" i="2" s="1"/>
  <c r="B95" i="2"/>
  <c r="L92" i="2"/>
  <c r="M94" i="2" s="1"/>
  <c r="F92" i="2"/>
  <c r="F95" i="2" s="1"/>
  <c r="M90" i="2"/>
  <c r="L90" i="2"/>
  <c r="B84" i="2"/>
  <c r="B85" i="2" s="1"/>
  <c r="L81" i="2"/>
  <c r="F81" i="2"/>
  <c r="F84" i="2" s="1"/>
  <c r="F85" i="2" s="1"/>
  <c r="F86" i="2" s="1"/>
  <c r="F87" i="2" s="1"/>
  <c r="M79" i="2"/>
  <c r="L79" i="2"/>
  <c r="F74" i="2"/>
  <c r="F75" i="2" s="1"/>
  <c r="F76" i="2" s="1"/>
  <c r="B73" i="2"/>
  <c r="F70" i="2"/>
  <c r="F73" i="2" s="1"/>
  <c r="M68" i="2"/>
  <c r="L68" i="2"/>
  <c r="B62" i="2"/>
  <c r="F59" i="2"/>
  <c r="F62" i="2" s="1"/>
  <c r="F63" i="2" s="1"/>
  <c r="F64" i="2" s="1"/>
  <c r="F65" i="2" s="1"/>
  <c r="M57" i="2"/>
  <c r="L57" i="2"/>
  <c r="F54" i="2"/>
  <c r="F52" i="2"/>
  <c r="F53" i="2" s="1"/>
  <c r="B51" i="2"/>
  <c r="M50" i="2"/>
  <c r="L48" i="2"/>
  <c r="F48" i="2"/>
  <c r="F51" i="2" s="1"/>
  <c r="M46" i="2"/>
  <c r="L46" i="2"/>
  <c r="B43" i="2"/>
  <c r="B41" i="2"/>
  <c r="B42" i="2" s="1"/>
  <c r="B40" i="2"/>
  <c r="F37" i="2"/>
  <c r="M35" i="2"/>
  <c r="L35" i="2"/>
  <c r="B29" i="2"/>
  <c r="L26" i="2"/>
  <c r="F26" i="2"/>
  <c r="F29" i="2" s="1"/>
  <c r="F30" i="2" s="1"/>
  <c r="F31" i="2" s="1"/>
  <c r="F32" i="2" s="1"/>
  <c r="M24" i="2"/>
  <c r="L24" i="2"/>
  <c r="B18" i="2"/>
  <c r="B19" i="2" s="1"/>
  <c r="F15" i="2"/>
  <c r="F18" i="2" s="1"/>
  <c r="F19" i="2" s="1"/>
  <c r="F20" i="2" s="1"/>
  <c r="F21" i="2" s="1"/>
  <c r="M13" i="2"/>
  <c r="L13" i="2"/>
  <c r="B9" i="2"/>
  <c r="B8" i="2"/>
  <c r="B7" i="2"/>
  <c r="F4" i="2"/>
  <c r="F2" i="2"/>
  <c r="B2" i="2"/>
  <c r="AP5" i="9"/>
  <c r="AO5" i="9"/>
  <c r="AQ5" i="10"/>
  <c r="AN5" i="9"/>
  <c r="AP5" i="10"/>
  <c r="AM5" i="9"/>
  <c r="AO5" i="10"/>
  <c r="AN5" i="10"/>
  <c r="AM5" i="10"/>
  <c r="AQ5" i="9"/>
  <c r="AQ5" i="7"/>
  <c r="AP5" i="7"/>
  <c r="AO5" i="7"/>
  <c r="AN5" i="7"/>
  <c r="AM5" i="7"/>
  <c r="AQ5" i="8"/>
  <c r="AP5" i="8"/>
  <c r="AO5" i="8"/>
  <c r="AN5" i="8"/>
  <c r="AM5" i="8"/>
  <c r="H95" i="3"/>
  <c r="H73" i="3"/>
  <c r="H51" i="3"/>
  <c r="H29" i="3"/>
  <c r="H7" i="3"/>
  <c r="B17" i="1"/>
  <c r="E12" i="1"/>
  <c r="D95" i="3"/>
  <c r="D73" i="3"/>
  <c r="D51" i="3"/>
  <c r="D29" i="3"/>
  <c r="D7" i="3"/>
  <c r="G16" i="1"/>
  <c r="B12" i="1"/>
  <c r="F16" i="1"/>
  <c r="H11" i="1"/>
  <c r="D16" i="1"/>
  <c r="B11" i="1"/>
  <c r="D18" i="5"/>
  <c r="D74" i="3"/>
  <c r="D40" i="2"/>
  <c r="B16" i="1"/>
  <c r="H10" i="1"/>
  <c r="F10" i="1"/>
  <c r="H15" i="1"/>
  <c r="G10" i="1"/>
  <c r="G15" i="1"/>
  <c r="D95" i="4"/>
  <c r="M73" i="3"/>
  <c r="E15" i="1"/>
  <c r="D10" i="1"/>
  <c r="D29" i="4"/>
  <c r="H18" i="5"/>
  <c r="H40" i="2"/>
  <c r="B18" i="1"/>
  <c r="F11" i="1"/>
  <c r="M84" i="5"/>
  <c r="L96" i="4"/>
  <c r="D95" i="5"/>
  <c r="L84" i="5"/>
  <c r="H74" i="5"/>
  <c r="F17" i="1"/>
  <c r="E10" i="1"/>
  <c r="H52" i="5"/>
  <c r="H74" i="4"/>
  <c r="H8" i="2"/>
  <c r="D84" i="2"/>
  <c r="E17" i="1"/>
  <c r="B10" i="1"/>
  <c r="L109" i="5"/>
  <c r="L30" i="3"/>
  <c r="D17" i="1"/>
  <c r="M84" i="2"/>
  <c r="G9" i="1"/>
  <c r="H9" i="1"/>
  <c r="H16" i="1"/>
  <c r="D84" i="5"/>
  <c r="P84" i="5" s="1"/>
  <c r="H7" i="4"/>
  <c r="M51" i="3"/>
  <c r="H18" i="2"/>
  <c r="H109" i="5"/>
  <c r="L51" i="3"/>
  <c r="H30" i="3"/>
  <c r="E16" i="1"/>
  <c r="F9" i="1"/>
  <c r="L40" i="3"/>
  <c r="L9" i="3"/>
  <c r="F15" i="1"/>
  <c r="M73" i="6"/>
  <c r="L84" i="4"/>
  <c r="D7" i="4"/>
  <c r="E9" i="1"/>
  <c r="D9" i="1"/>
  <c r="H84" i="6"/>
  <c r="L73" i="6"/>
  <c r="D109" i="5"/>
  <c r="D73" i="5"/>
  <c r="D30" i="3"/>
  <c r="H84" i="2"/>
  <c r="D15" i="1"/>
  <c r="M109" i="5"/>
  <c r="B15" i="1"/>
  <c r="B9" i="1"/>
  <c r="D84" i="6"/>
  <c r="L40" i="6"/>
  <c r="M20" i="5"/>
  <c r="M42" i="2"/>
  <c r="H73" i="6"/>
  <c r="H62" i="5"/>
  <c r="D62" i="6"/>
  <c r="M108" i="5"/>
  <c r="M51" i="5"/>
  <c r="L42" i="2"/>
  <c r="G14" i="1"/>
  <c r="M29" i="3"/>
  <c r="M73" i="2"/>
  <c r="F14" i="1"/>
  <c r="H20" i="5"/>
  <c r="D40" i="6"/>
  <c r="H51" i="5"/>
  <c r="H73" i="4"/>
  <c r="D73" i="6"/>
  <c r="H40" i="6"/>
  <c r="L108" i="5"/>
  <c r="L51" i="5"/>
  <c r="H42" i="2"/>
  <c r="E14" i="1"/>
  <c r="L18" i="6"/>
  <c r="M29" i="6"/>
  <c r="H30" i="5"/>
  <c r="M95" i="3"/>
  <c r="L29" i="3"/>
  <c r="L29" i="6"/>
  <c r="H108" i="5"/>
  <c r="L95" i="3"/>
  <c r="M62" i="4"/>
  <c r="M41" i="2"/>
  <c r="B14" i="1"/>
  <c r="H18" i="6"/>
  <c r="D108" i="5"/>
  <c r="D51" i="5"/>
  <c r="D73" i="4"/>
  <c r="L51" i="4"/>
  <c r="M74" i="3"/>
  <c r="L41" i="2"/>
  <c r="M7" i="3"/>
  <c r="H41" i="2"/>
  <c r="H29" i="6"/>
  <c r="D62" i="4"/>
  <c r="H62" i="2"/>
  <c r="H13" i="1"/>
  <c r="M40" i="5"/>
  <c r="L62" i="4"/>
  <c r="M84" i="3"/>
  <c r="L74" i="3"/>
  <c r="G13" i="1"/>
  <c r="H40" i="5"/>
  <c r="M19" i="5"/>
  <c r="H51" i="4"/>
  <c r="L18" i="3"/>
  <c r="D62" i="2"/>
  <c r="F13" i="1"/>
  <c r="D18" i="6"/>
  <c r="L84" i="3"/>
  <c r="M107" i="5"/>
  <c r="M29" i="5"/>
  <c r="L19" i="5"/>
  <c r="H74" i="3"/>
  <c r="L7" i="3"/>
  <c r="E13" i="1"/>
  <c r="L107" i="5"/>
  <c r="D40" i="5"/>
  <c r="L29" i="5"/>
  <c r="H19" i="5"/>
  <c r="D51" i="4"/>
  <c r="H84" i="3"/>
  <c r="D41" i="2"/>
  <c r="D13" i="1"/>
  <c r="D19" i="5"/>
  <c r="B13" i="1"/>
  <c r="L73" i="3"/>
  <c r="G12" i="1"/>
  <c r="D107" i="5"/>
  <c r="D84" i="3"/>
  <c r="H18" i="1"/>
  <c r="H12" i="1"/>
  <c r="G18" i="1"/>
  <c r="L18" i="5"/>
  <c r="H29" i="4"/>
  <c r="L40" i="2"/>
  <c r="E18" i="1"/>
  <c r="D12" i="1"/>
  <c r="M106" i="5"/>
  <c r="L107" i="4"/>
  <c r="H54" i="4"/>
  <c r="H18" i="4"/>
  <c r="M95" i="5"/>
  <c r="H52" i="3"/>
  <c r="D14" i="1"/>
  <c r="D11" i="1"/>
  <c r="D106" i="2"/>
  <c r="F12" i="1"/>
  <c r="L106" i="4"/>
  <c r="M18" i="4"/>
  <c r="M40" i="2"/>
  <c r="D29" i="2"/>
  <c r="M106" i="4"/>
  <c r="H106" i="2"/>
  <c r="G11" i="1"/>
  <c r="D42" i="2"/>
  <c r="H95" i="5"/>
  <c r="L20" i="5"/>
  <c r="E11" i="1"/>
  <c r="D106" i="3"/>
  <c r="D18" i="1"/>
  <c r="D73" i="2"/>
  <c r="M18" i="5"/>
  <c r="M74" i="4"/>
  <c r="D18" i="4"/>
  <c r="M7" i="6"/>
  <c r="M96" i="4"/>
  <c r="L10" i="3"/>
  <c r="H29" i="5"/>
  <c r="H84" i="5"/>
  <c r="P87" i="5" s="1"/>
  <c r="D41" i="4"/>
  <c r="M64" i="4"/>
  <c r="M96" i="3"/>
  <c r="M62" i="2"/>
  <c r="H63" i="3"/>
  <c r="D7" i="5"/>
  <c r="M40" i="4"/>
  <c r="M8" i="2"/>
  <c r="M62" i="3"/>
  <c r="L7" i="5"/>
  <c r="M30" i="3"/>
  <c r="H62" i="3"/>
  <c r="M74" i="5"/>
  <c r="H53" i="5"/>
  <c r="L62" i="3"/>
  <c r="F18" i="1"/>
  <c r="D29" i="5"/>
  <c r="M52" i="5"/>
  <c r="M52" i="3"/>
  <c r="H17" i="1"/>
  <c r="G17" i="1"/>
  <c r="D52" i="3"/>
  <c r="D51" i="2"/>
  <c r="M95" i="2"/>
  <c r="M106" i="2"/>
  <c r="H14" i="1"/>
  <c r="L74" i="5"/>
  <c r="D65" i="4"/>
  <c r="D19" i="2"/>
  <c r="L85" i="2"/>
  <c r="P51" i="3"/>
  <c r="P54" i="3"/>
  <c r="P76" i="6"/>
  <c r="P73" i="6"/>
  <c r="P95" i="3"/>
  <c r="P98" i="3"/>
  <c r="P54" i="5"/>
  <c r="P51" i="5"/>
  <c r="P62" i="4"/>
  <c r="P65" i="4"/>
  <c r="P54" i="4"/>
  <c r="P51" i="4"/>
  <c r="P73" i="3"/>
  <c r="P76" i="3"/>
  <c r="P87" i="3"/>
  <c r="P84" i="3"/>
  <c r="J56" i="2" l="1"/>
  <c r="J57" i="2"/>
  <c r="N74" i="5"/>
  <c r="N30" i="3"/>
  <c r="N62" i="3"/>
  <c r="J84" i="5"/>
  <c r="J29" i="5"/>
  <c r="N96" i="4"/>
  <c r="N18" i="5"/>
  <c r="J79" i="2"/>
  <c r="J78" i="2"/>
  <c r="J111" i="3"/>
  <c r="J112" i="3"/>
  <c r="J95" i="5"/>
  <c r="J106" i="2"/>
  <c r="N106" i="4"/>
  <c r="N40" i="2"/>
  <c r="J112" i="2"/>
  <c r="J111" i="2"/>
  <c r="J52" i="3"/>
  <c r="J18" i="4"/>
  <c r="J29" i="4"/>
  <c r="J89" i="3"/>
  <c r="J90" i="3"/>
  <c r="J84" i="3"/>
  <c r="J57" i="4"/>
  <c r="J56" i="4"/>
  <c r="J19" i="5"/>
  <c r="J74" i="3"/>
  <c r="N29" i="5"/>
  <c r="N107" i="5"/>
  <c r="J68" i="2"/>
  <c r="J67" i="2"/>
  <c r="J51" i="4"/>
  <c r="N19" i="5"/>
  <c r="J40" i="5"/>
  <c r="N84" i="3"/>
  <c r="J62" i="2"/>
  <c r="J68" i="4"/>
  <c r="J67" i="4"/>
  <c r="J41" i="2"/>
  <c r="N7" i="3"/>
  <c r="N74" i="3"/>
  <c r="J79" i="4"/>
  <c r="J78" i="4"/>
  <c r="J57" i="5"/>
  <c r="J56" i="5"/>
  <c r="J18" i="6"/>
  <c r="N41" i="2"/>
  <c r="N62" i="4"/>
  <c r="J108" i="5"/>
  <c r="N95" i="3"/>
  <c r="N29" i="6"/>
  <c r="J42" i="2"/>
  <c r="J40" i="6"/>
  <c r="J78" i="6"/>
  <c r="J79" i="6"/>
  <c r="J73" i="4"/>
  <c r="J51" i="5"/>
  <c r="N29" i="3"/>
  <c r="N51" i="5"/>
  <c r="N108" i="5"/>
  <c r="J67" i="6"/>
  <c r="J68" i="6"/>
  <c r="J73" i="6"/>
  <c r="N42" i="2"/>
  <c r="N20" i="5"/>
  <c r="J89" i="6"/>
  <c r="J90" i="6"/>
  <c r="N109" i="5"/>
  <c r="J84" i="2"/>
  <c r="J79" i="5"/>
  <c r="J78" i="5"/>
  <c r="J84" i="6"/>
  <c r="N73" i="6"/>
  <c r="J30" i="3"/>
  <c r="J109" i="5"/>
  <c r="N51" i="3"/>
  <c r="J7" i="4"/>
  <c r="J90" i="5"/>
  <c r="J89" i="5"/>
  <c r="J90" i="2"/>
  <c r="J89" i="2"/>
  <c r="E19" i="1"/>
  <c r="J101" i="5"/>
  <c r="J100" i="5"/>
  <c r="N84" i="5"/>
  <c r="J40" i="2"/>
  <c r="J18" i="5"/>
  <c r="D19" i="1"/>
  <c r="N73" i="3"/>
  <c r="J101" i="4"/>
  <c r="J100" i="4"/>
  <c r="G19" i="1"/>
  <c r="F19" i="1"/>
  <c r="H19" i="1"/>
  <c r="J56" i="3"/>
  <c r="J57" i="3"/>
  <c r="J79" i="3"/>
  <c r="J78" i="3"/>
  <c r="J101" i="3"/>
  <c r="J100" i="3"/>
  <c r="J7" i="3"/>
  <c r="J29" i="3"/>
  <c r="J51" i="3"/>
  <c r="J73" i="3"/>
  <c r="J95" i="3"/>
  <c r="M83" i="4"/>
  <c r="L83" i="4"/>
  <c r="B32" i="4"/>
  <c r="B76" i="5"/>
  <c r="F7" i="2"/>
  <c r="F8" i="2" s="1"/>
  <c r="F9" i="2" s="1"/>
  <c r="F10" i="2" s="1"/>
  <c r="L4" i="2"/>
  <c r="M6" i="2" s="1"/>
  <c r="B32" i="6"/>
  <c r="B86" i="2"/>
  <c r="M39" i="4"/>
  <c r="F7" i="3"/>
  <c r="F8" i="3" s="1"/>
  <c r="F9" i="3" s="1"/>
  <c r="F10" i="3" s="1"/>
  <c r="L4" i="3"/>
  <c r="B10" i="2"/>
  <c r="L39" i="6"/>
  <c r="M39" i="6"/>
  <c r="L81" i="3"/>
  <c r="L83" i="3" s="1"/>
  <c r="F84" i="3"/>
  <c r="F85" i="3" s="1"/>
  <c r="F86" i="3" s="1"/>
  <c r="F87" i="3" s="1"/>
  <c r="B64" i="5"/>
  <c r="M83" i="2"/>
  <c r="L83" i="2"/>
  <c r="B108" i="4"/>
  <c r="B20" i="2"/>
  <c r="L50" i="2"/>
  <c r="B97" i="4"/>
  <c r="B85" i="5"/>
  <c r="L59" i="2"/>
  <c r="M61" i="2" s="1"/>
  <c r="B53" i="3"/>
  <c r="L15" i="6"/>
  <c r="B107" i="2"/>
  <c r="L15" i="3"/>
  <c r="B19" i="4"/>
  <c r="B41" i="5"/>
  <c r="B96" i="5"/>
  <c r="F7" i="6"/>
  <c r="F8" i="6" s="1"/>
  <c r="F9" i="6" s="1"/>
  <c r="F10" i="6" s="1"/>
  <c r="B64" i="3"/>
  <c r="L17" i="3"/>
  <c r="B63" i="2"/>
  <c r="L26" i="3"/>
  <c r="M28" i="3" s="1"/>
  <c r="L94" i="3"/>
  <c r="L59" i="4"/>
  <c r="B19" i="6"/>
  <c r="B52" i="2"/>
  <c r="L70" i="4"/>
  <c r="B31" i="5"/>
  <c r="L105" i="2"/>
  <c r="L6" i="2"/>
  <c r="M72" i="2"/>
  <c r="L105" i="3"/>
  <c r="B41" i="6"/>
  <c r="L39" i="3"/>
  <c r="B10" i="6"/>
  <c r="B20" i="3"/>
  <c r="B86" i="3"/>
  <c r="L83" i="6"/>
  <c r="B42" i="3"/>
  <c r="B86" i="4"/>
  <c r="L94" i="6"/>
  <c r="L61" i="6"/>
  <c r="L15" i="2"/>
  <c r="L17" i="2" s="1"/>
  <c r="B85" i="6"/>
  <c r="M105" i="6"/>
  <c r="L105" i="6"/>
  <c r="B107" i="6"/>
  <c r="B74" i="2"/>
  <c r="B42" i="4"/>
  <c r="L105" i="4"/>
  <c r="B107" i="3"/>
  <c r="F95" i="4"/>
  <c r="F96" i="4" s="1"/>
  <c r="F97" i="4" s="1"/>
  <c r="F98" i="4" s="1"/>
  <c r="L94" i="2"/>
  <c r="Q10" i="8"/>
  <c r="L59" i="3"/>
  <c r="M61" i="3" s="1"/>
  <c r="M94" i="5"/>
  <c r="M72" i="5"/>
  <c r="M50" i="5"/>
  <c r="M28" i="5"/>
  <c r="M6" i="5"/>
  <c r="L28" i="2"/>
  <c r="B96" i="6"/>
  <c r="L17" i="4"/>
  <c r="B74" i="6"/>
  <c r="M28" i="2"/>
  <c r="M105" i="2"/>
  <c r="B97" i="3"/>
  <c r="B96" i="2"/>
  <c r="B30" i="2"/>
  <c r="F40" i="2"/>
  <c r="F41" i="2" s="1"/>
  <c r="F42" i="2" s="1"/>
  <c r="F43" i="2" s="1"/>
  <c r="L37" i="2"/>
  <c r="L39" i="2" s="1"/>
  <c r="B8" i="5"/>
  <c r="B53" i="6"/>
  <c r="P10" i="7"/>
  <c r="AA651" i="7"/>
  <c r="Y654" i="7"/>
  <c r="AB651" i="7"/>
  <c r="Z654" i="7"/>
  <c r="L50" i="3"/>
  <c r="B76" i="4"/>
  <c r="L72" i="3"/>
  <c r="B54" i="5"/>
  <c r="M50" i="3"/>
  <c r="M17" i="3"/>
  <c r="M72" i="3"/>
  <c r="B8" i="4"/>
  <c r="L26" i="4"/>
  <c r="M105" i="5"/>
  <c r="H652" i="7"/>
  <c r="AH10" i="8"/>
  <c r="L15" i="5"/>
  <c r="L17" i="5" s="1"/>
  <c r="B63" i="6"/>
  <c r="P10" i="9"/>
  <c r="AH10" i="7"/>
  <c r="L70" i="2"/>
  <c r="L72" i="2" s="1"/>
  <c r="AI10" i="7"/>
  <c r="Y651" i="10"/>
  <c r="J654" i="10"/>
  <c r="L94" i="4"/>
  <c r="L72" i="4"/>
  <c r="L50" i="4"/>
  <c r="L28" i="4"/>
  <c r="L6" i="4"/>
  <c r="F29" i="6"/>
  <c r="F30" i="6" s="1"/>
  <c r="F31" i="6" s="1"/>
  <c r="F32" i="6" s="1"/>
  <c r="M94" i="4"/>
  <c r="M72" i="4"/>
  <c r="M50" i="4"/>
  <c r="M28" i="4"/>
  <c r="M6" i="4"/>
  <c r="AH10" i="10"/>
  <c r="F652" i="9"/>
  <c r="AA654" i="9"/>
  <c r="Y652" i="8"/>
  <c r="Y652" i="10"/>
  <c r="H653" i="9"/>
  <c r="H31" i="4"/>
  <c r="H63" i="5"/>
  <c r="L7" i="6"/>
  <c r="M9" i="6"/>
  <c r="H85" i="4"/>
  <c r="H43" i="2"/>
  <c r="M84" i="4"/>
  <c r="L7" i="4"/>
  <c r="L7" i="2"/>
  <c r="L9" i="6"/>
  <c r="M95" i="6"/>
  <c r="D106" i="4"/>
  <c r="P106" i="4" s="1"/>
  <c r="L74" i="4"/>
  <c r="H7" i="2"/>
  <c r="L95" i="6"/>
  <c r="H95" i="4"/>
  <c r="L65" i="4"/>
  <c r="M7" i="4"/>
  <c r="H53" i="4"/>
  <c r="M85" i="4"/>
  <c r="D31" i="4"/>
  <c r="D54" i="4"/>
  <c r="M75" i="3"/>
  <c r="M95" i="4"/>
  <c r="L62" i="6"/>
  <c r="P65" i="6" s="1"/>
  <c r="D9" i="3"/>
  <c r="L106" i="2"/>
  <c r="D8" i="3"/>
  <c r="H8" i="6"/>
  <c r="M31" i="4"/>
  <c r="M54" i="4"/>
  <c r="M18" i="3"/>
  <c r="H9" i="6"/>
  <c r="L85" i="4"/>
  <c r="D85" i="4"/>
  <c r="H73" i="2"/>
  <c r="D41" i="3"/>
  <c r="L106" i="5"/>
  <c r="M63" i="4"/>
  <c r="M18" i="6"/>
  <c r="L30" i="4"/>
  <c r="L54" i="4"/>
  <c r="L40" i="5"/>
  <c r="M30" i="4"/>
  <c r="D62" i="5"/>
  <c r="H95" i="6"/>
  <c r="L52" i="5"/>
  <c r="M75" i="4"/>
  <c r="H106" i="5"/>
  <c r="H29" i="2"/>
  <c r="L63" i="3"/>
  <c r="D31" i="3"/>
  <c r="D8" i="2"/>
  <c r="H84" i="4"/>
  <c r="M76" i="3"/>
  <c r="H73" i="5"/>
  <c r="D52" i="4"/>
  <c r="M9" i="3"/>
  <c r="L32" i="3"/>
  <c r="L40" i="4"/>
  <c r="L75" i="5"/>
  <c r="D9" i="2"/>
  <c r="M19" i="3"/>
  <c r="M21" i="5"/>
  <c r="D74" i="5"/>
  <c r="L75" i="4"/>
  <c r="H107" i="5"/>
  <c r="L19" i="3"/>
  <c r="M41" i="4"/>
  <c r="M106" i="6"/>
  <c r="H75" i="4"/>
  <c r="D96" i="3"/>
  <c r="H19" i="3"/>
  <c r="D75" i="4"/>
  <c r="H41" i="3"/>
  <c r="M73" i="4"/>
  <c r="D62" i="3"/>
  <c r="M75" i="5"/>
  <c r="L9" i="2"/>
  <c r="L21" i="5"/>
  <c r="D7" i="2"/>
  <c r="D9" i="6"/>
  <c r="M7" i="5"/>
  <c r="D30" i="5"/>
  <c r="M40" i="3"/>
  <c r="H75" i="5"/>
  <c r="M107" i="4"/>
  <c r="H41" i="4"/>
  <c r="H106" i="6"/>
  <c r="H21" i="5"/>
  <c r="L96" i="3"/>
  <c r="D75" i="5"/>
  <c r="M9" i="2"/>
  <c r="H107" i="4"/>
  <c r="L51" i="2"/>
  <c r="P54" i="2" s="1"/>
  <c r="M30" i="5"/>
  <c r="M85" i="3"/>
  <c r="D75" i="3"/>
  <c r="L62" i="5"/>
  <c r="P65" i="5" s="1"/>
  <c r="L95" i="2"/>
  <c r="L29" i="4"/>
  <c r="L29" i="2"/>
  <c r="D19" i="3"/>
  <c r="L73" i="2"/>
  <c r="M31" i="6"/>
  <c r="H96" i="4"/>
  <c r="M62" i="5"/>
  <c r="P62" i="5" s="1"/>
  <c r="D106" i="6"/>
  <c r="D43" i="2"/>
  <c r="M52" i="6"/>
  <c r="M32" i="3"/>
  <c r="D64" i="4"/>
  <c r="H9" i="2"/>
  <c r="D107" i="4"/>
  <c r="H51" i="2"/>
  <c r="L30" i="5"/>
  <c r="L85" i="3"/>
  <c r="M106" i="3"/>
  <c r="M8" i="6"/>
  <c r="L84" i="6"/>
  <c r="P87" i="6" s="1"/>
  <c r="H95" i="2"/>
  <c r="L53" i="5"/>
  <c r="H62" i="4"/>
  <c r="M53" i="5"/>
  <c r="M29" i="2"/>
  <c r="D85" i="2"/>
  <c r="D52" i="6"/>
  <c r="M31" i="3"/>
  <c r="L31" i="3"/>
  <c r="D95" i="2"/>
  <c r="D53" i="4"/>
  <c r="D51" i="6"/>
  <c r="M53" i="4"/>
  <c r="L64" i="4"/>
  <c r="D63" i="4"/>
  <c r="M51" i="4"/>
  <c r="D21" i="5"/>
  <c r="D30" i="6"/>
  <c r="L84" i="2"/>
  <c r="M10" i="3"/>
  <c r="H30" i="4"/>
  <c r="L52" i="6"/>
  <c r="L106" i="3"/>
  <c r="H9" i="3"/>
  <c r="M51" i="6"/>
  <c r="L106" i="6"/>
  <c r="D29" i="6"/>
  <c r="D10" i="3"/>
  <c r="H7" i="6"/>
  <c r="D8" i="6"/>
  <c r="L75" i="3"/>
  <c r="M63" i="3"/>
  <c r="H30" i="6"/>
  <c r="L52" i="3"/>
  <c r="D40" i="3"/>
  <c r="M29" i="4"/>
  <c r="D95" i="6"/>
  <c r="H10" i="3"/>
  <c r="H40" i="4"/>
  <c r="H52" i="6"/>
  <c r="H106" i="3"/>
  <c r="H40" i="3"/>
  <c r="D18" i="2"/>
  <c r="L30" i="6"/>
  <c r="L53" i="4"/>
  <c r="H62" i="6"/>
  <c r="M19" i="2"/>
  <c r="M18" i="2"/>
  <c r="L19" i="2"/>
  <c r="D85" i="3"/>
  <c r="L63" i="4"/>
  <c r="M41" i="3"/>
  <c r="H7" i="5"/>
  <c r="D53" i="5"/>
  <c r="M30" i="6"/>
  <c r="H19" i="2"/>
  <c r="H51" i="6"/>
  <c r="M65" i="4"/>
  <c r="M51" i="2"/>
  <c r="P51" i="2" s="1"/>
  <c r="M8" i="3"/>
  <c r="H52" i="4"/>
  <c r="D63" i="5"/>
  <c r="M63" i="5"/>
  <c r="L43" i="2"/>
  <c r="D32" i="3"/>
  <c r="H85" i="3"/>
  <c r="M52" i="4"/>
  <c r="H31" i="3"/>
  <c r="D96" i="4"/>
  <c r="H75" i="3"/>
  <c r="D74" i="4"/>
  <c r="H85" i="2"/>
  <c r="L8" i="2"/>
  <c r="D106" i="5"/>
  <c r="H32" i="3"/>
  <c r="L31" i="4"/>
  <c r="M40" i="6"/>
  <c r="M62" i="6"/>
  <c r="P62" i="6" s="1"/>
  <c r="H65" i="4"/>
  <c r="L18" i="4"/>
  <c r="L73" i="5"/>
  <c r="P76" i="5" s="1"/>
  <c r="L95" i="4"/>
  <c r="D40" i="4"/>
  <c r="D7" i="6"/>
  <c r="L73" i="4"/>
  <c r="L8" i="3"/>
  <c r="D84" i="4"/>
  <c r="L51" i="6"/>
  <c r="M84" i="6"/>
  <c r="P84" i="6" s="1"/>
  <c r="L63" i="5"/>
  <c r="L31" i="6"/>
  <c r="H76" i="3"/>
  <c r="L62" i="2"/>
  <c r="H8" i="3"/>
  <c r="L41" i="3"/>
  <c r="L41" i="4"/>
  <c r="M73" i="5"/>
  <c r="P73" i="5" s="1"/>
  <c r="H96" i="3"/>
  <c r="H64" i="4"/>
  <c r="H106" i="4"/>
  <c r="P109" i="4" s="1"/>
  <c r="L52" i="4"/>
  <c r="D30" i="4"/>
  <c r="H31" i="6"/>
  <c r="L76" i="3"/>
  <c r="L95" i="5"/>
  <c r="H18" i="3"/>
  <c r="L8" i="6"/>
  <c r="D52" i="5"/>
  <c r="D31" i="6"/>
  <c r="D76" i="3"/>
  <c r="D18" i="3"/>
  <c r="L18" i="2"/>
  <c r="M85" i="2"/>
  <c r="D63" i="3"/>
  <c r="D20" i="5"/>
  <c r="M7" i="2"/>
  <c r="H63" i="4"/>
  <c r="M43" i="2"/>
  <c r="P106" i="2"/>
  <c r="P109" i="2"/>
  <c r="P65" i="3"/>
  <c r="P62" i="3"/>
  <c r="P73" i="2"/>
  <c r="P76" i="2"/>
  <c r="P98" i="2"/>
  <c r="P95" i="2"/>
  <c r="P84" i="2"/>
  <c r="P87" i="2"/>
  <c r="P106" i="3"/>
  <c r="P109" i="3"/>
  <c r="P106" i="6"/>
  <c r="P109" i="6"/>
  <c r="P98" i="6"/>
  <c r="P95" i="6"/>
  <c r="P109" i="5"/>
  <c r="P106" i="5"/>
  <c r="P29" i="3"/>
  <c r="P32" i="3"/>
  <c r="P95" i="4"/>
  <c r="P98" i="4"/>
  <c r="P73" i="4"/>
  <c r="P76" i="4"/>
  <c r="P87" i="4"/>
  <c r="P84" i="4"/>
  <c r="P51" i="6"/>
  <c r="P54" i="6"/>
  <c r="P62" i="2"/>
  <c r="P65" i="2"/>
  <c r="P10" i="3"/>
  <c r="P7" i="3"/>
  <c r="P95" i="5"/>
  <c r="P98" i="5"/>
  <c r="P21" i="5"/>
  <c r="P18" i="5"/>
  <c r="P43" i="2"/>
  <c r="P40" i="2"/>
  <c r="N43" i="2" l="1"/>
  <c r="J63" i="4"/>
  <c r="N7" i="2"/>
  <c r="J24" i="5"/>
  <c r="J23" i="5"/>
  <c r="J20" i="5"/>
  <c r="J63" i="3"/>
  <c r="N85" i="2"/>
  <c r="J52" i="5"/>
  <c r="J18" i="3"/>
  <c r="N95" i="5"/>
  <c r="J31" i="6"/>
  <c r="J106" i="4"/>
  <c r="J64" i="4"/>
  <c r="J96" i="3"/>
  <c r="N73" i="5"/>
  <c r="J8" i="3"/>
  <c r="N62" i="2"/>
  <c r="J76" i="3"/>
  <c r="N84" i="6"/>
  <c r="J89" i="4"/>
  <c r="J90" i="4"/>
  <c r="N18" i="4"/>
  <c r="J65" i="4"/>
  <c r="N62" i="6"/>
  <c r="N40" i="6"/>
  <c r="J32" i="3"/>
  <c r="J112" i="5"/>
  <c r="J111" i="5"/>
  <c r="N8" i="2"/>
  <c r="J85" i="2"/>
  <c r="J74" i="4"/>
  <c r="J75" i="3"/>
  <c r="J31" i="3"/>
  <c r="N52" i="4"/>
  <c r="J85" i="3"/>
  <c r="N63" i="5"/>
  <c r="J52" i="4"/>
  <c r="N8" i="3"/>
  <c r="N51" i="2"/>
  <c r="N65" i="4"/>
  <c r="J51" i="6"/>
  <c r="J19" i="2"/>
  <c r="N30" i="6"/>
  <c r="J53" i="5"/>
  <c r="J7" i="5"/>
  <c r="N41" i="3"/>
  <c r="N18" i="2"/>
  <c r="N19" i="2"/>
  <c r="J62" i="6"/>
  <c r="J18" i="2"/>
  <c r="J40" i="3"/>
  <c r="J106" i="3"/>
  <c r="J52" i="6"/>
  <c r="J40" i="4"/>
  <c r="J10" i="3"/>
  <c r="J101" i="6"/>
  <c r="J100" i="6"/>
  <c r="N29" i="4"/>
  <c r="N52" i="3"/>
  <c r="J30" i="6"/>
  <c r="N63" i="3"/>
  <c r="J7" i="6"/>
  <c r="J29" i="6"/>
  <c r="N51" i="6"/>
  <c r="J9" i="3"/>
  <c r="J30" i="4"/>
  <c r="N10" i="3"/>
  <c r="N84" i="2"/>
  <c r="N51" i="4"/>
  <c r="N64" i="4"/>
  <c r="N53" i="4"/>
  <c r="J57" i="6"/>
  <c r="J56" i="6"/>
  <c r="J101" i="2"/>
  <c r="J100" i="2"/>
  <c r="N31" i="3"/>
  <c r="N29" i="2"/>
  <c r="N53" i="5"/>
  <c r="J62" i="4"/>
  <c r="J95" i="2"/>
  <c r="N8" i="6"/>
  <c r="N106" i="3"/>
  <c r="J51" i="2"/>
  <c r="J9" i="2"/>
  <c r="N32" i="3"/>
  <c r="N52" i="6"/>
  <c r="J46" i="2"/>
  <c r="J45" i="2"/>
  <c r="J111" i="6"/>
  <c r="J112" i="6"/>
  <c r="N62" i="5"/>
  <c r="J96" i="4"/>
  <c r="N31" i="6"/>
  <c r="N73" i="2"/>
  <c r="N95" i="2"/>
  <c r="N85" i="3"/>
  <c r="N30" i="5"/>
  <c r="J107" i="4"/>
  <c r="N9" i="2"/>
  <c r="N96" i="3"/>
  <c r="J21" i="5"/>
  <c r="J106" i="6"/>
  <c r="J41" i="4"/>
  <c r="N107" i="4"/>
  <c r="J75" i="5"/>
  <c r="N40" i="3"/>
  <c r="J30" i="5"/>
  <c r="N7" i="5"/>
  <c r="N75" i="5"/>
  <c r="J68" i="3"/>
  <c r="J67" i="3"/>
  <c r="J62" i="3"/>
  <c r="N73" i="4"/>
  <c r="J41" i="3"/>
  <c r="J19" i="3"/>
  <c r="J75" i="4"/>
  <c r="N106" i="6"/>
  <c r="N41" i="4"/>
  <c r="J107" i="5"/>
  <c r="J74" i="5"/>
  <c r="N21" i="5"/>
  <c r="N19" i="3"/>
  <c r="N40" i="4"/>
  <c r="N9" i="3"/>
  <c r="J73" i="5"/>
  <c r="N76" i="3"/>
  <c r="J84" i="4"/>
  <c r="J8" i="2"/>
  <c r="J34" i="3"/>
  <c r="J35" i="3"/>
  <c r="J29" i="2"/>
  <c r="J106" i="5"/>
  <c r="N75" i="4"/>
  <c r="N52" i="5"/>
  <c r="J95" i="6"/>
  <c r="J68" i="5"/>
  <c r="J67" i="5"/>
  <c r="J62" i="5"/>
  <c r="N30" i="4"/>
  <c r="N40" i="5"/>
  <c r="N18" i="6"/>
  <c r="N63" i="4"/>
  <c r="N106" i="5"/>
  <c r="J73" i="2"/>
  <c r="J9" i="6"/>
  <c r="N18" i="3"/>
  <c r="N54" i="4"/>
  <c r="N31" i="4"/>
  <c r="J8" i="6"/>
  <c r="J13" i="3"/>
  <c r="J12" i="3"/>
  <c r="N106" i="2"/>
  <c r="N95" i="4"/>
  <c r="N75" i="3"/>
  <c r="J54" i="4"/>
  <c r="N85" i="4"/>
  <c r="J53" i="4"/>
  <c r="N7" i="4"/>
  <c r="J95" i="4"/>
  <c r="J7" i="2"/>
  <c r="N74" i="4"/>
  <c r="J112" i="4"/>
  <c r="J111" i="4"/>
  <c r="N95" i="6"/>
  <c r="N84" i="4"/>
  <c r="J43" i="2"/>
  <c r="J85" i="4"/>
  <c r="N9" i="6"/>
  <c r="N7" i="6"/>
  <c r="J63" i="5"/>
  <c r="J31" i="4"/>
  <c r="B20" i="6"/>
  <c r="M61" i="4"/>
  <c r="L61" i="4"/>
  <c r="B64" i="6"/>
  <c r="B9" i="5"/>
  <c r="B86" i="5"/>
  <c r="M17" i="6"/>
  <c r="L17" i="6"/>
  <c r="B42" i="6"/>
  <c r="B64" i="2"/>
  <c r="B9" i="4"/>
  <c r="B54" i="6"/>
  <c r="B43" i="4"/>
  <c r="B21" i="2"/>
  <c r="B98" i="4"/>
  <c r="B43" i="3"/>
  <c r="M83" i="3"/>
  <c r="B109" i="4"/>
  <c r="M39" i="2"/>
  <c r="B97" i="2"/>
  <c r="B75" i="2"/>
  <c r="L61" i="2"/>
  <c r="B75" i="6"/>
  <c r="B54" i="3"/>
  <c r="B97" i="6"/>
  <c r="B31" i="2"/>
  <c r="B65" i="3"/>
  <c r="M17" i="5"/>
  <c r="M17" i="2"/>
  <c r="B87" i="3"/>
  <c r="B32" i="5"/>
  <c r="L28" i="3"/>
  <c r="B98" i="3"/>
  <c r="B108" i="6"/>
  <c r="B97" i="5"/>
  <c r="B21" i="3"/>
  <c r="M6" i="3"/>
  <c r="L6" i="3"/>
  <c r="B108" i="3"/>
  <c r="B42" i="5"/>
  <c r="L61" i="3"/>
  <c r="B108" i="2"/>
  <c r="B86" i="6"/>
  <c r="B87" i="4"/>
  <c r="B53" i="2"/>
  <c r="B65" i="5"/>
  <c r="B87" i="2"/>
  <c r="B20" i="4"/>
  <c r="L41" i="6"/>
  <c r="D10" i="6"/>
  <c r="H74" i="2"/>
  <c r="M107" i="6"/>
  <c r="M41" i="5"/>
  <c r="H86" i="2"/>
  <c r="M96" i="6"/>
  <c r="D53" i="6"/>
  <c r="D32" i="4"/>
  <c r="M41" i="6"/>
  <c r="M10" i="6"/>
  <c r="D74" i="2"/>
  <c r="L107" i="6"/>
  <c r="L41" i="5"/>
  <c r="D86" i="2"/>
  <c r="M19" i="4"/>
  <c r="L42" i="3"/>
  <c r="D96" i="6"/>
  <c r="H85" i="5"/>
  <c r="D30" i="2"/>
  <c r="M32" i="4"/>
  <c r="H41" i="6"/>
  <c r="L10" i="6"/>
  <c r="H107" i="6"/>
  <c r="D20" i="3"/>
  <c r="L32" i="4"/>
  <c r="H10" i="6"/>
  <c r="M86" i="3"/>
  <c r="L86" i="2"/>
  <c r="D96" i="5"/>
  <c r="H76" i="4"/>
  <c r="M10" i="2"/>
  <c r="H96" i="6"/>
  <c r="H76" i="5"/>
  <c r="M30" i="2"/>
  <c r="H32" i="4"/>
  <c r="D63" i="2"/>
  <c r="L74" i="6"/>
  <c r="L86" i="3"/>
  <c r="M96" i="5"/>
  <c r="M107" i="2"/>
  <c r="M86" i="2"/>
  <c r="L97" i="4"/>
  <c r="M76" i="4"/>
  <c r="M20" i="3"/>
  <c r="H53" i="3"/>
  <c r="H85" i="6"/>
  <c r="M86" i="4"/>
  <c r="L76" i="5"/>
  <c r="H108" i="4"/>
  <c r="D63" i="6"/>
  <c r="M63" i="2"/>
  <c r="M97" i="4"/>
  <c r="H74" i="6"/>
  <c r="H86" i="3"/>
  <c r="L96" i="5"/>
  <c r="L107" i="2"/>
  <c r="D76" i="4"/>
  <c r="D86" i="3"/>
  <c r="D8" i="4"/>
  <c r="D19" i="4"/>
  <c r="L10" i="2"/>
  <c r="H53" i="6"/>
  <c r="L54" i="5"/>
  <c r="M74" i="2"/>
  <c r="L63" i="2"/>
  <c r="D74" i="6"/>
  <c r="H107" i="2"/>
  <c r="H42" i="3"/>
  <c r="L8" i="5"/>
  <c r="M76" i="5"/>
  <c r="L85" i="5"/>
  <c r="L107" i="3"/>
  <c r="H19" i="6"/>
  <c r="H97" i="3"/>
  <c r="M63" i="6"/>
  <c r="H63" i="2"/>
  <c r="H97" i="4"/>
  <c r="M74" i="6"/>
  <c r="D107" i="2"/>
  <c r="H63" i="6"/>
  <c r="L31" i="5"/>
  <c r="M42" i="3"/>
  <c r="L53" i="6"/>
  <c r="M108" i="4"/>
  <c r="D108" i="4"/>
  <c r="L63" i="6"/>
  <c r="D97" i="4"/>
  <c r="H96" i="5"/>
  <c r="D85" i="6"/>
  <c r="L76" i="4"/>
  <c r="M8" i="4"/>
  <c r="M31" i="5"/>
  <c r="D86" i="4"/>
  <c r="H10" i="2"/>
  <c r="L108" i="4"/>
  <c r="H30" i="2"/>
  <c r="H54" i="5"/>
  <c r="H32" i="6"/>
  <c r="M52" i="2"/>
  <c r="D42" i="4"/>
  <c r="M64" i="3"/>
  <c r="D41" i="5"/>
  <c r="H8" i="5"/>
  <c r="L8" i="4"/>
  <c r="D42" i="3"/>
  <c r="M53" i="3"/>
  <c r="H31" i="5"/>
  <c r="L20" i="3"/>
  <c r="M85" i="6"/>
  <c r="H19" i="4"/>
  <c r="L19" i="4"/>
  <c r="D53" i="3"/>
  <c r="D41" i="6"/>
  <c r="D8" i="5"/>
  <c r="H8" i="4"/>
  <c r="L53" i="3"/>
  <c r="D31" i="5"/>
  <c r="H20" i="3"/>
  <c r="L85" i="6"/>
  <c r="M8" i="5"/>
  <c r="H86" i="4"/>
  <c r="M53" i="6"/>
  <c r="D85" i="5"/>
  <c r="D10" i="2"/>
  <c r="L86" i="4"/>
  <c r="M54" i="5"/>
  <c r="L97" i="3"/>
  <c r="M20" i="2"/>
  <c r="H64" i="3"/>
  <c r="D20" i="2"/>
  <c r="D76" i="5"/>
  <c r="H96" i="2"/>
  <c r="L42" i="4"/>
  <c r="H42" i="4"/>
  <c r="M96" i="2"/>
  <c r="M64" i="5"/>
  <c r="L96" i="6"/>
  <c r="L52" i="2"/>
  <c r="M107" i="3"/>
  <c r="L64" i="3"/>
  <c r="M97" i="3"/>
  <c r="L74" i="2"/>
  <c r="M85" i="5"/>
  <c r="D54" i="5"/>
  <c r="D52" i="2"/>
  <c r="H52" i="2"/>
  <c r="H64" i="5"/>
  <c r="H107" i="3"/>
  <c r="D107" i="3"/>
  <c r="L64" i="5"/>
  <c r="L30" i="2"/>
  <c r="L20" i="2"/>
  <c r="L96" i="2"/>
  <c r="H20" i="2"/>
  <c r="M32" i="6"/>
  <c r="M42" i="4"/>
  <c r="H41" i="5"/>
  <c r="L32" i="6"/>
  <c r="D96" i="2"/>
  <c r="D64" i="3"/>
  <c r="M19" i="6"/>
  <c r="D32" i="6"/>
  <c r="D97" i="3"/>
  <c r="D64" i="5"/>
  <c r="L19" i="6"/>
  <c r="D19" i="6"/>
  <c r="D107" i="6"/>
  <c r="P10" i="6"/>
  <c r="P7" i="6"/>
  <c r="P32" i="4"/>
  <c r="P29" i="4"/>
  <c r="P10" i="2"/>
  <c r="P7" i="2"/>
  <c r="P32" i="6"/>
  <c r="P29" i="6"/>
  <c r="J35" i="6" l="1"/>
  <c r="J34" i="6"/>
  <c r="N19" i="6"/>
  <c r="J41" i="5"/>
  <c r="N42" i="4"/>
  <c r="N32" i="6"/>
  <c r="J20" i="2"/>
  <c r="J107" i="3"/>
  <c r="J64" i="5"/>
  <c r="J52" i="2"/>
  <c r="N85" i="5"/>
  <c r="N97" i="3"/>
  <c r="N107" i="3"/>
  <c r="N64" i="5"/>
  <c r="N96" i="2"/>
  <c r="J42" i="4"/>
  <c r="J96" i="2"/>
  <c r="J64" i="3"/>
  <c r="N20" i="2"/>
  <c r="N54" i="5"/>
  <c r="J12" i="2"/>
  <c r="J13" i="2"/>
  <c r="N53" i="6"/>
  <c r="J86" i="4"/>
  <c r="N8" i="5"/>
  <c r="J20" i="3"/>
  <c r="J8" i="4"/>
  <c r="J19" i="4"/>
  <c r="N85" i="6"/>
  <c r="J31" i="5"/>
  <c r="N53" i="3"/>
  <c r="J8" i="5"/>
  <c r="N64" i="3"/>
  <c r="N52" i="2"/>
  <c r="J32" i="6"/>
  <c r="J54" i="5"/>
  <c r="J30" i="2"/>
  <c r="J10" i="2"/>
  <c r="N31" i="5"/>
  <c r="N8" i="4"/>
  <c r="J96" i="5"/>
  <c r="N108" i="4"/>
  <c r="N42" i="3"/>
  <c r="J63" i="6"/>
  <c r="N74" i="6"/>
  <c r="J97" i="4"/>
  <c r="J63" i="2"/>
  <c r="N63" i="6"/>
  <c r="J97" i="3"/>
  <c r="J19" i="6"/>
  <c r="N76" i="5"/>
  <c r="J42" i="3"/>
  <c r="J107" i="2"/>
  <c r="N74" i="2"/>
  <c r="J53" i="6"/>
  <c r="J86" i="3"/>
  <c r="J74" i="6"/>
  <c r="N97" i="4"/>
  <c r="N63" i="2"/>
  <c r="J108" i="4"/>
  <c r="N86" i="4"/>
  <c r="J85" i="6"/>
  <c r="J53" i="3"/>
  <c r="N20" i="3"/>
  <c r="N76" i="4"/>
  <c r="N86" i="2"/>
  <c r="N107" i="2"/>
  <c r="N96" i="5"/>
  <c r="J32" i="4"/>
  <c r="N30" i="2"/>
  <c r="J76" i="5"/>
  <c r="J96" i="6"/>
  <c r="N10" i="2"/>
  <c r="J76" i="4"/>
  <c r="N86" i="3"/>
  <c r="J10" i="6"/>
  <c r="J107" i="6"/>
  <c r="J41" i="6"/>
  <c r="N32" i="4"/>
  <c r="J85" i="5"/>
  <c r="N19" i="4"/>
  <c r="N10" i="6"/>
  <c r="N41" i="6"/>
  <c r="J34" i="4"/>
  <c r="J35" i="4"/>
  <c r="N96" i="6"/>
  <c r="J86" i="2"/>
  <c r="N41" i="5"/>
  <c r="N107" i="6"/>
  <c r="J74" i="2"/>
  <c r="J12" i="6"/>
  <c r="J13" i="6"/>
  <c r="B21" i="6"/>
  <c r="B43" i="5"/>
  <c r="B109" i="3"/>
  <c r="B98" i="6"/>
  <c r="B98" i="2"/>
  <c r="B10" i="5"/>
  <c r="B21" i="4"/>
  <c r="B87" i="5"/>
  <c r="B54" i="2"/>
  <c r="B87" i="6"/>
  <c r="B76" i="6"/>
  <c r="B10" i="4"/>
  <c r="B32" i="2"/>
  <c r="B98" i="5"/>
  <c r="B65" i="6"/>
  <c r="B43" i="6"/>
  <c r="B109" i="2"/>
  <c r="B109" i="6"/>
  <c r="B65" i="2"/>
  <c r="B76" i="2"/>
  <c r="H21" i="2"/>
  <c r="M43" i="3"/>
  <c r="L75" i="6"/>
  <c r="D64" i="6"/>
  <c r="H108" i="6"/>
  <c r="H53" i="2"/>
  <c r="D98" i="4"/>
  <c r="L98" i="4"/>
  <c r="H98" i="4"/>
  <c r="H97" i="5"/>
  <c r="M108" i="3"/>
  <c r="L9" i="5"/>
  <c r="D9" i="5"/>
  <c r="L108" i="2"/>
  <c r="M109" i="4"/>
  <c r="L43" i="4"/>
  <c r="D21" i="2"/>
  <c r="H43" i="3"/>
  <c r="H75" i="6"/>
  <c r="M64" i="6"/>
  <c r="D108" i="6"/>
  <c r="L97" i="6"/>
  <c r="M98" i="4"/>
  <c r="M97" i="2"/>
  <c r="M54" i="6"/>
  <c r="H21" i="3"/>
  <c r="D97" i="2"/>
  <c r="M87" i="3"/>
  <c r="H87" i="3"/>
  <c r="H64" i="6"/>
  <c r="L21" i="2"/>
  <c r="D43" i="3"/>
  <c r="D75" i="6"/>
  <c r="M64" i="2"/>
  <c r="M31" i="2"/>
  <c r="M53" i="2"/>
  <c r="D42" i="5"/>
  <c r="M97" i="5"/>
  <c r="D86" i="6"/>
  <c r="M9" i="5"/>
  <c r="H9" i="5"/>
  <c r="M21" i="2"/>
  <c r="M98" i="3"/>
  <c r="M86" i="5"/>
  <c r="M87" i="4"/>
  <c r="L64" i="2"/>
  <c r="L54" i="3"/>
  <c r="M42" i="5"/>
  <c r="H42" i="5"/>
  <c r="H97" i="2"/>
  <c r="H42" i="6"/>
  <c r="D20" i="4"/>
  <c r="H108" i="2"/>
  <c r="M20" i="4"/>
  <c r="D32" i="5"/>
  <c r="M108" i="6"/>
  <c r="H98" i="3"/>
  <c r="M9" i="4"/>
  <c r="L87" i="4"/>
  <c r="H64" i="2"/>
  <c r="H97" i="6"/>
  <c r="D31" i="2"/>
  <c r="L97" i="2"/>
  <c r="M42" i="6"/>
  <c r="H86" i="6"/>
  <c r="L42" i="6"/>
  <c r="L87" i="3"/>
  <c r="H65" i="5"/>
  <c r="H65" i="3"/>
  <c r="D43" i="4"/>
  <c r="H32" i="5"/>
  <c r="L108" i="6"/>
  <c r="M20" i="6"/>
  <c r="L98" i="3"/>
  <c r="L86" i="5"/>
  <c r="L9" i="4"/>
  <c r="H87" i="4"/>
  <c r="D64" i="2"/>
  <c r="D54" i="3"/>
  <c r="D21" i="3"/>
  <c r="L97" i="5"/>
  <c r="D108" i="3"/>
  <c r="L87" i="2"/>
  <c r="H87" i="2"/>
  <c r="M32" i="5"/>
  <c r="D65" i="3"/>
  <c r="L64" i="6"/>
  <c r="M75" i="6"/>
  <c r="L20" i="6"/>
  <c r="D98" i="3"/>
  <c r="H86" i="5"/>
  <c r="H9" i="4"/>
  <c r="D87" i="4"/>
  <c r="H54" i="3"/>
  <c r="L75" i="2"/>
  <c r="H31" i="2"/>
  <c r="H75" i="2"/>
  <c r="L54" i="6"/>
  <c r="D97" i="5"/>
  <c r="D87" i="2"/>
  <c r="L65" i="3"/>
  <c r="M86" i="6"/>
  <c r="D109" i="4"/>
  <c r="L109" i="4"/>
  <c r="H109" i="4"/>
  <c r="H20" i="4"/>
  <c r="H20" i="6"/>
  <c r="D86" i="5"/>
  <c r="D9" i="4"/>
  <c r="M54" i="3"/>
  <c r="D75" i="2"/>
  <c r="M75" i="2"/>
  <c r="L31" i="2"/>
  <c r="L42" i="5"/>
  <c r="M21" i="3"/>
  <c r="L86" i="6"/>
  <c r="M108" i="2"/>
  <c r="D65" i="5"/>
  <c r="L32" i="5"/>
  <c r="M43" i="4"/>
  <c r="L43" i="3"/>
  <c r="D20" i="6"/>
  <c r="M97" i="6"/>
  <c r="L53" i="2"/>
  <c r="D97" i="6"/>
  <c r="D53" i="2"/>
  <c r="L21" i="3"/>
  <c r="D54" i="6"/>
  <c r="H108" i="3"/>
  <c r="H54" i="6"/>
  <c r="L108" i="3"/>
  <c r="M65" i="5"/>
  <c r="D87" i="3"/>
  <c r="M87" i="2"/>
  <c r="D42" i="6"/>
  <c r="L65" i="5"/>
  <c r="D108" i="2"/>
  <c r="L20" i="4"/>
  <c r="M65" i="3"/>
  <c r="H43" i="4"/>
  <c r="P21" i="2"/>
  <c r="P18" i="2"/>
  <c r="P29" i="5"/>
  <c r="P32" i="5"/>
  <c r="P40" i="3"/>
  <c r="P43" i="3"/>
  <c r="P18" i="3"/>
  <c r="P21" i="3"/>
  <c r="P43" i="4"/>
  <c r="P40" i="4"/>
  <c r="J43" i="4" l="1"/>
  <c r="N65" i="3"/>
  <c r="N87" i="2"/>
  <c r="N65" i="5"/>
  <c r="J54" i="6"/>
  <c r="J108" i="3"/>
  <c r="N97" i="6"/>
  <c r="N43" i="4"/>
  <c r="N108" i="2"/>
  <c r="N21" i="3"/>
  <c r="N75" i="2"/>
  <c r="N54" i="3"/>
  <c r="J20" i="6"/>
  <c r="J20" i="4"/>
  <c r="J109" i="4"/>
  <c r="N86" i="6"/>
  <c r="J75" i="2"/>
  <c r="J31" i="2"/>
  <c r="J54" i="3"/>
  <c r="J9" i="4"/>
  <c r="J86" i="5"/>
  <c r="N75" i="6"/>
  <c r="N32" i="5"/>
  <c r="J87" i="2"/>
  <c r="J24" i="3"/>
  <c r="J23" i="3"/>
  <c r="J87" i="4"/>
  <c r="N20" i="6"/>
  <c r="J32" i="5"/>
  <c r="J46" i="4"/>
  <c r="J45" i="4"/>
  <c r="J65" i="3"/>
  <c r="J65" i="5"/>
  <c r="J86" i="6"/>
  <c r="N42" i="6"/>
  <c r="J97" i="6"/>
  <c r="J64" i="2"/>
  <c r="N9" i="4"/>
  <c r="J98" i="3"/>
  <c r="N108" i="6"/>
  <c r="J35" i="5"/>
  <c r="J34" i="5"/>
  <c r="N20" i="4"/>
  <c r="J108" i="2"/>
  <c r="J42" i="6"/>
  <c r="J97" i="2"/>
  <c r="J42" i="5"/>
  <c r="N42" i="5"/>
  <c r="N87" i="4"/>
  <c r="N86" i="5"/>
  <c r="N98" i="3"/>
  <c r="N21" i="2"/>
  <c r="J9" i="5"/>
  <c r="N9" i="5"/>
  <c r="N97" i="5"/>
  <c r="N53" i="2"/>
  <c r="N31" i="2"/>
  <c r="N64" i="2"/>
  <c r="J45" i="3"/>
  <c r="J46" i="3"/>
  <c r="J64" i="6"/>
  <c r="J87" i="3"/>
  <c r="N87" i="3"/>
  <c r="J21" i="3"/>
  <c r="N54" i="6"/>
  <c r="N97" i="2"/>
  <c r="N98" i="4"/>
  <c r="N64" i="6"/>
  <c r="J75" i="6"/>
  <c r="J43" i="3"/>
  <c r="J24" i="2"/>
  <c r="J23" i="2"/>
  <c r="N109" i="4"/>
  <c r="N108" i="3"/>
  <c r="J97" i="5"/>
  <c r="J98" i="4"/>
  <c r="J53" i="2"/>
  <c r="J108" i="6"/>
  <c r="N43" i="3"/>
  <c r="J21" i="2"/>
  <c r="H109" i="3"/>
  <c r="H87" i="6"/>
  <c r="H98" i="2"/>
  <c r="L43" i="5"/>
  <c r="M109" i="2"/>
  <c r="L98" i="5"/>
  <c r="H21" i="6"/>
  <c r="H76" i="6"/>
  <c r="H10" i="5"/>
  <c r="D109" i="3"/>
  <c r="D87" i="6"/>
  <c r="D98" i="2"/>
  <c r="L43" i="6"/>
  <c r="D109" i="2"/>
  <c r="M43" i="5"/>
  <c r="D87" i="5"/>
  <c r="L87" i="5"/>
  <c r="L98" i="6"/>
  <c r="H98" i="6"/>
  <c r="M109" i="6"/>
  <c r="L109" i="3"/>
  <c r="M109" i="3"/>
  <c r="H10" i="4"/>
  <c r="D43" i="6"/>
  <c r="D43" i="5"/>
  <c r="H109" i="2"/>
  <c r="H76" i="2"/>
  <c r="L32" i="2"/>
  <c r="H54" i="2"/>
  <c r="D109" i="6"/>
  <c r="L87" i="6"/>
  <c r="M43" i="6"/>
  <c r="H43" i="6"/>
  <c r="H43" i="5"/>
  <c r="L109" i="2"/>
  <c r="D21" i="6"/>
  <c r="D98" i="6"/>
  <c r="M10" i="5"/>
  <c r="D65" i="6"/>
  <c r="M87" i="6"/>
  <c r="M98" i="5"/>
  <c r="H87" i="5"/>
  <c r="L109" i="6"/>
  <c r="D98" i="5"/>
  <c r="M87" i="5"/>
  <c r="L76" i="2"/>
  <c r="M21" i="6"/>
  <c r="L10" i="5"/>
  <c r="L65" i="2"/>
  <c r="H65" i="2"/>
  <c r="M98" i="2"/>
  <c r="H98" i="5"/>
  <c r="L21" i="6"/>
  <c r="L54" i="2"/>
  <c r="D10" i="5"/>
  <c r="H109" i="6"/>
  <c r="L76" i="6"/>
  <c r="M76" i="2"/>
  <c r="D76" i="2"/>
  <c r="M54" i="2"/>
  <c r="D54" i="2"/>
  <c r="D32" i="2"/>
  <c r="D65" i="2"/>
  <c r="M65" i="2"/>
  <c r="L98" i="2"/>
  <c r="M76" i="6"/>
  <c r="D76" i="6"/>
  <c r="H21" i="4"/>
  <c r="L10" i="4"/>
  <c r="H65" i="6"/>
  <c r="M21" i="4"/>
  <c r="M98" i="6"/>
  <c r="D10" i="4"/>
  <c r="L21" i="4"/>
  <c r="M10" i="4"/>
  <c r="D21" i="4"/>
  <c r="M32" i="2"/>
  <c r="H32" i="2"/>
  <c r="M65" i="6"/>
  <c r="L65" i="6"/>
  <c r="P43" i="6"/>
  <c r="P40" i="6"/>
  <c r="P40" i="5"/>
  <c r="P43" i="5"/>
  <c r="P18" i="6"/>
  <c r="P21" i="6"/>
  <c r="P10" i="5"/>
  <c r="P7" i="5"/>
  <c r="P7" i="4"/>
  <c r="P10" i="4"/>
  <c r="P21" i="4"/>
  <c r="P18" i="4"/>
  <c r="P32" i="2"/>
  <c r="P29" i="2"/>
  <c r="N65" i="6" l="1"/>
  <c r="J32" i="2"/>
  <c r="N32" i="2"/>
  <c r="J23" i="4"/>
  <c r="J24" i="4"/>
  <c r="N10" i="4"/>
  <c r="J13" i="4"/>
  <c r="J12" i="4"/>
  <c r="N98" i="6"/>
  <c r="N21" i="4"/>
  <c r="J65" i="6"/>
  <c r="J21" i="4"/>
  <c r="N76" i="6"/>
  <c r="N65" i="2"/>
  <c r="J34" i="2"/>
  <c r="J35" i="2"/>
  <c r="N54" i="2"/>
  <c r="N76" i="2"/>
  <c r="J109" i="6"/>
  <c r="J12" i="5"/>
  <c r="J13" i="5"/>
  <c r="J98" i="5"/>
  <c r="N98" i="2"/>
  <c r="J65" i="2"/>
  <c r="N21" i="6"/>
  <c r="N87" i="5"/>
  <c r="J87" i="5"/>
  <c r="N98" i="5"/>
  <c r="N87" i="6"/>
  <c r="N10" i="5"/>
  <c r="J23" i="6"/>
  <c r="J24" i="6"/>
  <c r="J43" i="5"/>
  <c r="J43" i="6"/>
  <c r="N43" i="6"/>
  <c r="J54" i="2"/>
  <c r="J76" i="2"/>
  <c r="J109" i="2"/>
  <c r="J45" i="5"/>
  <c r="J46" i="5"/>
  <c r="J45" i="6"/>
  <c r="J46" i="6"/>
  <c r="J10" i="4"/>
  <c r="N109" i="3"/>
  <c r="N109" i="6"/>
  <c r="J98" i="6"/>
  <c r="N43" i="5"/>
  <c r="J10" i="5"/>
  <c r="J76" i="6"/>
  <c r="J21" i="6"/>
  <c r="N109" i="2"/>
  <c r="J98" i="2"/>
  <c r="J87" i="6"/>
  <c r="J109" i="3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<sst xmlns="http://schemas.openxmlformats.org/spreadsheetml/2006/main" count="7258" uniqueCount="189">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</sst>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5-4DC4-9396-ACF832B57BA7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37.669207999999998</c:v>
                </c:pt>
                <c:pt idx="1">
                  <c:v>54.348312000000007</c:v>
                </c:pt>
                <c:pt idx="2">
                  <c:v>78.646751999999992</c:v>
                </c:pt>
                <c:pt idx="3">
                  <c:v>111.692984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27.687295466666662</c:v>
                </c:pt>
                <c:pt idx="1">
                  <c:v>31.687974399999995</c:v>
                </c:pt>
                <c:pt idx="2">
                  <c:v>36.981753600000005</c:v>
                </c:pt>
                <c:pt idx="3">
                  <c:v>40.185129400000001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05-4DC4-9396-ACF832B57B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05-4DC4-9396-ACF832B57B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05-4DC4-9396-ACF832B57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6F-4D58-B996-47457334E2D1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27.394896000000006</c:v>
                </c:pt>
                <c:pt idx="1">
                  <c:v>39.657400000000003</c:v>
                </c:pt>
                <c:pt idx="2">
                  <c:v>59.463824000000002</c:v>
                </c:pt>
                <c:pt idx="3">
                  <c:v>86.89276000000001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30.511596857142859</c:v>
                </c:pt>
                <c:pt idx="1">
                  <c:v>33.905802333333334</c:v>
                </c:pt>
                <c:pt idx="2">
                  <c:v>37.84702442857143</c:v>
                </c:pt>
                <c:pt idx="3">
                  <c:v>42.095119714285708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6F-4D58-B996-47457334E2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6F-4D58-B996-47457334E2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6F-4D58-B996-47457334E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B-4E0D-9A02-7D426C1708B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28.244176</c:v>
                </c:pt>
                <c:pt idx="1">
                  <c:v>41.041400000000003</c:v>
                </c:pt>
                <c:pt idx="2">
                  <c:v>61.764568000000004</c:v>
                </c:pt>
                <c:pt idx="3">
                  <c:v>90.306032000000002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30.572721761904763</c:v>
                </c:pt>
                <c:pt idx="1">
                  <c:v>33.905323285714282</c:v>
                </c:pt>
                <c:pt idx="2">
                  <c:v>37.98867228571428</c:v>
                </c:pt>
                <c:pt idx="3">
                  <c:v>41.91286780952381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3B-4E0D-9A02-7D426C1708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3B-4E0D-9A02-7D426C1708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3B-4E0D-9A02-7D426C17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F-419F-AA4A-FE68CADF8B75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F-419F-AA4A-FE68CADF8B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7F-419F-AA4A-FE68CADF8B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7F-419F-AA4A-FE68CADF8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29-4527-88D1-417B5BE94E2F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29-4527-88D1-417B5BE94E2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29-4527-88D1-417B5BE94E2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29-4527-88D1-417B5BE94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B0-43C4-B19B-3C58F312E27A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B0-43C4-B19B-3C58F312E2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B0-43C4-B19B-3C58F312E2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B0-43C4-B19B-3C58F312E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D-4E73-B4C7-DB3B3EB70B4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D-4E73-B4C7-DB3B3EB70B4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D-4E73-B4C7-DB3B3EB70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C0-4E5F-89AF-407B97F637B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C0-4E5F-89AF-407B97F637B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C0-4E5F-89AF-407B97F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94-4A8D-AB2F-681F2E8B7CF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94-4A8D-AB2F-681F2E8B7CF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94-4A8D-AB2F-681F2E8B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26-400E-AD29-9FDBDA71893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36.787760000000006</c:v>
                </c:pt>
                <c:pt idx="1">
                  <c:v>52.94578400000001</c:v>
                </c:pt>
                <c:pt idx="2">
                  <c:v>76.417287999999999</c:v>
                </c:pt>
                <c:pt idx="3">
                  <c:v>108.45029599999999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27.7599406</c:v>
                </c:pt>
                <c:pt idx="1">
                  <c:v>31.600912133333335</c:v>
                </c:pt>
                <c:pt idx="2">
                  <c:v>37.062063866666662</c:v>
                </c:pt>
                <c:pt idx="3">
                  <c:v>40.473641000000001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26-400E-AD29-9FDBDA71893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26-400E-AD29-9FDBDA71893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26-400E-AD29-9FDBDA718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8E-4E98-8C40-5516B8766A3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37.669207999999998</c:v>
                </c:pt>
                <c:pt idx="1">
                  <c:v>54.348312000000007</c:v>
                </c:pt>
                <c:pt idx="2">
                  <c:v>78.646751999999992</c:v>
                </c:pt>
                <c:pt idx="3">
                  <c:v>111.692984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33.680618000000003</c:v>
                </c:pt>
                <c:pt idx="1">
                  <c:v>36.592771666666664</c:v>
                </c:pt>
                <c:pt idx="2">
                  <c:v>40.741113333333338</c:v>
                </c:pt>
                <c:pt idx="3">
                  <c:v>43.637844666666659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8E-4E98-8C40-5516B8766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8E-4E98-8C40-5516B8766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8E-4E98-8C40-5516B8766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D-411D-A39F-CEDBA199E800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27.394896000000006</c:v>
                </c:pt>
                <c:pt idx="1">
                  <c:v>39.657400000000003</c:v>
                </c:pt>
                <c:pt idx="2">
                  <c:v>59.463824000000002</c:v>
                </c:pt>
                <c:pt idx="3">
                  <c:v>86.89276000000001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34.375068190476192</c:v>
                </c:pt>
                <c:pt idx="1">
                  <c:v>37.264565142857151</c:v>
                </c:pt>
                <c:pt idx="2">
                  <c:v>41.178423761904774</c:v>
                </c:pt>
                <c:pt idx="3">
                  <c:v>45.171888047619049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AD-411D-A39F-CEDBA199E8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AD-411D-A39F-CEDBA199E8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AD-411D-A39F-CEDBA199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9-43FC-BF61-D558EFD0FCEC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28.244176</c:v>
                </c:pt>
                <c:pt idx="1">
                  <c:v>41.041400000000003</c:v>
                </c:pt>
                <c:pt idx="2">
                  <c:v>61.764568000000004</c:v>
                </c:pt>
                <c:pt idx="3">
                  <c:v>90.306032000000002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34.42712785714285</c:v>
                </c:pt>
                <c:pt idx="1">
                  <c:v>37.239027571428565</c:v>
                </c:pt>
                <c:pt idx="2">
                  <c:v>41.340832190476192</c:v>
                </c:pt>
                <c:pt idx="3">
                  <c:v>45.044387857142858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59-43FC-BF61-D558EFD0FC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59-43FC-BF61-D558EFD0FC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59-43FC-BF61-D558EFD0F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27-481C-A2AF-078E8FA860BC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27-481C-A2AF-078E8FA860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27-481C-A2AF-078E8FA860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27-481C-A2AF-078E8FA86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67-46D0-B8B1-0482B5092B38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67-46D0-B8B1-0482B5092B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67-46D0-B8B1-0482B5092B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67-46D0-B8B1-0482B5092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F-47D9-85EA-D92DA20684C2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F-47D9-85EA-D92DA20684C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9F-47D9-85EA-D92DA20684C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9F-47D9-85EA-D92DA2068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A8-42B6-A9EA-E43033D566C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A8-42B6-A9EA-E43033D566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A8-42B6-A9EA-E43033D566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A8-42B6-A9EA-E43033D5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1-422D-939A-5510CCAFB99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D1-422D-939A-5510CCAFB9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D1-422D-939A-5510CCAFB9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D1-422D-939A-5510CCAFB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88-45F2-A69F-AE5D1834C6C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88-45F2-A69F-AE5D1834C6C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88-45F2-A69F-AE5D1834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0-4359-8C10-32138C0146EF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36.787760000000006</c:v>
                </c:pt>
                <c:pt idx="1">
                  <c:v>52.94578400000001</c:v>
                </c:pt>
                <c:pt idx="2">
                  <c:v>76.417287999999999</c:v>
                </c:pt>
                <c:pt idx="3">
                  <c:v>108.45029599999999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33.745265066666668</c:v>
                </c:pt>
                <c:pt idx="1">
                  <c:v>36.565073933333331</c:v>
                </c:pt>
                <c:pt idx="2">
                  <c:v>40.844517333333336</c:v>
                </c:pt>
                <c:pt idx="3">
                  <c:v>43.887290866666667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0-4359-8C10-32138C0146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0-4359-8C10-32138C0146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A0-4359-8C10-32138C01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8-4E0B-911A-A99FAD29470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37.669207999999998</c:v>
                </c:pt>
                <c:pt idx="1">
                  <c:v>54.348312000000007</c:v>
                </c:pt>
                <c:pt idx="2">
                  <c:v>78.646751999999992</c:v>
                </c:pt>
                <c:pt idx="3">
                  <c:v>111.692984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0.95690532333333322</c:v>
                </c:pt>
                <c:pt idx="1">
                  <c:v>0.9750333040000001</c:v>
                </c:pt>
                <c:pt idx="2">
                  <c:v>0.9876815613333334</c:v>
                </c:pt>
                <c:pt idx="3">
                  <c:v>0.99207323933333336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78-4E0B-911A-A99FAD2947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78-4E0B-911A-A99FAD2947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78-4E0B-911A-A99FAD294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94-422A-B3B9-97B5765BC8CA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27.394896000000006</c:v>
                </c:pt>
                <c:pt idx="1">
                  <c:v>39.657400000000003</c:v>
                </c:pt>
                <c:pt idx="2">
                  <c:v>59.463824000000002</c:v>
                </c:pt>
                <c:pt idx="3">
                  <c:v>86.89276000000001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0.9669116276190477</c:v>
                </c:pt>
                <c:pt idx="1">
                  <c:v>0.97995126476190486</c:v>
                </c:pt>
                <c:pt idx="2">
                  <c:v>0.98912837380952379</c:v>
                </c:pt>
                <c:pt idx="3">
                  <c:v>0.99388002904761885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94-422A-B3B9-97B5765BC8C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94-422A-B3B9-97B5765BC8C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94-422A-B3B9-97B5765BC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7E-4CE7-8ADF-B5EA8956D5A5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28.244176</c:v>
                </c:pt>
                <c:pt idx="1">
                  <c:v>41.041400000000003</c:v>
                </c:pt>
                <c:pt idx="2">
                  <c:v>61.764568000000004</c:v>
                </c:pt>
                <c:pt idx="3">
                  <c:v>90.306032000000002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0.96575524142857161</c:v>
                </c:pt>
                <c:pt idx="1">
                  <c:v>0.97903388857142881</c:v>
                </c:pt>
                <c:pt idx="2">
                  <c:v>0.98879018095238114</c:v>
                </c:pt>
                <c:pt idx="3">
                  <c:v>0.99359927523809521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7E-4CE7-8ADF-B5EA8956D5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7E-4CE7-8ADF-B5EA8956D5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7E-4CE7-8ADF-B5EA8956D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7A-4B3E-84A0-663DE9D0628E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7A-4B3E-84A0-663DE9D062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7A-4B3E-84A0-663DE9D062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A-4B3E-84A0-663DE9D06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C-449F-A77E-2A4E2B0670EE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C-449F-A77E-2A4E2B0670E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7C-449F-A77E-2A4E2B0670E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C-449F-A77E-2A4E2B067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A-4B67-BAE5-158F6096EF6A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8A-4B67-BAE5-158F6096EF6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A-4B67-BAE5-158F6096EF6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A-4B67-BAE5-158F6096E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9-4A05-980A-54337C3D565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F9-4A05-980A-54337C3D565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F9-4A05-980A-54337C3D5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6-4A0D-A5AD-7793FDD7BB3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6-4A0D-A5AD-7793FDD7BB3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6-4A0D-A5AD-7793FDD7B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74-48B5-9BF2-4AADCB64F1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74-48B5-9BF2-4AADCB64F1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74-48B5-9BF2-4AADCB64F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13-45ED-920D-D54C339C21D1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36.787760000000006</c:v>
                </c:pt>
                <c:pt idx="1">
                  <c:v>52.94578400000001</c:v>
                </c:pt>
                <c:pt idx="2">
                  <c:v>76.417287999999999</c:v>
                </c:pt>
                <c:pt idx="3">
                  <c:v>108.45029599999999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0.95825294666666661</c:v>
                </c:pt>
                <c:pt idx="1">
                  <c:v>0.97573144866666672</c:v>
                </c:pt>
                <c:pt idx="2">
                  <c:v>0.98818344199999997</c:v>
                </c:pt>
                <c:pt idx="3">
                  <c:v>0.99252942933333321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13-45ED-920D-D54C339C21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13-45ED-920D-D54C339C21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13-45ED-920D-D54C339C2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88-4676-93E9-426979077C1A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37.669207999999998</c:v>
                </c:pt>
                <c:pt idx="1">
                  <c:v>54.348312000000007</c:v>
                </c:pt>
                <c:pt idx="2">
                  <c:v>78.646751999999992</c:v>
                </c:pt>
                <c:pt idx="3">
                  <c:v>111.692984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0.95518765600000011</c:v>
                </c:pt>
                <c:pt idx="1">
                  <c:v>0.97414997266666647</c:v>
                </c:pt>
                <c:pt idx="2">
                  <c:v>0.99056032866666677</c:v>
                </c:pt>
                <c:pt idx="3">
                  <c:v>0.99596679066666671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88-4676-93E9-426979077C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88-4676-93E9-426979077C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88-4676-93E9-426979077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F6-4DAC-84A6-4F7E7081ED6E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27.394896000000006</c:v>
                </c:pt>
                <c:pt idx="1">
                  <c:v>39.657400000000003</c:v>
                </c:pt>
                <c:pt idx="2">
                  <c:v>59.463824000000002</c:v>
                </c:pt>
                <c:pt idx="3">
                  <c:v>86.89276000000001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0.97366310619047625</c:v>
                </c:pt>
                <c:pt idx="1">
                  <c:v>0.98464407523809527</c:v>
                </c:pt>
                <c:pt idx="2">
                  <c:v>0.99260079523809519</c:v>
                </c:pt>
                <c:pt idx="3">
                  <c:v>0.99637554904761894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F6-4DAC-84A6-4F7E7081ED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F6-4DAC-84A6-4F7E7081ED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F6-4DAC-84A6-4F7E7081E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C-4E3C-B7A1-81068EFDB805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28.244176</c:v>
                </c:pt>
                <c:pt idx="1">
                  <c:v>41.041400000000003</c:v>
                </c:pt>
                <c:pt idx="2">
                  <c:v>61.764568000000004</c:v>
                </c:pt>
                <c:pt idx="3">
                  <c:v>90.306032000000002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0.97300443571428574</c:v>
                </c:pt>
                <c:pt idx="1">
                  <c:v>0.98438194619047636</c:v>
                </c:pt>
                <c:pt idx="2">
                  <c:v>0.9925065428571429</c:v>
                </c:pt>
                <c:pt idx="3">
                  <c:v>0.99625031857142843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2C-4E3C-B7A1-81068EFDB80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2C-4E3C-B7A1-81068EFDB80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2C-4E3C-B7A1-81068EFDB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F9-4652-9954-8ADAA9D63E53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F9-4652-9954-8ADAA9D63E5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F9-4652-9954-8ADAA9D63E5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F9-4652-9954-8ADAA9D63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9-4F0D-AC6D-4FAD2C1E7593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09-4F0D-AC6D-4FAD2C1E75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09-4F0D-AC6D-4FAD2C1E75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9-4F0D-AC6D-4FAD2C1E7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9-427C-B170-636278EBD5F3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9-427C-B170-636278EBD5F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79-427C-B170-636278EBD5F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9-427C-B170-636278EBD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3A-481C-A11B-C731E10B7648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3A-481C-A11B-C731E10B764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3A-481C-A11B-C731E10B764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3A-481C-A11B-C731E10B7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31-4B95-BB6E-B28532F22E3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31-4B95-BB6E-B28532F22E3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31-4B95-BB6E-B28532F2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64-423B-AAF3-510F093E721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64-423B-AAF3-510F093E721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64-423B-AAF3-510F093E7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07-4995-A039-0C57F84BCE3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7-4995-A039-0C57F84BCE3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07-4995-A039-0C57F84B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7-41B3-84F5-ABEB009BB926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36.787760000000006</c:v>
                </c:pt>
                <c:pt idx="1">
                  <c:v>52.94578400000001</c:v>
                </c:pt>
                <c:pt idx="2">
                  <c:v>76.417287999999999</c:v>
                </c:pt>
                <c:pt idx="3">
                  <c:v>108.45029599999999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0.95571888800000004</c:v>
                </c:pt>
                <c:pt idx="1">
                  <c:v>0.97371179666666652</c:v>
                </c:pt>
                <c:pt idx="2">
                  <c:v>0.99078550199999982</c:v>
                </c:pt>
                <c:pt idx="3">
                  <c:v>0.99610486266666698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07-41B3-84F5-ABEB009BB9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07-41B3-84F5-ABEB009BB9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07-41B3-84F5-ABEB009BB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E5-439A-837F-934813C94F29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37.669207999999998</c:v>
                </c:pt>
                <c:pt idx="1">
                  <c:v>54.348312000000007</c:v>
                </c:pt>
                <c:pt idx="2">
                  <c:v>78.646751999999992</c:v>
                </c:pt>
                <c:pt idx="3">
                  <c:v>111.692984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5.82245438E-2</c:v>
                </c:pt>
                <c:pt idx="1">
                  <c:v>3.3280875466666665E-2</c:v>
                </c:pt>
                <c:pt idx="2">
                  <c:v>1.6805581033333336E-2</c:v>
                </c:pt>
                <c:pt idx="3">
                  <c:v>1.0349745633333332E-2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E5-439A-837F-934813C94F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E5-439A-837F-934813C94F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E5-439A-837F-934813C94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BC-44C1-B3D5-8C82AB76698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27.394896000000006</c:v>
                </c:pt>
                <c:pt idx="1">
                  <c:v>39.657400000000003</c:v>
                </c:pt>
                <c:pt idx="2">
                  <c:v>59.463824000000002</c:v>
                </c:pt>
                <c:pt idx="3">
                  <c:v>86.89276000000001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5.6740653380952383E-2</c:v>
                </c:pt>
                <c:pt idx="1">
                  <c:v>3.6695333571428568E-2</c:v>
                </c:pt>
                <c:pt idx="2">
                  <c:v>2.1109973428571429E-2</c:v>
                </c:pt>
                <c:pt idx="3">
                  <c:v>9.2317984523809533E-3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BC-44C1-B3D5-8C82AB7669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BC-44C1-B3D5-8C82AB7669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27.394896000000006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BC-44C1-B3D5-8C82AB766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B2-4395-BE86-E77A94DA87BD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28.244176</c:v>
                </c:pt>
                <c:pt idx="1">
                  <c:v>41.041400000000003</c:v>
                </c:pt>
                <c:pt idx="2">
                  <c:v>61.764568000000004</c:v>
                </c:pt>
                <c:pt idx="3">
                  <c:v>90.306032000000002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5.7697398761904772E-2</c:v>
                </c:pt>
                <c:pt idx="1">
                  <c:v>3.7325162809523804E-2</c:v>
                </c:pt>
                <c:pt idx="2">
                  <c:v>2.1020285095238095E-2</c:v>
                </c:pt>
                <c:pt idx="3">
                  <c:v>9.6681172857142859E-3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B2-4395-BE86-E77A94DA87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B2-4395-BE86-E77A94DA87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28.244176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B2-4395-BE86-E77A94DA8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0-4A0E-8B81-415D04C48BC9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E0-4A0E-8B81-415D04C48BC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E0-4A0E-8B81-415D04C48BC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E0-4A0E-8B81-415D04C48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43-4937-A01D-4670428E82DF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43-4937-A01D-4670428E82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43-4937-A01D-4670428E82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43-4937-A01D-4670428E8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43-4BBF-9A03-F31415A5788F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43-4BBF-9A03-F31415A578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43-4BBF-9A03-F31415A578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43-4BBF-9A03-F31415A5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AD-4A38-BD77-106C8B859F7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AD-4A38-BD77-106C8B859F7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AD-4A38-BD77-106C8B859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6-4470-893C-B41CBD3A958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6-4470-893C-B41CBD3A958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6-4470-893C-B41CBD3A9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F2-498B-A269-0577017E5A0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F2-498B-A269-0577017E5A0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F2-498B-A269-0577017E5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BB-483A-8393-70219258E45E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36.787760000000006</c:v>
                </c:pt>
                <c:pt idx="1">
                  <c:v>52.94578400000001</c:v>
                </c:pt>
                <c:pt idx="2">
                  <c:v>76.417287999999999</c:v>
                </c:pt>
                <c:pt idx="3">
                  <c:v>108.45029599999999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5.6837977933333332E-2</c:v>
                </c:pt>
                <c:pt idx="1">
                  <c:v>3.2618350666666678E-2</c:v>
                </c:pt>
                <c:pt idx="2">
                  <c:v>1.6302544933333333E-2</c:v>
                </c:pt>
                <c:pt idx="3">
                  <c:v>9.5870879666666662E-3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BB-483A-8393-70219258E4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BB-483A-8393-70219258E4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37.669207999999998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BB-483A-8393-70219258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D25" sqref="D25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-0.11555750071284532</v>
      </c>
      <c r="E9" s="218">
        <f t="shared" ref="E9:E18" ca="1" si="2">INDIRECT($C9&amp;"!AN$5")</f>
        <v>-0.14596526124146192</v>
      </c>
      <c r="F9" s="218">
        <f t="shared" ref="F9:F18" ca="1" si="3">INDIRECT($C9&amp;"!AO$5")</f>
        <v>-6.5067656737436419E-3</v>
      </c>
      <c r="G9" s="218">
        <f t="shared" ref="G9:G18" ca="1" si="4">INDIRECT($C9&amp;"!AP$5")</f>
        <v>-2.6678630607433584E-2</v>
      </c>
      <c r="H9" s="219">
        <f t="shared" ref="H9:H18" ca="1" si="5">INDIRECT($C9&amp;"!AQ$5")</f>
        <v>-0.16361761698364352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-0.11493365834884628</v>
      </c>
      <c r="E10" s="218">
        <f t="shared" ca="1" si="2"/>
        <v>-0.1497231793071887</v>
      </c>
      <c r="F10" s="218">
        <f t="shared" ca="1" si="3"/>
        <v>-8.7966244605730548E-3</v>
      </c>
      <c r="G10" s="218">
        <f t="shared" ca="1" si="4"/>
        <v>-3.6372882015072161E-2</v>
      </c>
      <c r="H10" s="221">
        <f t="shared" ca="1" si="5"/>
        <v>-0.16979408722005684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-0.1230581455814802</v>
      </c>
      <c r="E11" s="218">
        <f t="shared" ca="1" si="2"/>
        <v>-8.9023659053000248E-2</v>
      </c>
      <c r="F11" s="218">
        <f t="shared" ca="1" si="3"/>
        <v>-3.2144644195754024E-3</v>
      </c>
      <c r="G11" s="218">
        <f t="shared" ca="1" si="4"/>
        <v>-2.0087159332287108E-2</v>
      </c>
      <c r="H11" s="221">
        <f t="shared" ca="1" si="5"/>
        <v>-0.14200303214306309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-0.13587544336481072</v>
      </c>
      <c r="E12" s="218">
        <f t="shared" ca="1" si="2"/>
        <v>-0.10155765508125314</v>
      </c>
      <c r="F12" s="218">
        <f t="shared" ca="1" si="3"/>
        <v>-4.3808990114774238E-3</v>
      </c>
      <c r="G12" s="218">
        <f t="shared" ca="1" si="4"/>
        <v>-2.6899141098958967E-2</v>
      </c>
      <c r="H12" s="221">
        <f t="shared" ca="1" si="5"/>
        <v>-0.15493885227869342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abSelected="1" topLeftCell="I1" workbookViewId="0">
      <selection activeCell="N7" sqref="N7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36.787760000000006</v>
      </c>
      <c r="I7" s="10"/>
      <c r="J7" s="228">
        <f ca="1">H7/D7-1</f>
        <v>-6.634862645338746E-3</v>
      </c>
      <c r="L7" s="74">
        <f ca="1">INDIRECT($B7&amp;"!"&amp;L$3&amp;"5")</f>
        <v>27.262733600000001</v>
      </c>
      <c r="M7" s="75">
        <f ca="1">INDIRECT($B7&amp;"!"&amp;M$3&amp;"5")</f>
        <v>27.7599406</v>
      </c>
      <c r="N7" s="76">
        <f ca="1">M7-L7</f>
        <v>0.49720699999999951</v>
      </c>
      <c r="O7" s="226"/>
      <c r="P7" s="228">
        <f ca="1">bdrate(D7:D10,L7:L10,H7:H10,M7:M10)</f>
        <v>-0.11555750071284832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52.94578400000001</v>
      </c>
      <c r="I8" s="10"/>
      <c r="J8" s="228">
        <f ca="1">H8/D8-1</f>
        <v>-5.5898750883863757E-3</v>
      </c>
      <c r="L8" s="74">
        <f ca="1">INDIRECT($B8&amp;"!"&amp;L$3&amp;"6")</f>
        <v>30.5955504</v>
      </c>
      <c r="M8" s="75">
        <f ca="1">INDIRECT($B8&amp;"!"&amp;M$3&amp;"6")</f>
        <v>31.600912133333335</v>
      </c>
      <c r="N8" s="76">
        <f ca="1">M8-L8</f>
        <v>1.0053617333333342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76.417287999999999</v>
      </c>
      <c r="I9" s="10"/>
      <c r="J9" s="228">
        <f ca="1">H9/D9-1</f>
        <v>-4.6376518014016321E-3</v>
      </c>
      <c r="L9" s="74">
        <f ca="1">INDIRECT($B9&amp;"!"&amp;L$3&amp;"7")</f>
        <v>35.178384000000008</v>
      </c>
      <c r="M9" s="75">
        <f ca="1">INDIRECT($B9&amp;"!"&amp;M$3&amp;"7")</f>
        <v>37.062063866666662</v>
      </c>
      <c r="N9" s="76">
        <f ca="1">M9-L9</f>
        <v>1.8836798666666539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108.45029599999999</v>
      </c>
      <c r="I10" s="10"/>
      <c r="J10" s="228">
        <f ca="1">H10/D10-1</f>
        <v>-3.7826943021707082E-3</v>
      </c>
      <c r="L10" s="74">
        <f ca="1">INDIRECT($B10&amp;"!"&amp;L$3&amp;"8")</f>
        <v>37.847506266666663</v>
      </c>
      <c r="M10" s="75">
        <f ca="1">INDIRECT($B10&amp;"!"&amp;M$3&amp;"8")</f>
        <v>40.473641000000001</v>
      </c>
      <c r="N10" s="76">
        <f ca="1">M10-L10</f>
        <v>2.6261347333333376</v>
      </c>
      <c r="O10" s="226"/>
      <c r="P10" s="231">
        <f ca="1">bdrate(L7:L10,D7:D10,M7:M10,H7:H10)</f>
        <v>4.953578191157737E-2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36.787760000000006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37.669207999999998</v>
      </c>
      <c r="I18" s="10"/>
      <c r="J18" s="228">
        <f ca="1">H18/D18-1</f>
        <v>-7.2736457262272403E-3</v>
      </c>
      <c r="L18" s="74">
        <f ca="1">INDIRECT($B18&amp;"!"&amp;L$3&amp;"5")</f>
        <v>27.225800466666666</v>
      </c>
      <c r="M18" s="75">
        <f ca="1">INDIRECT($B18&amp;"!"&amp;M$3&amp;"5")</f>
        <v>27.687295466666662</v>
      </c>
      <c r="N18" s="76">
        <f ca="1">M18-L18</f>
        <v>0.46149499999999577</v>
      </c>
      <c r="O18" s="226"/>
      <c r="P18" s="228">
        <f ca="1">bdrate(D18:D21,L18:L21,H18:H21,M18:M21)</f>
        <v>-0.11493365834884706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54.348312000000007</v>
      </c>
      <c r="I19" s="10"/>
      <c r="J19" s="228">
        <f ca="1">H19/D19-1</f>
        <v>-6.0944850740197731E-3</v>
      </c>
      <c r="L19" s="74">
        <f ca="1">INDIRECT($B19&amp;"!"&amp;L$3&amp;"6")</f>
        <v>30.717614933333337</v>
      </c>
      <c r="M19" s="75">
        <f ca="1">INDIRECT($B19&amp;"!"&amp;M$3&amp;"6")</f>
        <v>31.687974399999995</v>
      </c>
      <c r="N19" s="76">
        <f ca="1">M19-L19</f>
        <v>0.97035946666665751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78.646751999999992</v>
      </c>
      <c r="I20" s="10"/>
      <c r="J20" s="228">
        <f ca="1">H20/D20-1</f>
        <v>-4.9852739329838691E-3</v>
      </c>
      <c r="L20" s="74">
        <f ca="1">INDIRECT($B20&amp;"!"&amp;L$3&amp;"7")</f>
        <v>35.108155866666671</v>
      </c>
      <c r="M20" s="75">
        <f ca="1">INDIRECT($B20&amp;"!"&amp;M$3&amp;"7")</f>
        <v>36.981753600000005</v>
      </c>
      <c r="N20" s="76">
        <f ca="1">M20-L20</f>
        <v>1.8735977333333338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111.692984</v>
      </c>
      <c r="I21" s="10"/>
      <c r="J21" s="228">
        <f ca="1">H21/D21-1</f>
        <v>-4.0239602837230937E-3</v>
      </c>
      <c r="L21" s="74">
        <f ca="1">INDIRECT($B21&amp;"!"&amp;L$3&amp;"8")</f>
        <v>37.605895933333336</v>
      </c>
      <c r="M21" s="75">
        <f ca="1">INDIRECT($B21&amp;"!"&amp;M$3&amp;"8")</f>
        <v>40.185129400000001</v>
      </c>
      <c r="N21" s="76">
        <f ca="1">M21-L21</f>
        <v>2.5792334666666648</v>
      </c>
      <c r="O21" s="226"/>
      <c r="P21" s="231">
        <f ca="1">bdrate(L18:L21,D18:D21,M18:M21,H18:H21)</f>
        <v>4.8937948578579693E-2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37.669207999999998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27.394896000000006</v>
      </c>
      <c r="I29" s="10"/>
      <c r="J29" s="228">
        <f ca="1">H29/D29-1</f>
        <v>-2.2726199987062046E-3</v>
      </c>
      <c r="L29" s="74">
        <f ca="1">INDIRECT($B29&amp;"!"&amp;L$3&amp;"5")</f>
        <v>30.246270333333335</v>
      </c>
      <c r="M29" s="75">
        <f ca="1">INDIRECT($B29&amp;"!"&amp;M$3&amp;"5")</f>
        <v>30.511596857142859</v>
      </c>
      <c r="N29" s="76">
        <f ca="1">M29-L29</f>
        <v>0.26532652380952371</v>
      </c>
      <c r="O29" s="226"/>
      <c r="P29" s="228">
        <f ca="1">bdrate(D29:D32,L29:L32,H29:H32,M29:M32)</f>
        <v>-0.12305814558147699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39.657400000000003</v>
      </c>
      <c r="I30" s="10"/>
      <c r="J30" s="228">
        <f ca="1">H30/D30-1</f>
        <v>-1.8723545114701645E-3</v>
      </c>
      <c r="L30" s="74">
        <f ca="1">INDIRECT($B30&amp;"!"&amp;L$3&amp;"6")</f>
        <v>33.072678761904761</v>
      </c>
      <c r="M30" s="75">
        <f ca="1">INDIRECT($B30&amp;"!"&amp;M$3&amp;"6")</f>
        <v>33.905802333333334</v>
      </c>
      <c r="N30" s="76">
        <f ca="1">M30-L30</f>
        <v>0.83312357142857252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59.463824000000002</v>
      </c>
      <c r="I31" s="10"/>
      <c r="J31" s="228">
        <f ca="1">H31/D31-1</f>
        <v>-1.4803872865092327E-3</v>
      </c>
      <c r="L31" s="74">
        <f ca="1">INDIRECT($B31&amp;"!"&amp;L$3&amp;"7")</f>
        <v>36.281602476190471</v>
      </c>
      <c r="M31" s="75">
        <f ca="1">INDIRECT($B31&amp;"!"&amp;M$3&amp;"7")</f>
        <v>37.84702442857143</v>
      </c>
      <c r="N31" s="76">
        <f ca="1">M31-L31</f>
        <v>1.5654219523809587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86.89276000000001</v>
      </c>
      <c r="I32" s="10"/>
      <c r="J32" s="228">
        <f ca="1">H32/D32-1</f>
        <v>-1.1360179393904435E-3</v>
      </c>
      <c r="L32" s="74">
        <f ca="1">INDIRECT($B32&amp;"!"&amp;L$3&amp;"8")</f>
        <v>39.436459095238085</v>
      </c>
      <c r="M32" s="75">
        <f ca="1">INDIRECT($B32&amp;"!"&amp;M$3&amp;"8")</f>
        <v>42.095119714285708</v>
      </c>
      <c r="N32" s="76">
        <f ca="1">M32-L32</f>
        <v>2.6586606190476232</v>
      </c>
      <c r="O32" s="226"/>
      <c r="P32" s="231">
        <f ca="1">bdrate(L29:L32,D29:D32,M29:M32,H29:H32)</f>
        <v>4.0878066919447287E-2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27.394896000000006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28.244176</v>
      </c>
      <c r="I40" s="10"/>
      <c r="J40" s="228">
        <f ca="1">H40/D40-1</f>
        <v>-2.5663873323754638E-3</v>
      </c>
      <c r="L40" s="74">
        <f ca="1">INDIRECT($B40&amp;"!"&amp;L$3&amp;"5")</f>
        <v>30.214093190476195</v>
      </c>
      <c r="M40" s="75">
        <f ca="1">INDIRECT($B40&amp;"!"&amp;M$3&amp;"5")</f>
        <v>30.572721761904763</v>
      </c>
      <c r="N40" s="76">
        <f ca="1">M40-L40</f>
        <v>0.35862857142856797</v>
      </c>
      <c r="O40" s="226"/>
      <c r="P40" s="228">
        <f ca="1">bdrate(D40:D43,L40:L43,H40:H43,M40:M43)</f>
        <v>-0.13587544336480906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41.041400000000003</v>
      </c>
      <c r="I41" s="10"/>
      <c r="J41" s="228">
        <f ca="1">H41/D41-1</f>
        <v>-2.0687401401724426E-3</v>
      </c>
      <c r="L41" s="74">
        <f ca="1">INDIRECT($B41&amp;"!"&amp;L$3&amp;"6")</f>
        <v>32.999578714285725</v>
      </c>
      <c r="M41" s="75">
        <f ca="1">INDIRECT($B41&amp;"!"&amp;M$3&amp;"6")</f>
        <v>33.905323285714282</v>
      </c>
      <c r="N41" s="76">
        <f ca="1">M41-L41</f>
        <v>0.90574457142855636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61.764568000000004</v>
      </c>
      <c r="I42" s="10"/>
      <c r="J42" s="228">
        <f ca="1">H42/D42-1</f>
        <v>-1.6240513220390218E-3</v>
      </c>
      <c r="L42" s="74">
        <f ca="1">INDIRECT($B42&amp;"!"&amp;L$3&amp;"7")</f>
        <v>36.248342999999991</v>
      </c>
      <c r="M42" s="75">
        <f ca="1">INDIRECT($B42&amp;"!"&amp;M$3&amp;"7")</f>
        <v>37.98867228571428</v>
      </c>
      <c r="N42" s="76">
        <f ca="1">M42-L42</f>
        <v>1.7403292857142887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90.306032000000002</v>
      </c>
      <c r="I43" s="10"/>
      <c r="J43" s="228">
        <f ca="1">H43/D43-1</f>
        <v>-1.2246402105097198E-3</v>
      </c>
      <c r="L43" s="74">
        <f ca="1">INDIRECT($B43&amp;"!"&amp;L$3&amp;"8")</f>
        <v>39.028174857142858</v>
      </c>
      <c r="M43" s="75">
        <f ca="1">INDIRECT($B43&amp;"!"&amp;M$3&amp;"8")</f>
        <v>41.91286780952381</v>
      </c>
      <c r="N43" s="76">
        <f ca="1">M43-L43</f>
        <v>2.8846929523809521</v>
      </c>
      <c r="O43" s="226"/>
      <c r="P43" s="231">
        <f ca="1">bdrate(L40:L43,D40:D43,M40:M43,H40:H43)</f>
        <v>4.5230183972177818E-2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28.244176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36.787760000000006</v>
      </c>
      <c r="I7" s="10"/>
      <c r="J7" s="228">
        <f ca="1">H7/D7-1</f>
        <v>-6.634862645338746E-3</v>
      </c>
      <c r="L7" s="74">
        <f ca="1">INDIRECT($B7&amp;"!"&amp;L$3&amp;"5")</f>
        <v>32.469316800000001</v>
      </c>
      <c r="M7" s="75">
        <f ca="1">INDIRECT($B7&amp;"!"&amp;M$3&amp;"5")</f>
        <v>33.745265066666668</v>
      </c>
      <c r="N7" s="76">
        <f ca="1">M7-L7</f>
        <v>1.2759482666666671</v>
      </c>
      <c r="O7" s="226"/>
      <c r="P7" s="228">
        <f ca="1">bdrate(D7:D10,L7:L10,H7:H10,M7:M10)</f>
        <v>-0.14596526124146225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52.94578400000001</v>
      </c>
      <c r="I8" s="10"/>
      <c r="J8" s="228">
        <f ca="1">H8/D8-1</f>
        <v>-5.5898750883863757E-3</v>
      </c>
      <c r="L8" s="74">
        <f ca="1">INDIRECT($B8&amp;"!"&amp;L$3&amp;"6")</f>
        <v>35.243102133333331</v>
      </c>
      <c r="M8" s="75">
        <f ca="1">INDIRECT($B8&amp;"!"&amp;M$3&amp;"6")</f>
        <v>36.565073933333331</v>
      </c>
      <c r="N8" s="76">
        <f ca="1">M8-L8</f>
        <v>1.3219718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76.417287999999999</v>
      </c>
      <c r="I9" s="10"/>
      <c r="J9" s="228">
        <f ca="1">H9/D9-1</f>
        <v>-4.6376518014016321E-3</v>
      </c>
      <c r="L9" s="74">
        <f ca="1">INDIRECT($B9&amp;"!"&amp;L$3&amp;"7")</f>
        <v>39.28737146666667</v>
      </c>
      <c r="M9" s="75">
        <f ca="1">INDIRECT($B9&amp;"!"&amp;M$3&amp;"7")</f>
        <v>40.844517333333336</v>
      </c>
      <c r="N9" s="76">
        <f ca="1">M9-L9</f>
        <v>1.5571458666666658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108.45029599999999</v>
      </c>
      <c r="I10" s="10"/>
      <c r="J10" s="228">
        <f ca="1">H10/D10-1</f>
        <v>-3.7826943021707082E-3</v>
      </c>
      <c r="L10" s="74">
        <f ca="1">INDIRECT($B10&amp;"!"&amp;L$3&amp;"8")</f>
        <v>41.929521733333331</v>
      </c>
      <c r="M10" s="75">
        <f ca="1">INDIRECT($B10&amp;"!"&amp;M$3&amp;"8")</f>
        <v>43.887290866666667</v>
      </c>
      <c r="N10" s="76">
        <f ca="1">M10-L10</f>
        <v>1.9577691333333362</v>
      </c>
      <c r="O10" s="226"/>
      <c r="P10" s="231">
        <f ca="1">bdrate(L7:L10,D7:D10,M7:M10,H7:H10)</f>
        <v>4.1496982936621851E-2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36.787760000000006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37.669207999999998</v>
      </c>
      <c r="I18" s="10"/>
      <c r="J18" s="228">
        <f ca="1">H18/D18-1</f>
        <v>-7.2736457262272403E-3</v>
      </c>
      <c r="L18" s="74">
        <f ca="1">INDIRECT($B18&amp;"!"&amp;L$3&amp;"5")</f>
        <v>32.321196866666668</v>
      </c>
      <c r="M18" s="75">
        <f ca="1">INDIRECT($B18&amp;"!"&amp;M$3&amp;"5")</f>
        <v>33.680618000000003</v>
      </c>
      <c r="N18" s="76">
        <f ca="1">M18-L18</f>
        <v>1.3594211333333348</v>
      </c>
      <c r="O18" s="226"/>
      <c r="P18" s="228">
        <f ca="1">bdrate(D18:D21,L18:L21,H18:H21,M18:M21)</f>
        <v>-0.1497231793071867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54.348312000000007</v>
      </c>
      <c r="I19" s="10"/>
      <c r="J19" s="228">
        <f ca="1">H19/D19-1</f>
        <v>-6.0944850740197731E-3</v>
      </c>
      <c r="L19" s="74">
        <f ca="1">INDIRECT($B19&amp;"!"&amp;L$3&amp;"6")</f>
        <v>35.232715600000006</v>
      </c>
      <c r="M19" s="75">
        <f ca="1">INDIRECT($B19&amp;"!"&amp;M$3&amp;"6")</f>
        <v>36.592771666666664</v>
      </c>
      <c r="N19" s="76">
        <f ca="1">M19-L19</f>
        <v>1.3600560666666581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78.646751999999992</v>
      </c>
      <c r="I20" s="10"/>
      <c r="J20" s="228">
        <f ca="1">H20/D20-1</f>
        <v>-4.9852739329838691E-3</v>
      </c>
      <c r="L20" s="74">
        <f ca="1">INDIRECT($B20&amp;"!"&amp;L$3&amp;"7")</f>
        <v>39.210842266666667</v>
      </c>
      <c r="M20" s="75">
        <f ca="1">INDIRECT($B20&amp;"!"&amp;M$3&amp;"7")</f>
        <v>40.741113333333338</v>
      </c>
      <c r="N20" s="76">
        <f ca="1">M20-L20</f>
        <v>1.5302710666666712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111.692984</v>
      </c>
      <c r="I21" s="10"/>
      <c r="J21" s="228">
        <f ca="1">H21/D21-1</f>
        <v>-4.0239602837230937E-3</v>
      </c>
      <c r="L21" s="74">
        <f ca="1">INDIRECT($B21&amp;"!"&amp;L$3&amp;"8")</f>
        <v>41.687570999999998</v>
      </c>
      <c r="M21" s="75">
        <f ca="1">INDIRECT($B21&amp;"!"&amp;M$3&amp;"8")</f>
        <v>43.637844666666659</v>
      </c>
      <c r="N21" s="76">
        <f ca="1">M21-L21</f>
        <v>1.9502736666666607</v>
      </c>
      <c r="O21" s="226"/>
      <c r="P21" s="231">
        <f ca="1">bdrate(L18:L21,D18:D21,M18:M21,H18:H21)</f>
        <v>4.1813407908334543E-2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37.669207999999998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27.394896000000006</v>
      </c>
      <c r="I29" s="10"/>
      <c r="J29" s="228">
        <f ca="1">H29/D29-1</f>
        <v>-2.2726199987062046E-3</v>
      </c>
      <c r="L29" s="74">
        <f ca="1">INDIRECT($B29&amp;"!"&amp;L$3&amp;"5")</f>
        <v>33.862599857142854</v>
      </c>
      <c r="M29" s="75">
        <f ca="1">INDIRECT($B29&amp;"!"&amp;M$3&amp;"5")</f>
        <v>34.375068190476192</v>
      </c>
      <c r="N29" s="76">
        <f ca="1">M29-L29</f>
        <v>0.51246833333333797</v>
      </c>
      <c r="O29" s="226"/>
      <c r="P29" s="228">
        <f ca="1">bdrate(D29:D32,L29:L32,H29:H32,M29:M32)</f>
        <v>-8.9023659053000248E-2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39.657400000000003</v>
      </c>
      <c r="I30" s="10"/>
      <c r="J30" s="228">
        <f ca="1">H30/D30-1</f>
        <v>-1.8723545114701645E-3</v>
      </c>
      <c r="L30" s="74">
        <f ca="1">INDIRECT($B30&amp;"!"&amp;L$3&amp;"6")</f>
        <v>36.632195285714296</v>
      </c>
      <c r="M30" s="75">
        <f ca="1">INDIRECT($B30&amp;"!"&amp;M$3&amp;"6")</f>
        <v>37.264565142857151</v>
      </c>
      <c r="N30" s="76">
        <f ca="1">M30-L30</f>
        <v>0.6323698571428551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59.463824000000002</v>
      </c>
      <c r="I31" s="10"/>
      <c r="J31" s="228">
        <f ca="1">H31/D31-1</f>
        <v>-1.4803872865092327E-3</v>
      </c>
      <c r="L31" s="74">
        <f ca="1">INDIRECT($B31&amp;"!"&amp;L$3&amp;"7")</f>
        <v>40.251414476190476</v>
      </c>
      <c r="M31" s="75">
        <f ca="1">INDIRECT($B31&amp;"!"&amp;M$3&amp;"7")</f>
        <v>41.178423761904774</v>
      </c>
      <c r="N31" s="76">
        <f ca="1">M31-L31</f>
        <v>0.92700928571429841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86.89276000000001</v>
      </c>
      <c r="I32" s="10"/>
      <c r="J32" s="228">
        <f ca="1">H32/D32-1</f>
        <v>-1.1360179393904435E-3</v>
      </c>
      <c r="L32" s="74">
        <f ca="1">INDIRECT($B32&amp;"!"&amp;L$3&amp;"8")</f>
        <v>43.588469761904761</v>
      </c>
      <c r="M32" s="75">
        <f ca="1">INDIRECT($B32&amp;"!"&amp;M$3&amp;"8")</f>
        <v>45.171888047619049</v>
      </c>
      <c r="N32" s="76">
        <f ca="1">M32-L32</f>
        <v>1.5834182857142878</v>
      </c>
      <c r="O32" s="226"/>
      <c r="P32" s="231">
        <f ca="1">bdrate(L29:L32,D29:D32,M29:M32,H29:H32)</f>
        <v>2.3773752126928116E-2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27.394896000000006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28.244176</v>
      </c>
      <c r="I40" s="10"/>
      <c r="J40" s="228">
        <f ca="1">H40/D40-1</f>
        <v>-2.5663873323754638E-3</v>
      </c>
      <c r="L40" s="74">
        <f ca="1">INDIRECT($B40&amp;"!"&amp;L$3&amp;"5")</f>
        <v>33.832055285714283</v>
      </c>
      <c r="M40" s="75">
        <f ca="1">INDIRECT($B40&amp;"!"&amp;M$3&amp;"5")</f>
        <v>34.42712785714285</v>
      </c>
      <c r="N40" s="76">
        <f ca="1">M40-L40</f>
        <v>0.59507257142856673</v>
      </c>
      <c r="O40" s="226"/>
      <c r="P40" s="228">
        <f ca="1">bdrate(D40:D43,L40:L43,H40:H43,M40:M43)</f>
        <v>-0.10155765508125414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41.041400000000003</v>
      </c>
      <c r="I41" s="10"/>
      <c r="J41" s="228">
        <f ca="1">H41/D41-1</f>
        <v>-2.0687401401724426E-3</v>
      </c>
      <c r="L41" s="74">
        <f ca="1">INDIRECT($B41&amp;"!"&amp;L$3&amp;"6")</f>
        <v>36.531831238095236</v>
      </c>
      <c r="M41" s="75">
        <f ca="1">INDIRECT($B41&amp;"!"&amp;M$3&amp;"6")</f>
        <v>37.239027571428565</v>
      </c>
      <c r="N41" s="76">
        <f ca="1">M41-L41</f>
        <v>0.70719633333332865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61.764568000000004</v>
      </c>
      <c r="I42" s="10"/>
      <c r="J42" s="228">
        <f ca="1">H42/D42-1</f>
        <v>-1.6240513220390218E-3</v>
      </c>
      <c r="L42" s="74">
        <f ca="1">INDIRECT($B42&amp;"!"&amp;L$3&amp;"7")</f>
        <v>40.276491190476186</v>
      </c>
      <c r="M42" s="75">
        <f ca="1">INDIRECT($B42&amp;"!"&amp;M$3&amp;"7")</f>
        <v>41.340832190476192</v>
      </c>
      <c r="N42" s="76">
        <f ca="1">M42-L42</f>
        <v>1.064341000000006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90.306032000000002</v>
      </c>
      <c r="I43" s="10"/>
      <c r="J43" s="228">
        <f ca="1">H43/D43-1</f>
        <v>-1.2246402105097198E-3</v>
      </c>
      <c r="L43" s="74">
        <f ca="1">INDIRECT($B43&amp;"!"&amp;L$3&amp;"8")</f>
        <v>43.229996952380951</v>
      </c>
      <c r="M43" s="75">
        <f ca="1">INDIRECT($B43&amp;"!"&amp;M$3&amp;"8")</f>
        <v>45.044387857142858</v>
      </c>
      <c r="N43" s="76">
        <f ca="1">M43-L43</f>
        <v>1.8143909047619076</v>
      </c>
      <c r="O43" s="226"/>
      <c r="P43" s="231">
        <f ca="1">bdrate(L40:L43,D40:D43,M40:M43,H40:H43)</f>
        <v>2.7190999958689455E-2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28.244176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36.787760000000006</v>
      </c>
      <c r="I7" s="10"/>
      <c r="J7" s="228">
        <f ca="1">H7/D7-1</f>
        <v>-6.634862645338746E-3</v>
      </c>
      <c r="L7" s="74">
        <f ca="1">INDIRECT($B7&amp;"!"&amp;L$3&amp;"5")</f>
        <v>0.95834516733333319</v>
      </c>
      <c r="M7" s="75">
        <f ca="1">INDIRECT($B7&amp;"!"&amp;M$3&amp;"5")</f>
        <v>0.95825294666666661</v>
      </c>
      <c r="N7" s="76">
        <f ca="1">M7-L7</f>
        <v>-9.2220666666587015E-5</v>
      </c>
      <c r="O7" s="226"/>
      <c r="P7" s="228">
        <f ca="1">bdrate(D7:D10,L7:L10,H7:H10,M7:M10)</f>
        <v>-6.5067656737416435E-3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52.94578400000001</v>
      </c>
      <c r="I8" s="10"/>
      <c r="J8" s="228">
        <f ca="1">H8/D8-1</f>
        <v>-5.5898750883863757E-3</v>
      </c>
      <c r="L8" s="74">
        <f ca="1">INDIRECT($B8&amp;"!"&amp;L$3&amp;"6")</f>
        <v>0.97572819666666666</v>
      </c>
      <c r="M8" s="75">
        <f ca="1">INDIRECT($B8&amp;"!"&amp;M$3&amp;"6")</f>
        <v>0.97573144866666672</v>
      </c>
      <c r="N8" s="76">
        <f ca="1">M8-L8</f>
        <v>3.2520000000646476E-6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76.417287999999999</v>
      </c>
      <c r="I9" s="10"/>
      <c r="J9" s="228">
        <f ca="1">H9/D9-1</f>
        <v>-4.6376518014016321E-3</v>
      </c>
      <c r="L9" s="74">
        <f ca="1">INDIRECT($B9&amp;"!"&amp;L$3&amp;"7")</f>
        <v>0.98810945533333316</v>
      </c>
      <c r="M9" s="75">
        <f ca="1">INDIRECT($B9&amp;"!"&amp;M$3&amp;"7")</f>
        <v>0.98818344199999997</v>
      </c>
      <c r="N9" s="76">
        <f ca="1">M9-L9</f>
        <v>7.3986666666803202E-5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108.45029599999999</v>
      </c>
      <c r="I10" s="10"/>
      <c r="J10" s="228">
        <f ca="1">H10/D10-1</f>
        <v>-3.7826943021707082E-3</v>
      </c>
      <c r="L10" s="74">
        <f ca="1">INDIRECT($B10&amp;"!"&amp;L$3&amp;"8")</f>
        <v>0.99241337466666668</v>
      </c>
      <c r="M10" s="75">
        <f ca="1">INDIRECT($B10&amp;"!"&amp;M$3&amp;"8")</f>
        <v>0.99252942933333321</v>
      </c>
      <c r="N10" s="76">
        <f ca="1">M10-L10</f>
        <v>1.1605466666653186E-4</v>
      </c>
      <c r="O10" s="226"/>
      <c r="P10" s="231">
        <f ca="1">bdrate(L7:L10,D7:D10,M7:M10,H7:H10)</f>
        <v>1.9785619095080698E-4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36.787760000000006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37.669207999999998</v>
      </c>
      <c r="I18" s="10"/>
      <c r="J18" s="228">
        <f ca="1">H18/D18-1</f>
        <v>-7.2736457262272403E-3</v>
      </c>
      <c r="L18" s="74">
        <f ca="1">INDIRECT($B18&amp;"!"&amp;L$3&amp;"5")</f>
        <v>0.95700066866666644</v>
      </c>
      <c r="M18" s="75">
        <f ca="1">INDIRECT($B18&amp;"!"&amp;M$3&amp;"5")</f>
        <v>0.95690532333333322</v>
      </c>
      <c r="N18" s="76">
        <f ca="1">M18-L18</f>
        <v>-9.5345333333218818E-5</v>
      </c>
      <c r="O18" s="226"/>
      <c r="P18" s="228">
        <f ca="1">bdrate(D18:D21,L18:L21,H18:H21,M18:M21)</f>
        <v>-8.7966244605772737E-3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54.348312000000007</v>
      </c>
      <c r="I19" s="10"/>
      <c r="J19" s="228">
        <f ca="1">H19/D19-1</f>
        <v>-6.0944850740197731E-3</v>
      </c>
      <c r="L19" s="74">
        <f ca="1">INDIRECT($B19&amp;"!"&amp;L$3&amp;"6")</f>
        <v>0.97492547266666674</v>
      </c>
      <c r="M19" s="75">
        <f ca="1">INDIRECT($B19&amp;"!"&amp;M$3&amp;"6")</f>
        <v>0.9750333040000001</v>
      </c>
      <c r="N19" s="76">
        <f ca="1">M19-L19</f>
        <v>1.0783133333336359E-4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78.646751999999992</v>
      </c>
      <c r="I20" s="10"/>
      <c r="J20" s="228">
        <f ca="1">H20/D20-1</f>
        <v>-4.9852739329838691E-3</v>
      </c>
      <c r="L20" s="74">
        <f ca="1">INDIRECT($B20&amp;"!"&amp;L$3&amp;"7")</f>
        <v>0.98757465333333327</v>
      </c>
      <c r="M20" s="75">
        <f ca="1">INDIRECT($B20&amp;"!"&amp;M$3&amp;"7")</f>
        <v>0.9876815613333334</v>
      </c>
      <c r="N20" s="76">
        <f ca="1">M20-L20</f>
        <v>1.0690800000012768E-4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111.692984</v>
      </c>
      <c r="I21" s="10"/>
      <c r="J21" s="228">
        <f ca="1">H21/D21-1</f>
        <v>-4.0239602837230937E-3</v>
      </c>
      <c r="L21" s="74">
        <f ca="1">INDIRECT($B21&amp;"!"&amp;L$3&amp;"8")</f>
        <v>0.99193363933333345</v>
      </c>
      <c r="M21" s="75">
        <f ca="1">INDIRECT($B21&amp;"!"&amp;M$3&amp;"8")</f>
        <v>0.99207323933333336</v>
      </c>
      <c r="N21" s="76">
        <f ca="1">M21-L21</f>
        <v>1.3959999999990647E-4</v>
      </c>
      <c r="O21" s="226"/>
      <c r="P21" s="231">
        <f ca="1">bdrate(L18:L21,D18:D21,M18:M21,H18:H21)</f>
        <v>2.6401044807755625E-4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37.669207999999998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27.394896000000006</v>
      </c>
      <c r="I29" s="10"/>
      <c r="J29" s="228">
        <f ca="1">H29/D29-1</f>
        <v>-2.2726199987062046E-3</v>
      </c>
      <c r="L29" s="74">
        <f ca="1">INDIRECT($B29&amp;"!"&amp;L$3&amp;"5")</f>
        <v>0.96684382285714265</v>
      </c>
      <c r="M29" s="75">
        <f ca="1">INDIRECT($B29&amp;"!"&amp;M$3&amp;"5")</f>
        <v>0.9669116276190477</v>
      </c>
      <c r="N29" s="76">
        <f ca="1">M29-L29</f>
        <v>6.7804761905043698E-5</v>
      </c>
      <c r="O29" s="226"/>
      <c r="P29" s="228">
        <f ca="1">bdrate(D29:D32,L29:L32,H29:H32,M29:M32)</f>
        <v>-3.2144644195749583E-3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39.657400000000003</v>
      </c>
      <c r="I30" s="10"/>
      <c r="J30" s="228">
        <f ca="1">H30/D30-1</f>
        <v>-1.8723545114701645E-3</v>
      </c>
      <c r="L30" s="74">
        <f ca="1">INDIRECT($B30&amp;"!"&amp;L$3&amp;"6")</f>
        <v>0.98000114238095259</v>
      </c>
      <c r="M30" s="75">
        <f ca="1">INDIRECT($B30&amp;"!"&amp;M$3&amp;"6")</f>
        <v>0.97995126476190486</v>
      </c>
      <c r="N30" s="76">
        <f ca="1">M30-L30</f>
        <v>-4.9877619047733468E-5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59.463824000000002</v>
      </c>
      <c r="I31" s="10"/>
      <c r="J31" s="228">
        <f ca="1">H31/D31-1</f>
        <v>-1.4803872865092327E-3</v>
      </c>
      <c r="L31" s="74">
        <f ca="1">INDIRECT($B31&amp;"!"&amp;L$3&amp;"7")</f>
        <v>0.98903340333333323</v>
      </c>
      <c r="M31" s="75">
        <f ca="1">INDIRECT($B31&amp;"!"&amp;M$3&amp;"7")</f>
        <v>0.98912837380952379</v>
      </c>
      <c r="N31" s="76">
        <f ca="1">M31-L31</f>
        <v>9.4970476190558983E-5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86.89276000000001</v>
      </c>
      <c r="I32" s="10"/>
      <c r="J32" s="228">
        <f ca="1">H32/D32-1</f>
        <v>-1.1360179393904435E-3</v>
      </c>
      <c r="L32" s="74">
        <f ca="1">INDIRECT($B32&amp;"!"&amp;L$3&amp;"8")</f>
        <v>0.99375173238095238</v>
      </c>
      <c r="M32" s="75">
        <f ca="1">INDIRECT($B32&amp;"!"&amp;M$3&amp;"8")</f>
        <v>0.99388002904761885</v>
      </c>
      <c r="N32" s="76">
        <f ca="1">M32-L32</f>
        <v>1.2829666666647199E-4</v>
      </c>
      <c r="O32" s="226"/>
      <c r="P32" s="231">
        <f ca="1">bdrate(L29:L32,D29:D32,M29:M32,H29:H32)</f>
        <v>9.8814406936043042E-5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27.394896000000006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28.244176</v>
      </c>
      <c r="I40" s="10"/>
      <c r="J40" s="228">
        <f ca="1">H40/D40-1</f>
        <v>-2.5663873323754638E-3</v>
      </c>
      <c r="L40" s="74">
        <f ca="1">INDIRECT($B40&amp;"!"&amp;L$3&amp;"5")</f>
        <v>0.96582942476190481</v>
      </c>
      <c r="M40" s="75">
        <f ca="1">INDIRECT($B40&amp;"!"&amp;M$3&amp;"5")</f>
        <v>0.96575524142857161</v>
      </c>
      <c r="N40" s="76">
        <f ca="1">M40-L40</f>
        <v>-7.4183333333199819E-5</v>
      </c>
      <c r="O40" s="226"/>
      <c r="P40" s="228">
        <f ca="1">bdrate(D40:D43,L40:L43,H40:H43,M40:M43)</f>
        <v>-4.3808990114774238E-3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41.041400000000003</v>
      </c>
      <c r="I41" s="10"/>
      <c r="J41" s="228">
        <f ca="1">H41/D41-1</f>
        <v>-2.0687401401724426E-3</v>
      </c>
      <c r="L41" s="74">
        <f ca="1">INDIRECT($B41&amp;"!"&amp;L$3&amp;"6")</f>
        <v>0.97901262523809529</v>
      </c>
      <c r="M41" s="75">
        <f ca="1">INDIRECT($B41&amp;"!"&amp;M$3&amp;"6")</f>
        <v>0.97903388857142881</v>
      </c>
      <c r="N41" s="76">
        <f ca="1">M41-L41</f>
        <v>2.1263333333521039E-5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61.764568000000004</v>
      </c>
      <c r="I42" s="10"/>
      <c r="J42" s="228">
        <f ca="1">H42/D42-1</f>
        <v>-1.6240513220390218E-3</v>
      </c>
      <c r="L42" s="74">
        <f ca="1">INDIRECT($B42&amp;"!"&amp;L$3&amp;"7")</f>
        <v>0.98868709857142867</v>
      </c>
      <c r="M42" s="75">
        <f ca="1">INDIRECT($B42&amp;"!"&amp;M$3&amp;"7")</f>
        <v>0.98879018095238114</v>
      </c>
      <c r="N42" s="76">
        <f ca="1">M42-L42</f>
        <v>1.0308238095246836E-4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90.306032000000002</v>
      </c>
      <c r="I43" s="10"/>
      <c r="J43" s="228">
        <f ca="1">H43/D43-1</f>
        <v>-1.2246402105097198E-3</v>
      </c>
      <c r="L43" s="74">
        <f ca="1">INDIRECT($B43&amp;"!"&amp;L$3&amp;"8")</f>
        <v>0.99344393809523812</v>
      </c>
      <c r="M43" s="75">
        <f ca="1">INDIRECT($B43&amp;"!"&amp;M$3&amp;"8")</f>
        <v>0.99359927523809521</v>
      </c>
      <c r="N43" s="76">
        <f ca="1">M43-L43</f>
        <v>1.5533714285709266E-4</v>
      </c>
      <c r="O43" s="226"/>
      <c r="P43" s="231">
        <f ca="1">bdrate(L40:L43,D40:D43,M40:M43,H40:H43)</f>
        <v>1.2055360259988213E-4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28.244176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36.787760000000006</v>
      </c>
      <c r="I7" s="10"/>
      <c r="J7" s="228">
        <f ca="1">H7/D7-1</f>
        <v>-6.634862645338746E-3</v>
      </c>
      <c r="L7" s="74">
        <f ca="1">INDIRECT($B7&amp;"!"&amp;L$3&amp;"5")</f>
        <v>0.95456353799999993</v>
      </c>
      <c r="M7" s="75">
        <f ca="1">INDIRECT($B7&amp;"!"&amp;M$3&amp;"5")</f>
        <v>0.95571888800000004</v>
      </c>
      <c r="N7" s="76">
        <f ca="1">M7-L7</f>
        <v>1.1553500000001105E-3</v>
      </c>
      <c r="O7" s="226"/>
      <c r="P7" s="228">
        <f ca="1">bdrate(D7:D10,L7:L10,H7:H10,M7:M10)</f>
        <v>-2.6678630607434473E-2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52.94578400000001</v>
      </c>
      <c r="I8" s="10"/>
      <c r="J8" s="228">
        <f ca="1">H8/D8-1</f>
        <v>-5.5898750883863757E-3</v>
      </c>
      <c r="L8" s="74">
        <f ca="1">INDIRECT($B8&amp;"!"&amp;L$3&amp;"6")</f>
        <v>0.97258593333333343</v>
      </c>
      <c r="M8" s="75">
        <f ca="1">INDIRECT($B8&amp;"!"&amp;M$3&amp;"6")</f>
        <v>0.97371179666666652</v>
      </c>
      <c r="N8" s="76">
        <f ca="1">M8-L8</f>
        <v>1.1258633333330881E-3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76.417287999999999</v>
      </c>
      <c r="I9" s="10"/>
      <c r="J9" s="228">
        <f ca="1">H9/D9-1</f>
        <v>-4.6376518014016321E-3</v>
      </c>
      <c r="L9" s="74">
        <f ca="1">INDIRECT($B9&amp;"!"&amp;L$3&amp;"7")</f>
        <v>0.99038261466666655</v>
      </c>
      <c r="M9" s="75">
        <f ca="1">INDIRECT($B9&amp;"!"&amp;M$3&amp;"7")</f>
        <v>0.99078550199999982</v>
      </c>
      <c r="N9" s="76">
        <f ca="1">M9-L9</f>
        <v>4.0288733333326832E-4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108.45029599999999</v>
      </c>
      <c r="I10" s="10"/>
      <c r="J10" s="228">
        <f ca="1">H10/D10-1</f>
        <v>-3.7826943021707082E-3</v>
      </c>
      <c r="L10" s="74">
        <f ca="1">INDIRECT($B10&amp;"!"&amp;L$3&amp;"8")</f>
        <v>0.99521364000000001</v>
      </c>
      <c r="M10" s="75">
        <f ca="1">INDIRECT($B10&amp;"!"&amp;M$3&amp;"8")</f>
        <v>0.99610486266666698</v>
      </c>
      <c r="N10" s="76">
        <f ca="1">M10-L10</f>
        <v>8.912226666669687E-4</v>
      </c>
      <c r="O10" s="226"/>
      <c r="P10" s="231">
        <f ca="1">bdrate(L7:L10,D7:D10,M7:M10,H7:H10)</f>
        <v>9.9630156619956445E-4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36.787760000000006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37.669207999999998</v>
      </c>
      <c r="I18" s="10"/>
      <c r="J18" s="228">
        <f ca="1">H18/D18-1</f>
        <v>-7.2736457262272403E-3</v>
      </c>
      <c r="L18" s="74">
        <f ca="1">INDIRECT($B18&amp;"!"&amp;L$3&amp;"5")</f>
        <v>0.95395936733333342</v>
      </c>
      <c r="M18" s="75">
        <f ca="1">INDIRECT($B18&amp;"!"&amp;M$3&amp;"5")</f>
        <v>0.95518765600000011</v>
      </c>
      <c r="N18" s="76">
        <f ca="1">M18-L18</f>
        <v>1.2282886666666881E-3</v>
      </c>
      <c r="O18" s="226"/>
      <c r="P18" s="228">
        <f ca="1">bdrate(D18:D21,L18:L21,H18:H21,M18:M21)</f>
        <v>-3.6372882015072161E-2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54.348312000000007</v>
      </c>
      <c r="I19" s="10"/>
      <c r="J19" s="228">
        <f ca="1">H19/D19-1</f>
        <v>-6.0944850740197731E-3</v>
      </c>
      <c r="L19" s="74">
        <f ca="1">INDIRECT($B19&amp;"!"&amp;L$3&amp;"6")</f>
        <v>0.97223756466666666</v>
      </c>
      <c r="M19" s="75">
        <f ca="1">INDIRECT($B19&amp;"!"&amp;M$3&amp;"6")</f>
        <v>0.97414997266666647</v>
      </c>
      <c r="N19" s="76">
        <f ca="1">M19-L19</f>
        <v>1.91240799999981E-3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78.646751999999992</v>
      </c>
      <c r="I20" s="10"/>
      <c r="J20" s="228">
        <f ca="1">H20/D20-1</f>
        <v>-4.9852739329838691E-3</v>
      </c>
      <c r="L20" s="74">
        <f ca="1">INDIRECT($B20&amp;"!"&amp;L$3&amp;"7")</f>
        <v>0.99005189866666643</v>
      </c>
      <c r="M20" s="75">
        <f ca="1">INDIRECT($B20&amp;"!"&amp;M$3&amp;"7")</f>
        <v>0.99056032866666677</v>
      </c>
      <c r="N20" s="76">
        <f ca="1">M20-L20</f>
        <v>5.0843000000033722E-4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111.692984</v>
      </c>
      <c r="I21" s="10"/>
      <c r="J21" s="228">
        <f ca="1">H21/D21-1</f>
        <v>-4.0239602837230937E-3</v>
      </c>
      <c r="L21" s="74">
        <f ca="1">INDIRECT($B21&amp;"!"&amp;L$3&amp;"8")</f>
        <v>0.99515773399999985</v>
      </c>
      <c r="M21" s="75">
        <f ca="1">INDIRECT($B21&amp;"!"&amp;M$3&amp;"8")</f>
        <v>0.99596679066666671</v>
      </c>
      <c r="N21" s="76">
        <f ca="1">M21-L21</f>
        <v>8.0905666666686304E-4</v>
      </c>
      <c r="O21" s="226"/>
      <c r="P21" s="231">
        <f ca="1">bdrate(L18:L21,D18:D21,M18:M21,H18:H21)</f>
        <v>1.2835197233982409E-3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37.669207999999998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27.394896000000006</v>
      </c>
      <c r="I29" s="10"/>
      <c r="J29" s="228">
        <f ca="1">H29/D29-1</f>
        <v>-2.2726199987062046E-3</v>
      </c>
      <c r="L29" s="74">
        <f ca="1">INDIRECT($B29&amp;"!"&amp;L$3&amp;"5")</f>
        <v>0.97327361047619032</v>
      </c>
      <c r="M29" s="75">
        <f ca="1">INDIRECT($B29&amp;"!"&amp;M$3&amp;"5")</f>
        <v>0.97366310619047625</v>
      </c>
      <c r="N29" s="76">
        <f ca="1">M29-L29</f>
        <v>3.8949571428592566E-4</v>
      </c>
      <c r="O29" s="226"/>
      <c r="P29" s="228">
        <f ca="1">bdrate(D29:D32,L29:L32,H29:H32,M29:M32)</f>
        <v>-2.0087159332287108E-2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39.657400000000003</v>
      </c>
      <c r="I30" s="10"/>
      <c r="J30" s="228">
        <f ca="1">H30/D30-1</f>
        <v>-1.8723545114701645E-3</v>
      </c>
      <c r="L30" s="74">
        <f ca="1">INDIRECT($B30&amp;"!"&amp;L$3&amp;"6")</f>
        <v>0.98426155285714267</v>
      </c>
      <c r="M30" s="75">
        <f ca="1">INDIRECT($B30&amp;"!"&amp;M$3&amp;"6")</f>
        <v>0.98464407523809527</v>
      </c>
      <c r="N30" s="76">
        <f ca="1">M30-L30</f>
        <v>3.8252238095259905E-4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59.463824000000002</v>
      </c>
      <c r="I31" s="10"/>
      <c r="J31" s="228">
        <f ca="1">H31/D31-1</f>
        <v>-1.4803872865092327E-3</v>
      </c>
      <c r="L31" s="74">
        <f ca="1">INDIRECT($B31&amp;"!"&amp;L$3&amp;"7")</f>
        <v>0.99228081523809508</v>
      </c>
      <c r="M31" s="75">
        <f ca="1">INDIRECT($B31&amp;"!"&amp;M$3&amp;"7")</f>
        <v>0.99260079523809519</v>
      </c>
      <c r="N31" s="76">
        <f ca="1">M31-L31</f>
        <v>3.1998000000010851E-4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86.89276000000001</v>
      </c>
      <c r="I32" s="10"/>
      <c r="J32" s="228">
        <f ca="1">H32/D32-1</f>
        <v>-1.1360179393904435E-3</v>
      </c>
      <c r="L32" s="74">
        <f ca="1">INDIRECT($B32&amp;"!"&amp;L$3&amp;"8")</f>
        <v>0.99594449714285727</v>
      </c>
      <c r="M32" s="75">
        <f ca="1">INDIRECT($B32&amp;"!"&amp;M$3&amp;"8")</f>
        <v>0.99637554904761894</v>
      </c>
      <c r="N32" s="76">
        <f ca="1">M32-L32</f>
        <v>4.310519047616701E-4</v>
      </c>
      <c r="O32" s="226"/>
      <c r="P32" s="231">
        <f ca="1">bdrate(L29:L32,D29:D32,M29:M32,H29:H32)</f>
        <v>4.0417900598566092E-4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27.394896000000006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28.244176</v>
      </c>
      <c r="I40" s="10"/>
      <c r="J40" s="228">
        <f ca="1">H40/D40-1</f>
        <v>-2.5663873323754638E-3</v>
      </c>
      <c r="L40" s="74">
        <f ca="1">INDIRECT($B40&amp;"!"&amp;L$3&amp;"5")</f>
        <v>0.9725471133333331</v>
      </c>
      <c r="M40" s="75">
        <f ca="1">INDIRECT($B40&amp;"!"&amp;M$3&amp;"5")</f>
        <v>0.97300443571428574</v>
      </c>
      <c r="N40" s="76">
        <f ca="1">M40-L40</f>
        <v>4.5732238095264055E-4</v>
      </c>
      <c r="O40" s="226"/>
      <c r="P40" s="228">
        <f ca="1">bdrate(D40:D43,L40:L43,H40:H43,M40:M43)</f>
        <v>-2.6899141098954971E-2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41.041400000000003</v>
      </c>
      <c r="I41" s="10"/>
      <c r="J41" s="228">
        <f ca="1">H41/D41-1</f>
        <v>-2.0687401401724426E-3</v>
      </c>
      <c r="L41" s="74">
        <f ca="1">INDIRECT($B41&amp;"!"&amp;L$3&amp;"6")</f>
        <v>0.98376468238095238</v>
      </c>
      <c r="M41" s="75">
        <f ca="1">INDIRECT($B41&amp;"!"&amp;M$3&amp;"6")</f>
        <v>0.98438194619047636</v>
      </c>
      <c r="N41" s="76">
        <f ca="1">M41-L41</f>
        <v>6.1726380952398241E-4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61.764568000000004</v>
      </c>
      <c r="I42" s="10"/>
      <c r="J42" s="228">
        <f ca="1">H42/D42-1</f>
        <v>-1.6240513220390218E-3</v>
      </c>
      <c r="L42" s="74">
        <f ca="1">INDIRECT($B42&amp;"!"&amp;L$3&amp;"7")</f>
        <v>0.99210457047619049</v>
      </c>
      <c r="M42" s="75">
        <f ca="1">INDIRECT($B42&amp;"!"&amp;M$3&amp;"7")</f>
        <v>0.9925065428571429</v>
      </c>
      <c r="N42" s="76">
        <f ca="1">M42-L42</f>
        <v>4.0197238095240895E-4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90.306032000000002</v>
      </c>
      <c r="I43" s="10"/>
      <c r="J43" s="228">
        <f ca="1">H43/D43-1</f>
        <v>-1.2246402105097198E-3</v>
      </c>
      <c r="L43" s="74">
        <f ca="1">INDIRECT($B43&amp;"!"&amp;L$3&amp;"8")</f>
        <v>0.99578089857142849</v>
      </c>
      <c r="M43" s="75">
        <f ca="1">INDIRECT($B43&amp;"!"&amp;M$3&amp;"8")</f>
        <v>0.99625031857142843</v>
      </c>
      <c r="N43" s="76">
        <f ca="1">M43-L43</f>
        <v>4.6941999999994266E-4</v>
      </c>
      <c r="O43" s="226"/>
      <c r="P43" s="231">
        <f ca="1">bdrate(L40:L43,D40:D43,M40:M43,H40:H43)</f>
        <v>5.2303949219334456E-4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28.244176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36.787760000000006</v>
      </c>
      <c r="I7" s="10"/>
      <c r="J7" s="228">
        <f ca="1">H7/D7-1</f>
        <v>-6.634862645338746E-3</v>
      </c>
      <c r="L7" s="74">
        <f ca="1">INDIRECT($B7&amp;"!"&amp;L$3&amp;"5")</f>
        <v>6.6124997733333329E-2</v>
      </c>
      <c r="M7" s="75">
        <f ca="1">INDIRECT($B7&amp;"!"&amp;M$3&amp;"5")</f>
        <v>5.6837977933333332E-2</v>
      </c>
      <c r="N7" s="76">
        <f ca="1">M7-L7</f>
        <v>-9.2870197999999973E-3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52.94578400000001</v>
      </c>
      <c r="I8" s="10"/>
      <c r="J8" s="228">
        <f ca="1">H8/D8-1</f>
        <v>-5.5898750883863757E-3</v>
      </c>
      <c r="L8" s="74">
        <f ca="1">INDIRECT($B8&amp;"!"&amp;L$3&amp;"6")</f>
        <v>4.1026583800000009E-2</v>
      </c>
      <c r="M8" s="75">
        <f ca="1">INDIRECT($B8&amp;"!"&amp;M$3&amp;"6")</f>
        <v>3.2618350666666678E-2</v>
      </c>
      <c r="N8" s="76">
        <f ca="1">M8-L8</f>
        <v>-8.4082331333333316E-3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76.417287999999999</v>
      </c>
      <c r="I9" s="10"/>
      <c r="J9" s="228">
        <f ca="1">H9/D9-1</f>
        <v>-4.6376518014016321E-3</v>
      </c>
      <c r="L9" s="74">
        <f ca="1">INDIRECT($B9&amp;"!"&amp;L$3&amp;"7")</f>
        <v>2.4438632800000002E-2</v>
      </c>
      <c r="M9" s="75">
        <f ca="1">INDIRECT($B9&amp;"!"&amp;M$3&amp;"7")</f>
        <v>1.6302544933333333E-2</v>
      </c>
      <c r="N9" s="76">
        <f ca="1">M9-L9</f>
        <v>-8.1360878666666692E-3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108.45029599999999</v>
      </c>
      <c r="I10" s="10"/>
      <c r="J10" s="228">
        <f ca="1">H10/D10-1</f>
        <v>-3.7826943021707082E-3</v>
      </c>
      <c r="L10" s="74">
        <f ca="1">INDIRECT($B10&amp;"!"&amp;L$3&amp;"8")</f>
        <v>1.7444335733333333E-2</v>
      </c>
      <c r="M10" s="75">
        <f ca="1">INDIRECT($B10&amp;"!"&amp;M$3&amp;"8")</f>
        <v>9.5870879666666662E-3</v>
      </c>
      <c r="N10" s="76">
        <f ca="1">M10-L10</f>
        <v>-7.8572477666666671E-3</v>
      </c>
      <c r="O10" s="226"/>
      <c r="P10" s="231">
        <f ca="1">bdrate(L7:L10,D7:D10,M7:M10,H7:H10)</f>
        <v>-0.31526605727407786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36.787760000000006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37.669207999999998</v>
      </c>
      <c r="I18" s="10"/>
      <c r="J18" s="228">
        <f ca="1">H18/D18-1</f>
        <v>-7.2736457262272403E-3</v>
      </c>
      <c r="L18" s="74">
        <f ca="1">INDIRECT($B18&amp;"!"&amp;L$3&amp;"5")</f>
        <v>6.8758821599999992E-2</v>
      </c>
      <c r="M18" s="75">
        <f ca="1">INDIRECT($B18&amp;"!"&amp;M$3&amp;"5")</f>
        <v>5.82245438E-2</v>
      </c>
      <c r="N18" s="76">
        <f ca="1">M18-L18</f>
        <v>-1.0534277799999991E-2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54.348312000000007</v>
      </c>
      <c r="I19" s="10"/>
      <c r="J19" s="228">
        <f ca="1">H19/D19-1</f>
        <v>-6.0944850740197731E-3</v>
      </c>
      <c r="L19" s="74">
        <f ca="1">INDIRECT($B19&amp;"!"&amp;L$3&amp;"6")</f>
        <v>4.2517676533333333E-2</v>
      </c>
      <c r="M19" s="75">
        <f ca="1">INDIRECT($B19&amp;"!"&amp;M$3&amp;"6")</f>
        <v>3.3280875466666665E-2</v>
      </c>
      <c r="N19" s="76">
        <f ca="1">M19-L19</f>
        <v>-9.2368010666666681E-3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78.646751999999992</v>
      </c>
      <c r="I20" s="10"/>
      <c r="J20" s="228">
        <f ca="1">H20/D20-1</f>
        <v>-4.9852739329838691E-3</v>
      </c>
      <c r="L20" s="74">
        <f ca="1">INDIRECT($B20&amp;"!"&amp;L$3&amp;"7")</f>
        <v>2.4925761000000001E-2</v>
      </c>
      <c r="M20" s="75">
        <f ca="1">INDIRECT($B20&amp;"!"&amp;M$3&amp;"7")</f>
        <v>1.6805581033333336E-2</v>
      </c>
      <c r="N20" s="76">
        <f ca="1">M20-L20</f>
        <v>-8.1201799666666651E-3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111.692984</v>
      </c>
      <c r="I21" s="10"/>
      <c r="J21" s="228">
        <f ca="1">H21/D21-1</f>
        <v>-4.0239602837230937E-3</v>
      </c>
      <c r="L21" s="74">
        <f ca="1">INDIRECT($B21&amp;"!"&amp;L$3&amp;"8")</f>
        <v>1.8274979066666665E-2</v>
      </c>
      <c r="M21" s="75">
        <f ca="1">INDIRECT($B21&amp;"!"&amp;M$3&amp;"8")</f>
        <v>1.0349745633333332E-2</v>
      </c>
      <c r="N21" s="76">
        <f ca="1">M21-L21</f>
        <v>-7.925233433333333E-3</v>
      </c>
      <c r="O21" s="226"/>
      <c r="P21" s="231">
        <f ca="1">bdrate(L18:L21,D18:D21,M18:M21,H18:H21)</f>
        <v>-0.31210108182248608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37.669207999999998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27.394896000000006</v>
      </c>
      <c r="I29" s="10"/>
      <c r="J29" s="228">
        <f ca="1">H29/D29-1</f>
        <v>-2.2726199987062046E-3</v>
      </c>
      <c r="L29" s="74">
        <f ca="1">INDIRECT($B29&amp;"!"&amp;L$3&amp;"5")</f>
        <v>6.4074182428571436E-2</v>
      </c>
      <c r="M29" s="75">
        <f ca="1">INDIRECT($B29&amp;"!"&amp;M$3&amp;"5")</f>
        <v>5.6740653380952383E-2</v>
      </c>
      <c r="N29" s="76">
        <f ca="1">M29-L29</f>
        <v>-7.3335290476190529E-3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39.657400000000003</v>
      </c>
      <c r="I30" s="10"/>
      <c r="J30" s="228">
        <f ca="1">H30/D30-1</f>
        <v>-1.8723545114701645E-3</v>
      </c>
      <c r="L30" s="74">
        <f ca="1">INDIRECT($B30&amp;"!"&amp;L$3&amp;"6")</f>
        <v>4.3200263047619043E-2</v>
      </c>
      <c r="M30" s="75">
        <f ca="1">INDIRECT($B30&amp;"!"&amp;M$3&amp;"6")</f>
        <v>3.6695333571428568E-2</v>
      </c>
      <c r="N30" s="76">
        <f ca="1">M30-L30</f>
        <v>-6.5049294761904755E-3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59.463824000000002</v>
      </c>
      <c r="I31" s="10"/>
      <c r="J31" s="228">
        <f ca="1">H31/D31-1</f>
        <v>-1.4803872865092327E-3</v>
      </c>
      <c r="L31" s="74">
        <f ca="1">INDIRECT($B31&amp;"!"&amp;L$3&amp;"7")</f>
        <v>2.7228831333333335E-2</v>
      </c>
      <c r="M31" s="75">
        <f ca="1">INDIRECT($B31&amp;"!"&amp;M$3&amp;"7")</f>
        <v>2.1109973428571429E-2</v>
      </c>
      <c r="N31" s="76">
        <f ca="1">M31-L31</f>
        <v>-6.1188579047619061E-3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86.89276000000001</v>
      </c>
      <c r="I32" s="10"/>
      <c r="J32" s="228">
        <f ca="1">H32/D32-1</f>
        <v>-1.1360179393904435E-3</v>
      </c>
      <c r="L32" s="74">
        <f ca="1">INDIRECT($B32&amp;"!"&amp;L$3&amp;"8")</f>
        <v>1.4458101000000004E-2</v>
      </c>
      <c r="M32" s="75">
        <f ca="1">INDIRECT($B32&amp;"!"&amp;M$3&amp;"8")</f>
        <v>9.2317984523809533E-3</v>
      </c>
      <c r="N32" s="76">
        <f ca="1">M32-L32</f>
        <v>-5.2263025476190512E-3</v>
      </c>
      <c r="O32" s="226"/>
      <c r="P32" s="231">
        <f ca="1">bdrate(L29:L32,D29:D32,M29:M32,H29:H32)</f>
        <v>-0.22829093197776362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27.394896000000006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28.244176</v>
      </c>
      <c r="I40" s="10"/>
      <c r="J40" s="228">
        <f ca="1">H40/D40-1</f>
        <v>-2.5663873323754638E-3</v>
      </c>
      <c r="L40" s="74">
        <f ca="1">INDIRECT($B40&amp;"!"&amp;L$3&amp;"5")</f>
        <v>6.5973396238095255E-2</v>
      </c>
      <c r="M40" s="75">
        <f ca="1">INDIRECT($B40&amp;"!"&amp;M$3&amp;"5")</f>
        <v>5.7697398761904772E-2</v>
      </c>
      <c r="N40" s="76">
        <f ca="1">M40-L40</f>
        <v>-8.2759974761904831E-3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41.041400000000003</v>
      </c>
      <c r="I41" s="10"/>
      <c r="J41" s="228">
        <f ca="1">H41/D41-1</f>
        <v>-2.0687401401724426E-3</v>
      </c>
      <c r="L41" s="74">
        <f ca="1">INDIRECT($B41&amp;"!"&amp;L$3&amp;"6")</f>
        <v>4.448833447619048E-2</v>
      </c>
      <c r="M41" s="75">
        <f ca="1">INDIRECT($B41&amp;"!"&amp;M$3&amp;"6")</f>
        <v>3.7325162809523804E-2</v>
      </c>
      <c r="N41" s="76">
        <f ca="1">M41-L41</f>
        <v>-7.1631716666666762E-3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61.764568000000004</v>
      </c>
      <c r="I42" s="10"/>
      <c r="J42" s="228">
        <f ca="1">H42/D42-1</f>
        <v>-1.6240513220390218E-3</v>
      </c>
      <c r="L42" s="74">
        <f ca="1">INDIRECT($B42&amp;"!"&amp;L$3&amp;"7")</f>
        <v>2.7850360190476191E-2</v>
      </c>
      <c r="M42" s="75">
        <f ca="1">INDIRECT($B42&amp;"!"&amp;M$3&amp;"7")</f>
        <v>2.1020285095238095E-2</v>
      </c>
      <c r="N42" s="76">
        <f ca="1">M42-L42</f>
        <v>-6.8300750952380966E-3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90.306032000000002</v>
      </c>
      <c r="I43" s="10"/>
      <c r="J43" s="228">
        <f ca="1">H43/D43-1</f>
        <v>-1.2246402105097198E-3</v>
      </c>
      <c r="L43" s="74">
        <f ca="1">INDIRECT($B43&amp;"!"&amp;L$3&amp;"8")</f>
        <v>1.5608584595238097E-2</v>
      </c>
      <c r="M43" s="75">
        <f ca="1">INDIRECT($B43&amp;"!"&amp;M$3&amp;"8")</f>
        <v>9.6681172857142859E-3</v>
      </c>
      <c r="N43" s="76">
        <f ca="1">M43-L43</f>
        <v>-5.9404673095238107E-3</v>
      </c>
      <c r="O43" s="226"/>
      <c r="P43" s="231">
        <f ca="1">bdrate(L40:L43,D40:D43,M40:M43,H40:H43)</f>
        <v>-0.24567215255217356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28.244176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36787.760000000002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27.7599406</v>
      </c>
      <c r="Y5" s="30">
        <f t="shared" si="2"/>
        <v>33.745265066666668</v>
      </c>
      <c r="Z5" s="30">
        <f t="shared" si="2"/>
        <v>0.95825294666666661</v>
      </c>
      <c r="AA5" s="91">
        <f t="shared" si="2"/>
        <v>0.95571888800000004</v>
      </c>
      <c r="AB5" s="91">
        <f t="shared" si="2"/>
        <v>5.6837977933333332E-2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-0.11555750071284532</v>
      </c>
      <c r="AN5" s="245">
        <f>bdrate($E5:$E8,G5:G8,$W5:$W8,Y5:Y8)</f>
        <v>-0.14596526124146192</v>
      </c>
      <c r="AO5" s="245">
        <f>bdrate($E5:$E8,H5:H8,$W5:$W8,Z5:Z8)</f>
        <v>-6.5067656737436419E-3</v>
      </c>
      <c r="AP5" s="245">
        <f>bdrate($E5:$E8,I5:I8,$W5:$W8,AA5:AA8)</f>
        <v>-2.6678630607433584E-2</v>
      </c>
      <c r="AQ5" s="246">
        <f>bdrateInverted($E5:$E8,J5:J8,$W5:$W8,AB5:AB8)</f>
        <v>-0.16361761698364352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52945.784000000007</v>
      </c>
      <c r="X6" s="91">
        <f t="shared" si="2"/>
        <v>31.600912133333335</v>
      </c>
      <c r="Y6" s="91">
        <f t="shared" si="2"/>
        <v>36.565073933333331</v>
      </c>
      <c r="Z6" s="91">
        <f t="shared" si="2"/>
        <v>0.97573144866666672</v>
      </c>
      <c r="AA6" s="91">
        <f t="shared" si="2"/>
        <v>0.97371179666666652</v>
      </c>
      <c r="AB6" s="91">
        <f t="shared" si="2"/>
        <v>3.2618350666666678E-2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76417.288</v>
      </c>
      <c r="X7" s="91">
        <f t="shared" si="2"/>
        <v>37.062063866666662</v>
      </c>
      <c r="Y7" s="91">
        <f t="shared" si="2"/>
        <v>40.844517333333336</v>
      </c>
      <c r="Z7" s="91">
        <f t="shared" si="2"/>
        <v>0.98818344199999997</v>
      </c>
      <c r="AA7" s="91">
        <f t="shared" si="2"/>
        <v>0.99078550199999982</v>
      </c>
      <c r="AB7" s="91">
        <f t="shared" si="2"/>
        <v>1.6302544933333333E-2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108450.29599999999</v>
      </c>
      <c r="X8" s="91">
        <f t="shared" si="2"/>
        <v>40.473641000000001</v>
      </c>
      <c r="Y8" s="91">
        <f t="shared" si="2"/>
        <v>43.887290866666667</v>
      </c>
      <c r="Z8" s="91">
        <f t="shared" si="2"/>
        <v>0.99252942933333321</v>
      </c>
      <c r="AA8" s="91">
        <f t="shared" si="2"/>
        <v>0.99610486266666698</v>
      </c>
      <c r="AB8" s="91">
        <f t="shared" si="2"/>
        <v>9.5870879666666662E-3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2362.6480000000001</v>
      </c>
      <c r="Z16" s="167">
        <v>803.31200000000001</v>
      </c>
      <c r="AA16" s="167">
        <v>100.6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6538.6639999999998</v>
      </c>
      <c r="Z17" s="168">
        <v>3298.1439999999998</v>
      </c>
      <c r="AA17" s="168">
        <v>1055.8879999999999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12165.335999999999</v>
      </c>
      <c r="Z18" s="168">
        <v>8376.1360000000004</v>
      </c>
      <c r="AA18" s="168">
        <v>4996.6319999999996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18359.344000000001</v>
      </c>
      <c r="Z19" s="168">
        <v>16281.936</v>
      </c>
      <c r="AA19" s="168">
        <v>13961.624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36787.760000000002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52945.784000000007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76417.288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108450.29599999999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27.18111</v>
      </c>
      <c r="Y33" s="97">
        <v>33.222498000000002</v>
      </c>
      <c r="Z33" s="97">
        <v>0.95805183000000005</v>
      </c>
      <c r="AA33" s="60">
        <v>0.95239625000000006</v>
      </c>
      <c r="AB33" s="60">
        <v>6.1659886999999997E-2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0.38275799999999904</v>
      </c>
      <c r="AN33" s="96">
        <f t="shared" ref="AN33:AN96" si="5">IF(OR(Y33="",G33=""),"",Y33-G33)</f>
        <v>1.1667670000000001</v>
      </c>
      <c r="AO33" s="96">
        <f t="shared" ref="AO33:AO96" si="6">IF(OR(Z33="",H33=""),"",Z33-H33)</f>
        <v>-6.4059999999921402E-5</v>
      </c>
      <c r="AP33" s="96">
        <f t="shared" ref="AP33:AP96" si="7">IF(OR(AA33="",I33=""),"",AA33-I33)</f>
        <v>2.2636100000000825E-3</v>
      </c>
      <c r="AQ33" s="121">
        <f t="shared" ref="AQ33:AQ96" si="8">IF(OR(AB33="",J33=""),"",AB33-J33)</f>
        <v>-8.9698230000000018E-3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31.646934999999999</v>
      </c>
      <c r="Y34" s="190">
        <v>36.451180000000001</v>
      </c>
      <c r="Z34" s="190">
        <v>0.97567864999999998</v>
      </c>
      <c r="AA34" s="62">
        <v>0.97260765999999998</v>
      </c>
      <c r="AB34" s="62">
        <v>3.5676323000000003E-2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0.96388299999999916</v>
      </c>
      <c r="AN34" s="122">
        <f t="shared" si="5"/>
        <v>1.2618709999999993</v>
      </c>
      <c r="AO34" s="122">
        <f t="shared" si="6"/>
        <v>1.4920000000029354E-5</v>
      </c>
      <c r="AP34" s="122">
        <f t="shared" si="7"/>
        <v>1.8770000000001286E-4</v>
      </c>
      <c r="AQ34" s="88">
        <f t="shared" si="8"/>
        <v>-8.0976109999999976E-3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36.975436000000002</v>
      </c>
      <c r="Y35" s="190">
        <v>40.733829</v>
      </c>
      <c r="Z35" s="190">
        <v>0.98811218999999995</v>
      </c>
      <c r="AA35" s="62">
        <v>0.99033097999999997</v>
      </c>
      <c r="AB35" s="62">
        <v>1.8257956999999998E-2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1.7302230000000023</v>
      </c>
      <c r="AN35" s="122">
        <f t="shared" si="5"/>
        <v>1.4084239999999966</v>
      </c>
      <c r="AO35" s="122">
        <f t="shared" si="6"/>
        <v>8.7409999999898957E-5</v>
      </c>
      <c r="AP35" s="122">
        <f t="shared" si="7"/>
        <v>8.3759999999988288E-5</v>
      </c>
      <c r="AQ35" s="88">
        <f t="shared" si="8"/>
        <v>-7.6207560000000028E-3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40.580665000000003</v>
      </c>
      <c r="Y36" s="190">
        <v>43.971587999999997</v>
      </c>
      <c r="Z36" s="190">
        <v>0.99245642999999995</v>
      </c>
      <c r="AA36" s="62">
        <v>0.99611351999999997</v>
      </c>
      <c r="AB36" s="62">
        <v>1.0453176E-2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2.6016830000000013</v>
      </c>
      <c r="AN36" s="122">
        <f t="shared" si="5"/>
        <v>1.9000190000000003</v>
      </c>
      <c r="AO36" s="122">
        <f t="shared" si="6"/>
        <v>1.2968999999996011E-4</v>
      </c>
      <c r="AP36" s="122">
        <f t="shared" si="7"/>
        <v>9.4519999999997939E-4</v>
      </c>
      <c r="AQ36" s="88">
        <f t="shared" si="8"/>
        <v>-7.6800400000000008E-3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27.616662000000002</v>
      </c>
      <c r="Y38" s="97">
        <v>33.548965000000003</v>
      </c>
      <c r="Z38" s="97">
        <v>0.95904383000000004</v>
      </c>
      <c r="AA38" s="60">
        <v>0.95498037000000002</v>
      </c>
      <c r="AB38" s="60">
        <v>5.8215320000000001E-2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0.45732500000000087</v>
      </c>
      <c r="AN38" s="96">
        <f t="shared" si="5"/>
        <v>1.2353110000000029</v>
      </c>
      <c r="AO38" s="96">
        <f t="shared" si="6"/>
        <v>-8.8780000000010517E-5</v>
      </c>
      <c r="AP38" s="96">
        <f t="shared" si="7"/>
        <v>1.4987200000000644E-3</v>
      </c>
      <c r="AQ38" s="121">
        <f t="shared" si="8"/>
        <v>-9.4352699999999956E-3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31.631557999999998</v>
      </c>
      <c r="Y39" s="190">
        <v>36.445453000000001</v>
      </c>
      <c r="Z39" s="190">
        <v>0.97558138000000005</v>
      </c>
      <c r="AA39" s="62">
        <v>0.97332655999999995</v>
      </c>
      <c r="AB39" s="62">
        <v>3.4354426E-2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1.0200679999999984</v>
      </c>
      <c r="AN39" s="122">
        <f t="shared" si="5"/>
        <v>1.3196330000000032</v>
      </c>
      <c r="AO39" s="122">
        <f t="shared" si="6"/>
        <v>3.3350000000043067E-5</v>
      </c>
      <c r="AP39" s="122">
        <f t="shared" si="7"/>
        <v>1.4431999999997558E-4</v>
      </c>
      <c r="AQ39" s="88">
        <f t="shared" si="8"/>
        <v>-8.5504169999999977E-3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36.997324999999996</v>
      </c>
      <c r="Y40" s="190">
        <v>40.749246999999997</v>
      </c>
      <c r="Z40" s="190">
        <v>0.98784225000000003</v>
      </c>
      <c r="AA40" s="62">
        <v>0.99055488000000003</v>
      </c>
      <c r="AB40" s="62">
        <v>1.7787416E-2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1.8926939999999988</v>
      </c>
      <c r="AN40" s="122">
        <f t="shared" si="5"/>
        <v>1.5434729999999988</v>
      </c>
      <c r="AO40" s="122">
        <f t="shared" si="6"/>
        <v>1.2257000000004403E-4</v>
      </c>
      <c r="AP40" s="122">
        <f t="shared" si="7"/>
        <v>2.0289000000006663E-4</v>
      </c>
      <c r="AQ40" s="88">
        <f t="shared" si="8"/>
        <v>-8.5042859999999998E-3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40.498542</v>
      </c>
      <c r="Y41" s="190">
        <v>43.915888000000002</v>
      </c>
      <c r="Z41" s="190">
        <v>0.99213446999999999</v>
      </c>
      <c r="AA41" s="62">
        <v>0.99600975000000003</v>
      </c>
      <c r="AB41" s="62">
        <v>1.0512792999999999E-2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2.7260950000000008</v>
      </c>
      <c r="AN41" s="122">
        <f t="shared" si="5"/>
        <v>2.0284329999999997</v>
      </c>
      <c r="AO41" s="122">
        <f t="shared" si="6"/>
        <v>1.6313999999995055E-4</v>
      </c>
      <c r="AP41" s="122">
        <f t="shared" si="7"/>
        <v>8.8938999999998991E-4</v>
      </c>
      <c r="AQ41" s="88">
        <f t="shared" si="8"/>
        <v>-8.3807660000000013E-3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27.951813999999999</v>
      </c>
      <c r="Y43" s="97">
        <v>33.756162000000003</v>
      </c>
      <c r="Z43" s="97">
        <v>0.95884106000000002</v>
      </c>
      <c r="AA43" s="60">
        <v>0.95595752000000001</v>
      </c>
      <c r="AB43" s="60">
        <v>5.5190250000000003E-2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0.47460399999999936</v>
      </c>
      <c r="AN43" s="96">
        <f t="shared" si="5"/>
        <v>1.2133760000000038</v>
      </c>
      <c r="AO43" s="96">
        <f t="shared" si="6"/>
        <v>-4.7770000000002533E-5</v>
      </c>
      <c r="AP43" s="96">
        <f t="shared" si="7"/>
        <v>1.0211000000004411E-4</v>
      </c>
      <c r="AQ43" s="121">
        <f t="shared" si="8"/>
        <v>-8.9670199999999992E-3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31.563897000000001</v>
      </c>
      <c r="Y44" s="190">
        <v>36.378163000000001</v>
      </c>
      <c r="Z44" s="190">
        <v>0.97538955999999999</v>
      </c>
      <c r="AA44" s="62">
        <v>0.97349428999999998</v>
      </c>
      <c r="AB44" s="62">
        <v>3.2408085000000003E-2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0.97455100000000172</v>
      </c>
      <c r="AN44" s="122">
        <f t="shared" si="5"/>
        <v>1.269207999999999</v>
      </c>
      <c r="AO44" s="122">
        <f t="shared" si="6"/>
        <v>8.560999999995822E-5</v>
      </c>
      <c r="AP44" s="122">
        <f t="shared" si="7"/>
        <v>1.7482000000001996E-4</v>
      </c>
      <c r="AQ44" s="88">
        <f t="shared" si="8"/>
        <v>-8.2668919999999979E-3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37.077917999999997</v>
      </c>
      <c r="Y45" s="190">
        <v>40.782612999999998</v>
      </c>
      <c r="Z45" s="190">
        <v>0.98792968000000003</v>
      </c>
      <c r="AA45" s="62">
        <v>0.99083195000000002</v>
      </c>
      <c r="AB45" s="62">
        <v>1.66835E-2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1.8928859999999972</v>
      </c>
      <c r="AN45" s="122">
        <f t="shared" si="5"/>
        <v>1.5151439999999994</v>
      </c>
      <c r="AO45" s="122">
        <f t="shared" si="6"/>
        <v>1.4363000000006121E-4</v>
      </c>
      <c r="AP45" s="122">
        <f t="shared" si="7"/>
        <v>3.4661000000002495E-4</v>
      </c>
      <c r="AQ45" s="88">
        <f t="shared" si="8"/>
        <v>-8.009782E-3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40.530484999999999</v>
      </c>
      <c r="Y46" s="190">
        <v>43.922265000000003</v>
      </c>
      <c r="Z46" s="190">
        <v>0.99227770999999998</v>
      </c>
      <c r="AA46" s="62">
        <v>0.99607672999999997</v>
      </c>
      <c r="AB46" s="62">
        <v>1.0057372E-2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2.6890749999999954</v>
      </c>
      <c r="AN46" s="122">
        <f t="shared" si="5"/>
        <v>1.9750470000000035</v>
      </c>
      <c r="AO46" s="122">
        <f t="shared" si="6"/>
        <v>1.6843999999993642E-4</v>
      </c>
      <c r="AP46" s="122">
        <f t="shared" si="7"/>
        <v>9.4077999999997441E-4</v>
      </c>
      <c r="AQ46" s="88">
        <f t="shared" si="8"/>
        <v>-7.6669259999999993E-3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28.000589000000002</v>
      </c>
      <c r="Y48" s="97">
        <v>33.757241999999998</v>
      </c>
      <c r="Z48" s="97">
        <v>0.95883731000000005</v>
      </c>
      <c r="AA48" s="60">
        <v>0.95672060999999997</v>
      </c>
      <c r="AB48" s="60">
        <v>5.6318199999999999E-2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0.47207400000000277</v>
      </c>
      <c r="AN48" s="96">
        <f t="shared" si="5"/>
        <v>1.1838890000000006</v>
      </c>
      <c r="AO48" s="96">
        <f t="shared" si="6"/>
        <v>-5.2729999999945321E-5</v>
      </c>
      <c r="AP48" s="96">
        <f t="shared" si="7"/>
        <v>1.1980299999999611E-3</v>
      </c>
      <c r="AQ48" s="121">
        <f t="shared" si="8"/>
        <v>-8.8012799999999947E-3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31.233988</v>
      </c>
      <c r="Y49" s="190">
        <v>36.104055000000002</v>
      </c>
      <c r="Z49" s="190">
        <v>0.97488370999999996</v>
      </c>
      <c r="AA49" s="62">
        <v>0.97237335999999996</v>
      </c>
      <c r="AB49" s="62">
        <v>3.4649010000000001E-2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0.86998399999999876</v>
      </c>
      <c r="AN49" s="122">
        <f t="shared" si="5"/>
        <v>1.1927120000000002</v>
      </c>
      <c r="AO49" s="122">
        <f t="shared" si="6"/>
        <v>6.3199999999929979E-5</v>
      </c>
      <c r="AP49" s="122">
        <f t="shared" si="7"/>
        <v>2.0136999999997851E-4</v>
      </c>
      <c r="AQ49" s="88">
        <f t="shared" si="8"/>
        <v>-8.2949520000000013E-3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37.010337</v>
      </c>
      <c r="Y50" s="190">
        <v>40.706519</v>
      </c>
      <c r="Z50" s="190">
        <v>0.98776571000000002</v>
      </c>
      <c r="AA50" s="62">
        <v>0.99084996999999997</v>
      </c>
      <c r="AB50" s="62">
        <v>1.7880206999999999E-2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1.8315490000000025</v>
      </c>
      <c r="AN50" s="122">
        <f t="shared" si="5"/>
        <v>1.4529440000000022</v>
      </c>
      <c r="AO50" s="122">
        <f t="shared" si="6"/>
        <v>1.0083999999999094E-4</v>
      </c>
      <c r="AP50" s="122">
        <f t="shared" si="7"/>
        <v>3.7966000000000388E-4</v>
      </c>
      <c r="AQ50" s="88">
        <f t="shared" si="8"/>
        <v>-7.8977100000000022E-3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40.417661000000003</v>
      </c>
      <c r="Y51" s="190">
        <v>43.816755999999998</v>
      </c>
      <c r="Z51" s="190">
        <v>0.99211128999999998</v>
      </c>
      <c r="AA51" s="62">
        <v>0.99604302</v>
      </c>
      <c r="AB51" s="62">
        <v>1.1074407E-2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2.6301620000000057</v>
      </c>
      <c r="AN51" s="122">
        <f t="shared" si="5"/>
        <v>1.9304939999999959</v>
      </c>
      <c r="AO51" s="122">
        <f t="shared" si="6"/>
        <v>1.5670000000000961E-4</v>
      </c>
      <c r="AP51" s="122">
        <f t="shared" si="7"/>
        <v>9.794400000000536E-4</v>
      </c>
      <c r="AQ51" s="88">
        <f t="shared" si="8"/>
        <v>-7.5380130000000014E-3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28.120175</v>
      </c>
      <c r="Y53" s="97">
        <v>33.7087</v>
      </c>
      <c r="Z53" s="97">
        <v>0.95675907999999998</v>
      </c>
      <c r="AA53" s="60">
        <v>0.95752822000000004</v>
      </c>
      <c r="AB53" s="60">
        <v>5.9816748000000003E-2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0.48290000000000077</v>
      </c>
      <c r="AN53" s="96">
        <f t="shared" si="5"/>
        <v>1.1050889999999995</v>
      </c>
      <c r="AO53" s="96">
        <f t="shared" si="6"/>
        <v>-9.1830000000014955E-5</v>
      </c>
      <c r="AP53" s="96">
        <f t="shared" si="7"/>
        <v>1.1337000000000153E-3</v>
      </c>
      <c r="AQ53" s="121">
        <f t="shared" si="8"/>
        <v>-8.773582000000002E-3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31.224308000000001</v>
      </c>
      <c r="Y54" s="190">
        <v>36.005158000000002</v>
      </c>
      <c r="Z54" s="190">
        <v>0.97402654</v>
      </c>
      <c r="AA54" s="62">
        <v>0.97419005000000003</v>
      </c>
      <c r="AB54" s="62">
        <v>3.6934010000000003E-2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0.88225300000000217</v>
      </c>
      <c r="AN54" s="122">
        <f t="shared" si="5"/>
        <v>1.1319950000000034</v>
      </c>
      <c r="AO54" s="122">
        <f t="shared" si="6"/>
        <v>-1.3009999999979982E-5</v>
      </c>
      <c r="AP54" s="122">
        <f t="shared" si="7"/>
        <v>1.656219999999986E-3</v>
      </c>
      <c r="AQ54" s="88">
        <f t="shared" si="8"/>
        <v>-8.0764229999999992E-3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36.769697000000001</v>
      </c>
      <c r="Y55" s="190">
        <v>40.465901000000002</v>
      </c>
      <c r="Z55" s="190">
        <v>0.98715275000000002</v>
      </c>
      <c r="AA55" s="62">
        <v>0.99069244999999995</v>
      </c>
      <c r="AB55" s="62">
        <v>1.9578124999999998E-2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1.7755769999999984</v>
      </c>
      <c r="AN55" s="122">
        <f t="shared" si="5"/>
        <v>1.4048860000000047</v>
      </c>
      <c r="AO55" s="122">
        <f t="shared" si="6"/>
        <v>6.4460000000043927E-5</v>
      </c>
      <c r="AP55" s="122">
        <f t="shared" si="7"/>
        <v>3.2303999999994115E-4</v>
      </c>
      <c r="AQ55" s="88">
        <f t="shared" si="8"/>
        <v>-8.0087930000000002E-3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39.904080999999998</v>
      </c>
      <c r="Y56" s="190">
        <v>43.337386000000002</v>
      </c>
      <c r="Z56" s="190">
        <v>0.99156851999999995</v>
      </c>
      <c r="AA56" s="62">
        <v>0.99577194999999996</v>
      </c>
      <c r="AB56" s="62">
        <v>1.233183E-2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2.4720119999999994</v>
      </c>
      <c r="AN56" s="122">
        <f t="shared" si="5"/>
        <v>1.8336639999999989</v>
      </c>
      <c r="AO56" s="122">
        <f t="shared" si="6"/>
        <v>1.388599999999629E-4</v>
      </c>
      <c r="AP56" s="122">
        <f t="shared" si="7"/>
        <v>9.4721999999991535E-4</v>
      </c>
      <c r="AQ56" s="88">
        <f t="shared" si="8"/>
        <v>-7.6607619999999998E-3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27.359598999999999</v>
      </c>
      <c r="Y58" s="97">
        <v>33.631793000000002</v>
      </c>
      <c r="Z58" s="97">
        <v>0.95855782</v>
      </c>
      <c r="AA58" s="60">
        <v>0.95538719999999999</v>
      </c>
      <c r="AB58" s="60">
        <v>5.9724043999999997E-2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0.464776999999998</v>
      </c>
      <c r="AN58" s="96">
        <f t="shared" si="5"/>
        <v>1.3670749999999998</v>
      </c>
      <c r="AO58" s="96">
        <f t="shared" si="6"/>
        <v>-1.165600000000433E-4</v>
      </c>
      <c r="AP58" s="96">
        <f t="shared" si="7"/>
        <v>1.4714700000000303E-3</v>
      </c>
      <c r="AQ58" s="121">
        <f t="shared" si="8"/>
        <v>-9.5195159999999987E-3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31.898982</v>
      </c>
      <c r="Y59" s="190">
        <v>36.926661000000003</v>
      </c>
      <c r="Z59" s="190">
        <v>0.97646546999999995</v>
      </c>
      <c r="AA59" s="62">
        <v>0.97655013999999996</v>
      </c>
      <c r="AB59" s="62">
        <v>3.2493886E-2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1.0826010000000004</v>
      </c>
      <c r="AN59" s="122">
        <f t="shared" si="5"/>
        <v>1.4335880000000003</v>
      </c>
      <c r="AO59" s="122">
        <f t="shared" si="6"/>
        <v>2.098999999999851E-5</v>
      </c>
      <c r="AP59" s="122">
        <f t="shared" si="7"/>
        <v>1.6057299999999719E-3</v>
      </c>
      <c r="AQ59" s="88">
        <f t="shared" si="8"/>
        <v>-8.5196420000000009E-3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37.224449</v>
      </c>
      <c r="Y60" s="190">
        <v>41.00853</v>
      </c>
      <c r="Z60" s="190">
        <v>0.98873230999999995</v>
      </c>
      <c r="AA60" s="62">
        <v>0.99125996000000005</v>
      </c>
      <c r="AB60" s="62">
        <v>1.5613401000000001E-2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1.9306029999999978</v>
      </c>
      <c r="AN60" s="122">
        <f t="shared" si="5"/>
        <v>1.6178499999999971</v>
      </c>
      <c r="AO60" s="122">
        <f t="shared" si="6"/>
        <v>8.5059999999970159E-5</v>
      </c>
      <c r="AP60" s="122">
        <f t="shared" si="7"/>
        <v>3.1764000000000792E-4</v>
      </c>
      <c r="AQ60" s="88">
        <f t="shared" si="8"/>
        <v>-8.1938710000000001E-3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40.687457000000002</v>
      </c>
      <c r="Y61" s="190">
        <v>44.088918</v>
      </c>
      <c r="Z61" s="190">
        <v>0.99298748999999997</v>
      </c>
      <c r="AA61" s="62">
        <v>0.99629780000000001</v>
      </c>
      <c r="AB61" s="62">
        <v>8.7320139999999997E-3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2.7309180000000026</v>
      </c>
      <c r="AN61" s="122">
        <f t="shared" si="5"/>
        <v>2.0486959999999996</v>
      </c>
      <c r="AO61" s="122">
        <f t="shared" si="6"/>
        <v>1.344599999999474E-4</v>
      </c>
      <c r="AP61" s="122">
        <f t="shared" si="7"/>
        <v>6.0300999999995941E-4</v>
      </c>
      <c r="AQ61" s="88">
        <f t="shared" si="8"/>
        <v>-8.0906370000000012E-3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27.609522999999999</v>
      </c>
      <c r="Y63" s="97">
        <v>33.823715999999997</v>
      </c>
      <c r="Z63" s="97">
        <v>0.95947114</v>
      </c>
      <c r="AA63" s="60">
        <v>0.95481547</v>
      </c>
      <c r="AB63" s="60">
        <v>5.5412984999999998E-2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0.52945399999999765</v>
      </c>
      <c r="AN63" s="96">
        <f t="shared" si="5"/>
        <v>1.4099459999999979</v>
      </c>
      <c r="AO63" s="96">
        <f t="shared" si="6"/>
        <v>-3.4920000000049356E-5</v>
      </c>
      <c r="AP63" s="96">
        <f t="shared" si="7"/>
        <v>7.4368999999996355E-4</v>
      </c>
      <c r="AQ63" s="121">
        <f t="shared" si="8"/>
        <v>-9.9387150000000007E-3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31.714421000000002</v>
      </c>
      <c r="Y64" s="190">
        <v>36.824728999999998</v>
      </c>
      <c r="Z64" s="190">
        <v>0.97651452999999999</v>
      </c>
      <c r="AA64" s="62">
        <v>0.97411546999999998</v>
      </c>
      <c r="AB64" s="62">
        <v>3.1136069999999998E-2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1.0677760000000021</v>
      </c>
      <c r="AN64" s="122">
        <f t="shared" si="5"/>
        <v>1.4473679999999973</v>
      </c>
      <c r="AO64" s="122">
        <f t="shared" si="6"/>
        <v>4.3879999999996144E-5</v>
      </c>
      <c r="AP64" s="122">
        <f t="shared" si="7"/>
        <v>2.0390299999999417E-3</v>
      </c>
      <c r="AQ64" s="88">
        <f t="shared" si="8"/>
        <v>-8.7279630000000018E-3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37.344301000000002</v>
      </c>
      <c r="Y65" s="190">
        <v>41.118715000000002</v>
      </c>
      <c r="Z65" s="190">
        <v>0.98869715000000002</v>
      </c>
      <c r="AA65" s="62">
        <v>0.99094431999999999</v>
      </c>
      <c r="AB65" s="62">
        <v>1.5158382E-2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2.0400120000000044</v>
      </c>
      <c r="AN65" s="122">
        <f t="shared" si="5"/>
        <v>1.6913210000000021</v>
      </c>
      <c r="AO65" s="122">
        <f t="shared" si="6"/>
        <v>1.1486999999998915E-4</v>
      </c>
      <c r="AP65" s="122">
        <f t="shared" si="7"/>
        <v>4.0697000000000649E-4</v>
      </c>
      <c r="AQ65" s="88">
        <f t="shared" si="8"/>
        <v>-8.4303630000000015E-3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40.78331</v>
      </c>
      <c r="Y66" s="190">
        <v>44.164096000000001</v>
      </c>
      <c r="Z66" s="190">
        <v>0.99290042000000001</v>
      </c>
      <c r="AA66" s="62">
        <v>0.99628223000000005</v>
      </c>
      <c r="AB66" s="62">
        <v>8.4954309999999995E-3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2.8426120000000026</v>
      </c>
      <c r="AN66" s="122">
        <f t="shared" si="5"/>
        <v>2.1214360000000028</v>
      </c>
      <c r="AO66" s="122">
        <f t="shared" si="6"/>
        <v>1.6174000000002131E-4</v>
      </c>
      <c r="AP66" s="122">
        <f t="shared" si="7"/>
        <v>9.2634000000002548E-4</v>
      </c>
      <c r="AQ66" s="88">
        <f t="shared" si="8"/>
        <v>-8.2120690000000007E-3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27.874137000000001</v>
      </c>
      <c r="Y68" s="97">
        <v>33.995038000000001</v>
      </c>
      <c r="Z68" s="97">
        <v>0.95953157</v>
      </c>
      <c r="AA68" s="60">
        <v>0.95558567999999999</v>
      </c>
      <c r="AB68" s="60">
        <v>5.3435030000000001E-2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0.53420000000000201</v>
      </c>
      <c r="AN68" s="96">
        <f t="shared" si="5"/>
        <v>1.3963189999999983</v>
      </c>
      <c r="AO68" s="96">
        <f t="shared" si="6"/>
        <v>1.0170000000031543E-5</v>
      </c>
      <c r="AP68" s="96">
        <f t="shared" si="7"/>
        <v>7.2910999999997728E-4</v>
      </c>
      <c r="AQ68" s="121">
        <f t="shared" si="8"/>
        <v>-9.4953159999999967E-3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31.75244</v>
      </c>
      <c r="Y69" s="190">
        <v>36.851987000000001</v>
      </c>
      <c r="Z69" s="190">
        <v>0.97615971999999995</v>
      </c>
      <c r="AA69" s="62">
        <v>0.97366222999999996</v>
      </c>
      <c r="AB69" s="62">
        <v>3.0525597000000002E-2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1.052741000000001</v>
      </c>
      <c r="AN69" s="122">
        <f t="shared" si="5"/>
        <v>1.4337370000000007</v>
      </c>
      <c r="AO69" s="122">
        <f t="shared" si="6"/>
        <v>6.2939999999955809E-5</v>
      </c>
      <c r="AP69" s="122">
        <f t="shared" si="7"/>
        <v>2.2544899999999979E-3</v>
      </c>
      <c r="AQ69" s="88">
        <f t="shared" si="8"/>
        <v>-8.5672450000000011E-3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37.355257000000002</v>
      </c>
      <c r="Y70" s="190">
        <v>41.129739000000001</v>
      </c>
      <c r="Z70" s="190">
        <v>0.98848002999999995</v>
      </c>
      <c r="AA70" s="62">
        <v>0.99049719000000003</v>
      </c>
      <c r="AB70" s="62">
        <v>1.4780969E-2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2.0293649999999985</v>
      </c>
      <c r="AN70" s="122">
        <f t="shared" si="5"/>
        <v>1.6852930000000015</v>
      </c>
      <c r="AO70" s="122">
        <f t="shared" si="6"/>
        <v>1.4729999999996135E-4</v>
      </c>
      <c r="AP70" s="122">
        <f t="shared" si="7"/>
        <v>4.9337000000004849E-4</v>
      </c>
      <c r="AQ70" s="88">
        <f t="shared" si="8"/>
        <v>-8.2701530000000006E-3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40.727173000000001</v>
      </c>
      <c r="Y71" s="190">
        <v>44.115551000000004</v>
      </c>
      <c r="Z71" s="190">
        <v>0.99277042000000004</v>
      </c>
      <c r="AA71" s="62">
        <v>0.99616382000000003</v>
      </c>
      <c r="AB71" s="62">
        <v>8.6898800000000005E-3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2.8082029999999989</v>
      </c>
      <c r="AN71" s="122">
        <f t="shared" si="5"/>
        <v>2.1049510000000069</v>
      </c>
      <c r="AO71" s="122">
        <f t="shared" si="6"/>
        <v>1.7032000000005709E-4</v>
      </c>
      <c r="AP71" s="122">
        <f t="shared" si="7"/>
        <v>1.1393400000000442E-3</v>
      </c>
      <c r="AQ71" s="88">
        <f t="shared" si="8"/>
        <v>-7.914835999999998E-3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27.961714000000001</v>
      </c>
      <c r="Y73" s="97">
        <v>34.033496999999997</v>
      </c>
      <c r="Z73" s="97">
        <v>0.95953319000000004</v>
      </c>
      <c r="AA73" s="60">
        <v>0.95576616999999997</v>
      </c>
      <c r="AB73" s="60">
        <v>5.3399670000000003E-2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0.50688500000000047</v>
      </c>
      <c r="AN73" s="96">
        <f t="shared" si="5"/>
        <v>1.3717289999999949</v>
      </c>
      <c r="AO73" s="96">
        <f t="shared" si="6"/>
        <v>6.400000000073014E-6</v>
      </c>
      <c r="AP73" s="96">
        <f t="shared" si="7"/>
        <v>7.026099999999369E-4</v>
      </c>
      <c r="AQ73" s="121">
        <f t="shared" si="8"/>
        <v>-9.2776499999999915E-3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31.68526</v>
      </c>
      <c r="Y74" s="190">
        <v>36.775576999999998</v>
      </c>
      <c r="Z74" s="190">
        <v>0.97582926999999997</v>
      </c>
      <c r="AA74" s="62">
        <v>0.97342030999999996</v>
      </c>
      <c r="AB74" s="62">
        <v>3.0948010000000001E-2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1.0246269999999988</v>
      </c>
      <c r="AN74" s="122">
        <f t="shared" si="5"/>
        <v>1.4140119999999996</v>
      </c>
      <c r="AO74" s="122">
        <f t="shared" si="6"/>
        <v>5.116999999998928E-5</v>
      </c>
      <c r="AP74" s="122">
        <f t="shared" si="7"/>
        <v>2.3370099999999727E-3</v>
      </c>
      <c r="AQ74" s="88">
        <f t="shared" si="8"/>
        <v>-8.4577530000000019E-3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37.326458000000002</v>
      </c>
      <c r="Y75" s="190">
        <v>41.103901</v>
      </c>
      <c r="Z75" s="190">
        <v>0.98830529</v>
      </c>
      <c r="AA75" s="62">
        <v>0.99061526</v>
      </c>
      <c r="AB75" s="62">
        <v>1.5155541E-2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2.0122479999999996</v>
      </c>
      <c r="AN75" s="122">
        <f t="shared" si="5"/>
        <v>1.6726250000000036</v>
      </c>
      <c r="AO75" s="122">
        <f t="shared" si="6"/>
        <v>1.207500000000028E-4</v>
      </c>
      <c r="AP75" s="122">
        <f t="shared" si="7"/>
        <v>5.3490999999994404E-4</v>
      </c>
      <c r="AQ75" s="88">
        <f t="shared" si="8"/>
        <v>-8.0953759999999996E-3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40.662785999999997</v>
      </c>
      <c r="Y76" s="190">
        <v>44.065761999999999</v>
      </c>
      <c r="Z76" s="190">
        <v>0.99258557999999997</v>
      </c>
      <c r="AA76" s="62">
        <v>0.99617012000000005</v>
      </c>
      <c r="AB76" s="62">
        <v>9.0858685000000002E-3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2.7811120000000003</v>
      </c>
      <c r="AN76" s="122">
        <f t="shared" si="5"/>
        <v>2.0970790000000008</v>
      </c>
      <c r="AO76" s="122">
        <f t="shared" si="6"/>
        <v>1.6040999999999972E-4</v>
      </c>
      <c r="AP76" s="122">
        <f t="shared" si="7"/>
        <v>1.0912400000000488E-3</v>
      </c>
      <c r="AQ76" s="88">
        <f t="shared" si="8"/>
        <v>-7.7343464999999993E-3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27.979727</v>
      </c>
      <c r="Y78" s="97">
        <v>33.810654</v>
      </c>
      <c r="Z78" s="97">
        <v>0.95753102999999995</v>
      </c>
      <c r="AA78" s="60">
        <v>0.95630113999999999</v>
      </c>
      <c r="AB78" s="60">
        <v>5.7345092E-2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0.47097400000000178</v>
      </c>
      <c r="AN78" s="96">
        <f t="shared" si="5"/>
        <v>1.192497000000003</v>
      </c>
      <c r="AO78" s="96">
        <f t="shared" si="6"/>
        <v>-7.6810000000038237E-5</v>
      </c>
      <c r="AP78" s="96">
        <f t="shared" si="7"/>
        <v>6.2291999999997127E-4</v>
      </c>
      <c r="AQ78" s="121">
        <f t="shared" si="8"/>
        <v>-8.8197379999999936E-3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31.532095999999999</v>
      </c>
      <c r="Y79" s="190">
        <v>36.482218000000003</v>
      </c>
      <c r="Z79" s="190">
        <v>0.97465800999999996</v>
      </c>
      <c r="AA79" s="62">
        <v>0.97403298999999999</v>
      </c>
      <c r="AB79" s="62">
        <v>3.4736533E-2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0.94331599999999938</v>
      </c>
      <c r="AN79" s="122">
        <f t="shared" si="5"/>
        <v>1.2533560000000037</v>
      </c>
      <c r="AO79" s="122">
        <f t="shared" si="6"/>
        <v>-1.2679999999987146E-5</v>
      </c>
      <c r="AP79" s="122">
        <f t="shared" si="7"/>
        <v>2.080809999999933E-3</v>
      </c>
      <c r="AQ79" s="88">
        <f t="shared" si="8"/>
        <v>-8.0582370000000028E-3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36.954348000000003</v>
      </c>
      <c r="Y80" s="190">
        <v>40.725622999999999</v>
      </c>
      <c r="Z80" s="190">
        <v>0.98742753000000005</v>
      </c>
      <c r="AA80" s="62">
        <v>0.99053601000000002</v>
      </c>
      <c r="AB80" s="62">
        <v>1.7353980000000001E-2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1.8240340000000046</v>
      </c>
      <c r="AN80" s="122">
        <f t="shared" si="5"/>
        <v>1.499724999999998</v>
      </c>
      <c r="AO80" s="122">
        <f t="shared" si="6"/>
        <v>5.1200000000029E-5</v>
      </c>
      <c r="AP80" s="122">
        <f t="shared" si="7"/>
        <v>3.5932000000005182E-4</v>
      </c>
      <c r="AQ80" s="88">
        <f t="shared" si="8"/>
        <v>-7.7952159999999972E-3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40.107869999999998</v>
      </c>
      <c r="Y81" s="190">
        <v>43.565044</v>
      </c>
      <c r="Z81" s="190">
        <v>0.99180568999999996</v>
      </c>
      <c r="AA81" s="62">
        <v>0.99585235999999999</v>
      </c>
      <c r="AB81" s="62">
        <v>1.0987040999999999E-2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2.5105229999999992</v>
      </c>
      <c r="AN81" s="122">
        <f t="shared" si="5"/>
        <v>1.9127920000000032</v>
      </c>
      <c r="AO81" s="122">
        <f t="shared" si="6"/>
        <v>1.1408000000001639E-4</v>
      </c>
      <c r="AP81" s="122">
        <f t="shared" si="7"/>
        <v>9.265899999999494E-4</v>
      </c>
      <c r="AQ81" s="88">
        <f t="shared" si="8"/>
        <v>-7.4980790000000012E-3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27.511243</v>
      </c>
      <c r="Y83" s="97">
        <v>33.646484000000001</v>
      </c>
      <c r="Z83" s="97">
        <v>0.95619982000000003</v>
      </c>
      <c r="AA83" s="60">
        <v>0.95609305</v>
      </c>
      <c r="AB83" s="60">
        <v>6.1074995E-2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0.53134700000000024</v>
      </c>
      <c r="AN83" s="96">
        <f t="shared" si="5"/>
        <v>1.3212079999999986</v>
      </c>
      <c r="AO83" s="96">
        <f t="shared" si="6"/>
        <v>-3.685999999999412E-4</v>
      </c>
      <c r="AP83" s="96">
        <f t="shared" si="7"/>
        <v>6.4721000000000917E-4</v>
      </c>
      <c r="AQ83" s="121">
        <f t="shared" si="8"/>
        <v>-9.3479349999999947E-3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31.566286999999999</v>
      </c>
      <c r="Y84" s="190">
        <v>36.648235999999997</v>
      </c>
      <c r="Z84" s="190">
        <v>0.97588048000000005</v>
      </c>
      <c r="AA84" s="62">
        <v>0.97488854999999996</v>
      </c>
      <c r="AB84" s="62">
        <v>3.2802842999999998E-2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1.0571829999999984</v>
      </c>
      <c r="AN84" s="122">
        <f t="shared" si="5"/>
        <v>1.3723939999999999</v>
      </c>
      <c r="AO84" s="122">
        <f t="shared" si="6"/>
        <v>-2.1757000000000026E-4</v>
      </c>
      <c r="AP84" s="122">
        <f t="shared" si="7"/>
        <v>2.9996999999992724E-4</v>
      </c>
      <c r="AQ84" s="88">
        <f t="shared" si="8"/>
        <v>-8.219857000000004E-3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36.828907000000001</v>
      </c>
      <c r="Y85" s="190">
        <v>40.717587999999999</v>
      </c>
      <c r="Z85" s="190">
        <v>0.98847644000000001</v>
      </c>
      <c r="AA85" s="62">
        <v>0.99151005999999997</v>
      </c>
      <c r="AB85" s="62">
        <v>1.5592976999999999E-2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1.8334079999999986</v>
      </c>
      <c r="AN85" s="122">
        <f t="shared" si="5"/>
        <v>1.5860709999999969</v>
      </c>
      <c r="AO85" s="122">
        <f t="shared" si="6"/>
        <v>-9.8559999999969783E-5</v>
      </c>
      <c r="AP85" s="122">
        <f t="shared" si="7"/>
        <v>3.8476999999992323E-4</v>
      </c>
      <c r="AQ85" s="88">
        <f t="shared" si="8"/>
        <v>-8.1751050000000002E-3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40.261409999999998</v>
      </c>
      <c r="Y86" s="190">
        <v>43.733687000000003</v>
      </c>
      <c r="Z86" s="190">
        <v>0.99291845000000001</v>
      </c>
      <c r="AA86" s="62">
        <v>0.99612961</v>
      </c>
      <c r="AB86" s="62">
        <v>8.8580220000000001E-3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2.4425349999999995</v>
      </c>
      <c r="AN86" s="122">
        <f t="shared" si="5"/>
        <v>1.8601100000000059</v>
      </c>
      <c r="AO86" s="122">
        <f t="shared" si="6"/>
        <v>-6.2519999999954834E-5</v>
      </c>
      <c r="AP86" s="122">
        <f t="shared" si="7"/>
        <v>4.446500000000464E-4</v>
      </c>
      <c r="AQ86" s="88">
        <f t="shared" si="8"/>
        <v>-7.9217320000000008E-3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27.633783000000001</v>
      </c>
      <c r="Y88" s="97">
        <v>33.808757</v>
      </c>
      <c r="Z88" s="97">
        <v>0.95761887000000001</v>
      </c>
      <c r="AA88" s="60">
        <v>0.95597008000000006</v>
      </c>
      <c r="AB88" s="60">
        <v>5.6733113000000002E-2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0.56358600000000081</v>
      </c>
      <c r="AN88" s="96">
        <f t="shared" si="5"/>
        <v>1.4011369999999985</v>
      </c>
      <c r="AO88" s="96">
        <f t="shared" si="6"/>
        <v>-9.7420000000014717E-5</v>
      </c>
      <c r="AP88" s="96">
        <f t="shared" si="7"/>
        <v>1.2965200000000232E-3</v>
      </c>
      <c r="AQ88" s="121">
        <f t="shared" si="8"/>
        <v>-9.9500869999999964E-3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31.684411999999998</v>
      </c>
      <c r="Y89" s="190">
        <v>36.768774999999998</v>
      </c>
      <c r="Z89" s="190">
        <v>0.97623388</v>
      </c>
      <c r="AA89" s="62">
        <v>0.97357004999999996</v>
      </c>
      <c r="AB89" s="62">
        <v>3.1079203E-2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1.0959799999999973</v>
      </c>
      <c r="AN89" s="122">
        <f t="shared" si="5"/>
        <v>1.423254</v>
      </c>
      <c r="AO89" s="122">
        <f t="shared" si="6"/>
        <v>-1.0430000000005712E-5</v>
      </c>
      <c r="AP89" s="122">
        <f t="shared" si="7"/>
        <v>4.566799999999871E-4</v>
      </c>
      <c r="AQ89" s="88">
        <f t="shared" si="8"/>
        <v>-8.8488349999999993E-3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37.088329000000002</v>
      </c>
      <c r="Y90" s="190">
        <v>40.950769000000001</v>
      </c>
      <c r="Z90" s="190">
        <v>0.98859677999999995</v>
      </c>
      <c r="AA90" s="62">
        <v>0.99124089999999998</v>
      </c>
      <c r="AB90" s="62">
        <v>1.4960209E-2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1.9610839999999996</v>
      </c>
      <c r="AN90" s="122">
        <f t="shared" si="5"/>
        <v>1.6762470000000036</v>
      </c>
      <c r="AO90" s="122">
        <f t="shared" si="6"/>
        <v>6.5179999999998017E-5</v>
      </c>
      <c r="AP90" s="122">
        <f t="shared" si="7"/>
        <v>5.234299999999914E-4</v>
      </c>
      <c r="AQ90" s="88">
        <f t="shared" si="8"/>
        <v>-8.6359590000000003E-3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40.613047000000002</v>
      </c>
      <c r="Y91" s="190">
        <v>44.028112999999998</v>
      </c>
      <c r="Z91" s="190">
        <v>0.99299870000000001</v>
      </c>
      <c r="AA91" s="62">
        <v>0.99627452999999999</v>
      </c>
      <c r="AB91" s="62">
        <v>8.2835879999999997E-3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2.6997890000000027</v>
      </c>
      <c r="AN91" s="122">
        <f t="shared" si="5"/>
        <v>2.0361399999999961</v>
      </c>
      <c r="AO91" s="122">
        <f t="shared" si="6"/>
        <v>1.009100000000096E-4</v>
      </c>
      <c r="AP91" s="122">
        <f t="shared" si="7"/>
        <v>8.1902000000000363E-4</v>
      </c>
      <c r="AQ91" s="88">
        <f t="shared" si="8"/>
        <v>-8.4118870000000016E-3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27.785755999999999</v>
      </c>
      <c r="Y93" s="97">
        <v>33.904074000000001</v>
      </c>
      <c r="Z93" s="97">
        <v>0.95848308999999998</v>
      </c>
      <c r="AA93" s="60">
        <v>0.95520863</v>
      </c>
      <c r="AB93" s="60">
        <v>5.3858105000000003E-2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0.55598099999999917</v>
      </c>
      <c r="AN93" s="96">
        <f t="shared" si="5"/>
        <v>1.3729810000000029</v>
      </c>
      <c r="AO93" s="96">
        <f t="shared" si="6"/>
        <v>-9.3050000000038935E-5</v>
      </c>
      <c r="AP93" s="96">
        <f t="shared" si="7"/>
        <v>1.8179499999999571E-3</v>
      </c>
      <c r="AQ93" s="121">
        <f t="shared" si="8"/>
        <v>-9.654465000000001E-3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31.75534</v>
      </c>
      <c r="Y94" s="190">
        <v>36.797272999999997</v>
      </c>
      <c r="Z94" s="190">
        <v>0.97658392999999999</v>
      </c>
      <c r="AA94" s="62">
        <v>0.97377318999999996</v>
      </c>
      <c r="AB94" s="62">
        <v>2.9481348000000001E-2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1.0659309999999991</v>
      </c>
      <c r="AN94" s="122">
        <f t="shared" si="5"/>
        <v>1.3852819999999966</v>
      </c>
      <c r="AO94" s="122">
        <f t="shared" si="6"/>
        <v>1.0010000000004737E-5</v>
      </c>
      <c r="AP94" s="122">
        <f t="shared" si="7"/>
        <v>2.457359999999964E-3</v>
      </c>
      <c r="AQ94" s="88">
        <f t="shared" si="8"/>
        <v>-8.5991059999999987E-3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37.286808000000001</v>
      </c>
      <c r="Y95" s="190">
        <v>41.090871999999997</v>
      </c>
      <c r="Z95" s="190">
        <v>0.98872768</v>
      </c>
      <c r="AA95" s="62">
        <v>0.99070511999999999</v>
      </c>
      <c r="AB95" s="62">
        <v>1.4438873E-2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1.9573170000000033</v>
      </c>
      <c r="AN95" s="122">
        <f t="shared" si="5"/>
        <v>1.6368379999999974</v>
      </c>
      <c r="AO95" s="122">
        <f t="shared" si="6"/>
        <v>7.5519999999995591E-5</v>
      </c>
      <c r="AP95" s="122">
        <f t="shared" si="7"/>
        <v>5.6701000000003443E-4</v>
      </c>
      <c r="AQ95" s="88">
        <f t="shared" si="8"/>
        <v>-8.1269819999999996E-3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40.794550000000001</v>
      </c>
      <c r="Y96" s="190">
        <v>44.168049000000003</v>
      </c>
      <c r="Z96" s="190">
        <v>0.99302632000000002</v>
      </c>
      <c r="AA96" s="62">
        <v>0.99624769000000002</v>
      </c>
      <c r="AB96" s="62">
        <v>8.1057300000000002E-3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2.7133889999999994</v>
      </c>
      <c r="AN96" s="122">
        <f t="shared" si="5"/>
        <v>2.0180390000000017</v>
      </c>
      <c r="AO96" s="122">
        <f t="shared" si="6"/>
        <v>9.6190000000051512E-5</v>
      </c>
      <c r="AP96" s="122">
        <f t="shared" si="7"/>
        <v>1.0857600000000467E-3</v>
      </c>
      <c r="AQ96" s="88">
        <f t="shared" si="8"/>
        <v>-7.8986720000000007E-3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27.957328</v>
      </c>
      <c r="Y98" s="97">
        <v>34.028205999999997</v>
      </c>
      <c r="Z98" s="97">
        <v>0.95864472000000001</v>
      </c>
      <c r="AA98" s="60">
        <v>0.95634830000000004</v>
      </c>
      <c r="AB98" s="60">
        <v>5.4061178000000001E-2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0.55751300000000015</v>
      </c>
      <c r="AN98" s="96">
        <f t="shared" si="15"/>
        <v>1.3663120000000006</v>
      </c>
      <c r="AO98" s="96">
        <f t="shared" si="16"/>
        <v>-7.8910000000043112E-5</v>
      </c>
      <c r="AP98" s="96">
        <f t="shared" si="17"/>
        <v>1.6540600000000127E-3</v>
      </c>
      <c r="AQ98" s="121">
        <f t="shared" si="18"/>
        <v>-9.3129460000000025E-3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31.716581000000001</v>
      </c>
      <c r="Y99" s="190">
        <v>36.784157999999998</v>
      </c>
      <c r="Z99" s="190">
        <v>0.97651253999999998</v>
      </c>
      <c r="AA99" s="62">
        <v>0.97240656999999997</v>
      </c>
      <c r="AB99" s="62">
        <v>3.0104731999999999E-2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1.0656610000000022</v>
      </c>
      <c r="AN99" s="122">
        <f t="shared" si="15"/>
        <v>1.3911790000000011</v>
      </c>
      <c r="AO99" s="122">
        <f t="shared" si="16"/>
        <v>2.3499999999954113E-5</v>
      </c>
      <c r="AP99" s="122">
        <f t="shared" si="17"/>
        <v>5.398599999999476E-4</v>
      </c>
      <c r="AQ99" s="88">
        <f t="shared" si="18"/>
        <v>-8.5692950000000011E-3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37.196522000000002</v>
      </c>
      <c r="Y100" s="190">
        <v>41.046700999999999</v>
      </c>
      <c r="Z100" s="190">
        <v>0.98864876999999995</v>
      </c>
      <c r="AA100" s="62">
        <v>0.99074222999999995</v>
      </c>
      <c r="AB100" s="62">
        <v>1.5006739999999999E-2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1.9704130000000006</v>
      </c>
      <c r="AN100" s="122">
        <f t="shared" si="15"/>
        <v>1.6694570000000013</v>
      </c>
      <c r="AO100" s="122">
        <f t="shared" si="16"/>
        <v>7.9039999999919175E-5</v>
      </c>
      <c r="AP100" s="122">
        <f t="shared" si="17"/>
        <v>6.3396999999998371E-4</v>
      </c>
      <c r="AQ100" s="88">
        <f t="shared" si="18"/>
        <v>-8.2947330000000003E-3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40.721497999999997</v>
      </c>
      <c r="Y101" s="190">
        <v>44.129908</v>
      </c>
      <c r="Z101" s="190">
        <v>0.99296876999999995</v>
      </c>
      <c r="AA101" s="62">
        <v>0.99625679</v>
      </c>
      <c r="AB101" s="62">
        <v>8.579517E-3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2.692502999999995</v>
      </c>
      <c r="AN101" s="122">
        <f t="shared" si="15"/>
        <v>2.0221459999999993</v>
      </c>
      <c r="AO101" s="122">
        <f t="shared" si="16"/>
        <v>1.1043999999993392E-4</v>
      </c>
      <c r="AP101" s="122">
        <f t="shared" si="17"/>
        <v>9.5612000000000474E-4</v>
      </c>
      <c r="AQ101" s="88">
        <f t="shared" si="18"/>
        <v>-7.8115070000000005E-3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27.855948999999999</v>
      </c>
      <c r="Y103" s="97">
        <v>33.503189999999996</v>
      </c>
      <c r="Z103" s="97">
        <v>0.95668984000000001</v>
      </c>
      <c r="AA103" s="60">
        <v>0.95672462999999996</v>
      </c>
      <c r="AB103" s="60">
        <v>5.6325052E-2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0.47372700000000023</v>
      </c>
      <c r="AN103" s="96">
        <f t="shared" si="15"/>
        <v>1.0355879999999971</v>
      </c>
      <c r="AO103" s="96">
        <f t="shared" si="16"/>
        <v>-1.8843999999995642E-4</v>
      </c>
      <c r="AP103" s="96">
        <f t="shared" si="17"/>
        <v>1.4485399999999427E-3</v>
      </c>
      <c r="AQ103" s="121">
        <f t="shared" si="18"/>
        <v>-9.0419540000000048E-3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31.407177000000001</v>
      </c>
      <c r="Y104" s="190">
        <v>36.232486000000002</v>
      </c>
      <c r="Z104" s="190">
        <v>0.97557406000000002</v>
      </c>
      <c r="AA104" s="62">
        <v>0.97326553000000005</v>
      </c>
      <c r="AB104" s="62">
        <v>3.1945184000000001E-2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0.91387100000000032</v>
      </c>
      <c r="AN104" s="122">
        <f t="shared" si="15"/>
        <v>1.0999880000000033</v>
      </c>
      <c r="AO104" s="122">
        <f t="shared" si="16"/>
        <v>-1.0710000000002662E-4</v>
      </c>
      <c r="AP104" s="122">
        <f t="shared" si="17"/>
        <v>4.5258000000003573E-4</v>
      </c>
      <c r="AQ104" s="88">
        <f t="shared" si="18"/>
        <v>-8.2692689999999958E-3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36.494866000000002</v>
      </c>
      <c r="Y105" s="190">
        <v>40.337212999999998</v>
      </c>
      <c r="Z105" s="190">
        <v>0.98785707</v>
      </c>
      <c r="AA105" s="62">
        <v>0.99047125000000003</v>
      </c>
      <c r="AB105" s="62">
        <v>1.6289897000000001E-2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1.5737850000000009</v>
      </c>
      <c r="AN105" s="122">
        <f t="shared" si="15"/>
        <v>1.2968899999999977</v>
      </c>
      <c r="AO105" s="122">
        <f t="shared" si="16"/>
        <v>-4.9469999999995906E-5</v>
      </c>
      <c r="AP105" s="122">
        <f t="shared" si="17"/>
        <v>4.859600000000075E-4</v>
      </c>
      <c r="AQ105" s="88">
        <f t="shared" si="18"/>
        <v>-7.9822329999999983E-3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39.814079999999997</v>
      </c>
      <c r="Y106" s="190">
        <v>43.286352000000001</v>
      </c>
      <c r="Z106" s="190">
        <v>0.99243117999999997</v>
      </c>
      <c r="AA106" s="62">
        <v>0.99588301999999995</v>
      </c>
      <c r="AB106" s="62">
        <v>9.5596499999999994E-3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2.0514099999999971</v>
      </c>
      <c r="AN106" s="122">
        <f t="shared" si="15"/>
        <v>1.4774910000000006</v>
      </c>
      <c r="AO106" s="122">
        <f t="shared" si="16"/>
        <v>-2.0400000000364571E-6</v>
      </c>
      <c r="AP106" s="122">
        <f t="shared" si="17"/>
        <v>6.7423999999993711E-4</v>
      </c>
      <c r="AQ106" s="88">
        <f t="shared" si="18"/>
        <v>-7.4384439999999989E-3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27.18111</v>
      </c>
      <c r="Y641" s="136">
        <f t="shared" si="60"/>
        <v>33.222498000000002</v>
      </c>
      <c r="Z641" s="136">
        <f t="shared" si="60"/>
        <v>0.95619982000000003</v>
      </c>
      <c r="AA641" s="136">
        <f t="shared" si="60"/>
        <v>0.95239625000000006</v>
      </c>
      <c r="AB641" s="136">
        <f t="shared" si="60"/>
        <v>5.3399670000000003E-2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31.224308000000001</v>
      </c>
      <c r="Y642" s="18">
        <f t="shared" si="60"/>
        <v>36.005158000000002</v>
      </c>
      <c r="Z642" s="18">
        <f t="shared" si="60"/>
        <v>0.97402654</v>
      </c>
      <c r="AA642" s="18">
        <f t="shared" si="60"/>
        <v>0.97237335999999996</v>
      </c>
      <c r="AB642" s="18">
        <f t="shared" si="60"/>
        <v>2.9481348000000001E-2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36.494866000000002</v>
      </c>
      <c r="Y643" s="18">
        <f t="shared" si="60"/>
        <v>40.337212999999998</v>
      </c>
      <c r="Z643" s="18">
        <f t="shared" si="60"/>
        <v>0.98715275000000002</v>
      </c>
      <c r="AA643" s="18">
        <f t="shared" si="60"/>
        <v>0.99033097999999997</v>
      </c>
      <c r="AB643" s="18">
        <f t="shared" si="60"/>
        <v>1.4438873E-2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39.814079999999997</v>
      </c>
      <c r="Y644" s="18">
        <f t="shared" si="60"/>
        <v>43.286352000000001</v>
      </c>
      <c r="Z644" s="18">
        <f t="shared" si="60"/>
        <v>0.99156851999999995</v>
      </c>
      <c r="AA644" s="18">
        <f t="shared" si="60"/>
        <v>0.99577194999999996</v>
      </c>
      <c r="AB644" s="18">
        <f t="shared" si="60"/>
        <v>8.1057300000000002E-3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28.120175</v>
      </c>
      <c r="Y646" s="136">
        <f t="shared" si="62"/>
        <v>34.033496999999997</v>
      </c>
      <c r="Z646" s="136">
        <f t="shared" si="62"/>
        <v>0.95953319000000004</v>
      </c>
      <c r="AA646" s="136">
        <f t="shared" si="62"/>
        <v>0.95752822000000004</v>
      </c>
      <c r="AB646" s="136">
        <f t="shared" si="62"/>
        <v>6.1659886999999997E-2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31.898982</v>
      </c>
      <c r="Y647" s="18">
        <f t="shared" si="62"/>
        <v>36.926661000000003</v>
      </c>
      <c r="Z647" s="18">
        <f t="shared" si="62"/>
        <v>0.97658392999999999</v>
      </c>
      <c r="AA647" s="18">
        <f t="shared" si="62"/>
        <v>0.97655013999999996</v>
      </c>
      <c r="AB647" s="18">
        <f t="shared" si="62"/>
        <v>3.6934010000000003E-2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37.355257000000002</v>
      </c>
      <c r="Y648" s="18">
        <f t="shared" si="62"/>
        <v>41.129739000000001</v>
      </c>
      <c r="Z648" s="18">
        <f t="shared" si="62"/>
        <v>0.98873230999999995</v>
      </c>
      <c r="AA648" s="18">
        <f t="shared" si="62"/>
        <v>0.99151005999999997</v>
      </c>
      <c r="AB648" s="18">
        <f t="shared" si="62"/>
        <v>1.9578124999999998E-2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40.794550000000001</v>
      </c>
      <c r="Y649" s="18">
        <f t="shared" si="62"/>
        <v>44.168049000000003</v>
      </c>
      <c r="Z649" s="18">
        <f t="shared" si="62"/>
        <v>0.99302632000000002</v>
      </c>
      <c r="AA649" s="18">
        <f t="shared" si="62"/>
        <v>0.99629780000000001</v>
      </c>
      <c r="AB649" s="18">
        <f t="shared" si="62"/>
        <v>1.233183E-2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0.93906499999999937</v>
      </c>
      <c r="Y651" s="136">
        <f t="shared" si="64"/>
        <v>0.81099899999999536</v>
      </c>
      <c r="Z651" s="136">
        <f t="shared" si="64"/>
        <v>3.3333700000000022E-3</v>
      </c>
      <c r="AA651" s="136">
        <f t="shared" si="64"/>
        <v>5.1319699999999857E-3</v>
      </c>
      <c r="AB651" s="136">
        <f t="shared" si="64"/>
        <v>8.2602169999999933E-3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0.67467399999999955</v>
      </c>
      <c r="Y652" s="18">
        <f t="shared" si="64"/>
        <v>0.92150300000000129</v>
      </c>
      <c r="Z652" s="18">
        <f t="shared" si="64"/>
        <v>2.5573899999999927E-3</v>
      </c>
      <c r="AA652" s="18">
        <f t="shared" si="64"/>
        <v>4.1767799999999911E-3</v>
      </c>
      <c r="AB652" s="18">
        <f t="shared" si="64"/>
        <v>7.4526620000000023E-3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0.86039099999999991</v>
      </c>
      <c r="Y653" s="18">
        <f t="shared" si="64"/>
        <v>0.79252600000000228</v>
      </c>
      <c r="Z653" s="18">
        <f t="shared" si="64"/>
        <v>1.5795599999999244E-3</v>
      </c>
      <c r="AA653" s="18">
        <f t="shared" si="64"/>
        <v>1.179079999999999E-3</v>
      </c>
      <c r="AB653" s="18">
        <f t="shared" si="64"/>
        <v>5.1392519999999987E-3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0.98047000000000395</v>
      </c>
      <c r="Y654" s="18">
        <f t="shared" si="64"/>
        <v>0.88169700000000262</v>
      </c>
      <c r="Z654" s="18">
        <f t="shared" si="64"/>
        <v>1.4578000000000646E-3</v>
      </c>
      <c r="AA654" s="18">
        <f t="shared" si="64"/>
        <v>5.2585000000004989E-4</v>
      </c>
      <c r="AB654" s="18">
        <f t="shared" si="64"/>
        <v>4.2261E-3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37669.207999999999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27.687295466666662</v>
      </c>
      <c r="Y5" s="30">
        <f t="shared" si="2"/>
        <v>33.680618000000003</v>
      </c>
      <c r="Z5" s="30">
        <f t="shared" si="2"/>
        <v>0.95690532333333322</v>
      </c>
      <c r="AA5" s="91">
        <f t="shared" si="2"/>
        <v>0.95518765600000011</v>
      </c>
      <c r="AB5" s="91">
        <f t="shared" si="2"/>
        <v>5.82245438E-2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-0.11493365834884628</v>
      </c>
      <c r="AN5" s="245">
        <f>bdrate($E5:$E8,G5:G8,$W5:$W8,Y5:Y8)</f>
        <v>-0.1497231793071887</v>
      </c>
      <c r="AO5" s="245">
        <f>bdrate($E5:$E8,H5:H8,$W5:$W8,Z5:Z8)</f>
        <v>-8.7966244605730548E-3</v>
      </c>
      <c r="AP5" s="245">
        <f>bdrate($E5:$E8,I5:I8,$W5:$W8,AA5:AA8)</f>
        <v>-3.6372882015072161E-2</v>
      </c>
      <c r="AQ5" s="246">
        <f>bdrateInverted($E5:$E8,J5:J8,$W5:$W8,AB5:AB8)</f>
        <v>-0.16979408722005684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54348.312000000005</v>
      </c>
      <c r="X6" s="91">
        <f t="shared" si="2"/>
        <v>31.687974399999995</v>
      </c>
      <c r="Y6" s="91">
        <f t="shared" si="2"/>
        <v>36.592771666666664</v>
      </c>
      <c r="Z6" s="91">
        <f t="shared" si="2"/>
        <v>0.9750333040000001</v>
      </c>
      <c r="AA6" s="91">
        <f t="shared" si="2"/>
        <v>0.97414997266666647</v>
      </c>
      <c r="AB6" s="91">
        <f t="shared" si="2"/>
        <v>3.3280875466666665E-2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78646.751999999993</v>
      </c>
      <c r="X7" s="91">
        <f t="shared" si="2"/>
        <v>36.981753600000005</v>
      </c>
      <c r="Y7" s="91">
        <f t="shared" si="2"/>
        <v>40.741113333333338</v>
      </c>
      <c r="Z7" s="91">
        <f t="shared" si="2"/>
        <v>0.9876815613333334</v>
      </c>
      <c r="AA7" s="91">
        <f t="shared" si="2"/>
        <v>0.99056032866666677</v>
      </c>
      <c r="AB7" s="91">
        <f t="shared" si="2"/>
        <v>1.6805581033333336E-2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111692.984</v>
      </c>
      <c r="X8" s="91">
        <f t="shared" si="2"/>
        <v>40.185129400000001</v>
      </c>
      <c r="Y8" s="91">
        <f t="shared" si="2"/>
        <v>43.637844666666659</v>
      </c>
      <c r="Z8" s="91">
        <f t="shared" si="2"/>
        <v>0.99207323933333336</v>
      </c>
      <c r="AA8" s="91">
        <f t="shared" si="2"/>
        <v>0.99596679066666671</v>
      </c>
      <c r="AB8" s="91">
        <f t="shared" si="2"/>
        <v>1.0349745633333332E-2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2503.616</v>
      </c>
      <c r="Z16" s="167">
        <v>852.55200000000002</v>
      </c>
      <c r="AA16" s="167">
        <v>114.992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6853.44</v>
      </c>
      <c r="Z17" s="168">
        <v>3497.8560000000002</v>
      </c>
      <c r="AA17" s="168">
        <v>1194.096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12603.144</v>
      </c>
      <c r="Z18" s="168">
        <v>8824.4079999999994</v>
      </c>
      <c r="AA18" s="168">
        <v>5505.4880000000003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18872.975999999999</v>
      </c>
      <c r="Z19" s="168">
        <v>17009.831999999999</v>
      </c>
      <c r="AA19" s="168">
        <v>15043.456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37669.207999999999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54348.312000000005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78646.751999999993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111692.984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27.147386999999998</v>
      </c>
      <c r="Y33" s="97">
        <v>33.173915000000001</v>
      </c>
      <c r="Z33" s="97">
        <v>0.95621676</v>
      </c>
      <c r="AA33" s="60">
        <v>0.95191358000000004</v>
      </c>
      <c r="AB33" s="60">
        <v>6.2432363999999997E-2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0.32467799999999869</v>
      </c>
      <c r="AN33" s="96">
        <f t="shared" ref="AN33:AN96" si="5">IF(OR(Y33="",G33=""),"",Y33-G33)</f>
        <v>1.2796410000000016</v>
      </c>
      <c r="AO33" s="96">
        <f t="shared" ref="AO33:AO96" si="6">IF(OR(Z33="",H33=""),"",Z33-H33)</f>
        <v>-1.2767000000002415E-4</v>
      </c>
      <c r="AP33" s="96">
        <f t="shared" ref="AP33:AP96" si="7">IF(OR(AA33="",I33=""),"",AA33-I33)</f>
        <v>2.1696700000000124E-3</v>
      </c>
      <c r="AQ33" s="121">
        <f t="shared" ref="AQ33:AQ96" si="8">IF(OR(AB33="",J33=""),"",AB33-J33)</f>
        <v>-1.0729406000000004E-2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31.629117000000001</v>
      </c>
      <c r="Y34" s="190">
        <v>36.383566999999999</v>
      </c>
      <c r="Z34" s="190">
        <v>0.9749854</v>
      </c>
      <c r="AA34" s="62">
        <v>0.97474373000000003</v>
      </c>
      <c r="AB34" s="62">
        <v>3.5890190000000002E-2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0.91044000000000125</v>
      </c>
      <c r="AN34" s="122">
        <f t="shared" si="5"/>
        <v>1.2778020000000012</v>
      </c>
      <c r="AO34" s="122">
        <f t="shared" si="6"/>
        <v>5.1420000000024224E-5</v>
      </c>
      <c r="AP34" s="122">
        <f t="shared" si="7"/>
        <v>2.1349900000000588E-3</v>
      </c>
      <c r="AQ34" s="88">
        <f t="shared" si="8"/>
        <v>-9.1135219999999989E-3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37.008387999999997</v>
      </c>
      <c r="Y35" s="190">
        <v>40.680214999999997</v>
      </c>
      <c r="Z35" s="190">
        <v>0.98755004999999996</v>
      </c>
      <c r="AA35" s="62">
        <v>0.99057043</v>
      </c>
      <c r="AB35" s="62">
        <v>1.8799840000000002E-2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1.8000549999999933</v>
      </c>
      <c r="AN35" s="122">
        <f t="shared" si="5"/>
        <v>1.4075659999999957</v>
      </c>
      <c r="AO35" s="122">
        <f t="shared" si="6"/>
        <v>1.48590000000004E-4</v>
      </c>
      <c r="AP35" s="122">
        <f t="shared" si="7"/>
        <v>5.6456000000004725E-4</v>
      </c>
      <c r="AQ35" s="88">
        <f t="shared" si="8"/>
        <v>-7.7394319999999975E-3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40.377847000000003</v>
      </c>
      <c r="Y36" s="190">
        <v>43.773859999999999</v>
      </c>
      <c r="Z36" s="190">
        <v>0.99199570999999998</v>
      </c>
      <c r="AA36" s="62">
        <v>0.99602597999999998</v>
      </c>
      <c r="AB36" s="62">
        <v>1.0933254E-2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2.556044</v>
      </c>
      <c r="AN36" s="122">
        <f t="shared" si="5"/>
        <v>1.8622990000000001</v>
      </c>
      <c r="AO36" s="122">
        <f t="shared" si="6"/>
        <v>1.5545999999999616E-4</v>
      </c>
      <c r="AP36" s="122">
        <f t="shared" si="7"/>
        <v>8.1204999999995309E-4</v>
      </c>
      <c r="AQ36" s="88">
        <f t="shared" si="8"/>
        <v>-7.5417499999999998E-3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27.587094</v>
      </c>
      <c r="Y38" s="97">
        <v>33.525472999999998</v>
      </c>
      <c r="Z38" s="97">
        <v>0.95720287999999998</v>
      </c>
      <c r="AA38" s="60">
        <v>0.95421904000000002</v>
      </c>
      <c r="AB38" s="60">
        <v>5.9736749999999998E-2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0.43206400000000045</v>
      </c>
      <c r="AN38" s="96">
        <f t="shared" si="5"/>
        <v>1.3189039999999963</v>
      </c>
      <c r="AO38" s="96">
        <f t="shared" si="6"/>
        <v>-1.0038000000001102E-4</v>
      </c>
      <c r="AP38" s="96">
        <f t="shared" si="7"/>
        <v>1.54725E-3</v>
      </c>
      <c r="AQ38" s="121">
        <f t="shared" si="8"/>
        <v>-1.0652340000000003E-2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31.648955999999998</v>
      </c>
      <c r="Y39" s="190">
        <v>36.421784000000002</v>
      </c>
      <c r="Z39" s="190">
        <v>0.97503446000000005</v>
      </c>
      <c r="AA39" s="62">
        <v>0.97489837999999995</v>
      </c>
      <c r="AB39" s="62">
        <v>3.4953579999999998E-2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0.97839299999999696</v>
      </c>
      <c r="AN39" s="122">
        <f t="shared" si="5"/>
        <v>1.3377350000000021</v>
      </c>
      <c r="AO39" s="122">
        <f t="shared" si="6"/>
        <v>1.0862000000000371E-4</v>
      </c>
      <c r="AP39" s="122">
        <f t="shared" si="7"/>
        <v>1.8894699999999487E-3</v>
      </c>
      <c r="AQ39" s="88">
        <f t="shared" si="8"/>
        <v>-9.4128840000000033E-3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36.995491999999999</v>
      </c>
      <c r="Y40" s="190">
        <v>40.680346</v>
      </c>
      <c r="Z40" s="190">
        <v>0.98738685000000004</v>
      </c>
      <c r="AA40" s="62">
        <v>0.99090060999999996</v>
      </c>
      <c r="AB40" s="62">
        <v>1.8404592000000001E-2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1.9132770000000008</v>
      </c>
      <c r="AN40" s="122">
        <f t="shared" si="5"/>
        <v>1.5052969999999988</v>
      </c>
      <c r="AO40" s="122">
        <f t="shared" si="6"/>
        <v>1.727799999999835E-4</v>
      </c>
      <c r="AP40" s="122">
        <f t="shared" si="7"/>
        <v>4.8853999999998177E-4</v>
      </c>
      <c r="AQ40" s="88">
        <f t="shared" si="8"/>
        <v>-8.5789000000000004E-3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40.260089000000001</v>
      </c>
      <c r="Y41" s="190">
        <v>43.693185</v>
      </c>
      <c r="Z41" s="190">
        <v>0.99175226000000005</v>
      </c>
      <c r="AA41" s="62">
        <v>0.99595020999999995</v>
      </c>
      <c r="AB41" s="62">
        <v>1.1083912E-2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2.6960660000000018</v>
      </c>
      <c r="AN41" s="122">
        <f t="shared" si="5"/>
        <v>2.0196520000000007</v>
      </c>
      <c r="AO41" s="122">
        <f t="shared" si="6"/>
        <v>2.0243000000008671E-4</v>
      </c>
      <c r="AP41" s="122">
        <f t="shared" si="7"/>
        <v>7.7528999999998405E-4</v>
      </c>
      <c r="AQ41" s="88">
        <f t="shared" si="8"/>
        <v>-8.3079379999999991E-3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27.875129999999999</v>
      </c>
      <c r="Y43" s="97">
        <v>33.700794999999999</v>
      </c>
      <c r="Z43" s="97">
        <v>0.95747952999999997</v>
      </c>
      <c r="AA43" s="60">
        <v>0.95535418999999999</v>
      </c>
      <c r="AB43" s="60">
        <v>5.5893492000000003E-2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0.47920299999999827</v>
      </c>
      <c r="AN43" s="96">
        <f t="shared" si="5"/>
        <v>1.2744939999999971</v>
      </c>
      <c r="AO43" s="96">
        <f t="shared" si="6"/>
        <v>-7.3590000000067768E-5</v>
      </c>
      <c r="AP43" s="96">
        <f t="shared" si="7"/>
        <v>3.7038000000000348E-4</v>
      </c>
      <c r="AQ43" s="121">
        <f t="shared" si="8"/>
        <v>-9.5839479999999949E-3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31.641632999999999</v>
      </c>
      <c r="Y44" s="190">
        <v>36.404257999999999</v>
      </c>
      <c r="Z44" s="190">
        <v>0.97472183999999995</v>
      </c>
      <c r="AA44" s="62">
        <v>0.97498293000000003</v>
      </c>
      <c r="AB44" s="62">
        <v>3.2751879999999997E-2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0.94387399999999744</v>
      </c>
      <c r="AN44" s="122">
        <f t="shared" si="5"/>
        <v>1.2898039999999966</v>
      </c>
      <c r="AO44" s="122">
        <f t="shared" si="6"/>
        <v>1.6821000000000197E-4</v>
      </c>
      <c r="AP44" s="122">
        <f t="shared" si="7"/>
        <v>1.965439999999985E-3</v>
      </c>
      <c r="AQ44" s="88">
        <f t="shared" si="8"/>
        <v>-8.5097070000000052E-3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37.048988999999999</v>
      </c>
      <c r="Y45" s="190">
        <v>40.708505000000002</v>
      </c>
      <c r="Z45" s="190">
        <v>0.98740786000000003</v>
      </c>
      <c r="AA45" s="62">
        <v>0.99089992000000005</v>
      </c>
      <c r="AB45" s="62">
        <v>1.7199814000000001E-2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1.8551840000000013</v>
      </c>
      <c r="AN45" s="122">
        <f t="shared" si="5"/>
        <v>1.4533050000000003</v>
      </c>
      <c r="AO45" s="122">
        <f t="shared" si="6"/>
        <v>1.8680999999998171E-4</v>
      </c>
      <c r="AP45" s="122">
        <f t="shared" si="7"/>
        <v>5.1582000000005568E-4</v>
      </c>
      <c r="AQ45" s="88">
        <f t="shared" si="8"/>
        <v>-7.7350009999999983E-3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40.200254999999999</v>
      </c>
      <c r="Y46" s="190">
        <v>43.622715999999997</v>
      </c>
      <c r="Z46" s="190">
        <v>0.99181026999999999</v>
      </c>
      <c r="AA46" s="62">
        <v>0.9959462</v>
      </c>
      <c r="AB46" s="62">
        <v>1.0602593E-2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2.5980399999999975</v>
      </c>
      <c r="AN46" s="122">
        <f t="shared" si="5"/>
        <v>1.9318449999999956</v>
      </c>
      <c r="AO46" s="122">
        <f t="shared" si="6"/>
        <v>2.0978000000004826E-4</v>
      </c>
      <c r="AP46" s="122">
        <f t="shared" si="7"/>
        <v>8.0869000000005631E-4</v>
      </c>
      <c r="AQ46" s="88">
        <f t="shared" si="8"/>
        <v>-7.425051999999998E-3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27.888594999999999</v>
      </c>
      <c r="Y48" s="97">
        <v>33.661526000000002</v>
      </c>
      <c r="Z48" s="97">
        <v>0.95775719999999998</v>
      </c>
      <c r="AA48" s="60">
        <v>0.95648416999999997</v>
      </c>
      <c r="AB48" s="60">
        <v>5.7725705000000002E-2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0.48250799999999927</v>
      </c>
      <c r="AN48" s="96">
        <f t="shared" si="5"/>
        <v>1.2346360000000018</v>
      </c>
      <c r="AO48" s="96">
        <f t="shared" si="6"/>
        <v>-1.6030000000055722E-5</v>
      </c>
      <c r="AP48" s="96">
        <f t="shared" si="7"/>
        <v>1.5203599999999984E-3</v>
      </c>
      <c r="AQ48" s="121">
        <f t="shared" si="8"/>
        <v>-9.4152649999999921E-3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31.435424000000001</v>
      </c>
      <c r="Y49" s="190">
        <v>36.225180999999999</v>
      </c>
      <c r="Z49" s="190">
        <v>0.97417257000000002</v>
      </c>
      <c r="AA49" s="62">
        <v>0.97399555999999998</v>
      </c>
      <c r="AB49" s="62">
        <v>3.5339557000000001E-2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0.88415900000000036</v>
      </c>
      <c r="AN49" s="122">
        <f t="shared" si="5"/>
        <v>1.2463270000000009</v>
      </c>
      <c r="AO49" s="122">
        <f t="shared" si="6"/>
        <v>9.1709999999967096E-5</v>
      </c>
      <c r="AP49" s="122">
        <f t="shared" si="7"/>
        <v>1.8163599999999613E-3</v>
      </c>
      <c r="AQ49" s="88">
        <f t="shared" si="8"/>
        <v>-8.2850490000000027E-3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36.982078000000001</v>
      </c>
      <c r="Y50" s="190">
        <v>40.650154999999998</v>
      </c>
      <c r="Z50" s="190">
        <v>0.98716020000000004</v>
      </c>
      <c r="AA50" s="62">
        <v>0.99055959999999998</v>
      </c>
      <c r="AB50" s="62">
        <v>1.8370195999999998E-2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1.7664280000000048</v>
      </c>
      <c r="AN50" s="122">
        <f t="shared" si="5"/>
        <v>1.3859289999999973</v>
      </c>
      <c r="AO50" s="122">
        <f t="shared" si="6"/>
        <v>1.6472000000000708E-4</v>
      </c>
      <c r="AP50" s="122">
        <f t="shared" si="7"/>
        <v>3.4575000000003353E-4</v>
      </c>
      <c r="AQ50" s="88">
        <f t="shared" si="8"/>
        <v>-7.7145180000000001E-3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40.036586</v>
      </c>
      <c r="Y51" s="190">
        <v>43.478126000000003</v>
      </c>
      <c r="Z51" s="190">
        <v>0.99158197000000003</v>
      </c>
      <c r="AA51" s="62">
        <v>0.99587539000000003</v>
      </c>
      <c r="AB51" s="62">
        <v>1.1985546999999999E-2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2.4917090000000002</v>
      </c>
      <c r="AN51" s="122">
        <f t="shared" si="5"/>
        <v>1.8582330000000056</v>
      </c>
      <c r="AO51" s="122">
        <f t="shared" si="6"/>
        <v>1.936599999999844E-4</v>
      </c>
      <c r="AP51" s="122">
        <f t="shared" si="7"/>
        <v>8.0144999999998134E-4</v>
      </c>
      <c r="AQ51" s="88">
        <f t="shared" si="8"/>
        <v>-7.1940000000000025E-3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27.946836999999999</v>
      </c>
      <c r="Y53" s="97">
        <v>33.556072</v>
      </c>
      <c r="Z53" s="97">
        <v>0.95575763999999996</v>
      </c>
      <c r="AA53" s="60">
        <v>0.95667826</v>
      </c>
      <c r="AB53" s="60">
        <v>6.1958328E-2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0.48499099999999729</v>
      </c>
      <c r="AN53" s="96">
        <f t="shared" si="5"/>
        <v>1.1377969999999991</v>
      </c>
      <c r="AO53" s="96">
        <f t="shared" si="6"/>
        <v>-9.2850000000033184E-5</v>
      </c>
      <c r="AP53" s="96">
        <f t="shared" si="7"/>
        <v>1.2852300000000261E-3</v>
      </c>
      <c r="AQ53" s="121">
        <f t="shared" si="8"/>
        <v>-9.0206819999999951E-3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31.420745</v>
      </c>
      <c r="Y54" s="190">
        <v>36.101846000000002</v>
      </c>
      <c r="Z54" s="190">
        <v>0.97337214000000005</v>
      </c>
      <c r="AA54" s="62">
        <v>0.97431648000000004</v>
      </c>
      <c r="AB54" s="62">
        <v>3.788325E-2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0.88524500000000117</v>
      </c>
      <c r="AN54" s="122">
        <f t="shared" si="5"/>
        <v>1.1600439999999992</v>
      </c>
      <c r="AO54" s="122">
        <f t="shared" si="6"/>
        <v>1.1565000000002268E-4</v>
      </c>
      <c r="AP54" s="122">
        <f t="shared" si="7"/>
        <v>1.7307600000000534E-3</v>
      </c>
      <c r="AQ54" s="88">
        <f t="shared" si="8"/>
        <v>-8.013735000000001E-3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36.669241999999997</v>
      </c>
      <c r="Y55" s="190">
        <v>40.349831999999999</v>
      </c>
      <c r="Z55" s="190">
        <v>0.98652457000000005</v>
      </c>
      <c r="AA55" s="62">
        <v>0.99012102000000002</v>
      </c>
      <c r="AB55" s="62">
        <v>2.0221408E-2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1.6696279999999959</v>
      </c>
      <c r="AN55" s="122">
        <f t="shared" si="5"/>
        <v>1.3192069999999987</v>
      </c>
      <c r="AO55" s="122">
        <f t="shared" si="6"/>
        <v>1.3030000000002762E-4</v>
      </c>
      <c r="AP55" s="122">
        <f t="shared" si="7"/>
        <v>2.4603000000000819E-4</v>
      </c>
      <c r="AQ55" s="88">
        <f t="shared" si="8"/>
        <v>-7.670782000000001E-3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39.570065</v>
      </c>
      <c r="Y56" s="190">
        <v>43.031802999999996</v>
      </c>
      <c r="Z56" s="190">
        <v>0.99108178000000002</v>
      </c>
      <c r="AA56" s="62">
        <v>0.99556606999999997</v>
      </c>
      <c r="AB56" s="62">
        <v>1.3602250999999999E-2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2.3225029999999975</v>
      </c>
      <c r="AN56" s="122">
        <f t="shared" si="5"/>
        <v>1.737446999999996</v>
      </c>
      <c r="AO56" s="122">
        <f t="shared" si="6"/>
        <v>1.5644000000003544E-4</v>
      </c>
      <c r="AP56" s="122">
        <f t="shared" si="7"/>
        <v>7.2335000000001148E-4</v>
      </c>
      <c r="AQ56" s="88">
        <f t="shared" si="8"/>
        <v>-7.0214869999999999E-3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27.401174000000001</v>
      </c>
      <c r="Y58" s="97">
        <v>33.622655000000002</v>
      </c>
      <c r="Z58" s="97">
        <v>0.95683393999999999</v>
      </c>
      <c r="AA58" s="60">
        <v>0.95512202000000002</v>
      </c>
      <c r="AB58" s="60">
        <v>6.1408516000000003E-2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0.38526099999999985</v>
      </c>
      <c r="AN58" s="96">
        <f t="shared" si="5"/>
        <v>1.4938140000000004</v>
      </c>
      <c r="AO58" s="96">
        <f t="shared" si="6"/>
        <v>-1.8622000000001471E-4</v>
      </c>
      <c r="AP58" s="96">
        <f t="shared" si="7"/>
        <v>6.4688000000001633E-4</v>
      </c>
      <c r="AQ58" s="121">
        <f t="shared" si="8"/>
        <v>-1.2043164000000002E-2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31.891019</v>
      </c>
      <c r="Y59" s="190">
        <v>36.886636000000003</v>
      </c>
      <c r="Z59" s="190">
        <v>0.97580809000000002</v>
      </c>
      <c r="AA59" s="62">
        <v>0.97581209999999996</v>
      </c>
      <c r="AB59" s="62">
        <v>3.336969E-2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1.019679</v>
      </c>
      <c r="AN59" s="122">
        <f t="shared" si="5"/>
        <v>1.4822690000000023</v>
      </c>
      <c r="AO59" s="122">
        <f t="shared" si="6"/>
        <v>6.0979999999988266E-5</v>
      </c>
      <c r="AP59" s="122">
        <f t="shared" si="7"/>
        <v>1.3580099999999096E-3</v>
      </c>
      <c r="AQ59" s="88">
        <f t="shared" si="8"/>
        <v>-1.0168266000000002E-2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37.178145000000001</v>
      </c>
      <c r="Y60" s="190">
        <v>40.929912999999999</v>
      </c>
      <c r="Z60" s="190">
        <v>0.98831893999999998</v>
      </c>
      <c r="AA60" s="62">
        <v>0.99101059999999996</v>
      </c>
      <c r="AB60" s="62">
        <v>1.6173997999999998E-2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1.9932289999999995</v>
      </c>
      <c r="AN60" s="122">
        <f t="shared" si="5"/>
        <v>1.6308799999999977</v>
      </c>
      <c r="AO60" s="122">
        <f t="shared" si="6"/>
        <v>1.4002000000001846E-4</v>
      </c>
      <c r="AP60" s="122">
        <f t="shared" si="7"/>
        <v>4.6628999999998033E-4</v>
      </c>
      <c r="AQ60" s="88">
        <f t="shared" si="8"/>
        <v>-8.3531100000000004E-3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40.532276000000003</v>
      </c>
      <c r="Y61" s="190">
        <v>43.971572000000002</v>
      </c>
      <c r="Z61" s="190">
        <v>0.99262231000000001</v>
      </c>
      <c r="AA61" s="62">
        <v>0.99623158000000001</v>
      </c>
      <c r="AB61" s="62">
        <v>9.3686489999999997E-3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2.7835570000000018</v>
      </c>
      <c r="AN61" s="122">
        <f t="shared" si="5"/>
        <v>2.1154089999999997</v>
      </c>
      <c r="AO61" s="122">
        <f t="shared" si="6"/>
        <v>1.6652000000005884E-4</v>
      </c>
      <c r="AP61" s="122">
        <f t="shared" si="7"/>
        <v>6.8334999999997148E-4</v>
      </c>
      <c r="AQ61" s="88">
        <f t="shared" si="8"/>
        <v>-8.330035999999999E-3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27.597577999999999</v>
      </c>
      <c r="Y63" s="97">
        <v>33.803973999999997</v>
      </c>
      <c r="Z63" s="97">
        <v>0.95803024000000003</v>
      </c>
      <c r="AA63" s="60">
        <v>0.95432271000000002</v>
      </c>
      <c r="AB63" s="60">
        <v>5.5972382000000001E-2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0.45647599999999855</v>
      </c>
      <c r="AN63" s="96">
        <f t="shared" si="5"/>
        <v>1.4779539999999969</v>
      </c>
      <c r="AO63" s="96">
        <f t="shared" si="6"/>
        <v>3.9549999999999308E-5</v>
      </c>
      <c r="AP63" s="96">
        <f t="shared" si="7"/>
        <v>7.1602999999997863E-4</v>
      </c>
      <c r="AQ63" s="121">
        <f t="shared" si="8"/>
        <v>-1.1239157999999999E-2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31.77713</v>
      </c>
      <c r="Y64" s="190">
        <v>36.834138000000003</v>
      </c>
      <c r="Z64" s="190">
        <v>0.97574561000000004</v>
      </c>
      <c r="AA64" s="62">
        <v>0.97346911999999997</v>
      </c>
      <c r="AB64" s="62">
        <v>3.1820929999999997E-2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1.0125889999999984</v>
      </c>
      <c r="AN64" s="122">
        <f t="shared" si="5"/>
        <v>1.4782470000000032</v>
      </c>
      <c r="AO64" s="122">
        <f t="shared" si="6"/>
        <v>1.9801000000008173E-4</v>
      </c>
      <c r="AP64" s="122">
        <f t="shared" si="7"/>
        <v>2.0376799999999307E-3</v>
      </c>
      <c r="AQ64" s="88">
        <f t="shared" si="8"/>
        <v>-9.8331400000000041E-3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37.275939999999999</v>
      </c>
      <c r="Y65" s="190">
        <v>41.019517</v>
      </c>
      <c r="Z65" s="190">
        <v>0.98824318</v>
      </c>
      <c r="AA65" s="62">
        <v>0.99073080000000002</v>
      </c>
      <c r="AB65" s="62">
        <v>1.52790975E-2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2.0679019999999966</v>
      </c>
      <c r="AN65" s="122">
        <f t="shared" si="5"/>
        <v>1.6836570000000037</v>
      </c>
      <c r="AO65" s="122">
        <f t="shared" si="6"/>
        <v>1.6768000000000338E-4</v>
      </c>
      <c r="AP65" s="122">
        <f t="shared" si="7"/>
        <v>5.907099999999943E-4</v>
      </c>
      <c r="AQ65" s="88">
        <f t="shared" si="8"/>
        <v>-8.5301865000000001E-3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40.592866000000001</v>
      </c>
      <c r="Y66" s="190">
        <v>44.003518999999997</v>
      </c>
      <c r="Z66" s="190">
        <v>0.99247534999999998</v>
      </c>
      <c r="AA66" s="62">
        <v>0.99617180000000005</v>
      </c>
      <c r="AB66" s="62">
        <v>8.9933459999999993E-3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2.8849500000000035</v>
      </c>
      <c r="AN66" s="122">
        <f t="shared" si="5"/>
        <v>2.1827979999999982</v>
      </c>
      <c r="AO66" s="122">
        <f t="shared" si="6"/>
        <v>2.0171999999996082E-4</v>
      </c>
      <c r="AP66" s="122">
        <f t="shared" si="7"/>
        <v>9.1365000000009911E-4</v>
      </c>
      <c r="AQ66" s="88">
        <f t="shared" si="8"/>
        <v>-8.418061000000001E-3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27.816158999999999</v>
      </c>
      <c r="Y68" s="97">
        <v>33.944538000000001</v>
      </c>
      <c r="Z68" s="97">
        <v>0.95835466999999996</v>
      </c>
      <c r="AA68" s="60">
        <v>0.95505878</v>
      </c>
      <c r="AB68" s="60">
        <v>5.4039937000000003E-2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0.48445099999999996</v>
      </c>
      <c r="AN68" s="96">
        <f t="shared" si="5"/>
        <v>1.4373970000000043</v>
      </c>
      <c r="AO68" s="96">
        <f t="shared" si="6"/>
        <v>6.8019999999946457E-5</v>
      </c>
      <c r="AP68" s="96">
        <f t="shared" si="7"/>
        <v>7.2294999999999998E-4</v>
      </c>
      <c r="AQ68" s="121">
        <f t="shared" si="8"/>
        <v>-1.0237482999999999E-2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31.862932000000001</v>
      </c>
      <c r="Y69" s="190">
        <v>36.901175000000002</v>
      </c>
      <c r="Z69" s="190">
        <v>0.97540797999999995</v>
      </c>
      <c r="AA69" s="62">
        <v>0.97328448000000001</v>
      </c>
      <c r="AB69" s="62">
        <v>3.134E-2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1.0133779999999994</v>
      </c>
      <c r="AN69" s="122">
        <f t="shared" si="5"/>
        <v>1.4546789999999987</v>
      </c>
      <c r="AO69" s="122">
        <f t="shared" si="6"/>
        <v>1.9797999999993099E-4</v>
      </c>
      <c r="AP69" s="122">
        <f t="shared" si="7"/>
        <v>2.3659500000000611E-3</v>
      </c>
      <c r="AQ69" s="88">
        <f t="shared" si="8"/>
        <v>-9.149222999999998E-3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37.252654</v>
      </c>
      <c r="Y70" s="190">
        <v>41.008097999999997</v>
      </c>
      <c r="Z70" s="190">
        <v>0.98804035000000001</v>
      </c>
      <c r="AA70" s="62">
        <v>0.99023722000000003</v>
      </c>
      <c r="AB70" s="62">
        <v>1.5155032000000001E-2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2.0201039999999963</v>
      </c>
      <c r="AN70" s="122">
        <f t="shared" si="5"/>
        <v>1.6582650000000001</v>
      </c>
      <c r="AO70" s="122">
        <f t="shared" si="6"/>
        <v>1.7138999999999349E-4</v>
      </c>
      <c r="AP70" s="122">
        <f t="shared" si="7"/>
        <v>5.6182000000004617E-4</v>
      </c>
      <c r="AQ70" s="88">
        <f t="shared" si="8"/>
        <v>-8.2538429999999986E-3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40.443027000000001</v>
      </c>
      <c r="Y71" s="190">
        <v>43.872790000000002</v>
      </c>
      <c r="Z71" s="190">
        <v>0.99232284000000004</v>
      </c>
      <c r="AA71" s="62">
        <v>0.99608222999999996</v>
      </c>
      <c r="AB71" s="62">
        <v>9.2331930000000006E-3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2.7985720000000001</v>
      </c>
      <c r="AN71" s="122">
        <f t="shared" si="5"/>
        <v>2.136175999999999</v>
      </c>
      <c r="AO71" s="122">
        <f t="shared" si="6"/>
        <v>2.0536000000004329E-4</v>
      </c>
      <c r="AP71" s="122">
        <f t="shared" si="7"/>
        <v>1.0393899999999734E-3</v>
      </c>
      <c r="AQ71" s="88">
        <f t="shared" si="8"/>
        <v>-8.1298869999999988E-3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27.83371</v>
      </c>
      <c r="Y73" s="97">
        <v>33.934730000000002</v>
      </c>
      <c r="Z73" s="97">
        <v>0.95841312999999995</v>
      </c>
      <c r="AA73" s="60">
        <v>0.95501795</v>
      </c>
      <c r="AB73" s="60">
        <v>5.4381020000000002E-2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0.46917200000000037</v>
      </c>
      <c r="AN73" s="96">
        <f t="shared" si="5"/>
        <v>1.4221290000000053</v>
      </c>
      <c r="AO73" s="96">
        <f t="shared" si="6"/>
        <v>3.4599999999995745E-5</v>
      </c>
      <c r="AP73" s="96">
        <f t="shared" si="7"/>
        <v>1.5865000000000462E-3</v>
      </c>
      <c r="AQ73" s="121">
        <f t="shared" si="8"/>
        <v>-1.0062550000000003E-2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31.829331</v>
      </c>
      <c r="Y74" s="190">
        <v>36.849674</v>
      </c>
      <c r="Z74" s="190">
        <v>0.97518556999999995</v>
      </c>
      <c r="AA74" s="62">
        <v>0.97317589999999998</v>
      </c>
      <c r="AB74" s="62">
        <v>3.1815145000000003E-2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0.98717800000000011</v>
      </c>
      <c r="AN74" s="122">
        <f t="shared" si="5"/>
        <v>1.439112999999999</v>
      </c>
      <c r="AO74" s="122">
        <f t="shared" si="6"/>
        <v>1.7022999999993793E-4</v>
      </c>
      <c r="AP74" s="122">
        <f t="shared" si="7"/>
        <v>2.3130700000000282E-3</v>
      </c>
      <c r="AQ74" s="88">
        <f t="shared" si="8"/>
        <v>-8.8252799999999978E-3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37.232615000000003</v>
      </c>
      <c r="Y75" s="190">
        <v>41.000686999999999</v>
      </c>
      <c r="Z75" s="190">
        <v>0.98791337999999995</v>
      </c>
      <c r="AA75" s="62">
        <v>0.99013996999999998</v>
      </c>
      <c r="AB75" s="62">
        <v>1.5556494000000001E-2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1.9781320000000022</v>
      </c>
      <c r="AN75" s="122">
        <f t="shared" si="5"/>
        <v>1.6353650000000002</v>
      </c>
      <c r="AO75" s="122">
        <f t="shared" si="6"/>
        <v>1.5969999999998485E-4</v>
      </c>
      <c r="AP75" s="122">
        <f t="shared" si="7"/>
        <v>4.9549999999998207E-4</v>
      </c>
      <c r="AQ75" s="88">
        <f t="shared" si="8"/>
        <v>-8.1223040000000003E-3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40.363377</v>
      </c>
      <c r="Y76" s="190">
        <v>43.810504999999999</v>
      </c>
      <c r="Z76" s="190">
        <v>0.99219818000000004</v>
      </c>
      <c r="AA76" s="62">
        <v>0.99602820999999997</v>
      </c>
      <c r="AB76" s="62">
        <v>9.7756809999999996E-3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2.7360889999999998</v>
      </c>
      <c r="AN76" s="122">
        <f t="shared" si="5"/>
        <v>2.1029240000000016</v>
      </c>
      <c r="AO76" s="122">
        <f t="shared" si="6"/>
        <v>1.9293000000009108E-4</v>
      </c>
      <c r="AP76" s="122">
        <f t="shared" si="7"/>
        <v>9.470400000000101E-4</v>
      </c>
      <c r="AQ76" s="88">
        <f t="shared" si="8"/>
        <v>-7.8749470000000019E-3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27.846095999999999</v>
      </c>
      <c r="Y78" s="97">
        <v>33.704335999999998</v>
      </c>
      <c r="Z78" s="97">
        <v>0.95628886999999996</v>
      </c>
      <c r="AA78" s="60">
        <v>0.95545314999999997</v>
      </c>
      <c r="AB78" s="60">
        <v>5.9015669999999999E-2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0.4403909999999982</v>
      </c>
      <c r="AN78" s="96">
        <f t="shared" si="5"/>
        <v>1.2464939999999984</v>
      </c>
      <c r="AO78" s="96">
        <f t="shared" si="6"/>
        <v>-9.1970000000052288E-5</v>
      </c>
      <c r="AP78" s="96">
        <f t="shared" si="7"/>
        <v>1.4630099999999313E-3</v>
      </c>
      <c r="AQ78" s="121">
        <f t="shared" si="8"/>
        <v>-9.3018399999999987E-3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31.696861999999999</v>
      </c>
      <c r="Y79" s="190">
        <v>36.555528000000002</v>
      </c>
      <c r="Z79" s="190">
        <v>0.97382789000000003</v>
      </c>
      <c r="AA79" s="62">
        <v>0.97392652999999996</v>
      </c>
      <c r="AB79" s="62">
        <v>3.5696211999999998E-2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0.92361800000000116</v>
      </c>
      <c r="AN79" s="122">
        <f t="shared" si="5"/>
        <v>1.2776619999999994</v>
      </c>
      <c r="AO79" s="122">
        <f t="shared" si="6"/>
        <v>1.629100000000161E-4</v>
      </c>
      <c r="AP79" s="122">
        <f t="shared" si="7"/>
        <v>2.1621499999999738E-3</v>
      </c>
      <c r="AQ79" s="88">
        <f t="shared" si="8"/>
        <v>-8.3978780000000045E-3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36.857078999999999</v>
      </c>
      <c r="Y80" s="190">
        <v>40.622920999999998</v>
      </c>
      <c r="Z80" s="190">
        <v>0.98679070000000002</v>
      </c>
      <c r="AA80" s="62">
        <v>0.98996200000000001</v>
      </c>
      <c r="AB80" s="62">
        <v>1.8424085999999999E-2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1.7768680000000003</v>
      </c>
      <c r="AN80" s="122">
        <f t="shared" si="5"/>
        <v>1.4536329999999964</v>
      </c>
      <c r="AO80" s="122">
        <f t="shared" si="6"/>
        <v>9.5880000000048149E-5</v>
      </c>
      <c r="AP80" s="122">
        <f t="shared" si="7"/>
        <v>2.6901999999995319E-4</v>
      </c>
      <c r="AQ80" s="88">
        <f t="shared" si="8"/>
        <v>-7.7792780000000006E-3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39.767014000000003</v>
      </c>
      <c r="Y81" s="190">
        <v>43.265434999999997</v>
      </c>
      <c r="Z81" s="190">
        <v>0.99123318999999999</v>
      </c>
      <c r="AA81" s="62">
        <v>0.9956469</v>
      </c>
      <c r="AB81" s="62">
        <v>1.2480464E-2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2.4066200000000038</v>
      </c>
      <c r="AN81" s="122">
        <f t="shared" si="5"/>
        <v>1.8639659999999978</v>
      </c>
      <c r="AO81" s="122">
        <f t="shared" si="6"/>
        <v>1.4031999999997158E-4</v>
      </c>
      <c r="AP81" s="122">
        <f t="shared" si="7"/>
        <v>7.6913000000000675E-4</v>
      </c>
      <c r="AQ81" s="88">
        <f t="shared" si="8"/>
        <v>-7.4695380000000013E-3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27.464928</v>
      </c>
      <c r="Y83" s="97">
        <v>33.612541</v>
      </c>
      <c r="Z83" s="97">
        <v>0.95423121</v>
      </c>
      <c r="AA83" s="60">
        <v>0.95605512999999998</v>
      </c>
      <c r="AB83" s="60">
        <v>6.2988534999999998E-2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0.50185300000000055</v>
      </c>
      <c r="AN83" s="96">
        <f t="shared" si="5"/>
        <v>1.4923519999999968</v>
      </c>
      <c r="AO83" s="96">
        <f t="shared" si="6"/>
        <v>-3.9058999999996846E-4</v>
      </c>
      <c r="AP83" s="96">
        <f t="shared" si="7"/>
        <v>1.2219299999999267E-3</v>
      </c>
      <c r="AQ83" s="121">
        <f t="shared" si="8"/>
        <v>-1.1986005000000008E-2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31.603296</v>
      </c>
      <c r="Y84" s="190">
        <v>36.654823</v>
      </c>
      <c r="Z84" s="190">
        <v>0.97527070999999999</v>
      </c>
      <c r="AA84" s="62">
        <v>0.97400664999999997</v>
      </c>
      <c r="AB84" s="62">
        <v>3.3646427E-2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1.0116930000000011</v>
      </c>
      <c r="AN84" s="122">
        <f t="shared" si="5"/>
        <v>1.4475509999999971</v>
      </c>
      <c r="AO84" s="122">
        <f t="shared" si="6"/>
        <v>-1.4857000000001452E-4</v>
      </c>
      <c r="AP84" s="122">
        <f t="shared" si="7"/>
        <v>1.0743000000001945E-4</v>
      </c>
      <c r="AQ84" s="88">
        <f t="shared" si="8"/>
        <v>-1.0025773000000002E-2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36.701036000000002</v>
      </c>
      <c r="Y85" s="190">
        <v>40.593406000000002</v>
      </c>
      <c r="Z85" s="190">
        <v>0.98793125000000004</v>
      </c>
      <c r="AA85" s="62">
        <v>0.99116232000000004</v>
      </c>
      <c r="AB85" s="62">
        <v>1.6066393000000002E-2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1.8683779999999999</v>
      </c>
      <c r="AN85" s="122">
        <f t="shared" si="5"/>
        <v>1.6109580000000037</v>
      </c>
      <c r="AO85" s="122">
        <f t="shared" si="6"/>
        <v>-1.1563999999997243E-4</v>
      </c>
      <c r="AP85" s="122">
        <f t="shared" si="7"/>
        <v>5.8944999999999137E-4</v>
      </c>
      <c r="AQ85" s="88">
        <f t="shared" si="8"/>
        <v>-8.3571409999999985E-3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40.034402999999998</v>
      </c>
      <c r="Y86" s="190">
        <v>43.552121</v>
      </c>
      <c r="Z86" s="190">
        <v>0.99244878000000003</v>
      </c>
      <c r="AA86" s="62">
        <v>0.99594713999999995</v>
      </c>
      <c r="AB86" s="62">
        <v>9.3502635000000008E-3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2.4657049999999998</v>
      </c>
      <c r="AN86" s="122">
        <f t="shared" si="5"/>
        <v>1.891491000000002</v>
      </c>
      <c r="AO86" s="122">
        <f t="shared" si="6"/>
        <v>-5.7309999999977101E-5</v>
      </c>
      <c r="AP86" s="122">
        <f t="shared" si="7"/>
        <v>5.0566999999990259E-4</v>
      </c>
      <c r="AQ86" s="88">
        <f t="shared" si="8"/>
        <v>-8.3302824999999976E-3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27.613384</v>
      </c>
      <c r="Y88" s="97">
        <v>33.773370999999997</v>
      </c>
      <c r="Z88" s="97">
        <v>0.95600043999999995</v>
      </c>
      <c r="AA88" s="60">
        <v>0.95552557999999999</v>
      </c>
      <c r="AB88" s="60">
        <v>5.8348574E-2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0.49883399999999867</v>
      </c>
      <c r="AN88" s="96">
        <f t="shared" si="5"/>
        <v>1.5019509999999983</v>
      </c>
      <c r="AO88" s="96">
        <f t="shared" si="6"/>
        <v>-1.89390000000067E-4</v>
      </c>
      <c r="AP88" s="96">
        <f t="shared" si="7"/>
        <v>1.4401099999999945E-3</v>
      </c>
      <c r="AQ88" s="121">
        <f t="shared" si="8"/>
        <v>-1.2252651000000003E-2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31.712615</v>
      </c>
      <c r="Y89" s="190">
        <v>36.756920999999998</v>
      </c>
      <c r="Z89" s="190">
        <v>0.97547919999999999</v>
      </c>
      <c r="AA89" s="62">
        <v>0.97421964000000005</v>
      </c>
      <c r="AB89" s="62">
        <v>3.1527140000000002E-2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1.041481000000001</v>
      </c>
      <c r="AN89" s="122">
        <f t="shared" si="5"/>
        <v>1.4748469999999969</v>
      </c>
      <c r="AO89" s="122">
        <f t="shared" si="6"/>
        <v>8.9369999999977523E-5</v>
      </c>
      <c r="AP89" s="122">
        <f t="shared" si="7"/>
        <v>1.8695100000000187E-3</v>
      </c>
      <c r="AQ89" s="88">
        <f t="shared" si="8"/>
        <v>-1.0665382000000001E-2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36.985266000000003</v>
      </c>
      <c r="Y90" s="190">
        <v>40.841304999999998</v>
      </c>
      <c r="Z90" s="190">
        <v>0.98819632000000002</v>
      </c>
      <c r="AA90" s="62">
        <v>0.99110153999999995</v>
      </c>
      <c r="AB90" s="62">
        <v>1.5193290999999999E-2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1.9879530000000045</v>
      </c>
      <c r="AN90" s="122">
        <f t="shared" si="5"/>
        <v>1.6908949999999976</v>
      </c>
      <c r="AO90" s="122">
        <f t="shared" si="6"/>
        <v>9.3499999999968608E-5</v>
      </c>
      <c r="AP90" s="122">
        <f t="shared" si="7"/>
        <v>7.2524999999989959E-4</v>
      </c>
      <c r="AQ90" s="88">
        <f t="shared" si="8"/>
        <v>-8.8975860000000007E-3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40.368771000000002</v>
      </c>
      <c r="Y91" s="190">
        <v>43.831178000000001</v>
      </c>
      <c r="Z91" s="190">
        <v>0.99258305000000002</v>
      </c>
      <c r="AA91" s="62">
        <v>0.99614694000000004</v>
      </c>
      <c r="AB91" s="62">
        <v>8.9865840000000006E-3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2.7077600000000004</v>
      </c>
      <c r="AN91" s="122">
        <f t="shared" si="5"/>
        <v>2.0676690000000022</v>
      </c>
      <c r="AO91" s="122">
        <f t="shared" si="6"/>
        <v>1.1919000000004676E-4</v>
      </c>
      <c r="AP91" s="122">
        <f t="shared" si="7"/>
        <v>8.1932000000006777E-4</v>
      </c>
      <c r="AQ91" s="88">
        <f t="shared" si="8"/>
        <v>-8.7984180000000006E-3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27.691699</v>
      </c>
      <c r="Y93" s="97">
        <v>33.826939000000003</v>
      </c>
      <c r="Z93" s="97">
        <v>0.95731080999999996</v>
      </c>
      <c r="AA93" s="60">
        <v>0.95468165999999999</v>
      </c>
      <c r="AB93" s="60">
        <v>5.5803890000000002E-2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0.48940100000000086</v>
      </c>
      <c r="AN93" s="96">
        <f t="shared" si="5"/>
        <v>1.4400800000000018</v>
      </c>
      <c r="AO93" s="96">
        <f t="shared" si="6"/>
        <v>-4.3510000000024363E-5</v>
      </c>
      <c r="AP93" s="96">
        <f t="shared" si="7"/>
        <v>8.327700000000382E-4</v>
      </c>
      <c r="AQ93" s="121">
        <f t="shared" si="8"/>
        <v>-1.0738950000000004E-2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31.819545999999999</v>
      </c>
      <c r="Y94" s="190">
        <v>36.806469999999997</v>
      </c>
      <c r="Z94" s="190">
        <v>0.97580491999999996</v>
      </c>
      <c r="AA94" s="62">
        <v>0.97306521000000001</v>
      </c>
      <c r="AB94" s="62">
        <v>2.9924567999999999E-2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1.018103</v>
      </c>
      <c r="AN94" s="122">
        <f t="shared" si="5"/>
        <v>1.4159489999999977</v>
      </c>
      <c r="AO94" s="122">
        <f t="shared" si="6"/>
        <v>1.3876000000001554E-4</v>
      </c>
      <c r="AP94" s="122">
        <f t="shared" si="7"/>
        <v>2.5110600000000094E-3</v>
      </c>
      <c r="AQ94" s="88">
        <f t="shared" si="8"/>
        <v>-9.579523999999999E-3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37.156996999999997</v>
      </c>
      <c r="Y95" s="190">
        <v>40.948579000000002</v>
      </c>
      <c r="Z95" s="190">
        <v>0.98828453999999999</v>
      </c>
      <c r="AA95" s="62">
        <v>0.99054164</v>
      </c>
      <c r="AB95" s="62">
        <v>1.4605016E-2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1.9609519999999989</v>
      </c>
      <c r="AN95" s="122">
        <f t="shared" si="5"/>
        <v>1.6250010000000046</v>
      </c>
      <c r="AO95" s="122">
        <f t="shared" si="6"/>
        <v>8.3970000000044287E-5</v>
      </c>
      <c r="AP95" s="122">
        <f t="shared" si="7"/>
        <v>6.5579999999998417E-4</v>
      </c>
      <c r="AQ95" s="88">
        <f t="shared" si="8"/>
        <v>-8.1568990000000004E-3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40.440027000000001</v>
      </c>
      <c r="Y96" s="190">
        <v>43.872627999999999</v>
      </c>
      <c r="Z96" s="190">
        <v>0.99255952000000003</v>
      </c>
      <c r="AA96" s="62">
        <v>0.99612029999999996</v>
      </c>
      <c r="AB96" s="62">
        <v>8.6655919999999997E-3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2.6849109999999996</v>
      </c>
      <c r="AN96" s="122">
        <f t="shared" si="5"/>
        <v>2.0372869999999992</v>
      </c>
      <c r="AO96" s="122">
        <f t="shared" si="6"/>
        <v>1.2138000000005977E-4</v>
      </c>
      <c r="AP96" s="122">
        <f t="shared" si="7"/>
        <v>9.6566999999991854E-4</v>
      </c>
      <c r="AQ96" s="88">
        <f t="shared" si="8"/>
        <v>-8.2368779999999996E-3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27.849004000000001</v>
      </c>
      <c r="Y98" s="97">
        <v>33.952021000000002</v>
      </c>
      <c r="Z98" s="97">
        <v>0.95778821999999997</v>
      </c>
      <c r="AA98" s="60">
        <v>0.95580648999999995</v>
      </c>
      <c r="AB98" s="60">
        <v>5.5462454000000001E-2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0.52081000000000088</v>
      </c>
      <c r="AN98" s="96">
        <f t="shared" si="15"/>
        <v>1.4696679999999986</v>
      </c>
      <c r="AO98" s="96">
        <f t="shared" si="16"/>
        <v>-7.6799999999987989E-5</v>
      </c>
      <c r="AP98" s="96">
        <f t="shared" si="17"/>
        <v>1.5168700000000035E-3</v>
      </c>
      <c r="AQ98" s="121">
        <f t="shared" si="18"/>
        <v>-1.0611180000000005E-2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31.841750999999999</v>
      </c>
      <c r="Y99" s="190">
        <v>36.843879999999999</v>
      </c>
      <c r="Z99" s="190">
        <v>0.97586158000000001</v>
      </c>
      <c r="AA99" s="62">
        <v>0.97377899000000001</v>
      </c>
      <c r="AB99" s="62">
        <v>3.0736413000000001E-2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1.0298239999999979</v>
      </c>
      <c r="AN99" s="122">
        <f t="shared" si="15"/>
        <v>1.4481099999999998</v>
      </c>
      <c r="AO99" s="122">
        <f t="shared" si="16"/>
        <v>1.5438000000000951E-4</v>
      </c>
      <c r="AP99" s="122">
        <f t="shared" si="17"/>
        <v>2.3631400000000413E-3</v>
      </c>
      <c r="AQ99" s="88">
        <f t="shared" si="18"/>
        <v>-9.4193969999999995E-3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37.067993999999999</v>
      </c>
      <c r="Y100" s="190">
        <v>40.912112</v>
      </c>
      <c r="Z100" s="190">
        <v>0.98821298999999996</v>
      </c>
      <c r="AA100" s="62">
        <v>0.99044410000000005</v>
      </c>
      <c r="AB100" s="62">
        <v>1.5524926E-2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1.9308619999999976</v>
      </c>
      <c r="AN100" s="122">
        <f t="shared" si="15"/>
        <v>1.6364609999999971</v>
      </c>
      <c r="AO100" s="122">
        <f t="shared" si="16"/>
        <v>7.2059999999929403E-5</v>
      </c>
      <c r="AP100" s="122">
        <f t="shared" si="17"/>
        <v>6.6243000000010266E-4</v>
      </c>
      <c r="AQ100" s="88">
        <f t="shared" si="18"/>
        <v>-8.2109249999999991E-3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40.384793000000002</v>
      </c>
      <c r="Y101" s="190">
        <v>43.847470999999999</v>
      </c>
      <c r="Z101" s="190">
        <v>0.99256104999999994</v>
      </c>
      <c r="AA101" s="62">
        <v>0.99610975000000002</v>
      </c>
      <c r="AB101" s="62">
        <v>9.4898810000000004E-3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2.6306310000000011</v>
      </c>
      <c r="AN101" s="122">
        <f t="shared" si="15"/>
        <v>2.0196129999999997</v>
      </c>
      <c r="AO101" s="122">
        <f t="shared" si="16"/>
        <v>1.1612999999999207E-4</v>
      </c>
      <c r="AP101" s="122">
        <f t="shared" si="17"/>
        <v>8.8129000000003455E-4</v>
      </c>
      <c r="AQ101" s="88">
        <f t="shared" si="18"/>
        <v>-8.1105379999999987E-3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27.750657</v>
      </c>
      <c r="Y103" s="97">
        <v>33.416384000000001</v>
      </c>
      <c r="Z103" s="97">
        <v>0.95591431000000004</v>
      </c>
      <c r="AA103" s="60">
        <v>0.95612213000000001</v>
      </c>
      <c r="AB103" s="60">
        <v>5.8200540000000002E-2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0.47233200000000153</v>
      </c>
      <c r="AN103" s="96">
        <f t="shared" si="15"/>
        <v>1.1640060000000005</v>
      </c>
      <c r="AO103" s="96">
        <f t="shared" si="16"/>
        <v>-1.8334999999991552E-4</v>
      </c>
      <c r="AP103" s="96">
        <f t="shared" si="17"/>
        <v>1.3843900000000131E-3</v>
      </c>
      <c r="AQ103" s="121">
        <f t="shared" si="18"/>
        <v>-1.0139544999999993E-2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31.509259</v>
      </c>
      <c r="Y104" s="190">
        <v>36.265694000000003</v>
      </c>
      <c r="Z104" s="190">
        <v>0.97482159999999995</v>
      </c>
      <c r="AA104" s="62">
        <v>0.97457389000000005</v>
      </c>
      <c r="AB104" s="62">
        <v>3.2518150000000003E-2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0.89573800000000148</v>
      </c>
      <c r="AN104" s="122">
        <f t="shared" si="15"/>
        <v>1.1707020000000057</v>
      </c>
      <c r="AO104" s="122">
        <f t="shared" si="16"/>
        <v>5.7809999999935968E-5</v>
      </c>
      <c r="AP104" s="122">
        <f t="shared" si="17"/>
        <v>2.0611000000000379E-3</v>
      </c>
      <c r="AQ104" s="88">
        <f t="shared" si="18"/>
        <v>-9.1532559999999985E-3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36.314388999999998</v>
      </c>
      <c r="Y105" s="190">
        <v>40.171109000000001</v>
      </c>
      <c r="Z105" s="190">
        <v>0.98726223999999996</v>
      </c>
      <c r="AA105" s="62">
        <v>0.99002316000000001</v>
      </c>
      <c r="AB105" s="62">
        <v>1.7109532E-2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1.5150140000000007</v>
      </c>
      <c r="AN105" s="122">
        <f t="shared" si="15"/>
        <v>1.2576469999999986</v>
      </c>
      <c r="AO105" s="122">
        <f t="shared" si="16"/>
        <v>-6.8139999999994316E-5</v>
      </c>
      <c r="AP105" s="122">
        <f t="shared" si="17"/>
        <v>4.494800000000021E-4</v>
      </c>
      <c r="AQ105" s="88">
        <f t="shared" si="18"/>
        <v>-7.7027939999999989E-3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39.405544999999996</v>
      </c>
      <c r="Y106" s="190">
        <v>42.940761000000002</v>
      </c>
      <c r="Z106" s="190">
        <v>0.99187232999999997</v>
      </c>
      <c r="AA106" s="62">
        <v>0.99565316000000004</v>
      </c>
      <c r="AB106" s="62">
        <v>1.0694973999999999E-2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1.925344999999993</v>
      </c>
      <c r="AN106" s="122">
        <f t="shared" si="15"/>
        <v>1.4272960000000054</v>
      </c>
      <c r="AO106" s="122">
        <f t="shared" si="16"/>
        <v>-3.0010000000024739E-5</v>
      </c>
      <c r="AP106" s="122">
        <f t="shared" si="17"/>
        <v>6.9051000000008855E-4</v>
      </c>
      <c r="AQ106" s="88">
        <f t="shared" si="18"/>
        <v>-7.6896889999999996E-3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27.147386999999998</v>
      </c>
      <c r="Y641" s="136">
        <f t="shared" si="60"/>
        <v>33.173915000000001</v>
      </c>
      <c r="Z641" s="136">
        <f t="shared" si="60"/>
        <v>0.95423121</v>
      </c>
      <c r="AA641" s="136">
        <f t="shared" si="60"/>
        <v>0.95191358000000004</v>
      </c>
      <c r="AB641" s="136">
        <f t="shared" si="60"/>
        <v>5.4039937000000003E-2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31.420745</v>
      </c>
      <c r="Y642" s="18">
        <f t="shared" si="60"/>
        <v>36.101846000000002</v>
      </c>
      <c r="Z642" s="18">
        <f t="shared" si="60"/>
        <v>0.97337214000000005</v>
      </c>
      <c r="AA642" s="18">
        <f t="shared" si="60"/>
        <v>0.97306521000000001</v>
      </c>
      <c r="AB642" s="18">
        <f t="shared" si="60"/>
        <v>2.9924567999999999E-2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36.314388999999998</v>
      </c>
      <c r="Y643" s="18">
        <f t="shared" si="60"/>
        <v>40.171109000000001</v>
      </c>
      <c r="Z643" s="18">
        <f t="shared" si="60"/>
        <v>0.98652457000000005</v>
      </c>
      <c r="AA643" s="18">
        <f t="shared" si="60"/>
        <v>0.98996200000000001</v>
      </c>
      <c r="AB643" s="18">
        <f t="shared" si="60"/>
        <v>1.4605016E-2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39.405544999999996</v>
      </c>
      <c r="Y644" s="18">
        <f t="shared" si="60"/>
        <v>42.940761000000002</v>
      </c>
      <c r="Z644" s="18">
        <f t="shared" si="60"/>
        <v>0.99108178000000002</v>
      </c>
      <c r="AA644" s="18">
        <f t="shared" si="60"/>
        <v>0.99556606999999997</v>
      </c>
      <c r="AB644" s="18">
        <f t="shared" si="60"/>
        <v>8.6655919999999997E-3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27.946836999999999</v>
      </c>
      <c r="Y646" s="136">
        <f t="shared" si="62"/>
        <v>33.952021000000002</v>
      </c>
      <c r="Z646" s="136">
        <f t="shared" si="62"/>
        <v>0.95841312999999995</v>
      </c>
      <c r="AA646" s="136">
        <f t="shared" si="62"/>
        <v>0.95667826</v>
      </c>
      <c r="AB646" s="136">
        <f t="shared" si="62"/>
        <v>6.2988534999999998E-2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31.891019</v>
      </c>
      <c r="Y647" s="18">
        <f t="shared" si="62"/>
        <v>36.901175000000002</v>
      </c>
      <c r="Z647" s="18">
        <f t="shared" si="62"/>
        <v>0.97586158000000001</v>
      </c>
      <c r="AA647" s="18">
        <f t="shared" si="62"/>
        <v>0.97581209999999996</v>
      </c>
      <c r="AB647" s="18">
        <f t="shared" si="62"/>
        <v>3.788325E-2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37.275939999999999</v>
      </c>
      <c r="Y648" s="18">
        <f t="shared" si="62"/>
        <v>41.019517</v>
      </c>
      <c r="Z648" s="18">
        <f t="shared" si="62"/>
        <v>0.98831893999999998</v>
      </c>
      <c r="AA648" s="18">
        <f t="shared" si="62"/>
        <v>0.99116232000000004</v>
      </c>
      <c r="AB648" s="18">
        <f t="shared" si="62"/>
        <v>2.0221408E-2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40.592866000000001</v>
      </c>
      <c r="Y649" s="18">
        <f t="shared" si="62"/>
        <v>44.003518999999997</v>
      </c>
      <c r="Z649" s="18">
        <f t="shared" si="62"/>
        <v>0.99262231000000001</v>
      </c>
      <c r="AA649" s="18">
        <f t="shared" si="62"/>
        <v>0.99623158000000001</v>
      </c>
      <c r="AB649" s="18">
        <f t="shared" si="62"/>
        <v>1.3602250999999999E-2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0.79945000000000022</v>
      </c>
      <c r="Y651" s="136">
        <f t="shared" si="64"/>
        <v>0.77810600000000107</v>
      </c>
      <c r="Z651" s="136">
        <f t="shared" si="64"/>
        <v>4.1819199999999501E-3</v>
      </c>
      <c r="AA651" s="136">
        <f t="shared" si="64"/>
        <v>4.7646799999999656E-3</v>
      </c>
      <c r="AB651" s="136">
        <f t="shared" si="64"/>
        <v>8.9485979999999951E-3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0.47027399999999986</v>
      </c>
      <c r="Y652" s="18">
        <f t="shared" si="64"/>
        <v>0.79932900000000018</v>
      </c>
      <c r="Z652" s="18">
        <f t="shared" si="64"/>
        <v>2.4894399999999539E-3</v>
      </c>
      <c r="AA652" s="18">
        <f t="shared" si="64"/>
        <v>2.7468899999999463E-3</v>
      </c>
      <c r="AB652" s="18">
        <f t="shared" si="64"/>
        <v>7.9586820000000016E-3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0.96155100000000004</v>
      </c>
      <c r="Y653" s="18">
        <f t="shared" si="64"/>
        <v>0.84840799999999916</v>
      </c>
      <c r="Z653" s="18">
        <f t="shared" si="64"/>
        <v>1.7943699999999341E-3</v>
      </c>
      <c r="AA653" s="18">
        <f t="shared" si="64"/>
        <v>1.2003200000000325E-3</v>
      </c>
      <c r="AB653" s="18">
        <f t="shared" si="64"/>
        <v>5.6163919999999996E-3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1.1873210000000043</v>
      </c>
      <c r="Y654" s="18">
        <f t="shared" si="64"/>
        <v>1.0627579999999952</v>
      </c>
      <c r="Z654" s="18">
        <f t="shared" si="64"/>
        <v>1.5405299999999844E-3</v>
      </c>
      <c r="AA654" s="18">
        <f t="shared" si="64"/>
        <v>6.655100000000358E-4</v>
      </c>
      <c r="AB654" s="18">
        <f t="shared" si="64"/>
        <v>4.9366589999999995E-3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27394.896000000004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30.511596857142859</v>
      </c>
      <c r="Y5" s="30">
        <f t="shared" si="2"/>
        <v>34.375068190476192</v>
      </c>
      <c r="Z5" s="30">
        <f t="shared" si="2"/>
        <v>0.9669116276190477</v>
      </c>
      <c r="AA5" s="91">
        <f t="shared" si="2"/>
        <v>0.97366310619047625</v>
      </c>
      <c r="AB5" s="91">
        <f t="shared" si="2"/>
        <v>5.6740653380952383E-2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-0.1230581455814802</v>
      </c>
      <c r="AN5" s="245">
        <f>bdrate($E5:$E8,G5:G8,$W5:$W8,Y5:Y8)</f>
        <v>-8.9023659053000248E-2</v>
      </c>
      <c r="AO5" s="245">
        <f>bdrate($E5:$E8,H5:H8,$W5:$W8,Z5:Z8)</f>
        <v>-3.2144644195754024E-3</v>
      </c>
      <c r="AP5" s="245">
        <f>bdrate($E5:$E8,I5:I8,$W5:$W8,AA5:AA8)</f>
        <v>-2.0087159332287108E-2</v>
      </c>
      <c r="AQ5" s="246">
        <f>bdrateInverted($E5:$E8,J5:J8,$W5:$W8,AB5:AB8)</f>
        <v>-0.14200303214306309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39657.4</v>
      </c>
      <c r="X6" s="91">
        <f t="shared" si="2"/>
        <v>33.905802333333334</v>
      </c>
      <c r="Y6" s="91">
        <f t="shared" si="2"/>
        <v>37.264565142857151</v>
      </c>
      <c r="Z6" s="91">
        <f t="shared" si="2"/>
        <v>0.97995126476190486</v>
      </c>
      <c r="AA6" s="91">
        <f t="shared" si="2"/>
        <v>0.98464407523809527</v>
      </c>
      <c r="AB6" s="91">
        <f t="shared" si="2"/>
        <v>3.6695333571428568E-2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59463.824000000001</v>
      </c>
      <c r="X7" s="91">
        <f t="shared" si="2"/>
        <v>37.84702442857143</v>
      </c>
      <c r="Y7" s="91">
        <f t="shared" si="2"/>
        <v>41.178423761904774</v>
      </c>
      <c r="Z7" s="91">
        <f t="shared" si="2"/>
        <v>0.98912837380952379</v>
      </c>
      <c r="AA7" s="91">
        <f t="shared" si="2"/>
        <v>0.99260079523809519</v>
      </c>
      <c r="AB7" s="91">
        <f t="shared" si="2"/>
        <v>2.1109973428571429E-2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86892.760000000009</v>
      </c>
      <c r="X8" s="91">
        <f t="shared" si="2"/>
        <v>42.095119714285708</v>
      </c>
      <c r="Y8" s="91">
        <f t="shared" si="2"/>
        <v>45.171888047619049</v>
      </c>
      <c r="Z8" s="91">
        <f t="shared" si="2"/>
        <v>0.99388002904761885</v>
      </c>
      <c r="AA8" s="91">
        <f t="shared" si="2"/>
        <v>0.99637554904761894</v>
      </c>
      <c r="AB8" s="91">
        <f t="shared" si="2"/>
        <v>9.2317984523809533E-3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1016.616</v>
      </c>
      <c r="Z16" s="167">
        <v>324.98399999999998</v>
      </c>
      <c r="AA16" s="167">
        <v>143.89599999999999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3728.1120000000001</v>
      </c>
      <c r="Z17" s="168">
        <v>1843.7840000000001</v>
      </c>
      <c r="AA17" s="168">
        <v>1347.144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8143.1679999999997</v>
      </c>
      <c r="Z18" s="168">
        <v>5877.2479999999996</v>
      </c>
      <c r="AA18" s="168">
        <v>5629.4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13272.392</v>
      </c>
      <c r="Z19" s="168">
        <v>12566.832</v>
      </c>
      <c r="AA19" s="168">
        <v>14014.936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27394.896000000004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39657.4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59463.824000000001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86892.760000000009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27.209057999999999</v>
      </c>
      <c r="Y33" s="97">
        <v>30.975242000000001</v>
      </c>
      <c r="Z33" s="97">
        <v>0.95892292999999995</v>
      </c>
      <c r="AA33" s="60">
        <v>0.96551885000000004</v>
      </c>
      <c r="AB33" s="60">
        <v>6.7416820000000002E-2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0.30220199999999764</v>
      </c>
      <c r="AN33" s="96">
        <f t="shared" ref="AN33:AN96" si="5">IF(OR(Y33="",G33=""),"",Y33-G33)</f>
        <v>0.6073580000000014</v>
      </c>
      <c r="AO33" s="96">
        <f t="shared" ref="AO33:AO96" si="6">IF(OR(Z33="",H33=""),"",Z33-H33)</f>
        <v>2.1226999999990337E-4</v>
      </c>
      <c r="AP33" s="96">
        <f t="shared" ref="AP33:AP96" si="7">IF(OR(AA33="",I33=""),"",AA33-I33)</f>
        <v>9.6287000000006007E-4</v>
      </c>
      <c r="AQ33" s="121">
        <f t="shared" ref="AQ33:AQ96" si="8">IF(OR(AB33="",J33=""),"",AB33-J33)</f>
        <v>-1.5309939999999994E-2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31.712848999999999</v>
      </c>
      <c r="Y34" s="190">
        <v>34.973703999999998</v>
      </c>
      <c r="Z34" s="190">
        <v>0.97790336</v>
      </c>
      <c r="AA34" s="62">
        <v>0.98164238000000004</v>
      </c>
      <c r="AB34" s="62">
        <v>4.1988045000000002E-2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0.92241799999999685</v>
      </c>
      <c r="AN34" s="122">
        <f t="shared" si="5"/>
        <v>0.7752529999999993</v>
      </c>
      <c r="AO34" s="122">
        <f t="shared" si="6"/>
        <v>1.4190999999996734E-4</v>
      </c>
      <c r="AP34" s="122">
        <f t="shared" si="7"/>
        <v>7.1862000000000315E-4</v>
      </c>
      <c r="AQ34" s="88">
        <f t="shared" si="8"/>
        <v>-1.4620614999999997E-2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35.588009</v>
      </c>
      <c r="Y35" s="190">
        <v>39.0047</v>
      </c>
      <c r="Z35" s="190">
        <v>0.98835751999999999</v>
      </c>
      <c r="AA35" s="62">
        <v>0.99146084999999995</v>
      </c>
      <c r="AB35" s="62">
        <v>2.2787074000000001E-2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1.7895540000000025</v>
      </c>
      <c r="AN35" s="122">
        <f t="shared" si="5"/>
        <v>1.1544389999999964</v>
      </c>
      <c r="AO35" s="122">
        <f t="shared" si="6"/>
        <v>1.4670999999999434E-4</v>
      </c>
      <c r="AP35" s="122">
        <f t="shared" si="7"/>
        <v>3.0267999999999962E-4</v>
      </c>
      <c r="AQ35" s="88">
        <f t="shared" si="8"/>
        <v>-1.0321764000000001E-2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41.130859000000001</v>
      </c>
      <c r="Y36" s="190">
        <v>44.146616000000002</v>
      </c>
      <c r="Z36" s="190">
        <v>0.99394861999999995</v>
      </c>
      <c r="AA36" s="62">
        <v>0.99619614999999995</v>
      </c>
      <c r="AB36" s="62">
        <v>9.0371940000000001E-3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3.371575</v>
      </c>
      <c r="AN36" s="122">
        <f t="shared" si="5"/>
        <v>2.0850410000000039</v>
      </c>
      <c r="AO36" s="122">
        <f t="shared" si="6"/>
        <v>2.1177999999999475E-4</v>
      </c>
      <c r="AP36" s="122">
        <f t="shared" si="7"/>
        <v>3.7222999999997342E-4</v>
      </c>
      <c r="AQ36" s="88">
        <f t="shared" si="8"/>
        <v>-7.1298320000000009E-3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27.577832999999998</v>
      </c>
      <c r="Y38" s="97">
        <v>31.777324</v>
      </c>
      <c r="Z38" s="97">
        <v>0.96110529</v>
      </c>
      <c r="AA38" s="60">
        <v>0.96607641</v>
      </c>
      <c r="AB38" s="60">
        <v>6.3218969999999999E-2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0.37741099999999861</v>
      </c>
      <c r="AN38" s="96">
        <f t="shared" si="5"/>
        <v>0.68958100000000044</v>
      </c>
      <c r="AO38" s="96">
        <f t="shared" si="6"/>
        <v>2.4679000000005225E-4</v>
      </c>
      <c r="AP38" s="96">
        <f t="shared" si="7"/>
        <v>8.9322999999996711E-4</v>
      </c>
      <c r="AQ38" s="121">
        <f t="shared" si="8"/>
        <v>-1.1478660000000002E-2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32.412460000000003</v>
      </c>
      <c r="Y39" s="190">
        <v>35.641267999999997</v>
      </c>
      <c r="Z39" s="190">
        <v>0.97839710000000002</v>
      </c>
      <c r="AA39" s="62">
        <v>0.98162881999999996</v>
      </c>
      <c r="AB39" s="62">
        <v>4.1706890000000003E-2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1.0502880000000019</v>
      </c>
      <c r="AN39" s="122">
        <f t="shared" si="5"/>
        <v>0.78545699999999385</v>
      </c>
      <c r="AO39" s="122">
        <f t="shared" si="6"/>
        <v>9.1610000000019731E-5</v>
      </c>
      <c r="AP39" s="122">
        <f t="shared" si="7"/>
        <v>5.5019999999994518E-4</v>
      </c>
      <c r="AQ39" s="88">
        <f t="shared" si="8"/>
        <v>-1.1126779999999996E-2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36.612000999999999</v>
      </c>
      <c r="Y40" s="190">
        <v>39.966827000000002</v>
      </c>
      <c r="Z40" s="190">
        <v>0.98855099000000002</v>
      </c>
      <c r="AA40" s="62">
        <v>0.99175802999999996</v>
      </c>
      <c r="AB40" s="62">
        <v>2.3469202000000002E-2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1.7902679999999975</v>
      </c>
      <c r="AN40" s="122">
        <f t="shared" si="5"/>
        <v>1.1127830000000003</v>
      </c>
      <c r="AO40" s="122">
        <f t="shared" si="6"/>
        <v>1.2233000000005934E-4</v>
      </c>
      <c r="AP40" s="122">
        <f t="shared" si="7"/>
        <v>3.3848999999996909E-4</v>
      </c>
      <c r="AQ40" s="88">
        <f t="shared" si="8"/>
        <v>-7.8943279999999991E-3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41.220629000000002</v>
      </c>
      <c r="Y41" s="190">
        <v>44.347053000000002</v>
      </c>
      <c r="Z41" s="190">
        <v>0.99383732000000002</v>
      </c>
      <c r="AA41" s="62">
        <v>0.99613417000000004</v>
      </c>
      <c r="AB41" s="62">
        <v>9.6010479999999992E-3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3.2770150000000058</v>
      </c>
      <c r="AN41" s="122">
        <f t="shared" si="5"/>
        <v>2.051905000000005</v>
      </c>
      <c r="AO41" s="122">
        <f t="shared" si="6"/>
        <v>1.8764000000004444E-4</v>
      </c>
      <c r="AP41" s="122">
        <f t="shared" si="7"/>
        <v>3.9909000000004635E-4</v>
      </c>
      <c r="AQ41" s="88">
        <f t="shared" si="8"/>
        <v>-7.7729570000000022E-3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29.066683999999999</v>
      </c>
      <c r="Y43" s="97">
        <v>32.874813000000003</v>
      </c>
      <c r="Z43" s="97">
        <v>0.96326301000000003</v>
      </c>
      <c r="AA43" s="60">
        <v>0.96877561999999995</v>
      </c>
      <c r="AB43" s="60">
        <v>6.3028810000000005E-2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0.40752399999999867</v>
      </c>
      <c r="AN43" s="96">
        <f t="shared" si="5"/>
        <v>0.50278300000000087</v>
      </c>
      <c r="AO43" s="96">
        <f t="shared" si="6"/>
        <v>2.2487999999998287E-4</v>
      </c>
      <c r="AP43" s="96">
        <f t="shared" si="7"/>
        <v>7.0984999999990084E-4</v>
      </c>
      <c r="AQ43" s="121">
        <f t="shared" si="8"/>
        <v>-9.0923099999999923E-3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32.728214000000001</v>
      </c>
      <c r="Y44" s="190">
        <v>35.936518999999997</v>
      </c>
      <c r="Z44" s="190">
        <v>0.97864963999999999</v>
      </c>
      <c r="AA44" s="62">
        <v>0.98209707000000002</v>
      </c>
      <c r="AB44" s="62">
        <v>4.1949912999999998E-2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0.93157000000000068</v>
      </c>
      <c r="AN44" s="122">
        <f t="shared" si="5"/>
        <v>0.56424299999999761</v>
      </c>
      <c r="AO44" s="122">
        <f t="shared" si="6"/>
        <v>-2.2100000000024878E-5</v>
      </c>
      <c r="AP44" s="122">
        <f t="shared" si="7"/>
        <v>5.2748999999996382E-4</v>
      </c>
      <c r="AQ44" s="88">
        <f t="shared" si="8"/>
        <v>-7.7299700000000027E-3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36.967100000000002</v>
      </c>
      <c r="Y45" s="190">
        <v>40.424658000000001</v>
      </c>
      <c r="Z45" s="190">
        <v>0.98868533000000003</v>
      </c>
      <c r="AA45" s="62">
        <v>0.99178014999999997</v>
      </c>
      <c r="AB45" s="62">
        <v>2.3839576000000001E-2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1.7461800000000025</v>
      </c>
      <c r="AN45" s="122">
        <f t="shared" si="5"/>
        <v>1.0672730000000001</v>
      </c>
      <c r="AO45" s="122">
        <f t="shared" si="6"/>
        <v>6.9850000000037937E-5</v>
      </c>
      <c r="AP45" s="122">
        <f t="shared" si="7"/>
        <v>2.3039999999996397E-4</v>
      </c>
      <c r="AQ45" s="88">
        <f t="shared" si="8"/>
        <v>-7.7708719999999981E-3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41.374505999999997</v>
      </c>
      <c r="Y46" s="190">
        <v>44.536208000000002</v>
      </c>
      <c r="Z46" s="190">
        <v>0.99382238000000001</v>
      </c>
      <c r="AA46" s="62">
        <v>0.99608821999999997</v>
      </c>
      <c r="AB46" s="62">
        <v>9.8555659999999996E-3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2.9571599999999947</v>
      </c>
      <c r="AN46" s="122">
        <f t="shared" si="5"/>
        <v>1.7687600000000003</v>
      </c>
      <c r="AO46" s="122">
        <f t="shared" si="6"/>
        <v>1.5207000000005966E-4</v>
      </c>
      <c r="AP46" s="122">
        <f t="shared" si="7"/>
        <v>3.6793999999995552E-4</v>
      </c>
      <c r="AQ46" s="88">
        <f t="shared" si="8"/>
        <v>-6.7259100000000016E-3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29.851780999999999</v>
      </c>
      <c r="Y48" s="97">
        <v>33.617714999999997</v>
      </c>
      <c r="Z48" s="97">
        <v>0.96389957000000004</v>
      </c>
      <c r="AA48" s="60">
        <v>0.97003607999999997</v>
      </c>
      <c r="AB48" s="60">
        <v>5.7581137999999997E-2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0.10594199999999887</v>
      </c>
      <c r="AN48" s="96">
        <f t="shared" si="5"/>
        <v>0.39227499999999793</v>
      </c>
      <c r="AO48" s="96">
        <f t="shared" si="6"/>
        <v>3.1360000000035804E-5</v>
      </c>
      <c r="AP48" s="96">
        <f t="shared" si="7"/>
        <v>4.4091000000001657E-4</v>
      </c>
      <c r="AQ48" s="121">
        <f t="shared" si="8"/>
        <v>-5.9418570000000018E-3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33.539014999999999</v>
      </c>
      <c r="Y49" s="190">
        <v>36.743465</v>
      </c>
      <c r="Z49" s="190">
        <v>0.97819858999999998</v>
      </c>
      <c r="AA49" s="62">
        <v>0.98256843000000005</v>
      </c>
      <c r="AB49" s="62">
        <v>3.7963879999999998E-2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0.80392899999999656</v>
      </c>
      <c r="AN49" s="122">
        <f t="shared" si="5"/>
        <v>0.53812400000000338</v>
      </c>
      <c r="AO49" s="122">
        <f t="shared" si="6"/>
        <v>-1.0823000000004246E-4</v>
      </c>
      <c r="AP49" s="122">
        <f t="shared" si="7"/>
        <v>1.9330000000006287E-4</v>
      </c>
      <c r="AQ49" s="88">
        <f t="shared" si="8"/>
        <v>-4.7396850000000004E-3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37.573407000000003</v>
      </c>
      <c r="Y50" s="190">
        <v>40.937550999999999</v>
      </c>
      <c r="Z50" s="190">
        <v>0.98837242999999997</v>
      </c>
      <c r="AA50" s="62">
        <v>0.99187155999999999</v>
      </c>
      <c r="AB50" s="62">
        <v>2.2119705999999999E-2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1.6059060000000045</v>
      </c>
      <c r="AN50" s="122">
        <f t="shared" si="5"/>
        <v>0.88996099999999956</v>
      </c>
      <c r="AO50" s="122">
        <f t="shared" si="6"/>
        <v>1.4359999999991047E-5</v>
      </c>
      <c r="AP50" s="122">
        <f t="shared" si="7"/>
        <v>3.0598999999997822E-4</v>
      </c>
      <c r="AQ50" s="88">
        <f t="shared" si="8"/>
        <v>-5.8588140000000004E-3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41.504953999999998</v>
      </c>
      <c r="Y51" s="190">
        <v>44.651179999999997</v>
      </c>
      <c r="Z51" s="190">
        <v>0.99358740000000001</v>
      </c>
      <c r="AA51" s="62">
        <v>0.99603337000000003</v>
      </c>
      <c r="AB51" s="62">
        <v>9.4351020000000008E-3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2.6177039999999963</v>
      </c>
      <c r="AN51" s="122">
        <f t="shared" si="5"/>
        <v>1.4735719999999972</v>
      </c>
      <c r="AO51" s="122">
        <f t="shared" si="6"/>
        <v>9.5729999999960569E-5</v>
      </c>
      <c r="AP51" s="122">
        <f t="shared" si="7"/>
        <v>3.7890000000007085E-4</v>
      </c>
      <c r="AQ51" s="88">
        <f t="shared" si="8"/>
        <v>-5.2873769999999994E-3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30.038575000000002</v>
      </c>
      <c r="Y53" s="97">
        <v>33.751589000000003</v>
      </c>
      <c r="Z53" s="97">
        <v>0.9637635</v>
      </c>
      <c r="AA53" s="60">
        <v>0.97067528999999997</v>
      </c>
      <c r="AB53" s="60">
        <v>5.7348407999999997E-2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0.34483400000000231</v>
      </c>
      <c r="AN53" s="96">
        <f t="shared" si="5"/>
        <v>0.48447800000000285</v>
      </c>
      <c r="AO53" s="96">
        <f t="shared" si="6"/>
        <v>-1.2325000000001918E-4</v>
      </c>
      <c r="AP53" s="96">
        <f t="shared" si="7"/>
        <v>3.9129999999998333E-4</v>
      </c>
      <c r="AQ53" s="121">
        <f t="shared" si="8"/>
        <v>-6.6269259999999983E-3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33.492162</v>
      </c>
      <c r="Y54" s="190">
        <v>36.729874000000002</v>
      </c>
      <c r="Z54" s="190">
        <v>0.97813399000000001</v>
      </c>
      <c r="AA54" s="62">
        <v>0.98276620999999997</v>
      </c>
      <c r="AB54" s="62">
        <v>3.6811469999999999E-2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0.88709599999999966</v>
      </c>
      <c r="AN54" s="122">
        <f t="shared" si="5"/>
        <v>0.5822430000000054</v>
      </c>
      <c r="AO54" s="122">
        <f t="shared" si="6"/>
        <v>-1.0715999999999504E-4</v>
      </c>
      <c r="AP54" s="122">
        <f t="shared" si="7"/>
        <v>2.7639000000001523E-4</v>
      </c>
      <c r="AQ54" s="88">
        <f t="shared" si="8"/>
        <v>-5.5826060000000038E-3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37.374056000000003</v>
      </c>
      <c r="Y55" s="190">
        <v>40.802064999999999</v>
      </c>
      <c r="Z55" s="190">
        <v>0.98821616000000001</v>
      </c>
      <c r="AA55" s="62">
        <v>0.99179514000000002</v>
      </c>
      <c r="AB55" s="62">
        <v>2.2379823E-2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1.5243350000000007</v>
      </c>
      <c r="AN55" s="122">
        <f t="shared" si="5"/>
        <v>0.86439599999999928</v>
      </c>
      <c r="AO55" s="122">
        <f t="shared" si="6"/>
        <v>6.5780000000015271E-5</v>
      </c>
      <c r="AP55" s="122">
        <f t="shared" si="7"/>
        <v>3.3484999999999765E-4</v>
      </c>
      <c r="AQ55" s="88">
        <f t="shared" si="8"/>
        <v>-5.9379209999999988E-3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41.427776000000001</v>
      </c>
      <c r="Y56" s="190">
        <v>44.586874000000002</v>
      </c>
      <c r="Z56" s="190">
        <v>0.99356473999999995</v>
      </c>
      <c r="AA56" s="62">
        <v>0.99600038000000002</v>
      </c>
      <c r="AB56" s="62">
        <v>9.0856589999999994E-3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2.3914860000000004</v>
      </c>
      <c r="AN56" s="122">
        <f t="shared" si="5"/>
        <v>1.3818210000000022</v>
      </c>
      <c r="AO56" s="122">
        <f t="shared" si="6"/>
        <v>1.3292999999992006E-4</v>
      </c>
      <c r="AP56" s="122">
        <f t="shared" si="7"/>
        <v>4.3824999999997338E-4</v>
      </c>
      <c r="AQ56" s="88">
        <f t="shared" si="8"/>
        <v>-4.477041000000001E-3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30.168188000000001</v>
      </c>
      <c r="Y58" s="97">
        <v>33.858482000000002</v>
      </c>
      <c r="Z58" s="97">
        <v>0.96331374999999997</v>
      </c>
      <c r="AA58" s="60">
        <v>0.97098733999999998</v>
      </c>
      <c r="AB58" s="60">
        <v>5.9193115999999997E-2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0.27882600000000224</v>
      </c>
      <c r="AN58" s="96">
        <f t="shared" si="5"/>
        <v>0.4150020000000012</v>
      </c>
      <c r="AO58" s="96">
        <f t="shared" si="6"/>
        <v>-2.2472000000006709E-4</v>
      </c>
      <c r="AP58" s="96">
        <f t="shared" si="7"/>
        <v>5.4789999999971251E-5</v>
      </c>
      <c r="AQ58" s="121">
        <f t="shared" si="8"/>
        <v>-5.6405940000000057E-3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33.529874</v>
      </c>
      <c r="Y59" s="190">
        <v>36.766866999999998</v>
      </c>
      <c r="Z59" s="190">
        <v>0.97796061000000001</v>
      </c>
      <c r="AA59" s="62">
        <v>0.98325302999999997</v>
      </c>
      <c r="AB59" s="62">
        <v>3.7830866999999997E-2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0.77190999999999832</v>
      </c>
      <c r="AN59" s="122">
        <f t="shared" si="5"/>
        <v>0.49546799999999536</v>
      </c>
      <c r="AO59" s="122">
        <f t="shared" si="6"/>
        <v>-1.6786999999995889E-4</v>
      </c>
      <c r="AP59" s="122">
        <f t="shared" si="7"/>
        <v>2.4656000000000677E-4</v>
      </c>
      <c r="AQ59" s="88">
        <f t="shared" si="8"/>
        <v>-4.9321690000000001E-3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37.117162</v>
      </c>
      <c r="Y60" s="190">
        <v>40.592443000000003</v>
      </c>
      <c r="Z60" s="190">
        <v>0.98821866999999997</v>
      </c>
      <c r="AA60" s="62">
        <v>0.99181052000000003</v>
      </c>
      <c r="AB60" s="62">
        <v>2.3332346E-2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1.2140929999999983</v>
      </c>
      <c r="AN60" s="122">
        <f t="shared" si="5"/>
        <v>0.64972200000000413</v>
      </c>
      <c r="AO60" s="122">
        <f t="shared" si="6"/>
        <v>2.2419999999967466E-5</v>
      </c>
      <c r="AP60" s="122">
        <f t="shared" si="7"/>
        <v>3.9197000000001925E-4</v>
      </c>
      <c r="AQ60" s="88">
        <f t="shared" si="8"/>
        <v>-5.3552639999999985E-3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41.266378000000003</v>
      </c>
      <c r="Y61" s="190">
        <v>44.445112000000002</v>
      </c>
      <c r="Z61" s="190">
        <v>0.99355842000000005</v>
      </c>
      <c r="AA61" s="62">
        <v>0.99600275999999999</v>
      </c>
      <c r="AB61" s="62">
        <v>9.4174619999999997E-3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1.9347940000000037</v>
      </c>
      <c r="AN61" s="122">
        <f t="shared" si="5"/>
        <v>1.0498070000000013</v>
      </c>
      <c r="AO61" s="122">
        <f t="shared" si="6"/>
        <v>8.6870000000072167E-5</v>
      </c>
      <c r="AP61" s="122">
        <f t="shared" si="7"/>
        <v>4.6893000000003404E-4</v>
      </c>
      <c r="AQ61" s="88">
        <f t="shared" si="8"/>
        <v>-3.6162610000000008E-3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30.224957</v>
      </c>
      <c r="Y63" s="97">
        <v>34.065311000000001</v>
      </c>
      <c r="Z63" s="97">
        <v>0.96223517000000003</v>
      </c>
      <c r="AA63" s="60">
        <v>0.97172444000000002</v>
      </c>
      <c r="AB63" s="60">
        <v>6.0300144999999999E-2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3.2178999999999292E-2</v>
      </c>
      <c r="AN63" s="96">
        <f t="shared" si="5"/>
        <v>0.21557899999999819</v>
      </c>
      <c r="AO63" s="96">
        <f t="shared" si="6"/>
        <v>-2.6555999999999802E-4</v>
      </c>
      <c r="AP63" s="96">
        <f t="shared" si="7"/>
        <v>1.1029000000006839E-4</v>
      </c>
      <c r="AQ63" s="121">
        <f t="shared" si="8"/>
        <v>-3.0173750000000027E-3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33.615617999999998</v>
      </c>
      <c r="Y64" s="190">
        <v>36.893267999999999</v>
      </c>
      <c r="Z64" s="190">
        <v>0.97779205000000002</v>
      </c>
      <c r="AA64" s="62">
        <v>0.98346728999999999</v>
      </c>
      <c r="AB64" s="62">
        <v>3.8127991999999999E-2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0.34039800000000042</v>
      </c>
      <c r="AN64" s="122">
        <f t="shared" si="5"/>
        <v>0.20463099999999912</v>
      </c>
      <c r="AO64" s="122">
        <f t="shared" si="6"/>
        <v>-1.180299999999912E-4</v>
      </c>
      <c r="AP64" s="122">
        <f t="shared" si="7"/>
        <v>2.676600000000029E-4</v>
      </c>
      <c r="AQ64" s="88">
        <f t="shared" si="8"/>
        <v>-2.3461249999999975E-3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37.396704999999997</v>
      </c>
      <c r="Y65" s="190">
        <v>40.815013999999998</v>
      </c>
      <c r="Z65" s="190">
        <v>0.98836334000000003</v>
      </c>
      <c r="AA65" s="62">
        <v>0.99198679999999995</v>
      </c>
      <c r="AB65" s="62">
        <v>2.310825E-2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0.8591559999999987</v>
      </c>
      <c r="AN65" s="122">
        <f t="shared" si="5"/>
        <v>0.42570599999999814</v>
      </c>
      <c r="AO65" s="122">
        <f t="shared" si="6"/>
        <v>-1.5270000000011663E-5</v>
      </c>
      <c r="AP65" s="122">
        <f t="shared" si="7"/>
        <v>1.92379999999992E-4</v>
      </c>
      <c r="AQ65" s="88">
        <f t="shared" si="8"/>
        <v>-3.7328429999999996E-3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41.455440000000003</v>
      </c>
      <c r="Y66" s="190">
        <v>44.631853999999997</v>
      </c>
      <c r="Z66" s="190">
        <v>0.99363009000000002</v>
      </c>
      <c r="AA66" s="62">
        <v>0.99610609000000006</v>
      </c>
      <c r="AB66" s="62">
        <v>9.5037725000000003E-3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1.4296260000000061</v>
      </c>
      <c r="AN66" s="122">
        <f t="shared" si="5"/>
        <v>0.7552169999999947</v>
      </c>
      <c r="AO66" s="122">
        <f t="shared" si="6"/>
        <v>2.5070000000071424E-5</v>
      </c>
      <c r="AP66" s="122">
        <f t="shared" si="7"/>
        <v>3.5859000000004748E-4</v>
      </c>
      <c r="AQ66" s="88">
        <f t="shared" si="8"/>
        <v>-2.763993499999999E-3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29.186713000000001</v>
      </c>
      <c r="Y68" s="97">
        <v>33.147125000000003</v>
      </c>
      <c r="Z68" s="97">
        <v>0.96274629</v>
      </c>
      <c r="AA68" s="60">
        <v>0.96945166999999999</v>
      </c>
      <c r="AB68" s="60">
        <v>5.6219476999999997E-2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0.42868299999999948</v>
      </c>
      <c r="AN68" s="96">
        <f t="shared" si="5"/>
        <v>0.97125400000000184</v>
      </c>
      <c r="AO68" s="96">
        <f t="shared" si="6"/>
        <v>2.8108999999998385E-4</v>
      </c>
      <c r="AP68" s="96">
        <f t="shared" si="7"/>
        <v>9.4466000000004158E-4</v>
      </c>
      <c r="AQ68" s="121">
        <f t="shared" si="8"/>
        <v>-1.4056453000000003E-2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33.348905999999999</v>
      </c>
      <c r="Y69" s="190">
        <v>36.719068</v>
      </c>
      <c r="Z69" s="190">
        <v>0.97848641999999997</v>
      </c>
      <c r="AA69" s="62">
        <v>0.98320879999999999</v>
      </c>
      <c r="AB69" s="62">
        <v>3.5018760000000003E-2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1.3543759999999985</v>
      </c>
      <c r="AN69" s="122">
        <f t="shared" si="5"/>
        <v>1.1598749999999995</v>
      </c>
      <c r="AO69" s="122">
        <f t="shared" si="6"/>
        <v>1.4228999999998937E-4</v>
      </c>
      <c r="AP69" s="122">
        <f t="shared" si="7"/>
        <v>6.791699999999512E-4</v>
      </c>
      <c r="AQ69" s="88">
        <f t="shared" si="8"/>
        <v>-1.2089152999999998E-2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37.395175000000002</v>
      </c>
      <c r="Y70" s="190">
        <v>40.614500999999997</v>
      </c>
      <c r="Z70" s="190">
        <v>0.98897447999999999</v>
      </c>
      <c r="AA70" s="62">
        <v>0.99232827000000001</v>
      </c>
      <c r="AB70" s="62">
        <v>1.8824697000000001E-2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2.5544849999999997</v>
      </c>
      <c r="AN70" s="122">
        <f t="shared" si="5"/>
        <v>1.5584249999999997</v>
      </c>
      <c r="AO70" s="122">
        <f t="shared" si="6"/>
        <v>2.4667000000000439E-4</v>
      </c>
      <c r="AP70" s="122">
        <f t="shared" si="7"/>
        <v>5.1721000000004569E-4</v>
      </c>
      <c r="AQ70" s="88">
        <f t="shared" si="8"/>
        <v>-1.0640365999999998E-2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41.890467000000001</v>
      </c>
      <c r="Y71" s="190">
        <v>44.919888</v>
      </c>
      <c r="Z71" s="190">
        <v>0.99396150999999999</v>
      </c>
      <c r="AA71" s="62">
        <v>0.99627706999999999</v>
      </c>
      <c r="AB71" s="62">
        <v>8.2198340000000005E-3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3.8078140000000005</v>
      </c>
      <c r="AN71" s="122">
        <f t="shared" si="5"/>
        <v>2.5038539999999969</v>
      </c>
      <c r="AO71" s="122">
        <f t="shared" si="6"/>
        <v>2.5617000000000001E-4</v>
      </c>
      <c r="AP71" s="122">
        <f t="shared" si="7"/>
        <v>4.8293999999993176E-4</v>
      </c>
      <c r="AQ71" s="88">
        <f t="shared" si="8"/>
        <v>-6.7410530000000003E-3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30.176477999999999</v>
      </c>
      <c r="Y73" s="97">
        <v>34.251764000000001</v>
      </c>
      <c r="Z73" s="97">
        <v>0.96557446999999996</v>
      </c>
      <c r="AA73" s="60">
        <v>0.97067331000000001</v>
      </c>
      <c r="AB73" s="60">
        <v>5.2295186E-2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0.45465300000000042</v>
      </c>
      <c r="AN73" s="96">
        <f t="shared" si="5"/>
        <v>0.81061499999999853</v>
      </c>
      <c r="AO73" s="96">
        <f t="shared" si="6"/>
        <v>2.8865000000000141E-4</v>
      </c>
      <c r="AP73" s="96">
        <f t="shared" si="7"/>
        <v>9.6097000000006094E-4</v>
      </c>
      <c r="AQ73" s="121">
        <f t="shared" si="8"/>
        <v>-9.3321979999999999E-3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33.741810000000001</v>
      </c>
      <c r="Y74" s="190">
        <v>37.154536</v>
      </c>
      <c r="Z74" s="190">
        <v>0.97921886000000002</v>
      </c>
      <c r="AA74" s="62">
        <v>0.98328024000000003</v>
      </c>
      <c r="AB74" s="62">
        <v>3.3633549999999998E-2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1.1826969999999974</v>
      </c>
      <c r="AN74" s="122">
        <f t="shared" si="5"/>
        <v>0.87921800000000161</v>
      </c>
      <c r="AO74" s="122">
        <f t="shared" si="6"/>
        <v>8.1360000000030297E-5</v>
      </c>
      <c r="AP74" s="122">
        <f t="shared" si="7"/>
        <v>5.2519000000006422E-4</v>
      </c>
      <c r="AQ74" s="88">
        <f t="shared" si="8"/>
        <v>-7.4180100000000027E-3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38.078448000000002</v>
      </c>
      <c r="Y75" s="190">
        <v>41.342204000000002</v>
      </c>
      <c r="Z75" s="190">
        <v>0.98907075</v>
      </c>
      <c r="AA75" s="62">
        <v>0.99237189000000003</v>
      </c>
      <c r="AB75" s="62">
        <v>1.8204722999999999E-2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1.814154000000002</v>
      </c>
      <c r="AN75" s="122">
        <f t="shared" si="5"/>
        <v>1.0835420000000013</v>
      </c>
      <c r="AO75" s="122">
        <f t="shared" si="6"/>
        <v>1.9458999999999449E-4</v>
      </c>
      <c r="AP75" s="122">
        <f t="shared" si="7"/>
        <v>5.2634000000006953E-4</v>
      </c>
      <c r="AQ75" s="88">
        <f t="shared" si="8"/>
        <v>-5.6397029999999994E-3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42.042245999999999</v>
      </c>
      <c r="Y76" s="190">
        <v>45.122286000000003</v>
      </c>
      <c r="Z76" s="190">
        <v>0.99390535999999996</v>
      </c>
      <c r="AA76" s="62">
        <v>0.99630565999999998</v>
      </c>
      <c r="AB76" s="62">
        <v>8.2811169999999993E-3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3.7676769999999991</v>
      </c>
      <c r="AN76" s="122">
        <f t="shared" si="5"/>
        <v>2.425729000000004</v>
      </c>
      <c r="AO76" s="122">
        <f t="shared" si="6"/>
        <v>2.2813999999993229E-4</v>
      </c>
      <c r="AP76" s="122">
        <f t="shared" si="7"/>
        <v>5.4516999999998372E-4</v>
      </c>
      <c r="AQ76" s="88">
        <f t="shared" si="8"/>
        <v>-7.9623929999999999E-3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30.397870000000001</v>
      </c>
      <c r="Y78" s="97">
        <v>34.082076000000001</v>
      </c>
      <c r="Z78" s="97">
        <v>0.96713897000000004</v>
      </c>
      <c r="AA78" s="60">
        <v>0.97218028999999995</v>
      </c>
      <c r="AB78" s="60">
        <v>5.4558660000000002E-2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0.58182800000000157</v>
      </c>
      <c r="AN78" s="96">
        <f t="shared" si="5"/>
        <v>0.57549800000000317</v>
      </c>
      <c r="AO78" s="96">
        <f t="shared" si="6"/>
        <v>3.251000000000781E-4</v>
      </c>
      <c r="AP78" s="96">
        <f t="shared" si="7"/>
        <v>7.990900000000023E-4</v>
      </c>
      <c r="AQ78" s="121">
        <f t="shared" si="8"/>
        <v>-9.764769999999999E-3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33.511006000000002</v>
      </c>
      <c r="Y79" s="190">
        <v>36.854909999999997</v>
      </c>
      <c r="Z79" s="190">
        <v>0.97962017000000001</v>
      </c>
      <c r="AA79" s="62">
        <v>0.98336813999999995</v>
      </c>
      <c r="AB79" s="62">
        <v>3.5354196999999997E-2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1.1221570000000014</v>
      </c>
      <c r="AN79" s="122">
        <f t="shared" si="5"/>
        <v>0.65527799999999559</v>
      </c>
      <c r="AO79" s="122">
        <f t="shared" si="6"/>
        <v>2.8020000000017475E-5</v>
      </c>
      <c r="AP79" s="122">
        <f t="shared" si="7"/>
        <v>4.6139999999994519E-4</v>
      </c>
      <c r="AQ79" s="88">
        <f t="shared" si="8"/>
        <v>-7.4255930000000012E-3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37.792225000000002</v>
      </c>
      <c r="Y80" s="190">
        <v>41.212347999999999</v>
      </c>
      <c r="Z80" s="190">
        <v>0.98917792999999998</v>
      </c>
      <c r="AA80" s="62">
        <v>0.99241190000000001</v>
      </c>
      <c r="AB80" s="62">
        <v>1.9486818E-2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1.8596350000000044</v>
      </c>
      <c r="AN80" s="122">
        <f t="shared" si="5"/>
        <v>1.0745110000000011</v>
      </c>
      <c r="AO80" s="122">
        <f t="shared" si="6"/>
        <v>1.56590000000012E-4</v>
      </c>
      <c r="AP80" s="122">
        <f t="shared" si="7"/>
        <v>5.2346000000003112E-4</v>
      </c>
      <c r="AQ80" s="88">
        <f t="shared" si="8"/>
        <v>-7.8233600000000014E-3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42.022830999999996</v>
      </c>
      <c r="Y81" s="190">
        <v>45.207695999999999</v>
      </c>
      <c r="Z81" s="190">
        <v>0.99394017999999995</v>
      </c>
      <c r="AA81" s="62">
        <v>0.99632482</v>
      </c>
      <c r="AB81" s="62">
        <v>8.5385159999999995E-3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3.3371109999999931</v>
      </c>
      <c r="AN81" s="122">
        <f t="shared" si="5"/>
        <v>2.0990029999999962</v>
      </c>
      <c r="AO81" s="122">
        <f t="shared" si="6"/>
        <v>2.2077999999992048E-4</v>
      </c>
      <c r="AP81" s="122">
        <f t="shared" si="7"/>
        <v>5.1352000000004505E-4</v>
      </c>
      <c r="AQ81" s="88">
        <f t="shared" si="8"/>
        <v>-7.0581340000000006E-3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30.673300000000001</v>
      </c>
      <c r="Y83" s="97">
        <v>34.406292000000001</v>
      </c>
      <c r="Z83" s="97">
        <v>0.96802721999999997</v>
      </c>
      <c r="AA83" s="60">
        <v>0.97407458999999996</v>
      </c>
      <c r="AB83" s="60">
        <v>5.2533419999999997E-2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0.16866800000000026</v>
      </c>
      <c r="AN83" s="96">
        <f t="shared" si="5"/>
        <v>0.55125300000000266</v>
      </c>
      <c r="AO83" s="96">
        <f t="shared" si="6"/>
        <v>2.869999999999262E-4</v>
      </c>
      <c r="AP83" s="96">
        <f t="shared" si="7"/>
        <v>7.0309999999995654E-4</v>
      </c>
      <c r="AQ83" s="121">
        <f t="shared" si="8"/>
        <v>-7.0408640000000008E-3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34.250827999999998</v>
      </c>
      <c r="Y84" s="190">
        <v>37.482542000000002</v>
      </c>
      <c r="Z84" s="190">
        <v>0.98008260000000003</v>
      </c>
      <c r="AA84" s="62">
        <v>0.98462260999999995</v>
      </c>
      <c r="AB84" s="62">
        <v>3.3477575000000002E-2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1.0252249999999989</v>
      </c>
      <c r="AN84" s="122">
        <f t="shared" si="5"/>
        <v>0.75922900000000482</v>
      </c>
      <c r="AO84" s="122">
        <f t="shared" si="6"/>
        <v>-6.4569999999930516E-5</v>
      </c>
      <c r="AP84" s="122">
        <f t="shared" si="7"/>
        <v>5.4707999999992207E-4</v>
      </c>
      <c r="AQ84" s="88">
        <f t="shared" si="8"/>
        <v>-5.8988589999999994E-3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38.212938999999999</v>
      </c>
      <c r="Y85" s="190">
        <v>41.509385999999999</v>
      </c>
      <c r="Z85" s="190">
        <v>0.98898611000000003</v>
      </c>
      <c r="AA85" s="62">
        <v>0.99252313999999997</v>
      </c>
      <c r="AB85" s="62">
        <v>1.9469219999999999E-2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1.9139750000000006</v>
      </c>
      <c r="AN85" s="122">
        <f t="shared" si="5"/>
        <v>1.0910810000000026</v>
      </c>
      <c r="AO85" s="122">
        <f t="shared" si="6"/>
        <v>1.1331000000003311E-4</v>
      </c>
      <c r="AP85" s="122">
        <f t="shared" si="7"/>
        <v>3.283599999999165E-4</v>
      </c>
      <c r="AQ85" s="88">
        <f t="shared" si="8"/>
        <v>-6.3223649999999999E-3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42.100988000000001</v>
      </c>
      <c r="Y86" s="190">
        <v>45.202550000000002</v>
      </c>
      <c r="Z86" s="190">
        <v>0.99369947999999997</v>
      </c>
      <c r="AA86" s="62">
        <v>0.99629794000000005</v>
      </c>
      <c r="AB86" s="62">
        <v>8.7010290000000007E-3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2.9216540000000037</v>
      </c>
      <c r="AN86" s="122">
        <f t="shared" si="5"/>
        <v>1.7303970000000035</v>
      </c>
      <c r="AO86" s="122">
        <f t="shared" si="6"/>
        <v>1.3390000000002011E-4</v>
      </c>
      <c r="AP86" s="122">
        <f t="shared" si="7"/>
        <v>5.2725000000009015E-4</v>
      </c>
      <c r="AQ86" s="88">
        <f t="shared" si="8"/>
        <v>-5.2258969999999984E-3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30.864947000000001</v>
      </c>
      <c r="Y88" s="97">
        <v>34.617317999999997</v>
      </c>
      <c r="Z88" s="97">
        <v>0.96825008000000001</v>
      </c>
      <c r="AA88" s="60">
        <v>0.97415481000000004</v>
      </c>
      <c r="AB88" s="60">
        <v>5.1449936000000002E-2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0.35849400000000031</v>
      </c>
      <c r="AN88" s="96">
        <f t="shared" si="5"/>
        <v>0.5516189999999952</v>
      </c>
      <c r="AO88" s="96">
        <f t="shared" si="6"/>
        <v>1.177900000000065E-4</v>
      </c>
      <c r="AP88" s="96">
        <f t="shared" si="7"/>
        <v>6.7740999999998941E-4</v>
      </c>
      <c r="AQ88" s="121">
        <f t="shared" si="8"/>
        <v>-6.4411009999999977E-3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34.336685000000003</v>
      </c>
      <c r="Y89" s="190">
        <v>37.568454000000003</v>
      </c>
      <c r="Z89" s="190">
        <v>0.98049863000000004</v>
      </c>
      <c r="AA89" s="62">
        <v>0.98511477999999997</v>
      </c>
      <c r="AB89" s="62">
        <v>3.2916460000000002E-2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0.85885999999999996</v>
      </c>
      <c r="AN89" s="122">
        <f t="shared" si="5"/>
        <v>0.62105000000000388</v>
      </c>
      <c r="AO89" s="122">
        <f t="shared" si="6"/>
        <v>-1.2246999999998565E-4</v>
      </c>
      <c r="AP89" s="122">
        <f t="shared" si="7"/>
        <v>5.0439999999996044E-4</v>
      </c>
      <c r="AQ89" s="88">
        <f t="shared" si="8"/>
        <v>-4.8242439999999984E-3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38.395018</v>
      </c>
      <c r="Y90" s="190">
        <v>41.691319</v>
      </c>
      <c r="Z90" s="190">
        <v>0.98916890000000002</v>
      </c>
      <c r="AA90" s="62">
        <v>0.99269132000000004</v>
      </c>
      <c r="AB90" s="62">
        <v>1.8894360999999998E-2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1.6459639999999993</v>
      </c>
      <c r="AN90" s="122">
        <f t="shared" si="5"/>
        <v>0.96481800000000106</v>
      </c>
      <c r="AO90" s="122">
        <f t="shared" si="6"/>
        <v>9.0680000000009642E-5</v>
      </c>
      <c r="AP90" s="122">
        <f t="shared" si="7"/>
        <v>5.0157000000006224E-4</v>
      </c>
      <c r="AQ90" s="88">
        <f t="shared" si="8"/>
        <v>-4.8909750000000023E-3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42.298259999999999</v>
      </c>
      <c r="Y91" s="190">
        <v>45.415813999999997</v>
      </c>
      <c r="Z91" s="190">
        <v>0.99391006999999998</v>
      </c>
      <c r="AA91" s="62">
        <v>0.99638135000000005</v>
      </c>
      <c r="AB91" s="62">
        <v>8.3405244999999999E-3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2.6249309999999966</v>
      </c>
      <c r="AN91" s="122">
        <f t="shared" si="5"/>
        <v>1.5642689999999959</v>
      </c>
      <c r="AO91" s="122">
        <f t="shared" si="6"/>
        <v>1.3673000000002933E-4</v>
      </c>
      <c r="AP91" s="122">
        <f t="shared" si="7"/>
        <v>5.2387000000009287E-4</v>
      </c>
      <c r="AQ91" s="88">
        <f t="shared" si="8"/>
        <v>-4.3303325000000007E-3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31.094629000000001</v>
      </c>
      <c r="Y93" s="97">
        <v>34.812054000000003</v>
      </c>
      <c r="Z93" s="97">
        <v>0.96835093999999999</v>
      </c>
      <c r="AA93" s="60">
        <v>0.97451401000000004</v>
      </c>
      <c r="AB93" s="60">
        <v>5.3065594000000001E-2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0.40237800000000234</v>
      </c>
      <c r="AN93" s="96">
        <f t="shared" si="5"/>
        <v>0.43536300000000239</v>
      </c>
      <c r="AO93" s="96">
        <f t="shared" si="6"/>
        <v>-7.438999999997975E-5</v>
      </c>
      <c r="AP93" s="96">
        <f t="shared" si="7"/>
        <v>6.8779999999990515E-5</v>
      </c>
      <c r="AQ93" s="121">
        <f t="shared" si="8"/>
        <v>-6.0094929999999977E-3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34.392966000000001</v>
      </c>
      <c r="Y94" s="190">
        <v>37.697422000000003</v>
      </c>
      <c r="Z94" s="190">
        <v>0.98055590999999998</v>
      </c>
      <c r="AA94" s="62">
        <v>0.98533775000000001</v>
      </c>
      <c r="AB94" s="62">
        <v>3.3748947000000001E-2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0.87020300000000361</v>
      </c>
      <c r="AN94" s="122">
        <f t="shared" si="5"/>
        <v>0.52878199999999964</v>
      </c>
      <c r="AO94" s="122">
        <f t="shared" si="6"/>
        <v>-1.5017999999999976E-4</v>
      </c>
      <c r="AP94" s="122">
        <f t="shared" si="7"/>
        <v>2.3244000000000042E-4</v>
      </c>
      <c r="AQ94" s="88">
        <f t="shared" si="8"/>
        <v>-4.5340209999999992E-3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37.916907000000002</v>
      </c>
      <c r="Y95" s="190">
        <v>41.378284000000001</v>
      </c>
      <c r="Z95" s="190">
        <v>0.98929290999999997</v>
      </c>
      <c r="AA95" s="62">
        <v>0.99266995999999996</v>
      </c>
      <c r="AB95" s="62">
        <v>2.0115075999999999E-2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1.1735049999999987</v>
      </c>
      <c r="AN95" s="122">
        <f t="shared" si="5"/>
        <v>0.70783099999999877</v>
      </c>
      <c r="AO95" s="122">
        <f t="shared" si="6"/>
        <v>6.5039999999960685E-5</v>
      </c>
      <c r="AP95" s="122">
        <f t="shared" si="7"/>
        <v>3.0996999999999275E-4</v>
      </c>
      <c r="AQ95" s="88">
        <f t="shared" si="8"/>
        <v>-4.2711329999999999E-3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42.210642999999997</v>
      </c>
      <c r="Y96" s="190">
        <v>45.383217000000002</v>
      </c>
      <c r="Z96" s="190">
        <v>0.99398131999999995</v>
      </c>
      <c r="AA96" s="62">
        <v>0.99637825000000002</v>
      </c>
      <c r="AB96" s="62">
        <v>8.4944670000000003E-3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2.224934999999995</v>
      </c>
      <c r="AN96" s="122">
        <f t="shared" si="5"/>
        <v>1.2670220000000043</v>
      </c>
      <c r="AO96" s="122">
        <f t="shared" si="6"/>
        <v>1.0361999999997096E-4</v>
      </c>
      <c r="AP96" s="122">
        <f t="shared" si="7"/>
        <v>4.4162999999997066E-4</v>
      </c>
      <c r="AQ96" s="88">
        <f t="shared" si="8"/>
        <v>-3.792966E-3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31.212336000000001</v>
      </c>
      <c r="Y98" s="97">
        <v>35.257541000000003</v>
      </c>
      <c r="Z98" s="97">
        <v>0.96753177000000001</v>
      </c>
      <c r="AA98" s="60">
        <v>0.97475254</v>
      </c>
      <c r="AB98" s="60">
        <v>5.4486382999999999E-2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1.2239000000000999E-2</v>
      </c>
      <c r="AN98" s="96">
        <f t="shared" si="15"/>
        <v>0.22481600000000412</v>
      </c>
      <c r="AO98" s="96">
        <f t="shared" si="16"/>
        <v>-1.5622999999997944E-4</v>
      </c>
      <c r="AP98" s="96">
        <f t="shared" si="17"/>
        <v>-2.0542999999995093E-4</v>
      </c>
      <c r="AQ98" s="121">
        <f t="shared" si="18"/>
        <v>-1.8992270000000033E-3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34.637233000000002</v>
      </c>
      <c r="Y99" s="190">
        <v>38.097662</v>
      </c>
      <c r="Z99" s="190">
        <v>0.98033203999999996</v>
      </c>
      <c r="AA99" s="62">
        <v>0.98560113000000005</v>
      </c>
      <c r="AB99" s="62">
        <v>3.4293085000000001E-2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0.41050299999999851</v>
      </c>
      <c r="AN99" s="122">
        <f t="shared" si="15"/>
        <v>0.28123599999999982</v>
      </c>
      <c r="AO99" s="122">
        <f t="shared" si="16"/>
        <v>-1.4191000000007836E-4</v>
      </c>
      <c r="AP99" s="122">
        <f t="shared" si="17"/>
        <v>2.4602000000006896E-4</v>
      </c>
      <c r="AQ99" s="88">
        <f t="shared" si="18"/>
        <v>-1.2788999999999995E-3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38.289335999999999</v>
      </c>
      <c r="Y100" s="190">
        <v>41.593069999999997</v>
      </c>
      <c r="Z100" s="190">
        <v>0.98931891999999999</v>
      </c>
      <c r="AA100" s="62">
        <v>0.99260990000000004</v>
      </c>
      <c r="AB100" s="62">
        <v>2.0259949999999999E-2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0.97208200000000033</v>
      </c>
      <c r="AN100" s="122">
        <f t="shared" si="15"/>
        <v>0.55058999999999969</v>
      </c>
      <c r="AO100" s="122">
        <f t="shared" si="16"/>
        <v>1.8619999999969217E-5</v>
      </c>
      <c r="AP100" s="122">
        <f t="shared" si="17"/>
        <v>1.3451000000008762E-4</v>
      </c>
      <c r="AQ100" s="88">
        <f t="shared" si="18"/>
        <v>-2.5593000000000005E-3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42.379061</v>
      </c>
      <c r="Y101" s="190">
        <v>45.508904000000001</v>
      </c>
      <c r="Z101" s="190">
        <v>0.99405664000000005</v>
      </c>
      <c r="AA101" s="62">
        <v>0.99641168000000002</v>
      </c>
      <c r="AB101" s="62">
        <v>8.8968829999999995E-3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1.6154239999999973</v>
      </c>
      <c r="AN101" s="122">
        <f t="shared" si="15"/>
        <v>0.87904199999999832</v>
      </c>
      <c r="AO101" s="122">
        <f t="shared" si="16"/>
        <v>4.8130000000035089E-5</v>
      </c>
      <c r="AP101" s="122">
        <f t="shared" si="17"/>
        <v>3.4723000000003168E-4</v>
      </c>
      <c r="AQ101" s="88">
        <f t="shared" si="18"/>
        <v>-2.6036410000000003E-3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31.151903000000001</v>
      </c>
      <c r="Y103" s="97">
        <v>35.272306999999998</v>
      </c>
      <c r="Z103" s="97">
        <v>0.96885882999999995</v>
      </c>
      <c r="AA103" s="60">
        <v>0.97741887999999999</v>
      </c>
      <c r="AB103" s="60">
        <v>6.0362144999999999E-2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0.26022900000000249</v>
      </c>
      <c r="AN103" s="96">
        <f t="shared" si="15"/>
        <v>0.98546100000000081</v>
      </c>
      <c r="AO103" s="96">
        <f t="shared" si="16"/>
        <v>9.3289999999912609E-5</v>
      </c>
      <c r="AP103" s="96">
        <f t="shared" si="17"/>
        <v>2.408899999999381E-4</v>
      </c>
      <c r="AQ103" s="121">
        <f t="shared" si="18"/>
        <v>-1.1238945000000007E-2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34.646633999999999</v>
      </c>
      <c r="Y104" s="190">
        <v>38.183487999999997</v>
      </c>
      <c r="Z104" s="190">
        <v>0.98108658999999998</v>
      </c>
      <c r="AA104" s="62">
        <v>0.98679053999999999</v>
      </c>
      <c r="AB104" s="62">
        <v>3.7308229999999998E-2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1.1327459999999974</v>
      </c>
      <c r="AN104" s="122">
        <f t="shared" si="15"/>
        <v>1.2513089999999991</v>
      </c>
      <c r="AO104" s="122">
        <f t="shared" si="16"/>
        <v>5.2179999999957261E-5</v>
      </c>
      <c r="AP104" s="122">
        <f t="shared" si="17"/>
        <v>3.3530000000003835E-4</v>
      </c>
      <c r="AQ104" s="88">
        <f t="shared" si="18"/>
        <v>-1.1137405000000003E-2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38.730331</v>
      </c>
      <c r="Y105" s="190">
        <v>41.910814000000002</v>
      </c>
      <c r="Z105" s="190">
        <v>0.98993545000000005</v>
      </c>
      <c r="AA105" s="62">
        <v>0.99363727999999996</v>
      </c>
      <c r="AB105" s="62">
        <v>2.0310993999999999E-2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2.7013419999999968</v>
      </c>
      <c r="AN105" s="122">
        <f t="shared" si="15"/>
        <v>1.7217520000000022</v>
      </c>
      <c r="AO105" s="122">
        <f t="shared" si="16"/>
        <v>1.8254000000006432E-4</v>
      </c>
      <c r="AP105" s="122">
        <f t="shared" si="17"/>
        <v>5.175399999999275E-4</v>
      </c>
      <c r="AQ105" s="88">
        <f t="shared" si="18"/>
        <v>-1.0705482000000002E-2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42.716051999999998</v>
      </c>
      <c r="Y106" s="190">
        <v>45.629159000000001</v>
      </c>
      <c r="Z106" s="190">
        <v>0.99399868999999996</v>
      </c>
      <c r="AA106" s="62">
        <v>0.99666025999999996</v>
      </c>
      <c r="AB106" s="62">
        <v>9.7339479999999992E-3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3.6275339999999971</v>
      </c>
      <c r="AN106" s="122">
        <f t="shared" si="15"/>
        <v>2.1972889999999978</v>
      </c>
      <c r="AO106" s="122">
        <f t="shared" si="16"/>
        <v>1.5162999999995819E-4</v>
      </c>
      <c r="AP106" s="122">
        <f t="shared" si="17"/>
        <v>4.3274999999998176E-4</v>
      </c>
      <c r="AQ106" s="88">
        <f t="shared" si="18"/>
        <v>-7.0141080000000015E-3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31.058512</v>
      </c>
      <c r="Y108" s="97">
        <v>35.310326000000003</v>
      </c>
      <c r="Z108" s="97">
        <v>0.97076916999999996</v>
      </c>
      <c r="AA108" s="60">
        <v>0.97841016000000003</v>
      </c>
      <c r="AB108" s="60">
        <v>5.6099016000000002E-2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-0.23167399999999816</v>
      </c>
      <c r="AN108" s="96">
        <f t="shared" si="15"/>
        <v>0.50120700000000085</v>
      </c>
      <c r="AO108" s="96">
        <f t="shared" si="16"/>
        <v>7.464999999995392E-5</v>
      </c>
      <c r="AP108" s="96">
        <f t="shared" si="17"/>
        <v>1.2926000000001991E-4</v>
      </c>
      <c r="AQ108" s="121">
        <f t="shared" si="18"/>
        <v>-6.8437640000000022E-3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34.315804</v>
      </c>
      <c r="Y109" s="190">
        <v>38.003511000000003</v>
      </c>
      <c r="Z109" s="190">
        <v>0.98152709000000005</v>
      </c>
      <c r="AA109" s="62">
        <v>0.98692628999999998</v>
      </c>
      <c r="AB109" s="62">
        <v>3.6152620000000003E-2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0.34306899999999985</v>
      </c>
      <c r="AN109" s="122">
        <f t="shared" si="15"/>
        <v>0.70298800000000483</v>
      </c>
      <c r="AO109" s="122">
        <f t="shared" si="16"/>
        <v>-9.569999999903267E-6</v>
      </c>
      <c r="AP109" s="122">
        <f t="shared" si="17"/>
        <v>2.5905000000003842E-4</v>
      </c>
      <c r="AQ109" s="88">
        <f t="shared" si="18"/>
        <v>-7.1563899999999986E-3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38.875951999999998</v>
      </c>
      <c r="Y110" s="190">
        <v>42.035009000000002</v>
      </c>
      <c r="Z110" s="190">
        <v>0.98982901999999995</v>
      </c>
      <c r="AA110" s="62">
        <v>0.99337308999999996</v>
      </c>
      <c r="AB110" s="62">
        <v>2.0620378000000002E-2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1.5265259999999969</v>
      </c>
      <c r="AN110" s="122">
        <f t="shared" si="15"/>
        <v>0.91489800000000088</v>
      </c>
      <c r="AO110" s="122">
        <f t="shared" si="16"/>
        <v>1.4216000000000228E-4</v>
      </c>
      <c r="AP110" s="122">
        <f t="shared" si="17"/>
        <v>2.2389999999994359E-4</v>
      </c>
      <c r="AQ110" s="88">
        <f t="shared" si="18"/>
        <v>-5.7912419999999985E-3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42.743017000000002</v>
      </c>
      <c r="Y111" s="190">
        <v>45.637140000000002</v>
      </c>
      <c r="Z111" s="190">
        <v>0.99398253000000003</v>
      </c>
      <c r="AA111" s="62">
        <v>0.99665992000000003</v>
      </c>
      <c r="AB111" s="62">
        <v>1.015774E-2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3.5390270000000044</v>
      </c>
      <c r="AN111" s="122">
        <f t="shared" si="15"/>
        <v>1.9973000000000027</v>
      </c>
      <c r="AO111" s="122">
        <f t="shared" si="16"/>
        <v>1.3948000000008065E-4</v>
      </c>
      <c r="AP111" s="122">
        <f t="shared" si="17"/>
        <v>5.4788999999999533E-4</v>
      </c>
      <c r="AQ111" s="88">
        <f t="shared" si="18"/>
        <v>-8.463341000000001E-3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31.750810999999999</v>
      </c>
      <c r="Y113" s="97">
        <v>35.340473000000003</v>
      </c>
      <c r="Z113" s="97">
        <v>0.97162773000000002</v>
      </c>
      <c r="AA113" s="60">
        <v>0.97916440000000005</v>
      </c>
      <c r="AB113" s="60">
        <v>5.6238736999999997E-2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0.44343199999999783</v>
      </c>
      <c r="AN113" s="96">
        <f t="shared" si="15"/>
        <v>0.46408399999999972</v>
      </c>
      <c r="AO113" s="96">
        <f t="shared" si="16"/>
        <v>1.0653999999998831E-4</v>
      </c>
      <c r="AP113" s="96">
        <f t="shared" si="17"/>
        <v>2.5769000000008813E-4</v>
      </c>
      <c r="AQ113" s="121">
        <f t="shared" si="18"/>
        <v>-9.423333000000006E-3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34.532991000000003</v>
      </c>
      <c r="Y114" s="190">
        <v>37.877817999999998</v>
      </c>
      <c r="Z114" s="190">
        <v>0.98182762999999995</v>
      </c>
      <c r="AA114" s="62">
        <v>0.98693534999999999</v>
      </c>
      <c r="AB114" s="62">
        <v>3.7269196999999997E-2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1.0222020000000001</v>
      </c>
      <c r="AN114" s="122">
        <f t="shared" si="15"/>
        <v>0.64714599999999933</v>
      </c>
      <c r="AO114" s="122">
        <f t="shared" si="16"/>
        <v>-5.5130000000014334E-5</v>
      </c>
      <c r="AP114" s="122">
        <f t="shared" si="17"/>
        <v>3.7814000000002679E-4</v>
      </c>
      <c r="AQ114" s="88">
        <f t="shared" si="18"/>
        <v>-9.3646830000000056E-3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38.380104000000003</v>
      </c>
      <c r="Y115" s="190">
        <v>41.708328000000002</v>
      </c>
      <c r="Z115" s="190">
        <v>0.98976098000000001</v>
      </c>
      <c r="AA115" s="62">
        <v>0.99344988999999995</v>
      </c>
      <c r="AB115" s="62">
        <v>2.1935359000000001E-2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1.8376870000000025</v>
      </c>
      <c r="AN115" s="122">
        <f t="shared" si="15"/>
        <v>1.0322549999999993</v>
      </c>
      <c r="AO115" s="122">
        <f t="shared" si="16"/>
        <v>1.2427999999997663E-4</v>
      </c>
      <c r="AP115" s="122">
        <f t="shared" si="17"/>
        <v>2.7606999999996162E-4</v>
      </c>
      <c r="AQ115" s="88">
        <f t="shared" si="18"/>
        <v>-8.8744309999999986E-3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42.662314000000002</v>
      </c>
      <c r="Y116" s="190">
        <v>45.760043000000003</v>
      </c>
      <c r="Z116" s="190">
        <v>0.99402650999999997</v>
      </c>
      <c r="AA116" s="62">
        <v>0.99673719000000005</v>
      </c>
      <c r="AB116" s="62">
        <v>9.6612404999999995E-3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3.107949000000005</v>
      </c>
      <c r="AN116" s="122">
        <f t="shared" si="15"/>
        <v>1.9105510000000052</v>
      </c>
      <c r="AO116" s="122">
        <f t="shared" si="16"/>
        <v>1.4861999999993269E-4</v>
      </c>
      <c r="AP116" s="122">
        <f t="shared" si="17"/>
        <v>4.6483000000008268E-4</v>
      </c>
      <c r="AQ116" s="88">
        <f t="shared" si="18"/>
        <v>-6.9076954999999999E-3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32.301935999999998</v>
      </c>
      <c r="Y118" s="97">
        <v>35.951006</v>
      </c>
      <c r="Z118" s="97">
        <v>0.97246082</v>
      </c>
      <c r="AA118" s="60">
        <v>0.98048610999999997</v>
      </c>
      <c r="AB118" s="60">
        <v>5.2095357000000002E-2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0.32484299999999777</v>
      </c>
      <c r="AN118" s="96">
        <f t="shared" si="15"/>
        <v>0.57129899999999623</v>
      </c>
      <c r="AO118" s="96">
        <f t="shared" si="16"/>
        <v>1.5100999999995146E-4</v>
      </c>
      <c r="AP118" s="96">
        <f t="shared" si="17"/>
        <v>4.9807999999995634E-4</v>
      </c>
      <c r="AQ118" s="121">
        <f t="shared" si="18"/>
        <v>-6.4584059999999999E-3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35.021520000000002</v>
      </c>
      <c r="Y119" s="190">
        <v>38.418191</v>
      </c>
      <c r="Z119" s="190">
        <v>0.98203015000000005</v>
      </c>
      <c r="AA119" s="62">
        <v>0.98753738999999996</v>
      </c>
      <c r="AB119" s="62">
        <v>3.4820598000000001E-2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1.0184070000000034</v>
      </c>
      <c r="AN119" s="122">
        <f t="shared" si="15"/>
        <v>0.83413800000000293</v>
      </c>
      <c r="AO119" s="122">
        <f t="shared" si="16"/>
        <v>-7.7759999999926777E-5</v>
      </c>
      <c r="AP119" s="122">
        <f t="shared" si="17"/>
        <v>5.4166999999993859E-4</v>
      </c>
      <c r="AQ119" s="88">
        <f t="shared" si="18"/>
        <v>-6.5321419999999977E-3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38.633695000000003</v>
      </c>
      <c r="Y120" s="190">
        <v>41.912585</v>
      </c>
      <c r="Z120" s="190">
        <v>0.98956297000000004</v>
      </c>
      <c r="AA120" s="62">
        <v>0.99359090999999999</v>
      </c>
      <c r="AB120" s="62">
        <v>2.0968000000000001E-2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1.7400840000000031</v>
      </c>
      <c r="AN120" s="122">
        <f t="shared" si="15"/>
        <v>1.0444379999999995</v>
      </c>
      <c r="AO120" s="122">
        <f t="shared" si="16"/>
        <v>8.1470000000027909E-5</v>
      </c>
      <c r="AP120" s="122">
        <f t="shared" si="17"/>
        <v>2.4179000000001949E-4</v>
      </c>
      <c r="AQ120" s="88">
        <f t="shared" si="18"/>
        <v>-6.2188399999999998E-3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42.770435999999997</v>
      </c>
      <c r="Y121" s="190">
        <v>45.814897999999999</v>
      </c>
      <c r="Z121" s="190">
        <v>0.99385451999999996</v>
      </c>
      <c r="AA121" s="62">
        <v>0.99673535999999996</v>
      </c>
      <c r="AB121" s="62">
        <v>9.6864629999999993E-3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2.5420669999999959</v>
      </c>
      <c r="AN121" s="122">
        <f t="shared" si="15"/>
        <v>1.4968450000000004</v>
      </c>
      <c r="AO121" s="122">
        <f t="shared" si="16"/>
        <v>9.3090000000017881E-5</v>
      </c>
      <c r="AP121" s="122">
        <f t="shared" si="17"/>
        <v>4.8229999999993556E-4</v>
      </c>
      <c r="AQ121" s="88">
        <f t="shared" si="18"/>
        <v>-4.3553280000000003E-3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32.371423</v>
      </c>
      <c r="Y123" s="97">
        <v>36.132283999999999</v>
      </c>
      <c r="Z123" s="97">
        <v>0.97259987999999997</v>
      </c>
      <c r="AA123" s="60">
        <v>0.97965011000000002</v>
      </c>
      <c r="AB123" s="60">
        <v>5.2703015999999998E-2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0.30994400000000155</v>
      </c>
      <c r="AN123" s="96">
        <f t="shared" si="15"/>
        <v>0.44558800000000076</v>
      </c>
      <c r="AO123" s="96">
        <f t="shared" si="16"/>
        <v>6.5070000000000405E-5</v>
      </c>
      <c r="AP123" s="96">
        <f t="shared" si="17"/>
        <v>-3.5989999999985756E-5</v>
      </c>
      <c r="AQ123" s="121">
        <f t="shared" si="18"/>
        <v>-4.3866180000000018E-3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34.917164</v>
      </c>
      <c r="Y124" s="190">
        <v>38.331409999999998</v>
      </c>
      <c r="Z124" s="190">
        <v>0.98216886999999997</v>
      </c>
      <c r="AA124" s="62">
        <v>0.98732452000000004</v>
      </c>
      <c r="AB124" s="62">
        <v>3.5398119999999998E-2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0.64517699999999678</v>
      </c>
      <c r="AN124" s="122">
        <f t="shared" si="15"/>
        <v>0.60837699999999728</v>
      </c>
      <c r="AO124" s="122">
        <f t="shared" si="16"/>
        <v>-9.2130000000079093E-5</v>
      </c>
      <c r="AP124" s="122">
        <f t="shared" si="17"/>
        <v>1.9877000000001477E-4</v>
      </c>
      <c r="AQ124" s="88">
        <f t="shared" si="18"/>
        <v>-4.7453029999999993E-3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38.872551000000001</v>
      </c>
      <c r="Y125" s="190">
        <v>42.075811999999999</v>
      </c>
      <c r="Z125" s="190">
        <v>0.98973336000000001</v>
      </c>
      <c r="AA125" s="62">
        <v>0.99361186999999995</v>
      </c>
      <c r="AB125" s="62">
        <v>2.0610105E-2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1.2656040000000033</v>
      </c>
      <c r="AN125" s="122">
        <f t="shared" si="15"/>
        <v>0.76917199999999752</v>
      </c>
      <c r="AO125" s="122">
        <f t="shared" si="16"/>
        <v>6.5149999999958297E-5</v>
      </c>
      <c r="AP125" s="122">
        <f t="shared" si="17"/>
        <v>2.456899999999651E-4</v>
      </c>
      <c r="AQ125" s="88">
        <f t="shared" si="18"/>
        <v>-3.9890110000000006E-3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42.996817999999998</v>
      </c>
      <c r="Y126" s="190">
        <v>45.961824999999997</v>
      </c>
      <c r="Z126" s="190">
        <v>0.99396929000000001</v>
      </c>
      <c r="AA126" s="62">
        <v>0.99676359000000003</v>
      </c>
      <c r="AB126" s="62">
        <v>9.6041530000000007E-3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1.9663210000000007</v>
      </c>
      <c r="AN126" s="122">
        <f t="shared" si="15"/>
        <v>1.104699999999994</v>
      </c>
      <c r="AO126" s="122">
        <f t="shared" si="16"/>
        <v>6.8080000000025898E-5</v>
      </c>
      <c r="AP126" s="122">
        <f t="shared" si="17"/>
        <v>3.6084000000002892E-4</v>
      </c>
      <c r="AQ126" s="88">
        <f t="shared" si="18"/>
        <v>-3.2718269999999997E-3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32.264301000000003</v>
      </c>
      <c r="Y128" s="97">
        <v>36.078384999999997</v>
      </c>
      <c r="Z128" s="97">
        <v>0.97296521999999996</v>
      </c>
      <c r="AA128" s="60">
        <v>0.97942574999999998</v>
      </c>
      <c r="AB128" s="60">
        <v>5.4148383000000001E-2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0.23273999999999972</v>
      </c>
      <c r="AN128" s="96">
        <f t="shared" si="15"/>
        <v>0.22578999999999638</v>
      </c>
      <c r="AO128" s="96">
        <f t="shared" si="16"/>
        <v>-8.0000000000080007E-5</v>
      </c>
      <c r="AP128" s="96">
        <f t="shared" si="17"/>
        <v>-1.588599999999829E-4</v>
      </c>
      <c r="AQ128" s="121">
        <f t="shared" si="18"/>
        <v>-3.0817100000000014E-3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34.620393</v>
      </c>
      <c r="Y129" s="190">
        <v>38.107672999999998</v>
      </c>
      <c r="Z129" s="190">
        <v>0.98238298999999996</v>
      </c>
      <c r="AA129" s="62">
        <v>0.98704800999999998</v>
      </c>
      <c r="AB129" s="62">
        <v>3.6861744000000002E-2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0.52068899999999729</v>
      </c>
      <c r="AN129" s="122">
        <f t="shared" si="15"/>
        <v>0.27311600000000169</v>
      </c>
      <c r="AO129" s="122">
        <f t="shared" si="16"/>
        <v>-1.4668000000006565E-4</v>
      </c>
      <c r="AP129" s="122">
        <f t="shared" si="17"/>
        <v>1.2409000000002113E-4</v>
      </c>
      <c r="AQ129" s="88">
        <f t="shared" si="18"/>
        <v>-2.701613999999998E-3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38.255578</v>
      </c>
      <c r="Y130" s="190">
        <v>41.600087000000002</v>
      </c>
      <c r="Z130" s="190">
        <v>0.98998549000000002</v>
      </c>
      <c r="AA130" s="62">
        <v>0.99351813</v>
      </c>
      <c r="AB130" s="62">
        <v>2.0886156999999999E-2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0.79256000000000171</v>
      </c>
      <c r="AN130" s="122">
        <f t="shared" si="15"/>
        <v>0.46974399999999861</v>
      </c>
      <c r="AO130" s="122">
        <f t="shared" si="16"/>
        <v>6.2300000000070632E-5</v>
      </c>
      <c r="AP130" s="122">
        <f t="shared" si="17"/>
        <v>2.6678999999996122E-4</v>
      </c>
      <c r="AQ130" s="88">
        <f t="shared" si="18"/>
        <v>-2.5765500000000004E-3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42.868383999999999</v>
      </c>
      <c r="Y131" s="190">
        <v>45.848905999999999</v>
      </c>
      <c r="Z131" s="190">
        <v>0.99409797</v>
      </c>
      <c r="AA131" s="62">
        <v>0.99672008000000001</v>
      </c>
      <c r="AB131" s="62">
        <v>9.5372679999999998E-3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1.5590159999999997</v>
      </c>
      <c r="AN131" s="122">
        <f t="shared" si="15"/>
        <v>0.84907899999999614</v>
      </c>
      <c r="AO131" s="122">
        <f t="shared" si="16"/>
        <v>5.0450000000035189E-5</v>
      </c>
      <c r="AP131" s="122">
        <f t="shared" si="17"/>
        <v>3.3333000000002055E-4</v>
      </c>
      <c r="AQ131" s="88">
        <f t="shared" si="18"/>
        <v>-2.3919890000000006E-3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32.101298999999997</v>
      </c>
      <c r="Y133" s="97">
        <v>36.297004999999999</v>
      </c>
      <c r="Z133" s="97">
        <v>0.97173957</v>
      </c>
      <c r="AA133" s="60">
        <v>0.97877457000000001</v>
      </c>
      <c r="AB133" s="60">
        <v>5.7211004000000003E-2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-2.3518000000002814E-2</v>
      </c>
      <c r="AN133" s="96">
        <f t="shared" si="15"/>
        <v>0.14093199999999939</v>
      </c>
      <c r="AO133" s="96">
        <f t="shared" si="16"/>
        <v>-1.5743999999995317E-4</v>
      </c>
      <c r="AP133" s="96">
        <f t="shared" si="17"/>
        <v>-2.6347999999998262E-4</v>
      </c>
      <c r="AQ133" s="121">
        <f t="shared" si="18"/>
        <v>-9.1956599999999666E-4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34.717717</v>
      </c>
      <c r="Y134" s="190">
        <v>38.374217999999999</v>
      </c>
      <c r="Z134" s="190">
        <v>0.98212326999999999</v>
      </c>
      <c r="AA134" s="62">
        <v>0.98700679999999996</v>
      </c>
      <c r="AB134" s="62">
        <v>3.7969864999999998E-2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0.2816749999999999</v>
      </c>
      <c r="AN134" s="122">
        <f t="shared" si="15"/>
        <v>0.13260599999999556</v>
      </c>
      <c r="AO134" s="122">
        <f t="shared" si="16"/>
        <v>-2.0101000000005698E-4</v>
      </c>
      <c r="AP134" s="122">
        <f t="shared" si="17"/>
        <v>2.2002999999992667E-4</v>
      </c>
      <c r="AQ134" s="88">
        <f t="shared" si="18"/>
        <v>-4.192520000000019E-4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38.330813999999997</v>
      </c>
      <c r="Y135" s="190">
        <v>41.619894000000002</v>
      </c>
      <c r="Z135" s="190">
        <v>0.99013414</v>
      </c>
      <c r="AA135" s="62">
        <v>0.99336610000000003</v>
      </c>
      <c r="AB135" s="62">
        <v>2.1687627000000001E-2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0.54676599999999809</v>
      </c>
      <c r="AN135" s="122">
        <f t="shared" si="15"/>
        <v>0.31985800000000353</v>
      </c>
      <c r="AO135" s="122">
        <f t="shared" si="16"/>
        <v>2.4800000000047007E-5</v>
      </c>
      <c r="AP135" s="122">
        <f t="shared" si="17"/>
        <v>9.6200000000434827E-6</v>
      </c>
      <c r="AQ135" s="88">
        <f t="shared" si="18"/>
        <v>-1.3214520000000007E-3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42.915455000000001</v>
      </c>
      <c r="Y136" s="190">
        <v>45.852426000000001</v>
      </c>
      <c r="Z136" s="190">
        <v>0.99414756999999998</v>
      </c>
      <c r="AA136" s="62">
        <v>0.99667222</v>
      </c>
      <c r="AB136" s="62">
        <v>1.0078781E-2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1.2110529999999997</v>
      </c>
      <c r="AN136" s="122">
        <f t="shared" si="15"/>
        <v>0.66058100000000053</v>
      </c>
      <c r="AO136" s="122">
        <f t="shared" si="16"/>
        <v>2.3319999999937835E-5</v>
      </c>
      <c r="AP136" s="122">
        <f t="shared" si="17"/>
        <v>2.6460999999999846E-4</v>
      </c>
      <c r="AQ136" s="88">
        <f t="shared" si="18"/>
        <v>-1.8602770000000005E-3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27.209057999999999</v>
      </c>
      <c r="Y641" s="136">
        <f t="shared" si="60"/>
        <v>30.975242000000001</v>
      </c>
      <c r="Z641" s="136">
        <f t="shared" si="60"/>
        <v>0.95892292999999995</v>
      </c>
      <c r="AA641" s="136">
        <f t="shared" si="60"/>
        <v>0.96551885000000004</v>
      </c>
      <c r="AB641" s="136">
        <f t="shared" si="60"/>
        <v>5.1449936000000002E-2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31.712848999999999</v>
      </c>
      <c r="Y642" s="18">
        <f t="shared" si="60"/>
        <v>34.973703999999998</v>
      </c>
      <c r="Z642" s="18">
        <f t="shared" si="60"/>
        <v>0.97779205000000002</v>
      </c>
      <c r="AA642" s="18">
        <f t="shared" si="60"/>
        <v>0.98162881999999996</v>
      </c>
      <c r="AB642" s="18">
        <f t="shared" si="60"/>
        <v>3.2916460000000002E-2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35.588009</v>
      </c>
      <c r="Y643" s="18">
        <f t="shared" si="60"/>
        <v>39.0047</v>
      </c>
      <c r="Z643" s="18">
        <f t="shared" si="60"/>
        <v>0.98821616000000001</v>
      </c>
      <c r="AA643" s="18">
        <f t="shared" si="60"/>
        <v>0.99146084999999995</v>
      </c>
      <c r="AB643" s="18">
        <f t="shared" si="60"/>
        <v>1.8204722999999999E-2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41.130859000000001</v>
      </c>
      <c r="Y644" s="18">
        <f t="shared" si="60"/>
        <v>44.146616000000002</v>
      </c>
      <c r="Z644" s="18">
        <f t="shared" si="60"/>
        <v>0.99355842000000005</v>
      </c>
      <c r="AA644" s="18">
        <f t="shared" si="60"/>
        <v>0.99600038000000002</v>
      </c>
      <c r="AB644" s="18">
        <f t="shared" si="60"/>
        <v>8.2198340000000005E-3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32.371423</v>
      </c>
      <c r="Y646" s="136">
        <f t="shared" si="62"/>
        <v>36.297004999999999</v>
      </c>
      <c r="Z646" s="136">
        <f t="shared" si="62"/>
        <v>0.97296521999999996</v>
      </c>
      <c r="AA646" s="136">
        <f t="shared" si="62"/>
        <v>0.98048610999999997</v>
      </c>
      <c r="AB646" s="136">
        <f t="shared" si="62"/>
        <v>6.7416820000000002E-2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35.021520000000002</v>
      </c>
      <c r="Y647" s="18">
        <f t="shared" si="62"/>
        <v>38.418191</v>
      </c>
      <c r="Z647" s="18">
        <f t="shared" si="62"/>
        <v>0.98238298999999996</v>
      </c>
      <c r="AA647" s="18">
        <f t="shared" si="62"/>
        <v>0.98753738999999996</v>
      </c>
      <c r="AB647" s="18">
        <f t="shared" si="62"/>
        <v>4.1988045000000002E-2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38.875951999999998</v>
      </c>
      <c r="Y648" s="18">
        <f t="shared" si="62"/>
        <v>42.075811999999999</v>
      </c>
      <c r="Z648" s="18">
        <f t="shared" si="62"/>
        <v>0.99013414</v>
      </c>
      <c r="AA648" s="18">
        <f t="shared" si="62"/>
        <v>0.99363727999999996</v>
      </c>
      <c r="AB648" s="18">
        <f t="shared" si="62"/>
        <v>2.3839576000000001E-2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42.996817999999998</v>
      </c>
      <c r="Y649" s="18">
        <f t="shared" si="62"/>
        <v>45.961824999999997</v>
      </c>
      <c r="Z649" s="18">
        <f t="shared" si="62"/>
        <v>0.99414756999999998</v>
      </c>
      <c r="AA649" s="18">
        <f t="shared" si="62"/>
        <v>0.99676359000000003</v>
      </c>
      <c r="AB649" s="18">
        <f t="shared" si="62"/>
        <v>1.015774E-2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5.1623650000000012</v>
      </c>
      <c r="Y651" s="136">
        <f t="shared" si="64"/>
        <v>5.3217629999999971</v>
      </c>
      <c r="Z651" s="136">
        <f t="shared" si="64"/>
        <v>1.4042290000000013E-2</v>
      </c>
      <c r="AA651" s="136">
        <f t="shared" si="64"/>
        <v>1.4967259999999927E-2</v>
      </c>
      <c r="AB651" s="136">
        <f t="shared" si="64"/>
        <v>1.5966884000000001E-2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3.3086710000000039</v>
      </c>
      <c r="Y652" s="18">
        <f t="shared" si="64"/>
        <v>3.4444870000000023</v>
      </c>
      <c r="Z652" s="18">
        <f t="shared" si="64"/>
        <v>4.5909399999999323E-3</v>
      </c>
      <c r="AA652" s="18">
        <f t="shared" si="64"/>
        <v>5.9085700000000019E-3</v>
      </c>
      <c r="AB652" s="18">
        <f t="shared" si="64"/>
        <v>9.0715850000000001E-3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3.2879429999999985</v>
      </c>
      <c r="Y653" s="18">
        <f t="shared" si="64"/>
        <v>3.0711119999999994</v>
      </c>
      <c r="Z653" s="18">
        <f t="shared" si="64"/>
        <v>1.9179799999999858E-3</v>
      </c>
      <c r="AA653" s="18">
        <f t="shared" si="64"/>
        <v>2.176430000000007E-3</v>
      </c>
      <c r="AB653" s="18">
        <f t="shared" si="64"/>
        <v>5.6348530000000022E-3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1.8659589999999966</v>
      </c>
      <c r="Y654" s="18">
        <f t="shared" si="64"/>
        <v>1.8152089999999959</v>
      </c>
      <c r="Z654" s="18">
        <f t="shared" si="64"/>
        <v>5.8914999999992723E-4</v>
      </c>
      <c r="AA654" s="18">
        <f t="shared" si="64"/>
        <v>7.6321000000001415E-4</v>
      </c>
      <c r="AB654" s="18">
        <f t="shared" si="64"/>
        <v>1.9379059999999997E-3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28244.175999999999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30.572721761904763</v>
      </c>
      <c r="Y5" s="30">
        <f t="shared" si="2"/>
        <v>34.42712785714285</v>
      </c>
      <c r="Z5" s="30">
        <f t="shared" si="2"/>
        <v>0.96575524142857161</v>
      </c>
      <c r="AA5" s="91">
        <f t="shared" si="2"/>
        <v>0.97300443571428574</v>
      </c>
      <c r="AB5" s="91">
        <f t="shared" si="2"/>
        <v>5.7697398761904772E-2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-0.13587544336481072</v>
      </c>
      <c r="AN5" s="245">
        <f>bdrate($E5:$E8,G5:G8,$W5:$W8,Y5:Y8)</f>
        <v>-0.10155765508125314</v>
      </c>
      <c r="AO5" s="245">
        <f>bdrate($E5:$E8,H5:H8,$W5:$W8,Z5:Z8)</f>
        <v>-4.3808990114774238E-3</v>
      </c>
      <c r="AP5" s="245">
        <f>bdrate($E5:$E8,I5:I8,$W5:$W8,AA5:AA8)</f>
        <v>-2.6899141098958967E-2</v>
      </c>
      <c r="AQ5" s="246">
        <f>bdrateInverted($E5:$E8,J5:J8,$W5:$W8,AB5:AB8)</f>
        <v>-0.15493885227869342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41041.4</v>
      </c>
      <c r="X6" s="91">
        <f t="shared" si="2"/>
        <v>33.905323285714282</v>
      </c>
      <c r="Y6" s="91">
        <f t="shared" si="2"/>
        <v>37.239027571428565</v>
      </c>
      <c r="Z6" s="91">
        <f t="shared" si="2"/>
        <v>0.97903388857142881</v>
      </c>
      <c r="AA6" s="91">
        <f t="shared" si="2"/>
        <v>0.98438194619047636</v>
      </c>
      <c r="AB6" s="91">
        <f t="shared" si="2"/>
        <v>3.7325162809523804E-2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61764.567999999999</v>
      </c>
      <c r="X7" s="91">
        <f t="shared" si="2"/>
        <v>37.98867228571428</v>
      </c>
      <c r="Y7" s="91">
        <f t="shared" si="2"/>
        <v>41.340832190476192</v>
      </c>
      <c r="Z7" s="91">
        <f t="shared" si="2"/>
        <v>0.98879018095238114</v>
      </c>
      <c r="AA7" s="91">
        <f t="shared" si="2"/>
        <v>0.9925065428571429</v>
      </c>
      <c r="AB7" s="91">
        <f t="shared" si="2"/>
        <v>2.1020285095238095E-2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90306.032000000007</v>
      </c>
      <c r="X8" s="91">
        <f t="shared" si="2"/>
        <v>41.91286780952381</v>
      </c>
      <c r="Y8" s="91">
        <f t="shared" si="2"/>
        <v>45.044387857142858</v>
      </c>
      <c r="Z8" s="91">
        <f t="shared" si="2"/>
        <v>0.99359927523809521</v>
      </c>
      <c r="AA8" s="91">
        <f t="shared" si="2"/>
        <v>0.99625031857142843</v>
      </c>
      <c r="AB8" s="91">
        <f t="shared" si="2"/>
        <v>9.6681172857142859E-3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1103.088</v>
      </c>
      <c r="Z16" s="167">
        <v>351.488</v>
      </c>
      <c r="AA16" s="167">
        <v>159.696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4012.2</v>
      </c>
      <c r="Z17" s="168">
        <v>2003.4480000000001</v>
      </c>
      <c r="AA17" s="168">
        <v>1485.856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8613.8799999999992</v>
      </c>
      <c r="Z18" s="168">
        <v>6346.2240000000002</v>
      </c>
      <c r="AA18" s="168">
        <v>6091.2960000000003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13832.976000000001</v>
      </c>
      <c r="Z19" s="168">
        <v>13403.064</v>
      </c>
      <c r="AA19" s="168">
        <v>15032.328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28244.175999999999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41041.4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61764.567999999999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90306.032000000007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27.940733000000002</v>
      </c>
      <c r="Y33" s="97">
        <v>31.922948000000002</v>
      </c>
      <c r="Z33" s="97">
        <v>0.95918656999999996</v>
      </c>
      <c r="AA33" s="60">
        <v>0.96642985000000003</v>
      </c>
      <c r="AB33" s="60">
        <v>6.6531784999999996E-2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0.36327700000000007</v>
      </c>
      <c r="AN33" s="96">
        <f t="shared" ref="AN33:AN96" si="5">IF(OR(Y33="",G33=""),"",Y33-G33)</f>
        <v>0.78876100000000093</v>
      </c>
      <c r="AO33" s="96">
        <f t="shared" ref="AO33:AO96" si="6">IF(OR(Z33="",H33=""),"",Z33-H33)</f>
        <v>-2.4838000000004801E-4</v>
      </c>
      <c r="AP33" s="96">
        <f t="shared" ref="AP33:AP96" si="7">IF(OR(AA33="",I33=""),"",AA33-I33)</f>
        <v>4.100400000000004E-4</v>
      </c>
      <c r="AQ33" s="121">
        <f t="shared" ref="AQ33:AQ96" si="8">IF(OR(AB33="",J33=""),"",AB33-J33)</f>
        <v>-1.6992384999999999E-2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31.866872000000001</v>
      </c>
      <c r="Y34" s="190">
        <v>34.940356000000001</v>
      </c>
      <c r="Z34" s="190">
        <v>0.97719517</v>
      </c>
      <c r="AA34" s="62">
        <v>0.98148038999999998</v>
      </c>
      <c r="AB34" s="62">
        <v>4.251133E-2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1.1078119999999991</v>
      </c>
      <c r="AN34" s="122">
        <f t="shared" si="5"/>
        <v>0.86401500000000198</v>
      </c>
      <c r="AO34" s="122">
        <f t="shared" si="6"/>
        <v>2.5556000000004353E-4</v>
      </c>
      <c r="AP34" s="122">
        <f t="shared" si="7"/>
        <v>1.2953599999999676E-3</v>
      </c>
      <c r="AQ34" s="88">
        <f t="shared" si="8"/>
        <v>-1.5578858000000001E-2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37.140802999999998</v>
      </c>
      <c r="Y35" s="190">
        <v>40.553111000000001</v>
      </c>
      <c r="Z35" s="190">
        <v>0.98893147000000003</v>
      </c>
      <c r="AA35" s="62">
        <v>0.99221537999999998</v>
      </c>
      <c r="AB35" s="62">
        <v>2.1857043999999999E-2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2.4391809999999978</v>
      </c>
      <c r="AN35" s="122">
        <f t="shared" si="5"/>
        <v>1.5049250000000001</v>
      </c>
      <c r="AO35" s="122">
        <f t="shared" si="6"/>
        <v>2.1948999999998886E-4</v>
      </c>
      <c r="AP35" s="122">
        <f t="shared" si="7"/>
        <v>4.3322000000001193E-4</v>
      </c>
      <c r="AQ35" s="88">
        <f t="shared" si="8"/>
        <v>-1.1237779000000003E-2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41.177128000000003</v>
      </c>
      <c r="Y36" s="190">
        <v>44.345889999999997</v>
      </c>
      <c r="Z36" s="190">
        <v>0.99378023999999998</v>
      </c>
      <c r="AA36" s="62">
        <v>0.99612237000000003</v>
      </c>
      <c r="AB36" s="62">
        <v>9.3562330000000003E-3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3.8919880000000049</v>
      </c>
      <c r="AN36" s="122">
        <f t="shared" si="5"/>
        <v>2.6502409999999941</v>
      </c>
      <c r="AO36" s="122">
        <f t="shared" si="6"/>
        <v>2.8348999999994184E-4</v>
      </c>
      <c r="AP36" s="122">
        <f t="shared" si="7"/>
        <v>4.5969000000001259E-4</v>
      </c>
      <c r="AQ36" s="88">
        <f t="shared" si="8"/>
        <v>-9.6671129999999997E-3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28.608198999999999</v>
      </c>
      <c r="Y38" s="97">
        <v>32.503418000000003</v>
      </c>
      <c r="Z38" s="97">
        <v>0.96071176000000003</v>
      </c>
      <c r="AA38" s="60">
        <v>0.96664464999999999</v>
      </c>
      <c r="AB38" s="60">
        <v>6.251727E-2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0.41484999999999772</v>
      </c>
      <c r="AN38" s="96">
        <f t="shared" si="5"/>
        <v>0.69499600000000328</v>
      </c>
      <c r="AO38" s="96">
        <f t="shared" si="6"/>
        <v>-1.4387999999998513E-4</v>
      </c>
      <c r="AP38" s="96">
        <f t="shared" si="7"/>
        <v>5.6009000000001308E-4</v>
      </c>
      <c r="AQ38" s="121">
        <f t="shared" si="8"/>
        <v>-1.3548433999999998E-2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32.437674999999999</v>
      </c>
      <c r="Y39" s="190">
        <v>35.620384000000001</v>
      </c>
      <c r="Z39" s="190">
        <v>0.97730008999999995</v>
      </c>
      <c r="AA39" s="62">
        <v>0.98130572000000005</v>
      </c>
      <c r="AB39" s="62">
        <v>4.1863396999999997E-2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1.1849859999999985</v>
      </c>
      <c r="AN39" s="122">
        <f t="shared" si="5"/>
        <v>0.8878830000000022</v>
      </c>
      <c r="AO39" s="122">
        <f t="shared" si="6"/>
        <v>1.0857999999991375E-4</v>
      </c>
      <c r="AP39" s="122">
        <f t="shared" si="7"/>
        <v>9.5306000000006108E-4</v>
      </c>
      <c r="AQ39" s="88">
        <f t="shared" si="8"/>
        <v>-1.2149663000000005E-2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37.149883000000003</v>
      </c>
      <c r="Y40" s="190">
        <v>40.560426999999997</v>
      </c>
      <c r="Z40" s="190">
        <v>0.98860703000000005</v>
      </c>
      <c r="AA40" s="62">
        <v>0.99189483000000001</v>
      </c>
      <c r="AB40" s="62">
        <v>2.2670517000000001E-2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2.1485460000000032</v>
      </c>
      <c r="AN40" s="122">
        <f t="shared" si="5"/>
        <v>1.3407479999999978</v>
      </c>
      <c r="AO40" s="122">
        <f t="shared" si="6"/>
        <v>1.9281000000004322E-4</v>
      </c>
      <c r="AP40" s="122">
        <f t="shared" si="7"/>
        <v>4.7573000000000754E-4</v>
      </c>
      <c r="AQ40" s="88">
        <f t="shared" si="8"/>
        <v>-9.1542989999999977E-3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41.074202</v>
      </c>
      <c r="Y41" s="190">
        <v>44.262143999999999</v>
      </c>
      <c r="Z41" s="190">
        <v>0.99361935999999995</v>
      </c>
      <c r="AA41" s="62">
        <v>0.99599506999999998</v>
      </c>
      <c r="AB41" s="62">
        <v>9.7210189999999991E-3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3.6842199999999963</v>
      </c>
      <c r="AN41" s="122">
        <f t="shared" si="5"/>
        <v>2.4987929999999992</v>
      </c>
      <c r="AO41" s="122">
        <f t="shared" si="6"/>
        <v>2.8914999999996027E-4</v>
      </c>
      <c r="AP41" s="122">
        <f t="shared" si="7"/>
        <v>4.8596999999994672E-4</v>
      </c>
      <c r="AQ41" s="88">
        <f t="shared" si="8"/>
        <v>-9.2006750000000002E-3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29.176175000000001</v>
      </c>
      <c r="Y43" s="97">
        <v>32.946924000000003</v>
      </c>
      <c r="Z43" s="97">
        <v>0.96199990999999996</v>
      </c>
      <c r="AA43" s="60">
        <v>0.96826800000000002</v>
      </c>
      <c r="AB43" s="60">
        <v>6.3945600000000005E-2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0.40797099999999986</v>
      </c>
      <c r="AN43" s="96">
        <f t="shared" si="5"/>
        <v>0.53727400000000358</v>
      </c>
      <c r="AO43" s="96">
        <f t="shared" si="6"/>
        <v>-1.1448000000002789E-4</v>
      </c>
      <c r="AP43" s="96">
        <f t="shared" si="7"/>
        <v>4.7050000000004033E-4</v>
      </c>
      <c r="AQ43" s="121">
        <f t="shared" si="8"/>
        <v>-1.066462E-2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32.713098000000002</v>
      </c>
      <c r="Y44" s="190">
        <v>35.928207</v>
      </c>
      <c r="Z44" s="190">
        <v>0.97747684999999995</v>
      </c>
      <c r="AA44" s="62">
        <v>0.98188394000000001</v>
      </c>
      <c r="AB44" s="62">
        <v>4.1999300000000003E-2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1.0197410000000033</v>
      </c>
      <c r="AN44" s="122">
        <f t="shared" si="5"/>
        <v>0.67525400000000246</v>
      </c>
      <c r="AO44" s="122">
        <f t="shared" si="6"/>
        <v>-3.7700000000029377E-5</v>
      </c>
      <c r="AP44" s="122">
        <f t="shared" si="7"/>
        <v>8.9981999999999562E-4</v>
      </c>
      <c r="AQ44" s="88">
        <f t="shared" si="8"/>
        <v>-8.053439999999995E-3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37.092357</v>
      </c>
      <c r="Y45" s="190">
        <v>40.613067999999998</v>
      </c>
      <c r="Z45" s="190">
        <v>0.98848572999999995</v>
      </c>
      <c r="AA45" s="62">
        <v>0.99181834000000002</v>
      </c>
      <c r="AB45" s="62">
        <v>2.3240209000000001E-2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2.0730980000000017</v>
      </c>
      <c r="AN45" s="122">
        <f t="shared" si="5"/>
        <v>1.326907999999996</v>
      </c>
      <c r="AO45" s="122">
        <f t="shared" si="6"/>
        <v>8.5009999999940966E-5</v>
      </c>
      <c r="AP45" s="122">
        <f t="shared" si="7"/>
        <v>3.2839000000006724E-4</v>
      </c>
      <c r="AQ45" s="88">
        <f t="shared" si="8"/>
        <v>-9.2694910000000012E-3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41.143636000000001</v>
      </c>
      <c r="Y46" s="190">
        <v>44.402405999999999</v>
      </c>
      <c r="Z46" s="190">
        <v>0.99354940000000003</v>
      </c>
      <c r="AA46" s="62">
        <v>0.99596326000000002</v>
      </c>
      <c r="AB46" s="62">
        <v>1.0069575000000001E-2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3.3509600000000006</v>
      </c>
      <c r="AN46" s="122">
        <f t="shared" si="5"/>
        <v>2.2336979999999969</v>
      </c>
      <c r="AO46" s="122">
        <f t="shared" si="6"/>
        <v>2.273900000000495E-4</v>
      </c>
      <c r="AP46" s="122">
        <f t="shared" si="7"/>
        <v>4.2381000000002444E-4</v>
      </c>
      <c r="AQ46" s="88">
        <f t="shared" si="8"/>
        <v>-8.0679900000000006E-3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29.904350999999998</v>
      </c>
      <c r="Y48" s="97">
        <v>33.629984999999998</v>
      </c>
      <c r="Z48" s="97">
        <v>0.96252265000000004</v>
      </c>
      <c r="AA48" s="60">
        <v>0.96936359999999999</v>
      </c>
      <c r="AB48" s="60">
        <v>5.9251755000000003E-2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0.25830799999999954</v>
      </c>
      <c r="AN48" s="96">
        <f t="shared" si="5"/>
        <v>0.52337499999999437</v>
      </c>
      <c r="AO48" s="96">
        <f t="shared" si="6"/>
        <v>-1.7742999999992293E-4</v>
      </c>
      <c r="AP48" s="96">
        <f t="shared" si="7"/>
        <v>5.3152000000000754E-4</v>
      </c>
      <c r="AQ48" s="121">
        <f t="shared" si="8"/>
        <v>-7.6730049999999966E-3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33.505564</v>
      </c>
      <c r="Y49" s="190">
        <v>36.686610000000002</v>
      </c>
      <c r="Z49" s="190">
        <v>0.97692555000000003</v>
      </c>
      <c r="AA49" s="62">
        <v>0.98226141</v>
      </c>
      <c r="AB49" s="62">
        <v>3.8819927999999997E-2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0.87048699999999712</v>
      </c>
      <c r="AN49" s="122">
        <f t="shared" si="5"/>
        <v>0.59573200000000526</v>
      </c>
      <c r="AO49" s="122">
        <f t="shared" si="6"/>
        <v>-6.0669999999984903E-5</v>
      </c>
      <c r="AP49" s="122">
        <f t="shared" si="7"/>
        <v>4.6153000000004329E-4</v>
      </c>
      <c r="AQ49" s="88">
        <f t="shared" si="8"/>
        <v>-5.3394880000000033E-3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37.448281999999999</v>
      </c>
      <c r="Y50" s="190">
        <v>40.893709000000001</v>
      </c>
      <c r="Z50" s="190">
        <v>0.98797836999999999</v>
      </c>
      <c r="AA50" s="62">
        <v>0.99169638999999998</v>
      </c>
      <c r="AB50" s="62">
        <v>2.2127310000000001E-2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1.8141789999999958</v>
      </c>
      <c r="AN50" s="122">
        <f t="shared" si="5"/>
        <v>1.0843460000000036</v>
      </c>
      <c r="AO50" s="122">
        <f t="shared" si="6"/>
        <v>6.9300000000049877E-5</v>
      </c>
      <c r="AP50" s="122">
        <f t="shared" si="7"/>
        <v>3.5795999999999051E-4</v>
      </c>
      <c r="AQ50" s="88">
        <f t="shared" si="8"/>
        <v>-7.1580930000000008E-3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41.379232000000002</v>
      </c>
      <c r="Y51" s="190">
        <v>44.606143000000003</v>
      </c>
      <c r="Z51" s="190">
        <v>0.99338033999999997</v>
      </c>
      <c r="AA51" s="62">
        <v>0.99593991000000004</v>
      </c>
      <c r="AB51" s="62">
        <v>9.8149780000000002E-3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3.0114879999999999</v>
      </c>
      <c r="AN51" s="122">
        <f t="shared" si="5"/>
        <v>1.8837850000000032</v>
      </c>
      <c r="AO51" s="122">
        <f t="shared" si="6"/>
        <v>1.6610999999999709E-4</v>
      </c>
      <c r="AP51" s="122">
        <f t="shared" si="7"/>
        <v>4.5362000000004343E-4</v>
      </c>
      <c r="AQ51" s="88">
        <f t="shared" si="8"/>
        <v>-6.3154660000000005E-3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29.944313999999999</v>
      </c>
      <c r="Y53" s="97">
        <v>33.651184999999998</v>
      </c>
      <c r="Z53" s="97">
        <v>0.96207777000000005</v>
      </c>
      <c r="AA53" s="60">
        <v>0.96963827000000002</v>
      </c>
      <c r="AB53" s="60">
        <v>5.8649084999999997E-2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0.42226499999999945</v>
      </c>
      <c r="AN53" s="96">
        <f t="shared" si="5"/>
        <v>0.55575899999999478</v>
      </c>
      <c r="AO53" s="96">
        <f t="shared" si="6"/>
        <v>-2.9909999999999659E-4</v>
      </c>
      <c r="AP53" s="96">
        <f t="shared" si="7"/>
        <v>2.7193000000003131E-4</v>
      </c>
      <c r="AQ53" s="121">
        <f t="shared" si="8"/>
        <v>-7.982275000000004E-3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33.387689000000002</v>
      </c>
      <c r="Y54" s="190">
        <v>36.605741999999999</v>
      </c>
      <c r="Z54" s="190">
        <v>0.97679210999999999</v>
      </c>
      <c r="AA54" s="62">
        <v>0.98232092000000004</v>
      </c>
      <c r="AB54" s="62">
        <v>3.8090684E-2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0.92902200000000335</v>
      </c>
      <c r="AN54" s="122">
        <f t="shared" si="5"/>
        <v>0.62082399999999893</v>
      </c>
      <c r="AO54" s="122">
        <f t="shared" si="6"/>
        <v>-1.0582999999997345E-4</v>
      </c>
      <c r="AP54" s="122">
        <f t="shared" si="7"/>
        <v>5.6449000000002858E-4</v>
      </c>
      <c r="AQ54" s="88">
        <f t="shared" si="8"/>
        <v>-6.3423439999999998E-3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37.211596</v>
      </c>
      <c r="Y55" s="190">
        <v>40.685521999999999</v>
      </c>
      <c r="Z55" s="190">
        <v>0.98784751999999998</v>
      </c>
      <c r="AA55" s="62">
        <v>0.99152649999999998</v>
      </c>
      <c r="AB55" s="62">
        <v>2.2355968E-2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1.5318299999999994</v>
      </c>
      <c r="AN55" s="122">
        <f t="shared" si="5"/>
        <v>0.92205299999999824</v>
      </c>
      <c r="AO55" s="122">
        <f t="shared" si="6"/>
        <v>7.1460000000023172E-5</v>
      </c>
      <c r="AP55" s="122">
        <f t="shared" si="7"/>
        <v>3.6970000000002834E-4</v>
      </c>
      <c r="AQ55" s="88">
        <f t="shared" si="8"/>
        <v>-6.1788600000000013E-3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41.082293</v>
      </c>
      <c r="Y56" s="190">
        <v>44.329050000000002</v>
      </c>
      <c r="Z56" s="190">
        <v>0.99327352999999996</v>
      </c>
      <c r="AA56" s="62">
        <v>0.99582618000000001</v>
      </c>
      <c r="AB56" s="62">
        <v>1.0126599E-2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2.4847880000000018</v>
      </c>
      <c r="AN56" s="122">
        <f t="shared" si="5"/>
        <v>1.5038230000000041</v>
      </c>
      <c r="AO56" s="122">
        <f t="shared" si="6"/>
        <v>1.2886999999994764E-4</v>
      </c>
      <c r="AP56" s="122">
        <f t="shared" si="7"/>
        <v>4.5808999999996658E-4</v>
      </c>
      <c r="AQ56" s="88">
        <f t="shared" si="8"/>
        <v>-4.8722020000000008E-3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30.031289999999998</v>
      </c>
      <c r="Y58" s="97">
        <v>33.734988999999999</v>
      </c>
      <c r="Z58" s="97">
        <v>0.96144556999999997</v>
      </c>
      <c r="AA58" s="60">
        <v>0.96940497000000003</v>
      </c>
      <c r="AB58" s="60">
        <v>6.0680903000000001E-2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0.34895999999999816</v>
      </c>
      <c r="AN58" s="96">
        <f t="shared" si="5"/>
        <v>0.4768800000000013</v>
      </c>
      <c r="AO58" s="96">
        <f t="shared" si="6"/>
        <v>-3.8451999999999931E-4</v>
      </c>
      <c r="AP58" s="96">
        <f t="shared" si="7"/>
        <v>-2.0233999999996755E-4</v>
      </c>
      <c r="AQ58" s="121">
        <f t="shared" si="8"/>
        <v>-6.6514969999999993E-3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33.419625000000003</v>
      </c>
      <c r="Y59" s="190">
        <v>36.643082</v>
      </c>
      <c r="Z59" s="190">
        <v>0.97659731999999999</v>
      </c>
      <c r="AA59" s="62">
        <v>0.98243634999999996</v>
      </c>
      <c r="AB59" s="62">
        <v>3.8983047E-2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0.8338330000000056</v>
      </c>
      <c r="AN59" s="122">
        <f t="shared" si="5"/>
        <v>0.54572600000000193</v>
      </c>
      <c r="AO59" s="122">
        <f t="shared" si="6"/>
        <v>-5.5600000000044503E-5</v>
      </c>
      <c r="AP59" s="122">
        <f t="shared" si="7"/>
        <v>5.4183999999990462E-4</v>
      </c>
      <c r="AQ59" s="88">
        <f t="shared" si="8"/>
        <v>-6.0200389999999979E-3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37.049334999999999</v>
      </c>
      <c r="Y60" s="190">
        <v>40.551634999999997</v>
      </c>
      <c r="Z60" s="190">
        <v>0.98786552000000005</v>
      </c>
      <c r="AA60" s="62">
        <v>0.99158259999999998</v>
      </c>
      <c r="AB60" s="62">
        <v>2.3418418999999999E-2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1.2096769999999992</v>
      </c>
      <c r="AN60" s="122">
        <f t="shared" si="5"/>
        <v>0.72002599999999717</v>
      </c>
      <c r="AO60" s="122">
        <f t="shared" si="6"/>
        <v>7.6940000000025321E-5</v>
      </c>
      <c r="AP60" s="122">
        <f t="shared" si="7"/>
        <v>4.3134000000000228E-4</v>
      </c>
      <c r="AQ60" s="88">
        <f t="shared" si="8"/>
        <v>-4.9882160000000002E-3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40.983536999999998</v>
      </c>
      <c r="Y61" s="190">
        <v>44.234200999999999</v>
      </c>
      <c r="Z61" s="190">
        <v>0.99322686999999998</v>
      </c>
      <c r="AA61" s="62">
        <v>0.99580535999999997</v>
      </c>
      <c r="AB61" s="62">
        <v>1.0490384E-2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1.9757729999999967</v>
      </c>
      <c r="AN61" s="122">
        <f t="shared" si="5"/>
        <v>1.1090069999999983</v>
      </c>
      <c r="AO61" s="122">
        <f t="shared" si="6"/>
        <v>4.800999999998723E-5</v>
      </c>
      <c r="AP61" s="122">
        <f t="shared" si="7"/>
        <v>4.8148999999997333E-4</v>
      </c>
      <c r="AQ61" s="88">
        <f t="shared" si="8"/>
        <v>-3.8304670000000006E-3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30.114723999999999</v>
      </c>
      <c r="Y63" s="97">
        <v>33.957065</v>
      </c>
      <c r="Z63" s="97">
        <v>0.96082265</v>
      </c>
      <c r="AA63" s="60">
        <v>0.97065018999999997</v>
      </c>
      <c r="AB63" s="60">
        <v>6.1893664000000001E-2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0.1177109999999999</v>
      </c>
      <c r="AN63" s="96">
        <f t="shared" si="5"/>
        <v>0.29658299999999826</v>
      </c>
      <c r="AO63" s="96">
        <f t="shared" si="6"/>
        <v>-3.2436999999996274E-4</v>
      </c>
      <c r="AP63" s="96">
        <f t="shared" si="7"/>
        <v>3.0050999999997607E-4</v>
      </c>
      <c r="AQ63" s="121">
        <f t="shared" si="8"/>
        <v>-3.9527119999999971E-3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33.578730999999998</v>
      </c>
      <c r="Y64" s="190">
        <v>36.868070000000003</v>
      </c>
      <c r="Z64" s="190">
        <v>0.97653652999999996</v>
      </c>
      <c r="AA64" s="62">
        <v>0.98287753</v>
      </c>
      <c r="AB64" s="62">
        <v>3.8663852999999998E-2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0.43107099999999576</v>
      </c>
      <c r="AN64" s="122">
        <f t="shared" si="5"/>
        <v>0.30282300000000362</v>
      </c>
      <c r="AO64" s="122">
        <f t="shared" si="6"/>
        <v>-6.7350000000021559E-5</v>
      </c>
      <c r="AP64" s="122">
        <f t="shared" si="7"/>
        <v>6.532999999999678E-4</v>
      </c>
      <c r="AQ64" s="88">
        <f t="shared" si="8"/>
        <v>-3.3323690000000017E-3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37.284416</v>
      </c>
      <c r="Y65" s="190">
        <v>40.766615999999999</v>
      </c>
      <c r="Z65" s="190">
        <v>0.98798134999999998</v>
      </c>
      <c r="AA65" s="62">
        <v>0.99183566999999995</v>
      </c>
      <c r="AB65" s="62">
        <v>2.3248835999999998E-2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0.89290799999999848</v>
      </c>
      <c r="AN65" s="122">
        <f t="shared" si="5"/>
        <v>0.5144069999999985</v>
      </c>
      <c r="AO65" s="122">
        <f t="shared" si="6"/>
        <v>1.3599999999502899E-6</v>
      </c>
      <c r="AP65" s="122">
        <f t="shared" si="7"/>
        <v>5.0604999999992462E-4</v>
      </c>
      <c r="AQ65" s="88">
        <f t="shared" si="8"/>
        <v>-3.6724920000000029E-3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41.144154999999998</v>
      </c>
      <c r="Y66" s="190">
        <v>44.377772</v>
      </c>
      <c r="Z66" s="190">
        <v>0.99334652000000001</v>
      </c>
      <c r="AA66" s="62">
        <v>0.99593361000000002</v>
      </c>
      <c r="AB66" s="62">
        <v>1.0333553000000001E-2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1.4564540000000008</v>
      </c>
      <c r="AN66" s="122">
        <f t="shared" si="5"/>
        <v>0.78873000000000104</v>
      </c>
      <c r="AO66" s="122">
        <f t="shared" si="6"/>
        <v>2.6179999999986769E-5</v>
      </c>
      <c r="AP66" s="122">
        <f t="shared" si="7"/>
        <v>3.8141000000002645E-4</v>
      </c>
      <c r="AQ66" s="88">
        <f t="shared" si="8"/>
        <v>-2.7869030000000003E-3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29.528199000000001</v>
      </c>
      <c r="Y68" s="97">
        <v>33.517771000000003</v>
      </c>
      <c r="Z68" s="97">
        <v>0.96220764999999997</v>
      </c>
      <c r="AA68" s="60">
        <v>0.96886267999999998</v>
      </c>
      <c r="AB68" s="60">
        <v>5.7104809999999999E-2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0.54361899999999963</v>
      </c>
      <c r="AN68" s="96">
        <f t="shared" si="5"/>
        <v>1.0589870000000019</v>
      </c>
      <c r="AO68" s="96">
        <f t="shared" si="6"/>
        <v>-8.0330000000072843E-5</v>
      </c>
      <c r="AP68" s="96">
        <f t="shared" si="7"/>
        <v>6.8846000000000185E-4</v>
      </c>
      <c r="AQ68" s="121">
        <f t="shared" si="8"/>
        <v>-1.4262230000000008E-2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33.404955999999999</v>
      </c>
      <c r="Y69" s="190">
        <v>36.779617999999999</v>
      </c>
      <c r="Z69" s="190">
        <v>0.97768562999999997</v>
      </c>
      <c r="AA69" s="62">
        <v>0.98281457999999999</v>
      </c>
      <c r="AB69" s="62">
        <v>3.5172597E-2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1.4262219999999992</v>
      </c>
      <c r="AN69" s="122">
        <f t="shared" si="5"/>
        <v>1.2186639999999969</v>
      </c>
      <c r="AO69" s="122">
        <f t="shared" si="6"/>
        <v>1.791500000000168E-4</v>
      </c>
      <c r="AP69" s="122">
        <f t="shared" si="7"/>
        <v>1.0445700000000224E-3</v>
      </c>
      <c r="AQ69" s="88">
        <f t="shared" si="8"/>
        <v>-1.1693793000000001E-2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38.018039000000002</v>
      </c>
      <c r="Y70" s="190">
        <v>41.277028999999999</v>
      </c>
      <c r="Z70" s="190">
        <v>0.98880049999999997</v>
      </c>
      <c r="AA70" s="62">
        <v>0.99239591999999999</v>
      </c>
      <c r="AB70" s="62">
        <v>1.8574988000000001E-2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2.935801000000005</v>
      </c>
      <c r="AN70" s="122">
        <f t="shared" si="5"/>
        <v>1.8408359999999959</v>
      </c>
      <c r="AO70" s="122">
        <f t="shared" si="6"/>
        <v>2.3516999999995125E-4</v>
      </c>
      <c r="AP70" s="122">
        <f t="shared" si="7"/>
        <v>5.8161000000001017E-4</v>
      </c>
      <c r="AQ70" s="88">
        <f t="shared" si="8"/>
        <v>-1.1470932E-2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41.691971000000002</v>
      </c>
      <c r="Y71" s="190">
        <v>44.794975000000001</v>
      </c>
      <c r="Z71" s="190">
        <v>0.99366493</v>
      </c>
      <c r="AA71" s="62">
        <v>0.99618342000000004</v>
      </c>
      <c r="AB71" s="62">
        <v>8.7003659999999993E-3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4.1489359999999991</v>
      </c>
      <c r="AN71" s="122">
        <f t="shared" si="5"/>
        <v>2.8117030000000014</v>
      </c>
      <c r="AO71" s="122">
        <f t="shared" si="6"/>
        <v>2.9027999999997611E-4</v>
      </c>
      <c r="AP71" s="122">
        <f t="shared" si="7"/>
        <v>5.3827000000006286E-4</v>
      </c>
      <c r="AQ71" s="88">
        <f t="shared" si="8"/>
        <v>-8.8816820000000001E-3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30.01925</v>
      </c>
      <c r="Y73" s="97">
        <v>34.099159</v>
      </c>
      <c r="Z73" s="97">
        <v>0.96422187000000004</v>
      </c>
      <c r="AA73" s="60">
        <v>0.96961511</v>
      </c>
      <c r="AB73" s="60">
        <v>5.4128072999999999E-2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0.49227699999999786</v>
      </c>
      <c r="AN73" s="96">
        <f t="shared" si="5"/>
        <v>0.83297699999999963</v>
      </c>
      <c r="AO73" s="96">
        <f t="shared" si="6"/>
        <v>5.2449999999981678E-5</v>
      </c>
      <c r="AP73" s="96">
        <f t="shared" si="7"/>
        <v>8.2758000000004994E-4</v>
      </c>
      <c r="AQ73" s="121">
        <f t="shared" si="8"/>
        <v>-9.8790170000000038E-3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33.581243999999998</v>
      </c>
      <c r="Y74" s="190">
        <v>36.982655000000001</v>
      </c>
      <c r="Z74" s="190">
        <v>0.97819853000000001</v>
      </c>
      <c r="AA74" s="62">
        <v>0.98262351000000003</v>
      </c>
      <c r="AB74" s="62">
        <v>3.4611203E-2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1.2982409999999973</v>
      </c>
      <c r="AN74" s="122">
        <f t="shared" si="5"/>
        <v>0.97163100000000213</v>
      </c>
      <c r="AO74" s="122">
        <f t="shared" si="6"/>
        <v>8.4769999999956269E-5</v>
      </c>
      <c r="AP74" s="122">
        <f t="shared" si="7"/>
        <v>9.9621000000005289E-4</v>
      </c>
      <c r="AQ74" s="88">
        <f t="shared" si="8"/>
        <v>-7.6683010000000024E-3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38.104484999999997</v>
      </c>
      <c r="Y75" s="190">
        <v>41.366199000000002</v>
      </c>
      <c r="Z75" s="190">
        <v>0.98862110000000003</v>
      </c>
      <c r="AA75" s="62">
        <v>0.99216945000000001</v>
      </c>
      <c r="AB75" s="62">
        <v>1.8515062999999998E-2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2.1261479999999935</v>
      </c>
      <c r="AN75" s="122">
        <f t="shared" si="5"/>
        <v>1.3019360000000049</v>
      </c>
      <c r="AO75" s="122">
        <f t="shared" si="6"/>
        <v>1.8596000000004054E-4</v>
      </c>
      <c r="AP75" s="122">
        <f t="shared" si="7"/>
        <v>6.0651000000000455E-4</v>
      </c>
      <c r="AQ75" s="88">
        <f t="shared" si="8"/>
        <v>-6.9991820000000031E-3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41.812218000000001</v>
      </c>
      <c r="Y76" s="190">
        <v>44.955050999999997</v>
      </c>
      <c r="Z76" s="190">
        <v>0.99362587999999996</v>
      </c>
      <c r="AA76" s="62">
        <v>0.99617129000000004</v>
      </c>
      <c r="AB76" s="62">
        <v>8.5510789999999996E-3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3.9092249999999993</v>
      </c>
      <c r="AN76" s="122">
        <f t="shared" si="5"/>
        <v>2.6664679999999947</v>
      </c>
      <c r="AO76" s="122">
        <f t="shared" si="6"/>
        <v>2.6873999999998954E-4</v>
      </c>
      <c r="AP76" s="122">
        <f t="shared" si="7"/>
        <v>5.4290000000001282E-4</v>
      </c>
      <c r="AQ76" s="88">
        <f t="shared" si="8"/>
        <v>-8.0117160000000021E-3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30.316201</v>
      </c>
      <c r="Y78" s="97">
        <v>34.020339</v>
      </c>
      <c r="Z78" s="97">
        <v>0.96587803000000005</v>
      </c>
      <c r="AA78" s="60">
        <v>0.97091925000000001</v>
      </c>
      <c r="AB78" s="60">
        <v>5.5276060000000002E-2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0.67944999999999922</v>
      </c>
      <c r="AN78" s="96">
        <f t="shared" si="5"/>
        <v>0.68142199999999775</v>
      </c>
      <c r="AO78" s="96">
        <f t="shared" si="6"/>
        <v>1.2980000000006875E-4</v>
      </c>
      <c r="AP78" s="96">
        <f t="shared" si="7"/>
        <v>8.4486999999999757E-4</v>
      </c>
      <c r="AQ78" s="121">
        <f t="shared" si="8"/>
        <v>-1.1197074000000001E-2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33.490684999999999</v>
      </c>
      <c r="Y79" s="190">
        <v>36.821736000000001</v>
      </c>
      <c r="Z79" s="190">
        <v>0.97872667000000002</v>
      </c>
      <c r="AA79" s="62">
        <v>0.98299007999999999</v>
      </c>
      <c r="AB79" s="62">
        <v>3.5909190000000001E-2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1.2496960000000001</v>
      </c>
      <c r="AN79" s="122">
        <f t="shared" si="5"/>
        <v>0.76709199999999811</v>
      </c>
      <c r="AO79" s="122">
        <f t="shared" si="6"/>
        <v>3.6719999999990094E-5</v>
      </c>
      <c r="AP79" s="122">
        <f t="shared" si="7"/>
        <v>7.6655999999997171E-4</v>
      </c>
      <c r="AQ79" s="88">
        <f t="shared" si="8"/>
        <v>-8.3118100000000028E-3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37.797916999999998</v>
      </c>
      <c r="Y80" s="190">
        <v>41.269080000000002</v>
      </c>
      <c r="Z80" s="190">
        <v>0.98863098999999999</v>
      </c>
      <c r="AA80" s="62">
        <v>0.99225680999999999</v>
      </c>
      <c r="AB80" s="62">
        <v>1.9792143000000002E-2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2.2367449999999991</v>
      </c>
      <c r="AN80" s="122">
        <f t="shared" si="5"/>
        <v>1.399987000000003</v>
      </c>
      <c r="AO80" s="122">
        <f t="shared" si="6"/>
        <v>1.1156999999994976E-4</v>
      </c>
      <c r="AP80" s="122">
        <f t="shared" si="7"/>
        <v>5.1939999999994768E-4</v>
      </c>
      <c r="AQ80" s="88">
        <f t="shared" si="8"/>
        <v>-9.2428179999999999E-3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41.868352999999999</v>
      </c>
      <c r="Y81" s="190">
        <v>45.059849999999997</v>
      </c>
      <c r="Z81" s="190">
        <v>0.99363773</v>
      </c>
      <c r="AA81" s="62">
        <v>0.99618636999999999</v>
      </c>
      <c r="AB81" s="62">
        <v>8.7558089999999998E-3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3.5508310000000023</v>
      </c>
      <c r="AN81" s="122">
        <f t="shared" si="5"/>
        <v>2.3541299999999978</v>
      </c>
      <c r="AO81" s="122">
        <f t="shared" si="6"/>
        <v>2.3665999999999965E-4</v>
      </c>
      <c r="AP81" s="122">
        <f t="shared" si="7"/>
        <v>5.1769000000001508E-4</v>
      </c>
      <c r="AQ81" s="88">
        <f t="shared" si="8"/>
        <v>-7.3637289999999994E-3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30.639254999999999</v>
      </c>
      <c r="Y83" s="97">
        <v>34.377654999999997</v>
      </c>
      <c r="Z83" s="97">
        <v>0.96666090999999998</v>
      </c>
      <c r="AA83" s="60">
        <v>0.97268946000000001</v>
      </c>
      <c r="AB83" s="60">
        <v>5.3360853E-2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0.29258799999999852</v>
      </c>
      <c r="AN83" s="96">
        <f t="shared" si="5"/>
        <v>0.67884499999999548</v>
      </c>
      <c r="AO83" s="96">
        <f t="shared" si="6"/>
        <v>6.6869999999941143E-5</v>
      </c>
      <c r="AP83" s="96">
        <f t="shared" si="7"/>
        <v>6.8734000000003626E-4</v>
      </c>
      <c r="AQ83" s="121">
        <f t="shared" si="8"/>
        <v>-8.349429999999998E-3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34.242935000000003</v>
      </c>
      <c r="Y84" s="190">
        <v>37.432166000000002</v>
      </c>
      <c r="Z84" s="190">
        <v>0.97915494000000003</v>
      </c>
      <c r="AA84" s="62">
        <v>0.98440042000000005</v>
      </c>
      <c r="AB84" s="62">
        <v>3.3982124000000002E-2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1.0449740000000034</v>
      </c>
      <c r="AN84" s="122">
        <f t="shared" si="5"/>
        <v>0.78941900000000231</v>
      </c>
      <c r="AO84" s="122">
        <f t="shared" si="6"/>
        <v>-1.5699999999951864E-5</v>
      </c>
      <c r="AP84" s="122">
        <f t="shared" si="7"/>
        <v>7.7580000000010418E-4</v>
      </c>
      <c r="AQ84" s="88">
        <f t="shared" si="8"/>
        <v>-6.6553359999999978E-3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38.229036000000001</v>
      </c>
      <c r="Y85" s="190">
        <v>41.542323000000003</v>
      </c>
      <c r="Z85" s="190">
        <v>0.98848424000000001</v>
      </c>
      <c r="AA85" s="62">
        <v>0.99231237999999999</v>
      </c>
      <c r="AB85" s="62">
        <v>1.9294380999999999E-2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1.9058109999999999</v>
      </c>
      <c r="AN85" s="122">
        <f t="shared" si="5"/>
        <v>1.0812760000000026</v>
      </c>
      <c r="AO85" s="122">
        <f t="shared" si="6"/>
        <v>1.1627000000002941E-4</v>
      </c>
      <c r="AP85" s="122">
        <f t="shared" si="7"/>
        <v>4.3446000000002538E-4</v>
      </c>
      <c r="AQ85" s="88">
        <f t="shared" si="8"/>
        <v>-6.689597000000002E-3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41.839337</v>
      </c>
      <c r="Y86" s="190">
        <v>44.992851000000002</v>
      </c>
      <c r="Z86" s="190">
        <v>0.99344268000000002</v>
      </c>
      <c r="AA86" s="62">
        <v>0.99615052000000004</v>
      </c>
      <c r="AB86" s="62">
        <v>9.0641434999999999E-3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3.2346789999999999</v>
      </c>
      <c r="AN86" s="122">
        <f t="shared" si="5"/>
        <v>2.0057820000000035</v>
      </c>
      <c r="AO86" s="122">
        <f t="shared" si="6"/>
        <v>1.8512000000003859E-4</v>
      </c>
      <c r="AP86" s="122">
        <f t="shared" si="7"/>
        <v>5.5829000000007234E-4</v>
      </c>
      <c r="AQ86" s="88">
        <f t="shared" si="8"/>
        <v>-6.2041054999999994E-3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30.765433000000002</v>
      </c>
      <c r="Y88" s="97">
        <v>34.522830999999996</v>
      </c>
      <c r="Z88" s="97">
        <v>0.96719529000000004</v>
      </c>
      <c r="AA88" s="60">
        <v>0.9730955</v>
      </c>
      <c r="AB88" s="60">
        <v>5.2675724E-2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0.43465800000000243</v>
      </c>
      <c r="AN88" s="96">
        <f t="shared" si="5"/>
        <v>0.63391799999999421</v>
      </c>
      <c r="AO88" s="96">
        <f t="shared" si="6"/>
        <v>9.450000000077452E-6</v>
      </c>
      <c r="AP88" s="96">
        <f t="shared" si="7"/>
        <v>7.594600000000451E-4</v>
      </c>
      <c r="AQ88" s="121">
        <f t="shared" si="8"/>
        <v>-7.5941720000000032E-3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34.339759999999998</v>
      </c>
      <c r="Y89" s="190">
        <v>37.537756999999999</v>
      </c>
      <c r="Z89" s="190">
        <v>0.97972227999999995</v>
      </c>
      <c r="AA89" s="62">
        <v>0.98499579999999998</v>
      </c>
      <c r="AB89" s="62">
        <v>3.3470944000000002E-2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0.88245200000000068</v>
      </c>
      <c r="AN89" s="122">
        <f t="shared" si="5"/>
        <v>0.65718400000000088</v>
      </c>
      <c r="AO89" s="122">
        <f t="shared" si="6"/>
        <v>3.6889999999956125E-5</v>
      </c>
      <c r="AP89" s="122">
        <f t="shared" si="7"/>
        <v>6.3022000000001466E-4</v>
      </c>
      <c r="AQ89" s="88">
        <f t="shared" si="8"/>
        <v>-5.9701500000000005E-3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38.317478000000001</v>
      </c>
      <c r="Y90" s="190">
        <v>41.660235</v>
      </c>
      <c r="Z90" s="190">
        <v>0.98870422999999996</v>
      </c>
      <c r="AA90" s="62">
        <v>0.99248177000000004</v>
      </c>
      <c r="AB90" s="62">
        <v>1.9079189999999999E-2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1.564233999999999</v>
      </c>
      <c r="AN90" s="122">
        <f t="shared" si="5"/>
        <v>0.91130900000000281</v>
      </c>
      <c r="AO90" s="122">
        <f t="shared" si="6"/>
        <v>7.6859999999956408E-5</v>
      </c>
      <c r="AP90" s="122">
        <f t="shared" si="7"/>
        <v>5.5090000000002082E-4</v>
      </c>
      <c r="AQ90" s="88">
        <f t="shared" si="8"/>
        <v>-5.3740400000000001E-3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42.049101999999998</v>
      </c>
      <c r="Y91" s="190">
        <v>45.206670000000003</v>
      </c>
      <c r="Z91" s="190">
        <v>0.99362843000000001</v>
      </c>
      <c r="AA91" s="62">
        <v>0.99625944</v>
      </c>
      <c r="AB91" s="62">
        <v>8.8351339999999997E-3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2.8275739999999985</v>
      </c>
      <c r="AN91" s="122">
        <f t="shared" si="5"/>
        <v>1.715475000000005</v>
      </c>
      <c r="AO91" s="122">
        <f t="shared" si="6"/>
        <v>1.4411999999996983E-4</v>
      </c>
      <c r="AP91" s="122">
        <f t="shared" si="7"/>
        <v>5.3482999999998615E-4</v>
      </c>
      <c r="AQ91" s="88">
        <f t="shared" si="8"/>
        <v>-4.9021200000000011E-3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30.885449999999999</v>
      </c>
      <c r="Y93" s="97">
        <v>34.628723000000001</v>
      </c>
      <c r="Z93" s="97">
        <v>0.96715536999999996</v>
      </c>
      <c r="AA93" s="60">
        <v>0.97309915999999996</v>
      </c>
      <c r="AB93" s="60">
        <v>5.450605E-2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0.4820619999999991</v>
      </c>
      <c r="AN93" s="96">
        <f t="shared" si="5"/>
        <v>0.51478099999999927</v>
      </c>
      <c r="AO93" s="96">
        <f t="shared" si="6"/>
        <v>-1.0249000000006614E-4</v>
      </c>
      <c r="AP93" s="96">
        <f t="shared" si="7"/>
        <v>2.2853999999994379E-4</v>
      </c>
      <c r="AQ93" s="121">
        <f t="shared" si="8"/>
        <v>-6.6357579999999985E-3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34.468142999999998</v>
      </c>
      <c r="Y94" s="190">
        <v>37.730939999999997</v>
      </c>
      <c r="Z94" s="190">
        <v>0.97991107</v>
      </c>
      <c r="AA94" s="62">
        <v>0.98519058999999998</v>
      </c>
      <c r="AB94" s="62">
        <v>3.4531555999999998E-2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1.0315019999999961</v>
      </c>
      <c r="AN94" s="122">
        <f t="shared" si="5"/>
        <v>0.66125399999999956</v>
      </c>
      <c r="AO94" s="122">
        <f t="shared" si="6"/>
        <v>6.7429999999979451E-5</v>
      </c>
      <c r="AP94" s="122">
        <f t="shared" si="7"/>
        <v>4.8815999999995974E-4</v>
      </c>
      <c r="AQ94" s="88">
        <f t="shared" si="8"/>
        <v>-6.0825910000000052E-3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37.985194</v>
      </c>
      <c r="Y95" s="190">
        <v>41.448278999999999</v>
      </c>
      <c r="Z95" s="190">
        <v>0.98888469000000001</v>
      </c>
      <c r="AA95" s="62">
        <v>0.99248992000000003</v>
      </c>
      <c r="AB95" s="62">
        <v>2.0054704999999999E-2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1.1950319999999977</v>
      </c>
      <c r="AN95" s="122">
        <f t="shared" si="5"/>
        <v>0.73462200000000166</v>
      </c>
      <c r="AO95" s="122">
        <f t="shared" si="6"/>
        <v>1.0220999999999147E-4</v>
      </c>
      <c r="AP95" s="122">
        <f t="shared" si="7"/>
        <v>3.1827000000006489E-4</v>
      </c>
      <c r="AQ95" s="88">
        <f t="shared" si="8"/>
        <v>-4.6518170000000025E-3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42.012233000000002</v>
      </c>
      <c r="Y96" s="190">
        <v>45.218642000000003</v>
      </c>
      <c r="Z96" s="190">
        <v>0.99367368</v>
      </c>
      <c r="AA96" s="62">
        <v>0.99625096999999996</v>
      </c>
      <c r="AB96" s="62">
        <v>9.0759529999999995E-3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2.3025920000000042</v>
      </c>
      <c r="AN96" s="122">
        <f t="shared" si="5"/>
        <v>1.3257189999999994</v>
      </c>
      <c r="AO96" s="122">
        <f t="shared" si="6"/>
        <v>1.0381000000003748E-4</v>
      </c>
      <c r="AP96" s="122">
        <f t="shared" si="7"/>
        <v>5.4071999999993903E-4</v>
      </c>
      <c r="AQ96" s="88">
        <f t="shared" si="8"/>
        <v>-4.1844560000000013E-3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30.949672</v>
      </c>
      <c r="Y98" s="97">
        <v>35.025849000000001</v>
      </c>
      <c r="Z98" s="97">
        <v>0.96603391000000005</v>
      </c>
      <c r="AA98" s="60">
        <v>0.97327766000000004</v>
      </c>
      <c r="AB98" s="60">
        <v>5.6499015999999999E-2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8.7160000000000792E-2</v>
      </c>
      <c r="AN98" s="96">
        <f t="shared" si="15"/>
        <v>0.30493400000000292</v>
      </c>
      <c r="AO98" s="96">
        <f t="shared" si="16"/>
        <v>-5.6569999999922516E-5</v>
      </c>
      <c r="AP98" s="96">
        <f t="shared" si="17"/>
        <v>1.028500000000987E-4</v>
      </c>
      <c r="AQ98" s="121">
        <f t="shared" si="18"/>
        <v>-2.5658939999999991E-3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34.649952999999996</v>
      </c>
      <c r="Y99" s="190">
        <v>38.077761000000002</v>
      </c>
      <c r="Z99" s="190">
        <v>0.97956567999999999</v>
      </c>
      <c r="AA99" s="62">
        <v>0.98527807000000001</v>
      </c>
      <c r="AB99" s="62">
        <v>3.5385236E-2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0.54088899999999995</v>
      </c>
      <c r="AN99" s="122">
        <f t="shared" si="15"/>
        <v>0.43756499999999932</v>
      </c>
      <c r="AO99" s="122">
        <f t="shared" si="16"/>
        <v>3.5189999999962751E-5</v>
      </c>
      <c r="AP99" s="122">
        <f t="shared" si="17"/>
        <v>5.6179000000000645E-4</v>
      </c>
      <c r="AQ99" s="88">
        <f t="shared" si="18"/>
        <v>-2.479180999999997E-3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38.251581000000002</v>
      </c>
      <c r="Y100" s="190">
        <v>41.598278000000001</v>
      </c>
      <c r="Z100" s="190">
        <v>0.98890460000000002</v>
      </c>
      <c r="AA100" s="62">
        <v>0.99249416000000001</v>
      </c>
      <c r="AB100" s="62">
        <v>2.0601217000000002E-2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0.97264100000000298</v>
      </c>
      <c r="AN100" s="122">
        <f t="shared" si="15"/>
        <v>0.60221800000000059</v>
      </c>
      <c r="AO100" s="122">
        <f t="shared" si="16"/>
        <v>6.5219999999976963E-5</v>
      </c>
      <c r="AP100" s="122">
        <f t="shared" si="17"/>
        <v>2.2217999999996074E-4</v>
      </c>
      <c r="AQ100" s="88">
        <f t="shared" si="18"/>
        <v>-3.1139979999999998E-3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42.099947</v>
      </c>
      <c r="Y101" s="190">
        <v>45.276451999999999</v>
      </c>
      <c r="Z101" s="190">
        <v>0.99371631999999999</v>
      </c>
      <c r="AA101" s="62">
        <v>0.99625196999999999</v>
      </c>
      <c r="AB101" s="62">
        <v>9.6734890000000004E-3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1.6655900000000017</v>
      </c>
      <c r="AN101" s="122">
        <f t="shared" si="15"/>
        <v>0.92853600000000114</v>
      </c>
      <c r="AO101" s="122">
        <f t="shared" si="16"/>
        <v>7.2630000000017958E-5</v>
      </c>
      <c r="AP101" s="122">
        <f t="shared" si="17"/>
        <v>3.9418000000002174E-4</v>
      </c>
      <c r="AQ101" s="88">
        <f t="shared" si="18"/>
        <v>-2.8257519999999991E-3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31.108792999999999</v>
      </c>
      <c r="Y103" s="97">
        <v>35.313704000000001</v>
      </c>
      <c r="Z103" s="97">
        <v>0.96734971000000003</v>
      </c>
      <c r="AA103" s="60">
        <v>0.97616396999999999</v>
      </c>
      <c r="AB103" s="60">
        <v>6.1828934000000002E-2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0.38841399999999737</v>
      </c>
      <c r="AN103" s="96">
        <f t="shared" si="15"/>
        <v>1.0176289999999995</v>
      </c>
      <c r="AO103" s="96">
        <f t="shared" si="16"/>
        <v>-1.675500000000163E-4</v>
      </c>
      <c r="AP103" s="96">
        <f t="shared" si="17"/>
        <v>4.0527000000001312E-4</v>
      </c>
      <c r="AQ103" s="121">
        <f t="shared" si="18"/>
        <v>-1.1023216000000002E-2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34.571368</v>
      </c>
      <c r="Y104" s="190">
        <v>38.221218</v>
      </c>
      <c r="Z104" s="190">
        <v>0.98014785999999998</v>
      </c>
      <c r="AA104" s="62">
        <v>0.98661299999999996</v>
      </c>
      <c r="AB104" s="62">
        <v>3.746008E-2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1.1013609999999971</v>
      </c>
      <c r="AN104" s="122">
        <f t="shared" si="15"/>
        <v>1.3194659999999985</v>
      </c>
      <c r="AO104" s="122">
        <f t="shared" si="16"/>
        <v>8.4259999999947155E-5</v>
      </c>
      <c r="AP104" s="122">
        <f t="shared" si="17"/>
        <v>6.1543999999991161E-4</v>
      </c>
      <c r="AQ104" s="88">
        <f t="shared" si="18"/>
        <v>-1.0475999999999999E-2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38.757311000000001</v>
      </c>
      <c r="Y105" s="190">
        <v>41.928753</v>
      </c>
      <c r="Z105" s="190">
        <v>0.98945355000000001</v>
      </c>
      <c r="AA105" s="62">
        <v>0.99341036000000005</v>
      </c>
      <c r="AB105" s="62">
        <v>2.0329515999999999E-2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2.7580000000000027</v>
      </c>
      <c r="AN105" s="122">
        <f t="shared" si="15"/>
        <v>1.7284969999999973</v>
      </c>
      <c r="AO105" s="122">
        <f t="shared" si="16"/>
        <v>1.2845999999999691E-4</v>
      </c>
      <c r="AP105" s="122">
        <f t="shared" si="17"/>
        <v>5.0480000000008296E-4</v>
      </c>
      <c r="AQ105" s="88">
        <f t="shared" si="18"/>
        <v>-1.1442543999999999E-2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42.430757999999997</v>
      </c>
      <c r="Y106" s="190">
        <v>45.429068000000001</v>
      </c>
      <c r="Z106" s="190">
        <v>0.99371905000000005</v>
      </c>
      <c r="AA106" s="62">
        <v>0.99651721999999998</v>
      </c>
      <c r="AB106" s="62">
        <v>1.0042766999999999E-2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3.8952570000000009</v>
      </c>
      <c r="AN106" s="122">
        <f t="shared" si="15"/>
        <v>2.5074680000000029</v>
      </c>
      <c r="AO106" s="122">
        <f t="shared" si="16"/>
        <v>1.9134000000009532E-4</v>
      </c>
      <c r="AP106" s="122">
        <f t="shared" si="17"/>
        <v>4.7262000000003468E-4</v>
      </c>
      <c r="AQ106" s="88">
        <f t="shared" si="18"/>
        <v>-8.9886889999999994E-3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31.019511000000001</v>
      </c>
      <c r="Y108" s="97">
        <v>35.228164</v>
      </c>
      <c r="Z108" s="97">
        <v>0.96943457</v>
      </c>
      <c r="AA108" s="60">
        <v>0.97774432</v>
      </c>
      <c r="AB108" s="60">
        <v>5.7469356999999999E-2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-7.77569999999983E-2</v>
      </c>
      <c r="AN108" s="96">
        <f t="shared" si="15"/>
        <v>0.49899500000000074</v>
      </c>
      <c r="AO108" s="96">
        <f t="shared" si="16"/>
        <v>-8.5400000000568355E-6</v>
      </c>
      <c r="AP108" s="96">
        <f t="shared" si="17"/>
        <v>3.8062000000005369E-4</v>
      </c>
      <c r="AQ108" s="121">
        <f t="shared" si="18"/>
        <v>-7.0736730000000025E-3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34.395569000000002</v>
      </c>
      <c r="Y109" s="190">
        <v>38.078484000000003</v>
      </c>
      <c r="Z109" s="190">
        <v>0.98079313000000001</v>
      </c>
      <c r="AA109" s="62">
        <v>0.98686273999999996</v>
      </c>
      <c r="AB109" s="62">
        <v>3.6183007000000003E-2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0.4690830000000048</v>
      </c>
      <c r="AN109" s="122">
        <f t="shared" si="15"/>
        <v>0.75947100000000489</v>
      </c>
      <c r="AO109" s="122">
        <f t="shared" si="16"/>
        <v>4.6410000000052243E-5</v>
      </c>
      <c r="AP109" s="122">
        <f t="shared" si="17"/>
        <v>3.9086999999993211E-4</v>
      </c>
      <c r="AQ109" s="88">
        <f t="shared" si="18"/>
        <v>-7.028840999999994E-3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38.739879000000002</v>
      </c>
      <c r="Y110" s="190">
        <v>41.903027999999999</v>
      </c>
      <c r="Z110" s="190">
        <v>0.98934615999999997</v>
      </c>
      <c r="AA110" s="62">
        <v>0.99319647</v>
      </c>
      <c r="AB110" s="62">
        <v>2.0491519999999999E-2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1.5098650000000049</v>
      </c>
      <c r="AN110" s="122">
        <f t="shared" si="15"/>
        <v>0.87432400000000143</v>
      </c>
      <c r="AO110" s="122">
        <f t="shared" si="16"/>
        <v>9.605000000001418E-5</v>
      </c>
      <c r="AP110" s="122">
        <f t="shared" si="17"/>
        <v>2.8797000000002626E-4</v>
      </c>
      <c r="AQ110" s="88">
        <f t="shared" si="18"/>
        <v>-6.0103960000000012E-3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42.514529000000003</v>
      </c>
      <c r="Y111" s="190">
        <v>45.447457</v>
      </c>
      <c r="Z111" s="190">
        <v>0.99369879999999999</v>
      </c>
      <c r="AA111" s="62">
        <v>0.99651898000000005</v>
      </c>
      <c r="AB111" s="62">
        <v>1.0047217000000001E-2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3.4863490000000041</v>
      </c>
      <c r="AN111" s="122">
        <f t="shared" si="15"/>
        <v>2.0982899999999987</v>
      </c>
      <c r="AO111" s="122">
        <f t="shared" si="16"/>
        <v>1.5956999999999777E-4</v>
      </c>
      <c r="AP111" s="122">
        <f t="shared" si="17"/>
        <v>4.9616000000007876E-4</v>
      </c>
      <c r="AQ111" s="88">
        <f t="shared" si="18"/>
        <v>-8.2987949999999977E-3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31.663499000000002</v>
      </c>
      <c r="Y113" s="97">
        <v>35.304135000000002</v>
      </c>
      <c r="Z113" s="97">
        <v>0.97031171000000005</v>
      </c>
      <c r="AA113" s="60">
        <v>0.97860541999999995</v>
      </c>
      <c r="AB113" s="60">
        <v>5.6529299999999998E-2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0.58508700000000147</v>
      </c>
      <c r="AN113" s="96">
        <f t="shared" si="15"/>
        <v>0.60232900000000456</v>
      </c>
      <c r="AO113" s="96">
        <f t="shared" si="16"/>
        <v>7.8710000000037361E-5</v>
      </c>
      <c r="AP113" s="96">
        <f t="shared" si="17"/>
        <v>6.3662999999991587E-4</v>
      </c>
      <c r="AQ113" s="121">
        <f t="shared" si="18"/>
        <v>-1.0259839999999999E-2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34.566015999999998</v>
      </c>
      <c r="Y114" s="190">
        <v>37.892032</v>
      </c>
      <c r="Z114" s="190">
        <v>0.98108092000000002</v>
      </c>
      <c r="AA114" s="62">
        <v>0.98692542999999999</v>
      </c>
      <c r="AB114" s="62">
        <v>3.7789694999999998E-2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1.1380789999999976</v>
      </c>
      <c r="AN114" s="122">
        <f t="shared" si="15"/>
        <v>0.7330609999999993</v>
      </c>
      <c r="AO114" s="122">
        <f t="shared" si="16"/>
        <v>-2.1519999999997097E-5</v>
      </c>
      <c r="AP114" s="122">
        <f t="shared" si="17"/>
        <v>4.7874999999997225E-4</v>
      </c>
      <c r="AQ114" s="88">
        <f t="shared" si="18"/>
        <v>-9.9077220000000008E-3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38.461624999999998</v>
      </c>
      <c r="Y115" s="190">
        <v>41.815688000000002</v>
      </c>
      <c r="Z115" s="190">
        <v>0.98929838999999997</v>
      </c>
      <c r="AA115" s="62">
        <v>0.99337565000000005</v>
      </c>
      <c r="AB115" s="62">
        <v>2.1346134999999999E-2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2.1028599999999997</v>
      </c>
      <c r="AN115" s="122">
        <f t="shared" si="15"/>
        <v>1.3057060000000007</v>
      </c>
      <c r="AO115" s="122">
        <f t="shared" si="16"/>
        <v>1.0854999999998505E-4</v>
      </c>
      <c r="AP115" s="122">
        <f t="shared" si="17"/>
        <v>5.4794000000002452E-4</v>
      </c>
      <c r="AQ115" s="88">
        <f t="shared" si="18"/>
        <v>-9.2915460000000012E-3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42.523825000000002</v>
      </c>
      <c r="Y116" s="190">
        <v>45.580725000000001</v>
      </c>
      <c r="Z116" s="190">
        <v>0.99366016999999995</v>
      </c>
      <c r="AA116" s="62">
        <v>0.99657879999999999</v>
      </c>
      <c r="AB116" s="62">
        <v>9.9321440000000004E-3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3.2348940000000042</v>
      </c>
      <c r="AN116" s="122">
        <f t="shared" si="15"/>
        <v>2.0583999999999989</v>
      </c>
      <c r="AO116" s="122">
        <f t="shared" si="16"/>
        <v>1.3779999999996573E-4</v>
      </c>
      <c r="AP116" s="122">
        <f t="shared" si="17"/>
        <v>4.5658000000003973E-4</v>
      </c>
      <c r="AQ116" s="88">
        <f t="shared" si="18"/>
        <v>-6.7855489999999984E-3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32.343088999999999</v>
      </c>
      <c r="Y118" s="97">
        <v>35.989927000000002</v>
      </c>
      <c r="Z118" s="97">
        <v>0.97148851000000003</v>
      </c>
      <c r="AA118" s="60">
        <v>0.98035976000000002</v>
      </c>
      <c r="AB118" s="60">
        <v>5.3110280000000003E-2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0.45473799999999898</v>
      </c>
      <c r="AN118" s="96">
        <f t="shared" si="15"/>
        <v>0.69400800000000373</v>
      </c>
      <c r="AO118" s="96">
        <f t="shared" si="16"/>
        <v>1.1424999999998242E-4</v>
      </c>
      <c r="AP118" s="96">
        <f t="shared" si="17"/>
        <v>7.1191000000003779E-4</v>
      </c>
      <c r="AQ118" s="121">
        <f t="shared" si="18"/>
        <v>-7.2144799999999953E-3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35.013925999999998</v>
      </c>
      <c r="Y119" s="190">
        <v>38.344524</v>
      </c>
      <c r="Z119" s="190">
        <v>0.98124129000000004</v>
      </c>
      <c r="AA119" s="62">
        <v>0.98763685000000001</v>
      </c>
      <c r="AB119" s="62">
        <v>3.5834115E-2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1.0406339999999972</v>
      </c>
      <c r="AN119" s="122">
        <f t="shared" si="15"/>
        <v>0.81775300000000328</v>
      </c>
      <c r="AO119" s="122">
        <f t="shared" si="16"/>
        <v>-2.7609999999955726E-5</v>
      </c>
      <c r="AP119" s="122">
        <f t="shared" si="17"/>
        <v>5.0042000000005693E-4</v>
      </c>
      <c r="AQ119" s="88">
        <f t="shared" si="18"/>
        <v>-6.9394750000000005E-3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38.753290999999997</v>
      </c>
      <c r="Y120" s="190">
        <v>42.002204999999996</v>
      </c>
      <c r="Z120" s="190">
        <v>0.98912564000000003</v>
      </c>
      <c r="AA120" s="62">
        <v>0.99338992999999998</v>
      </c>
      <c r="AB120" s="62">
        <v>2.0496381000000001E-2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1.8542919999999938</v>
      </c>
      <c r="AN120" s="122">
        <f t="shared" si="15"/>
        <v>1.1471429999999998</v>
      </c>
      <c r="AO120" s="122">
        <f t="shared" si="16"/>
        <v>6.9900000000067131E-5</v>
      </c>
      <c r="AP120" s="122">
        <f t="shared" si="17"/>
        <v>3.3757999999994848E-4</v>
      </c>
      <c r="AQ120" s="88">
        <f t="shared" si="18"/>
        <v>-6.514756E-3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42.679476999999999</v>
      </c>
      <c r="Y121" s="190">
        <v>45.69191</v>
      </c>
      <c r="Z121" s="190">
        <v>0.99357359000000001</v>
      </c>
      <c r="AA121" s="62">
        <v>0.99659942000000001</v>
      </c>
      <c r="AB121" s="62">
        <v>9.9710784999999993E-3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2.8407339999999976</v>
      </c>
      <c r="AN121" s="122">
        <f t="shared" si="15"/>
        <v>1.7142339999999976</v>
      </c>
      <c r="AO121" s="122">
        <f t="shared" si="16"/>
        <v>1.0326000000004942E-4</v>
      </c>
      <c r="AP121" s="122">
        <f t="shared" si="17"/>
        <v>4.684400000000144E-4</v>
      </c>
      <c r="AQ121" s="88">
        <f t="shared" si="18"/>
        <v>-4.7721065000000014E-3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32.464182000000001</v>
      </c>
      <c r="Y123" s="97">
        <v>36.153713000000003</v>
      </c>
      <c r="Z123" s="97">
        <v>0.97171176000000004</v>
      </c>
      <c r="AA123" s="60">
        <v>0.97964138999999995</v>
      </c>
      <c r="AB123" s="60">
        <v>5.35109E-2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0.4341930000000005</v>
      </c>
      <c r="AN123" s="96">
        <f t="shared" si="15"/>
        <v>0.53865900000000266</v>
      </c>
      <c r="AO123" s="96">
        <f t="shared" si="16"/>
        <v>9.9579999999988011E-5</v>
      </c>
      <c r="AP123" s="96">
        <f t="shared" si="17"/>
        <v>3.0561999999989542E-4</v>
      </c>
      <c r="AQ123" s="121">
        <f t="shared" si="18"/>
        <v>-5.0717639999999994E-3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34.889547</v>
      </c>
      <c r="Y124" s="190">
        <v>38.272309999999997</v>
      </c>
      <c r="Z124" s="190">
        <v>0.98147879000000005</v>
      </c>
      <c r="AA124" s="62">
        <v>0.98729973000000004</v>
      </c>
      <c r="AB124" s="62">
        <v>3.6042903000000001E-2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0.57998100000000363</v>
      </c>
      <c r="AN124" s="122">
        <f t="shared" si="15"/>
        <v>0.61043399999999792</v>
      </c>
      <c r="AO124" s="122">
        <f t="shared" si="16"/>
        <v>-4.2719999999940583E-5</v>
      </c>
      <c r="AP124" s="122">
        <f t="shared" si="17"/>
        <v>1.0289000000007764E-4</v>
      </c>
      <c r="AQ124" s="88">
        <f t="shared" si="18"/>
        <v>-5.3962799999999964E-3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38.853791000000001</v>
      </c>
      <c r="Y125" s="190">
        <v>42.054664000000002</v>
      </c>
      <c r="Z125" s="190">
        <v>0.98929407999999996</v>
      </c>
      <c r="AA125" s="62">
        <v>0.99344414000000003</v>
      </c>
      <c r="AB125" s="62">
        <v>2.0758562000000001E-2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1.4207719999999995</v>
      </c>
      <c r="AN125" s="122">
        <f t="shared" si="15"/>
        <v>0.86288300000000362</v>
      </c>
      <c r="AO125" s="122">
        <f t="shared" si="16"/>
        <v>6.5470000000011908E-5</v>
      </c>
      <c r="AP125" s="122">
        <f t="shared" si="17"/>
        <v>3.4131000000003908E-4</v>
      </c>
      <c r="AQ125" s="88">
        <f t="shared" si="18"/>
        <v>-4.9809439999999976E-3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42.862051000000001</v>
      </c>
      <c r="Y126" s="190">
        <v>45.842720999999997</v>
      </c>
      <c r="Z126" s="190">
        <v>0.99367759</v>
      </c>
      <c r="AA126" s="62">
        <v>0.99664799999999998</v>
      </c>
      <c r="AB126" s="62">
        <v>9.8893350000000008E-3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2.4211519999999993</v>
      </c>
      <c r="AN126" s="122">
        <f t="shared" si="15"/>
        <v>1.4133269999999953</v>
      </c>
      <c r="AO126" s="122">
        <f t="shared" si="16"/>
        <v>9.0060000000002915E-5</v>
      </c>
      <c r="AP126" s="122">
        <f t="shared" si="17"/>
        <v>5.01560000000012E-4</v>
      </c>
      <c r="AQ126" s="88">
        <f t="shared" si="18"/>
        <v>-3.9399744999999986E-3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32.395487000000003</v>
      </c>
      <c r="Y128" s="97">
        <v>36.132845000000003</v>
      </c>
      <c r="Z128" s="97">
        <v>0.97201583000000003</v>
      </c>
      <c r="AA128" s="60">
        <v>0.97950917999999998</v>
      </c>
      <c r="AB128" s="60">
        <v>5.4562939999999997E-2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0.36707100000000281</v>
      </c>
      <c r="AN128" s="96">
        <f t="shared" si="15"/>
        <v>0.34739000000000431</v>
      </c>
      <c r="AO128" s="96">
        <f t="shared" si="16"/>
        <v>-2.8499999999986869E-6</v>
      </c>
      <c r="AP128" s="96">
        <f t="shared" si="17"/>
        <v>1.4965000000000117E-4</v>
      </c>
      <c r="AQ128" s="121">
        <f t="shared" si="18"/>
        <v>-3.727586000000005E-3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34.713645999999997</v>
      </c>
      <c r="Y129" s="190">
        <v>38.166804999999997</v>
      </c>
      <c r="Z129" s="190">
        <v>0.98171520999999995</v>
      </c>
      <c r="AA129" s="62">
        <v>0.98695860000000002</v>
      </c>
      <c r="AB129" s="62">
        <v>3.7496880000000003E-2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0.56450699999999898</v>
      </c>
      <c r="AN129" s="122">
        <f t="shared" si="15"/>
        <v>0.36533199999999511</v>
      </c>
      <c r="AO129" s="122">
        <f t="shared" si="16"/>
        <v>-3.8990000000072023E-5</v>
      </c>
      <c r="AP129" s="122">
        <f t="shared" si="17"/>
        <v>4.4480000000013398E-5</v>
      </c>
      <c r="AQ129" s="88">
        <f t="shared" si="18"/>
        <v>-3.9371619999999941E-3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38.458497000000001</v>
      </c>
      <c r="Y130" s="190">
        <v>41.780256999999999</v>
      </c>
      <c r="Z130" s="190">
        <v>0.98955621999999999</v>
      </c>
      <c r="AA130" s="62">
        <v>0.99324575000000004</v>
      </c>
      <c r="AB130" s="62">
        <v>2.1146584E-2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1.0333620000000039</v>
      </c>
      <c r="AN130" s="122">
        <f t="shared" si="15"/>
        <v>0.63639700000000232</v>
      </c>
      <c r="AO130" s="122">
        <f t="shared" si="16"/>
        <v>4.6769999999973777E-5</v>
      </c>
      <c r="AP130" s="122">
        <f t="shared" si="17"/>
        <v>1.1389000000006089E-4</v>
      </c>
      <c r="AQ130" s="88">
        <f t="shared" si="18"/>
        <v>-3.610101000000001E-3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42.867310000000003</v>
      </c>
      <c r="Y131" s="190">
        <v>45.939269000000003</v>
      </c>
      <c r="Z131" s="190">
        <v>0.99383125000000005</v>
      </c>
      <c r="AA131" s="62">
        <v>0.99669735999999998</v>
      </c>
      <c r="AB131" s="62">
        <v>9.9529649999999994E-3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1.8651870000000059</v>
      </c>
      <c r="AN131" s="122">
        <f t="shared" si="15"/>
        <v>1.0774030000000039</v>
      </c>
      <c r="AO131" s="122">
        <f t="shared" si="16"/>
        <v>7.0380000000036524E-5</v>
      </c>
      <c r="AP131" s="122">
        <f t="shared" si="17"/>
        <v>3.7270000000000358E-4</v>
      </c>
      <c r="AQ131" s="88">
        <f t="shared" si="18"/>
        <v>-2.8599190000000007E-3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32.209350000000001</v>
      </c>
      <c r="Y133" s="97">
        <v>36.308356000000003</v>
      </c>
      <c r="Z133" s="97">
        <v>0.97042806999999998</v>
      </c>
      <c r="AA133" s="60">
        <v>0.97911075999999997</v>
      </c>
      <c r="AB133" s="60">
        <v>5.7613014999999997E-2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3.4297999999999718E-2</v>
      </c>
      <c r="AN133" s="96">
        <f t="shared" si="15"/>
        <v>0.21802200000000482</v>
      </c>
      <c r="AO133" s="96">
        <f t="shared" si="16"/>
        <v>1.5300000000273428E-6</v>
      </c>
      <c r="AP133" s="96">
        <f t="shared" si="17"/>
        <v>5.3271999999993103E-4</v>
      </c>
      <c r="AQ133" s="121">
        <f t="shared" si="18"/>
        <v>-1.4768850000000042E-3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34.774787000000003</v>
      </c>
      <c r="Y134" s="190">
        <v>38.389122</v>
      </c>
      <c r="Z134" s="190">
        <v>0.98146604000000004</v>
      </c>
      <c r="AA134" s="62">
        <v>0.98686521000000005</v>
      </c>
      <c r="AB134" s="62">
        <v>3.9027350000000002E-2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0.27606300000000061</v>
      </c>
      <c r="AN134" s="122">
        <f t="shared" si="15"/>
        <v>0.25054000000000087</v>
      </c>
      <c r="AO134" s="122">
        <f t="shared" si="16"/>
        <v>-1.4740000000013076E-5</v>
      </c>
      <c r="AP134" s="122">
        <f t="shared" si="17"/>
        <v>1.9698000000001326E-4</v>
      </c>
      <c r="AQ134" s="88">
        <f t="shared" si="18"/>
        <v>-1.0637619999999959E-3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38.657322000000001</v>
      </c>
      <c r="Y135" s="190">
        <v>41.887369999999997</v>
      </c>
      <c r="Z135" s="190">
        <v>0.98979242000000001</v>
      </c>
      <c r="AA135" s="62">
        <v>0.99340497999999999</v>
      </c>
      <c r="AB135" s="62">
        <v>2.2027299E-2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0.82193300000000136</v>
      </c>
      <c r="AN135" s="122">
        <f t="shared" si="15"/>
        <v>0.51061399999999679</v>
      </c>
      <c r="AO135" s="122">
        <f t="shared" si="16"/>
        <v>3.9899999999981617E-5</v>
      </c>
      <c r="AP135" s="122">
        <f t="shared" si="17"/>
        <v>1.7221000000000597E-4</v>
      </c>
      <c r="AQ135" s="88">
        <f t="shared" si="18"/>
        <v>-2.3796760000000007E-3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42.934930000000001</v>
      </c>
      <c r="Y136" s="190">
        <v>45.938898000000002</v>
      </c>
      <c r="Z136" s="190">
        <v>0.99385842000000002</v>
      </c>
      <c r="AA136" s="62">
        <v>0.99665716999999998</v>
      </c>
      <c r="AB136" s="62">
        <v>1.0626642E-2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1.3398809999999983</v>
      </c>
      <c r="AN136" s="122">
        <f t="shared" si="15"/>
        <v>0.757197000000005</v>
      </c>
      <c r="AO136" s="122">
        <f t="shared" si="16"/>
        <v>3.911000000000886E-5</v>
      </c>
      <c r="AP136" s="122">
        <f t="shared" si="17"/>
        <v>3.1879999999995245E-4</v>
      </c>
      <c r="AQ136" s="88">
        <f t="shared" si="18"/>
        <v>-1.9904039999999994E-3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27.940733000000002</v>
      </c>
      <c r="Y641" s="136">
        <f t="shared" si="60"/>
        <v>31.922948000000002</v>
      </c>
      <c r="Z641" s="136">
        <f t="shared" si="60"/>
        <v>0.95918656999999996</v>
      </c>
      <c r="AA641" s="136">
        <f t="shared" si="60"/>
        <v>0.96642985000000003</v>
      </c>
      <c r="AB641" s="136">
        <f t="shared" si="60"/>
        <v>5.2675724E-2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31.866872000000001</v>
      </c>
      <c r="Y642" s="18">
        <f t="shared" si="60"/>
        <v>34.940356000000001</v>
      </c>
      <c r="Z642" s="18">
        <f t="shared" si="60"/>
        <v>0.97653652999999996</v>
      </c>
      <c r="AA642" s="18">
        <f t="shared" si="60"/>
        <v>0.98130572000000005</v>
      </c>
      <c r="AB642" s="18">
        <f t="shared" si="60"/>
        <v>3.3470944000000002E-2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37.049334999999999</v>
      </c>
      <c r="Y643" s="18">
        <f t="shared" si="60"/>
        <v>40.551634999999997</v>
      </c>
      <c r="Z643" s="18">
        <f t="shared" si="60"/>
        <v>0.98784751999999998</v>
      </c>
      <c r="AA643" s="18">
        <f t="shared" si="60"/>
        <v>0.99152649999999998</v>
      </c>
      <c r="AB643" s="18">
        <f t="shared" si="60"/>
        <v>1.8515062999999998E-2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40.983536999999998</v>
      </c>
      <c r="Y644" s="18">
        <f t="shared" si="60"/>
        <v>44.234200999999999</v>
      </c>
      <c r="Z644" s="18">
        <f t="shared" si="60"/>
        <v>0.99322686999999998</v>
      </c>
      <c r="AA644" s="18">
        <f t="shared" si="60"/>
        <v>0.99580535999999997</v>
      </c>
      <c r="AB644" s="18">
        <f t="shared" si="60"/>
        <v>8.5510789999999996E-3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32.464182000000001</v>
      </c>
      <c r="Y646" s="136">
        <f t="shared" si="62"/>
        <v>36.308356000000003</v>
      </c>
      <c r="Z646" s="136">
        <f t="shared" si="62"/>
        <v>0.97201583000000003</v>
      </c>
      <c r="AA646" s="136">
        <f t="shared" si="62"/>
        <v>0.98035976000000002</v>
      </c>
      <c r="AB646" s="136">
        <f t="shared" si="62"/>
        <v>6.6531784999999996E-2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35.013925999999998</v>
      </c>
      <c r="Y647" s="18">
        <f t="shared" si="62"/>
        <v>38.389122</v>
      </c>
      <c r="Z647" s="18">
        <f t="shared" si="62"/>
        <v>0.98171520999999995</v>
      </c>
      <c r="AA647" s="18">
        <f t="shared" si="62"/>
        <v>0.98763685000000001</v>
      </c>
      <c r="AB647" s="18">
        <f t="shared" si="62"/>
        <v>4.251133E-2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38.853791000000001</v>
      </c>
      <c r="Y648" s="18">
        <f t="shared" si="62"/>
        <v>42.054664000000002</v>
      </c>
      <c r="Z648" s="18">
        <f t="shared" si="62"/>
        <v>0.98979242000000001</v>
      </c>
      <c r="AA648" s="18">
        <f t="shared" si="62"/>
        <v>0.99344414000000003</v>
      </c>
      <c r="AB648" s="18">
        <f t="shared" si="62"/>
        <v>2.3418418999999999E-2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42.934930000000001</v>
      </c>
      <c r="Y649" s="18">
        <f t="shared" si="62"/>
        <v>45.939269000000003</v>
      </c>
      <c r="Z649" s="18">
        <f t="shared" si="62"/>
        <v>0.99385842000000002</v>
      </c>
      <c r="AA649" s="18">
        <f t="shared" si="62"/>
        <v>0.99669735999999998</v>
      </c>
      <c r="AB649" s="18">
        <f t="shared" si="62"/>
        <v>1.0626642E-2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4.5234489999999994</v>
      </c>
      <c r="Y651" s="136">
        <f t="shared" si="64"/>
        <v>4.3854080000000017</v>
      </c>
      <c r="Z651" s="136">
        <f t="shared" si="64"/>
        <v>1.2829260000000065E-2</v>
      </c>
      <c r="AA651" s="136">
        <f t="shared" si="64"/>
        <v>1.392990999999999E-2</v>
      </c>
      <c r="AB651" s="136">
        <f t="shared" si="64"/>
        <v>1.3856060999999996E-2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3.1470539999999971</v>
      </c>
      <c r="Y652" s="18">
        <f t="shared" si="64"/>
        <v>3.4487659999999991</v>
      </c>
      <c r="Z652" s="18">
        <f t="shared" si="64"/>
        <v>5.1786799999999911E-3</v>
      </c>
      <c r="AA652" s="18">
        <f t="shared" si="64"/>
        <v>6.3311299999999626E-3</v>
      </c>
      <c r="AB652" s="18">
        <f t="shared" si="64"/>
        <v>9.0403859999999975E-3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1.8044560000000018</v>
      </c>
      <c r="Y653" s="18">
        <f t="shared" si="64"/>
        <v>1.5030290000000051</v>
      </c>
      <c r="Z653" s="18">
        <f t="shared" si="64"/>
        <v>1.9449000000000272E-3</v>
      </c>
      <c r="AA653" s="18">
        <f t="shared" si="64"/>
        <v>1.9176400000000537E-3</v>
      </c>
      <c r="AB653" s="18">
        <f t="shared" si="64"/>
        <v>4.9033560000000011E-3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1.951393000000003</v>
      </c>
      <c r="Y654" s="18">
        <f t="shared" si="64"/>
        <v>1.7050680000000042</v>
      </c>
      <c r="Z654" s="18">
        <f t="shared" si="64"/>
        <v>6.3155000000003625E-4</v>
      </c>
      <c r="AA654" s="18">
        <f t="shared" si="64"/>
        <v>8.920000000000039E-4</v>
      </c>
      <c r="AB654" s="18">
        <f t="shared" si="64"/>
        <v>2.0755630000000008E-3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2025-05-21T07:13:53Z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