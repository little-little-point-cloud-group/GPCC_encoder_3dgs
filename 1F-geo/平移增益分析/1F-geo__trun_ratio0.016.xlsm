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ittle_boy\vs_workspace\3dgs\GPCC_encoder_3dgs\1F-geo\"/>
    </mc:Choice>
  </mc:AlternateContent>
  <xr:revisionPtr revIDLastSave="0" documentId="13_ncr:1_{A98D784D-721B-4B5A-88C0-0A592A6DF7B9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breakfast_track" sheetId="7" r:id="rId7"/>
    <sheet name="breakfast_semitrack" sheetId="8" r:id="rId8"/>
    <sheet name="cinema_track" sheetId="9" r:id="rId9"/>
    <sheet name="cinema_semitrack" sheetId="10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654" i="10" l="1"/>
  <c r="J654" i="10"/>
  <c r="AB653" i="10"/>
  <c r="Z653" i="10"/>
  <c r="G653" i="10"/>
  <c r="F653" i="10"/>
  <c r="AA652" i="10"/>
  <c r="Y652" i="10"/>
  <c r="I652" i="10"/>
  <c r="H652" i="10"/>
  <c r="Z651" i="10"/>
  <c r="Y651" i="10"/>
  <c r="G651" i="10"/>
  <c r="AB649" i="10"/>
  <c r="AB654" i="10" s="1"/>
  <c r="AA649" i="10"/>
  <c r="AA654" i="10" s="1"/>
  <c r="Z649" i="10"/>
  <c r="Y649" i="10"/>
  <c r="Y654" i="10" s="1"/>
  <c r="X649" i="10"/>
  <c r="J649" i="10"/>
  <c r="I649" i="10"/>
  <c r="I654" i="10" s="1"/>
  <c r="H649" i="10"/>
  <c r="H654" i="10" s="1"/>
  <c r="G649" i="10"/>
  <c r="G654" i="10" s="1"/>
  <c r="F649" i="10"/>
  <c r="F654" i="10" s="1"/>
  <c r="AB648" i="10"/>
  <c r="AA648" i="10"/>
  <c r="AA653" i="10" s="1"/>
  <c r="Z648" i="10"/>
  <c r="Y648" i="10"/>
  <c r="Y653" i="10" s="1"/>
  <c r="X648" i="10"/>
  <c r="X653" i="10" s="1"/>
  <c r="J648" i="10"/>
  <c r="J653" i="10" s="1"/>
  <c r="I648" i="10"/>
  <c r="I653" i="10" s="1"/>
  <c r="H648" i="10"/>
  <c r="G648" i="10"/>
  <c r="F648" i="10"/>
  <c r="AB647" i="10"/>
  <c r="AB652" i="10" s="1"/>
  <c r="AA647" i="10"/>
  <c r="Z647" i="10"/>
  <c r="Y647" i="10"/>
  <c r="X647" i="10"/>
  <c r="X652" i="10" s="1"/>
  <c r="J647" i="10"/>
  <c r="I647" i="10"/>
  <c r="H647" i="10"/>
  <c r="G647" i="10"/>
  <c r="G652" i="10" s="1"/>
  <c r="F647" i="10"/>
  <c r="F652" i="10" s="1"/>
  <c r="AB646" i="10"/>
  <c r="AA646" i="10"/>
  <c r="AA651" i="10" s="1"/>
  <c r="Z646" i="10"/>
  <c r="Y646" i="10"/>
  <c r="X646" i="10"/>
  <c r="X651" i="10" s="1"/>
  <c r="J646" i="10"/>
  <c r="J651" i="10" s="1"/>
  <c r="I646" i="10"/>
  <c r="I651" i="10" s="1"/>
  <c r="H646" i="10"/>
  <c r="H651" i="10" s="1"/>
  <c r="G646" i="10"/>
  <c r="F646" i="10"/>
  <c r="F651" i="10" s="1"/>
  <c r="AB644" i="10"/>
  <c r="AA644" i="10"/>
  <c r="Z644" i="10"/>
  <c r="Z654" i="10" s="1"/>
  <c r="Y644" i="10"/>
  <c r="X644" i="10"/>
  <c r="J644" i="10"/>
  <c r="I644" i="10"/>
  <c r="H644" i="10"/>
  <c r="G644" i="10"/>
  <c r="F644" i="10"/>
  <c r="AB643" i="10"/>
  <c r="AA643" i="10"/>
  <c r="Z643" i="10"/>
  <c r="Y643" i="10"/>
  <c r="X643" i="10"/>
  <c r="J643" i="10"/>
  <c r="I643" i="10"/>
  <c r="H643" i="10"/>
  <c r="H653" i="10" s="1"/>
  <c r="G643" i="10"/>
  <c r="F643" i="10"/>
  <c r="AB642" i="10"/>
  <c r="AA642" i="10"/>
  <c r="Z642" i="10"/>
  <c r="Z652" i="10" s="1"/>
  <c r="Y642" i="10"/>
  <c r="X642" i="10"/>
  <c r="J642" i="10"/>
  <c r="J652" i="10" s="1"/>
  <c r="I642" i="10"/>
  <c r="H642" i="10"/>
  <c r="G642" i="10"/>
  <c r="F642" i="10"/>
  <c r="AB641" i="10"/>
  <c r="AB651" i="10" s="1"/>
  <c r="AA641" i="10"/>
  <c r="Z641" i="10"/>
  <c r="Y641" i="10"/>
  <c r="X641" i="10"/>
  <c r="J641" i="10"/>
  <c r="I641" i="10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W8" i="10" s="1"/>
  <c r="E26" i="10"/>
  <c r="W25" i="10"/>
  <c r="E25" i="10"/>
  <c r="W24" i="10"/>
  <c r="E24" i="10"/>
  <c r="W23" i="10"/>
  <c r="W5" i="10" s="1"/>
  <c r="E23" i="10"/>
  <c r="U13" i="10"/>
  <c r="C13" i="10"/>
  <c r="AI10" i="10"/>
  <c r="AH10" i="10"/>
  <c r="P10" i="10"/>
  <c r="AJ8" i="10"/>
  <c r="AI8" i="10"/>
  <c r="AH8" i="10"/>
  <c r="AB8" i="10"/>
  <c r="AA8" i="10"/>
  <c r="Z8" i="10"/>
  <c r="Y8" i="10"/>
  <c r="X8" i="10"/>
  <c r="R8" i="10"/>
  <c r="Q8" i="10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W7" i="10"/>
  <c r="R7" i="10"/>
  <c r="Q7" i="10"/>
  <c r="P7" i="10"/>
  <c r="J7" i="10"/>
  <c r="I7" i="10"/>
  <c r="H7" i="10"/>
  <c r="G7" i="10"/>
  <c r="F7" i="10"/>
  <c r="E7" i="10"/>
  <c r="AJ6" i="10"/>
  <c r="AI6" i="10"/>
  <c r="AH6" i="10"/>
  <c r="AB6" i="10"/>
  <c r="AA6" i="10"/>
  <c r="Z6" i="10"/>
  <c r="Y6" i="10"/>
  <c r="X6" i="10"/>
  <c r="W6" i="10"/>
  <c r="R6" i="10"/>
  <c r="Q6" i="10"/>
  <c r="Q10" i="10" s="1"/>
  <c r="P6" i="10"/>
  <c r="J6" i="10"/>
  <c r="I6" i="10"/>
  <c r="H6" i="10"/>
  <c r="G6" i="10"/>
  <c r="F6" i="10"/>
  <c r="E6" i="10"/>
  <c r="AJ5" i="10"/>
  <c r="AJ10" i="10" s="1"/>
  <c r="AI5" i="10"/>
  <c r="AH5" i="10"/>
  <c r="AB5" i="10"/>
  <c r="AA5" i="10"/>
  <c r="Z5" i="10"/>
  <c r="Y5" i="10"/>
  <c r="X5" i="10"/>
  <c r="R5" i="10"/>
  <c r="R10" i="10" s="1"/>
  <c r="Q5" i="10"/>
  <c r="P5" i="10"/>
  <c r="J5" i="10"/>
  <c r="I5" i="10"/>
  <c r="H5" i="10"/>
  <c r="G5" i="10"/>
  <c r="F5" i="10"/>
  <c r="E5" i="10"/>
  <c r="AL2" i="10"/>
  <c r="U2" i="10"/>
  <c r="T2" i="10"/>
  <c r="C2" i="10"/>
  <c r="AA654" i="9"/>
  <c r="Z654" i="9"/>
  <c r="AB652" i="9"/>
  <c r="AA652" i="9"/>
  <c r="X652" i="9"/>
  <c r="I652" i="9"/>
  <c r="H652" i="9"/>
  <c r="F652" i="9"/>
  <c r="AB651" i="9"/>
  <c r="AB649" i="9"/>
  <c r="AA649" i="9"/>
  <c r="Z649" i="9"/>
  <c r="Y649" i="9"/>
  <c r="Y654" i="9" s="1"/>
  <c r="X649" i="9"/>
  <c r="J649" i="9"/>
  <c r="J654" i="9" s="1"/>
  <c r="I649" i="9"/>
  <c r="H649" i="9"/>
  <c r="H654" i="9" s="1"/>
  <c r="G649" i="9"/>
  <c r="G654" i="9" s="1"/>
  <c r="F649" i="9"/>
  <c r="F654" i="9" s="1"/>
  <c r="AB648" i="9"/>
  <c r="AA648" i="9"/>
  <c r="AA653" i="9" s="1"/>
  <c r="Z648" i="9"/>
  <c r="Z653" i="9" s="1"/>
  <c r="Y648" i="9"/>
  <c r="Y653" i="9" s="1"/>
  <c r="X648" i="9"/>
  <c r="X653" i="9" s="1"/>
  <c r="J648" i="9"/>
  <c r="J653" i="9" s="1"/>
  <c r="I648" i="9"/>
  <c r="I653" i="9" s="1"/>
  <c r="H648" i="9"/>
  <c r="H653" i="9" s="1"/>
  <c r="G648" i="9"/>
  <c r="G653" i="9" s="1"/>
  <c r="F648" i="9"/>
  <c r="AB647" i="9"/>
  <c r="AA647" i="9"/>
  <c r="Z647" i="9"/>
  <c r="Z652" i="9" s="1"/>
  <c r="Y647" i="9"/>
  <c r="X647" i="9"/>
  <c r="J647" i="9"/>
  <c r="I647" i="9"/>
  <c r="H647" i="9"/>
  <c r="G647" i="9"/>
  <c r="F647" i="9"/>
  <c r="AB646" i="9"/>
  <c r="AA646" i="9"/>
  <c r="AA651" i="9" s="1"/>
  <c r="Z646" i="9"/>
  <c r="Y646" i="9"/>
  <c r="Y651" i="9" s="1"/>
  <c r="X646" i="9"/>
  <c r="J646" i="9"/>
  <c r="J651" i="9" s="1"/>
  <c r="I646" i="9"/>
  <c r="I651" i="9" s="1"/>
  <c r="H646" i="9"/>
  <c r="H651" i="9" s="1"/>
  <c r="G646" i="9"/>
  <c r="F646" i="9"/>
  <c r="F651" i="9" s="1"/>
  <c r="AB644" i="9"/>
  <c r="AB654" i="9" s="1"/>
  <c r="AA644" i="9"/>
  <c r="Z644" i="9"/>
  <c r="Y644" i="9"/>
  <c r="X644" i="9"/>
  <c r="X654" i="9" s="1"/>
  <c r="J644" i="9"/>
  <c r="I644" i="9"/>
  <c r="I654" i="9" s="1"/>
  <c r="H644" i="9"/>
  <c r="G644" i="9"/>
  <c r="F644" i="9"/>
  <c r="AB643" i="9"/>
  <c r="AB653" i="9" s="1"/>
  <c r="AA643" i="9"/>
  <c r="Z643" i="9"/>
  <c r="Y643" i="9"/>
  <c r="X643" i="9"/>
  <c r="J643" i="9"/>
  <c r="I643" i="9"/>
  <c r="H643" i="9"/>
  <c r="G643" i="9"/>
  <c r="F643" i="9"/>
  <c r="F653" i="9" s="1"/>
  <c r="AB642" i="9"/>
  <c r="AA642" i="9"/>
  <c r="Z642" i="9"/>
  <c r="Y642" i="9"/>
  <c r="Y652" i="9" s="1"/>
  <c r="X642" i="9"/>
  <c r="J642" i="9"/>
  <c r="J652" i="9" s="1"/>
  <c r="I642" i="9"/>
  <c r="H642" i="9"/>
  <c r="G642" i="9"/>
  <c r="G652" i="9" s="1"/>
  <c r="F642" i="9"/>
  <c r="AB641" i="9"/>
  <c r="AA641" i="9"/>
  <c r="Z641" i="9"/>
  <c r="Z651" i="9" s="1"/>
  <c r="Y641" i="9"/>
  <c r="X641" i="9"/>
  <c r="X651" i="9" s="1"/>
  <c r="J641" i="9"/>
  <c r="I641" i="9"/>
  <c r="H641" i="9"/>
  <c r="G641" i="9"/>
  <c r="G651" i="9" s="1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W8" i="9" s="1"/>
  <c r="E26" i="9"/>
  <c r="W25" i="9"/>
  <c r="W7" i="9" s="1"/>
  <c r="E25" i="9"/>
  <c r="E7" i="9" s="1"/>
  <c r="W24" i="9"/>
  <c r="E24" i="9"/>
  <c r="W23" i="9"/>
  <c r="E23" i="9"/>
  <c r="U13" i="9"/>
  <c r="C13" i="9"/>
  <c r="AJ10" i="9"/>
  <c r="AJ8" i="9"/>
  <c r="AI8" i="9"/>
  <c r="AH8" i="9"/>
  <c r="AB8" i="9"/>
  <c r="AA8" i="9"/>
  <c r="Z8" i="9"/>
  <c r="Y8" i="9"/>
  <c r="X8" i="9"/>
  <c r="R8" i="9"/>
  <c r="Q8" i="9"/>
  <c r="P8" i="9"/>
  <c r="J8" i="9"/>
  <c r="I8" i="9"/>
  <c r="H8" i="9"/>
  <c r="G8" i="9"/>
  <c r="F8" i="9"/>
  <c r="E8" i="9"/>
  <c r="AJ7" i="9"/>
  <c r="AI7" i="9"/>
  <c r="AI10" i="9" s="1"/>
  <c r="AH7" i="9"/>
  <c r="AB7" i="9"/>
  <c r="AA7" i="9"/>
  <c r="Z7" i="9"/>
  <c r="Y7" i="9"/>
  <c r="X7" i="9"/>
  <c r="R7" i="9"/>
  <c r="Q7" i="9"/>
  <c r="P7" i="9"/>
  <c r="J7" i="9"/>
  <c r="I7" i="9"/>
  <c r="H7" i="9"/>
  <c r="G7" i="9"/>
  <c r="F7" i="9"/>
  <c r="AJ6" i="9"/>
  <c r="AI6" i="9"/>
  <c r="AH6" i="9"/>
  <c r="AB6" i="9"/>
  <c r="AA6" i="9"/>
  <c r="Z6" i="9"/>
  <c r="Y6" i="9"/>
  <c r="X6" i="9"/>
  <c r="W6" i="9"/>
  <c r="R6" i="9"/>
  <c r="Q6" i="9"/>
  <c r="P6" i="9"/>
  <c r="J6" i="9"/>
  <c r="I6" i="9"/>
  <c r="H6" i="9"/>
  <c r="G6" i="9"/>
  <c r="F6" i="9"/>
  <c r="E6" i="9"/>
  <c r="AJ5" i="9"/>
  <c r="AI5" i="9"/>
  <c r="AH5" i="9"/>
  <c r="AB5" i="9"/>
  <c r="AA5" i="9"/>
  <c r="Z5" i="9"/>
  <c r="Y5" i="9"/>
  <c r="X5" i="9"/>
  <c r="W5" i="9"/>
  <c r="R5" i="9"/>
  <c r="R10" i="9" s="1"/>
  <c r="Q5" i="9"/>
  <c r="P5" i="9"/>
  <c r="J5" i="9"/>
  <c r="I5" i="9"/>
  <c r="H5" i="9"/>
  <c r="G5" i="9"/>
  <c r="F5" i="9"/>
  <c r="E5" i="9"/>
  <c r="AL2" i="9"/>
  <c r="U2" i="9"/>
  <c r="T2" i="9"/>
  <c r="C2" i="9"/>
  <c r="AB654" i="8"/>
  <c r="F654" i="8"/>
  <c r="X653" i="8"/>
  <c r="J653" i="8"/>
  <c r="AB652" i="8"/>
  <c r="AA652" i="8"/>
  <c r="H651" i="8"/>
  <c r="AB649" i="8"/>
  <c r="AA649" i="8"/>
  <c r="Z649" i="8"/>
  <c r="Z654" i="8" s="1"/>
  <c r="Y649" i="8"/>
  <c r="Y654" i="8" s="1"/>
  <c r="X649" i="8"/>
  <c r="J649" i="8"/>
  <c r="J654" i="8" s="1"/>
  <c r="I649" i="8"/>
  <c r="I654" i="8" s="1"/>
  <c r="H649" i="8"/>
  <c r="H654" i="8" s="1"/>
  <c r="G649" i="8"/>
  <c r="G654" i="8" s="1"/>
  <c r="F649" i="8"/>
  <c r="AB648" i="8"/>
  <c r="AB653" i="8" s="1"/>
  <c r="AA648" i="8"/>
  <c r="AA653" i="8" s="1"/>
  <c r="Z648" i="8"/>
  <c r="Z653" i="8" s="1"/>
  <c r="Y648" i="8"/>
  <c r="Y653" i="8" s="1"/>
  <c r="X648" i="8"/>
  <c r="J648" i="8"/>
  <c r="I648" i="8"/>
  <c r="I653" i="8" s="1"/>
  <c r="H648" i="8"/>
  <c r="G648" i="8"/>
  <c r="F648" i="8"/>
  <c r="AB647" i="8"/>
  <c r="AA647" i="8"/>
  <c r="Z647" i="8"/>
  <c r="Y647" i="8"/>
  <c r="X647" i="8"/>
  <c r="J647" i="8"/>
  <c r="J652" i="8" s="1"/>
  <c r="I647" i="8"/>
  <c r="H647" i="8"/>
  <c r="H652" i="8" s="1"/>
  <c r="G647" i="8"/>
  <c r="F647" i="8"/>
  <c r="AB646" i="8"/>
  <c r="AB651" i="8" s="1"/>
  <c r="AA646" i="8"/>
  <c r="AA651" i="8" s="1"/>
  <c r="Z646" i="8"/>
  <c r="Y646" i="8"/>
  <c r="Y651" i="8" s="1"/>
  <c r="X646" i="8"/>
  <c r="X651" i="8" s="1"/>
  <c r="J646" i="8"/>
  <c r="J651" i="8" s="1"/>
  <c r="I646" i="8"/>
  <c r="I651" i="8" s="1"/>
  <c r="H646" i="8"/>
  <c r="G646" i="8"/>
  <c r="G651" i="8" s="1"/>
  <c r="F646" i="8"/>
  <c r="F651" i="8" s="1"/>
  <c r="AB644" i="8"/>
  <c r="AA644" i="8"/>
  <c r="Z644" i="8"/>
  <c r="Y644" i="8"/>
  <c r="X644" i="8"/>
  <c r="X654" i="8" s="1"/>
  <c r="J644" i="8"/>
  <c r="I644" i="8"/>
  <c r="H644" i="8"/>
  <c r="G644" i="8"/>
  <c r="F644" i="8"/>
  <c r="AB643" i="8"/>
  <c r="AA643" i="8"/>
  <c r="Z643" i="8"/>
  <c r="Y643" i="8"/>
  <c r="X643" i="8"/>
  <c r="J643" i="8"/>
  <c r="I643" i="8"/>
  <c r="H643" i="8"/>
  <c r="H653" i="8" s="1"/>
  <c r="G643" i="8"/>
  <c r="G653" i="8" s="1"/>
  <c r="F643" i="8"/>
  <c r="F653" i="8" s="1"/>
  <c r="AB642" i="8"/>
  <c r="AA642" i="8"/>
  <c r="Z642" i="8"/>
  <c r="Z652" i="8" s="1"/>
  <c r="Y642" i="8"/>
  <c r="Y652" i="8" s="1"/>
  <c r="X642" i="8"/>
  <c r="X652" i="8" s="1"/>
  <c r="J642" i="8"/>
  <c r="I642" i="8"/>
  <c r="I652" i="8" s="1"/>
  <c r="H642" i="8"/>
  <c r="G642" i="8"/>
  <c r="G652" i="8" s="1"/>
  <c r="F642" i="8"/>
  <c r="AB641" i="8"/>
  <c r="AA641" i="8"/>
  <c r="Z641" i="8"/>
  <c r="Z651" i="8" s="1"/>
  <c r="Y641" i="8"/>
  <c r="X641" i="8"/>
  <c r="J641" i="8"/>
  <c r="I641" i="8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E8" i="8" s="1"/>
  <c r="W25" i="8"/>
  <c r="W7" i="8" s="1"/>
  <c r="E25" i="8"/>
  <c r="E7" i="8" s="1"/>
  <c r="W24" i="8"/>
  <c r="W6" i="8" s="1"/>
  <c r="E24" i="8"/>
  <c r="E6" i="8" s="1"/>
  <c r="W23" i="8"/>
  <c r="E23" i="8"/>
  <c r="E5" i="8" s="1"/>
  <c r="U13" i="8"/>
  <c r="C13" i="8"/>
  <c r="AJ10" i="8"/>
  <c r="AJ8" i="8"/>
  <c r="AI8" i="8"/>
  <c r="AH8" i="8"/>
  <c r="AB8" i="8"/>
  <c r="AA8" i="8"/>
  <c r="Z8" i="8"/>
  <c r="Y8" i="8"/>
  <c r="X8" i="8"/>
  <c r="R8" i="8"/>
  <c r="Q8" i="8"/>
  <c r="P8" i="8"/>
  <c r="J8" i="8"/>
  <c r="I8" i="8"/>
  <c r="H8" i="8"/>
  <c r="G8" i="8"/>
  <c r="F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AJ6" i="8"/>
  <c r="AI6" i="8"/>
  <c r="AH6" i="8"/>
  <c r="AB6" i="8"/>
  <c r="AA6" i="8"/>
  <c r="Z6" i="8"/>
  <c r="Y6" i="8"/>
  <c r="X6" i="8"/>
  <c r="R6" i="8"/>
  <c r="Q6" i="8"/>
  <c r="P6" i="8"/>
  <c r="J6" i="8"/>
  <c r="I6" i="8"/>
  <c r="H6" i="8"/>
  <c r="G6" i="8"/>
  <c r="F6" i="8"/>
  <c r="AJ5" i="8"/>
  <c r="AI5" i="8"/>
  <c r="AH5" i="8"/>
  <c r="AH10" i="8" s="1"/>
  <c r="AB5" i="8"/>
  <c r="AA5" i="8"/>
  <c r="Z5" i="8"/>
  <c r="Y5" i="8"/>
  <c r="X5" i="8"/>
  <c r="W5" i="8"/>
  <c r="R5" i="8"/>
  <c r="R10" i="8" s="1"/>
  <c r="Q5" i="8"/>
  <c r="Q10" i="8" s="1"/>
  <c r="P5" i="8"/>
  <c r="J5" i="8"/>
  <c r="I5" i="8"/>
  <c r="H5" i="8"/>
  <c r="G5" i="8"/>
  <c r="F5" i="8"/>
  <c r="AL2" i="8"/>
  <c r="U2" i="8"/>
  <c r="T2" i="8"/>
  <c r="C2" i="8"/>
  <c r="Y654" i="7"/>
  <c r="G654" i="7"/>
  <c r="F654" i="7"/>
  <c r="Z652" i="7"/>
  <c r="AA651" i="7"/>
  <c r="J651" i="7"/>
  <c r="I651" i="7"/>
  <c r="H651" i="7"/>
  <c r="G651" i="7"/>
  <c r="F651" i="7"/>
  <c r="AB649" i="7"/>
  <c r="AB654" i="7" s="1"/>
  <c r="AA649" i="7"/>
  <c r="AA654" i="7" s="1"/>
  <c r="Z649" i="7"/>
  <c r="Y649" i="7"/>
  <c r="X649" i="7"/>
  <c r="X654" i="7" s="1"/>
  <c r="J649" i="7"/>
  <c r="J654" i="7" s="1"/>
  <c r="I649" i="7"/>
  <c r="I654" i="7" s="1"/>
  <c r="H649" i="7"/>
  <c r="H654" i="7" s="1"/>
  <c r="G649" i="7"/>
  <c r="F649" i="7"/>
  <c r="AB648" i="7"/>
  <c r="AB653" i="7" s="1"/>
  <c r="AA648" i="7"/>
  <c r="Z648" i="7"/>
  <c r="Y648" i="7"/>
  <c r="Y653" i="7" s="1"/>
  <c r="X648" i="7"/>
  <c r="X653" i="7" s="1"/>
  <c r="J648" i="7"/>
  <c r="I648" i="7"/>
  <c r="H648" i="7"/>
  <c r="G648" i="7"/>
  <c r="F648" i="7"/>
  <c r="F653" i="7" s="1"/>
  <c r="AB647" i="7"/>
  <c r="AA647" i="7"/>
  <c r="Z647" i="7"/>
  <c r="Y647" i="7"/>
  <c r="Y652" i="7" s="1"/>
  <c r="X647" i="7"/>
  <c r="X652" i="7" s="1"/>
  <c r="J647" i="7"/>
  <c r="J652" i="7" s="1"/>
  <c r="I647" i="7"/>
  <c r="I652" i="7" s="1"/>
  <c r="H647" i="7"/>
  <c r="H652" i="7" s="1"/>
  <c r="G647" i="7"/>
  <c r="G652" i="7" s="1"/>
  <c r="F647" i="7"/>
  <c r="F652" i="7" s="1"/>
  <c r="AB646" i="7"/>
  <c r="AA646" i="7"/>
  <c r="Z646" i="7"/>
  <c r="Z651" i="7" s="1"/>
  <c r="Y646" i="7"/>
  <c r="Y651" i="7" s="1"/>
  <c r="X646" i="7"/>
  <c r="X651" i="7" s="1"/>
  <c r="J646" i="7"/>
  <c r="I646" i="7"/>
  <c r="H646" i="7"/>
  <c r="G646" i="7"/>
  <c r="F646" i="7"/>
  <c r="AB644" i="7"/>
  <c r="AA644" i="7"/>
  <c r="Z644" i="7"/>
  <c r="Y644" i="7"/>
  <c r="X644" i="7"/>
  <c r="J644" i="7"/>
  <c r="I644" i="7"/>
  <c r="H644" i="7"/>
  <c r="G644" i="7"/>
  <c r="F644" i="7"/>
  <c r="AB643" i="7"/>
  <c r="AA643" i="7"/>
  <c r="AA653" i="7" s="1"/>
  <c r="Z643" i="7"/>
  <c r="Z653" i="7" s="1"/>
  <c r="Y643" i="7"/>
  <c r="X643" i="7"/>
  <c r="J643" i="7"/>
  <c r="J653" i="7" s="1"/>
  <c r="I643" i="7"/>
  <c r="I653" i="7" s="1"/>
  <c r="H643" i="7"/>
  <c r="H653" i="7" s="1"/>
  <c r="G643" i="7"/>
  <c r="G653" i="7" s="1"/>
  <c r="F643" i="7"/>
  <c r="AB642" i="7"/>
  <c r="AB652" i="7" s="1"/>
  <c r="AA642" i="7"/>
  <c r="Z642" i="7"/>
  <c r="Y642" i="7"/>
  <c r="X642" i="7"/>
  <c r="J642" i="7"/>
  <c r="I642" i="7"/>
  <c r="H642" i="7"/>
  <c r="G642" i="7"/>
  <c r="F642" i="7"/>
  <c r="AB641" i="7"/>
  <c r="AA641" i="7"/>
  <c r="Z641" i="7"/>
  <c r="Y641" i="7"/>
  <c r="X641" i="7"/>
  <c r="J641" i="7"/>
  <c r="I641" i="7"/>
  <c r="H641" i="7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E26" i="7"/>
  <c r="W25" i="7"/>
  <c r="E25" i="7"/>
  <c r="W24" i="7"/>
  <c r="W6" i="7" s="1"/>
  <c r="E24" i="7"/>
  <c r="E6" i="7" s="1"/>
  <c r="W23" i="7"/>
  <c r="E23" i="7"/>
  <c r="E5" i="7" s="1"/>
  <c r="U13" i="7"/>
  <c r="C13" i="7"/>
  <c r="R10" i="7"/>
  <c r="AJ8" i="7"/>
  <c r="AI8" i="7"/>
  <c r="AH8" i="7"/>
  <c r="AB8" i="7"/>
  <c r="AA8" i="7"/>
  <c r="Z8" i="7"/>
  <c r="Y8" i="7"/>
  <c r="X8" i="7"/>
  <c r="W8" i="7"/>
  <c r="R8" i="7"/>
  <c r="Q8" i="7"/>
  <c r="P8" i="7"/>
  <c r="J8" i="7"/>
  <c r="I8" i="7"/>
  <c r="H8" i="7"/>
  <c r="G8" i="7"/>
  <c r="F8" i="7"/>
  <c r="E8" i="7"/>
  <c r="AJ7" i="7"/>
  <c r="AI7" i="7"/>
  <c r="AH7" i="7"/>
  <c r="AB7" i="7"/>
  <c r="AA7" i="7"/>
  <c r="Z7" i="7"/>
  <c r="Y7" i="7"/>
  <c r="X7" i="7"/>
  <c r="W7" i="7"/>
  <c r="R7" i="7"/>
  <c r="Q7" i="7"/>
  <c r="Q10" i="7" s="1"/>
  <c r="P7" i="7"/>
  <c r="J7" i="7"/>
  <c r="I7" i="7"/>
  <c r="H7" i="7"/>
  <c r="G7" i="7"/>
  <c r="F7" i="7"/>
  <c r="E7" i="7"/>
  <c r="AJ6" i="7"/>
  <c r="AI6" i="7"/>
  <c r="AH6" i="7"/>
  <c r="AB6" i="7"/>
  <c r="AA6" i="7"/>
  <c r="Z6" i="7"/>
  <c r="Y6" i="7"/>
  <c r="X6" i="7"/>
  <c r="R6" i="7"/>
  <c r="Q6" i="7"/>
  <c r="P6" i="7"/>
  <c r="P10" i="7" s="1"/>
  <c r="J6" i="7"/>
  <c r="I6" i="7"/>
  <c r="H6" i="7"/>
  <c r="G6" i="7"/>
  <c r="F6" i="7"/>
  <c r="AJ5" i="7"/>
  <c r="AJ10" i="7" s="1"/>
  <c r="AI5" i="7"/>
  <c r="AH5" i="7"/>
  <c r="AH10" i="7" s="1"/>
  <c r="AB5" i="7"/>
  <c r="AA5" i="7"/>
  <c r="Z5" i="7"/>
  <c r="Y5" i="7"/>
  <c r="X5" i="7"/>
  <c r="W5" i="7"/>
  <c r="R5" i="7"/>
  <c r="Q5" i="7"/>
  <c r="P5" i="7"/>
  <c r="J5" i="7"/>
  <c r="I5" i="7"/>
  <c r="H5" i="7"/>
  <c r="G5" i="7"/>
  <c r="F5" i="7"/>
  <c r="AL2" i="7"/>
  <c r="U2" i="7"/>
  <c r="T2" i="7"/>
  <c r="C2" i="7"/>
  <c r="M112" i="6"/>
  <c r="L112" i="6"/>
  <c r="F109" i="6"/>
  <c r="F106" i="6"/>
  <c r="F107" i="6" s="1"/>
  <c r="F108" i="6" s="1"/>
  <c r="B106" i="6"/>
  <c r="B107" i="6" s="1"/>
  <c r="L103" i="6"/>
  <c r="M105" i="6" s="1"/>
  <c r="F103" i="6"/>
  <c r="M101" i="6"/>
  <c r="L101" i="6"/>
  <c r="B96" i="6"/>
  <c r="B95" i="6"/>
  <c r="F92" i="6"/>
  <c r="M90" i="6"/>
  <c r="L90" i="6"/>
  <c r="B86" i="6"/>
  <c r="F84" i="6"/>
  <c r="F85" i="6" s="1"/>
  <c r="F86" i="6" s="1"/>
  <c r="F87" i="6" s="1"/>
  <c r="B84" i="6"/>
  <c r="B85" i="6" s="1"/>
  <c r="L83" i="6"/>
  <c r="F81" i="6"/>
  <c r="L81" i="6" s="1"/>
  <c r="M83" i="6" s="1"/>
  <c r="M79" i="6"/>
  <c r="L79" i="6"/>
  <c r="B74" i="6"/>
  <c r="B75" i="6" s="1"/>
  <c r="B73" i="6"/>
  <c r="F70" i="6"/>
  <c r="M68" i="6"/>
  <c r="L68" i="6"/>
  <c r="B65" i="6"/>
  <c r="B64" i="6"/>
  <c r="B62" i="6"/>
  <c r="B63" i="6" s="1"/>
  <c r="L59" i="6"/>
  <c r="M61" i="6" s="1"/>
  <c r="F59" i="6"/>
  <c r="F62" i="6" s="1"/>
  <c r="F63" i="6" s="1"/>
  <c r="F64" i="6" s="1"/>
  <c r="F65" i="6" s="1"/>
  <c r="M57" i="6"/>
  <c r="L57" i="6"/>
  <c r="B53" i="6"/>
  <c r="B52" i="6"/>
  <c r="B51" i="6"/>
  <c r="F48" i="6"/>
  <c r="M46" i="6"/>
  <c r="L46" i="6"/>
  <c r="B41" i="6"/>
  <c r="B40" i="6"/>
  <c r="F37" i="6"/>
  <c r="F40" i="6" s="1"/>
  <c r="F41" i="6" s="1"/>
  <c r="F42" i="6" s="1"/>
  <c r="F43" i="6" s="1"/>
  <c r="M35" i="6"/>
  <c r="L35" i="6"/>
  <c r="B30" i="6"/>
  <c r="B31" i="6" s="1"/>
  <c r="B29" i="6"/>
  <c r="F26" i="6"/>
  <c r="M24" i="6"/>
  <c r="L24" i="6"/>
  <c r="F18" i="6"/>
  <c r="F19" i="6" s="1"/>
  <c r="F20" i="6" s="1"/>
  <c r="F21" i="6" s="1"/>
  <c r="B18" i="6"/>
  <c r="B19" i="6" s="1"/>
  <c r="M17" i="6"/>
  <c r="L17" i="6"/>
  <c r="F15" i="6"/>
  <c r="L15" i="6" s="1"/>
  <c r="M13" i="6"/>
  <c r="L13" i="6"/>
  <c r="B8" i="6"/>
  <c r="B9" i="6" s="1"/>
  <c r="B7" i="6"/>
  <c r="F4" i="6"/>
  <c r="F2" i="6"/>
  <c r="B2" i="6"/>
  <c r="M112" i="5"/>
  <c r="L112" i="5"/>
  <c r="F106" i="5"/>
  <c r="F107" i="5" s="1"/>
  <c r="F108" i="5" s="1"/>
  <c r="F109" i="5" s="1"/>
  <c r="B106" i="5"/>
  <c r="L103" i="5"/>
  <c r="F103" i="5"/>
  <c r="M101" i="5"/>
  <c r="L101" i="5"/>
  <c r="B96" i="5"/>
  <c r="B95" i="5"/>
  <c r="L92" i="5"/>
  <c r="L94" i="5" s="1"/>
  <c r="F92" i="5"/>
  <c r="F95" i="5" s="1"/>
  <c r="F96" i="5" s="1"/>
  <c r="F97" i="5" s="1"/>
  <c r="F98" i="5" s="1"/>
  <c r="M90" i="5"/>
  <c r="L90" i="5"/>
  <c r="F85" i="5"/>
  <c r="F86" i="5" s="1"/>
  <c r="F87" i="5" s="1"/>
  <c r="F84" i="5"/>
  <c r="B84" i="5"/>
  <c r="L83" i="5"/>
  <c r="L81" i="5"/>
  <c r="M83" i="5" s="1"/>
  <c r="F81" i="5"/>
  <c r="M79" i="5"/>
  <c r="L79" i="5"/>
  <c r="B73" i="5"/>
  <c r="F70" i="5"/>
  <c r="M68" i="5"/>
  <c r="L68" i="5"/>
  <c r="F64" i="5"/>
  <c r="F65" i="5" s="1"/>
  <c r="F63" i="5"/>
  <c r="B63" i="5"/>
  <c r="F62" i="5"/>
  <c r="B62" i="5"/>
  <c r="L59" i="5"/>
  <c r="M61" i="5" s="1"/>
  <c r="F59" i="5"/>
  <c r="M57" i="5"/>
  <c r="L57" i="5"/>
  <c r="B53" i="5"/>
  <c r="B54" i="5" s="1"/>
  <c r="B52" i="5"/>
  <c r="B51" i="5"/>
  <c r="F48" i="5"/>
  <c r="F51" i="5" s="1"/>
  <c r="F52" i="5" s="1"/>
  <c r="F53" i="5" s="1"/>
  <c r="F54" i="5" s="1"/>
  <c r="M46" i="5"/>
  <c r="L46" i="5"/>
  <c r="F40" i="5"/>
  <c r="F41" i="5" s="1"/>
  <c r="F42" i="5" s="1"/>
  <c r="F43" i="5" s="1"/>
  <c r="B40" i="5"/>
  <c r="L37" i="5"/>
  <c r="L39" i="5" s="1"/>
  <c r="F37" i="5"/>
  <c r="M35" i="5"/>
  <c r="L35" i="5"/>
  <c r="B29" i="5"/>
  <c r="L26" i="5"/>
  <c r="L28" i="5" s="1"/>
  <c r="F26" i="5"/>
  <c r="F29" i="5" s="1"/>
  <c r="F30" i="5" s="1"/>
  <c r="F31" i="5" s="1"/>
  <c r="F32" i="5" s="1"/>
  <c r="M24" i="5"/>
  <c r="L24" i="5"/>
  <c r="F19" i="5"/>
  <c r="F20" i="5" s="1"/>
  <c r="F21" i="5" s="1"/>
  <c r="B19" i="5"/>
  <c r="F18" i="5"/>
  <c r="B18" i="5"/>
  <c r="L15" i="5"/>
  <c r="M17" i="5" s="1"/>
  <c r="F15" i="5"/>
  <c r="M13" i="5"/>
  <c r="L13" i="5"/>
  <c r="F8" i="5"/>
  <c r="F9" i="5" s="1"/>
  <c r="F10" i="5" s="1"/>
  <c r="B8" i="5"/>
  <c r="B7" i="5"/>
  <c r="F4" i="5"/>
  <c r="F7" i="5" s="1"/>
  <c r="F2" i="5"/>
  <c r="B2" i="5"/>
  <c r="M112" i="4"/>
  <c r="L112" i="4"/>
  <c r="F107" i="4"/>
  <c r="F108" i="4" s="1"/>
  <c r="F109" i="4" s="1"/>
  <c r="B107" i="4"/>
  <c r="F106" i="4"/>
  <c r="B106" i="4"/>
  <c r="L103" i="4"/>
  <c r="F103" i="4"/>
  <c r="M101" i="4"/>
  <c r="L101" i="4"/>
  <c r="F98" i="4"/>
  <c r="F95" i="4"/>
  <c r="F96" i="4" s="1"/>
  <c r="F97" i="4" s="1"/>
  <c r="B95" i="4"/>
  <c r="L94" i="4"/>
  <c r="L92" i="4"/>
  <c r="F92" i="4"/>
  <c r="M90" i="4"/>
  <c r="L90" i="4"/>
  <c r="F86" i="4"/>
  <c r="F87" i="4" s="1"/>
  <c r="F84" i="4"/>
  <c r="F85" i="4" s="1"/>
  <c r="B84" i="4"/>
  <c r="M83" i="4"/>
  <c r="L81" i="4"/>
  <c r="F81" i="4"/>
  <c r="M79" i="4"/>
  <c r="L79" i="4"/>
  <c r="B73" i="4"/>
  <c r="L70" i="4"/>
  <c r="L72" i="4" s="1"/>
  <c r="F70" i="4"/>
  <c r="F73" i="4" s="1"/>
  <c r="F74" i="4" s="1"/>
  <c r="F75" i="4" s="1"/>
  <c r="F76" i="4" s="1"/>
  <c r="M68" i="4"/>
  <c r="L68" i="4"/>
  <c r="F63" i="4"/>
  <c r="F64" i="4" s="1"/>
  <c r="F65" i="4" s="1"/>
  <c r="B63" i="4"/>
  <c r="F62" i="4"/>
  <c r="B62" i="4"/>
  <c r="L59" i="4"/>
  <c r="F59" i="4"/>
  <c r="M57" i="4"/>
  <c r="L57" i="4"/>
  <c r="F51" i="4"/>
  <c r="F52" i="4" s="1"/>
  <c r="F53" i="4" s="1"/>
  <c r="F54" i="4" s="1"/>
  <c r="B51" i="4"/>
  <c r="L48" i="4"/>
  <c r="F48" i="4"/>
  <c r="M46" i="4"/>
  <c r="L46" i="4"/>
  <c r="F41" i="4"/>
  <c r="F42" i="4" s="1"/>
  <c r="F43" i="4" s="1"/>
  <c r="B41" i="4"/>
  <c r="F40" i="4"/>
  <c r="B40" i="4"/>
  <c r="L37" i="4"/>
  <c r="F37" i="4"/>
  <c r="M35" i="4"/>
  <c r="L35" i="4"/>
  <c r="F32" i="4"/>
  <c r="B29" i="4"/>
  <c r="F26" i="4"/>
  <c r="F29" i="4" s="1"/>
  <c r="F30" i="4" s="1"/>
  <c r="F31" i="4" s="1"/>
  <c r="M24" i="4"/>
  <c r="L24" i="4"/>
  <c r="F21" i="4"/>
  <c r="F20" i="4"/>
  <c r="B19" i="4"/>
  <c r="F18" i="4"/>
  <c r="F19" i="4" s="1"/>
  <c r="B18" i="4"/>
  <c r="L15" i="4"/>
  <c r="F15" i="4"/>
  <c r="M13" i="4"/>
  <c r="L13" i="4"/>
  <c r="B7" i="4"/>
  <c r="F4" i="4"/>
  <c r="F7" i="4" s="1"/>
  <c r="F8" i="4" s="1"/>
  <c r="F9" i="4" s="1"/>
  <c r="F10" i="4" s="1"/>
  <c r="F2" i="4"/>
  <c r="M39" i="4" s="1"/>
  <c r="B2" i="4"/>
  <c r="M112" i="3"/>
  <c r="L112" i="3"/>
  <c r="B107" i="3"/>
  <c r="B108" i="3" s="1"/>
  <c r="B106" i="3"/>
  <c r="F103" i="3"/>
  <c r="L103" i="3" s="1"/>
  <c r="M105" i="3" s="1"/>
  <c r="M101" i="3"/>
  <c r="L101" i="3"/>
  <c r="F98" i="3"/>
  <c r="F97" i="3"/>
  <c r="B96" i="3"/>
  <c r="F95" i="3"/>
  <c r="F96" i="3" s="1"/>
  <c r="B95" i="3"/>
  <c r="F92" i="3"/>
  <c r="L92" i="3" s="1"/>
  <c r="M94" i="3" s="1"/>
  <c r="M90" i="3"/>
  <c r="L90" i="3"/>
  <c r="B87" i="3"/>
  <c r="B85" i="3"/>
  <c r="B86" i="3" s="1"/>
  <c r="F84" i="3"/>
  <c r="F85" i="3" s="1"/>
  <c r="F86" i="3" s="1"/>
  <c r="F87" i="3" s="1"/>
  <c r="B84" i="3"/>
  <c r="F81" i="3"/>
  <c r="L81" i="3" s="1"/>
  <c r="M83" i="3" s="1"/>
  <c r="M79" i="3"/>
  <c r="L79" i="3"/>
  <c r="F76" i="3"/>
  <c r="B74" i="3"/>
  <c r="F73" i="3"/>
  <c r="F74" i="3" s="1"/>
  <c r="F75" i="3" s="1"/>
  <c r="B73" i="3"/>
  <c r="F70" i="3"/>
  <c r="L70" i="3" s="1"/>
  <c r="M72" i="3" s="1"/>
  <c r="M68" i="3"/>
  <c r="L68" i="3"/>
  <c r="B63" i="3"/>
  <c r="B64" i="3" s="1"/>
  <c r="F62" i="3"/>
  <c r="F63" i="3" s="1"/>
  <c r="F64" i="3" s="1"/>
  <c r="F65" i="3" s="1"/>
  <c r="B62" i="3"/>
  <c r="F59" i="3"/>
  <c r="L59" i="3" s="1"/>
  <c r="M61" i="3" s="1"/>
  <c r="M57" i="3"/>
  <c r="L57" i="3"/>
  <c r="B52" i="3"/>
  <c r="F51" i="3"/>
  <c r="F52" i="3" s="1"/>
  <c r="F53" i="3" s="1"/>
  <c r="F54" i="3" s="1"/>
  <c r="B51" i="3"/>
  <c r="F48" i="3"/>
  <c r="L48" i="3" s="1"/>
  <c r="M50" i="3" s="1"/>
  <c r="M46" i="3"/>
  <c r="L46" i="3"/>
  <c r="B43" i="3"/>
  <c r="B41" i="3"/>
  <c r="B42" i="3" s="1"/>
  <c r="F40" i="3"/>
  <c r="F41" i="3" s="1"/>
  <c r="F42" i="3" s="1"/>
  <c r="F43" i="3" s="1"/>
  <c r="B40" i="3"/>
  <c r="L37" i="3"/>
  <c r="M39" i="3" s="1"/>
  <c r="F37" i="3"/>
  <c r="M35" i="3"/>
  <c r="L35" i="3"/>
  <c r="B29" i="3"/>
  <c r="F26" i="3"/>
  <c r="F29" i="3" s="1"/>
  <c r="F30" i="3" s="1"/>
  <c r="F31" i="3" s="1"/>
  <c r="F32" i="3" s="1"/>
  <c r="M24" i="3"/>
  <c r="L24" i="3"/>
  <c r="F19" i="3"/>
  <c r="F20" i="3" s="1"/>
  <c r="F21" i="3" s="1"/>
  <c r="B19" i="3"/>
  <c r="B20" i="3" s="1"/>
  <c r="B18" i="3"/>
  <c r="F15" i="3"/>
  <c r="F18" i="3" s="1"/>
  <c r="M13" i="3"/>
  <c r="L13" i="3"/>
  <c r="B9" i="3"/>
  <c r="B8" i="3"/>
  <c r="B7" i="3"/>
  <c r="F4" i="3"/>
  <c r="F2" i="3"/>
  <c r="B2" i="3"/>
  <c r="M112" i="2"/>
  <c r="L112" i="2"/>
  <c r="F109" i="2"/>
  <c r="B108" i="2"/>
  <c r="F107" i="2"/>
  <c r="F108" i="2" s="1"/>
  <c r="B107" i="2"/>
  <c r="B106" i="2"/>
  <c r="M105" i="2"/>
  <c r="L103" i="2"/>
  <c r="L105" i="2" s="1"/>
  <c r="F103" i="2"/>
  <c r="F106" i="2" s="1"/>
  <c r="M101" i="2"/>
  <c r="L101" i="2"/>
  <c r="F95" i="2"/>
  <c r="F96" i="2" s="1"/>
  <c r="F97" i="2" s="1"/>
  <c r="F98" i="2" s="1"/>
  <c r="B95" i="2"/>
  <c r="M94" i="2"/>
  <c r="L92" i="2"/>
  <c r="L94" i="2" s="1"/>
  <c r="F92" i="2"/>
  <c r="M90" i="2"/>
  <c r="L90" i="2"/>
  <c r="F85" i="2"/>
  <c r="F86" i="2" s="1"/>
  <c r="F87" i="2" s="1"/>
  <c r="B85" i="2"/>
  <c r="B84" i="2"/>
  <c r="M83" i="2"/>
  <c r="L83" i="2"/>
  <c r="L81" i="2"/>
  <c r="F81" i="2"/>
  <c r="F84" i="2" s="1"/>
  <c r="M79" i="2"/>
  <c r="L79" i="2"/>
  <c r="B75" i="2"/>
  <c r="F74" i="2"/>
  <c r="F75" i="2" s="1"/>
  <c r="F76" i="2" s="1"/>
  <c r="B74" i="2"/>
  <c r="B73" i="2"/>
  <c r="L70" i="2"/>
  <c r="L72" i="2" s="1"/>
  <c r="F70" i="2"/>
  <c r="F73" i="2" s="1"/>
  <c r="M68" i="2"/>
  <c r="L68" i="2"/>
  <c r="B64" i="2"/>
  <c r="B63" i="2"/>
  <c r="B62" i="2"/>
  <c r="M61" i="2"/>
  <c r="L59" i="2"/>
  <c r="L61" i="2" s="1"/>
  <c r="F59" i="2"/>
  <c r="F62" i="2" s="1"/>
  <c r="F63" i="2" s="1"/>
  <c r="F64" i="2" s="1"/>
  <c r="F65" i="2" s="1"/>
  <c r="M57" i="2"/>
  <c r="L57" i="2"/>
  <c r="F52" i="2"/>
  <c r="F53" i="2" s="1"/>
  <c r="F54" i="2" s="1"/>
  <c r="F51" i="2"/>
  <c r="B51" i="2"/>
  <c r="L48" i="2"/>
  <c r="L50" i="2" s="1"/>
  <c r="F48" i="2"/>
  <c r="M46" i="2"/>
  <c r="L46" i="2"/>
  <c r="B42" i="2"/>
  <c r="F41" i="2"/>
  <c r="F42" i="2" s="1"/>
  <c r="F43" i="2" s="1"/>
  <c r="B41" i="2"/>
  <c r="B40" i="2"/>
  <c r="L37" i="2"/>
  <c r="F37" i="2"/>
  <c r="F40" i="2" s="1"/>
  <c r="M35" i="2"/>
  <c r="L35" i="2"/>
  <c r="F31" i="2"/>
  <c r="F32" i="2" s="1"/>
  <c r="B29" i="2"/>
  <c r="L26" i="2"/>
  <c r="L28" i="2" s="1"/>
  <c r="F26" i="2"/>
  <c r="F29" i="2" s="1"/>
  <c r="F30" i="2" s="1"/>
  <c r="M24" i="2"/>
  <c r="L24" i="2"/>
  <c r="F21" i="2"/>
  <c r="B19" i="2"/>
  <c r="B18" i="2"/>
  <c r="M17" i="2"/>
  <c r="L15" i="2"/>
  <c r="L17" i="2" s="1"/>
  <c r="F15" i="2"/>
  <c r="F18" i="2" s="1"/>
  <c r="F19" i="2" s="1"/>
  <c r="F20" i="2" s="1"/>
  <c r="M13" i="2"/>
  <c r="L13" i="2"/>
  <c r="F8" i="2"/>
  <c r="F9" i="2" s="1"/>
  <c r="F10" i="2" s="1"/>
  <c r="F7" i="2"/>
  <c r="B7" i="2"/>
  <c r="M6" i="2"/>
  <c r="L4" i="2"/>
  <c r="L6" i="2" s="1"/>
  <c r="F4" i="2"/>
  <c r="F2" i="2"/>
  <c r="M39" i="2" s="1"/>
  <c r="B2" i="2"/>
  <c r="L39" i="2" s="1"/>
  <c r="AO5" i="9"/>
  <c r="AP5" i="10"/>
  <c r="AP5" i="9"/>
  <c r="AN5" i="9"/>
  <c r="AO5" i="7"/>
  <c r="AM5" i="9"/>
  <c r="AN5" i="7"/>
  <c r="AM5" i="7"/>
  <c r="AQ5" i="10"/>
  <c r="AO5" i="10"/>
  <c r="AN5" i="10"/>
  <c r="AM5" i="10"/>
  <c r="AQ5" i="7"/>
  <c r="AP5" i="7"/>
  <c r="AQ5" i="8"/>
  <c r="AP5" i="8"/>
  <c r="AO5" i="8"/>
  <c r="AN5" i="8"/>
  <c r="AM5" i="8"/>
  <c r="AQ5" i="9"/>
  <c r="H18" i="1"/>
  <c r="D14" i="1"/>
  <c r="F9" i="1"/>
  <c r="F18" i="1"/>
  <c r="H13" i="1"/>
  <c r="D9" i="1"/>
  <c r="L51" i="6"/>
  <c r="L95" i="6"/>
  <c r="L73" i="6"/>
  <c r="L29" i="6"/>
  <c r="L7" i="6"/>
  <c r="H17" i="1"/>
  <c r="D13" i="1"/>
  <c r="E17" i="1"/>
  <c r="G12" i="1"/>
  <c r="B17" i="1"/>
  <c r="E12" i="1"/>
  <c r="M73" i="6"/>
  <c r="H52" i="6"/>
  <c r="M106" i="4"/>
  <c r="G14" i="1"/>
  <c r="H62" i="6"/>
  <c r="H7" i="6"/>
  <c r="D62" i="5"/>
  <c r="D107" i="2"/>
  <c r="H63" i="2"/>
  <c r="F14" i="1"/>
  <c r="D52" i="5"/>
  <c r="L106" i="4"/>
  <c r="D7" i="6"/>
  <c r="E14" i="1"/>
  <c r="M84" i="3"/>
  <c r="L40" i="3"/>
  <c r="L41" i="6"/>
  <c r="H51" i="5"/>
  <c r="D106" i="4"/>
  <c r="P106" i="4" s="1"/>
  <c r="M106" i="2"/>
  <c r="M7" i="6"/>
  <c r="M51" i="5"/>
  <c r="H106" i="4"/>
  <c r="P109" i="4" s="1"/>
  <c r="M40" i="3"/>
  <c r="B14" i="1"/>
  <c r="H107" i="6"/>
  <c r="L51" i="5"/>
  <c r="L84" i="3"/>
  <c r="L63" i="6"/>
  <c r="G13" i="1"/>
  <c r="D107" i="6"/>
  <c r="L73" i="2"/>
  <c r="F13" i="1"/>
  <c r="D51" i="5"/>
  <c r="H84" i="3"/>
  <c r="H40" i="3"/>
  <c r="L106" i="2"/>
  <c r="E13" i="1"/>
  <c r="H51" i="6"/>
  <c r="L107" i="6"/>
  <c r="D95" i="5"/>
  <c r="H18" i="2"/>
  <c r="D17" i="1"/>
  <c r="F11" i="1"/>
  <c r="D64" i="6"/>
  <c r="L52" i="6"/>
  <c r="H40" i="6"/>
  <c r="D29" i="6"/>
  <c r="H106" i="3"/>
  <c r="H11" i="1"/>
  <c r="M63" i="6"/>
  <c r="D7" i="5"/>
  <c r="D106" i="3"/>
  <c r="M29" i="6"/>
  <c r="G11" i="1"/>
  <c r="D52" i="6"/>
  <c r="E11" i="1"/>
  <c r="H63" i="6"/>
  <c r="L18" i="4"/>
  <c r="E18" i="1"/>
  <c r="D18" i="1"/>
  <c r="D41" i="4"/>
  <c r="D40" i="6"/>
  <c r="L54" i="5"/>
  <c r="M18" i="4"/>
  <c r="D18" i="5"/>
  <c r="D11" i="1"/>
  <c r="H18" i="4"/>
  <c r="H10" i="1"/>
  <c r="G10" i="1"/>
  <c r="L43" i="3"/>
  <c r="D63" i="6"/>
  <c r="D51" i="6"/>
  <c r="M52" i="5"/>
  <c r="G18" i="1"/>
  <c r="B11" i="1"/>
  <c r="H85" i="6"/>
  <c r="M51" i="6"/>
  <c r="M63" i="5"/>
  <c r="L52" i="5"/>
  <c r="M62" i="6"/>
  <c r="H52" i="5"/>
  <c r="M84" i="6"/>
  <c r="L62" i="6"/>
  <c r="M62" i="5"/>
  <c r="G17" i="1"/>
  <c r="E10" i="1"/>
  <c r="L84" i="6"/>
  <c r="L62" i="5"/>
  <c r="M19" i="3"/>
  <c r="F17" i="1"/>
  <c r="D10" i="1"/>
  <c r="D84" i="6"/>
  <c r="P84" i="6" s="1"/>
  <c r="M86" i="3"/>
  <c r="D19" i="3"/>
  <c r="M107" i="2"/>
  <c r="D16" i="1"/>
  <c r="B9" i="1"/>
  <c r="M95" i="5"/>
  <c r="D108" i="3"/>
  <c r="H63" i="3"/>
  <c r="M41" i="3"/>
  <c r="L107" i="2"/>
  <c r="H85" i="2"/>
  <c r="M63" i="2"/>
  <c r="B16" i="1"/>
  <c r="L106" i="6"/>
  <c r="H95" i="6"/>
  <c r="M30" i="6"/>
  <c r="H95" i="5"/>
  <c r="D63" i="3"/>
  <c r="H107" i="2"/>
  <c r="D63" i="2"/>
  <c r="M41" i="2"/>
  <c r="G15" i="1"/>
  <c r="L107" i="3"/>
  <c r="M85" i="3"/>
  <c r="H41" i="3"/>
  <c r="M18" i="3"/>
  <c r="M84" i="2"/>
  <c r="F15" i="1"/>
  <c r="M62" i="2"/>
  <c r="E15" i="1"/>
  <c r="D95" i="6"/>
  <c r="L30" i="6"/>
  <c r="H106" i="6"/>
  <c r="M95" i="6"/>
  <c r="L85" i="3"/>
  <c r="L18" i="3"/>
  <c r="L84" i="2"/>
  <c r="D30" i="6"/>
  <c r="D54" i="5"/>
  <c r="L62" i="3"/>
  <c r="H106" i="2"/>
  <c r="D84" i="2"/>
  <c r="P84" i="2" s="1"/>
  <c r="H62" i="2"/>
  <c r="H14" i="1"/>
  <c r="D18" i="2"/>
  <c r="H41" i="6"/>
  <c r="M19" i="5"/>
  <c r="H107" i="4"/>
  <c r="D85" i="3"/>
  <c r="D18" i="3"/>
  <c r="D106" i="2"/>
  <c r="D62" i="2"/>
  <c r="H40" i="2"/>
  <c r="B13" i="1"/>
  <c r="M64" i="6"/>
  <c r="L40" i="6"/>
  <c r="M18" i="5"/>
  <c r="L106" i="3"/>
  <c r="P109" i="3" s="1"/>
  <c r="D62" i="3"/>
  <c r="P62" i="3" s="1"/>
  <c r="D12" i="1"/>
  <c r="M52" i="6"/>
  <c r="H29" i="6"/>
  <c r="L18" i="5"/>
  <c r="M7" i="5"/>
  <c r="D84" i="3"/>
  <c r="H53" i="5"/>
  <c r="H96" i="6"/>
  <c r="L73" i="4"/>
  <c r="L51" i="4"/>
  <c r="B12" i="1"/>
  <c r="H73" i="6"/>
  <c r="D9" i="3"/>
  <c r="H84" i="5"/>
  <c r="M54" i="5"/>
  <c r="H12" i="1"/>
  <c r="F10" i="1"/>
  <c r="D96" i="6"/>
  <c r="H9" i="1"/>
  <c r="H84" i="2"/>
  <c r="P87" i="2" s="1"/>
  <c r="B10" i="1"/>
  <c r="G9" i="1"/>
  <c r="L107" i="4"/>
  <c r="L87" i="3"/>
  <c r="L62" i="2"/>
  <c r="M63" i="3"/>
  <c r="L40" i="2"/>
  <c r="D73" i="6"/>
  <c r="H19" i="5"/>
  <c r="D86" i="3"/>
  <c r="H75" i="2"/>
  <c r="L63" i="2"/>
  <c r="E9" i="1"/>
  <c r="H62" i="5"/>
  <c r="M40" i="6"/>
  <c r="D41" i="2"/>
  <c r="L85" i="2"/>
  <c r="H18" i="5"/>
  <c r="D107" i="4"/>
  <c r="H107" i="3"/>
  <c r="L41" i="2"/>
  <c r="D107" i="3"/>
  <c r="M62" i="4"/>
  <c r="L63" i="3"/>
  <c r="L62" i="4"/>
  <c r="D18" i="4"/>
  <c r="M106" i="3"/>
  <c r="P106" i="3" s="1"/>
  <c r="H85" i="3"/>
  <c r="M40" i="4"/>
  <c r="M42" i="3"/>
  <c r="H95" i="2"/>
  <c r="M40" i="2"/>
  <c r="H84" i="6"/>
  <c r="P87" i="6" s="1"/>
  <c r="H54" i="5"/>
  <c r="D62" i="4"/>
  <c r="P62" i="4" s="1"/>
  <c r="L40" i="4"/>
  <c r="D42" i="3"/>
  <c r="L19" i="3"/>
  <c r="D40" i="2"/>
  <c r="M106" i="6"/>
  <c r="H96" i="5"/>
  <c r="M53" i="5"/>
  <c r="H62" i="4"/>
  <c r="P65" i="4" s="1"/>
  <c r="M62" i="3"/>
  <c r="L41" i="3"/>
  <c r="D19" i="2"/>
  <c r="B18" i="1"/>
  <c r="L53" i="5"/>
  <c r="H62" i="3"/>
  <c r="P65" i="3" s="1"/>
  <c r="D41" i="3"/>
  <c r="H19" i="3"/>
  <c r="H16" i="1"/>
  <c r="D106" i="6"/>
  <c r="G16" i="1"/>
  <c r="L95" i="5"/>
  <c r="L18" i="2"/>
  <c r="E16" i="1"/>
  <c r="D40" i="3"/>
  <c r="H15" i="1"/>
  <c r="D53" i="6"/>
  <c r="H18" i="3"/>
  <c r="D15" i="1"/>
  <c r="H75" i="6"/>
  <c r="H30" i="6"/>
  <c r="M18" i="2"/>
  <c r="F16" i="1"/>
  <c r="H7" i="5"/>
  <c r="M85" i="2"/>
  <c r="H51" i="2"/>
  <c r="B15" i="1"/>
  <c r="L75" i="6"/>
  <c r="M96" i="3"/>
  <c r="F12" i="1"/>
  <c r="H7" i="2"/>
  <c r="D52" i="3"/>
  <c r="M64" i="2"/>
  <c r="L84" i="4"/>
  <c r="H73" i="5"/>
  <c r="D106" i="5"/>
  <c r="L65" i="6"/>
  <c r="D108" i="2"/>
  <c r="L42" i="2"/>
  <c r="P54" i="5"/>
  <c r="P51" i="5"/>
  <c r="P54" i="6"/>
  <c r="P51" i="6"/>
  <c r="P62" i="5"/>
  <c r="P65" i="5"/>
  <c r="P98" i="6"/>
  <c r="P95" i="6"/>
  <c r="P109" i="2"/>
  <c r="P106" i="2"/>
  <c r="P87" i="3"/>
  <c r="P84" i="3"/>
  <c r="P62" i="2"/>
  <c r="P65" i="2"/>
  <c r="P76" i="6"/>
  <c r="P73" i="6"/>
  <c r="P109" i="6"/>
  <c r="P106" i="6"/>
  <c r="P95" i="5"/>
  <c r="P98" i="5"/>
  <c r="J111" i="5" l="1"/>
  <c r="J112" i="5"/>
  <c r="N85" i="2"/>
  <c r="J7" i="5"/>
  <c r="N18" i="2"/>
  <c r="J30" i="6"/>
  <c r="J18" i="3"/>
  <c r="J112" i="6"/>
  <c r="J111" i="6"/>
  <c r="J19" i="3"/>
  <c r="J62" i="3"/>
  <c r="N62" i="3"/>
  <c r="J62" i="4"/>
  <c r="N53" i="5"/>
  <c r="N106" i="6"/>
  <c r="J67" i="4"/>
  <c r="J68" i="4"/>
  <c r="J54" i="5"/>
  <c r="J84" i="6"/>
  <c r="N40" i="2"/>
  <c r="N40" i="4"/>
  <c r="J85" i="3"/>
  <c r="N106" i="3"/>
  <c r="N62" i="4"/>
  <c r="J107" i="3"/>
  <c r="J18" i="5"/>
  <c r="N40" i="6"/>
  <c r="J62" i="5"/>
  <c r="J78" i="6"/>
  <c r="J79" i="6"/>
  <c r="N63" i="3"/>
  <c r="J84" i="2"/>
  <c r="F19" i="1"/>
  <c r="N54" i="5"/>
  <c r="J73" i="6"/>
  <c r="J96" i="6"/>
  <c r="J89" i="3"/>
  <c r="J90" i="3"/>
  <c r="J29" i="6"/>
  <c r="N52" i="6"/>
  <c r="J67" i="3"/>
  <c r="J68" i="3"/>
  <c r="N18" i="5"/>
  <c r="J40" i="2"/>
  <c r="J68" i="2"/>
  <c r="J67" i="2"/>
  <c r="J111" i="2"/>
  <c r="J112" i="2"/>
  <c r="J107" i="4"/>
  <c r="J62" i="2"/>
  <c r="J90" i="2"/>
  <c r="J89" i="2"/>
  <c r="J106" i="2"/>
  <c r="N95" i="6"/>
  <c r="J106" i="6"/>
  <c r="J100" i="6"/>
  <c r="J101" i="6"/>
  <c r="N62" i="2"/>
  <c r="N84" i="2"/>
  <c r="N18" i="3"/>
  <c r="J41" i="3"/>
  <c r="N85" i="3"/>
  <c r="N41" i="2"/>
  <c r="J107" i="2"/>
  <c r="J95" i="5"/>
  <c r="N30" i="6"/>
  <c r="J95" i="6"/>
  <c r="N63" i="2"/>
  <c r="N41" i="3"/>
  <c r="J63" i="3"/>
  <c r="N95" i="5"/>
  <c r="N107" i="2"/>
  <c r="J89" i="6"/>
  <c r="J90" i="6"/>
  <c r="D19" i="1"/>
  <c r="N19" i="3"/>
  <c r="E19" i="1"/>
  <c r="N62" i="5"/>
  <c r="N84" i="6"/>
  <c r="J52" i="5"/>
  <c r="N62" i="6"/>
  <c r="N51" i="6"/>
  <c r="N52" i="5"/>
  <c r="J56" i="6"/>
  <c r="J57" i="6"/>
  <c r="G19" i="1"/>
  <c r="H19" i="1"/>
  <c r="J18" i="4"/>
  <c r="N18" i="4"/>
  <c r="J63" i="6"/>
  <c r="N29" i="6"/>
  <c r="J112" i="3"/>
  <c r="J111" i="3"/>
  <c r="N63" i="6"/>
  <c r="J106" i="3"/>
  <c r="J40" i="6"/>
  <c r="J18" i="2"/>
  <c r="J101" i="5"/>
  <c r="J100" i="5"/>
  <c r="J51" i="6"/>
  <c r="J40" i="3"/>
  <c r="J84" i="3"/>
  <c r="J57" i="5"/>
  <c r="J56" i="5"/>
  <c r="J107" i="6"/>
  <c r="N40" i="3"/>
  <c r="J106" i="4"/>
  <c r="N51" i="5"/>
  <c r="N7" i="6"/>
  <c r="N106" i="2"/>
  <c r="J112" i="4"/>
  <c r="J111" i="4"/>
  <c r="J51" i="5"/>
  <c r="N84" i="3"/>
  <c r="J63" i="2"/>
  <c r="J68" i="5"/>
  <c r="J67" i="5"/>
  <c r="J7" i="6"/>
  <c r="N106" i="4"/>
  <c r="J52" i="6"/>
  <c r="N73" i="6"/>
  <c r="B20" i="6"/>
  <c r="B10" i="6"/>
  <c r="B52" i="2"/>
  <c r="L48" i="5"/>
  <c r="L50" i="5" s="1"/>
  <c r="B54" i="6"/>
  <c r="B9" i="5"/>
  <c r="F73" i="5"/>
  <c r="F74" i="5" s="1"/>
  <c r="F75" i="5" s="1"/>
  <c r="F76" i="5" s="1"/>
  <c r="L70" i="5"/>
  <c r="L72" i="5" s="1"/>
  <c r="B109" i="2"/>
  <c r="B74" i="5"/>
  <c r="L105" i="6"/>
  <c r="B76" i="2"/>
  <c r="B96" i="2"/>
  <c r="L4" i="3"/>
  <c r="M6" i="3" s="1"/>
  <c r="F7" i="3"/>
  <c r="F8" i="3" s="1"/>
  <c r="F9" i="3" s="1"/>
  <c r="F10" i="3" s="1"/>
  <c r="M39" i="5"/>
  <c r="B85" i="5"/>
  <c r="B107" i="5"/>
  <c r="B41" i="5"/>
  <c r="M28" i="2"/>
  <c r="B30" i="2"/>
  <c r="B10" i="3"/>
  <c r="F95" i="6"/>
  <c r="F96" i="6" s="1"/>
  <c r="F97" i="6" s="1"/>
  <c r="F98" i="6" s="1"/>
  <c r="L92" i="6"/>
  <c r="L94" i="6" s="1"/>
  <c r="B85" i="4"/>
  <c r="B53" i="3"/>
  <c r="B43" i="2"/>
  <c r="B75" i="3"/>
  <c r="L26" i="4"/>
  <c r="L28" i="4" s="1"/>
  <c r="B8" i="2"/>
  <c r="M105" i="5"/>
  <c r="L105" i="5"/>
  <c r="B65" i="2"/>
  <c r="M50" i="2"/>
  <c r="B97" i="3"/>
  <c r="B96" i="4"/>
  <c r="L105" i="3"/>
  <c r="L83" i="3"/>
  <c r="L61" i="3"/>
  <c r="L39" i="3"/>
  <c r="L94" i="3"/>
  <c r="L50" i="3"/>
  <c r="L6" i="3"/>
  <c r="L15" i="3"/>
  <c r="M17" i="3" s="1"/>
  <c r="L26" i="3"/>
  <c r="M94" i="4"/>
  <c r="B108" i="4"/>
  <c r="L61" i="6"/>
  <c r="B32" i="6"/>
  <c r="B109" i="3"/>
  <c r="M72" i="4"/>
  <c r="B30" i="3"/>
  <c r="M61" i="4"/>
  <c r="B74" i="4"/>
  <c r="B20" i="5"/>
  <c r="B20" i="2"/>
  <c r="M50" i="4"/>
  <c r="B52" i="4"/>
  <c r="B97" i="5"/>
  <c r="B97" i="6"/>
  <c r="AB651" i="7"/>
  <c r="Z654" i="7"/>
  <c r="P10" i="8"/>
  <c r="M17" i="4"/>
  <c r="B86" i="2"/>
  <c r="L105" i="4"/>
  <c r="L83" i="4"/>
  <c r="L61" i="4"/>
  <c r="L39" i="4"/>
  <c r="L17" i="4"/>
  <c r="L50" i="4"/>
  <c r="B42" i="4"/>
  <c r="B64" i="4"/>
  <c r="AI10" i="7"/>
  <c r="B30" i="4"/>
  <c r="L4" i="4"/>
  <c r="M6" i="4" s="1"/>
  <c r="L39" i="6"/>
  <c r="L6" i="4"/>
  <c r="AA652" i="7"/>
  <c r="B87" i="6"/>
  <c r="F51" i="6"/>
  <c r="F52" i="6" s="1"/>
  <c r="F53" i="6" s="1"/>
  <c r="F54" i="6" s="1"/>
  <c r="L48" i="6"/>
  <c r="M50" i="6" s="1"/>
  <c r="B76" i="6"/>
  <c r="L17" i="5"/>
  <c r="L37" i="6"/>
  <c r="M39" i="6" s="1"/>
  <c r="M105" i="4"/>
  <c r="F29" i="6"/>
  <c r="F30" i="6" s="1"/>
  <c r="F31" i="6" s="1"/>
  <c r="F32" i="6" s="1"/>
  <c r="L26" i="6"/>
  <c r="M28" i="6" s="1"/>
  <c r="B8" i="4"/>
  <c r="F106" i="3"/>
  <c r="F107" i="3" s="1"/>
  <c r="F108" i="3" s="1"/>
  <c r="F109" i="3" s="1"/>
  <c r="B30" i="5"/>
  <c r="L72" i="3"/>
  <c r="B64" i="5"/>
  <c r="P10" i="9"/>
  <c r="F652" i="8"/>
  <c r="AA654" i="8"/>
  <c r="Q10" i="9"/>
  <c r="AI10" i="8"/>
  <c r="M72" i="2"/>
  <c r="AH10" i="9"/>
  <c r="F7" i="6"/>
  <c r="F8" i="6" s="1"/>
  <c r="F9" i="6" s="1"/>
  <c r="F10" i="6" s="1"/>
  <c r="L4" i="6"/>
  <c r="L6" i="6" s="1"/>
  <c r="L61" i="5"/>
  <c r="B20" i="4"/>
  <c r="B21" i="3"/>
  <c r="B65" i="3"/>
  <c r="M94" i="5"/>
  <c r="M72" i="5"/>
  <c r="M50" i="5"/>
  <c r="M28" i="5"/>
  <c r="F73" i="6"/>
  <c r="F74" i="6" s="1"/>
  <c r="F75" i="6" s="1"/>
  <c r="F76" i="6" s="1"/>
  <c r="L70" i="6"/>
  <c r="L72" i="6" s="1"/>
  <c r="B108" i="6"/>
  <c r="B42" i="6"/>
  <c r="L4" i="5"/>
  <c r="L6" i="5" s="1"/>
  <c r="H108" i="2"/>
  <c r="H87" i="3"/>
  <c r="H84" i="4"/>
  <c r="M107" i="4"/>
  <c r="L63" i="4"/>
  <c r="L7" i="4"/>
  <c r="L96" i="3"/>
  <c r="D63" i="5"/>
  <c r="D74" i="2"/>
  <c r="H96" i="3"/>
  <c r="L51" i="2"/>
  <c r="H40" i="5"/>
  <c r="D96" i="3"/>
  <c r="D8" i="3"/>
  <c r="L63" i="5"/>
  <c r="L40" i="5"/>
  <c r="L31" i="6"/>
  <c r="L64" i="6"/>
  <c r="D40" i="5"/>
  <c r="H31" i="6"/>
  <c r="H95" i="3"/>
  <c r="D51" i="2"/>
  <c r="H64" i="2"/>
  <c r="H41" i="2"/>
  <c r="M20" i="3"/>
  <c r="M29" i="3"/>
  <c r="D40" i="4"/>
  <c r="L29" i="3"/>
  <c r="M53" i="6"/>
  <c r="H29" i="3"/>
  <c r="H53" i="6"/>
  <c r="D29" i="3"/>
  <c r="D8" i="5"/>
  <c r="H42" i="3"/>
  <c r="L8" i="6"/>
  <c r="D29" i="4"/>
  <c r="H18" i="6"/>
  <c r="H19" i="4"/>
  <c r="D84" i="5"/>
  <c r="H40" i="4"/>
  <c r="H73" i="3"/>
  <c r="M19" i="6"/>
  <c r="L64" i="2"/>
  <c r="H9" i="6"/>
  <c r="L73" i="5"/>
  <c r="D87" i="3"/>
  <c r="D65" i="6"/>
  <c r="D74" i="3"/>
  <c r="H29" i="5"/>
  <c r="L74" i="6"/>
  <c r="M41" i="6"/>
  <c r="M9" i="6"/>
  <c r="L74" i="2"/>
  <c r="M87" i="3"/>
  <c r="M65" i="6"/>
  <c r="M19" i="2"/>
  <c r="L9" i="6"/>
  <c r="H65" i="6"/>
  <c r="L19" i="2"/>
  <c r="H74" i="6"/>
  <c r="M95" i="3"/>
  <c r="L8" i="5"/>
  <c r="M73" i="5"/>
  <c r="H95" i="4"/>
  <c r="M7" i="3"/>
  <c r="M8" i="5"/>
  <c r="M8" i="3"/>
  <c r="H7" i="3"/>
  <c r="D75" i="2"/>
  <c r="M42" i="2"/>
  <c r="M51" i="3"/>
  <c r="L95" i="2"/>
  <c r="M63" i="4"/>
  <c r="D42" i="2"/>
  <c r="H51" i="3"/>
  <c r="M8" i="6"/>
  <c r="H20" i="3"/>
  <c r="M9" i="3"/>
  <c r="L19" i="5"/>
  <c r="L64" i="3"/>
  <c r="L9" i="3"/>
  <c r="D8" i="6"/>
  <c r="M43" i="3"/>
  <c r="H86" i="3"/>
  <c r="M73" i="3"/>
  <c r="D95" i="3"/>
  <c r="H41" i="4"/>
  <c r="M108" i="2"/>
  <c r="M106" i="5"/>
  <c r="L29" i="5"/>
  <c r="L95" i="3"/>
  <c r="M51" i="2"/>
  <c r="M95" i="4"/>
  <c r="H64" i="6"/>
  <c r="L41" i="4"/>
  <c r="D95" i="4"/>
  <c r="D85" i="2"/>
  <c r="H63" i="5"/>
  <c r="L7" i="3"/>
  <c r="L95" i="4"/>
  <c r="M41" i="4"/>
  <c r="L84" i="5"/>
  <c r="P87" i="5" s="1"/>
  <c r="D86" i="6"/>
  <c r="H42" i="2"/>
  <c r="D63" i="4"/>
  <c r="D41" i="6"/>
  <c r="D51" i="3"/>
  <c r="L7" i="2"/>
  <c r="M96" i="5"/>
  <c r="L86" i="3"/>
  <c r="M84" i="5"/>
  <c r="P84" i="5" s="1"/>
  <c r="M7" i="2"/>
  <c r="L73" i="3"/>
  <c r="L19" i="4"/>
  <c r="D29" i="5"/>
  <c r="M73" i="4"/>
  <c r="D84" i="4"/>
  <c r="H43" i="3"/>
  <c r="D20" i="3"/>
  <c r="L53" i="6"/>
  <c r="D9" i="6"/>
  <c r="M74" i="2"/>
  <c r="M40" i="5"/>
  <c r="L52" i="3"/>
  <c r="H19" i="2"/>
  <c r="M85" i="6"/>
  <c r="D53" i="5"/>
  <c r="H74" i="2"/>
  <c r="H52" i="3"/>
  <c r="M31" i="6"/>
  <c r="M107" i="3"/>
  <c r="M52" i="3"/>
  <c r="D18" i="6"/>
  <c r="D31" i="6"/>
  <c r="M74" i="6"/>
  <c r="L18" i="6"/>
  <c r="L86" i="6"/>
  <c r="H86" i="6"/>
  <c r="D75" i="6"/>
  <c r="D62" i="6"/>
  <c r="L29" i="2"/>
  <c r="M51" i="4"/>
  <c r="L51" i="3"/>
  <c r="H29" i="2"/>
  <c r="H51" i="4"/>
  <c r="L7" i="5"/>
  <c r="H29" i="4"/>
  <c r="H73" i="2"/>
  <c r="H8" i="6"/>
  <c r="L8" i="3"/>
  <c r="H8" i="3"/>
  <c r="L108" i="2"/>
  <c r="D7" i="2"/>
  <c r="D73" i="5"/>
  <c r="D73" i="3"/>
  <c r="D19" i="6"/>
  <c r="H106" i="5"/>
  <c r="D73" i="4"/>
  <c r="P73" i="4" s="1"/>
  <c r="D64" i="3"/>
  <c r="M107" i="6"/>
  <c r="D74" i="6"/>
  <c r="L29" i="4"/>
  <c r="M18" i="6"/>
  <c r="M29" i="5"/>
  <c r="H19" i="6"/>
  <c r="H7" i="4"/>
  <c r="D43" i="3"/>
  <c r="D95" i="2"/>
  <c r="D64" i="2"/>
  <c r="L108" i="3"/>
  <c r="D51" i="4"/>
  <c r="L96" i="6"/>
  <c r="M19" i="4"/>
  <c r="H8" i="5"/>
  <c r="L75" i="2"/>
  <c r="M29" i="2"/>
  <c r="L74" i="3"/>
  <c r="H108" i="3"/>
  <c r="L85" i="6"/>
  <c r="M75" i="6"/>
  <c r="M86" i="6"/>
  <c r="D73" i="2"/>
  <c r="M73" i="2"/>
  <c r="M95" i="2"/>
  <c r="D29" i="2"/>
  <c r="H74" i="3"/>
  <c r="M108" i="3"/>
  <c r="D85" i="6"/>
  <c r="H63" i="4"/>
  <c r="M64" i="3"/>
  <c r="D7" i="3"/>
  <c r="M75" i="2"/>
  <c r="H9" i="3"/>
  <c r="M74" i="3"/>
  <c r="D19" i="5"/>
  <c r="D96" i="5"/>
  <c r="M29" i="4"/>
  <c r="L20" i="3"/>
  <c r="D19" i="4"/>
  <c r="L42" i="3"/>
  <c r="L96" i="5"/>
  <c r="H64" i="3"/>
  <c r="M96" i="6"/>
  <c r="L19" i="6"/>
  <c r="H73" i="4"/>
  <c r="P76" i="4" s="1"/>
  <c r="M84" i="4"/>
  <c r="D7" i="4"/>
  <c r="M7" i="4"/>
  <c r="L106" i="5"/>
  <c r="P54" i="2"/>
  <c r="P51" i="2"/>
  <c r="P95" i="3"/>
  <c r="P98" i="3"/>
  <c r="P95" i="4"/>
  <c r="P98" i="4"/>
  <c r="P87" i="4"/>
  <c r="P84" i="4"/>
  <c r="P65" i="6"/>
  <c r="P62" i="6"/>
  <c r="P51" i="3"/>
  <c r="P54" i="3"/>
  <c r="P76" i="5"/>
  <c r="P73" i="5"/>
  <c r="P76" i="3"/>
  <c r="P73" i="3"/>
  <c r="P98" i="2"/>
  <c r="P95" i="2"/>
  <c r="P54" i="4"/>
  <c r="P51" i="4"/>
  <c r="P76" i="2"/>
  <c r="P73" i="2"/>
  <c r="P40" i="3"/>
  <c r="P43" i="3"/>
  <c r="P106" i="5"/>
  <c r="P109" i="5"/>
  <c r="N7" i="4" l="1"/>
  <c r="N84" i="4"/>
  <c r="J73" i="4"/>
  <c r="N96" i="6"/>
  <c r="J64" i="3"/>
  <c r="N42" i="3"/>
  <c r="N29" i="4"/>
  <c r="J96" i="5"/>
  <c r="J19" i="5"/>
  <c r="N74" i="3"/>
  <c r="J9" i="3"/>
  <c r="N75" i="2"/>
  <c r="N64" i="3"/>
  <c r="J63" i="4"/>
  <c r="J85" i="6"/>
  <c r="N108" i="3"/>
  <c r="J74" i="3"/>
  <c r="N95" i="2"/>
  <c r="N73" i="2"/>
  <c r="J79" i="2"/>
  <c r="J78" i="2"/>
  <c r="N86" i="6"/>
  <c r="N75" i="6"/>
  <c r="J108" i="3"/>
  <c r="N29" i="2"/>
  <c r="J8" i="5"/>
  <c r="N19" i="4"/>
  <c r="J56" i="4"/>
  <c r="J57" i="4"/>
  <c r="J101" i="2"/>
  <c r="J100" i="2"/>
  <c r="J95" i="2"/>
  <c r="J46" i="3"/>
  <c r="J45" i="3"/>
  <c r="J7" i="4"/>
  <c r="J19" i="6"/>
  <c r="N29" i="5"/>
  <c r="N18" i="6"/>
  <c r="N107" i="6"/>
  <c r="J78" i="4"/>
  <c r="J79" i="4"/>
  <c r="J106" i="5"/>
  <c r="J78" i="3"/>
  <c r="J79" i="3"/>
  <c r="J79" i="5"/>
  <c r="J78" i="5"/>
  <c r="J73" i="5"/>
  <c r="J7" i="2"/>
  <c r="J8" i="3"/>
  <c r="J8" i="6"/>
  <c r="J73" i="2"/>
  <c r="J29" i="4"/>
  <c r="N7" i="5"/>
  <c r="J51" i="4"/>
  <c r="J29" i="2"/>
  <c r="N51" i="4"/>
  <c r="J68" i="6"/>
  <c r="J67" i="6"/>
  <c r="J62" i="6"/>
  <c r="J75" i="6"/>
  <c r="J86" i="6"/>
  <c r="N74" i="6"/>
  <c r="N52" i="3"/>
  <c r="N107" i="3"/>
  <c r="N31" i="6"/>
  <c r="J52" i="3"/>
  <c r="J74" i="2"/>
  <c r="J53" i="5"/>
  <c r="N85" i="6"/>
  <c r="J19" i="2"/>
  <c r="N40" i="5"/>
  <c r="N74" i="2"/>
  <c r="J43" i="3"/>
  <c r="J90" i="4"/>
  <c r="J89" i="4"/>
  <c r="N73" i="4"/>
  <c r="N7" i="2"/>
  <c r="N84" i="5"/>
  <c r="N86" i="3"/>
  <c r="N96" i="5"/>
  <c r="J56" i="3"/>
  <c r="J57" i="3"/>
  <c r="J41" i="6"/>
  <c r="J42" i="2"/>
  <c r="N41" i="4"/>
  <c r="J63" i="5"/>
  <c r="J85" i="2"/>
  <c r="J100" i="4"/>
  <c r="J101" i="4"/>
  <c r="J64" i="6"/>
  <c r="N95" i="4"/>
  <c r="N51" i="2"/>
  <c r="N106" i="5"/>
  <c r="N108" i="2"/>
  <c r="J41" i="4"/>
  <c r="J100" i="3"/>
  <c r="J101" i="3"/>
  <c r="N73" i="3"/>
  <c r="J86" i="3"/>
  <c r="N43" i="3"/>
  <c r="N19" i="5"/>
  <c r="N9" i="3"/>
  <c r="J20" i="3"/>
  <c r="N8" i="6"/>
  <c r="J51" i="3"/>
  <c r="N63" i="4"/>
  <c r="N51" i="3"/>
  <c r="N42" i="2"/>
  <c r="J75" i="2"/>
  <c r="J7" i="3"/>
  <c r="N8" i="3"/>
  <c r="N8" i="5"/>
  <c r="N7" i="3"/>
  <c r="J95" i="4"/>
  <c r="N73" i="5"/>
  <c r="N95" i="3"/>
  <c r="J74" i="6"/>
  <c r="J65" i="6"/>
  <c r="N19" i="2"/>
  <c r="N65" i="6"/>
  <c r="N87" i="3"/>
  <c r="N9" i="6"/>
  <c r="N41" i="6"/>
  <c r="J29" i="5"/>
  <c r="J9" i="6"/>
  <c r="N64" i="2"/>
  <c r="N19" i="6"/>
  <c r="J73" i="3"/>
  <c r="J40" i="4"/>
  <c r="J90" i="5"/>
  <c r="J89" i="5"/>
  <c r="J84" i="5"/>
  <c r="J19" i="4"/>
  <c r="J18" i="6"/>
  <c r="J42" i="3"/>
  <c r="J53" i="6"/>
  <c r="J29" i="3"/>
  <c r="N53" i="6"/>
  <c r="N29" i="3"/>
  <c r="N20" i="3"/>
  <c r="J41" i="2"/>
  <c r="J64" i="2"/>
  <c r="J57" i="2"/>
  <c r="J56" i="2"/>
  <c r="J51" i="2"/>
  <c r="J95" i="3"/>
  <c r="J31" i="6"/>
  <c r="N64" i="6"/>
  <c r="N63" i="5"/>
  <c r="J40" i="5"/>
  <c r="J96" i="3"/>
  <c r="N96" i="3"/>
  <c r="N107" i="4"/>
  <c r="J84" i="4"/>
  <c r="J87" i="3"/>
  <c r="J108" i="2"/>
  <c r="B86" i="4"/>
  <c r="B31" i="4"/>
  <c r="L17" i="3"/>
  <c r="B43" i="6"/>
  <c r="B65" i="5"/>
  <c r="B31" i="2"/>
  <c r="B10" i="5"/>
  <c r="B75" i="5"/>
  <c r="B21" i="6"/>
  <c r="B9" i="4"/>
  <c r="B31" i="3"/>
  <c r="B97" i="2"/>
  <c r="B54" i="3"/>
  <c r="B53" i="2"/>
  <c r="M6" i="6"/>
  <c r="B98" i="3"/>
  <c r="B109" i="4"/>
  <c r="B75" i="4"/>
  <c r="B108" i="5"/>
  <c r="B86" i="5"/>
  <c r="B98" i="6"/>
  <c r="B65" i="4"/>
  <c r="L50" i="6"/>
  <c r="B97" i="4"/>
  <c r="L28" i="3"/>
  <c r="M28" i="3"/>
  <c r="B9" i="2"/>
  <c r="B98" i="5"/>
  <c r="B76" i="3"/>
  <c r="B53" i="4"/>
  <c r="B43" i="4"/>
  <c r="M28" i="4"/>
  <c r="B31" i="5"/>
  <c r="M72" i="6"/>
  <c r="B87" i="2"/>
  <c r="B21" i="2"/>
  <c r="B21" i="4"/>
  <c r="L28" i="6"/>
  <c r="B109" i="6"/>
  <c r="B42" i="5"/>
  <c r="M6" i="5"/>
  <c r="M94" i="6"/>
  <c r="B21" i="5"/>
  <c r="D85" i="4"/>
  <c r="D9" i="5"/>
  <c r="D65" i="3"/>
  <c r="L53" i="3"/>
  <c r="L65" i="2"/>
  <c r="D42" i="4"/>
  <c r="D87" i="6"/>
  <c r="H30" i="4"/>
  <c r="M9" i="5"/>
  <c r="L52" i="2"/>
  <c r="L107" i="5"/>
  <c r="H9" i="5"/>
  <c r="D52" i="2"/>
  <c r="M65" i="2"/>
  <c r="H76" i="2"/>
  <c r="D42" i="6"/>
  <c r="H8" i="2"/>
  <c r="L97" i="6"/>
  <c r="H109" i="3"/>
  <c r="D97" i="5"/>
  <c r="L64" i="5"/>
  <c r="D97" i="3"/>
  <c r="D41" i="5"/>
  <c r="M20" i="4"/>
  <c r="D109" i="2"/>
  <c r="M20" i="5"/>
  <c r="M42" i="4"/>
  <c r="M65" i="3"/>
  <c r="H65" i="2"/>
  <c r="D30" i="4"/>
  <c r="L65" i="3"/>
  <c r="H107" i="5"/>
  <c r="L42" i="4"/>
  <c r="M97" i="3"/>
  <c r="M41" i="5"/>
  <c r="L97" i="3"/>
  <c r="H41" i="5"/>
  <c r="M109" i="3"/>
  <c r="H86" i="2"/>
  <c r="D76" i="6"/>
  <c r="M75" i="3"/>
  <c r="H43" i="2"/>
  <c r="M43" i="2"/>
  <c r="D52" i="4"/>
  <c r="H20" i="5"/>
  <c r="D43" i="2"/>
  <c r="M74" i="4"/>
  <c r="M85" i="4"/>
  <c r="M30" i="3"/>
  <c r="M87" i="6"/>
  <c r="L85" i="4"/>
  <c r="D53" i="3"/>
  <c r="L87" i="6"/>
  <c r="L9" i="5"/>
  <c r="L30" i="4"/>
  <c r="D74" i="5"/>
  <c r="H21" i="3"/>
  <c r="H52" i="2"/>
  <c r="M85" i="5"/>
  <c r="D65" i="2"/>
  <c r="M76" i="2"/>
  <c r="M52" i="2"/>
  <c r="L85" i="5"/>
  <c r="M30" i="5"/>
  <c r="L74" i="5"/>
  <c r="L32" i="6"/>
  <c r="D8" i="2"/>
  <c r="H108" i="6"/>
  <c r="L20" i="6"/>
  <c r="H32" i="6"/>
  <c r="M8" i="2"/>
  <c r="H10" i="3"/>
  <c r="M97" i="6"/>
  <c r="D10" i="3"/>
  <c r="M20" i="6"/>
  <c r="D109" i="3"/>
  <c r="D97" i="6"/>
  <c r="H8" i="4"/>
  <c r="M97" i="5"/>
  <c r="M54" i="6"/>
  <c r="D54" i="6"/>
  <c r="H30" i="3"/>
  <c r="M30" i="2"/>
  <c r="L20" i="4"/>
  <c r="M96" i="4"/>
  <c r="M74" i="5"/>
  <c r="D21" i="3"/>
  <c r="D30" i="5"/>
  <c r="L76" i="2"/>
  <c r="M30" i="4"/>
  <c r="L21" i="3"/>
  <c r="D85" i="5"/>
  <c r="D76" i="2"/>
  <c r="H74" i="5"/>
  <c r="M21" i="3"/>
  <c r="L8" i="2"/>
  <c r="L108" i="6"/>
  <c r="L42" i="6"/>
  <c r="M10" i="3"/>
  <c r="H85" i="5"/>
  <c r="H30" i="5"/>
  <c r="H42" i="6"/>
  <c r="L10" i="3"/>
  <c r="L30" i="5"/>
  <c r="H20" i="6"/>
  <c r="M32" i="6"/>
  <c r="M108" i="6"/>
  <c r="D32" i="6"/>
  <c r="L86" i="2"/>
  <c r="M42" i="6"/>
  <c r="H97" i="6"/>
  <c r="D20" i="6"/>
  <c r="M86" i="2"/>
  <c r="D64" i="5"/>
  <c r="M64" i="4"/>
  <c r="H52" i="4"/>
  <c r="L30" i="3"/>
  <c r="H96" i="4"/>
  <c r="H53" i="3"/>
  <c r="H10" i="6"/>
  <c r="H30" i="2"/>
  <c r="M10" i="6"/>
  <c r="M107" i="5"/>
  <c r="H85" i="4"/>
  <c r="D107" i="5"/>
  <c r="D108" i="6"/>
  <c r="H64" i="5"/>
  <c r="D8" i="4"/>
  <c r="L109" i="3"/>
  <c r="H64" i="4"/>
  <c r="L97" i="5"/>
  <c r="D86" i="2"/>
  <c r="M64" i="5"/>
  <c r="L96" i="2"/>
  <c r="H97" i="3"/>
  <c r="D64" i="4"/>
  <c r="H97" i="5"/>
  <c r="H20" i="2"/>
  <c r="L41" i="5"/>
  <c r="M8" i="4"/>
  <c r="D96" i="2"/>
  <c r="M108" i="4"/>
  <c r="H75" i="3"/>
  <c r="D20" i="2"/>
  <c r="L76" i="6"/>
  <c r="L8" i="4"/>
  <c r="H108" i="4"/>
  <c r="L64" i="4"/>
  <c r="D75" i="3"/>
  <c r="M20" i="2"/>
  <c r="H109" i="2"/>
  <c r="H54" i="6"/>
  <c r="L20" i="2"/>
  <c r="D20" i="5"/>
  <c r="L43" i="2"/>
  <c r="L30" i="2"/>
  <c r="H20" i="4"/>
  <c r="D74" i="4"/>
  <c r="M52" i="4"/>
  <c r="L52" i="4"/>
  <c r="D30" i="3"/>
  <c r="D10" i="6"/>
  <c r="H65" i="3"/>
  <c r="H42" i="4"/>
  <c r="H76" i="6"/>
  <c r="L109" i="2"/>
  <c r="M96" i="2"/>
  <c r="D108" i="4"/>
  <c r="L54" i="6"/>
  <c r="L20" i="5"/>
  <c r="M76" i="6"/>
  <c r="H96" i="2"/>
  <c r="L108" i="4"/>
  <c r="L75" i="3"/>
  <c r="M109" i="2"/>
  <c r="H74" i="4"/>
  <c r="D30" i="2"/>
  <c r="D20" i="4"/>
  <c r="L10" i="6"/>
  <c r="D96" i="4"/>
  <c r="L74" i="4"/>
  <c r="L96" i="4"/>
  <c r="M53" i="3"/>
  <c r="H87" i="6"/>
  <c r="P21" i="3"/>
  <c r="P18" i="3"/>
  <c r="P7" i="3"/>
  <c r="P10" i="3"/>
  <c r="P32" i="6"/>
  <c r="P29" i="6"/>
  <c r="P40" i="2"/>
  <c r="P43" i="2"/>
  <c r="P7" i="6"/>
  <c r="P10" i="6"/>
  <c r="J87" i="6" l="1"/>
  <c r="N53" i="3"/>
  <c r="J74" i="4"/>
  <c r="N109" i="2"/>
  <c r="J96" i="2"/>
  <c r="N76" i="6"/>
  <c r="N96" i="2"/>
  <c r="J76" i="6"/>
  <c r="J42" i="4"/>
  <c r="J65" i="3"/>
  <c r="J13" i="6"/>
  <c r="J12" i="6"/>
  <c r="N52" i="4"/>
  <c r="J20" i="4"/>
  <c r="J54" i="6"/>
  <c r="J109" i="2"/>
  <c r="N20" i="2"/>
  <c r="J108" i="4"/>
  <c r="J75" i="3"/>
  <c r="N108" i="4"/>
  <c r="N8" i="4"/>
  <c r="J20" i="2"/>
  <c r="J97" i="5"/>
  <c r="J97" i="3"/>
  <c r="N64" i="5"/>
  <c r="J64" i="4"/>
  <c r="J64" i="5"/>
  <c r="J85" i="4"/>
  <c r="N107" i="5"/>
  <c r="N10" i="6"/>
  <c r="J30" i="2"/>
  <c r="J10" i="6"/>
  <c r="J53" i="3"/>
  <c r="J96" i="4"/>
  <c r="J52" i="4"/>
  <c r="N64" i="4"/>
  <c r="N86" i="2"/>
  <c r="J97" i="6"/>
  <c r="N42" i="6"/>
  <c r="J34" i="6"/>
  <c r="J35" i="6"/>
  <c r="N108" i="6"/>
  <c r="N32" i="6"/>
  <c r="J20" i="6"/>
  <c r="J42" i="6"/>
  <c r="J30" i="5"/>
  <c r="J85" i="5"/>
  <c r="N10" i="3"/>
  <c r="N21" i="3"/>
  <c r="J74" i="5"/>
  <c r="N30" i="4"/>
  <c r="J24" i="3"/>
  <c r="J23" i="3"/>
  <c r="N74" i="5"/>
  <c r="N96" i="4"/>
  <c r="N30" i="2"/>
  <c r="J30" i="3"/>
  <c r="N54" i="6"/>
  <c r="N97" i="5"/>
  <c r="J8" i="4"/>
  <c r="N20" i="6"/>
  <c r="J12" i="3"/>
  <c r="J13" i="3"/>
  <c r="N97" i="6"/>
  <c r="J10" i="3"/>
  <c r="N8" i="2"/>
  <c r="J32" i="6"/>
  <c r="J108" i="6"/>
  <c r="N30" i="5"/>
  <c r="N52" i="2"/>
  <c r="N76" i="2"/>
  <c r="N85" i="5"/>
  <c r="J52" i="2"/>
  <c r="J21" i="3"/>
  <c r="N87" i="6"/>
  <c r="N30" i="3"/>
  <c r="N85" i="4"/>
  <c r="N74" i="4"/>
  <c r="J45" i="2"/>
  <c r="J46" i="2"/>
  <c r="J20" i="5"/>
  <c r="N43" i="2"/>
  <c r="J43" i="2"/>
  <c r="N75" i="3"/>
  <c r="J86" i="2"/>
  <c r="N109" i="3"/>
  <c r="J41" i="5"/>
  <c r="N41" i="5"/>
  <c r="N97" i="3"/>
  <c r="J107" i="5"/>
  <c r="J65" i="2"/>
  <c r="N65" i="3"/>
  <c r="N42" i="4"/>
  <c r="N20" i="5"/>
  <c r="N20" i="4"/>
  <c r="J109" i="3"/>
  <c r="J8" i="2"/>
  <c r="J76" i="2"/>
  <c r="N65" i="2"/>
  <c r="J9" i="5"/>
  <c r="N9" i="5"/>
  <c r="J30" i="4"/>
  <c r="B32" i="3"/>
  <c r="B76" i="4"/>
  <c r="B32" i="2"/>
  <c r="B98" i="2"/>
  <c r="B10" i="4"/>
  <c r="B43" i="5"/>
  <c r="B54" i="4"/>
  <c r="B87" i="5"/>
  <c r="B54" i="2"/>
  <c r="B32" i="4"/>
  <c r="B10" i="2"/>
  <c r="B32" i="5"/>
  <c r="B76" i="5"/>
  <c r="B98" i="4"/>
  <c r="B87" i="4"/>
  <c r="B109" i="5"/>
  <c r="L75" i="4"/>
  <c r="L65" i="4"/>
  <c r="L87" i="2"/>
  <c r="D109" i="4"/>
  <c r="M109" i="6"/>
  <c r="M65" i="5"/>
  <c r="L21" i="6"/>
  <c r="D98" i="6"/>
  <c r="H21" i="6"/>
  <c r="H9" i="4"/>
  <c r="M98" i="6"/>
  <c r="D21" i="6"/>
  <c r="L86" i="5"/>
  <c r="M21" i="2"/>
  <c r="D31" i="5"/>
  <c r="D21" i="2"/>
  <c r="H98" i="5"/>
  <c r="M76" i="3"/>
  <c r="D98" i="5"/>
  <c r="H42" i="5"/>
  <c r="M75" i="5"/>
  <c r="H53" i="2"/>
  <c r="L108" i="5"/>
  <c r="H54" i="3"/>
  <c r="D21" i="4"/>
  <c r="M75" i="4"/>
  <c r="H75" i="4"/>
  <c r="H65" i="4"/>
  <c r="H87" i="2"/>
  <c r="D75" i="4"/>
  <c r="H109" i="4"/>
  <c r="M87" i="2"/>
  <c r="L109" i="6"/>
  <c r="H65" i="5"/>
  <c r="L109" i="4"/>
  <c r="H109" i="6"/>
  <c r="H21" i="5"/>
  <c r="D65" i="5"/>
  <c r="M109" i="4"/>
  <c r="D109" i="6"/>
  <c r="D21" i="5"/>
  <c r="L65" i="5"/>
  <c r="L98" i="6"/>
  <c r="M9" i="2"/>
  <c r="M21" i="6"/>
  <c r="M21" i="5"/>
  <c r="M9" i="4"/>
  <c r="H98" i="6"/>
  <c r="L9" i="2"/>
  <c r="L9" i="4"/>
  <c r="H9" i="2"/>
  <c r="L21" i="2"/>
  <c r="D9" i="2"/>
  <c r="H21" i="2"/>
  <c r="H31" i="5"/>
  <c r="M98" i="5"/>
  <c r="L42" i="5"/>
  <c r="D42" i="5"/>
  <c r="M86" i="5"/>
  <c r="L43" i="6"/>
  <c r="D43" i="6"/>
  <c r="D75" i="5"/>
  <c r="L98" i="5"/>
  <c r="L31" i="5"/>
  <c r="D76" i="3"/>
  <c r="H76" i="3"/>
  <c r="L97" i="4"/>
  <c r="L53" i="4"/>
  <c r="M21" i="4"/>
  <c r="D53" i="4"/>
  <c r="D87" i="2"/>
  <c r="D86" i="5"/>
  <c r="M31" i="5"/>
  <c r="H86" i="5"/>
  <c r="L76" i="3"/>
  <c r="L31" i="4"/>
  <c r="L21" i="4"/>
  <c r="L21" i="5"/>
  <c r="D9" i="4"/>
  <c r="M53" i="2"/>
  <c r="H31" i="2"/>
  <c r="H43" i="6"/>
  <c r="M31" i="4"/>
  <c r="M43" i="6"/>
  <c r="M42" i="5"/>
  <c r="D54" i="3"/>
  <c r="M86" i="4"/>
  <c r="L97" i="2"/>
  <c r="L31" i="3"/>
  <c r="H86" i="4"/>
  <c r="M31" i="3"/>
  <c r="M53" i="4"/>
  <c r="M98" i="3"/>
  <c r="D65" i="4"/>
  <c r="H21" i="4"/>
  <c r="D31" i="2"/>
  <c r="L98" i="3"/>
  <c r="L53" i="2"/>
  <c r="H75" i="5"/>
  <c r="D43" i="4"/>
  <c r="M97" i="4"/>
  <c r="H10" i="5"/>
  <c r="D31" i="4"/>
  <c r="M97" i="2"/>
  <c r="H31" i="3"/>
  <c r="M108" i="5"/>
  <c r="L86" i="4"/>
  <c r="L10" i="5"/>
  <c r="L31" i="2"/>
  <c r="H98" i="3"/>
  <c r="D53" i="2"/>
  <c r="L75" i="5"/>
  <c r="M43" i="4"/>
  <c r="M10" i="5"/>
  <c r="D98" i="3"/>
  <c r="L43" i="4"/>
  <c r="M31" i="2"/>
  <c r="H97" i="4"/>
  <c r="H43" i="4"/>
  <c r="D10" i="5"/>
  <c r="L54" i="3"/>
  <c r="D97" i="4"/>
  <c r="D108" i="5"/>
  <c r="H97" i="2"/>
  <c r="H53" i="4"/>
  <c r="H31" i="4"/>
  <c r="M54" i="3"/>
  <c r="D31" i="3"/>
  <c r="D97" i="2"/>
  <c r="H108" i="5"/>
  <c r="D86" i="4"/>
  <c r="M65" i="4"/>
  <c r="P18" i="6"/>
  <c r="P21" i="6"/>
  <c r="P21" i="2"/>
  <c r="P18" i="2"/>
  <c r="P18" i="5"/>
  <c r="P21" i="5"/>
  <c r="P40" i="6"/>
  <c r="P43" i="6"/>
  <c r="P21" i="4"/>
  <c r="P18" i="4"/>
  <c r="P43" i="4"/>
  <c r="P40" i="4"/>
  <c r="P10" i="5"/>
  <c r="P7" i="5"/>
  <c r="N65" i="4" l="1"/>
  <c r="J108" i="5"/>
  <c r="N54" i="3"/>
  <c r="J31" i="4"/>
  <c r="J53" i="4"/>
  <c r="J97" i="2"/>
  <c r="J12" i="5"/>
  <c r="J13" i="5"/>
  <c r="J43" i="4"/>
  <c r="J97" i="4"/>
  <c r="N31" i="2"/>
  <c r="N10" i="5"/>
  <c r="N43" i="4"/>
  <c r="J98" i="3"/>
  <c r="N108" i="5"/>
  <c r="J31" i="3"/>
  <c r="N97" i="2"/>
  <c r="J10" i="5"/>
  <c r="N97" i="4"/>
  <c r="J46" i="4"/>
  <c r="J45" i="4"/>
  <c r="J75" i="5"/>
  <c r="J21" i="4"/>
  <c r="N98" i="3"/>
  <c r="N53" i="4"/>
  <c r="N31" i="3"/>
  <c r="J86" i="4"/>
  <c r="N86" i="4"/>
  <c r="N42" i="5"/>
  <c r="N43" i="6"/>
  <c r="N31" i="4"/>
  <c r="J43" i="6"/>
  <c r="J31" i="2"/>
  <c r="N53" i="2"/>
  <c r="J86" i="5"/>
  <c r="N31" i="5"/>
  <c r="N21" i="4"/>
  <c r="J76" i="3"/>
  <c r="J45" i="6"/>
  <c r="J46" i="6"/>
  <c r="N86" i="5"/>
  <c r="N98" i="5"/>
  <c r="J31" i="5"/>
  <c r="J21" i="2"/>
  <c r="J9" i="2"/>
  <c r="J98" i="6"/>
  <c r="N9" i="4"/>
  <c r="N21" i="5"/>
  <c r="N21" i="6"/>
  <c r="N9" i="2"/>
  <c r="J24" i="5"/>
  <c r="J23" i="5"/>
  <c r="N109" i="4"/>
  <c r="J21" i="5"/>
  <c r="J109" i="6"/>
  <c r="J65" i="5"/>
  <c r="N87" i="2"/>
  <c r="J109" i="4"/>
  <c r="J87" i="2"/>
  <c r="J65" i="4"/>
  <c r="J75" i="4"/>
  <c r="N75" i="4"/>
  <c r="J23" i="4"/>
  <c r="J24" i="4"/>
  <c r="J54" i="3"/>
  <c r="J53" i="2"/>
  <c r="N75" i="5"/>
  <c r="J42" i="5"/>
  <c r="N76" i="3"/>
  <c r="J98" i="5"/>
  <c r="J23" i="2"/>
  <c r="J24" i="2"/>
  <c r="N21" i="2"/>
  <c r="J23" i="6"/>
  <c r="J24" i="6"/>
  <c r="N98" i="6"/>
  <c r="J9" i="4"/>
  <c r="J21" i="6"/>
  <c r="N65" i="5"/>
  <c r="N109" i="6"/>
  <c r="H32" i="3"/>
  <c r="L76" i="4"/>
  <c r="L76" i="5"/>
  <c r="L43" i="5"/>
  <c r="M87" i="4"/>
  <c r="H54" i="2"/>
  <c r="D54" i="2"/>
  <c r="M32" i="5"/>
  <c r="H32" i="2"/>
  <c r="M10" i="4"/>
  <c r="H32" i="4"/>
  <c r="D32" i="3"/>
  <c r="H76" i="4"/>
  <c r="H43" i="5"/>
  <c r="M76" i="5"/>
  <c r="D87" i="4"/>
  <c r="M54" i="2"/>
  <c r="H98" i="4"/>
  <c r="H87" i="4"/>
  <c r="L32" i="5"/>
  <c r="M109" i="5"/>
  <c r="H10" i="4"/>
  <c r="D10" i="2"/>
  <c r="M10" i="2"/>
  <c r="L10" i="2"/>
  <c r="D87" i="5"/>
  <c r="L87" i="5"/>
  <c r="H87" i="5"/>
  <c r="L98" i="4"/>
  <c r="L32" i="2"/>
  <c r="D32" i="5"/>
  <c r="M32" i="4"/>
  <c r="H76" i="5"/>
  <c r="M43" i="5"/>
  <c r="D76" i="5"/>
  <c r="D43" i="5"/>
  <c r="M98" i="2"/>
  <c r="L98" i="2"/>
  <c r="M87" i="5"/>
  <c r="H98" i="2"/>
  <c r="D98" i="2"/>
  <c r="M98" i="4"/>
  <c r="L87" i="4"/>
  <c r="D98" i="4"/>
  <c r="M54" i="4"/>
  <c r="M32" i="2"/>
  <c r="H54" i="4"/>
  <c r="D32" i="2"/>
  <c r="D54" i="4"/>
  <c r="H109" i="5"/>
  <c r="D109" i="5"/>
  <c r="D32" i="4"/>
  <c r="L32" i="3"/>
  <c r="L54" i="2"/>
  <c r="L54" i="4"/>
  <c r="H32" i="5"/>
  <c r="D10" i="4"/>
  <c r="L10" i="4"/>
  <c r="H10" i="2"/>
  <c r="L32" i="4"/>
  <c r="M32" i="3"/>
  <c r="D76" i="4"/>
  <c r="L109" i="5"/>
  <c r="M76" i="4"/>
  <c r="P43" i="5"/>
  <c r="P40" i="5"/>
  <c r="P32" i="2"/>
  <c r="P29" i="2"/>
  <c r="P29" i="5"/>
  <c r="P32" i="5"/>
  <c r="P7" i="4"/>
  <c r="P10" i="4"/>
  <c r="P10" i="2"/>
  <c r="P7" i="2"/>
  <c r="P29" i="4"/>
  <c r="P32" i="4"/>
  <c r="P32" i="3"/>
  <c r="P29" i="3"/>
  <c r="N76" i="4" l="1"/>
  <c r="N32" i="3"/>
  <c r="J10" i="2"/>
  <c r="J13" i="4"/>
  <c r="J12" i="4"/>
  <c r="J32" i="5"/>
  <c r="J35" i="4"/>
  <c r="J34" i="4"/>
  <c r="J109" i="5"/>
  <c r="J35" i="2"/>
  <c r="J34" i="2"/>
  <c r="J54" i="4"/>
  <c r="N32" i="2"/>
  <c r="N54" i="4"/>
  <c r="N98" i="4"/>
  <c r="J98" i="2"/>
  <c r="N87" i="5"/>
  <c r="N98" i="2"/>
  <c r="J45" i="5"/>
  <c r="J46" i="5"/>
  <c r="N43" i="5"/>
  <c r="J76" i="5"/>
  <c r="N32" i="4"/>
  <c r="J35" i="5"/>
  <c r="J34" i="5"/>
  <c r="J87" i="5"/>
  <c r="N10" i="2"/>
  <c r="J13" i="2"/>
  <c r="J12" i="2"/>
  <c r="J10" i="4"/>
  <c r="N109" i="5"/>
  <c r="J87" i="4"/>
  <c r="J98" i="4"/>
  <c r="N54" i="2"/>
  <c r="N76" i="5"/>
  <c r="J43" i="5"/>
  <c r="J76" i="4"/>
  <c r="J34" i="3"/>
  <c r="J35" i="3"/>
  <c r="J32" i="4"/>
  <c r="N10" i="4"/>
  <c r="J32" i="2"/>
  <c r="N32" i="5"/>
  <c r="J54" i="2"/>
  <c r="N87" i="4"/>
  <c r="J32" i="3"/>
</calcChain>
</file>

<file path=xl/sharedStrings.xml><?xml version="1.0" encoding="utf-8"?>
<sst xmlns="http://schemas.openxmlformats.org/spreadsheetml/2006/main" count="7258" uniqueCount="189">
  <si>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</si>
  <si>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</si>
  <si>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</si>
  <si>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</si>
  <si>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</si>
  <si>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</si>
  <si>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</si>
  <si>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</si>
  <si>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</si>
  <si>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</si>
  <si>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breakfast_track</t>
  </si>
  <si>
    <t>breakfast_semitrack</t>
  </si>
  <si>
    <t>cinema_track</t>
  </si>
  <si>
    <t>cinema_semitrack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</si>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</sst>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12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11" fillId="3" borderId="0" xfId="0" applyFont="1" applyFill="1" applyAlignment="1">
      <alignment vertic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6" fontId="20" fillId="3" borderId="21" xfId="0" applyNumberFormat="1" applyFont="1" applyFill="1" applyBorder="1" applyAlignment="1">
      <alignment horizontal="center" vertical="center"/>
    </xf>
    <xf numFmtId="176" fontId="20" fillId="3" borderId="0" xfId="0" applyNumberFormat="1" applyFont="1" applyFill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5" fillId="3" borderId="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5" xfId="0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5" fillId="3" borderId="6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27.225800466666666</c:v>
                </c:pt>
                <c:pt idx="1">
                  <c:v>30.717614933333337</c:v>
                </c:pt>
                <c:pt idx="2">
                  <c:v>35.108155866666671</c:v>
                </c:pt>
                <c:pt idx="3">
                  <c:v>37.605895933333336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3B-4A5F-AD09-FEF330557C35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37.658511999999995</c:v>
                </c:pt>
                <c:pt idx="1">
                  <c:v>53.984232000000013</c:v>
                </c:pt>
                <c:pt idx="2">
                  <c:v>78.027391999999978</c:v>
                </c:pt>
                <c:pt idx="3">
                  <c:v>111.03830400000001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27.797253333333334</c:v>
                </c:pt>
                <c:pt idx="1">
                  <c:v>31.793362666666663</c:v>
                </c:pt>
                <c:pt idx="2">
                  <c:v>37.089000133333336</c:v>
                </c:pt>
                <c:pt idx="3">
                  <c:v>40.211845533333332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3B-4A5F-AD09-FEF330557C3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37.658511999999995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3B-4A5F-AD09-FEF330557C3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37.658511999999995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3B-4A5F-AD09-FEF33055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30.246270333333335</c:v>
                </c:pt>
                <c:pt idx="1">
                  <c:v>33.072678761904761</c:v>
                </c:pt>
                <c:pt idx="2">
                  <c:v>36.281602476190471</c:v>
                </c:pt>
                <c:pt idx="3">
                  <c:v>39.436459095238085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22-48BE-869B-B95EAEC552D7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27.221728000000002</c:v>
                </c:pt>
                <c:pt idx="1">
                  <c:v>39.182120000000005</c:v>
                </c:pt>
                <c:pt idx="2">
                  <c:v>58.803095999999996</c:v>
                </c:pt>
                <c:pt idx="3">
                  <c:v>86.195664000000008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30.527118619047616</c:v>
                </c:pt>
                <c:pt idx="1">
                  <c:v>33.859525571428577</c:v>
                </c:pt>
                <c:pt idx="2">
                  <c:v>37.726022619047612</c:v>
                </c:pt>
                <c:pt idx="3">
                  <c:v>41.74372128571428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22-48BE-869B-B95EAEC552D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27.221728000000002</c:v>
                </c:pt>
                <c:pt idx="1">
                  <c:v>86.991584000000003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22-48BE-869B-B95EAEC552D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27.221728000000002</c:v>
                </c:pt>
                <c:pt idx="1">
                  <c:v>86.991584000000003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822-48BE-869B-B95EAEC55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30.214093190476195</c:v>
                </c:pt>
                <c:pt idx="1">
                  <c:v>32.999578714285725</c:v>
                </c:pt>
                <c:pt idx="2">
                  <c:v>36.248342999999991</c:v>
                </c:pt>
                <c:pt idx="3">
                  <c:v>39.028174857142858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71-4CDC-8C3B-888A3852223C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28.063080000000003</c:v>
                </c:pt>
                <c:pt idx="1">
                  <c:v>40.549728000000002</c:v>
                </c:pt>
                <c:pt idx="2">
                  <c:v>61.100839999999998</c:v>
                </c:pt>
                <c:pt idx="3">
                  <c:v>89.609776000000011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30.57322266666667</c:v>
                </c:pt>
                <c:pt idx="1">
                  <c:v>33.892589761904759</c:v>
                </c:pt>
                <c:pt idx="2">
                  <c:v>37.87540666666667</c:v>
                </c:pt>
                <c:pt idx="3">
                  <c:v>41.65032038095238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71-4CDC-8C3B-888A3852223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28.063080000000003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571-4CDC-8C3B-888A3852223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28.063080000000003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71-4CDC-8C3B-888A38522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A7-4DAA-9ABE-60C2DC123AE8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A7-4DAA-9ABE-60C2DC123AE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A7-4DAA-9ABE-60C2DC123AE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EA7-4DAA-9ABE-60C2DC123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AF-45BC-94B7-FFC60F3A6951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AF-45BC-94B7-FFC60F3A695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AF-45BC-94B7-FFC60F3A695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EAF-45BC-94B7-FFC60F3A6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E1-4933-A3AD-9EA9B8E3BE11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E1-4933-A3AD-9EA9B8E3BE1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BE1-4933-A3AD-9EA9B8E3BE1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E1-4933-A3AD-9EA9B8E3B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80-4ECC-9FD3-12D6E690D31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80-4ECC-9FD3-12D6E690D31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80-4ECC-9FD3-12D6E690D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52-4100-AF59-29A6618D7F1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52-4100-AF59-29A6618D7F1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52-4100-AF59-29A6618D7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1A-4BDA-BC5F-8EC2CB58D44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1A-4BDA-BC5F-8EC2CB58D44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1A-4BDA-BC5F-8EC2CB58D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27.262733600000001</c:v>
                </c:pt>
                <c:pt idx="1">
                  <c:v>30.5955504</c:v>
                </c:pt>
                <c:pt idx="2">
                  <c:v>35.178384000000008</c:v>
                </c:pt>
                <c:pt idx="3">
                  <c:v>37.847506266666663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98-467E-81CD-D9E15D44E86E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36.765127999999997</c:v>
                </c:pt>
                <c:pt idx="1">
                  <c:v>52.578200000000002</c:v>
                </c:pt>
                <c:pt idx="2">
                  <c:v>75.776312000000004</c:v>
                </c:pt>
                <c:pt idx="3">
                  <c:v>107.76456800000001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27.822966466666667</c:v>
                </c:pt>
                <c:pt idx="1">
                  <c:v>31.686627600000001</c:v>
                </c:pt>
                <c:pt idx="2">
                  <c:v>37.123177800000001</c:v>
                </c:pt>
                <c:pt idx="3">
                  <c:v>40.494321266666667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98-467E-81CD-D9E15D44E86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37.658511999999995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98-467E-81CD-D9E15D44E86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37.658511999999995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98-467E-81CD-D9E15D44E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32.321196866666668</c:v>
                </c:pt>
                <c:pt idx="1">
                  <c:v>35.232715600000006</c:v>
                </c:pt>
                <c:pt idx="2">
                  <c:v>39.210842266666667</c:v>
                </c:pt>
                <c:pt idx="3">
                  <c:v>41.687570999999998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4A-4BF2-9233-EB416642D25A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37.658511999999995</c:v>
                </c:pt>
                <c:pt idx="1">
                  <c:v>53.984232000000013</c:v>
                </c:pt>
                <c:pt idx="2">
                  <c:v>78.027391999999978</c:v>
                </c:pt>
                <c:pt idx="3">
                  <c:v>111.03830400000001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33.78524946666667</c:v>
                </c:pt>
                <c:pt idx="1">
                  <c:v>36.740322599999999</c:v>
                </c:pt>
                <c:pt idx="2">
                  <c:v>40.800833266666672</c:v>
                </c:pt>
                <c:pt idx="3">
                  <c:v>43.648699200000003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4A-4BF2-9233-EB416642D25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37.658511999999995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4A-4BF2-9233-EB416642D25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37.658511999999995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D4A-4BF2-9233-EB416642D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33.862599857142854</c:v>
                </c:pt>
                <c:pt idx="1">
                  <c:v>36.632195285714296</c:v>
                </c:pt>
                <c:pt idx="2">
                  <c:v>40.251414476190476</c:v>
                </c:pt>
                <c:pt idx="3">
                  <c:v>43.588469761904761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0F-461A-B01D-D0074227EA4A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27.221728000000002</c:v>
                </c:pt>
                <c:pt idx="1">
                  <c:v>39.182120000000005</c:v>
                </c:pt>
                <c:pt idx="2">
                  <c:v>58.803095999999996</c:v>
                </c:pt>
                <c:pt idx="3">
                  <c:v>86.195664000000008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34.423260904761896</c:v>
                </c:pt>
                <c:pt idx="1">
                  <c:v>37.285611523809536</c:v>
                </c:pt>
                <c:pt idx="2">
                  <c:v>41.029849857142857</c:v>
                </c:pt>
                <c:pt idx="3">
                  <c:v>44.836356380952374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0F-461A-B01D-D0074227EA4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27.221728000000002</c:v>
                </c:pt>
                <c:pt idx="1">
                  <c:v>86.991584000000003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0F-461A-B01D-D0074227EA4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27.221728000000002</c:v>
                </c:pt>
                <c:pt idx="1">
                  <c:v>86.991584000000003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C0F-461A-B01D-D0074227E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33.832055285714283</c:v>
                </c:pt>
                <c:pt idx="1">
                  <c:v>36.531831238095236</c:v>
                </c:pt>
                <c:pt idx="2">
                  <c:v>40.276491190476186</c:v>
                </c:pt>
                <c:pt idx="3">
                  <c:v>43.229996952380951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E-42C4-8A42-30F53C58B8E1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28.063080000000003</c:v>
                </c:pt>
                <c:pt idx="1">
                  <c:v>40.549728000000002</c:v>
                </c:pt>
                <c:pt idx="2">
                  <c:v>61.100839999999998</c:v>
                </c:pt>
                <c:pt idx="3">
                  <c:v>89.609776000000011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34.432709619047628</c:v>
                </c:pt>
                <c:pt idx="1">
                  <c:v>37.261800000000001</c:v>
                </c:pt>
                <c:pt idx="2">
                  <c:v>41.190098428571432</c:v>
                </c:pt>
                <c:pt idx="3">
                  <c:v>44.764042857142854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E-42C4-8A42-30F53C58B8E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28.063080000000003</c:v>
                </c:pt>
                <c:pt idx="1">
                  <c:v>90.416760000000011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E-42C4-8A42-30F53C58B8E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28.063080000000003</c:v>
                </c:pt>
                <c:pt idx="1">
                  <c:v>90.416760000000011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8E-42C4-8A42-30F53C58B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5A-4BBD-BE83-4361796CFF4E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5A-4BBD-BE83-4361796CFF4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5A-4BBD-BE83-4361796CFF4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5A-4BBD-BE83-4361796CF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EA-4B52-AE03-6E101D0914A5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EA-4B52-AE03-6E101D0914A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EA-4B52-AE03-6E101D0914A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7EA-4B52-AE03-6E101D091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1B-45A5-A587-7AD488D1F595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1B-45A5-A587-7AD488D1F59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1B-45A5-A587-7AD488D1F59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81B-45A5-A587-7AD488D1F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A6-428B-A37C-AECE2E549F8C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A6-428B-A37C-AECE2E549F8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A6-428B-A37C-AECE2E549F8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9A6-428B-A37C-AECE2E549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41-48BF-84C0-F28FC728D347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41-48BF-84C0-F28FC728D34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41-48BF-84C0-F28FC728D34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441-48BF-84C0-F28FC728D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3F-45D6-B897-D45BBB5D35E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3F-45D6-B897-D45BBB5D35E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3F-45D6-B897-D45BBB5D3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32.469316800000001</c:v>
                </c:pt>
                <c:pt idx="1">
                  <c:v>35.243102133333331</c:v>
                </c:pt>
                <c:pt idx="2">
                  <c:v>39.28737146666667</c:v>
                </c:pt>
                <c:pt idx="3">
                  <c:v>41.929521733333331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6D-47D6-B6E5-46F1ADFCF362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36.765127999999997</c:v>
                </c:pt>
                <c:pt idx="1">
                  <c:v>52.578200000000002</c:v>
                </c:pt>
                <c:pt idx="2">
                  <c:v>75.776312000000004</c:v>
                </c:pt>
                <c:pt idx="3">
                  <c:v>107.76456800000001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33.820223200000001</c:v>
                </c:pt>
                <c:pt idx="1">
                  <c:v>36.696285600000003</c:v>
                </c:pt>
                <c:pt idx="2">
                  <c:v>40.875319533333347</c:v>
                </c:pt>
                <c:pt idx="3">
                  <c:v>43.880696399999998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6D-47D6-B6E5-46F1ADFCF36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37.658511999999995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6D-47D6-B6E5-46F1ADFCF36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37.658511999999995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36D-47D6-B6E5-46F1ADFC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0.95700066866666644</c:v>
                </c:pt>
                <c:pt idx="1">
                  <c:v>0.97492547266666674</c:v>
                </c:pt>
                <c:pt idx="2">
                  <c:v>0.98757465333333327</c:v>
                </c:pt>
                <c:pt idx="3">
                  <c:v>0.99193363933333345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6-4DB7-9647-8445E0CFC2A1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37.658511999999995</c:v>
                </c:pt>
                <c:pt idx="1">
                  <c:v>53.984232000000013</c:v>
                </c:pt>
                <c:pt idx="2">
                  <c:v>78.027391999999978</c:v>
                </c:pt>
                <c:pt idx="3">
                  <c:v>111.03830400000001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0.95732519333333321</c:v>
                </c:pt>
                <c:pt idx="1">
                  <c:v>0.9750806306666665</c:v>
                </c:pt>
                <c:pt idx="2">
                  <c:v>0.98771027133333333</c:v>
                </c:pt>
                <c:pt idx="3">
                  <c:v>0.99203915266666676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6-4DB7-9647-8445E0CFC2A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37.658511999999995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6-4DB7-9647-8445E0CFC2A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37.658511999999995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26-4DB7-9647-8445E0CFC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0.96684382285714265</c:v>
                </c:pt>
                <c:pt idx="1">
                  <c:v>0.98000114238095259</c:v>
                </c:pt>
                <c:pt idx="2">
                  <c:v>0.98903340333333323</c:v>
                </c:pt>
                <c:pt idx="3">
                  <c:v>0.99375173238095238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80-4346-BC8A-C66251251FD4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27.221728000000002</c:v>
                </c:pt>
                <c:pt idx="1">
                  <c:v>39.182120000000005</c:v>
                </c:pt>
                <c:pt idx="2">
                  <c:v>58.803095999999996</c:v>
                </c:pt>
                <c:pt idx="3">
                  <c:v>86.195664000000008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0.96684086333333341</c:v>
                </c:pt>
                <c:pt idx="1">
                  <c:v>0.97976092619047583</c:v>
                </c:pt>
                <c:pt idx="2">
                  <c:v>0.98891447666666665</c:v>
                </c:pt>
                <c:pt idx="3">
                  <c:v>0.99364363714285719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80-4346-BC8A-C66251251FD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27.221728000000002</c:v>
                </c:pt>
                <c:pt idx="1">
                  <c:v>86.991584000000003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80-4346-BC8A-C66251251FD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27.221728000000002</c:v>
                </c:pt>
                <c:pt idx="1">
                  <c:v>86.991584000000003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80-4346-BC8A-C66251251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0.96582942476190481</c:v>
                </c:pt>
                <c:pt idx="1">
                  <c:v>0.97901262523809529</c:v>
                </c:pt>
                <c:pt idx="2">
                  <c:v>0.98868709857142867</c:v>
                </c:pt>
                <c:pt idx="3">
                  <c:v>0.99344393809523812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5E-4EC9-ACDD-4754C5FB062E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28.063080000000003</c:v>
                </c:pt>
                <c:pt idx="1">
                  <c:v>40.549728000000002</c:v>
                </c:pt>
                <c:pt idx="2">
                  <c:v>61.100839999999998</c:v>
                </c:pt>
                <c:pt idx="3">
                  <c:v>89.609776000000011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0.96572328523809503</c:v>
                </c:pt>
                <c:pt idx="1">
                  <c:v>0.978892940952381</c:v>
                </c:pt>
                <c:pt idx="2">
                  <c:v>0.98854986666666667</c:v>
                </c:pt>
                <c:pt idx="3">
                  <c:v>0.99336029666666648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5E-4EC9-ACDD-4754C5FB062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28.063080000000003</c:v>
                </c:pt>
                <c:pt idx="1">
                  <c:v>90.416760000000011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5E-4EC9-ACDD-4754C5FB062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28.063080000000003</c:v>
                </c:pt>
                <c:pt idx="1">
                  <c:v>90.416760000000011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5E-4EC9-ACDD-4754C5FB0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C0-4CB1-B1AA-47DDFC3CF828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C0-4CB1-B1AA-47DDFC3CF82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C0-4CB1-B1AA-47DDFC3CF82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6C0-4CB1-B1AA-47DDFC3CF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B4-402E-A41E-B0376C6A6612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B4-402E-A41E-B0376C6A661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B4-402E-A41E-B0376C6A661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B4-402E-A41E-B0376C6A6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B6-4A33-9793-245FAC5C7F45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B6-4A33-9793-245FAC5C7F4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B6-4A33-9793-245FAC5C7F4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B6-4A33-9793-245FAC5C7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51-4C59-9EFF-F4E507A4867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51-4C59-9EFF-F4E507A4867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51-4C59-9EFF-F4E507A48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AD-429D-85FB-7EB0C4D9A14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AD-429D-85FB-7EB0C4D9A14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7AD-429D-85FB-7EB0C4D9A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BB-45EC-A0A8-6A4353ADEA7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8BB-45EC-A0A8-6A4353ADEA7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8BB-45EC-A0A8-6A4353ADE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0.95834516733333319</c:v>
                </c:pt>
                <c:pt idx="1">
                  <c:v>0.97572819666666666</c:v>
                </c:pt>
                <c:pt idx="2">
                  <c:v>0.98810945533333316</c:v>
                </c:pt>
                <c:pt idx="3">
                  <c:v>0.99241337466666668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B1-4E5B-90B6-B5C13197CD20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36.765127999999997</c:v>
                </c:pt>
                <c:pt idx="1">
                  <c:v>52.578200000000002</c:v>
                </c:pt>
                <c:pt idx="2">
                  <c:v>75.776312000000004</c:v>
                </c:pt>
                <c:pt idx="3">
                  <c:v>107.76456800000001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0.95851933133333334</c:v>
                </c:pt>
                <c:pt idx="1">
                  <c:v>0.97568971599999987</c:v>
                </c:pt>
                <c:pt idx="2">
                  <c:v>0.98814772999999989</c:v>
                </c:pt>
                <c:pt idx="3">
                  <c:v>0.99247828666666671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B1-4E5B-90B6-B5C13197CD2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37.658511999999995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B1-4E5B-90B6-B5C13197CD2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37.658511999999995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B1-4E5B-90B6-B5C13197C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0.95395936733333342</c:v>
                </c:pt>
                <c:pt idx="1">
                  <c:v>0.97223756466666666</c:v>
                </c:pt>
                <c:pt idx="2">
                  <c:v>0.99005189866666643</c:v>
                </c:pt>
                <c:pt idx="3">
                  <c:v>0.99515773399999985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96-43A9-AB18-BBBC858F7957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37.658511999999995</c:v>
                </c:pt>
                <c:pt idx="1">
                  <c:v>53.984232000000013</c:v>
                </c:pt>
                <c:pt idx="2">
                  <c:v>78.027391999999978</c:v>
                </c:pt>
                <c:pt idx="3">
                  <c:v>111.03830400000001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0.95580877666666664</c:v>
                </c:pt>
                <c:pt idx="1">
                  <c:v>0.97451174799999996</c:v>
                </c:pt>
                <c:pt idx="2">
                  <c:v>0.99068390400000017</c:v>
                </c:pt>
                <c:pt idx="3">
                  <c:v>0.99598167733333332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96-43A9-AB18-BBBC858F795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37.658511999999995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896-43A9-AB18-BBBC858F795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37.658511999999995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96-43A9-AB18-BBBC858F7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0.97327361047619032</c:v>
                </c:pt>
                <c:pt idx="1">
                  <c:v>0.98426155285714267</c:v>
                </c:pt>
                <c:pt idx="2">
                  <c:v>0.99228081523809508</c:v>
                </c:pt>
                <c:pt idx="3">
                  <c:v>0.99594449714285727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77-4B3C-A10A-2919DCF91C85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27.221728000000002</c:v>
                </c:pt>
                <c:pt idx="1">
                  <c:v>39.182120000000005</c:v>
                </c:pt>
                <c:pt idx="2">
                  <c:v>58.803095999999996</c:v>
                </c:pt>
                <c:pt idx="3">
                  <c:v>86.195664000000008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0.97388099809523831</c:v>
                </c:pt>
                <c:pt idx="1">
                  <c:v>0.98462386380952382</c:v>
                </c:pt>
                <c:pt idx="2">
                  <c:v>0.992504997142857</c:v>
                </c:pt>
                <c:pt idx="3">
                  <c:v>0.99627574142857167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77-4B3C-A10A-2919DCF91C8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27.221728000000002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E77-4B3C-A10A-2919DCF91C8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27.221728000000002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E77-4B3C-A10A-2919DCF91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0.9725471133333331</c:v>
                </c:pt>
                <c:pt idx="1">
                  <c:v>0.98376468238095238</c:v>
                </c:pt>
                <c:pt idx="2">
                  <c:v>0.99210457047619049</c:v>
                </c:pt>
                <c:pt idx="3">
                  <c:v>0.99578089857142849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80-4067-825F-D0833BEBCC9E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28.063080000000003</c:v>
                </c:pt>
                <c:pt idx="1">
                  <c:v>40.549728000000002</c:v>
                </c:pt>
                <c:pt idx="2">
                  <c:v>61.100839999999998</c:v>
                </c:pt>
                <c:pt idx="3">
                  <c:v>89.609776000000011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0.97317759000000004</c:v>
                </c:pt>
                <c:pt idx="1">
                  <c:v>0.98446825666666649</c:v>
                </c:pt>
                <c:pt idx="2">
                  <c:v>0.9924200871428569</c:v>
                </c:pt>
                <c:pt idx="3">
                  <c:v>0.99616031761904755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80-4067-825F-D0833BEBCC9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28.063080000000003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80-4067-825F-D0833BEBCC9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28.063080000000003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80-4067-825F-D0833BEBC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BB-4420-8D15-799421F768F3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BB-4420-8D15-799421F768F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BB-4420-8D15-799421F768F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BBB-4420-8D15-799421F76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EE-4832-9056-CD3275BC5056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EE-4832-9056-CD3275BC505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EE-4832-9056-CD3275BC505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EE-4832-9056-CD3275BC5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9A-444F-80DF-F7169708CD95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9A-444F-80DF-F7169708CD9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9A-444F-80DF-F7169708CD9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9A-444F-80DF-F7169708C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6D-41FF-AD92-0771A1B4E325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6D-41FF-AD92-0771A1B4E32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6D-41FF-AD92-0771A1B4E32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36D-41FF-AD92-0771A1B4E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77-4E1C-B741-CF5DFE0A8CA9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77-4E1C-B741-CF5DFE0A8CA9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77-4E1C-B741-CF5DFE0A8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D1-4E9F-A26E-8B5ADCFEC69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D1-4E9F-A26E-8B5ADCFEC69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D1-4E9F-A26E-8B5ADCFEC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26-44E2-89DD-3309A82DC3D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26-44E2-89DD-3309A82DC3D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26-44E2-89DD-3309A82DC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0.95456353799999993</c:v>
                </c:pt>
                <c:pt idx="1">
                  <c:v>0.97258593333333343</c:v>
                </c:pt>
                <c:pt idx="2">
                  <c:v>0.99038261466666655</c:v>
                </c:pt>
                <c:pt idx="3">
                  <c:v>0.99521364000000001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6E-4815-A6C6-DE4BA6DDD3BC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36.765127999999997</c:v>
                </c:pt>
                <c:pt idx="1">
                  <c:v>52.578200000000002</c:v>
                </c:pt>
                <c:pt idx="2">
                  <c:v>75.776312000000004</c:v>
                </c:pt>
                <c:pt idx="3">
                  <c:v>107.76456800000001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0.95620147333333327</c:v>
                </c:pt>
                <c:pt idx="1">
                  <c:v>0.97408633333333328</c:v>
                </c:pt>
                <c:pt idx="2">
                  <c:v>0.9909880173333333</c:v>
                </c:pt>
                <c:pt idx="3">
                  <c:v>0.99614056800000028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6E-4815-A6C6-DE4BA6DDD3B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37.658511999999995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6E-4815-A6C6-DE4BA6DDD3B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37.658511999999995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6E-4815-A6C6-DE4BA6DDD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6.8758821599999992E-2</c:v>
                </c:pt>
                <c:pt idx="1">
                  <c:v>4.2517676533333333E-2</c:v>
                </c:pt>
                <c:pt idx="2">
                  <c:v>2.4925761000000001E-2</c:v>
                </c:pt>
                <c:pt idx="3">
                  <c:v>1.8274979066666665E-2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60-4558-875D-BFF2F0715619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37.658511999999995</c:v>
                </c:pt>
                <c:pt idx="1">
                  <c:v>53.984232000000013</c:v>
                </c:pt>
                <c:pt idx="2">
                  <c:v>78.027391999999978</c:v>
                </c:pt>
                <c:pt idx="3">
                  <c:v>111.03830400000001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5.7315530733333335E-2</c:v>
                </c:pt>
                <c:pt idx="1">
                  <c:v>3.2807457199999994E-2</c:v>
                </c:pt>
                <c:pt idx="2">
                  <c:v>1.6708599666666664E-2</c:v>
                </c:pt>
                <c:pt idx="3">
                  <c:v>1.0305941533333335E-2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60-4558-875D-BFF2F071561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37.658511999999995</c:v>
                </c:pt>
                <c:pt idx="1">
                  <c:v>112.14424799999999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60-4558-875D-BFF2F071561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37.658511999999995</c:v>
                </c:pt>
                <c:pt idx="1">
                  <c:v>112.14424799999999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60-4558-875D-BFF2F0715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6.4074182428571436E-2</c:v>
                </c:pt>
                <c:pt idx="1">
                  <c:v>4.3200263047619043E-2</c:v>
                </c:pt>
                <c:pt idx="2">
                  <c:v>2.7228831333333335E-2</c:v>
                </c:pt>
                <c:pt idx="3">
                  <c:v>1.4458101000000004E-2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D4-4956-83EB-C5E4B6AAFA26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27.221728000000002</c:v>
                </c:pt>
                <c:pt idx="1">
                  <c:v>39.182120000000005</c:v>
                </c:pt>
                <c:pt idx="2">
                  <c:v>58.803095999999996</c:v>
                </c:pt>
                <c:pt idx="3">
                  <c:v>86.195664000000008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5.6121006190476184E-2</c:v>
                </c:pt>
                <c:pt idx="1">
                  <c:v>3.6334335333333335E-2</c:v>
                </c:pt>
                <c:pt idx="2">
                  <c:v>2.1230680095238097E-2</c:v>
                </c:pt>
                <c:pt idx="3">
                  <c:v>9.6530589047619068E-3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D4-4956-83EB-C5E4B6AAFA2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27.221728000000002</c:v>
                </c:pt>
                <c:pt idx="1">
                  <c:v>86.991584000000003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D4-4956-83EB-C5E4B6AAFA2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27.221728000000002</c:v>
                </c:pt>
                <c:pt idx="1">
                  <c:v>86.991584000000003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D4-4956-83EB-C5E4B6AAF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6.5973396238095255E-2</c:v>
                </c:pt>
                <c:pt idx="1">
                  <c:v>4.448833447619048E-2</c:v>
                </c:pt>
                <c:pt idx="2">
                  <c:v>2.7850360190476191E-2</c:v>
                </c:pt>
                <c:pt idx="3">
                  <c:v>1.5608584595238097E-2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D9-48FF-8DA8-7E38924E55E6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28.063080000000003</c:v>
                </c:pt>
                <c:pt idx="1">
                  <c:v>40.549728000000002</c:v>
                </c:pt>
                <c:pt idx="2">
                  <c:v>61.100839999999998</c:v>
                </c:pt>
                <c:pt idx="3">
                  <c:v>89.609776000000011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5.746704323809524E-2</c:v>
                </c:pt>
                <c:pt idx="1">
                  <c:v>3.6774379809523805E-2</c:v>
                </c:pt>
                <c:pt idx="2">
                  <c:v>2.126328380952381E-2</c:v>
                </c:pt>
                <c:pt idx="3">
                  <c:v>9.9106832619047635E-3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D9-48FF-8DA8-7E38924E55E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28.063080000000003</c:v>
                </c:pt>
                <c:pt idx="1">
                  <c:v>90.416760000000011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D9-48FF-8DA8-7E38924E55E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28.063080000000003</c:v>
                </c:pt>
                <c:pt idx="1">
                  <c:v>90.416760000000011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1D9-48FF-8DA8-7E38924E5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AA-4FF3-A83C-3465A1603C93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AA-4FF3-A83C-3465A1603C9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AA-4FF3-A83C-3465A1603C9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AA-4FF3-A83C-3465A1603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B7-4655-8973-6230C0EBAC58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B7-4655-8973-6230C0EBAC5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B7-4655-8973-6230C0EBAC5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B7-4655-8973-6230C0EBA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B0-4B87-B386-6F5D0CA29138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B0-4B87-B386-6F5D0CA2913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B0-4B87-B386-6F5D0CA2913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3B0-4B87-B386-6F5D0CA29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1F-4F7E-A307-6335ACD9B43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1F-4F7E-A307-6335ACD9B43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1F-4F7E-A307-6335ACD9B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8B-4B68-A46A-6C3F5D164FE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8B-4B68-A46A-6C3F5D164FE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8B-4B68-A46A-6C3F5D164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67-4B97-B6D8-8C5E2BB1901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67-4B97-B6D8-8C5E2BB1901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67-4B97-B6D8-8C5E2BB19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6.6124997733333329E-2</c:v>
                </c:pt>
                <c:pt idx="1">
                  <c:v>4.1026583800000009E-2</c:v>
                </c:pt>
                <c:pt idx="2">
                  <c:v>2.4438632800000002E-2</c:v>
                </c:pt>
                <c:pt idx="3">
                  <c:v>1.7444335733333333E-2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6A-4D9C-8BF8-8121C11DFB06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36.765127999999997</c:v>
                </c:pt>
                <c:pt idx="1">
                  <c:v>52.578200000000002</c:v>
                </c:pt>
                <c:pt idx="2">
                  <c:v>75.776312000000004</c:v>
                </c:pt>
                <c:pt idx="3">
                  <c:v>107.76456800000001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5.6440186999999996E-2</c:v>
                </c:pt>
                <c:pt idx="1">
                  <c:v>3.2334742533333335E-2</c:v>
                </c:pt>
                <c:pt idx="2">
                  <c:v>1.6297373133333334E-2</c:v>
                </c:pt>
                <c:pt idx="3">
                  <c:v>9.6781738666666672E-3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6A-4D9C-8BF8-8121C11DFB0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37.658511999999995</c:v>
                </c:pt>
                <c:pt idx="1">
                  <c:v>112.14424799999999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6A-4D9C-8BF8-8121C11DFB0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37.658511999999995</c:v>
                </c:pt>
                <c:pt idx="1">
                  <c:v>112.14424799999999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86A-4D9C-8BF8-8121C11DF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H12" sqref="H9:H12"/>
    </sheetView>
  </sheetViews>
  <sheetFormatPr defaultColWidth="8.59765625" defaultRowHeight="14.4" x14ac:dyDescent="0.25"/>
  <cols>
    <col min="1" max="1" width="1.59765625" style="209" bestFit="1" customWidth="1"/>
    <col min="2" max="2" width="30.69921875" style="209" customWidth="1"/>
    <col min="3" max="3" width="9.59765625" style="209" hidden="1" customWidth="1"/>
    <col min="4" max="5" width="9.59765625" style="209" bestFit="1" customWidth="1"/>
    <col min="6" max="6" width="8.19921875" style="209" customWidth="1"/>
    <col min="7" max="7" width="9.69921875" style="209" customWidth="1"/>
    <col min="8" max="8" width="7.09765625" style="209" customWidth="1"/>
    <col min="9" max="9" width="7.19921875" style="209" customWidth="1"/>
    <col min="10" max="11" width="8.59765625" style="209" customWidth="1"/>
    <col min="12" max="16384" width="8.59765625" style="209"/>
  </cols>
  <sheetData>
    <row r="1" spans="1:9" x14ac:dyDescent="0.25">
      <c r="A1" s="171"/>
      <c r="B1" s="166"/>
      <c r="C1" s="166"/>
      <c r="D1" s="171"/>
      <c r="E1" s="171"/>
      <c r="F1" s="171"/>
      <c r="G1" s="171"/>
      <c r="H1" s="171"/>
      <c r="I1" s="171"/>
    </row>
    <row r="2" spans="1:9" x14ac:dyDescent="0.25">
      <c r="A2" s="166"/>
      <c r="B2" s="5"/>
      <c r="C2" s="148"/>
      <c r="D2" s="166"/>
      <c r="E2" s="166"/>
      <c r="F2" s="166"/>
      <c r="G2" s="166"/>
      <c r="H2" s="166"/>
      <c r="I2" s="166"/>
    </row>
    <row r="3" spans="1:9" x14ac:dyDescent="0.25">
      <c r="A3" s="166"/>
      <c r="B3" s="5" t="s">
        <v>0</v>
      </c>
      <c r="C3" s="274" t="s">
        <v>1</v>
      </c>
      <c r="D3" s="275"/>
      <c r="E3" s="275"/>
      <c r="F3" s="275"/>
      <c r="G3" s="275"/>
      <c r="H3" s="275"/>
      <c r="I3" s="166"/>
    </row>
    <row r="4" spans="1:9" x14ac:dyDescent="0.25">
      <c r="A4" s="166"/>
      <c r="B4" s="5" t="s">
        <v>2</v>
      </c>
      <c r="C4" s="274" t="s">
        <v>3</v>
      </c>
      <c r="D4" s="275"/>
      <c r="E4" s="275"/>
      <c r="F4" s="275"/>
      <c r="G4" s="275"/>
      <c r="H4" s="275"/>
      <c r="I4" s="166"/>
    </row>
    <row r="5" spans="1:9" x14ac:dyDescent="0.25">
      <c r="A5" s="166"/>
      <c r="B5" s="5"/>
      <c r="C5" s="148"/>
      <c r="D5" s="166"/>
      <c r="E5" s="166"/>
      <c r="F5" s="166"/>
      <c r="G5" s="166"/>
      <c r="H5" s="166"/>
      <c r="I5" s="166"/>
    </row>
    <row r="6" spans="1:9" x14ac:dyDescent="0.25">
      <c r="A6" s="166"/>
      <c r="B6" s="2"/>
      <c r="C6" s="2"/>
      <c r="D6" s="166"/>
      <c r="E6" s="166"/>
      <c r="F6" s="166"/>
      <c r="G6" s="166"/>
      <c r="H6" s="166"/>
      <c r="I6" s="166"/>
    </row>
    <row r="7" spans="1:9" s="15" customFormat="1" ht="16.5" customHeight="1" thickBot="1" x14ac:dyDescent="0.3">
      <c r="A7" s="172"/>
      <c r="B7" s="276"/>
      <c r="C7" s="277"/>
      <c r="D7" s="277"/>
      <c r="E7" s="277"/>
      <c r="F7" s="277"/>
      <c r="G7" s="277"/>
      <c r="H7" s="277"/>
      <c r="I7" s="172"/>
    </row>
    <row r="8" spans="1:9" ht="30" customHeight="1" thickBot="1" x14ac:dyDescent="0.3">
      <c r="A8" s="166"/>
      <c r="B8" s="208" t="s">
        <v>4</v>
      </c>
      <c r="C8" s="16"/>
      <c r="D8" s="17" t="s">
        <v>5</v>
      </c>
      <c r="E8" s="17" t="s">
        <v>6</v>
      </c>
      <c r="F8" s="17" t="s">
        <v>7</v>
      </c>
      <c r="G8" s="17" t="s">
        <v>8</v>
      </c>
      <c r="H8" s="196" t="s">
        <v>9</v>
      </c>
      <c r="I8" s="14"/>
    </row>
    <row r="9" spans="1:9" ht="15.75" customHeight="1" x14ac:dyDescent="0.25">
      <c r="A9" s="166"/>
      <c r="B9" s="173" t="str">
        <f t="shared" ref="B9:B18" ca="1" si="0">INDIRECT(C9&amp;"!B2")</f>
        <v>breakfast_track</v>
      </c>
      <c r="C9" s="194" t="s">
        <v>10</v>
      </c>
      <c r="D9" s="218">
        <f t="shared" ref="D9:D18" ca="1" si="1">INDIRECT($C9&amp;"!AM$5")</f>
        <v>-0.12693418529124134</v>
      </c>
      <c r="E9" s="218">
        <f t="shared" ref="E9:E18" ca="1" si="2">INDIRECT($C9&amp;"!AN$5")</f>
        <v>-0.159163779960244</v>
      </c>
      <c r="F9" s="218">
        <f t="shared" ref="F9:F18" ca="1" si="3">INDIRECT($C9&amp;"!AO$5")</f>
        <v>-1.2179417098427736E-2</v>
      </c>
      <c r="G9" s="218">
        <f t="shared" ref="G9:G18" ca="1" si="4">INDIRECT($C9&amp;"!AP$5")</f>
        <v>-4.0153268510394469E-2</v>
      </c>
      <c r="H9" s="219">
        <f t="shared" ref="H9:H18" ca="1" si="5">INDIRECT($C9&amp;"!AQ$5")</f>
        <v>-0.17269621733787366</v>
      </c>
      <c r="I9" s="220"/>
    </row>
    <row r="10" spans="1:9" ht="15.75" customHeight="1" x14ac:dyDescent="0.25">
      <c r="A10" s="166"/>
      <c r="B10" s="173" t="str">
        <f t="shared" ca="1" si="0"/>
        <v>breakfast_semitrack</v>
      </c>
      <c r="C10" s="194" t="s">
        <v>11</v>
      </c>
      <c r="D10" s="218">
        <f t="shared" ca="1" si="1"/>
        <v>-0.12865720496899258</v>
      </c>
      <c r="E10" s="218">
        <f t="shared" ca="1" si="2"/>
        <v>-0.16467269294497588</v>
      </c>
      <c r="F10" s="218">
        <f t="shared" ca="1" si="3"/>
        <v>-1.6539404555359294E-2</v>
      </c>
      <c r="G10" s="218">
        <f t="shared" ca="1" si="4"/>
        <v>-4.8920129196023843E-2</v>
      </c>
      <c r="H10" s="221">
        <f t="shared" ca="1" si="5"/>
        <v>-0.18225110326823268</v>
      </c>
      <c r="I10" s="220"/>
    </row>
    <row r="11" spans="1:9" ht="15.75" customHeight="1" x14ac:dyDescent="0.25">
      <c r="A11" s="166"/>
      <c r="B11" s="173" t="str">
        <f t="shared" ca="1" si="0"/>
        <v>cinema_track</v>
      </c>
      <c r="C11" s="194" t="s">
        <v>12</v>
      </c>
      <c r="D11" s="218">
        <f t="shared" ca="1" si="1"/>
        <v>-0.12672850309828498</v>
      </c>
      <c r="E11" s="218">
        <f t="shared" ca="1" si="2"/>
        <v>-9.3221763512695177E-2</v>
      </c>
      <c r="F11" s="218">
        <f t="shared" ca="1" si="3"/>
        <v>-5.4712421887043172E-3</v>
      </c>
      <c r="G11" s="218">
        <f t="shared" ca="1" si="4"/>
        <v>-2.8946664236532582E-2</v>
      </c>
      <c r="H11" s="221">
        <f t="shared" ca="1" si="5"/>
        <v>-0.15554839735577231</v>
      </c>
      <c r="I11" s="220"/>
    </row>
    <row r="12" spans="1:9" ht="15.75" customHeight="1" x14ac:dyDescent="0.25">
      <c r="A12" s="166"/>
      <c r="B12" s="173" t="str">
        <f t="shared" ca="1" si="0"/>
        <v>cinema_semitrack</v>
      </c>
      <c r="C12" s="195" t="s">
        <v>13</v>
      </c>
      <c r="D12" s="218">
        <f t="shared" ca="1" si="1"/>
        <v>-0.14136539253158753</v>
      </c>
      <c r="E12" s="218">
        <f t="shared" ca="1" si="2"/>
        <v>-0.1058896198150906</v>
      </c>
      <c r="F12" s="218">
        <f t="shared" ca="1" si="3"/>
        <v>-7.4156112507972605E-3</v>
      </c>
      <c r="G12" s="218">
        <f t="shared" ca="1" si="4"/>
        <v>-3.7966226145796367E-2</v>
      </c>
      <c r="H12" s="221">
        <f t="shared" ca="1" si="5"/>
        <v>-0.16835589343062496</v>
      </c>
      <c r="I12" s="220"/>
    </row>
    <row r="13" spans="1:9" ht="15.75" customHeight="1" x14ac:dyDescent="0.25">
      <c r="A13" s="166"/>
      <c r="B13" s="173" t="e">
        <f t="shared" ca="1" si="0"/>
        <v>#REF!</v>
      </c>
      <c r="C13" s="195"/>
      <c r="D13" s="218" t="e">
        <f t="shared" ca="1" si="1"/>
        <v>#REF!</v>
      </c>
      <c r="E13" s="218" t="e">
        <f t="shared" ca="1" si="2"/>
        <v>#REF!</v>
      </c>
      <c r="F13" s="218" t="e">
        <f t="shared" ca="1" si="3"/>
        <v>#REF!</v>
      </c>
      <c r="G13" s="218" t="e">
        <f t="shared" ca="1" si="4"/>
        <v>#REF!</v>
      </c>
      <c r="H13" s="221" t="e">
        <f t="shared" ca="1" si="5"/>
        <v>#REF!</v>
      </c>
      <c r="I13" s="220"/>
    </row>
    <row r="14" spans="1:9" ht="15.75" customHeight="1" x14ac:dyDescent="0.25">
      <c r="A14" s="166"/>
      <c r="B14" s="173" t="e">
        <f t="shared" ca="1" si="0"/>
        <v>#REF!</v>
      </c>
      <c r="C14" s="194"/>
      <c r="D14" s="218" t="e">
        <f t="shared" ca="1" si="1"/>
        <v>#REF!</v>
      </c>
      <c r="E14" s="218" t="e">
        <f t="shared" ca="1" si="2"/>
        <v>#REF!</v>
      </c>
      <c r="F14" s="218" t="e">
        <f t="shared" ca="1" si="3"/>
        <v>#REF!</v>
      </c>
      <c r="G14" s="218" t="e">
        <f t="shared" ca="1" si="4"/>
        <v>#REF!</v>
      </c>
      <c r="H14" s="221" t="e">
        <f t="shared" ca="1" si="5"/>
        <v>#REF!</v>
      </c>
      <c r="I14" s="220"/>
    </row>
    <row r="15" spans="1:9" ht="15.75" customHeight="1" x14ac:dyDescent="0.25">
      <c r="A15" s="166"/>
      <c r="B15" s="173" t="e">
        <f t="shared" ca="1" si="0"/>
        <v>#REF!</v>
      </c>
      <c r="C15" s="194"/>
      <c r="D15" s="218" t="e">
        <f t="shared" ca="1" si="1"/>
        <v>#REF!</v>
      </c>
      <c r="E15" s="218" t="e">
        <f t="shared" ca="1" si="2"/>
        <v>#REF!</v>
      </c>
      <c r="F15" s="218" t="e">
        <f t="shared" ca="1" si="3"/>
        <v>#REF!</v>
      </c>
      <c r="G15" s="218" t="e">
        <f t="shared" ca="1" si="4"/>
        <v>#REF!</v>
      </c>
      <c r="H15" s="221" t="e">
        <f t="shared" ca="1" si="5"/>
        <v>#REF!</v>
      </c>
      <c r="I15" s="220"/>
    </row>
    <row r="16" spans="1:9" ht="15.75" customHeight="1" x14ac:dyDescent="0.25">
      <c r="A16" s="166"/>
      <c r="B16" s="173" t="e">
        <f t="shared" ca="1" si="0"/>
        <v>#REF!</v>
      </c>
      <c r="C16" s="194"/>
      <c r="D16" s="218" t="e">
        <f t="shared" ca="1" si="1"/>
        <v>#REF!</v>
      </c>
      <c r="E16" s="218" t="e">
        <f t="shared" ca="1" si="2"/>
        <v>#REF!</v>
      </c>
      <c r="F16" s="218" t="e">
        <f t="shared" ca="1" si="3"/>
        <v>#REF!</v>
      </c>
      <c r="G16" s="218" t="e">
        <f t="shared" ca="1" si="4"/>
        <v>#REF!</v>
      </c>
      <c r="H16" s="221" t="e">
        <f t="shared" ca="1" si="5"/>
        <v>#REF!</v>
      </c>
      <c r="I16" s="220"/>
    </row>
    <row r="17" spans="1:9" ht="15.75" customHeight="1" x14ac:dyDescent="0.25">
      <c r="A17" s="166"/>
      <c r="B17" s="173" t="e">
        <f t="shared" ca="1" si="0"/>
        <v>#REF!</v>
      </c>
      <c r="C17" s="194"/>
      <c r="D17" s="218" t="e">
        <f t="shared" ca="1" si="1"/>
        <v>#REF!</v>
      </c>
      <c r="E17" s="218" t="e">
        <f t="shared" ca="1" si="2"/>
        <v>#REF!</v>
      </c>
      <c r="F17" s="218" t="e">
        <f t="shared" ca="1" si="3"/>
        <v>#REF!</v>
      </c>
      <c r="G17" s="218" t="e">
        <f t="shared" ca="1" si="4"/>
        <v>#REF!</v>
      </c>
      <c r="H17" s="221" t="e">
        <f t="shared" ca="1" si="5"/>
        <v>#REF!</v>
      </c>
      <c r="I17" s="220"/>
    </row>
    <row r="18" spans="1:9" ht="15.75" customHeight="1" thickBot="1" x14ac:dyDescent="0.3">
      <c r="A18" s="166"/>
      <c r="B18" s="173" t="e">
        <f t="shared" ca="1" si="0"/>
        <v>#REF!</v>
      </c>
      <c r="C18" s="194"/>
      <c r="D18" s="218" t="e">
        <f t="shared" ca="1" si="1"/>
        <v>#REF!</v>
      </c>
      <c r="E18" s="218" t="e">
        <f t="shared" ca="1" si="2"/>
        <v>#REF!</v>
      </c>
      <c r="F18" s="218" t="e">
        <f t="shared" ca="1" si="3"/>
        <v>#REF!</v>
      </c>
      <c r="G18" s="218" t="e">
        <f t="shared" ca="1" si="4"/>
        <v>#REF!</v>
      </c>
      <c r="H18" s="221" t="e">
        <f t="shared" ca="1" si="5"/>
        <v>#REF!</v>
      </c>
      <c r="I18" s="220"/>
    </row>
    <row r="19" spans="1:9" ht="15.75" customHeight="1" thickBot="1" x14ac:dyDescent="0.3">
      <c r="A19" s="166"/>
      <c r="B19" s="272" t="s">
        <v>14</v>
      </c>
      <c r="C19" s="273"/>
      <c r="D19" s="222" t="e">
        <f ca="1">IF(COUNTIF(D10:D15,"=0")&gt;0,0,AVERAGE(D10:D15))</f>
        <v>#REF!</v>
      </c>
      <c r="E19" s="222" t="e">
        <f ca="1">IF(COUNTIF(E10:E15,"=0")&gt;0,0,AVERAGE(E10:E15))</f>
        <v>#REF!</v>
      </c>
      <c r="F19" s="222" t="e">
        <f ca="1">IF(COUNTIF(F10:F15,"=0")&gt;0,0,AVERAGE(F10:F15))</f>
        <v>#REF!</v>
      </c>
      <c r="G19" s="222" t="e">
        <f ca="1">IF(COUNTIF(G10:G15,"=0")&gt;0,0,AVERAGE(G10:G15))</f>
        <v>#REF!</v>
      </c>
      <c r="H19" s="223" t="e">
        <f ca="1">IF(COUNTIF(H10:H15,"=0")&gt;0,0,AVERAGE(H10:H15))</f>
        <v>#REF!</v>
      </c>
      <c r="I19" s="220"/>
    </row>
    <row r="20" spans="1:9" ht="15.75" customHeight="1" x14ac:dyDescent="0.25">
      <c r="B20" s="174"/>
      <c r="C20" s="175"/>
      <c r="D20" s="220"/>
      <c r="E20" s="220"/>
      <c r="F20" s="220"/>
      <c r="G20" s="220"/>
      <c r="H20" s="220"/>
      <c r="I20" s="220"/>
    </row>
    <row r="21" spans="1:9" ht="15.75" customHeight="1" x14ac:dyDescent="0.25">
      <c r="B21" s="174"/>
      <c r="C21" s="175"/>
      <c r="D21" s="220"/>
      <c r="E21" s="220"/>
      <c r="F21" s="220"/>
      <c r="G21" s="220"/>
      <c r="H21" s="220"/>
      <c r="I21" s="220"/>
    </row>
    <row r="22" spans="1:9" ht="15.75" customHeight="1" x14ac:dyDescent="0.25">
      <c r="B22" s="86"/>
      <c r="D22" s="224"/>
      <c r="E22" s="224"/>
      <c r="F22" s="224"/>
      <c r="G22" s="224"/>
      <c r="H22" s="224"/>
      <c r="I22" s="172"/>
    </row>
    <row r="23" spans="1:9" x14ac:dyDescent="0.25">
      <c r="D23" s="225"/>
      <c r="E23" s="225"/>
      <c r="F23" s="225"/>
      <c r="G23" s="225"/>
      <c r="H23" s="225"/>
      <c r="I23" s="225"/>
    </row>
  </sheetData>
  <mergeCells count="4">
    <mergeCell ref="B19:C19"/>
    <mergeCell ref="C4:H4"/>
    <mergeCell ref="B7:H7"/>
    <mergeCell ref="C3:H3"/>
  </mergeCells>
  <phoneticPr fontId="27" type="noConversion"/>
  <conditionalFormatting sqref="D10:G19">
    <cfRule type="cellIs" dxfId="1955" priority="33" operator="lessThan">
      <formula>-0.03</formula>
    </cfRule>
    <cfRule type="cellIs" dxfId="1954" priority="34" operator="greaterThan">
      <formula>0.03</formula>
    </cfRule>
  </conditionalFormatting>
  <conditionalFormatting sqref="H9">
    <cfRule type="cellIs" dxfId="1953" priority="5" operator="greaterThan">
      <formula>-0.03</formula>
    </cfRule>
    <cfRule type="cellIs" dxfId="1952" priority="6" operator="lessThan">
      <formula>0.03</formula>
    </cfRule>
  </conditionalFormatting>
  <conditionalFormatting sqref="D9:G9">
    <cfRule type="cellIs" dxfId="1951" priority="3" operator="lessThan">
      <formula>-0.03</formula>
    </cfRule>
    <cfRule type="cellIs" dxfId="1950" priority="4" operator="greaterThan">
      <formula>0.03</formula>
    </cfRule>
  </conditionalFormatting>
  <conditionalFormatting sqref="H10:H19">
    <cfRule type="cellIs" dxfId="1949" priority="1" operator="lessThan">
      <formula>-0.03</formula>
    </cfRule>
    <cfRule type="cellIs" dxfId="1948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10" bestFit="1" customWidth="1"/>
    <col min="2" max="2" width="19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18.5" style="210" bestFit="1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21.5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9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18</v>
      </c>
      <c r="M3" s="85" t="s">
        <v>19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23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36.765127999999997</v>
      </c>
      <c r="I7" s="10"/>
      <c r="J7" s="228">
        <f ca="1">H7/D7-1</f>
        <v>-7.2459854695775539E-3</v>
      </c>
      <c r="L7" s="74">
        <f ca="1">INDIRECT($B7&amp;"!"&amp;L$3&amp;"5")</f>
        <v>27.262733600000001</v>
      </c>
      <c r="M7" s="75">
        <f ca="1">INDIRECT($B7&amp;"!"&amp;M$3&amp;"5")</f>
        <v>27.822966466666667</v>
      </c>
      <c r="N7" s="76">
        <f ca="1">M7-L7</f>
        <v>0.5602328666666665</v>
      </c>
      <c r="O7" s="226"/>
      <c r="P7" s="228">
        <f ca="1">bdrate(D7:D10,L7:L10,H7:H10,M7:M10)</f>
        <v>-0.12693418529123979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52.578200000000002</v>
      </c>
      <c r="I8" s="10"/>
      <c r="J8" s="228">
        <f ca="1">H8/D8-1</f>
        <v>-1.2493715653964177E-2</v>
      </c>
      <c r="L8" s="74">
        <f ca="1">INDIRECT($B8&amp;"!"&amp;L$3&amp;"6")</f>
        <v>30.5955504</v>
      </c>
      <c r="M8" s="75">
        <f ca="1">INDIRECT($B8&amp;"!"&amp;M$3&amp;"6")</f>
        <v>31.686627600000001</v>
      </c>
      <c r="N8" s="76">
        <f ca="1">M8-L8</f>
        <v>1.0910772000000009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75.776312000000004</v>
      </c>
      <c r="I9" s="10"/>
      <c r="J9" s="228">
        <f ca="1">H9/D9-1</f>
        <v>-1.2986592115783679E-2</v>
      </c>
      <c r="L9" s="74">
        <f ca="1">INDIRECT($B9&amp;"!"&amp;L$3&amp;"7")</f>
        <v>35.178384000000008</v>
      </c>
      <c r="M9" s="75">
        <f ca="1">INDIRECT($B9&amp;"!"&amp;M$3&amp;"7")</f>
        <v>37.123177800000001</v>
      </c>
      <c r="N9" s="76">
        <f ca="1">M9-L9</f>
        <v>1.9447937999999922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107.76456800000001</v>
      </c>
      <c r="I10" s="10"/>
      <c r="J10" s="228">
        <f ca="1">H10/D10-1</f>
        <v>-1.0081746732618191E-2</v>
      </c>
      <c r="L10" s="74">
        <f ca="1">INDIRECT($B10&amp;"!"&amp;L$3&amp;"8")</f>
        <v>37.847506266666663</v>
      </c>
      <c r="M10" s="75">
        <f ca="1">INDIRECT($B10&amp;"!"&amp;M$3&amp;"8")</f>
        <v>40.494321266666667</v>
      </c>
      <c r="N10" s="76">
        <f ca="1">M10-L10</f>
        <v>2.6468150000000037</v>
      </c>
      <c r="O10" s="226"/>
      <c r="P10" s="231">
        <f ca="1">bdrate(L7:L10,D7:D10,M7:M10,H7:H10)</f>
        <v>5.3750847097432164E-2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36.765127999999997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201"/>
      <c r="C14" s="201"/>
      <c r="D14" s="235"/>
      <c r="E14" s="226"/>
      <c r="F14" s="201"/>
      <c r="G14" s="201"/>
      <c r="H14" s="235"/>
      <c r="I14" s="10"/>
      <c r="J14" s="198"/>
      <c r="L14" s="199"/>
      <c r="M14" s="199"/>
      <c r="N14" s="200"/>
      <c r="O14" s="226"/>
      <c r="P14" s="211"/>
      <c r="Q14" s="226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23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37.658511999999995</v>
      </c>
      <c r="I18" s="10"/>
      <c r="J18" s="228">
        <f ca="1">H18/D18-1</f>
        <v>-7.5555258519074409E-3</v>
      </c>
      <c r="L18" s="74">
        <f ca="1">INDIRECT($B18&amp;"!"&amp;L$3&amp;"5")</f>
        <v>27.225800466666666</v>
      </c>
      <c r="M18" s="75">
        <f ca="1">INDIRECT($B18&amp;"!"&amp;M$3&amp;"5")</f>
        <v>27.797253333333334</v>
      </c>
      <c r="N18" s="76">
        <f ca="1">M18-L18</f>
        <v>0.57145286666666806</v>
      </c>
      <c r="O18" s="226"/>
      <c r="P18" s="228">
        <f ca="1">bdrate(D18:D21,L18:L21,H18:H21,M18:M21)</f>
        <v>-0.12865720496899469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53.984232000000013</v>
      </c>
      <c r="I19" s="10"/>
      <c r="J19" s="228">
        <f ca="1">H19/D19-1</f>
        <v>-1.2752670150204759E-2</v>
      </c>
      <c r="L19" s="74">
        <f ca="1">INDIRECT($B19&amp;"!"&amp;L$3&amp;"6")</f>
        <v>30.717614933333337</v>
      </c>
      <c r="M19" s="75">
        <f ca="1">INDIRECT($B19&amp;"!"&amp;M$3&amp;"6")</f>
        <v>31.793362666666663</v>
      </c>
      <c r="N19" s="76">
        <f ca="1">M19-L19</f>
        <v>1.0757477333333263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78.027391999999978</v>
      </c>
      <c r="I20" s="10"/>
      <c r="J20" s="228">
        <f ca="1">H20/D20-1</f>
        <v>-1.2821227803486823E-2</v>
      </c>
      <c r="L20" s="74">
        <f ca="1">INDIRECT($B20&amp;"!"&amp;L$3&amp;"7")</f>
        <v>35.108155866666671</v>
      </c>
      <c r="M20" s="75">
        <f ca="1">INDIRECT($B20&amp;"!"&amp;M$3&amp;"7")</f>
        <v>37.089000133333336</v>
      </c>
      <c r="N20" s="76">
        <f ca="1">M20-L20</f>
        <v>1.980844266666665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111.03830400000001</v>
      </c>
      <c r="I21" s="10"/>
      <c r="J21" s="228">
        <f ca="1">H21/D21-1</f>
        <v>-9.8617987076785596E-3</v>
      </c>
      <c r="L21" s="74">
        <f ca="1">INDIRECT($B21&amp;"!"&amp;L$3&amp;"8")</f>
        <v>37.605895933333336</v>
      </c>
      <c r="M21" s="75">
        <f ca="1">INDIRECT($B21&amp;"!"&amp;M$3&amp;"8")</f>
        <v>40.211845533333332</v>
      </c>
      <c r="N21" s="76">
        <f ca="1">M21-L21</f>
        <v>2.6059495999999953</v>
      </c>
      <c r="O21" s="226"/>
      <c r="P21" s="231">
        <f ca="1">bdrate(L18:L21,D18:D21,M18:M21,H18:H21)</f>
        <v>5.3889255118400259E-2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37.658511999999995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23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27.221728000000002</v>
      </c>
      <c r="I29" s="10"/>
      <c r="J29" s="228">
        <f ca="1">H29/D29-1</f>
        <v>-8.5794318566547734E-3</v>
      </c>
      <c r="L29" s="74">
        <f ca="1">INDIRECT($B29&amp;"!"&amp;L$3&amp;"5")</f>
        <v>30.246270333333335</v>
      </c>
      <c r="M29" s="75">
        <f ca="1">INDIRECT($B29&amp;"!"&amp;M$3&amp;"5")</f>
        <v>30.527118619047616</v>
      </c>
      <c r="N29" s="76">
        <f ca="1">M29-L29</f>
        <v>0.28084828571428133</v>
      </c>
      <c r="O29" s="226"/>
      <c r="P29" s="228">
        <f ca="1">bdrate(D29:D32,L29:L32,H29:H32,M29:M32)</f>
        <v>-0.12672850309828387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39.182120000000005</v>
      </c>
      <c r="I30" s="10"/>
      <c r="J30" s="228">
        <f ca="1">H30/D30-1</f>
        <v>-1.3834563515282561E-2</v>
      </c>
      <c r="L30" s="74">
        <f ca="1">INDIRECT($B30&amp;"!"&amp;L$3&amp;"6")</f>
        <v>33.072678761904761</v>
      </c>
      <c r="M30" s="75">
        <f ca="1">INDIRECT($B30&amp;"!"&amp;M$3&amp;"6")</f>
        <v>33.859525571428577</v>
      </c>
      <c r="N30" s="76">
        <f ca="1">M30-L30</f>
        <v>0.78684680952381569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58.803095999999996</v>
      </c>
      <c r="I31" s="10"/>
      <c r="J31" s="228">
        <f ca="1">H31/D31-1</f>
        <v>-1.2575366086879813E-2</v>
      </c>
      <c r="L31" s="74">
        <f ca="1">INDIRECT($B31&amp;"!"&amp;L$3&amp;"7")</f>
        <v>36.281602476190471</v>
      </c>
      <c r="M31" s="75">
        <f ca="1">INDIRECT($B31&amp;"!"&amp;M$3&amp;"7")</f>
        <v>37.726022619047612</v>
      </c>
      <c r="N31" s="76">
        <f ca="1">M31-L31</f>
        <v>1.4444201428571404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86.195664000000008</v>
      </c>
      <c r="I32" s="10"/>
      <c r="J32" s="228">
        <f ca="1">H32/D32-1</f>
        <v>-9.1493908192313844E-3</v>
      </c>
      <c r="L32" s="74">
        <f ca="1">INDIRECT($B32&amp;"!"&amp;L$3&amp;"8")</f>
        <v>39.436459095238085</v>
      </c>
      <c r="M32" s="75">
        <f ca="1">INDIRECT($B32&amp;"!"&amp;M$3&amp;"8")</f>
        <v>41.74372128571428</v>
      </c>
      <c r="N32" s="76">
        <f ca="1">M32-L32</f>
        <v>2.3072621904761945</v>
      </c>
      <c r="O32" s="226"/>
      <c r="P32" s="231">
        <f ca="1">bdrate(L29:L32,D29:D32,M29:M32,H29:H32)</f>
        <v>4.0026126160646047E-2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27.221728000000002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23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28.063080000000003</v>
      </c>
      <c r="I40" s="10"/>
      <c r="J40" s="228">
        <f ca="1">H40/D40-1</f>
        <v>-8.9617318989739791E-3</v>
      </c>
      <c r="L40" s="74">
        <f ca="1">INDIRECT($B40&amp;"!"&amp;L$3&amp;"5")</f>
        <v>30.214093190476195</v>
      </c>
      <c r="M40" s="75">
        <f ca="1">INDIRECT($B40&amp;"!"&amp;M$3&amp;"5")</f>
        <v>30.57322266666667</v>
      </c>
      <c r="N40" s="76">
        <f ca="1">M40-L40</f>
        <v>0.35912947619047486</v>
      </c>
      <c r="O40" s="226"/>
      <c r="P40" s="228">
        <f ca="1">bdrate(D40:D43,L40:L43,H40:H43,M40:M43)</f>
        <v>-0.14136539253158431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40.549728000000002</v>
      </c>
      <c r="I41" s="10"/>
      <c r="J41" s="228">
        <f ca="1">H41/D41-1</f>
        <v>-1.4023860053182235E-2</v>
      </c>
      <c r="L41" s="74">
        <f ca="1">INDIRECT($B41&amp;"!"&amp;L$3&amp;"6")</f>
        <v>32.999578714285725</v>
      </c>
      <c r="M41" s="75">
        <f ca="1">INDIRECT($B41&amp;"!"&amp;M$3&amp;"6")</f>
        <v>33.892589761904759</v>
      </c>
      <c r="N41" s="76">
        <f ca="1">M41-L41</f>
        <v>0.8930110476190336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61.100839999999998</v>
      </c>
      <c r="I42" s="10"/>
      <c r="J42" s="228">
        <f ca="1">H42/D42-1</f>
        <v>-1.2352695480355336E-2</v>
      </c>
      <c r="L42" s="74">
        <f ca="1">INDIRECT($B42&amp;"!"&amp;L$3&amp;"7")</f>
        <v>36.248342999999991</v>
      </c>
      <c r="M42" s="75">
        <f ca="1">INDIRECT($B42&amp;"!"&amp;M$3&amp;"7")</f>
        <v>37.87540666666667</v>
      </c>
      <c r="N42" s="76">
        <f ca="1">M42-L42</f>
        <v>1.6270636666666789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89.609776000000011</v>
      </c>
      <c r="I43" s="10"/>
      <c r="J43" s="228">
        <f ca="1">H43/D43-1</f>
        <v>-8.9251594505266318E-3</v>
      </c>
      <c r="L43" s="74">
        <f ca="1">INDIRECT($B43&amp;"!"&amp;L$3&amp;"8")</f>
        <v>39.028174857142858</v>
      </c>
      <c r="M43" s="75">
        <f ca="1">INDIRECT($B43&amp;"!"&amp;M$3&amp;"8")</f>
        <v>41.65032038095238</v>
      </c>
      <c r="N43" s="76">
        <f ca="1">M43-L43</f>
        <v>2.6221455238095217</v>
      </c>
      <c r="O43" s="226"/>
      <c r="P43" s="231">
        <f ca="1">bdrate(L40:L43,D40:D43,M40:M43,H40:H43)</f>
        <v>4.4966691276830062E-2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28.063080000000003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23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23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23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23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23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23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30"/>
    </row>
    <row r="116" spans="28:28" ht="16.5" customHeight="1" x14ac:dyDescent="0.25">
      <c r="AB116" s="230"/>
    </row>
    <row r="118" spans="28:28" ht="16.5" customHeight="1" x14ac:dyDescent="0.25"/>
    <row r="119" spans="28:28" ht="16.5" customHeight="1" x14ac:dyDescent="0.25"/>
    <row r="123" spans="28:28" x14ac:dyDescent="0.25">
      <c r="AB123" s="230"/>
    </row>
    <row r="126" spans="28:28" ht="16.5" customHeight="1" x14ac:dyDescent="0.25">
      <c r="AB126" s="230"/>
    </row>
    <row r="128" spans="28:28" ht="16.5" customHeight="1" x14ac:dyDescent="0.25"/>
    <row r="129" spans="28:28" ht="16.5" customHeight="1" x14ac:dyDescent="0.25"/>
    <row r="133" spans="28:28" x14ac:dyDescent="0.25">
      <c r="AB133" s="230"/>
    </row>
    <row r="136" spans="28:28" ht="16.5" customHeight="1" x14ac:dyDescent="0.25">
      <c r="AB136" s="230"/>
    </row>
    <row r="138" spans="28:28" ht="16.5" customHeight="1" x14ac:dyDescent="0.25"/>
    <row r="139" spans="28:28" ht="16.5" customHeight="1" x14ac:dyDescent="0.25"/>
    <row r="143" spans="28:28" x14ac:dyDescent="0.25">
      <c r="AB143" s="230"/>
    </row>
    <row r="146" spans="28:28" ht="16.5" customHeight="1" x14ac:dyDescent="0.25">
      <c r="AB146" s="230"/>
    </row>
    <row r="148" spans="28:28" ht="16.5" customHeight="1" x14ac:dyDescent="0.25"/>
    <row r="149" spans="28:28" ht="16.5" customHeight="1" x14ac:dyDescent="0.25"/>
    <row r="153" spans="28:28" x14ac:dyDescent="0.25">
      <c r="AB153" s="230"/>
    </row>
    <row r="156" spans="28:28" ht="16.5" customHeight="1" x14ac:dyDescent="0.25">
      <c r="AB156" s="230"/>
    </row>
    <row r="158" spans="28:28" ht="16.5" customHeight="1" x14ac:dyDescent="0.25"/>
    <row r="159" spans="28:28" ht="16.5" customHeight="1" x14ac:dyDescent="0.25"/>
    <row r="163" spans="28:28" x14ac:dyDescent="0.25">
      <c r="AB163" s="230"/>
    </row>
    <row r="166" spans="28:28" ht="16.5" customHeight="1" x14ac:dyDescent="0.25">
      <c r="AB166" s="230"/>
    </row>
    <row r="168" spans="28:28" ht="16.5" customHeight="1" x14ac:dyDescent="0.25"/>
    <row r="169" spans="28:28" ht="16.5" customHeight="1" x14ac:dyDescent="0.25"/>
    <row r="173" spans="28:28" x14ac:dyDescent="0.25">
      <c r="AB173" s="230"/>
    </row>
    <row r="176" spans="28:28" ht="16.5" customHeight="1" x14ac:dyDescent="0.25">
      <c r="AB176" s="230"/>
    </row>
    <row r="178" spans="2:28" ht="16.5" customHeight="1" x14ac:dyDescent="0.25"/>
    <row r="179" spans="2:28" ht="16.5" customHeight="1" x14ac:dyDescent="0.25"/>
    <row r="182" spans="2:28" x14ac:dyDescent="0.25">
      <c r="B182" s="181"/>
      <c r="C182" s="181"/>
      <c r="D182" s="3"/>
      <c r="E182" s="3"/>
      <c r="F182" s="3"/>
      <c r="G182" s="3"/>
      <c r="H182" s="3"/>
      <c r="I182" s="3"/>
      <c r="J182" s="3"/>
      <c r="L182" s="181"/>
      <c r="M182" s="181"/>
      <c r="N182" s="3"/>
      <c r="O182" s="3"/>
      <c r="P182" s="3"/>
      <c r="Q182" s="3"/>
      <c r="R182" s="3"/>
      <c r="S182" s="3"/>
      <c r="T182" s="3"/>
      <c r="U182" s="3"/>
      <c r="V182" s="3"/>
      <c r="X182" s="181"/>
      <c r="Y182" s="181"/>
      <c r="Z182" s="181"/>
    </row>
    <row r="183" spans="2:28" x14ac:dyDescent="0.25">
      <c r="B183" s="38"/>
      <c r="C183" s="181"/>
      <c r="D183" s="226"/>
      <c r="E183" s="226"/>
      <c r="F183" s="226"/>
      <c r="G183" s="226"/>
      <c r="H183" s="10"/>
      <c r="I183" s="10"/>
      <c r="J183" s="10"/>
      <c r="L183" s="38"/>
      <c r="M183" s="181"/>
      <c r="N183" s="226"/>
      <c r="O183" s="226"/>
      <c r="P183" s="226"/>
      <c r="Q183" s="226"/>
      <c r="R183" s="10"/>
      <c r="S183" s="10"/>
      <c r="T183" s="10"/>
      <c r="U183" s="10"/>
      <c r="V183" s="229"/>
      <c r="X183" s="7"/>
      <c r="Y183" s="7"/>
      <c r="Z183" s="64"/>
      <c r="AB183" s="230"/>
    </row>
    <row r="184" spans="2:28" x14ac:dyDescent="0.25">
      <c r="B184" s="38"/>
      <c r="C184" s="181"/>
      <c r="D184" s="226"/>
      <c r="E184" s="226"/>
      <c r="F184" s="226"/>
      <c r="G184" s="226"/>
      <c r="H184" s="10"/>
      <c r="I184" s="10"/>
      <c r="J184" s="10"/>
      <c r="L184" s="38"/>
      <c r="M184" s="181"/>
      <c r="N184" s="226"/>
      <c r="O184" s="226"/>
      <c r="P184" s="226"/>
      <c r="Q184" s="226"/>
      <c r="R184" s="10"/>
      <c r="S184" s="10"/>
      <c r="T184" s="10"/>
      <c r="U184" s="10"/>
      <c r="V184" s="229"/>
      <c r="X184" s="7"/>
      <c r="Y184" s="7"/>
      <c r="Z184" s="64"/>
    </row>
    <row r="185" spans="2:28" x14ac:dyDescent="0.25">
      <c r="B185" s="38"/>
      <c r="C185" s="181"/>
      <c r="D185" s="226"/>
      <c r="E185" s="226"/>
      <c r="F185" s="226"/>
      <c r="G185" s="226"/>
      <c r="H185" s="10"/>
      <c r="I185" s="10"/>
      <c r="J185" s="10"/>
      <c r="L185" s="38"/>
      <c r="M185" s="181"/>
      <c r="N185" s="226"/>
      <c r="O185" s="226"/>
      <c r="P185" s="226"/>
      <c r="Q185" s="226"/>
      <c r="R185" s="10"/>
      <c r="S185" s="10"/>
      <c r="T185" s="10"/>
      <c r="U185" s="10"/>
      <c r="V185" s="229"/>
      <c r="X185" s="7"/>
      <c r="Y185" s="7"/>
      <c r="Z185" s="64"/>
    </row>
    <row r="186" spans="2:28" ht="16.5" customHeight="1" x14ac:dyDescent="0.25">
      <c r="B186" s="38"/>
      <c r="C186" s="181"/>
      <c r="D186" s="226"/>
      <c r="E186" s="226"/>
      <c r="F186" s="226"/>
      <c r="G186" s="226"/>
      <c r="H186" s="10"/>
      <c r="I186" s="10"/>
      <c r="J186" s="10"/>
      <c r="L186" s="38"/>
      <c r="M186" s="181"/>
      <c r="N186" s="226"/>
      <c r="O186" s="226"/>
      <c r="P186" s="226"/>
      <c r="Q186" s="226"/>
      <c r="R186" s="10"/>
      <c r="S186" s="10"/>
      <c r="T186" s="10"/>
      <c r="U186" s="10"/>
      <c r="V186" s="229"/>
      <c r="X186" s="7"/>
      <c r="Y186" s="7"/>
      <c r="Z186" s="64"/>
      <c r="AB186" s="230"/>
    </row>
    <row r="187" spans="2:28" x14ac:dyDescent="0.25">
      <c r="B187" s="38"/>
      <c r="C187" s="181"/>
      <c r="D187" s="226"/>
      <c r="E187" s="226"/>
      <c r="F187" s="226"/>
      <c r="G187" s="226"/>
      <c r="H187" s="10"/>
      <c r="I187" s="10"/>
      <c r="J187" s="10"/>
      <c r="L187" s="38"/>
      <c r="M187" s="181"/>
      <c r="N187" s="226"/>
      <c r="O187" s="226"/>
      <c r="P187" s="226"/>
      <c r="Q187" s="226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6"/>
      <c r="E188" s="226"/>
      <c r="F188" s="226"/>
      <c r="G188" s="226"/>
      <c r="H188" s="10"/>
      <c r="I188" s="10"/>
      <c r="J188" s="10"/>
      <c r="L188" s="38"/>
      <c r="M188" s="181"/>
      <c r="N188" s="226"/>
      <c r="O188" s="226"/>
      <c r="P188" s="226"/>
      <c r="Q188" s="226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workbookViewId="0">
      <selection activeCell="R25" sqref="R25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32</v>
      </c>
      <c r="M3" s="85" t="s">
        <v>33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34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36.765127999999997</v>
      </c>
      <c r="I7" s="10"/>
      <c r="J7" s="228">
        <f ca="1">H7/D7-1</f>
        <v>-7.2459854695775539E-3</v>
      </c>
      <c r="L7" s="74">
        <f ca="1">INDIRECT($B7&amp;"!"&amp;L$3&amp;"5")</f>
        <v>32.469316800000001</v>
      </c>
      <c r="M7" s="75">
        <f ca="1">INDIRECT($B7&amp;"!"&amp;M$3&amp;"5")</f>
        <v>33.820223200000001</v>
      </c>
      <c r="N7" s="76">
        <f ca="1">M7-L7</f>
        <v>1.3509063999999995</v>
      </c>
      <c r="O7" s="226"/>
      <c r="P7" s="228">
        <f ca="1">bdrate(D7:D10,L7:L10,H7:H10,M7:M10)</f>
        <v>-0.159163779960244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52.578200000000002</v>
      </c>
      <c r="I8" s="10"/>
      <c r="J8" s="228">
        <f ca="1">H8/D8-1</f>
        <v>-1.2493715653964177E-2</v>
      </c>
      <c r="L8" s="74">
        <f ca="1">INDIRECT($B8&amp;"!"&amp;L$3&amp;"6")</f>
        <v>35.243102133333331</v>
      </c>
      <c r="M8" s="75">
        <f ca="1">INDIRECT($B8&amp;"!"&amp;M$3&amp;"6")</f>
        <v>36.696285600000003</v>
      </c>
      <c r="N8" s="76">
        <f ca="1">M8-L8</f>
        <v>1.4531834666666725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75.776312000000004</v>
      </c>
      <c r="I9" s="10"/>
      <c r="J9" s="228">
        <f ca="1">H9/D9-1</f>
        <v>-1.2986592115783679E-2</v>
      </c>
      <c r="L9" s="74">
        <f ca="1">INDIRECT($B9&amp;"!"&amp;L$3&amp;"7")</f>
        <v>39.28737146666667</v>
      </c>
      <c r="M9" s="75">
        <f ca="1">INDIRECT($B9&amp;"!"&amp;M$3&amp;"7")</f>
        <v>40.875319533333347</v>
      </c>
      <c r="N9" s="76">
        <f ca="1">M9-L9</f>
        <v>1.5879480666666765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107.76456800000001</v>
      </c>
      <c r="I10" s="10"/>
      <c r="J10" s="228">
        <f ca="1">H10/D10-1</f>
        <v>-1.0081746732618191E-2</v>
      </c>
      <c r="L10" s="74">
        <f ca="1">INDIRECT($B10&amp;"!"&amp;L$3&amp;"8")</f>
        <v>41.929521733333331</v>
      </c>
      <c r="M10" s="75">
        <f ca="1">INDIRECT($B10&amp;"!"&amp;M$3&amp;"8")</f>
        <v>43.880696399999998</v>
      </c>
      <c r="N10" s="76">
        <f ca="1">M10-L10</f>
        <v>1.9511746666666667</v>
      </c>
      <c r="O10" s="226"/>
      <c r="P10" s="231">
        <f ca="1">bdrate(L7:L10,D7:D10,M7:M10,H7:H10)</f>
        <v>4.4814020666801291E-2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36.765127999999997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34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37.658511999999995</v>
      </c>
      <c r="I18" s="10"/>
      <c r="J18" s="228">
        <f ca="1">H18/D18-1</f>
        <v>-7.5555258519074409E-3</v>
      </c>
      <c r="L18" s="74">
        <f ca="1">INDIRECT($B18&amp;"!"&amp;L$3&amp;"5")</f>
        <v>32.321196866666668</v>
      </c>
      <c r="M18" s="75">
        <f ca="1">INDIRECT($B18&amp;"!"&amp;M$3&amp;"5")</f>
        <v>33.78524946666667</v>
      </c>
      <c r="N18" s="76">
        <f ca="1">M18-L18</f>
        <v>1.4640526000000023</v>
      </c>
      <c r="O18" s="226"/>
      <c r="P18" s="228">
        <f ca="1">bdrate(D18:D21,L18:L21,H18:H21,M18:M21)</f>
        <v>-0.16467269294497799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53.984232000000013</v>
      </c>
      <c r="I19" s="10"/>
      <c r="J19" s="228">
        <f ca="1">H19/D19-1</f>
        <v>-1.2752670150204759E-2</v>
      </c>
      <c r="L19" s="74">
        <f ca="1">INDIRECT($B19&amp;"!"&amp;L$3&amp;"6")</f>
        <v>35.232715600000006</v>
      </c>
      <c r="M19" s="75">
        <f ca="1">INDIRECT($B19&amp;"!"&amp;M$3&amp;"6")</f>
        <v>36.740322599999999</v>
      </c>
      <c r="N19" s="76">
        <f ca="1">M19-L19</f>
        <v>1.507606999999993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78.027391999999978</v>
      </c>
      <c r="I20" s="10"/>
      <c r="J20" s="228">
        <f ca="1">H20/D20-1</f>
        <v>-1.2821227803486823E-2</v>
      </c>
      <c r="L20" s="74">
        <f ca="1">INDIRECT($B20&amp;"!"&amp;L$3&amp;"7")</f>
        <v>39.210842266666667</v>
      </c>
      <c r="M20" s="75">
        <f ca="1">INDIRECT($B20&amp;"!"&amp;M$3&amp;"7")</f>
        <v>40.800833266666672</v>
      </c>
      <c r="N20" s="76">
        <f ca="1">M20-L20</f>
        <v>1.5899910000000048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111.03830400000001</v>
      </c>
      <c r="I21" s="10"/>
      <c r="J21" s="228">
        <f ca="1">H21/D21-1</f>
        <v>-9.8617987076785596E-3</v>
      </c>
      <c r="L21" s="74">
        <f ca="1">INDIRECT($B21&amp;"!"&amp;L$3&amp;"8")</f>
        <v>41.687570999999998</v>
      </c>
      <c r="M21" s="75">
        <f ca="1">INDIRECT($B21&amp;"!"&amp;M$3&amp;"8")</f>
        <v>43.648699200000003</v>
      </c>
      <c r="N21" s="76">
        <f ca="1">M21-L21</f>
        <v>1.9611282000000045</v>
      </c>
      <c r="O21" s="226"/>
      <c r="P21" s="231">
        <f ca="1">bdrate(L18:L21,D18:D21,M18:M21,H18:H21)</f>
        <v>4.5594023799774064E-2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37.658511999999995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34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27.221728000000002</v>
      </c>
      <c r="I29" s="10"/>
      <c r="J29" s="228">
        <f ca="1">H29/D29-1</f>
        <v>-8.5794318566547734E-3</v>
      </c>
      <c r="L29" s="74">
        <f ca="1">INDIRECT($B29&amp;"!"&amp;L$3&amp;"5")</f>
        <v>33.862599857142854</v>
      </c>
      <c r="M29" s="75">
        <f ca="1">INDIRECT($B29&amp;"!"&amp;M$3&amp;"5")</f>
        <v>34.423260904761896</v>
      </c>
      <c r="N29" s="76">
        <f ca="1">M29-L29</f>
        <v>0.56066104761904256</v>
      </c>
      <c r="O29" s="226"/>
      <c r="P29" s="228">
        <f ca="1">bdrate(D29:D32,L29:L32,H29:H32,M29:M32)</f>
        <v>-9.3221763512694622E-2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39.182120000000005</v>
      </c>
      <c r="I30" s="10"/>
      <c r="J30" s="228">
        <f ca="1">H30/D30-1</f>
        <v>-1.3834563515282561E-2</v>
      </c>
      <c r="L30" s="74">
        <f ca="1">INDIRECT($B30&amp;"!"&amp;L$3&amp;"6")</f>
        <v>36.632195285714296</v>
      </c>
      <c r="M30" s="75">
        <f ca="1">INDIRECT($B30&amp;"!"&amp;M$3&amp;"6")</f>
        <v>37.285611523809536</v>
      </c>
      <c r="N30" s="76">
        <f ca="1">M30-L30</f>
        <v>0.65341623809523952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58.803095999999996</v>
      </c>
      <c r="I31" s="10"/>
      <c r="J31" s="228">
        <f ca="1">H31/D31-1</f>
        <v>-1.2575366086879813E-2</v>
      </c>
      <c r="L31" s="74">
        <f ca="1">INDIRECT($B31&amp;"!"&amp;L$3&amp;"7")</f>
        <v>40.251414476190476</v>
      </c>
      <c r="M31" s="75">
        <f ca="1">INDIRECT($B31&amp;"!"&amp;M$3&amp;"7")</f>
        <v>41.029849857142857</v>
      </c>
      <c r="N31" s="76">
        <f ca="1">M31-L31</f>
        <v>0.77843538095238074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86.195664000000008</v>
      </c>
      <c r="I32" s="10"/>
      <c r="J32" s="228">
        <f ca="1">H32/D32-1</f>
        <v>-9.1493908192313844E-3</v>
      </c>
      <c r="L32" s="74">
        <f ca="1">INDIRECT($B32&amp;"!"&amp;L$3&amp;"8")</f>
        <v>43.588469761904761</v>
      </c>
      <c r="M32" s="75">
        <f ca="1">INDIRECT($B32&amp;"!"&amp;M$3&amp;"8")</f>
        <v>44.836356380952374</v>
      </c>
      <c r="N32" s="76">
        <f ca="1">M32-L32</f>
        <v>1.2478866190476126</v>
      </c>
      <c r="O32" s="226"/>
      <c r="P32" s="231">
        <f ca="1">bdrate(L29:L32,D29:D32,M29:M32,H29:H32)</f>
        <v>2.3220785084914652E-2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27.221728000000002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34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28.063080000000003</v>
      </c>
      <c r="I40" s="10"/>
      <c r="J40" s="228">
        <f ca="1">H40/D40-1</f>
        <v>-8.9617318989739791E-3</v>
      </c>
      <c r="L40" s="74">
        <f ca="1">INDIRECT($B40&amp;"!"&amp;L$3&amp;"5")</f>
        <v>33.832055285714283</v>
      </c>
      <c r="M40" s="75">
        <f ca="1">INDIRECT($B40&amp;"!"&amp;M$3&amp;"5")</f>
        <v>34.432709619047628</v>
      </c>
      <c r="N40" s="76">
        <f ca="1">M40-L40</f>
        <v>0.60065433333334539</v>
      </c>
      <c r="O40" s="226"/>
      <c r="P40" s="228">
        <f ca="1">bdrate(D40:D43,L40:L43,H40:H43,M40:M43)</f>
        <v>-0.10588961981508993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40.549728000000002</v>
      </c>
      <c r="I41" s="10"/>
      <c r="J41" s="228">
        <f ca="1">H41/D41-1</f>
        <v>-1.4023860053182235E-2</v>
      </c>
      <c r="L41" s="74">
        <f ca="1">INDIRECT($B41&amp;"!"&amp;L$3&amp;"6")</f>
        <v>36.531831238095236</v>
      </c>
      <c r="M41" s="75">
        <f ca="1">INDIRECT($B41&amp;"!"&amp;M$3&amp;"6")</f>
        <v>37.261800000000001</v>
      </c>
      <c r="N41" s="76">
        <f ca="1">M41-L41</f>
        <v>0.72996876190476456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61.100839999999998</v>
      </c>
      <c r="I42" s="10"/>
      <c r="J42" s="228">
        <f ca="1">H42/D42-1</f>
        <v>-1.2352695480355336E-2</v>
      </c>
      <c r="L42" s="74">
        <f ca="1">INDIRECT($B42&amp;"!"&amp;L$3&amp;"7")</f>
        <v>40.276491190476186</v>
      </c>
      <c r="M42" s="75">
        <f ca="1">INDIRECT($B42&amp;"!"&amp;M$3&amp;"7")</f>
        <v>41.190098428571432</v>
      </c>
      <c r="N42" s="76">
        <f ca="1">M42-L42</f>
        <v>0.91360723809524558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89.609776000000011</v>
      </c>
      <c r="I43" s="10"/>
      <c r="J43" s="228">
        <f ca="1">H43/D43-1</f>
        <v>-8.9251594505266318E-3</v>
      </c>
      <c r="L43" s="74">
        <f ca="1">INDIRECT($B43&amp;"!"&amp;L$3&amp;"8")</f>
        <v>43.229996952380951</v>
      </c>
      <c r="M43" s="75">
        <f ca="1">INDIRECT($B43&amp;"!"&amp;M$3&amp;"8")</f>
        <v>44.764042857142854</v>
      </c>
      <c r="N43" s="76">
        <f ca="1">M43-L43</f>
        <v>1.5340459047619035</v>
      </c>
      <c r="O43" s="226"/>
      <c r="P43" s="231">
        <f ca="1">bdrate(L40:L43,D40:D43,M40:M43,H40:H43)</f>
        <v>2.6659068717717282E-2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28.063080000000003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34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34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34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34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34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34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8" style="210" bestFit="1" customWidth="1"/>
    <col min="15" max="15" width="4.59765625" style="210" customWidth="1"/>
    <col min="16" max="16" width="9.6992187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35</v>
      </c>
      <c r="M3" s="85" t="s">
        <v>36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37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36.765127999999997</v>
      </c>
      <c r="I7" s="10"/>
      <c r="J7" s="228">
        <f ca="1">H7/D7-1</f>
        <v>-7.2459854695775539E-3</v>
      </c>
      <c r="L7" s="74">
        <f ca="1">INDIRECT($B7&amp;"!"&amp;L$3&amp;"5")</f>
        <v>0.95834516733333319</v>
      </c>
      <c r="M7" s="75">
        <f ca="1">INDIRECT($B7&amp;"!"&amp;M$3&amp;"5")</f>
        <v>0.95851933133333334</v>
      </c>
      <c r="N7" s="76">
        <f ca="1">M7-L7</f>
        <v>1.741640000001432E-4</v>
      </c>
      <c r="O7" s="226"/>
      <c r="P7" s="228">
        <f ca="1">bdrate(D7:D10,L7:L10,H7:H10,M7:M10)</f>
        <v>-1.2179417098426071E-2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52.578200000000002</v>
      </c>
      <c r="I8" s="10"/>
      <c r="J8" s="228">
        <f ca="1">H8/D8-1</f>
        <v>-1.2493715653964177E-2</v>
      </c>
      <c r="L8" s="74">
        <f ca="1">INDIRECT($B8&amp;"!"&amp;L$3&amp;"6")</f>
        <v>0.97572819666666666</v>
      </c>
      <c r="M8" s="75">
        <f ca="1">INDIRECT($B8&amp;"!"&amp;M$3&amp;"6")</f>
        <v>0.97568971599999987</v>
      </c>
      <c r="N8" s="76">
        <f ca="1">M8-L8</f>
        <v>-3.8480666666784735E-5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75.776312000000004</v>
      </c>
      <c r="I9" s="10"/>
      <c r="J9" s="228">
        <f ca="1">H9/D9-1</f>
        <v>-1.2986592115783679E-2</v>
      </c>
      <c r="L9" s="74">
        <f ca="1">INDIRECT($B9&amp;"!"&amp;L$3&amp;"7")</f>
        <v>0.98810945533333316</v>
      </c>
      <c r="M9" s="75">
        <f ca="1">INDIRECT($B9&amp;"!"&amp;M$3&amp;"7")</f>
        <v>0.98814772999999989</v>
      </c>
      <c r="N9" s="76">
        <f ca="1">M9-L9</f>
        <v>3.8274666666726631E-5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107.76456800000001</v>
      </c>
      <c r="I10" s="10"/>
      <c r="J10" s="228">
        <f ca="1">H10/D10-1</f>
        <v>-1.0081746732618191E-2</v>
      </c>
      <c r="L10" s="74">
        <f ca="1">INDIRECT($B10&amp;"!"&amp;L$3&amp;"8")</f>
        <v>0.99241337466666668</v>
      </c>
      <c r="M10" s="75">
        <f ca="1">INDIRECT($B10&amp;"!"&amp;M$3&amp;"8")</f>
        <v>0.99247828666666671</v>
      </c>
      <c r="N10" s="76">
        <f ca="1">M10-L10</f>
        <v>6.4912000000028058E-5</v>
      </c>
      <c r="O10" s="226"/>
      <c r="P10" s="231">
        <f ca="1">bdrate(L7:L10,D7:D10,M7:M10,H7:H10)</f>
        <v>3.5919742712131608E-4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36.765127999999997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37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37.658511999999995</v>
      </c>
      <c r="I18" s="10"/>
      <c r="J18" s="228">
        <f ca="1">H18/D18-1</f>
        <v>-7.5555258519074409E-3</v>
      </c>
      <c r="L18" s="74">
        <f ca="1">INDIRECT($B18&amp;"!"&amp;L$3&amp;"5")</f>
        <v>0.95700066866666644</v>
      </c>
      <c r="M18" s="75">
        <f ca="1">INDIRECT($B18&amp;"!"&amp;M$3&amp;"5")</f>
        <v>0.95732519333333321</v>
      </c>
      <c r="N18" s="76">
        <f ca="1">M18-L18</f>
        <v>3.2452466666677005E-4</v>
      </c>
      <c r="O18" s="226"/>
      <c r="P18" s="228">
        <f ca="1">bdrate(D18:D21,L18:L21,H18:H21,M18:M21)</f>
        <v>-1.6539404555361514E-2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53.984232000000013</v>
      </c>
      <c r="I19" s="10"/>
      <c r="J19" s="228">
        <f ca="1">H19/D19-1</f>
        <v>-1.2752670150204759E-2</v>
      </c>
      <c r="L19" s="74">
        <f ca="1">INDIRECT($B19&amp;"!"&amp;L$3&amp;"6")</f>
        <v>0.97492547266666674</v>
      </c>
      <c r="M19" s="75">
        <f ca="1">INDIRECT($B19&amp;"!"&amp;M$3&amp;"6")</f>
        <v>0.9750806306666665</v>
      </c>
      <c r="N19" s="76">
        <f ca="1">M19-L19</f>
        <v>1.5515799999976654E-4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78.027391999999978</v>
      </c>
      <c r="I20" s="10"/>
      <c r="J20" s="228">
        <f ca="1">H20/D20-1</f>
        <v>-1.2821227803486823E-2</v>
      </c>
      <c r="L20" s="74">
        <f ca="1">INDIRECT($B20&amp;"!"&amp;L$3&amp;"7")</f>
        <v>0.98757465333333327</v>
      </c>
      <c r="M20" s="75">
        <f ca="1">INDIRECT($B20&amp;"!"&amp;M$3&amp;"7")</f>
        <v>0.98771027133333333</v>
      </c>
      <c r="N20" s="76">
        <f ca="1">M20-L20</f>
        <v>1.3561800000005952E-4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111.03830400000001</v>
      </c>
      <c r="I21" s="10"/>
      <c r="J21" s="228">
        <f ca="1">H21/D21-1</f>
        <v>-9.8617987076785596E-3</v>
      </c>
      <c r="L21" s="74">
        <f ca="1">INDIRECT($B21&amp;"!"&amp;L$3&amp;"8")</f>
        <v>0.99193363933333345</v>
      </c>
      <c r="M21" s="75">
        <f ca="1">INDIRECT($B21&amp;"!"&amp;M$3&amp;"8")</f>
        <v>0.99203915266666676</v>
      </c>
      <c r="N21" s="76">
        <f ca="1">M21-L21</f>
        <v>1.0551333333330692E-4</v>
      </c>
      <c r="O21" s="226"/>
      <c r="P21" s="231">
        <f ca="1">bdrate(L18:L21,D18:D21,M18:M21,H18:H21)</f>
        <v>4.8654524240587804E-4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37.658511999999995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37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27.221728000000002</v>
      </c>
      <c r="I29" s="10"/>
      <c r="J29" s="228">
        <f ca="1">H29/D29-1</f>
        <v>-8.5794318566547734E-3</v>
      </c>
      <c r="L29" s="74">
        <f ca="1">INDIRECT($B29&amp;"!"&amp;L$3&amp;"5")</f>
        <v>0.96684382285714265</v>
      </c>
      <c r="M29" s="75">
        <f ca="1">INDIRECT($B29&amp;"!"&amp;M$3&amp;"5")</f>
        <v>0.96684086333333341</v>
      </c>
      <c r="N29" s="76">
        <f ca="1">M29-L29</f>
        <v>-2.9595238092428033E-6</v>
      </c>
      <c r="O29" s="226"/>
      <c r="P29" s="228">
        <f ca="1">bdrate(D29:D32,L29:L32,H29:H32,M29:M32)</f>
        <v>-5.4712421887000984E-3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39.182120000000005</v>
      </c>
      <c r="I30" s="10"/>
      <c r="J30" s="228">
        <f ca="1">H30/D30-1</f>
        <v>-1.3834563515282561E-2</v>
      </c>
      <c r="L30" s="74">
        <f ca="1">INDIRECT($B30&amp;"!"&amp;L$3&amp;"6")</f>
        <v>0.98000114238095259</v>
      </c>
      <c r="M30" s="75">
        <f ca="1">INDIRECT($B30&amp;"!"&amp;M$3&amp;"6")</f>
        <v>0.97976092619047583</v>
      </c>
      <c r="N30" s="76">
        <f ca="1">M30-L30</f>
        <v>-2.4021619047676079E-4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58.803095999999996</v>
      </c>
      <c r="I31" s="10"/>
      <c r="J31" s="228">
        <f ca="1">H31/D31-1</f>
        <v>-1.2575366086879813E-2</v>
      </c>
      <c r="L31" s="74">
        <f ca="1">INDIRECT($B31&amp;"!"&amp;L$3&amp;"7")</f>
        <v>0.98903340333333323</v>
      </c>
      <c r="M31" s="75">
        <f ca="1">INDIRECT($B31&amp;"!"&amp;M$3&amp;"7")</f>
        <v>0.98891447666666665</v>
      </c>
      <c r="N31" s="76">
        <f ca="1">M31-L31</f>
        <v>-1.1892666666657448E-4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86.195664000000008</v>
      </c>
      <c r="I32" s="10"/>
      <c r="J32" s="228">
        <f ca="1">H32/D32-1</f>
        <v>-9.1493908192313844E-3</v>
      </c>
      <c r="L32" s="74">
        <f ca="1">INDIRECT($B32&amp;"!"&amp;L$3&amp;"8")</f>
        <v>0.99375173238095238</v>
      </c>
      <c r="M32" s="75">
        <f ca="1">INDIRECT($B32&amp;"!"&amp;M$3&amp;"8")</f>
        <v>0.99364363714285719</v>
      </c>
      <c r="N32" s="76">
        <f ca="1">M32-L32</f>
        <v>-1.0809523809518495E-4</v>
      </c>
      <c r="O32" s="226"/>
      <c r="P32" s="231">
        <f ca="1">bdrate(L29:L32,D29:D32,M29:M32,H29:H32)</f>
        <v>1.1394610463333343E-4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27.221728000000002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37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28.063080000000003</v>
      </c>
      <c r="I40" s="10"/>
      <c r="J40" s="228">
        <f ca="1">H40/D40-1</f>
        <v>-8.9617318989739791E-3</v>
      </c>
      <c r="L40" s="74">
        <f ca="1">INDIRECT($B40&amp;"!"&amp;L$3&amp;"5")</f>
        <v>0.96582942476190481</v>
      </c>
      <c r="M40" s="75">
        <f ca="1">INDIRECT($B40&amp;"!"&amp;M$3&amp;"5")</f>
        <v>0.96572328523809503</v>
      </c>
      <c r="N40" s="76">
        <f ca="1">M40-L40</f>
        <v>-1.0613952380977842E-4</v>
      </c>
      <c r="O40" s="226"/>
      <c r="P40" s="228">
        <f ca="1">bdrate(D40:D43,L40:L43,H40:H43,M40:M43)</f>
        <v>-7.4156112507937078E-3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40.549728000000002</v>
      </c>
      <c r="I41" s="10"/>
      <c r="J41" s="228">
        <f ca="1">H41/D41-1</f>
        <v>-1.4023860053182235E-2</v>
      </c>
      <c r="L41" s="74">
        <f ca="1">INDIRECT($B41&amp;"!"&amp;L$3&amp;"6")</f>
        <v>0.97901262523809529</v>
      </c>
      <c r="M41" s="75">
        <f ca="1">INDIRECT($B41&amp;"!"&amp;M$3&amp;"6")</f>
        <v>0.978892940952381</v>
      </c>
      <c r="N41" s="76">
        <f ca="1">M41-L41</f>
        <v>-1.1968428571429435E-4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61.100839999999998</v>
      </c>
      <c r="I42" s="10"/>
      <c r="J42" s="228">
        <f ca="1">H42/D42-1</f>
        <v>-1.2352695480355336E-2</v>
      </c>
      <c r="L42" s="74">
        <f ca="1">INDIRECT($B42&amp;"!"&amp;L$3&amp;"7")</f>
        <v>0.98868709857142867</v>
      </c>
      <c r="M42" s="75">
        <f ca="1">INDIRECT($B42&amp;"!"&amp;M$3&amp;"7")</f>
        <v>0.98854986666666667</v>
      </c>
      <c r="N42" s="76">
        <f ca="1">M42-L42</f>
        <v>-1.3723190476200298E-4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89.609776000000011</v>
      </c>
      <c r="I43" s="10"/>
      <c r="J43" s="228">
        <f ca="1">H43/D43-1</f>
        <v>-8.9251594505266318E-3</v>
      </c>
      <c r="L43" s="74">
        <f ca="1">INDIRECT($B43&amp;"!"&amp;L$3&amp;"8")</f>
        <v>0.99344393809523812</v>
      </c>
      <c r="M43" s="75">
        <f ca="1">INDIRECT($B43&amp;"!"&amp;M$3&amp;"8")</f>
        <v>0.99336029666666648</v>
      </c>
      <c r="N43" s="76">
        <f ca="1">M43-L43</f>
        <v>-8.3641428571645804E-5</v>
      </c>
      <c r="O43" s="226"/>
      <c r="P43" s="231">
        <f ca="1">bdrate(L40:L43,D40:D43,M40:M43,H40:H43)</f>
        <v>1.4149124914197841E-4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28.063080000000003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37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37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37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37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37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37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38</v>
      </c>
      <c r="M3" s="85" t="s">
        <v>39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40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36.765127999999997</v>
      </c>
      <c r="I7" s="10"/>
      <c r="J7" s="228">
        <f ca="1">H7/D7-1</f>
        <v>-7.2459854695775539E-3</v>
      </c>
      <c r="L7" s="74">
        <f ca="1">INDIRECT($B7&amp;"!"&amp;L$3&amp;"5")</f>
        <v>0.95456353799999993</v>
      </c>
      <c r="M7" s="75">
        <f ca="1">INDIRECT($B7&amp;"!"&amp;M$3&amp;"5")</f>
        <v>0.95620147333333327</v>
      </c>
      <c r="N7" s="76">
        <f ca="1">M7-L7</f>
        <v>1.6379353333333402E-3</v>
      </c>
      <c r="O7" s="226"/>
      <c r="P7" s="228">
        <f ca="1">bdrate(D7:D10,L7:L10,H7:H10,M7:M10)</f>
        <v>-4.0153268510394469E-2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52.578200000000002</v>
      </c>
      <c r="I8" s="10"/>
      <c r="J8" s="228">
        <f ca="1">H8/D8-1</f>
        <v>-1.2493715653964177E-2</v>
      </c>
      <c r="L8" s="74">
        <f ca="1">INDIRECT($B8&amp;"!"&amp;L$3&amp;"6")</f>
        <v>0.97258593333333343</v>
      </c>
      <c r="M8" s="75">
        <f ca="1">INDIRECT($B8&amp;"!"&amp;M$3&amp;"6")</f>
        <v>0.97408633333333328</v>
      </c>
      <c r="N8" s="76">
        <f ca="1">M8-L8</f>
        <v>1.5003999999998463E-3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75.776312000000004</v>
      </c>
      <c r="I9" s="10"/>
      <c r="J9" s="228">
        <f ca="1">H9/D9-1</f>
        <v>-1.2986592115783679E-2</v>
      </c>
      <c r="L9" s="74">
        <f ca="1">INDIRECT($B9&amp;"!"&amp;L$3&amp;"7")</f>
        <v>0.99038261466666655</v>
      </c>
      <c r="M9" s="75">
        <f ca="1">INDIRECT($B9&amp;"!"&amp;M$3&amp;"7")</f>
        <v>0.9909880173333333</v>
      </c>
      <c r="N9" s="76">
        <f ca="1">M9-L9</f>
        <v>6.0540266666675446E-4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107.76456800000001</v>
      </c>
      <c r="I10" s="10"/>
      <c r="J10" s="228">
        <f ca="1">H10/D10-1</f>
        <v>-1.0081746732618191E-2</v>
      </c>
      <c r="L10" s="74">
        <f ca="1">INDIRECT($B10&amp;"!"&amp;L$3&amp;"8")</f>
        <v>0.99521364000000001</v>
      </c>
      <c r="M10" s="75">
        <f ca="1">INDIRECT($B10&amp;"!"&amp;M$3&amp;"8")</f>
        <v>0.99614056800000028</v>
      </c>
      <c r="N10" s="76">
        <f ca="1">M10-L10</f>
        <v>9.2692800000027109E-4</v>
      </c>
      <c r="O10" s="226"/>
      <c r="P10" s="231">
        <f ca="1">bdrate(L7:L10,D7:D10,M7:M10,H7:H10)</f>
        <v>1.4614276098294798E-3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36.765127999999997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40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37.658511999999995</v>
      </c>
      <c r="I18" s="10"/>
      <c r="J18" s="228">
        <f ca="1">H18/D18-1</f>
        <v>-7.5555258519074409E-3</v>
      </c>
      <c r="L18" s="74">
        <f ca="1">INDIRECT($B18&amp;"!"&amp;L$3&amp;"5")</f>
        <v>0.95395936733333342</v>
      </c>
      <c r="M18" s="75">
        <f ca="1">INDIRECT($B18&amp;"!"&amp;M$3&amp;"5")</f>
        <v>0.95580877666666664</v>
      </c>
      <c r="N18" s="76">
        <f ca="1">M18-L18</f>
        <v>1.8494093333332184E-3</v>
      </c>
      <c r="O18" s="226"/>
      <c r="P18" s="228">
        <f ca="1">bdrate(D18:D21,L18:L21,H18:H21,M18:M21)</f>
        <v>-4.8920129196023177E-2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53.984232000000013</v>
      </c>
      <c r="I19" s="10"/>
      <c r="J19" s="228">
        <f ca="1">H19/D19-1</f>
        <v>-1.2752670150204759E-2</v>
      </c>
      <c r="L19" s="74">
        <f ca="1">INDIRECT($B19&amp;"!"&amp;L$3&amp;"6")</f>
        <v>0.97223756466666666</v>
      </c>
      <c r="M19" s="75">
        <f ca="1">INDIRECT($B19&amp;"!"&amp;M$3&amp;"6")</f>
        <v>0.97451174799999996</v>
      </c>
      <c r="N19" s="76">
        <f ca="1">M19-L19</f>
        <v>2.2741833333332906E-3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78.027391999999978</v>
      </c>
      <c r="I20" s="10"/>
      <c r="J20" s="228">
        <f ca="1">H20/D20-1</f>
        <v>-1.2821227803486823E-2</v>
      </c>
      <c r="L20" s="74">
        <f ca="1">INDIRECT($B20&amp;"!"&amp;L$3&amp;"7")</f>
        <v>0.99005189866666643</v>
      </c>
      <c r="M20" s="75">
        <f ca="1">INDIRECT($B20&amp;"!"&amp;M$3&amp;"7")</f>
        <v>0.99068390400000017</v>
      </c>
      <c r="N20" s="76">
        <f ca="1">M20-L20</f>
        <v>6.3200533333374054E-4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111.03830400000001</v>
      </c>
      <c r="I21" s="10"/>
      <c r="J21" s="228">
        <f ca="1">H21/D21-1</f>
        <v>-9.8617987076785596E-3</v>
      </c>
      <c r="L21" s="74">
        <f ca="1">INDIRECT($B21&amp;"!"&amp;L$3&amp;"8")</f>
        <v>0.99515773399999985</v>
      </c>
      <c r="M21" s="75">
        <f ca="1">INDIRECT($B21&amp;"!"&amp;M$3&amp;"8")</f>
        <v>0.99598167733333332</v>
      </c>
      <c r="N21" s="76">
        <f ca="1">M21-L21</f>
        <v>8.2394333333346559E-4</v>
      </c>
      <c r="O21" s="226"/>
      <c r="P21" s="231">
        <f ca="1">bdrate(L18:L21,D18:D21,M18:M21,H18:H21)</f>
        <v>1.7086254249012445E-3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37.658511999999995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40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27.221728000000002</v>
      </c>
      <c r="I29" s="10"/>
      <c r="J29" s="228">
        <f ca="1">H29/D29-1</f>
        <v>-8.5794318566547734E-3</v>
      </c>
      <c r="L29" s="74">
        <f ca="1">INDIRECT($B29&amp;"!"&amp;L$3&amp;"5")</f>
        <v>0.97327361047619032</v>
      </c>
      <c r="M29" s="75">
        <f ca="1">INDIRECT($B29&amp;"!"&amp;M$3&amp;"5")</f>
        <v>0.97388099809523831</v>
      </c>
      <c r="N29" s="76">
        <f ca="1">M29-L29</f>
        <v>6.0738761904799432E-4</v>
      </c>
      <c r="O29" s="226"/>
      <c r="P29" s="228">
        <f ca="1">bdrate(D29:D32,L29:L32,H29:H32,M29:M32)</f>
        <v>-2.8946664236529029E-2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39.182120000000005</v>
      </c>
      <c r="I30" s="10"/>
      <c r="J30" s="228">
        <f ca="1">H30/D30-1</f>
        <v>-1.3834563515282561E-2</v>
      </c>
      <c r="L30" s="74">
        <f ca="1">INDIRECT($B30&amp;"!"&amp;L$3&amp;"6")</f>
        <v>0.98426155285714267</v>
      </c>
      <c r="M30" s="75">
        <f ca="1">INDIRECT($B30&amp;"!"&amp;M$3&amp;"6")</f>
        <v>0.98462386380952382</v>
      </c>
      <c r="N30" s="76">
        <f ca="1">M30-L30</f>
        <v>3.6231095238115074E-4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58.803095999999996</v>
      </c>
      <c r="I31" s="10"/>
      <c r="J31" s="228">
        <f ca="1">H31/D31-1</f>
        <v>-1.2575366086879813E-2</v>
      </c>
      <c r="L31" s="74">
        <f ca="1">INDIRECT($B31&amp;"!"&amp;L$3&amp;"7")</f>
        <v>0.99228081523809508</v>
      </c>
      <c r="M31" s="75">
        <f ca="1">INDIRECT($B31&amp;"!"&amp;M$3&amp;"7")</f>
        <v>0.992504997142857</v>
      </c>
      <c r="N31" s="76">
        <f ca="1">M31-L31</f>
        <v>2.2418190476192201E-4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86.195664000000008</v>
      </c>
      <c r="I32" s="10"/>
      <c r="J32" s="228">
        <f ca="1">H32/D32-1</f>
        <v>-9.1493908192313844E-3</v>
      </c>
      <c r="L32" s="74">
        <f ca="1">INDIRECT($B32&amp;"!"&amp;L$3&amp;"8")</f>
        <v>0.99594449714285727</v>
      </c>
      <c r="M32" s="75">
        <f ca="1">INDIRECT($B32&amp;"!"&amp;M$3&amp;"8")</f>
        <v>0.99627574142857167</v>
      </c>
      <c r="N32" s="76">
        <f ca="1">M32-L32</f>
        <v>3.312442857144049E-4</v>
      </c>
      <c r="O32" s="226"/>
      <c r="P32" s="231">
        <f ca="1">bdrate(L29:L32,D29:D32,M29:M32,H29:H32)</f>
        <v>5.323242457651034E-4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27.221728000000002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40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28.063080000000003</v>
      </c>
      <c r="I40" s="10"/>
      <c r="J40" s="228">
        <f ca="1">H40/D40-1</f>
        <v>-8.9617318989739791E-3</v>
      </c>
      <c r="L40" s="74">
        <f ca="1">INDIRECT($B40&amp;"!"&amp;L$3&amp;"5")</f>
        <v>0.9725471133333331</v>
      </c>
      <c r="M40" s="75">
        <f ca="1">INDIRECT($B40&amp;"!"&amp;M$3&amp;"5")</f>
        <v>0.97317759000000004</v>
      </c>
      <c r="N40" s="76">
        <f ca="1">M40-L40</f>
        <v>6.304766666669348E-4</v>
      </c>
      <c r="O40" s="226"/>
      <c r="P40" s="228">
        <f ca="1">bdrate(D40:D43,L40:L43,H40:H43,M40:M43)</f>
        <v>-3.7966226145792925E-2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40.549728000000002</v>
      </c>
      <c r="I41" s="10"/>
      <c r="J41" s="228">
        <f ca="1">H41/D41-1</f>
        <v>-1.4023860053182235E-2</v>
      </c>
      <c r="L41" s="74">
        <f ca="1">INDIRECT($B41&amp;"!"&amp;L$3&amp;"6")</f>
        <v>0.98376468238095238</v>
      </c>
      <c r="M41" s="75">
        <f ca="1">INDIRECT($B41&amp;"!"&amp;M$3&amp;"6")</f>
        <v>0.98446825666666649</v>
      </c>
      <c r="N41" s="76">
        <f ca="1">M41-L41</f>
        <v>7.0357428571410363E-4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61.100839999999998</v>
      </c>
      <c r="I42" s="10"/>
      <c r="J42" s="228">
        <f ca="1">H42/D42-1</f>
        <v>-1.2352695480355336E-2</v>
      </c>
      <c r="L42" s="74">
        <f ca="1">INDIRECT($B42&amp;"!"&amp;L$3&amp;"7")</f>
        <v>0.99210457047619049</v>
      </c>
      <c r="M42" s="75">
        <f ca="1">INDIRECT($B42&amp;"!"&amp;M$3&amp;"7")</f>
        <v>0.9924200871428569</v>
      </c>
      <c r="N42" s="76">
        <f ca="1">M42-L42</f>
        <v>3.1551666666640443E-4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89.609776000000011</v>
      </c>
      <c r="I43" s="10"/>
      <c r="J43" s="228">
        <f ca="1">H43/D43-1</f>
        <v>-8.9251594505266318E-3</v>
      </c>
      <c r="L43" s="74">
        <f ca="1">INDIRECT($B43&amp;"!"&amp;L$3&amp;"8")</f>
        <v>0.99578089857142849</v>
      </c>
      <c r="M43" s="75">
        <f ca="1">INDIRECT($B43&amp;"!"&amp;M$3&amp;"8")</f>
        <v>0.99616031761904755</v>
      </c>
      <c r="N43" s="76">
        <f ca="1">M43-L43</f>
        <v>3.7941904761906731E-4</v>
      </c>
      <c r="O43" s="226"/>
      <c r="P43" s="231">
        <f ca="1">bdrate(L40:L43,D40:D43,M40:M43,H40:H43)</f>
        <v>6.8536095407156772E-4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28.063080000000003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40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40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40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40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40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40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zoomScale="130" zoomScaleNormal="130" workbookViewId="0">
      <selection activeCell="M9" sqref="M9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40" width="9" style="210" customWidth="1"/>
    <col min="41" max="16384" width="9" style="210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41</v>
      </c>
      <c r="M3" s="85" t="s">
        <v>42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40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36.765127999999997</v>
      </c>
      <c r="I7" s="10"/>
      <c r="J7" s="228">
        <f ca="1">H7/D7-1</f>
        <v>-7.2459854695775539E-3</v>
      </c>
      <c r="L7" s="74">
        <f ca="1">INDIRECT($B7&amp;"!"&amp;L$3&amp;"5")</f>
        <v>6.6124997733333329E-2</v>
      </c>
      <c r="M7" s="75">
        <f ca="1">INDIRECT($B7&amp;"!"&amp;M$3&amp;"5")</f>
        <v>5.6440186999999996E-2</v>
      </c>
      <c r="N7" s="76">
        <f ca="1">M7-L7</f>
        <v>-9.6848107333333336E-3</v>
      </c>
      <c r="O7" s="226"/>
      <c r="P7" s="228">
        <f ca="1">bdrate(D7:D10,L7:L10,H7:H10,M7:M10)</f>
        <v>0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52.578200000000002</v>
      </c>
      <c r="I8" s="10"/>
      <c r="J8" s="228">
        <f ca="1">H8/D8-1</f>
        <v>-1.2493715653964177E-2</v>
      </c>
      <c r="L8" s="74">
        <f ca="1">INDIRECT($B8&amp;"!"&amp;L$3&amp;"6")</f>
        <v>4.1026583800000009E-2</v>
      </c>
      <c r="M8" s="75">
        <f ca="1">INDIRECT($B8&amp;"!"&amp;M$3&amp;"6")</f>
        <v>3.2334742533333335E-2</v>
      </c>
      <c r="N8" s="76">
        <f ca="1">M8-L8</f>
        <v>-8.6918412666666736E-3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75.776312000000004</v>
      </c>
      <c r="I9" s="10"/>
      <c r="J9" s="228">
        <f ca="1">H9/D9-1</f>
        <v>-1.2986592115783679E-2</v>
      </c>
      <c r="L9" s="74">
        <f ca="1">INDIRECT($B9&amp;"!"&amp;L$3&amp;"7")</f>
        <v>2.4438632800000002E-2</v>
      </c>
      <c r="M9" s="75">
        <f ca="1">INDIRECT($B9&amp;"!"&amp;M$3&amp;"7")</f>
        <v>1.6297373133333334E-2</v>
      </c>
      <c r="N9" s="76">
        <f ca="1">M9-L9</f>
        <v>-8.1412596666666677E-3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107.76456800000001</v>
      </c>
      <c r="I10" s="10"/>
      <c r="J10" s="228">
        <f ca="1">H10/D10-1</f>
        <v>-1.0081746732618191E-2</v>
      </c>
      <c r="L10" s="74">
        <f ca="1">INDIRECT($B10&amp;"!"&amp;L$3&amp;"8")</f>
        <v>1.7444335733333333E-2</v>
      </c>
      <c r="M10" s="75">
        <f ca="1">INDIRECT($B10&amp;"!"&amp;M$3&amp;"8")</f>
        <v>9.6781738666666672E-3</v>
      </c>
      <c r="N10" s="76">
        <f ca="1">M10-L10</f>
        <v>-7.7661618666666661E-3</v>
      </c>
      <c r="O10" s="226"/>
      <c r="P10" s="231">
        <f ca="1">bdrate(L7:L10,D7:D10,M7:M10,H7:H10)</f>
        <v>-0.32283246884267025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36.765127999999997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40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37.658511999999995</v>
      </c>
      <c r="I18" s="10"/>
      <c r="J18" s="228">
        <f ca="1">H18/D18-1</f>
        <v>-7.5555258519074409E-3</v>
      </c>
      <c r="L18" s="74">
        <f ca="1">INDIRECT($B18&amp;"!"&amp;L$3&amp;"5")</f>
        <v>6.8758821599999992E-2</v>
      </c>
      <c r="M18" s="75">
        <f ca="1">INDIRECT($B18&amp;"!"&amp;M$3&amp;"5")</f>
        <v>5.7315530733333335E-2</v>
      </c>
      <c r="N18" s="76">
        <f ca="1">M18-L18</f>
        <v>-1.1443290866666657E-2</v>
      </c>
      <c r="O18" s="226"/>
      <c r="P18" s="228">
        <f ca="1">bdrate(D18:D21,L18:L21,H18:H21,M18:M21)</f>
        <v>0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53.984232000000013</v>
      </c>
      <c r="I19" s="10"/>
      <c r="J19" s="228">
        <f ca="1">H19/D19-1</f>
        <v>-1.2752670150204759E-2</v>
      </c>
      <c r="L19" s="74">
        <f ca="1">INDIRECT($B19&amp;"!"&amp;L$3&amp;"6")</f>
        <v>4.2517676533333333E-2</v>
      </c>
      <c r="M19" s="75">
        <f ca="1">INDIRECT($B19&amp;"!"&amp;M$3&amp;"6")</f>
        <v>3.2807457199999994E-2</v>
      </c>
      <c r="N19" s="76">
        <f ca="1">M19-L19</f>
        <v>-9.7102193333333392E-3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78.027391999999978</v>
      </c>
      <c r="I20" s="10"/>
      <c r="J20" s="228">
        <f ca="1">H20/D20-1</f>
        <v>-1.2821227803486823E-2</v>
      </c>
      <c r="L20" s="74">
        <f ca="1">INDIRECT($B20&amp;"!"&amp;L$3&amp;"7")</f>
        <v>2.4925761000000001E-2</v>
      </c>
      <c r="M20" s="75">
        <f ca="1">INDIRECT($B20&amp;"!"&amp;M$3&amp;"7")</f>
        <v>1.6708599666666664E-2</v>
      </c>
      <c r="N20" s="76">
        <f ca="1">M20-L20</f>
        <v>-8.2171613333333372E-3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111.03830400000001</v>
      </c>
      <c r="I21" s="10"/>
      <c r="J21" s="228">
        <f ca="1">H21/D21-1</f>
        <v>-9.8617987076785596E-3</v>
      </c>
      <c r="L21" s="74">
        <f ca="1">INDIRECT($B21&amp;"!"&amp;L$3&amp;"8")</f>
        <v>1.8274979066666665E-2</v>
      </c>
      <c r="M21" s="75">
        <f ca="1">INDIRECT($B21&amp;"!"&amp;M$3&amp;"8")</f>
        <v>1.0305941533333335E-2</v>
      </c>
      <c r="N21" s="76">
        <f ca="1">M21-L21</f>
        <v>-7.9690375333333306E-3</v>
      </c>
      <c r="O21" s="226"/>
      <c r="P21" s="231">
        <f ca="1">bdrate(L18:L21,D18:D21,M18:M21,H18:H21)</f>
        <v>-0.32404377929634487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37.658511999999995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40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27.221728000000002</v>
      </c>
      <c r="I29" s="10"/>
      <c r="J29" s="228">
        <f ca="1">H29/D29-1</f>
        <v>-8.5794318566547734E-3</v>
      </c>
      <c r="L29" s="74">
        <f ca="1">INDIRECT($B29&amp;"!"&amp;L$3&amp;"5")</f>
        <v>6.4074182428571436E-2</v>
      </c>
      <c r="M29" s="75">
        <f ca="1">INDIRECT($B29&amp;"!"&amp;M$3&amp;"5")</f>
        <v>5.6121006190476184E-2</v>
      </c>
      <c r="N29" s="76">
        <f ca="1">M29-L29</f>
        <v>-7.9531762380952511E-3</v>
      </c>
      <c r="O29" s="226"/>
      <c r="P29" s="228">
        <f ca="1">bdrate(D29:D32,L29:L32,H29:H32,M29:M32)</f>
        <v>0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39.182120000000005</v>
      </c>
      <c r="I30" s="10"/>
      <c r="J30" s="228">
        <f ca="1">H30/D30-1</f>
        <v>-1.3834563515282561E-2</v>
      </c>
      <c r="L30" s="74">
        <f ca="1">INDIRECT($B30&amp;"!"&amp;L$3&amp;"6")</f>
        <v>4.3200263047619043E-2</v>
      </c>
      <c r="M30" s="75">
        <f ca="1">INDIRECT($B30&amp;"!"&amp;M$3&amp;"6")</f>
        <v>3.6334335333333335E-2</v>
      </c>
      <c r="N30" s="76">
        <f ca="1">M30-L30</f>
        <v>-6.8659277142857078E-3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58.803095999999996</v>
      </c>
      <c r="I31" s="10"/>
      <c r="J31" s="228">
        <f ca="1">H31/D31-1</f>
        <v>-1.2575366086879813E-2</v>
      </c>
      <c r="L31" s="74">
        <f ca="1">INDIRECT($B31&amp;"!"&amp;L$3&amp;"7")</f>
        <v>2.7228831333333335E-2</v>
      </c>
      <c r="M31" s="75">
        <f ca="1">INDIRECT($B31&amp;"!"&amp;M$3&amp;"7")</f>
        <v>2.1230680095238097E-2</v>
      </c>
      <c r="N31" s="76">
        <f ca="1">M31-L31</f>
        <v>-5.9981512380952381E-3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86.195664000000008</v>
      </c>
      <c r="I32" s="10"/>
      <c r="J32" s="228">
        <f ca="1">H32/D32-1</f>
        <v>-9.1493908192313844E-3</v>
      </c>
      <c r="L32" s="74">
        <f ca="1">INDIRECT($B32&amp;"!"&amp;L$3&amp;"8")</f>
        <v>1.4458101000000004E-2</v>
      </c>
      <c r="M32" s="75">
        <f ca="1">INDIRECT($B32&amp;"!"&amp;M$3&amp;"8")</f>
        <v>9.6530589047619068E-3</v>
      </c>
      <c r="N32" s="76">
        <f ca="1">M32-L32</f>
        <v>-4.8050420952380976E-3</v>
      </c>
      <c r="O32" s="226"/>
      <c r="P32" s="231">
        <f ca="1">bdrate(L29:L32,D29:D32,M29:M32,H29:H32)</f>
        <v>-0.2341874119997609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27.221728000000002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40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28.063080000000003</v>
      </c>
      <c r="I40" s="10"/>
      <c r="J40" s="228">
        <f ca="1">H40/D40-1</f>
        <v>-8.9617318989739791E-3</v>
      </c>
      <c r="L40" s="74">
        <f ca="1">INDIRECT($B40&amp;"!"&amp;L$3&amp;"5")</f>
        <v>6.5973396238095255E-2</v>
      </c>
      <c r="M40" s="75">
        <f ca="1">INDIRECT($B40&amp;"!"&amp;M$3&amp;"5")</f>
        <v>5.746704323809524E-2</v>
      </c>
      <c r="N40" s="76">
        <f ca="1">M40-L40</f>
        <v>-8.5063530000000151E-3</v>
      </c>
      <c r="O40" s="226"/>
      <c r="P40" s="228">
        <f ca="1">bdrate(D40:D43,L40:L43,H40:H43,M40:M43)</f>
        <v>0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40.549728000000002</v>
      </c>
      <c r="I41" s="10"/>
      <c r="J41" s="228">
        <f ca="1">H41/D41-1</f>
        <v>-1.4023860053182235E-2</v>
      </c>
      <c r="L41" s="74">
        <f ca="1">INDIRECT($B41&amp;"!"&amp;L$3&amp;"6")</f>
        <v>4.448833447619048E-2</v>
      </c>
      <c r="M41" s="75">
        <f ca="1">INDIRECT($B41&amp;"!"&amp;M$3&amp;"6")</f>
        <v>3.6774379809523805E-2</v>
      </c>
      <c r="N41" s="76">
        <f ca="1">M41-L41</f>
        <v>-7.7139546666666753E-3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61.100839999999998</v>
      </c>
      <c r="I42" s="10"/>
      <c r="J42" s="228">
        <f ca="1">H42/D42-1</f>
        <v>-1.2352695480355336E-2</v>
      </c>
      <c r="L42" s="74">
        <f ca="1">INDIRECT($B42&amp;"!"&amp;L$3&amp;"7")</f>
        <v>2.7850360190476191E-2</v>
      </c>
      <c r="M42" s="75">
        <f ca="1">INDIRECT($B42&amp;"!"&amp;M$3&amp;"7")</f>
        <v>2.126328380952381E-2</v>
      </c>
      <c r="N42" s="76">
        <f ca="1">M42-L42</f>
        <v>-6.5870763809523815E-3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89.609776000000011</v>
      </c>
      <c r="I43" s="10"/>
      <c r="J43" s="228">
        <f ca="1">H43/D43-1</f>
        <v>-8.9251594505266318E-3</v>
      </c>
      <c r="L43" s="74">
        <f ca="1">INDIRECT($B43&amp;"!"&amp;L$3&amp;"8")</f>
        <v>1.5608584595238097E-2</v>
      </c>
      <c r="M43" s="75">
        <f ca="1">INDIRECT($B43&amp;"!"&amp;M$3&amp;"8")</f>
        <v>9.9106832619047635E-3</v>
      </c>
      <c r="N43" s="76">
        <f ca="1">M43-L43</f>
        <v>-5.6979013333333332E-3</v>
      </c>
      <c r="O43" s="226"/>
      <c r="P43" s="231">
        <f ca="1">bdrate(L40:L43,D40:D43,M40:M43,H40:H43)</f>
        <v>-0.2519134627454418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28.063080000000003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40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40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40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40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40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40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10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breakfast_track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breakfast_track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37033.472000000002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27.262733600000001</v>
      </c>
      <c r="G5" s="30">
        <f t="shared" si="0"/>
        <v>32.469316800000001</v>
      </c>
      <c r="H5" s="30">
        <f t="shared" si="0"/>
        <v>0.95834516733333319</v>
      </c>
      <c r="I5" s="91">
        <f t="shared" si="0"/>
        <v>0.95456353799999993</v>
      </c>
      <c r="J5" s="91">
        <f t="shared" si="0"/>
        <v>6.6124997733333329E-2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36765.127999999997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27.822966466666667</v>
      </c>
      <c r="Y5" s="30">
        <f t="shared" si="2"/>
        <v>33.820223200000001</v>
      </c>
      <c r="Z5" s="30">
        <f t="shared" si="2"/>
        <v>0.95851933133333334</v>
      </c>
      <c r="AA5" s="91">
        <f t="shared" si="2"/>
        <v>0.95620147333333327</v>
      </c>
      <c r="AB5" s="91">
        <f t="shared" si="2"/>
        <v>5.6440186999999996E-2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-0.12693418529124134</v>
      </c>
      <c r="AN5" s="245">
        <f>bdrate($E5:$E8,G5:G8,$W5:$W8,Y5:Y8)</f>
        <v>-0.159163779960244</v>
      </c>
      <c r="AO5" s="245">
        <f>bdrate($E5:$E8,H5:H8,$W5:$W8,Z5:Z8)</f>
        <v>-1.2179417098427736E-2</v>
      </c>
      <c r="AP5" s="245">
        <f>bdrate($E5:$E8,I5:I8,$W5:$W8,AA5:AA8)</f>
        <v>-4.0153268510394469E-2</v>
      </c>
      <c r="AQ5" s="246">
        <f>bdrateInverted($E5:$E8,J5:J8,$W5:$W8,AB5:AB8)</f>
        <v>-0.17269621733787366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53243.408000000003</v>
      </c>
      <c r="F6" s="91">
        <f t="shared" si="0"/>
        <v>30.5955504</v>
      </c>
      <c r="G6" s="91">
        <f t="shared" si="0"/>
        <v>35.243102133333331</v>
      </c>
      <c r="H6" s="91">
        <f t="shared" si="0"/>
        <v>0.97572819666666666</v>
      </c>
      <c r="I6" s="91">
        <f t="shared" si="0"/>
        <v>0.97258593333333343</v>
      </c>
      <c r="J6" s="91">
        <f t="shared" si="0"/>
        <v>4.1026583800000009E-2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52578.200000000004</v>
      </c>
      <c r="X6" s="91">
        <f t="shared" si="2"/>
        <v>31.686627600000001</v>
      </c>
      <c r="Y6" s="91">
        <f t="shared" si="2"/>
        <v>36.696285600000003</v>
      </c>
      <c r="Z6" s="91">
        <f t="shared" si="2"/>
        <v>0.97568971599999987</v>
      </c>
      <c r="AA6" s="91">
        <f t="shared" si="2"/>
        <v>0.97408633333333328</v>
      </c>
      <c r="AB6" s="91">
        <f t="shared" si="2"/>
        <v>3.2334742533333335E-2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76773.33600000001</v>
      </c>
      <c r="F7" s="91">
        <f t="shared" si="0"/>
        <v>35.178384000000008</v>
      </c>
      <c r="G7" s="91">
        <f t="shared" si="0"/>
        <v>39.28737146666667</v>
      </c>
      <c r="H7" s="91">
        <f t="shared" si="0"/>
        <v>0.98810945533333316</v>
      </c>
      <c r="I7" s="91">
        <f t="shared" si="0"/>
        <v>0.99038261466666655</v>
      </c>
      <c r="J7" s="91">
        <f t="shared" si="0"/>
        <v>2.4438632800000002E-2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75776.312000000005</v>
      </c>
      <c r="X7" s="91">
        <f t="shared" si="2"/>
        <v>37.123177800000001</v>
      </c>
      <c r="Y7" s="91">
        <f t="shared" si="2"/>
        <v>40.875319533333347</v>
      </c>
      <c r="Z7" s="91">
        <f t="shared" si="2"/>
        <v>0.98814772999999989</v>
      </c>
      <c r="AA7" s="91">
        <f t="shared" si="2"/>
        <v>0.9909880173333333</v>
      </c>
      <c r="AB7" s="91">
        <f t="shared" si="2"/>
        <v>1.6297373133333334E-2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108862.088</v>
      </c>
      <c r="F8" s="91">
        <f t="shared" si="0"/>
        <v>37.847506266666663</v>
      </c>
      <c r="G8" s="91">
        <f t="shared" si="0"/>
        <v>41.929521733333331</v>
      </c>
      <c r="H8" s="91">
        <f t="shared" si="0"/>
        <v>0.99241337466666668</v>
      </c>
      <c r="I8" s="91">
        <f t="shared" si="0"/>
        <v>0.99521364000000001</v>
      </c>
      <c r="J8" s="91">
        <f t="shared" si="0"/>
        <v>1.7444335733333333E-2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107764.56800000001</v>
      </c>
      <c r="X8" s="91">
        <f t="shared" si="2"/>
        <v>40.494321266666667</v>
      </c>
      <c r="Y8" s="91">
        <f t="shared" si="2"/>
        <v>43.880696399999998</v>
      </c>
      <c r="Z8" s="91">
        <f t="shared" si="2"/>
        <v>0.99247828666666671</v>
      </c>
      <c r="AA8" s="91">
        <f t="shared" si="2"/>
        <v>0.99614056800000028</v>
      </c>
      <c r="AB8" s="91">
        <f t="shared" si="2"/>
        <v>9.6781738666666672E-3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5941.2240000000002</v>
      </c>
      <c r="F16" s="167">
        <v>6950.84</v>
      </c>
      <c r="G16" s="167">
        <v>2479.192</v>
      </c>
      <c r="H16" s="167">
        <v>925.62400000000002</v>
      </c>
      <c r="I16" s="167">
        <v>107.456</v>
      </c>
      <c r="J16" s="167">
        <v>11102.456</v>
      </c>
      <c r="K16" s="60">
        <v>7159.68</v>
      </c>
      <c r="L16" s="60">
        <v>2367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5941.2240000000002</v>
      </c>
      <c r="X16" s="167">
        <v>6950.84</v>
      </c>
      <c r="Y16" s="167">
        <v>2360.2559999999999</v>
      </c>
      <c r="Z16" s="167">
        <v>837.37599999999998</v>
      </c>
      <c r="AA16" s="167">
        <v>46.295999999999999</v>
      </c>
      <c r="AB16" s="167">
        <v>11102.456</v>
      </c>
      <c r="AC16" s="60">
        <v>7159.68</v>
      </c>
      <c r="AD16" s="60">
        <v>2367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5941.2240000000002</v>
      </c>
      <c r="F17" s="168">
        <v>9208.8799999999992</v>
      </c>
      <c r="G17" s="168">
        <v>6678.36</v>
      </c>
      <c r="H17" s="168">
        <v>3445.2959999999998</v>
      </c>
      <c r="I17" s="168">
        <v>1066.664</v>
      </c>
      <c r="J17" s="168">
        <v>14290.28</v>
      </c>
      <c r="K17" s="62">
        <v>9490.9040000000005</v>
      </c>
      <c r="L17" s="62">
        <v>3121.8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5941.2240000000002</v>
      </c>
      <c r="X17" s="168">
        <v>9208.8799999999992</v>
      </c>
      <c r="Y17" s="168">
        <v>6533.9840000000004</v>
      </c>
      <c r="Z17" s="168">
        <v>3232.92</v>
      </c>
      <c r="AA17" s="168">
        <v>758.20799999999997</v>
      </c>
      <c r="AB17" s="168">
        <v>14290.28</v>
      </c>
      <c r="AC17" s="62">
        <v>9490.9040000000005</v>
      </c>
      <c r="AD17" s="62">
        <v>3121.8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5941.2240000000002</v>
      </c>
      <c r="F18" s="168">
        <v>11523.68</v>
      </c>
      <c r="G18" s="168">
        <v>12327.76</v>
      </c>
      <c r="H18" s="168">
        <v>8552.0319999999992</v>
      </c>
      <c r="I18" s="168">
        <v>5014.3599999999997</v>
      </c>
      <c r="J18" s="168">
        <v>17597.624</v>
      </c>
      <c r="K18" s="62">
        <v>11921.12</v>
      </c>
      <c r="L18" s="62">
        <v>3895.5360000000001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5941.2240000000002</v>
      </c>
      <c r="X18" s="168">
        <v>11523.68</v>
      </c>
      <c r="Y18" s="168">
        <v>12162.24</v>
      </c>
      <c r="Z18" s="168">
        <v>8233.4320000000007</v>
      </c>
      <c r="AA18" s="168">
        <v>4501.4560000000001</v>
      </c>
      <c r="AB18" s="168">
        <v>17597.624</v>
      </c>
      <c r="AC18" s="62">
        <v>11921.12</v>
      </c>
      <c r="AD18" s="62">
        <v>3895.5360000000001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5941.2240000000002</v>
      </c>
      <c r="F19" s="168">
        <v>13726.208000000001</v>
      </c>
      <c r="G19" s="168">
        <v>18542.392</v>
      </c>
      <c r="H19" s="168">
        <v>16488.648000000001</v>
      </c>
      <c r="I19" s="168">
        <v>13983.656000000001</v>
      </c>
      <c r="J19" s="168">
        <v>21009.472000000002</v>
      </c>
      <c r="K19" s="62">
        <v>14466.144</v>
      </c>
      <c r="L19" s="62">
        <v>4704.3440000000001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5941.2240000000002</v>
      </c>
      <c r="X19" s="168">
        <v>13726.208000000001</v>
      </c>
      <c r="Y19" s="168">
        <v>18360.727999999999</v>
      </c>
      <c r="Z19" s="168">
        <v>16127.44</v>
      </c>
      <c r="AA19" s="168">
        <v>13429.008</v>
      </c>
      <c r="AB19" s="168">
        <v>21009.472000000002</v>
      </c>
      <c r="AC19" s="62">
        <v>14466.144</v>
      </c>
      <c r="AD19" s="62">
        <v>4704.3440000000001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37033.472000000002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36765.127999999997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53243.408000000003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52578.200000000004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76773.33600000001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75776.312000000005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108862.088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107764.56800000001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26.798352000000001</v>
      </c>
      <c r="G33" s="97">
        <v>32.055731000000002</v>
      </c>
      <c r="H33" s="97">
        <v>0.95811588999999997</v>
      </c>
      <c r="I33" s="60">
        <v>0.95013263999999997</v>
      </c>
      <c r="J33" s="60">
        <v>7.0629709999999998E-2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27.266266999999999</v>
      </c>
      <c r="Y33" s="97">
        <v>33.333022999999997</v>
      </c>
      <c r="Z33" s="97">
        <v>0.95835576</v>
      </c>
      <c r="AA33" s="60">
        <v>0.95296670999999999</v>
      </c>
      <c r="AB33" s="60">
        <v>6.0789811999999999E-2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0.46791499999999786</v>
      </c>
      <c r="AN33" s="96">
        <f t="shared" ref="AN33:AN96" si="5">IF(OR(Y33="",G33=""),"",Y33-G33)</f>
        <v>1.2772919999999957</v>
      </c>
      <c r="AO33" s="96">
        <f t="shared" ref="AO33:AO96" si="6">IF(OR(Z33="",H33=""),"",Z33-H33)</f>
        <v>2.3987000000003089E-4</v>
      </c>
      <c r="AP33" s="96">
        <f t="shared" ref="AP33:AP96" si="7">IF(OR(AA33="",I33=""),"",AA33-I33)</f>
        <v>2.8340700000000218E-3</v>
      </c>
      <c r="AQ33" s="121">
        <f t="shared" ref="AQ33:AQ96" si="8">IF(OR(AB33="",J33=""),"",AB33-J33)</f>
        <v>-9.8398979999999997E-3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30.683052</v>
      </c>
      <c r="G34" s="190">
        <v>35.189309000000002</v>
      </c>
      <c r="H34" s="190">
        <v>0.97566372999999995</v>
      </c>
      <c r="I34" s="62">
        <v>0.97241995999999997</v>
      </c>
      <c r="J34" s="62">
        <v>4.3773934E-2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31.637339999999998</v>
      </c>
      <c r="Y34" s="190">
        <v>36.533862999999997</v>
      </c>
      <c r="Z34" s="190">
        <v>0.97557490000000002</v>
      </c>
      <c r="AA34" s="62">
        <v>0.97272954</v>
      </c>
      <c r="AB34" s="62">
        <v>3.5590320000000002E-2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0.95428799999999825</v>
      </c>
      <c r="AN34" s="122">
        <f t="shared" si="5"/>
        <v>1.3445539999999951</v>
      </c>
      <c r="AO34" s="122">
        <f t="shared" si="6"/>
        <v>-8.8829999999928688E-5</v>
      </c>
      <c r="AP34" s="122">
        <f t="shared" si="7"/>
        <v>3.095800000000315E-4</v>
      </c>
      <c r="AQ34" s="88">
        <f t="shared" si="8"/>
        <v>-8.1836139999999988E-3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35.245213</v>
      </c>
      <c r="G35" s="190">
        <v>39.325405000000003</v>
      </c>
      <c r="H35" s="190">
        <v>0.98802478000000005</v>
      </c>
      <c r="I35" s="62">
        <v>0.99024721999999998</v>
      </c>
      <c r="J35" s="62">
        <v>2.5878713000000001E-2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36.962547999999998</v>
      </c>
      <c r="Y35" s="190">
        <v>40.684162999999998</v>
      </c>
      <c r="Z35" s="190">
        <v>0.98804760000000003</v>
      </c>
      <c r="AA35" s="62">
        <v>0.99046546000000002</v>
      </c>
      <c r="AB35" s="62">
        <v>1.8448597000000001E-2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1.7173349999999985</v>
      </c>
      <c r="AN35" s="122">
        <f t="shared" si="5"/>
        <v>1.3587579999999946</v>
      </c>
      <c r="AO35" s="122">
        <f t="shared" si="6"/>
        <v>2.2819999999978968E-5</v>
      </c>
      <c r="AP35" s="122">
        <f t="shared" si="7"/>
        <v>2.1824000000003618E-4</v>
      </c>
      <c r="AQ35" s="88">
        <f t="shared" si="8"/>
        <v>-7.4301160000000005E-3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37.978982000000002</v>
      </c>
      <c r="G36" s="190">
        <v>42.071568999999997</v>
      </c>
      <c r="H36" s="190">
        <v>0.99232673999999998</v>
      </c>
      <c r="I36" s="62">
        <v>0.99516832</v>
      </c>
      <c r="J36" s="62">
        <v>1.8133216000000001E-2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40.576411999999998</v>
      </c>
      <c r="Y36" s="190">
        <v>43.937641999999997</v>
      </c>
      <c r="Z36" s="190">
        <v>0.99239332999999996</v>
      </c>
      <c r="AA36" s="62">
        <v>0.99614528000000002</v>
      </c>
      <c r="AB36" s="62">
        <v>1.0655013E-2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2.5974299999999957</v>
      </c>
      <c r="AN36" s="122">
        <f t="shared" si="5"/>
        <v>1.8660730000000001</v>
      </c>
      <c r="AO36" s="122">
        <f t="shared" si="6"/>
        <v>6.6589999999977501E-5</v>
      </c>
      <c r="AP36" s="122">
        <f t="shared" si="7"/>
        <v>9.769600000000267E-4</v>
      </c>
      <c r="AQ36" s="88">
        <f t="shared" si="8"/>
        <v>-7.478203000000001E-3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27.159337000000001</v>
      </c>
      <c r="G38" s="97">
        <v>32.313654</v>
      </c>
      <c r="H38" s="97">
        <v>0.95913261000000005</v>
      </c>
      <c r="I38" s="60">
        <v>0.95348164999999996</v>
      </c>
      <c r="J38" s="60">
        <v>6.7650589999999997E-2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27.713497</v>
      </c>
      <c r="Y38" s="97">
        <v>33.677157999999999</v>
      </c>
      <c r="Z38" s="97">
        <v>0.95941701999999995</v>
      </c>
      <c r="AA38" s="60">
        <v>0.95558511000000002</v>
      </c>
      <c r="AB38" s="60">
        <v>5.7325349999999997E-2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0.55415999999999954</v>
      </c>
      <c r="AN38" s="96">
        <f t="shared" si="5"/>
        <v>1.3635039999999989</v>
      </c>
      <c r="AO38" s="96">
        <f t="shared" si="6"/>
        <v>2.8440999999990169E-4</v>
      </c>
      <c r="AP38" s="96">
        <f t="shared" si="7"/>
        <v>2.103460000000057E-3</v>
      </c>
      <c r="AQ38" s="121">
        <f t="shared" si="8"/>
        <v>-1.0325239999999999E-2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30.61149</v>
      </c>
      <c r="G39" s="190">
        <v>35.125819999999997</v>
      </c>
      <c r="H39" s="190">
        <v>0.97554803000000001</v>
      </c>
      <c r="I39" s="62">
        <v>0.97318223999999998</v>
      </c>
      <c r="J39" s="62">
        <v>4.2904842999999998E-2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31.696563999999999</v>
      </c>
      <c r="Y39" s="190">
        <v>36.601115</v>
      </c>
      <c r="Z39" s="190">
        <v>0.97556047999999995</v>
      </c>
      <c r="AA39" s="62">
        <v>0.97346705</v>
      </c>
      <c r="AB39" s="62">
        <v>3.4183169999999999E-2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1.0850739999999988</v>
      </c>
      <c r="AN39" s="122">
        <f t="shared" si="5"/>
        <v>1.4752950000000027</v>
      </c>
      <c r="AO39" s="122">
        <f t="shared" si="6"/>
        <v>1.2449999999941674E-5</v>
      </c>
      <c r="AP39" s="122">
        <f t="shared" si="7"/>
        <v>2.8481000000002421E-4</v>
      </c>
      <c r="AQ39" s="88">
        <f t="shared" si="8"/>
        <v>-8.7216729999999992E-3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35.104630999999998</v>
      </c>
      <c r="G40" s="190">
        <v>39.205773999999998</v>
      </c>
      <c r="H40" s="190">
        <v>0.98771967999999999</v>
      </c>
      <c r="I40" s="62">
        <v>0.99035198999999996</v>
      </c>
      <c r="J40" s="62">
        <v>2.6291702E-2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37.056576</v>
      </c>
      <c r="Y40" s="190">
        <v>40.767628999999999</v>
      </c>
      <c r="Z40" s="190">
        <v>0.98781426000000006</v>
      </c>
      <c r="AA40" s="62">
        <v>0.99076849</v>
      </c>
      <c r="AB40" s="62">
        <v>1.7678533E-2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1.951945000000002</v>
      </c>
      <c r="AN40" s="122">
        <f t="shared" si="5"/>
        <v>1.5618550000000013</v>
      </c>
      <c r="AO40" s="122">
        <f t="shared" si="6"/>
        <v>9.4580000000066278E-5</v>
      </c>
      <c r="AP40" s="122">
        <f t="shared" si="7"/>
        <v>4.1650000000004184E-4</v>
      </c>
      <c r="AQ40" s="88">
        <f t="shared" si="8"/>
        <v>-8.6131690000000004E-3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37.772447</v>
      </c>
      <c r="G41" s="190">
        <v>41.887455000000003</v>
      </c>
      <c r="H41" s="190">
        <v>0.99197133000000004</v>
      </c>
      <c r="I41" s="62">
        <v>0.99512036000000004</v>
      </c>
      <c r="J41" s="62">
        <v>1.8893559000000001E-2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40.542900000000003</v>
      </c>
      <c r="Y41" s="190">
        <v>43.926642999999999</v>
      </c>
      <c r="Z41" s="190">
        <v>0.99209219999999998</v>
      </c>
      <c r="AA41" s="62">
        <v>0.99605423999999998</v>
      </c>
      <c r="AB41" s="62">
        <v>1.0629196E-2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2.7704530000000034</v>
      </c>
      <c r="AN41" s="122">
        <f t="shared" si="5"/>
        <v>2.0391879999999958</v>
      </c>
      <c r="AO41" s="122">
        <f t="shared" si="6"/>
        <v>1.2086999999993964E-4</v>
      </c>
      <c r="AP41" s="122">
        <f t="shared" si="7"/>
        <v>9.3387999999994253E-4</v>
      </c>
      <c r="AQ41" s="88">
        <f t="shared" si="8"/>
        <v>-8.2643630000000003E-3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27.477209999999999</v>
      </c>
      <c r="G43" s="97">
        <v>32.542786</v>
      </c>
      <c r="H43" s="97">
        <v>0.95888883000000003</v>
      </c>
      <c r="I43" s="60">
        <v>0.95585540999999996</v>
      </c>
      <c r="J43" s="60">
        <v>6.4157270000000002E-2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28.029053999999999</v>
      </c>
      <c r="Y43" s="97">
        <v>33.861843999999998</v>
      </c>
      <c r="Z43" s="97">
        <v>0.95919810000000005</v>
      </c>
      <c r="AA43" s="60">
        <v>0.95743237000000003</v>
      </c>
      <c r="AB43" s="60">
        <v>5.456917E-2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0.55184399999999911</v>
      </c>
      <c r="AN43" s="96">
        <f t="shared" si="5"/>
        <v>1.3190579999999983</v>
      </c>
      <c r="AO43" s="96">
        <f t="shared" si="6"/>
        <v>3.0927000000002813E-4</v>
      </c>
      <c r="AP43" s="96">
        <f t="shared" si="7"/>
        <v>1.5769600000000716E-3</v>
      </c>
      <c r="AQ43" s="121">
        <f t="shared" si="8"/>
        <v>-9.5881000000000022E-3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30.589345999999999</v>
      </c>
      <c r="G44" s="190">
        <v>35.108955000000002</v>
      </c>
      <c r="H44" s="190">
        <v>0.97530395000000003</v>
      </c>
      <c r="I44" s="62">
        <v>0.97331946999999996</v>
      </c>
      <c r="J44" s="62">
        <v>4.0674977000000001E-2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31.705477999999999</v>
      </c>
      <c r="Y44" s="190">
        <v>36.586869</v>
      </c>
      <c r="Z44" s="190">
        <v>0.97536719999999999</v>
      </c>
      <c r="AA44" s="62">
        <v>0.97373299999999996</v>
      </c>
      <c r="AB44" s="62">
        <v>3.1932566000000003E-2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1.1161320000000003</v>
      </c>
      <c r="AN44" s="122">
        <f t="shared" si="5"/>
        <v>1.4779139999999984</v>
      </c>
      <c r="AO44" s="122">
        <f t="shared" si="6"/>
        <v>6.3249999999959172E-5</v>
      </c>
      <c r="AP44" s="122">
        <f t="shared" si="7"/>
        <v>4.1352999999999529E-4</v>
      </c>
      <c r="AQ44" s="88">
        <f t="shared" si="8"/>
        <v>-8.7424109999999985E-3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35.185032</v>
      </c>
      <c r="G45" s="190">
        <v>39.267468999999998</v>
      </c>
      <c r="H45" s="190">
        <v>0.98778604999999997</v>
      </c>
      <c r="I45" s="62">
        <v>0.99048533999999999</v>
      </c>
      <c r="J45" s="62">
        <v>2.4693282E-2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37.188237999999998</v>
      </c>
      <c r="Y45" s="190">
        <v>40.858117</v>
      </c>
      <c r="Z45" s="190">
        <v>0.98794375000000001</v>
      </c>
      <c r="AA45" s="62">
        <v>0.9911896</v>
      </c>
      <c r="AB45" s="62">
        <v>1.6545250000000001E-2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2.0032059999999987</v>
      </c>
      <c r="AN45" s="122">
        <f t="shared" si="5"/>
        <v>1.5906480000000016</v>
      </c>
      <c r="AO45" s="122">
        <f t="shared" si="6"/>
        <v>1.5770000000003837E-4</v>
      </c>
      <c r="AP45" s="122">
        <f t="shared" si="7"/>
        <v>7.042600000000121E-4</v>
      </c>
      <c r="AQ45" s="88">
        <f t="shared" si="8"/>
        <v>-8.1480319999999995E-3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37.841410000000003</v>
      </c>
      <c r="G46" s="190">
        <v>41.947217999999999</v>
      </c>
      <c r="H46" s="190">
        <v>0.99210927000000004</v>
      </c>
      <c r="I46" s="62">
        <v>0.99513594999999999</v>
      </c>
      <c r="J46" s="62">
        <v>1.7724297999999999E-2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40.599516000000001</v>
      </c>
      <c r="Y46" s="190">
        <v>43.957585999999999</v>
      </c>
      <c r="Z46" s="190">
        <v>0.99226152999999995</v>
      </c>
      <c r="AA46" s="62">
        <v>0.9961276</v>
      </c>
      <c r="AB46" s="62">
        <v>1.0110826999999999E-2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2.7581059999999979</v>
      </c>
      <c r="AN46" s="122">
        <f t="shared" si="5"/>
        <v>2.0103679999999997</v>
      </c>
      <c r="AO46" s="122">
        <f t="shared" si="6"/>
        <v>1.5225999999990414E-4</v>
      </c>
      <c r="AP46" s="122">
        <f t="shared" si="7"/>
        <v>9.9165000000001058E-4</v>
      </c>
      <c r="AQ46" s="88">
        <f t="shared" si="8"/>
        <v>-7.6134710000000001E-3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27.528514999999999</v>
      </c>
      <c r="G48" s="97">
        <v>32.573352999999997</v>
      </c>
      <c r="H48" s="97">
        <v>0.95889004</v>
      </c>
      <c r="I48" s="60">
        <v>0.95552258000000001</v>
      </c>
      <c r="J48" s="60">
        <v>6.5119479999999993E-2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28.056298999999999</v>
      </c>
      <c r="Y48" s="97">
        <v>33.842663000000002</v>
      </c>
      <c r="Z48" s="97">
        <v>0.95909188999999995</v>
      </c>
      <c r="AA48" s="60">
        <v>0.95712615000000001</v>
      </c>
      <c r="AB48" s="60">
        <v>5.5955909999999998E-2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0.52778400000000047</v>
      </c>
      <c r="AN48" s="96">
        <f t="shared" si="5"/>
        <v>1.2693100000000044</v>
      </c>
      <c r="AO48" s="96">
        <f t="shared" si="6"/>
        <v>2.018499999999479E-4</v>
      </c>
      <c r="AP48" s="96">
        <f t="shared" si="7"/>
        <v>1.6035699999999986E-3</v>
      </c>
      <c r="AQ48" s="121">
        <f t="shared" si="8"/>
        <v>-9.1635699999999959E-3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30.364004000000001</v>
      </c>
      <c r="G49" s="190">
        <v>34.911343000000002</v>
      </c>
      <c r="H49" s="190">
        <v>0.97482051000000003</v>
      </c>
      <c r="I49" s="62">
        <v>0.97217198999999999</v>
      </c>
      <c r="J49" s="62">
        <v>4.2943962000000002E-2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31.401958</v>
      </c>
      <c r="Y49" s="190">
        <v>36.344248</v>
      </c>
      <c r="Z49" s="190">
        <v>0.97487997999999998</v>
      </c>
      <c r="AA49" s="62">
        <v>0.97428846999999996</v>
      </c>
      <c r="AB49" s="62">
        <v>3.3945598E-2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1.0379539999999992</v>
      </c>
      <c r="AN49" s="122">
        <f t="shared" si="5"/>
        <v>1.4329049999999981</v>
      </c>
      <c r="AO49" s="122">
        <f t="shared" si="6"/>
        <v>5.9469999999950396E-5</v>
      </c>
      <c r="AP49" s="122">
        <f t="shared" si="7"/>
        <v>2.1164799999999762E-3</v>
      </c>
      <c r="AQ49" s="88">
        <f t="shared" si="8"/>
        <v>-8.9983640000000018E-3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35.178787999999997</v>
      </c>
      <c r="G50" s="190">
        <v>39.253574999999998</v>
      </c>
      <c r="H50" s="190">
        <v>0.98766487000000003</v>
      </c>
      <c r="I50" s="62">
        <v>0.99047030999999996</v>
      </c>
      <c r="J50" s="62">
        <v>2.5777917000000001E-2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37.122169999999997</v>
      </c>
      <c r="Y50" s="190">
        <v>40.80283</v>
      </c>
      <c r="Z50" s="190">
        <v>0.98775919999999995</v>
      </c>
      <c r="AA50" s="62">
        <v>0.99103469</v>
      </c>
      <c r="AB50" s="62">
        <v>1.7657539999999999E-2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1.9433819999999997</v>
      </c>
      <c r="AN50" s="122">
        <f t="shared" si="5"/>
        <v>1.5492550000000023</v>
      </c>
      <c r="AO50" s="122">
        <f t="shared" si="6"/>
        <v>9.4329999999920311E-5</v>
      </c>
      <c r="AP50" s="122">
        <f t="shared" si="7"/>
        <v>5.6438000000003097E-4</v>
      </c>
      <c r="AQ50" s="88">
        <f t="shared" si="8"/>
        <v>-8.1203770000000015E-3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37.787498999999997</v>
      </c>
      <c r="G51" s="190">
        <v>41.886262000000002</v>
      </c>
      <c r="H51" s="190">
        <v>0.99195458999999997</v>
      </c>
      <c r="I51" s="62">
        <v>0.99506357999999995</v>
      </c>
      <c r="J51" s="62">
        <v>1.8612420000000001E-2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40.479515999999997</v>
      </c>
      <c r="Y51" s="190">
        <v>43.853358999999998</v>
      </c>
      <c r="Z51" s="190">
        <v>0.99207632999999995</v>
      </c>
      <c r="AA51" s="62">
        <v>0.99608485999999996</v>
      </c>
      <c r="AB51" s="62">
        <v>1.1134863E-2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2.6920169999999999</v>
      </c>
      <c r="AN51" s="122">
        <f t="shared" si="5"/>
        <v>1.9670969999999954</v>
      </c>
      <c r="AO51" s="122">
        <f t="shared" si="6"/>
        <v>1.2173999999998131E-4</v>
      </c>
      <c r="AP51" s="122">
        <f t="shared" si="7"/>
        <v>1.0212800000000133E-3</v>
      </c>
      <c r="AQ51" s="88">
        <f t="shared" si="8"/>
        <v>-7.477557000000001E-3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27.637274999999999</v>
      </c>
      <c r="G53" s="97">
        <v>32.603611000000001</v>
      </c>
      <c r="H53" s="97">
        <v>0.95685091</v>
      </c>
      <c r="I53" s="60">
        <v>0.95639452000000003</v>
      </c>
      <c r="J53" s="60">
        <v>6.8590330000000005E-2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28.171458999999999</v>
      </c>
      <c r="Y53" s="97">
        <v>33.777355999999997</v>
      </c>
      <c r="Z53" s="97">
        <v>0.95703132000000002</v>
      </c>
      <c r="AA53" s="60">
        <v>0.95788319</v>
      </c>
      <c r="AB53" s="60">
        <v>5.9494289999999998E-2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0.53418399999999977</v>
      </c>
      <c r="AN53" s="96">
        <f t="shared" si="5"/>
        <v>1.1737449999999967</v>
      </c>
      <c r="AO53" s="96">
        <f t="shared" si="6"/>
        <v>1.8041000000001972E-4</v>
      </c>
      <c r="AP53" s="96">
        <f t="shared" si="7"/>
        <v>1.4886699999999697E-3</v>
      </c>
      <c r="AQ53" s="121">
        <f t="shared" si="8"/>
        <v>-9.0960400000000066E-3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30.342054999999998</v>
      </c>
      <c r="G54" s="190">
        <v>34.873162999999998</v>
      </c>
      <c r="H54" s="190">
        <v>0.97403954999999998</v>
      </c>
      <c r="I54" s="62">
        <v>0.97253383000000004</v>
      </c>
      <c r="J54" s="62">
        <v>4.5010433000000002E-2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31.383486000000001</v>
      </c>
      <c r="Y54" s="190">
        <v>36.214008</v>
      </c>
      <c r="Z54" s="190">
        <v>0.97404433999999995</v>
      </c>
      <c r="AA54" s="62">
        <v>0.97452475999999999</v>
      </c>
      <c r="AB54" s="62">
        <v>3.5993345000000003E-2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1.0414310000000029</v>
      </c>
      <c r="AN54" s="122">
        <f t="shared" si="5"/>
        <v>1.3408450000000016</v>
      </c>
      <c r="AO54" s="122">
        <f t="shared" si="6"/>
        <v>4.7899999999767573E-6</v>
      </c>
      <c r="AP54" s="122">
        <f t="shared" si="7"/>
        <v>1.9909299999999464E-3</v>
      </c>
      <c r="AQ54" s="88">
        <f t="shared" si="8"/>
        <v>-9.0170879999999995E-3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34.994120000000002</v>
      </c>
      <c r="G55" s="190">
        <v>39.061014999999998</v>
      </c>
      <c r="H55" s="190">
        <v>0.98708828999999998</v>
      </c>
      <c r="I55" s="62">
        <v>0.99036941000000001</v>
      </c>
      <c r="J55" s="62">
        <v>2.7586917999999998E-2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36.866802</v>
      </c>
      <c r="Y55" s="190">
        <v>40.547477000000001</v>
      </c>
      <c r="Z55" s="190">
        <v>0.98715379000000003</v>
      </c>
      <c r="AA55" s="62">
        <v>0.99074700000000004</v>
      </c>
      <c r="AB55" s="62">
        <v>1.9240130000000001E-2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1.8726819999999975</v>
      </c>
      <c r="AN55" s="122">
        <f t="shared" si="5"/>
        <v>1.4864620000000031</v>
      </c>
      <c r="AO55" s="122">
        <f t="shared" si="6"/>
        <v>6.5500000000051628E-5</v>
      </c>
      <c r="AP55" s="122">
        <f t="shared" si="7"/>
        <v>3.7759000000003873E-4</v>
      </c>
      <c r="AQ55" s="88">
        <f t="shared" si="8"/>
        <v>-8.3467879999999973E-3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37.432068999999998</v>
      </c>
      <c r="G56" s="190">
        <v>41.503722000000003</v>
      </c>
      <c r="H56" s="190">
        <v>0.99142965999999999</v>
      </c>
      <c r="I56" s="62">
        <v>0.99482473000000005</v>
      </c>
      <c r="J56" s="62">
        <v>1.9992592E-2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39.95937</v>
      </c>
      <c r="Y56" s="190">
        <v>43.367479000000003</v>
      </c>
      <c r="Z56" s="190">
        <v>0.99153469999999999</v>
      </c>
      <c r="AA56" s="62">
        <v>0.99584525999999995</v>
      </c>
      <c r="AB56" s="62">
        <v>1.2424754E-2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2.5273010000000014</v>
      </c>
      <c r="AN56" s="122">
        <f t="shared" si="5"/>
        <v>1.8637569999999997</v>
      </c>
      <c r="AO56" s="122">
        <f t="shared" si="6"/>
        <v>1.0504000000000069E-4</v>
      </c>
      <c r="AP56" s="122">
        <f t="shared" si="7"/>
        <v>1.0205299999999085E-3</v>
      </c>
      <c r="AQ56" s="88">
        <f t="shared" si="8"/>
        <v>-7.5678380000000003E-3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26.894822000000001</v>
      </c>
      <c r="G58" s="97">
        <v>32.264718000000002</v>
      </c>
      <c r="H58" s="97">
        <v>0.95867438000000005</v>
      </c>
      <c r="I58" s="60">
        <v>0.95391572999999996</v>
      </c>
      <c r="J58" s="60">
        <v>6.9243559999999996E-2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27.436095000000002</v>
      </c>
      <c r="Y58" s="97">
        <v>33.731285</v>
      </c>
      <c r="Z58" s="97">
        <v>0.95881368</v>
      </c>
      <c r="AA58" s="60">
        <v>0.95596681999999999</v>
      </c>
      <c r="AB58" s="60">
        <v>5.9083129999999998E-2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0.54127300000000034</v>
      </c>
      <c r="AN58" s="96">
        <f t="shared" si="5"/>
        <v>1.4665669999999977</v>
      </c>
      <c r="AO58" s="96">
        <f t="shared" si="6"/>
        <v>1.3929999999995335E-4</v>
      </c>
      <c r="AP58" s="96">
        <f t="shared" si="7"/>
        <v>2.0510900000000332E-3</v>
      </c>
      <c r="AQ58" s="121">
        <f t="shared" si="8"/>
        <v>-1.0160429999999998E-2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30.816381</v>
      </c>
      <c r="G59" s="190">
        <v>35.493073000000003</v>
      </c>
      <c r="H59" s="190">
        <v>0.97644447999999995</v>
      </c>
      <c r="I59" s="62">
        <v>0.97494440999999998</v>
      </c>
      <c r="J59" s="62">
        <v>4.1013528E-2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31.900289999999998</v>
      </c>
      <c r="Y59" s="190">
        <v>37.002611000000002</v>
      </c>
      <c r="Z59" s="190">
        <v>0.97632374</v>
      </c>
      <c r="AA59" s="62">
        <v>0.97662165999999995</v>
      </c>
      <c r="AB59" s="62">
        <v>3.2447003000000002E-2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1.0839089999999985</v>
      </c>
      <c r="AN59" s="122">
        <f t="shared" si="5"/>
        <v>1.5095379999999992</v>
      </c>
      <c r="AO59" s="122">
        <f t="shared" si="6"/>
        <v>-1.2073999999995255E-4</v>
      </c>
      <c r="AP59" s="122">
        <f t="shared" si="7"/>
        <v>1.6772499999999635E-3</v>
      </c>
      <c r="AQ59" s="88">
        <f t="shared" si="8"/>
        <v>-8.5665249999999984E-3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35.293846000000002</v>
      </c>
      <c r="G60" s="190">
        <v>39.390680000000003</v>
      </c>
      <c r="H60" s="190">
        <v>0.98864724999999998</v>
      </c>
      <c r="I60" s="62">
        <v>0.99094232000000004</v>
      </c>
      <c r="J60" s="62">
        <v>2.3807272000000001E-2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37.207816999999999</v>
      </c>
      <c r="Y60" s="190">
        <v>40.983486999999997</v>
      </c>
      <c r="Z60" s="190">
        <v>0.98864085999999995</v>
      </c>
      <c r="AA60" s="62">
        <v>0.99121324</v>
      </c>
      <c r="AB60" s="62">
        <v>1.5846629000000001E-2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1.9139709999999965</v>
      </c>
      <c r="AN60" s="122">
        <f t="shared" si="5"/>
        <v>1.5928069999999934</v>
      </c>
      <c r="AO60" s="122">
        <f t="shared" si="6"/>
        <v>-6.3900000000227664E-6</v>
      </c>
      <c r="AP60" s="122">
        <f t="shared" si="7"/>
        <v>2.7091999999995231E-4</v>
      </c>
      <c r="AQ60" s="88">
        <f t="shared" si="8"/>
        <v>-7.9606429999999999E-3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37.956538999999999</v>
      </c>
      <c r="G61" s="190">
        <v>42.040222</v>
      </c>
      <c r="H61" s="190">
        <v>0.99285303000000003</v>
      </c>
      <c r="I61" s="62">
        <v>0.99569479000000005</v>
      </c>
      <c r="J61" s="62">
        <v>1.6822651000000001E-2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40.708359000000002</v>
      </c>
      <c r="Y61" s="190">
        <v>44.091343999999999</v>
      </c>
      <c r="Z61" s="190">
        <v>0.99293140999999996</v>
      </c>
      <c r="AA61" s="62">
        <v>0.99633510999999997</v>
      </c>
      <c r="AB61" s="62">
        <v>8.7969060000000002E-3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2.7518200000000022</v>
      </c>
      <c r="AN61" s="122">
        <f t="shared" si="5"/>
        <v>2.0511219999999994</v>
      </c>
      <c r="AO61" s="122">
        <f t="shared" si="6"/>
        <v>7.8379999999933503E-5</v>
      </c>
      <c r="AP61" s="122">
        <f t="shared" si="7"/>
        <v>6.4031999999991651E-4</v>
      </c>
      <c r="AQ61" s="88">
        <f t="shared" si="8"/>
        <v>-8.0257450000000008E-3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27.080069000000002</v>
      </c>
      <c r="G63" s="97">
        <v>32.41377</v>
      </c>
      <c r="H63" s="97">
        <v>0.95950606000000005</v>
      </c>
      <c r="I63" s="60">
        <v>0.95407178000000004</v>
      </c>
      <c r="J63" s="60">
        <v>6.5351699999999999E-2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27.685683999999998</v>
      </c>
      <c r="Y63" s="97">
        <v>33.916809999999998</v>
      </c>
      <c r="Z63" s="97">
        <v>0.95974397</v>
      </c>
      <c r="AA63" s="60">
        <v>0.95532064000000005</v>
      </c>
      <c r="AB63" s="60">
        <v>5.4872483E-2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0.60561499999999668</v>
      </c>
      <c r="AN63" s="96">
        <f t="shared" si="5"/>
        <v>1.5030399999999986</v>
      </c>
      <c r="AO63" s="96">
        <f t="shared" si="6"/>
        <v>2.3790999999995233E-4</v>
      </c>
      <c r="AP63" s="96">
        <f t="shared" si="7"/>
        <v>1.2488600000000183E-3</v>
      </c>
      <c r="AQ63" s="121">
        <f t="shared" si="8"/>
        <v>-1.0479216999999999E-2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30.646644999999999</v>
      </c>
      <c r="G64" s="190">
        <v>35.377361000000001</v>
      </c>
      <c r="H64" s="190">
        <v>0.97647065</v>
      </c>
      <c r="I64" s="62">
        <v>0.97207644000000004</v>
      </c>
      <c r="J64" s="62">
        <v>3.9864033E-2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31.791415000000001</v>
      </c>
      <c r="Y64" s="190">
        <v>36.939359000000003</v>
      </c>
      <c r="Z64" s="190">
        <v>0.97650601999999997</v>
      </c>
      <c r="AA64" s="62">
        <v>0.97445919000000003</v>
      </c>
      <c r="AB64" s="62">
        <v>3.0717121E-2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1.1447700000000012</v>
      </c>
      <c r="AN64" s="122">
        <f t="shared" si="5"/>
        <v>1.5619980000000027</v>
      </c>
      <c r="AO64" s="122">
        <f t="shared" si="6"/>
        <v>3.5369999999979029E-5</v>
      </c>
      <c r="AP64" s="122">
        <f t="shared" si="7"/>
        <v>2.382749999999989E-3</v>
      </c>
      <c r="AQ64" s="88">
        <f t="shared" si="8"/>
        <v>-9.1469120000000001E-3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35.304288999999997</v>
      </c>
      <c r="G65" s="190">
        <v>39.427394</v>
      </c>
      <c r="H65" s="190">
        <v>0.98858228000000004</v>
      </c>
      <c r="I65" s="62">
        <v>0.99053734999999998</v>
      </c>
      <c r="J65" s="62">
        <v>2.3588745000000001E-2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37.394334999999998</v>
      </c>
      <c r="Y65" s="190">
        <v>41.137093999999998</v>
      </c>
      <c r="Z65" s="190">
        <v>0.98865396000000005</v>
      </c>
      <c r="AA65" s="62">
        <v>0.99117443000000005</v>
      </c>
      <c r="AB65" s="62">
        <v>1.5235346E-2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2.090046000000001</v>
      </c>
      <c r="AN65" s="122">
        <f t="shared" si="5"/>
        <v>1.709699999999998</v>
      </c>
      <c r="AO65" s="122">
        <f t="shared" si="6"/>
        <v>7.1680000000018396E-5</v>
      </c>
      <c r="AP65" s="122">
        <f t="shared" si="7"/>
        <v>6.3708000000006759E-4</v>
      </c>
      <c r="AQ65" s="88">
        <f t="shared" si="8"/>
        <v>-8.3533990000000009E-3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37.940697999999998</v>
      </c>
      <c r="G66" s="190">
        <v>42.042659999999998</v>
      </c>
      <c r="H66" s="190">
        <v>0.99273867999999998</v>
      </c>
      <c r="I66" s="62">
        <v>0.99535589000000002</v>
      </c>
      <c r="J66" s="62">
        <v>1.67075E-2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40.827080000000002</v>
      </c>
      <c r="Y66" s="190">
        <v>44.176726000000002</v>
      </c>
      <c r="Z66" s="190">
        <v>0.99285517000000001</v>
      </c>
      <c r="AA66" s="62">
        <v>0.99633256000000003</v>
      </c>
      <c r="AB66" s="62">
        <v>8.5293179999999993E-3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2.8863820000000047</v>
      </c>
      <c r="AN66" s="122">
        <f t="shared" si="5"/>
        <v>2.1340660000000042</v>
      </c>
      <c r="AO66" s="122">
        <f t="shared" si="6"/>
        <v>1.1649000000002463E-4</v>
      </c>
      <c r="AP66" s="122">
        <f t="shared" si="7"/>
        <v>9.7667000000001281E-4</v>
      </c>
      <c r="AQ66" s="88">
        <f t="shared" si="8"/>
        <v>-8.1781820000000009E-3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27.339936999999999</v>
      </c>
      <c r="G68" s="97">
        <v>32.598719000000003</v>
      </c>
      <c r="H68" s="97">
        <v>0.95952139999999997</v>
      </c>
      <c r="I68" s="60">
        <v>0.95485657000000002</v>
      </c>
      <c r="J68" s="60">
        <v>6.2930345999999998E-2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27.931248</v>
      </c>
      <c r="Y68" s="97">
        <v>34.065246000000002</v>
      </c>
      <c r="Z68" s="97">
        <v>0.95979638</v>
      </c>
      <c r="AA68" s="60">
        <v>0.9559164</v>
      </c>
      <c r="AB68" s="60">
        <v>5.3039192999999998E-2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0.59131100000000103</v>
      </c>
      <c r="AN68" s="96">
        <f t="shared" si="5"/>
        <v>1.4665269999999992</v>
      </c>
      <c r="AO68" s="96">
        <f t="shared" si="6"/>
        <v>2.7498000000003575E-4</v>
      </c>
      <c r="AP68" s="96">
        <f t="shared" si="7"/>
        <v>1.0598299999999838E-3</v>
      </c>
      <c r="AQ68" s="121">
        <f t="shared" si="8"/>
        <v>-9.8911529999999998E-3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30.699698999999999</v>
      </c>
      <c r="G69" s="190">
        <v>35.41825</v>
      </c>
      <c r="H69" s="190">
        <v>0.97609678</v>
      </c>
      <c r="I69" s="62">
        <v>0.97140773999999996</v>
      </c>
      <c r="J69" s="62">
        <v>3.9092842000000003E-2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31.885157</v>
      </c>
      <c r="Y69" s="190">
        <v>37.001280999999999</v>
      </c>
      <c r="Z69" s="190">
        <v>0.97616104000000004</v>
      </c>
      <c r="AA69" s="62">
        <v>0.97416550999999996</v>
      </c>
      <c r="AB69" s="62">
        <v>3.0074336E-2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1.1854580000000006</v>
      </c>
      <c r="AN69" s="122">
        <f t="shared" si="5"/>
        <v>1.5830309999999983</v>
      </c>
      <c r="AO69" s="122">
        <f t="shared" si="6"/>
        <v>6.4260000000038175E-5</v>
      </c>
      <c r="AP69" s="122">
        <f t="shared" si="7"/>
        <v>2.7577699999999927E-3</v>
      </c>
      <c r="AQ69" s="88">
        <f t="shared" si="8"/>
        <v>-9.0185060000000025E-3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35.325892000000003</v>
      </c>
      <c r="G70" s="190">
        <v>39.444445999999999</v>
      </c>
      <c r="H70" s="190">
        <v>0.98833272999999999</v>
      </c>
      <c r="I70" s="62">
        <v>0.99000381999999998</v>
      </c>
      <c r="J70" s="62">
        <v>2.3051122E-2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37.437553000000001</v>
      </c>
      <c r="Y70" s="190">
        <v>41.171593000000001</v>
      </c>
      <c r="Z70" s="190">
        <v>0.98846608999999996</v>
      </c>
      <c r="AA70" s="62">
        <v>0.99100454999999998</v>
      </c>
      <c r="AB70" s="62">
        <v>1.4822118E-2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2.111660999999998</v>
      </c>
      <c r="AN70" s="122">
        <f t="shared" si="5"/>
        <v>1.7271470000000022</v>
      </c>
      <c r="AO70" s="122">
        <f t="shared" si="6"/>
        <v>1.3335999999997128E-4</v>
      </c>
      <c r="AP70" s="122">
        <f t="shared" si="7"/>
        <v>1.0007300000000052E-3</v>
      </c>
      <c r="AQ70" s="88">
        <f t="shared" si="8"/>
        <v>-8.2290039999999998E-3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37.918970000000002</v>
      </c>
      <c r="G71" s="190">
        <v>42.010599999999997</v>
      </c>
      <c r="H71" s="190">
        <v>0.99260009999999999</v>
      </c>
      <c r="I71" s="62">
        <v>0.99502447999999999</v>
      </c>
      <c r="J71" s="62">
        <v>1.6604715999999999E-2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40.770589999999999</v>
      </c>
      <c r="Y71" s="190">
        <v>44.124245000000002</v>
      </c>
      <c r="Z71" s="190">
        <v>0.99273431999999995</v>
      </c>
      <c r="AA71" s="62">
        <v>0.99622432000000005</v>
      </c>
      <c r="AB71" s="62">
        <v>8.7234280000000001E-3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2.8516199999999969</v>
      </c>
      <c r="AN71" s="122">
        <f t="shared" si="5"/>
        <v>2.1136450000000053</v>
      </c>
      <c r="AO71" s="122">
        <f t="shared" si="6"/>
        <v>1.342199999999627E-4</v>
      </c>
      <c r="AP71" s="122">
        <f t="shared" si="7"/>
        <v>1.1998400000000631E-3</v>
      </c>
      <c r="AQ71" s="88">
        <f t="shared" si="8"/>
        <v>-7.8812879999999984E-3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27.454829</v>
      </c>
      <c r="G73" s="97">
        <v>32.661768000000002</v>
      </c>
      <c r="H73" s="97">
        <v>0.95952678999999996</v>
      </c>
      <c r="I73" s="60">
        <v>0.95506356000000003</v>
      </c>
      <c r="J73" s="60">
        <v>6.2677319999999995E-2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28.011392000000001</v>
      </c>
      <c r="Y73" s="97">
        <v>34.089097000000002</v>
      </c>
      <c r="Z73" s="97">
        <v>0.95977553999999998</v>
      </c>
      <c r="AA73" s="60">
        <v>0.95613528000000003</v>
      </c>
      <c r="AB73" s="60">
        <v>5.3246920000000003E-2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0.55656300000000059</v>
      </c>
      <c r="AN73" s="96">
        <f t="shared" si="5"/>
        <v>1.4273290000000003</v>
      </c>
      <c r="AO73" s="96">
        <f t="shared" si="6"/>
        <v>2.4875000000001979E-4</v>
      </c>
      <c r="AP73" s="96">
        <f t="shared" si="7"/>
        <v>1.0717199999999982E-3</v>
      </c>
      <c r="AQ73" s="121">
        <f t="shared" si="8"/>
        <v>-9.4303999999999916E-3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30.660633000000001</v>
      </c>
      <c r="G74" s="190">
        <v>35.361564999999999</v>
      </c>
      <c r="H74" s="190">
        <v>0.97577809999999998</v>
      </c>
      <c r="I74" s="62">
        <v>0.97108329999999998</v>
      </c>
      <c r="J74" s="62">
        <v>3.9405763000000003E-2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31.820981</v>
      </c>
      <c r="Y74" s="190">
        <v>36.929935999999998</v>
      </c>
      <c r="Z74" s="190">
        <v>0.97583151000000001</v>
      </c>
      <c r="AA74" s="62">
        <v>0.97389314999999999</v>
      </c>
      <c r="AB74" s="62">
        <v>3.0502342000000002E-2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1.160347999999999</v>
      </c>
      <c r="AN74" s="122">
        <f t="shared" si="5"/>
        <v>1.5683709999999991</v>
      </c>
      <c r="AO74" s="122">
        <f t="shared" si="6"/>
        <v>5.3410000000031488E-5</v>
      </c>
      <c r="AP74" s="122">
        <f t="shared" si="7"/>
        <v>2.8098500000000026E-3</v>
      </c>
      <c r="AQ74" s="88">
        <f t="shared" si="8"/>
        <v>-8.9034210000000016E-3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35.314210000000003</v>
      </c>
      <c r="G75" s="190">
        <v>39.431275999999997</v>
      </c>
      <c r="H75" s="190">
        <v>0.98818454</v>
      </c>
      <c r="I75" s="62">
        <v>0.99008035000000005</v>
      </c>
      <c r="J75" s="62">
        <v>2.3250916999999999E-2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37.414847000000002</v>
      </c>
      <c r="Y75" s="190">
        <v>41.155234</v>
      </c>
      <c r="Z75" s="190">
        <v>0.98828247000000002</v>
      </c>
      <c r="AA75" s="62">
        <v>0.99102738999999995</v>
      </c>
      <c r="AB75" s="62">
        <v>1.5290061000000001E-2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2.100636999999999</v>
      </c>
      <c r="AN75" s="122">
        <f t="shared" si="5"/>
        <v>1.7239580000000032</v>
      </c>
      <c r="AO75" s="122">
        <f t="shared" si="6"/>
        <v>9.7930000000023831E-5</v>
      </c>
      <c r="AP75" s="122">
        <f t="shared" si="7"/>
        <v>9.4703999999989907E-4</v>
      </c>
      <c r="AQ75" s="88">
        <f t="shared" si="8"/>
        <v>-7.9608559999999988E-3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37.881673999999997</v>
      </c>
      <c r="G76" s="190">
        <v>41.968682999999999</v>
      </c>
      <c r="H76" s="190">
        <v>0.99242516999999997</v>
      </c>
      <c r="I76" s="62">
        <v>0.99507888</v>
      </c>
      <c r="J76" s="62">
        <v>1.6820214999999999E-2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40.692031</v>
      </c>
      <c r="Y76" s="190">
        <v>44.067307</v>
      </c>
      <c r="Z76" s="190">
        <v>0.99253323999999998</v>
      </c>
      <c r="AA76" s="62">
        <v>0.99620744000000006</v>
      </c>
      <c r="AB76" s="62">
        <v>9.1127989999999996E-3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2.8103570000000033</v>
      </c>
      <c r="AN76" s="122">
        <f t="shared" si="5"/>
        <v>2.0986240000000009</v>
      </c>
      <c r="AO76" s="122">
        <f t="shared" si="6"/>
        <v>1.0807000000001565E-4</v>
      </c>
      <c r="AP76" s="122">
        <f t="shared" si="7"/>
        <v>1.1285600000000562E-3</v>
      </c>
      <c r="AQ76" s="88">
        <f t="shared" si="8"/>
        <v>-7.7074159999999999E-3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27.508752999999999</v>
      </c>
      <c r="G78" s="97">
        <v>32.618156999999997</v>
      </c>
      <c r="H78" s="97">
        <v>0.95760783999999999</v>
      </c>
      <c r="I78" s="60">
        <v>0.95567822000000002</v>
      </c>
      <c r="J78" s="60">
        <v>6.6164829999999994E-2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28.024895999999998</v>
      </c>
      <c r="Y78" s="97">
        <v>33.849606000000001</v>
      </c>
      <c r="Z78" s="97">
        <v>0.95785299000000002</v>
      </c>
      <c r="AA78" s="60">
        <v>0.95670001999999998</v>
      </c>
      <c r="AB78" s="60">
        <v>5.7061899999999999E-2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0.51614299999999957</v>
      </c>
      <c r="AN78" s="96">
        <f t="shared" si="5"/>
        <v>1.2314490000000049</v>
      </c>
      <c r="AO78" s="96">
        <f t="shared" si="6"/>
        <v>2.4515000000002729E-4</v>
      </c>
      <c r="AP78" s="96">
        <f t="shared" si="7"/>
        <v>1.0217999999999616E-3</v>
      </c>
      <c r="AQ78" s="121">
        <f t="shared" si="8"/>
        <v>-9.1029299999999952E-3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30.58878</v>
      </c>
      <c r="G79" s="190">
        <v>35.228861999999999</v>
      </c>
      <c r="H79" s="190">
        <v>0.97467068999999995</v>
      </c>
      <c r="I79" s="62">
        <v>0.97195218000000005</v>
      </c>
      <c r="J79" s="62">
        <v>4.2794770000000003E-2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31.664856</v>
      </c>
      <c r="Y79" s="190">
        <v>36.615530999999997</v>
      </c>
      <c r="Z79" s="190">
        <v>0.97463918999999999</v>
      </c>
      <c r="AA79" s="62">
        <v>0.97447393000000004</v>
      </c>
      <c r="AB79" s="62">
        <v>3.4370600000000001E-2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1.0760760000000005</v>
      </c>
      <c r="AN79" s="122">
        <f t="shared" si="5"/>
        <v>1.3866689999999977</v>
      </c>
      <c r="AO79" s="122">
        <f t="shared" si="6"/>
        <v>-3.1499999999962114E-5</v>
      </c>
      <c r="AP79" s="122">
        <f t="shared" si="7"/>
        <v>2.5217499999999893E-3</v>
      </c>
      <c r="AQ79" s="88">
        <f t="shared" si="8"/>
        <v>-8.4241700000000017E-3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35.130313999999998</v>
      </c>
      <c r="G80" s="190">
        <v>39.225898000000001</v>
      </c>
      <c r="H80" s="190">
        <v>0.98737633000000002</v>
      </c>
      <c r="I80" s="62">
        <v>0.99017668999999997</v>
      </c>
      <c r="J80" s="62">
        <v>2.5149195999999999E-2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37.035417000000002</v>
      </c>
      <c r="Y80" s="190">
        <v>40.777628</v>
      </c>
      <c r="Z80" s="190">
        <v>0.98739414000000003</v>
      </c>
      <c r="AA80" s="62">
        <v>0.9907494</v>
      </c>
      <c r="AB80" s="62">
        <v>1.740657E-2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1.905103000000004</v>
      </c>
      <c r="AN80" s="122">
        <f t="shared" si="5"/>
        <v>1.5517299999999992</v>
      </c>
      <c r="AO80" s="122">
        <f t="shared" si="6"/>
        <v>1.7810000000006987E-5</v>
      </c>
      <c r="AP80" s="122">
        <f t="shared" si="7"/>
        <v>5.727100000000318E-4</v>
      </c>
      <c r="AQ80" s="88">
        <f t="shared" si="8"/>
        <v>-7.742625999999999E-3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37.597346999999999</v>
      </c>
      <c r="G81" s="190">
        <v>41.652251999999997</v>
      </c>
      <c r="H81" s="190">
        <v>0.99169160999999995</v>
      </c>
      <c r="I81" s="62">
        <v>0.99492577000000004</v>
      </c>
      <c r="J81" s="62">
        <v>1.8485120000000001E-2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40.116174000000001</v>
      </c>
      <c r="Y81" s="190">
        <v>43.552380999999997</v>
      </c>
      <c r="Z81" s="190">
        <v>0.99174709000000005</v>
      </c>
      <c r="AA81" s="62">
        <v>0.99589426000000003</v>
      </c>
      <c r="AB81" s="62">
        <v>1.1005865E-2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2.5188270000000017</v>
      </c>
      <c r="AN81" s="122">
        <f t="shared" si="5"/>
        <v>1.9001289999999997</v>
      </c>
      <c r="AO81" s="122">
        <f t="shared" si="6"/>
        <v>5.5480000000107665E-5</v>
      </c>
      <c r="AP81" s="122">
        <f t="shared" si="7"/>
        <v>9.6848999999998853E-4</v>
      </c>
      <c r="AQ81" s="88">
        <f t="shared" si="8"/>
        <v>-7.4792550000000006E-3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26.979896</v>
      </c>
      <c r="G83" s="97">
        <v>32.325276000000002</v>
      </c>
      <c r="H83" s="97">
        <v>0.95656841999999997</v>
      </c>
      <c r="I83" s="60">
        <v>0.95544583999999999</v>
      </c>
      <c r="J83" s="60">
        <v>7.0422929999999995E-2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27.616851</v>
      </c>
      <c r="Y83" s="97">
        <v>33.747354000000001</v>
      </c>
      <c r="Z83" s="97">
        <v>0.95643011</v>
      </c>
      <c r="AA83" s="60">
        <v>0.95689614999999995</v>
      </c>
      <c r="AB83" s="60">
        <v>6.0558743999999998E-2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0.63695500000000038</v>
      </c>
      <c r="AN83" s="96">
        <f t="shared" si="5"/>
        <v>1.4220779999999991</v>
      </c>
      <c r="AO83" s="96">
        <f t="shared" si="6"/>
        <v>-1.3830999999997484E-4</v>
      </c>
      <c r="AP83" s="96">
        <f t="shared" si="7"/>
        <v>1.4503099999999547E-3</v>
      </c>
      <c r="AQ83" s="121">
        <f t="shared" si="8"/>
        <v>-9.864185999999997E-3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30.509104000000001</v>
      </c>
      <c r="G84" s="190">
        <v>35.275841999999997</v>
      </c>
      <c r="H84" s="190">
        <v>0.97609805000000005</v>
      </c>
      <c r="I84" s="62">
        <v>0.97458858000000004</v>
      </c>
      <c r="J84" s="62">
        <v>4.1022700000000002E-2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31.546620999999998</v>
      </c>
      <c r="Y84" s="190">
        <v>36.682146000000003</v>
      </c>
      <c r="Z84" s="190">
        <v>0.97569729000000005</v>
      </c>
      <c r="AA84" s="62">
        <v>0.97479667000000003</v>
      </c>
      <c r="AB84" s="62">
        <v>3.2958889999999998E-2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1.0375169999999976</v>
      </c>
      <c r="AN84" s="122">
        <f t="shared" si="5"/>
        <v>1.4063040000000058</v>
      </c>
      <c r="AO84" s="122">
        <f t="shared" si="6"/>
        <v>-4.0076000000000001E-4</v>
      </c>
      <c r="AP84" s="122">
        <f t="shared" si="7"/>
        <v>2.0808999999999411E-4</v>
      </c>
      <c r="AQ84" s="88">
        <f t="shared" si="8"/>
        <v>-8.0638100000000046E-3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34.995499000000002</v>
      </c>
      <c r="G85" s="190">
        <v>39.131517000000002</v>
      </c>
      <c r="H85" s="190">
        <v>0.98857499999999998</v>
      </c>
      <c r="I85" s="62">
        <v>0.99112529000000005</v>
      </c>
      <c r="J85" s="62">
        <v>2.3768081999999999E-2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36.827283000000001</v>
      </c>
      <c r="Y85" s="190">
        <v>40.71987</v>
      </c>
      <c r="Z85" s="190">
        <v>0.98834060999999995</v>
      </c>
      <c r="AA85" s="62">
        <v>0.99138028</v>
      </c>
      <c r="AB85" s="62">
        <v>1.5629674999999999E-2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1.831783999999999</v>
      </c>
      <c r="AN85" s="122">
        <f t="shared" si="5"/>
        <v>1.5883529999999979</v>
      </c>
      <c r="AO85" s="122">
        <f t="shared" si="6"/>
        <v>-2.3439000000002874E-4</v>
      </c>
      <c r="AP85" s="122">
        <f t="shared" si="7"/>
        <v>2.5498999999995497E-4</v>
      </c>
      <c r="AQ85" s="88">
        <f t="shared" si="8"/>
        <v>-8.1384070000000003E-3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37.818874999999998</v>
      </c>
      <c r="G86" s="190">
        <v>41.873576999999997</v>
      </c>
      <c r="H86" s="190">
        <v>0.99298096999999996</v>
      </c>
      <c r="I86" s="62">
        <v>0.99568495999999995</v>
      </c>
      <c r="J86" s="62">
        <v>1.6779754000000001E-2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40.208627</v>
      </c>
      <c r="Y86" s="190">
        <v>43.661391999999999</v>
      </c>
      <c r="Z86" s="190">
        <v>0.99280831000000003</v>
      </c>
      <c r="AA86" s="62">
        <v>0.99612193999999998</v>
      </c>
      <c r="AB86" s="62">
        <v>9.0325605E-3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2.3897520000000014</v>
      </c>
      <c r="AN86" s="122">
        <f t="shared" si="5"/>
        <v>1.7878150000000019</v>
      </c>
      <c r="AO86" s="122">
        <f t="shared" si="6"/>
        <v>-1.7265999999993564E-4</v>
      </c>
      <c r="AP86" s="122">
        <f t="shared" si="7"/>
        <v>4.3698000000003123E-4</v>
      </c>
      <c r="AQ86" s="88">
        <f t="shared" si="8"/>
        <v>-7.7471935000000009E-3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27.070197</v>
      </c>
      <c r="G88" s="97">
        <v>32.407620000000001</v>
      </c>
      <c r="H88" s="97">
        <v>0.95771629000000003</v>
      </c>
      <c r="I88" s="60">
        <v>0.95467356000000003</v>
      </c>
      <c r="J88" s="60">
        <v>6.6683199999999998E-2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27.715425</v>
      </c>
      <c r="Y88" s="97">
        <v>33.894640000000003</v>
      </c>
      <c r="Z88" s="97">
        <v>0.95785929000000003</v>
      </c>
      <c r="AA88" s="60">
        <v>0.95628610000000003</v>
      </c>
      <c r="AB88" s="60">
        <v>5.6271969999999998E-2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0.64522799999999947</v>
      </c>
      <c r="AN88" s="96">
        <f t="shared" si="5"/>
        <v>1.4870200000000011</v>
      </c>
      <c r="AO88" s="96">
        <f t="shared" si="6"/>
        <v>1.4300000000000423E-4</v>
      </c>
      <c r="AP88" s="96">
        <f t="shared" si="7"/>
        <v>1.6125399999999956E-3</v>
      </c>
      <c r="AQ88" s="121">
        <f t="shared" si="8"/>
        <v>-1.041123E-2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30.588432000000001</v>
      </c>
      <c r="G89" s="190">
        <v>35.345520999999998</v>
      </c>
      <c r="H89" s="190">
        <v>0.97624431</v>
      </c>
      <c r="I89" s="62">
        <v>0.97311336999999998</v>
      </c>
      <c r="J89" s="62">
        <v>3.9928037999999999E-2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31.707070000000002</v>
      </c>
      <c r="Y89" s="190">
        <v>36.840969000000001</v>
      </c>
      <c r="Z89" s="190">
        <v>0.97615585000000005</v>
      </c>
      <c r="AA89" s="62">
        <v>0.97361858000000001</v>
      </c>
      <c r="AB89" s="62">
        <v>3.0906784999999999E-2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1.1186380000000007</v>
      </c>
      <c r="AN89" s="122">
        <f t="shared" si="5"/>
        <v>1.4954480000000032</v>
      </c>
      <c r="AO89" s="122">
        <f t="shared" si="6"/>
        <v>-8.8459999999956906E-5</v>
      </c>
      <c r="AP89" s="122">
        <f t="shared" si="7"/>
        <v>5.0521000000003369E-4</v>
      </c>
      <c r="AQ89" s="88">
        <f t="shared" si="8"/>
        <v>-9.0212529999999999E-3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35.127245000000002</v>
      </c>
      <c r="G90" s="190">
        <v>39.274521999999997</v>
      </c>
      <c r="H90" s="190">
        <v>0.98853159999999995</v>
      </c>
      <c r="I90" s="62">
        <v>0.99071746999999999</v>
      </c>
      <c r="J90" s="62">
        <v>2.3596168000000001E-2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37.137234999999997</v>
      </c>
      <c r="Y90" s="190">
        <v>40.983389000000003</v>
      </c>
      <c r="Z90" s="190">
        <v>0.98855039</v>
      </c>
      <c r="AA90" s="62">
        <v>0.99129034000000005</v>
      </c>
      <c r="AB90" s="62">
        <v>1.4877621000000001E-2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2.0099899999999948</v>
      </c>
      <c r="AN90" s="122">
        <f t="shared" si="5"/>
        <v>1.708867000000005</v>
      </c>
      <c r="AO90" s="122">
        <f t="shared" si="6"/>
        <v>1.879000000004627E-5</v>
      </c>
      <c r="AP90" s="122">
        <f t="shared" si="7"/>
        <v>5.7287000000005861E-4</v>
      </c>
      <c r="AQ90" s="88">
        <f t="shared" si="8"/>
        <v>-8.7185470000000001E-3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37.913257999999999</v>
      </c>
      <c r="G91" s="190">
        <v>41.991973000000002</v>
      </c>
      <c r="H91" s="190">
        <v>0.99289779</v>
      </c>
      <c r="I91" s="62">
        <v>0.99545550999999999</v>
      </c>
      <c r="J91" s="62">
        <v>1.6695475000000001E-2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40.635564000000002</v>
      </c>
      <c r="Y91" s="190">
        <v>44.022742999999998</v>
      </c>
      <c r="Z91" s="190">
        <v>0.99294901999999996</v>
      </c>
      <c r="AA91" s="62">
        <v>0.99630275999999995</v>
      </c>
      <c r="AB91" s="62">
        <v>8.3481240000000002E-3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2.7223060000000032</v>
      </c>
      <c r="AN91" s="122">
        <f t="shared" si="5"/>
        <v>2.0307699999999969</v>
      </c>
      <c r="AO91" s="122">
        <f t="shared" si="6"/>
        <v>5.1229999999957698E-5</v>
      </c>
      <c r="AP91" s="122">
        <f t="shared" si="7"/>
        <v>8.4724999999996609E-4</v>
      </c>
      <c r="AQ91" s="88">
        <f t="shared" si="8"/>
        <v>-8.3473510000000011E-3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27.229775</v>
      </c>
      <c r="G93" s="97">
        <v>32.531092999999998</v>
      </c>
      <c r="H93" s="97">
        <v>0.95857614000000002</v>
      </c>
      <c r="I93" s="60">
        <v>0.95339068000000005</v>
      </c>
      <c r="J93" s="60">
        <v>6.3512570000000004E-2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27.832418000000001</v>
      </c>
      <c r="Y93" s="97">
        <v>33.959240999999999</v>
      </c>
      <c r="Z93" s="97">
        <v>0.95868703</v>
      </c>
      <c r="AA93" s="60">
        <v>0.9553606</v>
      </c>
      <c r="AB93" s="60">
        <v>5.3622155999999997E-2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0.60264300000000048</v>
      </c>
      <c r="AN93" s="96">
        <f t="shared" si="5"/>
        <v>1.4281480000000002</v>
      </c>
      <c r="AO93" s="96">
        <f t="shared" si="6"/>
        <v>1.1088999999997462E-4</v>
      </c>
      <c r="AP93" s="96">
        <f t="shared" si="7"/>
        <v>1.9699199999999584E-3</v>
      </c>
      <c r="AQ93" s="121">
        <f t="shared" si="8"/>
        <v>-9.8904140000000071E-3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30.689409000000001</v>
      </c>
      <c r="G94" s="190">
        <v>35.411991</v>
      </c>
      <c r="H94" s="190">
        <v>0.97657391999999998</v>
      </c>
      <c r="I94" s="62">
        <v>0.97131582999999999</v>
      </c>
      <c r="J94" s="62">
        <v>3.8080454E-2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31.850719000000002</v>
      </c>
      <c r="Y94" s="190">
        <v>36.934404000000001</v>
      </c>
      <c r="Z94" s="190">
        <v>0.97657492000000001</v>
      </c>
      <c r="AA94" s="62">
        <v>0.97419378000000001</v>
      </c>
      <c r="AB94" s="62">
        <v>2.9307056000000001E-2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1.1613100000000003</v>
      </c>
      <c r="AN94" s="122">
        <f t="shared" si="5"/>
        <v>1.5224130000000002</v>
      </c>
      <c r="AO94" s="122">
        <f t="shared" si="6"/>
        <v>1.0000000000287557E-6</v>
      </c>
      <c r="AP94" s="122">
        <f t="shared" si="7"/>
        <v>2.877950000000018E-3</v>
      </c>
      <c r="AQ94" s="88">
        <f t="shared" si="8"/>
        <v>-8.7733979999999982E-3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35.329490999999997</v>
      </c>
      <c r="G95" s="190">
        <v>39.454034</v>
      </c>
      <c r="H95" s="190">
        <v>0.98865216</v>
      </c>
      <c r="I95" s="62">
        <v>0.99013810999999996</v>
      </c>
      <c r="J95" s="62">
        <v>2.2565854999999999E-2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37.368524000000001</v>
      </c>
      <c r="Y95" s="190">
        <v>41.126418999999999</v>
      </c>
      <c r="Z95" s="190">
        <v>0.98873080999999996</v>
      </c>
      <c r="AA95" s="62">
        <v>0.99106386999999996</v>
      </c>
      <c r="AB95" s="62">
        <v>1.4499913999999999E-2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2.0390330000000034</v>
      </c>
      <c r="AN95" s="122">
        <f t="shared" si="5"/>
        <v>1.6723849999999985</v>
      </c>
      <c r="AO95" s="122">
        <f t="shared" si="6"/>
        <v>7.864999999995792E-5</v>
      </c>
      <c r="AP95" s="122">
        <f t="shared" si="7"/>
        <v>9.257599999999977E-4</v>
      </c>
      <c r="AQ95" s="88">
        <f t="shared" si="8"/>
        <v>-8.0659410000000001E-3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38.081161000000002</v>
      </c>
      <c r="G96" s="190">
        <v>42.150010000000002</v>
      </c>
      <c r="H96" s="190">
        <v>0.99293012999999997</v>
      </c>
      <c r="I96" s="62">
        <v>0.99516192999999997</v>
      </c>
      <c r="J96" s="62">
        <v>1.6004402000000001E-2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40.819997000000001</v>
      </c>
      <c r="Y96" s="190">
        <v>44.157341000000002</v>
      </c>
      <c r="Z96" s="190">
        <v>0.99298565000000005</v>
      </c>
      <c r="AA96" s="62">
        <v>0.99628114000000001</v>
      </c>
      <c r="AB96" s="62">
        <v>8.2991915000000006E-3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2.7388359999999992</v>
      </c>
      <c r="AN96" s="122">
        <f t="shared" si="5"/>
        <v>2.0073310000000006</v>
      </c>
      <c r="AO96" s="122">
        <f t="shared" si="6"/>
        <v>5.5520000000086611E-5</v>
      </c>
      <c r="AP96" s="122">
        <f t="shared" si="7"/>
        <v>1.1192100000000371E-3</v>
      </c>
      <c r="AQ96" s="88">
        <f t="shared" si="8"/>
        <v>-7.7052105000000003E-3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27.399815</v>
      </c>
      <c r="G98" s="97">
        <v>32.661893999999997</v>
      </c>
      <c r="H98" s="97">
        <v>0.95872363000000005</v>
      </c>
      <c r="I98" s="60">
        <v>0.95469424000000003</v>
      </c>
      <c r="J98" s="60">
        <v>6.3374124000000004E-2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27.985240000000001</v>
      </c>
      <c r="Y98" s="97">
        <v>34.055931999999999</v>
      </c>
      <c r="Z98" s="97">
        <v>0.95884243999999996</v>
      </c>
      <c r="AA98" s="60">
        <v>0.95656869</v>
      </c>
      <c r="AB98" s="60">
        <v>5.4151350000000001E-2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0.58542500000000075</v>
      </c>
      <c r="AN98" s="96">
        <f t="shared" si="15"/>
        <v>1.3940380000000019</v>
      </c>
      <c r="AO98" s="96">
        <f t="shared" si="16"/>
        <v>1.1880999999991371E-4</v>
      </c>
      <c r="AP98" s="96">
        <f t="shared" si="17"/>
        <v>1.874449999999972E-3</v>
      </c>
      <c r="AQ98" s="121">
        <f t="shared" si="18"/>
        <v>-9.222774000000003E-3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30.650919999999999</v>
      </c>
      <c r="G99" s="190">
        <v>35.392978999999997</v>
      </c>
      <c r="H99" s="190">
        <v>0.97648904000000003</v>
      </c>
      <c r="I99" s="62">
        <v>0.97186671000000002</v>
      </c>
      <c r="J99" s="62">
        <v>3.8674027E-2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31.815366999999998</v>
      </c>
      <c r="Y99" s="190">
        <v>36.91384</v>
      </c>
      <c r="Z99" s="190">
        <v>0.97648758000000002</v>
      </c>
      <c r="AA99" s="62">
        <v>0.97273790999999998</v>
      </c>
      <c r="AB99" s="62">
        <v>3.0054556E-2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1.1644469999999991</v>
      </c>
      <c r="AN99" s="122">
        <f t="shared" si="15"/>
        <v>1.5208610000000036</v>
      </c>
      <c r="AO99" s="122">
        <f t="shared" si="16"/>
        <v>-1.4600000000086766E-6</v>
      </c>
      <c r="AP99" s="122">
        <f t="shared" si="17"/>
        <v>8.7119999999996089E-4</v>
      </c>
      <c r="AQ99" s="88">
        <f t="shared" si="18"/>
        <v>-8.6194710000000001E-3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35.226109000000001</v>
      </c>
      <c r="G100" s="190">
        <v>39.377243999999997</v>
      </c>
      <c r="H100" s="190">
        <v>0.98856973000000004</v>
      </c>
      <c r="I100" s="62">
        <v>0.99010825999999996</v>
      </c>
      <c r="J100" s="62">
        <v>2.3301473E-2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37.286242999999999</v>
      </c>
      <c r="Y100" s="190">
        <v>41.083775000000003</v>
      </c>
      <c r="Z100" s="190">
        <v>0.98863427999999998</v>
      </c>
      <c r="AA100" s="62">
        <v>0.99109038999999999</v>
      </c>
      <c r="AB100" s="62">
        <v>1.5042644000000001E-2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2.0601339999999979</v>
      </c>
      <c r="AN100" s="122">
        <f t="shared" si="15"/>
        <v>1.7065310000000053</v>
      </c>
      <c r="AO100" s="122">
        <f t="shared" si="16"/>
        <v>6.4549999999941043E-5</v>
      </c>
      <c r="AP100" s="122">
        <f t="shared" si="17"/>
        <v>9.8213000000002548E-4</v>
      </c>
      <c r="AQ100" s="88">
        <f t="shared" si="18"/>
        <v>-8.2588289999999988E-3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38.028995000000002</v>
      </c>
      <c r="G101" s="190">
        <v>42.107762000000001</v>
      </c>
      <c r="H101" s="190">
        <v>0.99285833000000001</v>
      </c>
      <c r="I101" s="62">
        <v>0.99530067</v>
      </c>
      <c r="J101" s="62">
        <v>1.6391024000000001E-2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40.722720000000002</v>
      </c>
      <c r="Y101" s="190">
        <v>44.108423000000002</v>
      </c>
      <c r="Z101" s="190">
        <v>0.99291795999999999</v>
      </c>
      <c r="AA101" s="62">
        <v>0.99627469999999996</v>
      </c>
      <c r="AB101" s="62">
        <v>8.7009860000000008E-3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2.6937250000000006</v>
      </c>
      <c r="AN101" s="122">
        <f t="shared" si="15"/>
        <v>2.0006610000000009</v>
      </c>
      <c r="AO101" s="122">
        <f t="shared" si="16"/>
        <v>5.9629999999977201E-5</v>
      </c>
      <c r="AP101" s="122">
        <f t="shared" si="17"/>
        <v>9.740299999999591E-4</v>
      </c>
      <c r="AQ101" s="88">
        <f t="shared" si="18"/>
        <v>-7.6900379999999997E-3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27.382221999999999</v>
      </c>
      <c r="G103" s="97">
        <v>32.467601999999999</v>
      </c>
      <c r="H103" s="97">
        <v>0.95687827999999997</v>
      </c>
      <c r="I103" s="60">
        <v>0.95527609000000002</v>
      </c>
      <c r="J103" s="60">
        <v>6.5367006000000005E-2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27.868672</v>
      </c>
      <c r="Y103" s="97">
        <v>33.502093000000002</v>
      </c>
      <c r="Z103" s="97">
        <v>0.95689444999999995</v>
      </c>
      <c r="AA103" s="60">
        <v>0.95687787000000002</v>
      </c>
      <c r="AB103" s="60">
        <v>5.6560427000000003E-2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0.48645000000000138</v>
      </c>
      <c r="AN103" s="96">
        <f t="shared" si="15"/>
        <v>1.0344910000000027</v>
      </c>
      <c r="AO103" s="96">
        <f t="shared" si="16"/>
        <v>1.6169999999982032E-5</v>
      </c>
      <c r="AP103" s="96">
        <f t="shared" si="17"/>
        <v>1.6017799999999971E-3</v>
      </c>
      <c r="AQ103" s="121">
        <f t="shared" si="18"/>
        <v>-8.8065790000000019E-3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30.493306</v>
      </c>
      <c r="G104" s="190">
        <v>35.132497999999998</v>
      </c>
      <c r="H104" s="190">
        <v>0.97568116000000005</v>
      </c>
      <c r="I104" s="62">
        <v>0.97281295000000001</v>
      </c>
      <c r="J104" s="62">
        <v>4.0214452999999997E-2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31.492111999999999</v>
      </c>
      <c r="Y104" s="190">
        <v>36.304104000000002</v>
      </c>
      <c r="Z104" s="190">
        <v>0.97554169999999996</v>
      </c>
      <c r="AA104" s="62">
        <v>0.97359180000000001</v>
      </c>
      <c r="AB104" s="62">
        <v>3.2037450000000002E-2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0.99880599999999831</v>
      </c>
      <c r="AN104" s="122">
        <f t="shared" si="15"/>
        <v>1.1716060000000041</v>
      </c>
      <c r="AO104" s="122">
        <f t="shared" si="16"/>
        <v>-1.3946000000009118E-4</v>
      </c>
      <c r="AP104" s="122">
        <f t="shared" si="17"/>
        <v>7.788499999999976E-4</v>
      </c>
      <c r="AQ104" s="88">
        <f t="shared" si="18"/>
        <v>-8.1770029999999952E-3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34.921081000000001</v>
      </c>
      <c r="G105" s="190">
        <v>39.040323000000001</v>
      </c>
      <c r="H105" s="190">
        <v>0.98790654</v>
      </c>
      <c r="I105" s="62">
        <v>0.98998529000000002</v>
      </c>
      <c r="J105" s="62">
        <v>2.4272129999999999E-2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36.542079000000001</v>
      </c>
      <c r="Y105" s="190">
        <v>40.331088000000001</v>
      </c>
      <c r="Z105" s="190">
        <v>0.98780374000000004</v>
      </c>
      <c r="AA105" s="62">
        <v>0.99062112999999996</v>
      </c>
      <c r="AB105" s="62">
        <v>1.6239969E-2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1.6209980000000002</v>
      </c>
      <c r="AN105" s="122">
        <f t="shared" si="15"/>
        <v>1.2907650000000004</v>
      </c>
      <c r="AO105" s="122">
        <f t="shared" si="16"/>
        <v>-1.0279999999995848E-4</v>
      </c>
      <c r="AP105" s="122">
        <f t="shared" si="17"/>
        <v>6.3583999999994312E-4</v>
      </c>
      <c r="AQ105" s="88">
        <f t="shared" si="18"/>
        <v>-8.0321609999999995E-3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37.76267</v>
      </c>
      <c r="G106" s="190">
        <v>41.808861</v>
      </c>
      <c r="H106" s="190">
        <v>0.99243322</v>
      </c>
      <c r="I106" s="62">
        <v>0.99520878000000002</v>
      </c>
      <c r="J106" s="62">
        <v>1.6998093999999998E-2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39.755963000000001</v>
      </c>
      <c r="Y106" s="190">
        <v>43.205835</v>
      </c>
      <c r="Z106" s="190">
        <v>0.99235404000000005</v>
      </c>
      <c r="AA106" s="62">
        <v>0.99587705000000004</v>
      </c>
      <c r="AB106" s="62">
        <v>9.6687769999999999E-3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1.9932930000000013</v>
      </c>
      <c r="AN106" s="122">
        <f t="shared" si="15"/>
        <v>1.3969740000000002</v>
      </c>
      <c r="AO106" s="122">
        <f t="shared" si="16"/>
        <v>-7.9179999999956507E-5</v>
      </c>
      <c r="AP106" s="122">
        <f t="shared" si="17"/>
        <v>6.6827000000002634E-4</v>
      </c>
      <c r="AQ106" s="88">
        <f t="shared" si="18"/>
        <v>-7.3293169999999984E-3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/>
      <c r="G108" s="97"/>
      <c r="H108" s="97"/>
      <c r="I108" s="60"/>
      <c r="J108" s="60"/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/>
      <c r="G109" s="190"/>
      <c r="H109" s="190"/>
      <c r="I109" s="62"/>
      <c r="J109" s="62"/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/>
      <c r="G110" s="190"/>
      <c r="H110" s="190"/>
      <c r="I110" s="62"/>
      <c r="J110" s="62"/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/>
      <c r="G111" s="190"/>
      <c r="H111" s="190"/>
      <c r="I111" s="62"/>
      <c r="J111" s="62"/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/>
      <c r="G113" s="97"/>
      <c r="H113" s="97"/>
      <c r="I113" s="60"/>
      <c r="J113" s="60"/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/>
      <c r="G114" s="190"/>
      <c r="H114" s="190"/>
      <c r="I114" s="62"/>
      <c r="J114" s="62"/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/>
      <c r="G115" s="190"/>
      <c r="H115" s="190"/>
      <c r="I115" s="62"/>
      <c r="J115" s="62"/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/>
      <c r="G116" s="190"/>
      <c r="H116" s="190"/>
      <c r="I116" s="62"/>
      <c r="J116" s="62"/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/>
      <c r="G118" s="97"/>
      <c r="H118" s="97"/>
      <c r="I118" s="60"/>
      <c r="J118" s="60"/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/>
      <c r="G119" s="190"/>
      <c r="H119" s="190"/>
      <c r="I119" s="62"/>
      <c r="J119" s="62"/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/>
      <c r="G120" s="190"/>
      <c r="H120" s="190"/>
      <c r="I120" s="62"/>
      <c r="J120" s="62"/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/>
      <c r="G121" s="190"/>
      <c r="H121" s="190"/>
      <c r="I121" s="62"/>
      <c r="J121" s="62"/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/>
      <c r="G123" s="97"/>
      <c r="H123" s="97"/>
      <c r="I123" s="60"/>
      <c r="J123" s="60"/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/>
      <c r="G124" s="190"/>
      <c r="H124" s="190"/>
      <c r="I124" s="62"/>
      <c r="J124" s="62"/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/>
      <c r="G125" s="190"/>
      <c r="H125" s="190"/>
      <c r="I125" s="62"/>
      <c r="J125" s="62"/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/>
      <c r="G126" s="190"/>
      <c r="H126" s="190"/>
      <c r="I126" s="62"/>
      <c r="J126" s="62"/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/>
      <c r="G128" s="97"/>
      <c r="H128" s="97"/>
      <c r="I128" s="60"/>
      <c r="J128" s="60"/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/>
      <c r="G129" s="190"/>
      <c r="H129" s="190"/>
      <c r="I129" s="62"/>
      <c r="J129" s="62"/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/>
      <c r="G130" s="190"/>
      <c r="H130" s="190"/>
      <c r="I130" s="62"/>
      <c r="J130" s="62"/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/>
      <c r="G131" s="190"/>
      <c r="H131" s="190"/>
      <c r="I131" s="62"/>
      <c r="J131" s="62"/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/>
      <c r="G133" s="97"/>
      <c r="H133" s="97"/>
      <c r="I133" s="60"/>
      <c r="J133" s="60"/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/>
      <c r="G134" s="190"/>
      <c r="H134" s="190"/>
      <c r="I134" s="62"/>
      <c r="J134" s="62"/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/>
      <c r="G135" s="190"/>
      <c r="H135" s="190"/>
      <c r="I135" s="62"/>
      <c r="J135" s="62"/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/>
      <c r="G136" s="190"/>
      <c r="H136" s="190"/>
      <c r="I136" s="62"/>
      <c r="J136" s="62"/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26.798352000000001</v>
      </c>
      <c r="G641" s="136">
        <f t="shared" si="59"/>
        <v>32.055731000000002</v>
      </c>
      <c r="H641" s="136">
        <f t="shared" si="59"/>
        <v>0.95656841999999997</v>
      </c>
      <c r="I641" s="136">
        <f t="shared" si="59"/>
        <v>0.95013263999999997</v>
      </c>
      <c r="J641" s="136">
        <f t="shared" si="59"/>
        <v>6.2677319999999995E-2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27.266266999999999</v>
      </c>
      <c r="Y641" s="136">
        <f t="shared" si="60"/>
        <v>33.333022999999997</v>
      </c>
      <c r="Z641" s="136">
        <f t="shared" si="60"/>
        <v>0.95643011</v>
      </c>
      <c r="AA641" s="136">
        <f t="shared" si="60"/>
        <v>0.95296670999999999</v>
      </c>
      <c r="AB641" s="136">
        <f t="shared" si="60"/>
        <v>5.3039192999999998E-2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30.342054999999998</v>
      </c>
      <c r="G642" s="18">
        <f t="shared" si="59"/>
        <v>34.873162999999998</v>
      </c>
      <c r="H642" s="18">
        <f t="shared" si="59"/>
        <v>0.97403954999999998</v>
      </c>
      <c r="I642" s="18">
        <f t="shared" si="59"/>
        <v>0.97108329999999998</v>
      </c>
      <c r="J642" s="18">
        <f t="shared" si="59"/>
        <v>3.8080454E-2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31.383486000000001</v>
      </c>
      <c r="Y642" s="18">
        <f t="shared" si="60"/>
        <v>36.214008</v>
      </c>
      <c r="Z642" s="18">
        <f t="shared" si="60"/>
        <v>0.97404433999999995</v>
      </c>
      <c r="AA642" s="18">
        <f t="shared" si="60"/>
        <v>0.97272954</v>
      </c>
      <c r="AB642" s="18">
        <f t="shared" si="60"/>
        <v>2.9307056000000001E-2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34.921081000000001</v>
      </c>
      <c r="G643" s="18">
        <f t="shared" si="59"/>
        <v>39.040323000000001</v>
      </c>
      <c r="H643" s="18">
        <f t="shared" si="59"/>
        <v>0.98708828999999998</v>
      </c>
      <c r="I643" s="18">
        <f t="shared" si="59"/>
        <v>0.98998529000000002</v>
      </c>
      <c r="J643" s="18">
        <f t="shared" si="59"/>
        <v>2.2565854999999999E-2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36.542079000000001</v>
      </c>
      <c r="Y643" s="18">
        <f t="shared" si="60"/>
        <v>40.331088000000001</v>
      </c>
      <c r="Z643" s="18">
        <f t="shared" si="60"/>
        <v>0.98715379000000003</v>
      </c>
      <c r="AA643" s="18">
        <f t="shared" si="60"/>
        <v>0.99046546000000002</v>
      </c>
      <c r="AB643" s="18">
        <f t="shared" si="60"/>
        <v>1.4499913999999999E-2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37.432068999999998</v>
      </c>
      <c r="G644" s="18">
        <f t="shared" si="59"/>
        <v>41.503722000000003</v>
      </c>
      <c r="H644" s="18">
        <f t="shared" si="59"/>
        <v>0.99142965999999999</v>
      </c>
      <c r="I644" s="18">
        <f t="shared" si="59"/>
        <v>0.99482473000000005</v>
      </c>
      <c r="J644" s="18">
        <f t="shared" si="59"/>
        <v>1.6004402000000001E-2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39.755963000000001</v>
      </c>
      <c r="Y644" s="18">
        <f t="shared" si="60"/>
        <v>43.205835</v>
      </c>
      <c r="Z644" s="18">
        <f t="shared" si="60"/>
        <v>0.99153469999999999</v>
      </c>
      <c r="AA644" s="18">
        <f t="shared" si="60"/>
        <v>0.99584525999999995</v>
      </c>
      <c r="AB644" s="18">
        <f t="shared" si="60"/>
        <v>8.2991915000000006E-3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27.637274999999999</v>
      </c>
      <c r="G646" s="136">
        <f t="shared" si="61"/>
        <v>32.661893999999997</v>
      </c>
      <c r="H646" s="136">
        <f t="shared" si="61"/>
        <v>0.95952678999999996</v>
      </c>
      <c r="I646" s="136">
        <f t="shared" si="61"/>
        <v>0.95639452000000003</v>
      </c>
      <c r="J646" s="136">
        <f t="shared" si="61"/>
        <v>7.0629709999999998E-2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28.171458999999999</v>
      </c>
      <c r="Y646" s="136">
        <f t="shared" si="62"/>
        <v>34.089097000000002</v>
      </c>
      <c r="Z646" s="136">
        <f t="shared" si="62"/>
        <v>0.95979638</v>
      </c>
      <c r="AA646" s="136">
        <f t="shared" si="62"/>
        <v>0.95788319</v>
      </c>
      <c r="AB646" s="136">
        <f t="shared" si="62"/>
        <v>6.0789811999999999E-2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30.816381</v>
      </c>
      <c r="G647" s="18">
        <f t="shared" si="61"/>
        <v>35.493073000000003</v>
      </c>
      <c r="H647" s="18">
        <f t="shared" si="61"/>
        <v>0.97657391999999998</v>
      </c>
      <c r="I647" s="18">
        <f t="shared" si="61"/>
        <v>0.97494440999999998</v>
      </c>
      <c r="J647" s="18">
        <f t="shared" si="61"/>
        <v>4.5010433000000002E-2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31.900289999999998</v>
      </c>
      <c r="Y647" s="18">
        <f t="shared" si="62"/>
        <v>37.002611000000002</v>
      </c>
      <c r="Z647" s="18">
        <f t="shared" si="62"/>
        <v>0.97657492000000001</v>
      </c>
      <c r="AA647" s="18">
        <f t="shared" si="62"/>
        <v>0.97662165999999995</v>
      </c>
      <c r="AB647" s="18">
        <f t="shared" si="62"/>
        <v>3.5993345000000003E-2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35.329490999999997</v>
      </c>
      <c r="G648" s="18">
        <f t="shared" si="61"/>
        <v>39.454034</v>
      </c>
      <c r="H648" s="18">
        <f t="shared" si="61"/>
        <v>0.98865216</v>
      </c>
      <c r="I648" s="18">
        <f t="shared" si="61"/>
        <v>0.99112529000000005</v>
      </c>
      <c r="J648" s="18">
        <f t="shared" si="61"/>
        <v>2.7586917999999998E-2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37.437553000000001</v>
      </c>
      <c r="Y648" s="18">
        <f t="shared" si="62"/>
        <v>41.171593000000001</v>
      </c>
      <c r="Z648" s="18">
        <f t="shared" si="62"/>
        <v>0.98873080999999996</v>
      </c>
      <c r="AA648" s="18">
        <f t="shared" si="62"/>
        <v>0.99138028</v>
      </c>
      <c r="AB648" s="18">
        <f t="shared" si="62"/>
        <v>1.9240130000000001E-2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38.081161000000002</v>
      </c>
      <c r="G649" s="18">
        <f t="shared" si="61"/>
        <v>42.150010000000002</v>
      </c>
      <c r="H649" s="18">
        <f t="shared" si="61"/>
        <v>0.99298096999999996</v>
      </c>
      <c r="I649" s="18">
        <f t="shared" si="61"/>
        <v>0.99569479000000005</v>
      </c>
      <c r="J649" s="18">
        <f t="shared" si="61"/>
        <v>1.9992592E-2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40.827080000000002</v>
      </c>
      <c r="Y649" s="18">
        <f t="shared" si="62"/>
        <v>44.176726000000002</v>
      </c>
      <c r="Z649" s="18">
        <f t="shared" si="62"/>
        <v>0.99298565000000005</v>
      </c>
      <c r="AA649" s="18">
        <f t="shared" si="62"/>
        <v>0.99633510999999997</v>
      </c>
      <c r="AB649" s="18">
        <f t="shared" si="62"/>
        <v>1.2424754E-2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0.83892299999999764</v>
      </c>
      <c r="G651" s="136">
        <f t="shared" si="63"/>
        <v>0.60616299999999512</v>
      </c>
      <c r="H651" s="136">
        <f t="shared" si="63"/>
        <v>2.958369999999988E-3</v>
      </c>
      <c r="I651" s="136">
        <f t="shared" si="63"/>
        <v>6.261880000000053E-3</v>
      </c>
      <c r="J651" s="136">
        <f t="shared" si="63"/>
        <v>7.9523900000000036E-3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0.90519199999999955</v>
      </c>
      <c r="Y651" s="136">
        <f t="shared" si="64"/>
        <v>0.75607400000000524</v>
      </c>
      <c r="Z651" s="136">
        <f t="shared" si="64"/>
        <v>3.3662700000000045E-3</v>
      </c>
      <c r="AA651" s="136">
        <f t="shared" si="64"/>
        <v>4.9164800000000008E-3</v>
      </c>
      <c r="AB651" s="136">
        <f t="shared" si="64"/>
        <v>7.7506190000000003E-3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0.47432600000000136</v>
      </c>
      <c r="G652" s="18">
        <f t="shared" si="63"/>
        <v>0.6199100000000044</v>
      </c>
      <c r="H652" s="18">
        <f t="shared" si="63"/>
        <v>2.534370000000008E-3</v>
      </c>
      <c r="I652" s="18">
        <f t="shared" si="63"/>
        <v>3.8611100000000009E-3</v>
      </c>
      <c r="J652" s="18">
        <f t="shared" si="63"/>
        <v>6.9299790000000028E-3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0.51680399999999693</v>
      </c>
      <c r="Y652" s="18">
        <f t="shared" si="64"/>
        <v>0.78860300000000194</v>
      </c>
      <c r="Z652" s="18">
        <f t="shared" si="64"/>
        <v>2.53058000000006E-3</v>
      </c>
      <c r="AA652" s="18">
        <f t="shared" si="64"/>
        <v>3.8921199999999434E-3</v>
      </c>
      <c r="AB652" s="18">
        <f t="shared" si="64"/>
        <v>6.6862890000000015E-3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0.40840999999999639</v>
      </c>
      <c r="G653" s="18">
        <f t="shared" si="63"/>
        <v>0.41371099999999927</v>
      </c>
      <c r="H653" s="18">
        <f t="shared" si="63"/>
        <v>1.5638700000000227E-3</v>
      </c>
      <c r="I653" s="18">
        <f t="shared" si="63"/>
        <v>1.1400000000000299E-3</v>
      </c>
      <c r="J653" s="18">
        <f t="shared" si="63"/>
        <v>5.0210629999999992E-3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0.8954740000000001</v>
      </c>
      <c r="Y653" s="18">
        <f t="shared" si="64"/>
        <v>0.84050500000000028</v>
      </c>
      <c r="Z653" s="18">
        <f t="shared" si="64"/>
        <v>1.577019999999929E-3</v>
      </c>
      <c r="AA653" s="18">
        <f t="shared" si="64"/>
        <v>9.1481999999998287E-4</v>
      </c>
      <c r="AB653" s="18">
        <f t="shared" si="64"/>
        <v>4.740216000000002E-3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0.64909200000000311</v>
      </c>
      <c r="G654" s="18">
        <f t="shared" si="63"/>
        <v>0.64628799999999842</v>
      </c>
      <c r="H654" s="18">
        <f t="shared" si="63"/>
        <v>1.5513099999999724E-3</v>
      </c>
      <c r="I654" s="18">
        <f t="shared" si="63"/>
        <v>8.7006000000000583E-4</v>
      </c>
      <c r="J654" s="18">
        <f t="shared" si="63"/>
        <v>3.9881899999999991E-3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1.071117000000001</v>
      </c>
      <c r="Y654" s="18">
        <f t="shared" si="64"/>
        <v>0.97089100000000172</v>
      </c>
      <c r="Z654" s="18">
        <f t="shared" si="64"/>
        <v>1.4509500000000619E-3</v>
      </c>
      <c r="AA654" s="18">
        <f t="shared" si="64"/>
        <v>4.8985000000001389E-4</v>
      </c>
      <c r="AB654" s="18">
        <f t="shared" si="64"/>
        <v>4.125562499999999E-3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11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breakfast_semitrack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breakfast_semitrack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37945.207999999999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27.225800466666666</v>
      </c>
      <c r="G5" s="30">
        <f t="shared" si="0"/>
        <v>32.321196866666668</v>
      </c>
      <c r="H5" s="30">
        <f t="shared" si="0"/>
        <v>0.95700066866666644</v>
      </c>
      <c r="I5" s="91">
        <f t="shared" si="0"/>
        <v>0.95395936733333342</v>
      </c>
      <c r="J5" s="91">
        <f t="shared" si="0"/>
        <v>6.8758821599999992E-2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37658.511999999995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27.797253333333334</v>
      </c>
      <c r="Y5" s="30">
        <f t="shared" si="2"/>
        <v>33.78524946666667</v>
      </c>
      <c r="Z5" s="30">
        <f t="shared" si="2"/>
        <v>0.95732519333333321</v>
      </c>
      <c r="AA5" s="91">
        <f t="shared" si="2"/>
        <v>0.95580877666666664</v>
      </c>
      <c r="AB5" s="91">
        <f t="shared" si="2"/>
        <v>5.7315530733333335E-2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-0.12865720496899258</v>
      </c>
      <c r="AN5" s="245">
        <f>bdrate($E5:$E8,G5:G8,$W5:$W8,Y5:Y8)</f>
        <v>-0.16467269294497588</v>
      </c>
      <c r="AO5" s="245">
        <f>bdrate($E5:$E8,H5:H8,$W5:$W8,Z5:Z8)</f>
        <v>-1.6539404555359294E-2</v>
      </c>
      <c r="AP5" s="245">
        <f>bdrate($E5:$E8,I5:I8,$W5:$W8,AA5:AA8)</f>
        <v>-4.8920129196023843E-2</v>
      </c>
      <c r="AQ5" s="246">
        <f>bdrateInverted($E5:$E8,J5:J8,$W5:$W8,AB5:AB8)</f>
        <v>-0.18225110326823268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54681.568000000007</v>
      </c>
      <c r="F6" s="91">
        <f t="shared" si="0"/>
        <v>30.717614933333337</v>
      </c>
      <c r="G6" s="91">
        <f t="shared" si="0"/>
        <v>35.232715600000006</v>
      </c>
      <c r="H6" s="91">
        <f t="shared" si="0"/>
        <v>0.97492547266666674</v>
      </c>
      <c r="I6" s="91">
        <f t="shared" si="0"/>
        <v>0.97223756466666666</v>
      </c>
      <c r="J6" s="91">
        <f t="shared" si="0"/>
        <v>4.2517676533333333E-2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53984.232000000011</v>
      </c>
      <c r="X6" s="91">
        <f t="shared" si="2"/>
        <v>31.793362666666663</v>
      </c>
      <c r="Y6" s="91">
        <f t="shared" si="2"/>
        <v>36.740322599999999</v>
      </c>
      <c r="Z6" s="91">
        <f t="shared" si="2"/>
        <v>0.9750806306666665</v>
      </c>
      <c r="AA6" s="91">
        <f t="shared" si="2"/>
        <v>0.97451174799999996</v>
      </c>
      <c r="AB6" s="91">
        <f t="shared" si="2"/>
        <v>3.2807457199999994E-2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79040.792000000001</v>
      </c>
      <c r="F7" s="91">
        <f t="shared" si="0"/>
        <v>35.108155866666671</v>
      </c>
      <c r="G7" s="91">
        <f t="shared" si="0"/>
        <v>39.210842266666667</v>
      </c>
      <c r="H7" s="91">
        <f t="shared" si="0"/>
        <v>0.98757465333333327</v>
      </c>
      <c r="I7" s="91">
        <f t="shared" si="0"/>
        <v>0.99005189866666643</v>
      </c>
      <c r="J7" s="91">
        <f t="shared" si="0"/>
        <v>2.4925761000000001E-2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78027.391999999978</v>
      </c>
      <c r="X7" s="91">
        <f t="shared" si="2"/>
        <v>37.089000133333336</v>
      </c>
      <c r="Y7" s="91">
        <f t="shared" si="2"/>
        <v>40.800833266666672</v>
      </c>
      <c r="Z7" s="91">
        <f t="shared" si="2"/>
        <v>0.98771027133333333</v>
      </c>
      <c r="AA7" s="91">
        <f t="shared" si="2"/>
        <v>0.99068390400000017</v>
      </c>
      <c r="AB7" s="91">
        <f t="shared" si="2"/>
        <v>1.6708599666666664E-2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112144.24799999999</v>
      </c>
      <c r="F8" s="91">
        <f t="shared" si="0"/>
        <v>37.605895933333336</v>
      </c>
      <c r="G8" s="91">
        <f t="shared" si="0"/>
        <v>41.687570999999998</v>
      </c>
      <c r="H8" s="91">
        <f t="shared" si="0"/>
        <v>0.99193363933333345</v>
      </c>
      <c r="I8" s="91">
        <f t="shared" si="0"/>
        <v>0.99515773399999985</v>
      </c>
      <c r="J8" s="91">
        <f t="shared" si="0"/>
        <v>1.8274979066666665E-2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111038.304</v>
      </c>
      <c r="X8" s="91">
        <f t="shared" si="2"/>
        <v>40.211845533333332</v>
      </c>
      <c r="Y8" s="91">
        <f t="shared" si="2"/>
        <v>43.648699200000003</v>
      </c>
      <c r="Z8" s="91">
        <f t="shared" si="2"/>
        <v>0.99203915266666676</v>
      </c>
      <c r="AA8" s="91">
        <f t="shared" si="2"/>
        <v>0.99598167733333332</v>
      </c>
      <c r="AB8" s="91">
        <f t="shared" si="2"/>
        <v>1.0305941533333335E-2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6005.9040000000005</v>
      </c>
      <c r="F16" s="167">
        <v>7153.4160000000002</v>
      </c>
      <c r="G16" s="167">
        <v>2634.0320000000002</v>
      </c>
      <c r="H16" s="167">
        <v>989.23199999999997</v>
      </c>
      <c r="I16" s="167">
        <v>123.896</v>
      </c>
      <c r="J16" s="167">
        <v>11311.216</v>
      </c>
      <c r="K16" s="60">
        <v>7332.1279999999997</v>
      </c>
      <c r="L16" s="60">
        <v>2395.384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6005.9040000000005</v>
      </c>
      <c r="X16" s="167">
        <v>7153.4160000000002</v>
      </c>
      <c r="Y16" s="167">
        <v>2512</v>
      </c>
      <c r="Z16" s="167">
        <v>894.99199999999996</v>
      </c>
      <c r="AA16" s="167">
        <v>53.472000000000001</v>
      </c>
      <c r="AB16" s="167">
        <v>11311.216</v>
      </c>
      <c r="AC16" s="60">
        <v>7332.1279999999997</v>
      </c>
      <c r="AD16" s="60">
        <v>2395.384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6005.9040000000005</v>
      </c>
      <c r="F17" s="168">
        <v>9431.2160000000003</v>
      </c>
      <c r="G17" s="168">
        <v>7009.32</v>
      </c>
      <c r="H17" s="168">
        <v>3661.576</v>
      </c>
      <c r="I17" s="168">
        <v>1207.752</v>
      </c>
      <c r="J17" s="168">
        <v>14528.6</v>
      </c>
      <c r="K17" s="62">
        <v>9682.3680000000004</v>
      </c>
      <c r="L17" s="62">
        <v>3154.8319999999999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6005.9040000000005</v>
      </c>
      <c r="X17" s="168">
        <v>9431.2160000000003</v>
      </c>
      <c r="Y17" s="168">
        <v>6862.7520000000004</v>
      </c>
      <c r="Z17" s="168">
        <v>3438</v>
      </c>
      <c r="AA17" s="168">
        <v>880.56</v>
      </c>
      <c r="AB17" s="168">
        <v>14528.6</v>
      </c>
      <c r="AC17" s="62">
        <v>9682.3680000000004</v>
      </c>
      <c r="AD17" s="62">
        <v>3154.8319999999999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6005.9040000000005</v>
      </c>
      <c r="F18" s="168">
        <v>11769.8</v>
      </c>
      <c r="G18" s="168">
        <v>12782.183999999999</v>
      </c>
      <c r="H18" s="168">
        <v>9017.9439999999995</v>
      </c>
      <c r="I18" s="168">
        <v>5526.9520000000002</v>
      </c>
      <c r="J18" s="168">
        <v>17869.975999999999</v>
      </c>
      <c r="K18" s="62">
        <v>12136.968000000001</v>
      </c>
      <c r="L18" s="62">
        <v>3931.0639999999999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6005.9040000000005</v>
      </c>
      <c r="X18" s="168">
        <v>11769.8</v>
      </c>
      <c r="Y18" s="168">
        <v>12615.672</v>
      </c>
      <c r="Z18" s="168">
        <v>8696.4879999999994</v>
      </c>
      <c r="AA18" s="168">
        <v>5001.5200000000004</v>
      </c>
      <c r="AB18" s="168">
        <v>17869.975999999999</v>
      </c>
      <c r="AC18" s="62">
        <v>12136.968000000001</v>
      </c>
      <c r="AD18" s="62">
        <v>3931.0639999999999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6005.9040000000005</v>
      </c>
      <c r="F19" s="168">
        <v>13995.472</v>
      </c>
      <c r="G19" s="168">
        <v>19073.768</v>
      </c>
      <c r="H19" s="168">
        <v>17235.536</v>
      </c>
      <c r="I19" s="168">
        <v>15068.224</v>
      </c>
      <c r="J19" s="168">
        <v>21317.200000000001</v>
      </c>
      <c r="K19" s="62">
        <v>14705.208000000001</v>
      </c>
      <c r="L19" s="62">
        <v>4742.9359999999997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6005.9040000000005</v>
      </c>
      <c r="X19" s="168">
        <v>13995.472</v>
      </c>
      <c r="Y19" s="168">
        <v>18892.64</v>
      </c>
      <c r="Z19" s="168">
        <v>16871.567999999999</v>
      </c>
      <c r="AA19" s="168">
        <v>14507.376</v>
      </c>
      <c r="AB19" s="168">
        <v>21317.200000000001</v>
      </c>
      <c r="AC19" s="62">
        <v>14705.208000000001</v>
      </c>
      <c r="AD19" s="62">
        <v>4742.9359999999997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37945.207999999999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37658.511999999995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54681.568000000007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53984.232000000011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79040.792000000001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78027.391999999978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112144.24799999999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111038.304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26.822709</v>
      </c>
      <c r="G33" s="97">
        <v>31.894273999999999</v>
      </c>
      <c r="H33" s="97">
        <v>0.95634443000000002</v>
      </c>
      <c r="I33" s="60">
        <v>0.94974391000000002</v>
      </c>
      <c r="J33" s="60">
        <v>7.3161770000000001E-2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27.269041000000001</v>
      </c>
      <c r="Y33" s="97">
        <v>33.296163999999997</v>
      </c>
      <c r="Z33" s="97">
        <v>0.95681516</v>
      </c>
      <c r="AA33" s="60">
        <v>0.95246131000000001</v>
      </c>
      <c r="AB33" s="60">
        <v>6.130737E-2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0.44633200000000173</v>
      </c>
      <c r="AN33" s="96">
        <f t="shared" ref="AN33:AN96" si="5">IF(OR(Y33="",G33=""),"",Y33-G33)</f>
        <v>1.4018899999999981</v>
      </c>
      <c r="AO33" s="96">
        <f t="shared" ref="AO33:AO96" si="6">IF(OR(Z33="",H33=""),"",Z33-H33)</f>
        <v>4.7072999999997478E-4</v>
      </c>
      <c r="AP33" s="96">
        <f t="shared" ref="AP33:AP96" si="7">IF(OR(AA33="",I33=""),"",AA33-I33)</f>
        <v>2.7173999999999809E-3</v>
      </c>
      <c r="AQ33" s="121">
        <f t="shared" ref="AQ33:AQ96" si="8">IF(OR(AB33="",J33=""),"",AB33-J33)</f>
        <v>-1.1854400000000001E-2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30.718677</v>
      </c>
      <c r="G34" s="190">
        <v>35.105764999999998</v>
      </c>
      <c r="H34" s="190">
        <v>0.97493397999999998</v>
      </c>
      <c r="I34" s="62">
        <v>0.97260873999999997</v>
      </c>
      <c r="J34" s="62">
        <v>4.5003712000000001E-2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31.673698000000002</v>
      </c>
      <c r="Y34" s="190">
        <v>36.530296</v>
      </c>
      <c r="Z34" s="190">
        <v>0.97507865000000005</v>
      </c>
      <c r="AA34" s="62">
        <v>0.97492365999999997</v>
      </c>
      <c r="AB34" s="62">
        <v>3.5164516E-2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0.95502100000000212</v>
      </c>
      <c r="AN34" s="122">
        <f t="shared" si="5"/>
        <v>1.4245310000000018</v>
      </c>
      <c r="AO34" s="122">
        <f t="shared" si="6"/>
        <v>1.4467000000006891E-4</v>
      </c>
      <c r="AP34" s="122">
        <f t="shared" si="7"/>
        <v>2.3149199999999981E-3</v>
      </c>
      <c r="AQ34" s="88">
        <f t="shared" si="8"/>
        <v>-9.8391960000000014E-3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35.208333000000003</v>
      </c>
      <c r="G35" s="190">
        <v>39.272649000000001</v>
      </c>
      <c r="H35" s="190">
        <v>0.98740145999999995</v>
      </c>
      <c r="I35" s="62">
        <v>0.99000586999999995</v>
      </c>
      <c r="J35" s="62">
        <v>2.6539271999999999E-2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37.029457999999998</v>
      </c>
      <c r="Y35" s="190">
        <v>40.702461</v>
      </c>
      <c r="Z35" s="190">
        <v>0.98756476999999998</v>
      </c>
      <c r="AA35" s="62">
        <v>0.99055059000000001</v>
      </c>
      <c r="AB35" s="62">
        <v>1.8718249999999999E-2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1.821124999999995</v>
      </c>
      <c r="AN35" s="122">
        <f t="shared" si="5"/>
        <v>1.4298119999999983</v>
      </c>
      <c r="AO35" s="122">
        <f t="shared" si="6"/>
        <v>1.633100000000276E-4</v>
      </c>
      <c r="AP35" s="122">
        <f t="shared" si="7"/>
        <v>5.4472000000005405E-4</v>
      </c>
      <c r="AQ35" s="88">
        <f t="shared" si="8"/>
        <v>-7.8210220000000004E-3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37.821803000000003</v>
      </c>
      <c r="G36" s="190">
        <v>41.911560999999999</v>
      </c>
      <c r="H36" s="190">
        <v>0.99184024999999998</v>
      </c>
      <c r="I36" s="62">
        <v>0.99521393000000002</v>
      </c>
      <c r="J36" s="62">
        <v>1.8475004E-2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40.358733999999998</v>
      </c>
      <c r="Y36" s="190">
        <v>43.750939000000002</v>
      </c>
      <c r="Z36" s="190">
        <v>0.99194497000000004</v>
      </c>
      <c r="AA36" s="62">
        <v>0.99601147999999995</v>
      </c>
      <c r="AB36" s="62">
        <v>1.0970851E-2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2.5369309999999956</v>
      </c>
      <c r="AN36" s="122">
        <f t="shared" si="5"/>
        <v>1.8393780000000035</v>
      </c>
      <c r="AO36" s="122">
        <f t="shared" si="6"/>
        <v>1.047200000000581E-4</v>
      </c>
      <c r="AP36" s="122">
        <f t="shared" si="7"/>
        <v>7.9754999999992471E-4</v>
      </c>
      <c r="AQ36" s="88">
        <f t="shared" si="8"/>
        <v>-7.5041529999999995E-3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27.15503</v>
      </c>
      <c r="G38" s="97">
        <v>32.206569000000002</v>
      </c>
      <c r="H38" s="97">
        <v>0.95730325999999999</v>
      </c>
      <c r="I38" s="60">
        <v>0.95267179000000002</v>
      </c>
      <c r="J38" s="60">
        <v>7.0389090000000001E-2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27.697689</v>
      </c>
      <c r="Y38" s="97">
        <v>33.650235000000002</v>
      </c>
      <c r="Z38" s="97">
        <v>0.95775520999999997</v>
      </c>
      <c r="AA38" s="60">
        <v>0.95469948999999998</v>
      </c>
      <c r="AB38" s="60">
        <v>5.8525911999999999E-2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0.54265900000000045</v>
      </c>
      <c r="AN38" s="96">
        <f t="shared" si="5"/>
        <v>1.4436660000000003</v>
      </c>
      <c r="AO38" s="96">
        <f t="shared" si="6"/>
        <v>4.5194999999997876E-4</v>
      </c>
      <c r="AP38" s="96">
        <f t="shared" si="7"/>
        <v>2.0276999999999656E-3</v>
      </c>
      <c r="AQ38" s="121">
        <f t="shared" si="8"/>
        <v>-1.1863178000000002E-2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30.670563000000001</v>
      </c>
      <c r="G39" s="190">
        <v>35.084049</v>
      </c>
      <c r="H39" s="190">
        <v>0.97492584000000004</v>
      </c>
      <c r="I39" s="62">
        <v>0.97300891</v>
      </c>
      <c r="J39" s="62">
        <v>4.4366464000000001E-2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31.757838</v>
      </c>
      <c r="Y39" s="190">
        <v>36.626013999999998</v>
      </c>
      <c r="Z39" s="190">
        <v>0.97510668</v>
      </c>
      <c r="AA39" s="62">
        <v>0.97524160999999998</v>
      </c>
      <c r="AB39" s="62">
        <v>3.4117571999999999E-2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1.0872749999999982</v>
      </c>
      <c r="AN39" s="122">
        <f t="shared" si="5"/>
        <v>1.5419649999999976</v>
      </c>
      <c r="AO39" s="122">
        <f t="shared" si="6"/>
        <v>1.8083999999995992E-4</v>
      </c>
      <c r="AP39" s="122">
        <f t="shared" si="7"/>
        <v>2.2326999999999764E-3</v>
      </c>
      <c r="AQ39" s="88">
        <f t="shared" si="8"/>
        <v>-1.0248892000000003E-2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35.082214999999998</v>
      </c>
      <c r="G40" s="190">
        <v>39.175049000000001</v>
      </c>
      <c r="H40" s="190">
        <v>0.98721407000000005</v>
      </c>
      <c r="I40" s="62">
        <v>0.99041206999999998</v>
      </c>
      <c r="J40" s="62">
        <v>2.6983492000000001E-2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37.113387000000003</v>
      </c>
      <c r="Y40" s="190">
        <v>40.763260000000002</v>
      </c>
      <c r="Z40" s="190">
        <v>0.98744222000000004</v>
      </c>
      <c r="AA40" s="62">
        <v>0.99091083000000002</v>
      </c>
      <c r="AB40" s="62">
        <v>1.8087387E-2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2.0311720000000051</v>
      </c>
      <c r="AN40" s="122">
        <f t="shared" si="5"/>
        <v>1.5882110000000011</v>
      </c>
      <c r="AO40" s="122">
        <f t="shared" si="6"/>
        <v>2.2814999999998253E-4</v>
      </c>
      <c r="AP40" s="122">
        <f t="shared" si="7"/>
        <v>4.987600000000425E-4</v>
      </c>
      <c r="AQ40" s="88">
        <f t="shared" si="8"/>
        <v>-8.8961050000000014E-3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37.564022999999999</v>
      </c>
      <c r="G41" s="190">
        <v>41.673532999999999</v>
      </c>
      <c r="H41" s="190">
        <v>0.99154982999999997</v>
      </c>
      <c r="I41" s="62">
        <v>0.99517491999999996</v>
      </c>
      <c r="J41" s="62">
        <v>1.9391849999999999E-2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40.326749999999997</v>
      </c>
      <c r="Y41" s="190">
        <v>43.746402000000003</v>
      </c>
      <c r="Z41" s="190">
        <v>0.99172771999999998</v>
      </c>
      <c r="AA41" s="62">
        <v>0.99598027</v>
      </c>
      <c r="AB41" s="62">
        <v>1.1015806E-2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2.7627269999999982</v>
      </c>
      <c r="AN41" s="122">
        <f t="shared" si="5"/>
        <v>2.0728690000000043</v>
      </c>
      <c r="AO41" s="122">
        <f t="shared" si="6"/>
        <v>1.7789000000001387E-4</v>
      </c>
      <c r="AP41" s="122">
        <f t="shared" si="7"/>
        <v>8.0535000000003798E-4</v>
      </c>
      <c r="AQ41" s="88">
        <f t="shared" si="8"/>
        <v>-8.3760439999999992E-3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27.395927</v>
      </c>
      <c r="G43" s="97">
        <v>32.426301000000002</v>
      </c>
      <c r="H43" s="97">
        <v>0.95755312000000004</v>
      </c>
      <c r="I43" s="60">
        <v>0.95498380999999999</v>
      </c>
      <c r="J43" s="60">
        <v>6.5477439999999998E-2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27.935804999999998</v>
      </c>
      <c r="Y43" s="97">
        <v>33.781008999999997</v>
      </c>
      <c r="Z43" s="97">
        <v>0.95791899000000003</v>
      </c>
      <c r="AA43" s="60">
        <v>0.95677285999999995</v>
      </c>
      <c r="AB43" s="60">
        <v>5.5000328000000001E-2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0.53987799999999808</v>
      </c>
      <c r="AN43" s="96">
        <f t="shared" si="5"/>
        <v>1.3547079999999951</v>
      </c>
      <c r="AO43" s="96">
        <f t="shared" si="6"/>
        <v>3.6586999999999037E-4</v>
      </c>
      <c r="AP43" s="96">
        <f t="shared" si="7"/>
        <v>1.7890499999999587E-3</v>
      </c>
      <c r="AQ43" s="121">
        <f t="shared" si="8"/>
        <v>-1.0477111999999997E-2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30.697759000000001</v>
      </c>
      <c r="G44" s="190">
        <v>35.114454000000002</v>
      </c>
      <c r="H44" s="190">
        <v>0.97455362999999995</v>
      </c>
      <c r="I44" s="62">
        <v>0.97301749000000004</v>
      </c>
      <c r="J44" s="62">
        <v>4.1261587000000002E-2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31.759554999999999</v>
      </c>
      <c r="Y44" s="190">
        <v>36.604379000000002</v>
      </c>
      <c r="Z44" s="190">
        <v>0.97475698</v>
      </c>
      <c r="AA44" s="62">
        <v>0.97520578000000002</v>
      </c>
      <c r="AB44" s="62">
        <v>3.2098330000000001E-2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1.0617959999999975</v>
      </c>
      <c r="AN44" s="122">
        <f t="shared" si="5"/>
        <v>1.4899249999999995</v>
      </c>
      <c r="AO44" s="122">
        <f t="shared" si="6"/>
        <v>2.0335000000004655E-4</v>
      </c>
      <c r="AP44" s="122">
        <f t="shared" si="7"/>
        <v>2.1882899999999816E-3</v>
      </c>
      <c r="AQ44" s="88">
        <f t="shared" si="8"/>
        <v>-9.163257000000001E-3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35.193804999999998</v>
      </c>
      <c r="G45" s="190">
        <v>39.255200000000002</v>
      </c>
      <c r="H45" s="190">
        <v>0.98722105000000004</v>
      </c>
      <c r="I45" s="62">
        <v>0.99038409999999999</v>
      </c>
      <c r="J45" s="62">
        <v>2.4934814999999999E-2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37.171464999999998</v>
      </c>
      <c r="Y45" s="190">
        <v>40.787010000000002</v>
      </c>
      <c r="Z45" s="190">
        <v>0.98746531000000004</v>
      </c>
      <c r="AA45" s="62">
        <v>0.99089227000000002</v>
      </c>
      <c r="AB45" s="62">
        <v>1.6998360000000001E-2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1.9776600000000002</v>
      </c>
      <c r="AN45" s="122">
        <f t="shared" si="5"/>
        <v>1.5318100000000001</v>
      </c>
      <c r="AO45" s="122">
        <f t="shared" si="6"/>
        <v>2.4425999999999615E-4</v>
      </c>
      <c r="AP45" s="122">
        <f t="shared" si="7"/>
        <v>5.0817000000002999E-4</v>
      </c>
      <c r="AQ45" s="88">
        <f t="shared" si="8"/>
        <v>-7.9364549999999985E-3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37.602215000000001</v>
      </c>
      <c r="G46" s="190">
        <v>41.690871000000001</v>
      </c>
      <c r="H46" s="190">
        <v>0.99160048999999995</v>
      </c>
      <c r="I46" s="62">
        <v>0.99513750999999995</v>
      </c>
      <c r="J46" s="62">
        <v>1.8027644999999998E-2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40.297960000000003</v>
      </c>
      <c r="Y46" s="190">
        <v>43.698695999999998</v>
      </c>
      <c r="Z46" s="190">
        <v>0.99180895000000002</v>
      </c>
      <c r="AA46" s="62">
        <v>0.99598487000000002</v>
      </c>
      <c r="AB46" s="62">
        <v>1.0424001E-2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2.6957450000000023</v>
      </c>
      <c r="AN46" s="122">
        <f t="shared" si="5"/>
        <v>2.0078249999999969</v>
      </c>
      <c r="AO46" s="122">
        <f t="shared" si="6"/>
        <v>2.0846000000007692E-4</v>
      </c>
      <c r="AP46" s="122">
        <f t="shared" si="7"/>
        <v>8.4736000000007472E-4</v>
      </c>
      <c r="AQ46" s="88">
        <f t="shared" si="8"/>
        <v>-7.6036439999999979E-3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27.406086999999999</v>
      </c>
      <c r="G48" s="97">
        <v>32.42689</v>
      </c>
      <c r="H48" s="97">
        <v>0.95777323000000003</v>
      </c>
      <c r="I48" s="60">
        <v>0.95496380999999997</v>
      </c>
      <c r="J48" s="60">
        <v>6.7140969999999994E-2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27.960588999999999</v>
      </c>
      <c r="Y48" s="97">
        <v>33.749152000000002</v>
      </c>
      <c r="Z48" s="97">
        <v>0.95816396999999998</v>
      </c>
      <c r="AA48" s="60">
        <v>0.95685474999999998</v>
      </c>
      <c r="AB48" s="60">
        <v>5.6873004999999997E-2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0.55450199999999938</v>
      </c>
      <c r="AN48" s="96">
        <f t="shared" si="5"/>
        <v>1.322262000000002</v>
      </c>
      <c r="AO48" s="96">
        <f t="shared" si="6"/>
        <v>3.9073999999994502E-4</v>
      </c>
      <c r="AP48" s="96">
        <f t="shared" si="7"/>
        <v>1.8909400000000076E-3</v>
      </c>
      <c r="AQ48" s="121">
        <f t="shared" si="8"/>
        <v>-1.0267964999999997E-2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30.551265000000001</v>
      </c>
      <c r="G49" s="190">
        <v>34.978853999999998</v>
      </c>
      <c r="H49" s="190">
        <v>0.97408086000000005</v>
      </c>
      <c r="I49" s="62">
        <v>0.97217920000000002</v>
      </c>
      <c r="J49" s="62">
        <v>4.3624606000000003E-2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31.558845000000002</v>
      </c>
      <c r="Y49" s="190">
        <v>36.438222000000003</v>
      </c>
      <c r="Z49" s="190">
        <v>0.97416265000000002</v>
      </c>
      <c r="AA49" s="62">
        <v>0.97422350000000002</v>
      </c>
      <c r="AB49" s="62">
        <v>3.4884322000000002E-2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1.0075800000000008</v>
      </c>
      <c r="AN49" s="122">
        <f t="shared" si="5"/>
        <v>1.4593680000000049</v>
      </c>
      <c r="AO49" s="122">
        <f t="shared" si="6"/>
        <v>8.1789999999970497E-5</v>
      </c>
      <c r="AP49" s="122">
        <f t="shared" si="7"/>
        <v>2.0442999999999989E-3</v>
      </c>
      <c r="AQ49" s="88">
        <f t="shared" si="8"/>
        <v>-8.7402840000000009E-3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35.215649999999997</v>
      </c>
      <c r="G50" s="190">
        <v>39.264226000000001</v>
      </c>
      <c r="H50" s="190">
        <v>0.98699548000000004</v>
      </c>
      <c r="I50" s="62">
        <v>0.99021384999999995</v>
      </c>
      <c r="J50" s="62">
        <v>2.6084713999999998E-2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37.086064</v>
      </c>
      <c r="Y50" s="190">
        <v>40.719067000000003</v>
      </c>
      <c r="Z50" s="190">
        <v>0.98718636000000004</v>
      </c>
      <c r="AA50" s="62">
        <v>0.99062855999999999</v>
      </c>
      <c r="AB50" s="62">
        <v>1.8137153E-2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1.8704140000000038</v>
      </c>
      <c r="AN50" s="122">
        <f t="shared" si="5"/>
        <v>1.4548410000000018</v>
      </c>
      <c r="AO50" s="122">
        <f t="shared" si="6"/>
        <v>1.9088000000000438E-4</v>
      </c>
      <c r="AP50" s="122">
        <f t="shared" si="7"/>
        <v>4.1471000000004032E-4</v>
      </c>
      <c r="AQ50" s="88">
        <f t="shared" si="8"/>
        <v>-7.9475609999999988E-3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37.544877</v>
      </c>
      <c r="G51" s="190">
        <v>41.619892999999998</v>
      </c>
      <c r="H51" s="190">
        <v>0.99138831000000005</v>
      </c>
      <c r="I51" s="62">
        <v>0.99507394000000005</v>
      </c>
      <c r="J51" s="62">
        <v>1.9179547000000002E-2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40.112720000000003</v>
      </c>
      <c r="Y51" s="190">
        <v>43.534688000000003</v>
      </c>
      <c r="Z51" s="190">
        <v>0.99154865000000003</v>
      </c>
      <c r="AA51" s="62">
        <v>0.99589161999999998</v>
      </c>
      <c r="AB51" s="62">
        <v>1.1867391E-2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2.5678430000000034</v>
      </c>
      <c r="AN51" s="122">
        <f t="shared" si="5"/>
        <v>1.9147950000000051</v>
      </c>
      <c r="AO51" s="122">
        <f t="shared" si="6"/>
        <v>1.6033999999998105E-4</v>
      </c>
      <c r="AP51" s="122">
        <f t="shared" si="7"/>
        <v>8.1767999999993179E-4</v>
      </c>
      <c r="AQ51" s="88">
        <f t="shared" si="8"/>
        <v>-7.3121560000000019E-3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27.461846000000001</v>
      </c>
      <c r="G53" s="97">
        <v>32.418275000000001</v>
      </c>
      <c r="H53" s="97">
        <v>0.95585049</v>
      </c>
      <c r="I53" s="60">
        <v>0.95539302999999998</v>
      </c>
      <c r="J53" s="60">
        <v>7.0979009999999995E-2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28.046126000000001</v>
      </c>
      <c r="Y53" s="97">
        <v>33.660907999999999</v>
      </c>
      <c r="Z53" s="97">
        <v>0.95621314999999996</v>
      </c>
      <c r="AA53" s="60">
        <v>0.95724854000000004</v>
      </c>
      <c r="AB53" s="60">
        <v>6.0743585000000003E-2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0.58427999999999969</v>
      </c>
      <c r="AN53" s="96">
        <f t="shared" si="5"/>
        <v>1.2426329999999979</v>
      </c>
      <c r="AO53" s="96">
        <f t="shared" si="6"/>
        <v>3.6265999999995913E-4</v>
      </c>
      <c r="AP53" s="96">
        <f t="shared" si="7"/>
        <v>1.8555100000000602E-3</v>
      </c>
      <c r="AQ53" s="121">
        <f t="shared" si="8"/>
        <v>-1.0235424999999992E-2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30.535499999999999</v>
      </c>
      <c r="G54" s="190">
        <v>34.941802000000003</v>
      </c>
      <c r="H54" s="190">
        <v>0.97325649000000003</v>
      </c>
      <c r="I54" s="62">
        <v>0.97258571999999999</v>
      </c>
      <c r="J54" s="62">
        <v>4.5896985000000001E-2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31.548856000000001</v>
      </c>
      <c r="Y54" s="190">
        <v>36.295296</v>
      </c>
      <c r="Z54" s="190">
        <v>0.97333312999999999</v>
      </c>
      <c r="AA54" s="62">
        <v>0.97453637000000004</v>
      </c>
      <c r="AB54" s="62">
        <v>3.7360575E-2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1.0133560000000017</v>
      </c>
      <c r="AN54" s="122">
        <f t="shared" si="5"/>
        <v>1.3534939999999978</v>
      </c>
      <c r="AO54" s="122">
        <f t="shared" si="6"/>
        <v>7.6639999999961184E-5</v>
      </c>
      <c r="AP54" s="122">
        <f t="shared" si="7"/>
        <v>1.9506500000000537E-3</v>
      </c>
      <c r="AQ54" s="88">
        <f t="shared" si="8"/>
        <v>-8.5364100000000012E-3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34.999614000000001</v>
      </c>
      <c r="G55" s="190">
        <v>39.030625000000001</v>
      </c>
      <c r="H55" s="190">
        <v>0.98639427000000002</v>
      </c>
      <c r="I55" s="62">
        <v>0.98987499000000001</v>
      </c>
      <c r="J55" s="62">
        <v>2.7892190000000001E-2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36.771096</v>
      </c>
      <c r="Y55" s="190">
        <v>40.412875999999997</v>
      </c>
      <c r="Z55" s="190">
        <v>0.98655623000000003</v>
      </c>
      <c r="AA55" s="62">
        <v>0.99025836</v>
      </c>
      <c r="AB55" s="62">
        <v>1.9894599999999998E-2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1.7714819999999989</v>
      </c>
      <c r="AN55" s="122">
        <f t="shared" si="5"/>
        <v>1.3822509999999966</v>
      </c>
      <c r="AO55" s="122">
        <f t="shared" si="6"/>
        <v>1.6196000000001654E-4</v>
      </c>
      <c r="AP55" s="122">
        <f t="shared" si="7"/>
        <v>3.8336999999999399E-4</v>
      </c>
      <c r="AQ55" s="88">
        <f t="shared" si="8"/>
        <v>-7.9975900000000023E-3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37.247562000000002</v>
      </c>
      <c r="G56" s="190">
        <v>41.294356000000001</v>
      </c>
      <c r="H56" s="190">
        <v>0.99092533999999999</v>
      </c>
      <c r="I56" s="62">
        <v>0.99484271999999996</v>
      </c>
      <c r="J56" s="62">
        <v>2.0623737999999999E-2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39.641958000000002</v>
      </c>
      <c r="Y56" s="190">
        <v>43.080013999999998</v>
      </c>
      <c r="Z56" s="190">
        <v>0.99104535000000005</v>
      </c>
      <c r="AA56" s="62">
        <v>0.99559531999999995</v>
      </c>
      <c r="AB56" s="62">
        <v>1.3416391E-2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2.3943960000000004</v>
      </c>
      <c r="AN56" s="122">
        <f t="shared" si="5"/>
        <v>1.785657999999998</v>
      </c>
      <c r="AO56" s="122">
        <f t="shared" si="6"/>
        <v>1.2001000000005924E-4</v>
      </c>
      <c r="AP56" s="122">
        <f t="shared" si="7"/>
        <v>7.5259999999999216E-4</v>
      </c>
      <c r="AQ56" s="88">
        <f t="shared" si="8"/>
        <v>-7.2073469999999994E-3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27.015913000000001</v>
      </c>
      <c r="G58" s="97">
        <v>32.128841000000001</v>
      </c>
      <c r="H58" s="97">
        <v>0.95702016000000001</v>
      </c>
      <c r="I58" s="60">
        <v>0.95447514</v>
      </c>
      <c r="J58" s="60">
        <v>7.3451680000000005E-2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27.541758999999999</v>
      </c>
      <c r="Y58" s="97">
        <v>33.763061</v>
      </c>
      <c r="Z58" s="97">
        <v>0.95730700999999996</v>
      </c>
      <c r="AA58" s="60">
        <v>0.95585198000000005</v>
      </c>
      <c r="AB58" s="60">
        <v>6.0272581999999998E-2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0.52584599999999782</v>
      </c>
      <c r="AN58" s="96">
        <f t="shared" si="5"/>
        <v>1.6342199999999991</v>
      </c>
      <c r="AO58" s="96">
        <f t="shared" si="6"/>
        <v>2.8684999999994965E-4</v>
      </c>
      <c r="AP58" s="96">
        <f t="shared" si="7"/>
        <v>1.3768400000000458E-3</v>
      </c>
      <c r="AQ58" s="121">
        <f t="shared" si="8"/>
        <v>-1.3179098000000007E-2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30.87134</v>
      </c>
      <c r="G59" s="190">
        <v>35.404367000000001</v>
      </c>
      <c r="H59" s="190">
        <v>0.97574711000000003</v>
      </c>
      <c r="I59" s="62">
        <v>0.97445409000000005</v>
      </c>
      <c r="J59" s="62">
        <v>4.3537956000000003E-2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31.993285</v>
      </c>
      <c r="Y59" s="190">
        <v>37.040123999999999</v>
      </c>
      <c r="Z59" s="190">
        <v>0.97586951</v>
      </c>
      <c r="AA59" s="62">
        <v>0.97616906999999997</v>
      </c>
      <c r="AB59" s="62">
        <v>3.2632729999999999E-2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1.1219450000000002</v>
      </c>
      <c r="AN59" s="122">
        <f t="shared" si="5"/>
        <v>1.6357569999999981</v>
      </c>
      <c r="AO59" s="122">
        <f t="shared" si="6"/>
        <v>1.2239999999996698E-4</v>
      </c>
      <c r="AP59" s="122">
        <f t="shared" si="7"/>
        <v>1.7149799999999216E-3</v>
      </c>
      <c r="AQ59" s="88">
        <f t="shared" si="8"/>
        <v>-1.0905226000000004E-2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35.184916000000001</v>
      </c>
      <c r="G60" s="190">
        <v>39.299033000000001</v>
      </c>
      <c r="H60" s="190">
        <v>0.98817891999999996</v>
      </c>
      <c r="I60" s="62">
        <v>0.99054430999999998</v>
      </c>
      <c r="J60" s="62">
        <v>2.4527107999999999E-2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37.279670000000003</v>
      </c>
      <c r="Y60" s="190">
        <v>41.004413999999997</v>
      </c>
      <c r="Z60" s="190">
        <v>0.98832346000000004</v>
      </c>
      <c r="AA60" s="62">
        <v>0.99115238999999999</v>
      </c>
      <c r="AB60" s="62">
        <v>1.6130095000000001E-2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2.0947540000000018</v>
      </c>
      <c r="AN60" s="122">
        <f t="shared" si="5"/>
        <v>1.7053809999999956</v>
      </c>
      <c r="AO60" s="122">
        <f t="shared" si="6"/>
        <v>1.4454000000008183E-4</v>
      </c>
      <c r="AP60" s="122">
        <f t="shared" si="7"/>
        <v>6.0808000000001083E-4</v>
      </c>
      <c r="AQ60" s="88">
        <f t="shared" si="8"/>
        <v>-8.3970129999999983E-3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37.748719000000001</v>
      </c>
      <c r="G61" s="190">
        <v>41.856163000000002</v>
      </c>
      <c r="H61" s="190">
        <v>0.99245578999999995</v>
      </c>
      <c r="I61" s="62">
        <v>0.99554823000000003</v>
      </c>
      <c r="J61" s="62">
        <v>1.7698684999999999E-2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40.518037</v>
      </c>
      <c r="Y61" s="190">
        <v>43.941856000000001</v>
      </c>
      <c r="Z61" s="190">
        <v>0.99257868999999999</v>
      </c>
      <c r="AA61" s="62">
        <v>0.99624314999999997</v>
      </c>
      <c r="AB61" s="62">
        <v>9.4091780000000007E-3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2.7693179999999984</v>
      </c>
      <c r="AN61" s="122">
        <f t="shared" si="5"/>
        <v>2.0856929999999991</v>
      </c>
      <c r="AO61" s="122">
        <f t="shared" si="6"/>
        <v>1.2290000000003687E-4</v>
      </c>
      <c r="AP61" s="122">
        <f t="shared" si="7"/>
        <v>6.9491999999993226E-4</v>
      </c>
      <c r="AQ61" s="88">
        <f t="shared" si="8"/>
        <v>-8.289506999999998E-3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27.141102</v>
      </c>
      <c r="G63" s="97">
        <v>32.32602</v>
      </c>
      <c r="H63" s="97">
        <v>0.95799069000000003</v>
      </c>
      <c r="I63" s="60">
        <v>0.95360668000000004</v>
      </c>
      <c r="J63" s="60">
        <v>6.721154E-2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27.720935000000001</v>
      </c>
      <c r="Y63" s="97">
        <v>33.922348999999997</v>
      </c>
      <c r="Z63" s="97">
        <v>0.95836558999999999</v>
      </c>
      <c r="AA63" s="60">
        <v>0.95482646999999998</v>
      </c>
      <c r="AB63" s="60">
        <v>5.5146024000000002E-2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0.57983300000000071</v>
      </c>
      <c r="AN63" s="96">
        <f t="shared" si="5"/>
        <v>1.5963289999999972</v>
      </c>
      <c r="AO63" s="96">
        <f t="shared" si="6"/>
        <v>3.7489999999995582E-4</v>
      </c>
      <c r="AP63" s="96">
        <f t="shared" si="7"/>
        <v>1.2197899999999429E-3</v>
      </c>
      <c r="AQ63" s="121">
        <f t="shared" si="8"/>
        <v>-1.2065515999999998E-2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30.764541000000001</v>
      </c>
      <c r="G64" s="190">
        <v>35.355891</v>
      </c>
      <c r="H64" s="190">
        <v>0.97554759999999996</v>
      </c>
      <c r="I64" s="62">
        <v>0.97143144000000003</v>
      </c>
      <c r="J64" s="62">
        <v>4.1654070000000001E-2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31.903683999999998</v>
      </c>
      <c r="Y64" s="190">
        <v>36.985951999999997</v>
      </c>
      <c r="Z64" s="190">
        <v>0.97582464999999996</v>
      </c>
      <c r="AA64" s="62">
        <v>0.97391139000000004</v>
      </c>
      <c r="AB64" s="62">
        <v>3.1023274999999999E-2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1.1391429999999971</v>
      </c>
      <c r="AN64" s="122">
        <f t="shared" si="5"/>
        <v>1.6300609999999978</v>
      </c>
      <c r="AO64" s="122">
        <f t="shared" si="6"/>
        <v>2.7705000000000091E-4</v>
      </c>
      <c r="AP64" s="122">
        <f t="shared" si="7"/>
        <v>2.4799500000000085E-3</v>
      </c>
      <c r="AQ64" s="88">
        <f t="shared" si="8"/>
        <v>-1.0630795000000002E-2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35.208038000000002</v>
      </c>
      <c r="G65" s="190">
        <v>39.335859999999997</v>
      </c>
      <c r="H65" s="190">
        <v>0.9880755</v>
      </c>
      <c r="I65" s="62">
        <v>0.99014009000000003</v>
      </c>
      <c r="J65" s="62">
        <v>2.3809284E-2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37.407972999999998</v>
      </c>
      <c r="Y65" s="190">
        <v>41.099300999999997</v>
      </c>
      <c r="Z65" s="190">
        <v>0.98828008000000001</v>
      </c>
      <c r="AA65" s="62">
        <v>0.99094373999999996</v>
      </c>
      <c r="AB65" s="62">
        <v>1.5284173E-2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2.1999349999999964</v>
      </c>
      <c r="AN65" s="122">
        <f t="shared" si="5"/>
        <v>1.7634410000000003</v>
      </c>
      <c r="AO65" s="122">
        <f t="shared" si="6"/>
        <v>2.0458000000000975E-4</v>
      </c>
      <c r="AP65" s="122">
        <f t="shared" si="7"/>
        <v>8.0364999999993358E-4</v>
      </c>
      <c r="AQ65" s="88">
        <f t="shared" si="8"/>
        <v>-8.5251110000000001E-3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37.707915999999997</v>
      </c>
      <c r="G66" s="190">
        <v>41.820720999999999</v>
      </c>
      <c r="H66" s="190">
        <v>0.99227363000000002</v>
      </c>
      <c r="I66" s="62">
        <v>0.99525814999999995</v>
      </c>
      <c r="J66" s="62">
        <v>1.7411407E-2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40.625072000000003</v>
      </c>
      <c r="Y66" s="190">
        <v>44.018042000000001</v>
      </c>
      <c r="Z66" s="190">
        <v>0.99245136</v>
      </c>
      <c r="AA66" s="62">
        <v>0.99619595999999999</v>
      </c>
      <c r="AB66" s="62">
        <v>8.9467090000000006E-3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2.9171560000000056</v>
      </c>
      <c r="AN66" s="122">
        <f t="shared" si="5"/>
        <v>2.1973210000000023</v>
      </c>
      <c r="AO66" s="122">
        <f t="shared" si="6"/>
        <v>1.7772999999998706E-4</v>
      </c>
      <c r="AP66" s="122">
        <f t="shared" si="7"/>
        <v>9.3781000000003889E-4</v>
      </c>
      <c r="AQ66" s="88">
        <f t="shared" si="8"/>
        <v>-8.4646979999999997E-3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27.331707999999999</v>
      </c>
      <c r="G68" s="97">
        <v>32.507140999999997</v>
      </c>
      <c r="H68" s="97">
        <v>0.95828665000000002</v>
      </c>
      <c r="I68" s="60">
        <v>0.95433583</v>
      </c>
      <c r="J68" s="60">
        <v>6.4277420000000002E-2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27.901501</v>
      </c>
      <c r="Y68" s="97">
        <v>34.027478000000002</v>
      </c>
      <c r="Z68" s="97">
        <v>0.95866823999999995</v>
      </c>
      <c r="AA68" s="60">
        <v>0.95544085000000001</v>
      </c>
      <c r="AB68" s="60">
        <v>5.3417239999999998E-2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0.56979300000000066</v>
      </c>
      <c r="AN68" s="96">
        <f t="shared" si="5"/>
        <v>1.5203370000000049</v>
      </c>
      <c r="AO68" s="96">
        <f t="shared" si="6"/>
        <v>3.8158999999993171E-4</v>
      </c>
      <c r="AP68" s="96">
        <f t="shared" si="7"/>
        <v>1.1050200000000121E-3</v>
      </c>
      <c r="AQ68" s="121">
        <f t="shared" si="8"/>
        <v>-1.0860180000000004E-2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30.849554000000001</v>
      </c>
      <c r="G69" s="190">
        <v>35.446496000000003</v>
      </c>
      <c r="H69" s="190">
        <v>0.97521000000000002</v>
      </c>
      <c r="I69" s="62">
        <v>0.97091852999999995</v>
      </c>
      <c r="J69" s="62">
        <v>4.0489222999999998E-2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31.975080999999999</v>
      </c>
      <c r="Y69" s="190">
        <v>37.031202999999998</v>
      </c>
      <c r="Z69" s="190">
        <v>0.97547143999999997</v>
      </c>
      <c r="AA69" s="62">
        <v>0.97356609999999999</v>
      </c>
      <c r="AB69" s="62">
        <v>3.0826226000000002E-2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1.1255269999999982</v>
      </c>
      <c r="AN69" s="122">
        <f t="shared" si="5"/>
        <v>1.5847069999999945</v>
      </c>
      <c r="AO69" s="122">
        <f t="shared" si="6"/>
        <v>2.6143999999994616E-4</v>
      </c>
      <c r="AP69" s="122">
        <f t="shared" si="7"/>
        <v>2.6475700000000435E-3</v>
      </c>
      <c r="AQ69" s="88">
        <f t="shared" si="8"/>
        <v>-9.6629969999999961E-3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35.232550000000003</v>
      </c>
      <c r="G70" s="190">
        <v>39.349832999999997</v>
      </c>
      <c r="H70" s="190">
        <v>0.98786896000000002</v>
      </c>
      <c r="I70" s="62">
        <v>0.98967539999999998</v>
      </c>
      <c r="J70" s="62">
        <v>2.3408874999999999E-2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37.377333999999998</v>
      </c>
      <c r="Y70" s="190">
        <v>41.073884999999997</v>
      </c>
      <c r="Z70" s="190">
        <v>0.98808929999999995</v>
      </c>
      <c r="AA70" s="62">
        <v>0.99044089999999996</v>
      </c>
      <c r="AB70" s="62">
        <v>1.510358E-2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2.1447839999999943</v>
      </c>
      <c r="AN70" s="122">
        <f t="shared" si="5"/>
        <v>1.7240520000000004</v>
      </c>
      <c r="AO70" s="122">
        <f t="shared" si="6"/>
        <v>2.2033999999993004E-4</v>
      </c>
      <c r="AP70" s="122">
        <f t="shared" si="7"/>
        <v>7.6549999999997453E-4</v>
      </c>
      <c r="AQ70" s="88">
        <f t="shared" si="8"/>
        <v>-8.305294999999999E-3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37.644455000000001</v>
      </c>
      <c r="G71" s="190">
        <v>41.736614000000003</v>
      </c>
      <c r="H71" s="190">
        <v>0.99211748</v>
      </c>
      <c r="I71" s="62">
        <v>0.99504283999999998</v>
      </c>
      <c r="J71" s="62">
        <v>1.7363079999999999E-2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40.483133000000002</v>
      </c>
      <c r="Y71" s="190">
        <v>43.898947999999997</v>
      </c>
      <c r="Z71" s="190">
        <v>0.99230850000000004</v>
      </c>
      <c r="AA71" s="62">
        <v>0.99611304000000001</v>
      </c>
      <c r="AB71" s="62">
        <v>9.1552049999999996E-3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2.8386780000000016</v>
      </c>
      <c r="AN71" s="122">
        <f t="shared" si="5"/>
        <v>2.1623339999999942</v>
      </c>
      <c r="AO71" s="122">
        <f t="shared" si="6"/>
        <v>1.9102000000004171E-4</v>
      </c>
      <c r="AP71" s="122">
        <f t="shared" si="7"/>
        <v>1.0702000000000211E-3</v>
      </c>
      <c r="AQ71" s="88">
        <f t="shared" si="8"/>
        <v>-8.2078749999999999E-3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27.364538</v>
      </c>
      <c r="G73" s="97">
        <v>32.512600999999997</v>
      </c>
      <c r="H73" s="97">
        <v>0.95837852999999995</v>
      </c>
      <c r="I73" s="60">
        <v>0.95343144999999996</v>
      </c>
      <c r="J73" s="60">
        <v>6.4443570000000006E-2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27.930937</v>
      </c>
      <c r="Y73" s="97">
        <v>34.024602000000002</v>
      </c>
      <c r="Z73" s="97">
        <v>0.95878090999999999</v>
      </c>
      <c r="AA73" s="60">
        <v>0.95552068999999995</v>
      </c>
      <c r="AB73" s="60">
        <v>5.3543913999999998E-2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0.56639900000000054</v>
      </c>
      <c r="AN73" s="96">
        <f t="shared" si="5"/>
        <v>1.512001000000005</v>
      </c>
      <c r="AO73" s="96">
        <f t="shared" si="6"/>
        <v>4.0238000000003549E-4</v>
      </c>
      <c r="AP73" s="96">
        <f t="shared" si="7"/>
        <v>2.0892399999999922E-3</v>
      </c>
      <c r="AQ73" s="121">
        <f t="shared" si="8"/>
        <v>-1.0899656000000008E-2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30.842153</v>
      </c>
      <c r="G74" s="190">
        <v>35.410561000000001</v>
      </c>
      <c r="H74" s="190">
        <v>0.97501534000000001</v>
      </c>
      <c r="I74" s="62">
        <v>0.97086282999999995</v>
      </c>
      <c r="J74" s="62">
        <v>4.0640425000000001E-2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31.927644999999998</v>
      </c>
      <c r="Y74" s="190">
        <v>36.966363000000001</v>
      </c>
      <c r="Z74" s="190">
        <v>0.97518218999999995</v>
      </c>
      <c r="AA74" s="62">
        <v>0.97345778999999999</v>
      </c>
      <c r="AB74" s="62">
        <v>3.1432845000000001E-2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1.0854919999999986</v>
      </c>
      <c r="AN74" s="122">
        <f t="shared" si="5"/>
        <v>1.5558019999999999</v>
      </c>
      <c r="AO74" s="122">
        <f t="shared" si="6"/>
        <v>1.6684999999994066E-4</v>
      </c>
      <c r="AP74" s="122">
        <f t="shared" si="7"/>
        <v>2.594960000000035E-3</v>
      </c>
      <c r="AQ74" s="88">
        <f t="shared" si="8"/>
        <v>-9.2075799999999999E-3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35.254483</v>
      </c>
      <c r="G75" s="190">
        <v>39.365321999999999</v>
      </c>
      <c r="H75" s="190">
        <v>0.98775367999999997</v>
      </c>
      <c r="I75" s="62">
        <v>0.98964447</v>
      </c>
      <c r="J75" s="62">
        <v>2.3678798000000001E-2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37.344405999999999</v>
      </c>
      <c r="Y75" s="190">
        <v>41.053614000000003</v>
      </c>
      <c r="Z75" s="190">
        <v>0.98793297999999996</v>
      </c>
      <c r="AA75" s="62">
        <v>0.99034761999999998</v>
      </c>
      <c r="AB75" s="62">
        <v>1.5571807E-2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2.0899229999999989</v>
      </c>
      <c r="AN75" s="122">
        <f t="shared" si="5"/>
        <v>1.6882920000000041</v>
      </c>
      <c r="AO75" s="122">
        <f t="shared" si="6"/>
        <v>1.7929999999999335E-4</v>
      </c>
      <c r="AP75" s="122">
        <f t="shared" si="7"/>
        <v>7.0314999999998573E-4</v>
      </c>
      <c r="AQ75" s="88">
        <f t="shared" si="8"/>
        <v>-8.1069910000000009E-3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37.627288</v>
      </c>
      <c r="G76" s="190">
        <v>41.707580999999998</v>
      </c>
      <c r="H76" s="190">
        <v>0.99200524999999995</v>
      </c>
      <c r="I76" s="62">
        <v>0.99508116999999996</v>
      </c>
      <c r="J76" s="62">
        <v>1.7650628000000002E-2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40.391457000000003</v>
      </c>
      <c r="Y76" s="190">
        <v>43.822004</v>
      </c>
      <c r="Z76" s="190">
        <v>0.99216161999999997</v>
      </c>
      <c r="AA76" s="62">
        <v>0.99604353999999995</v>
      </c>
      <c r="AB76" s="62">
        <v>9.7969790000000008E-3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2.7641690000000025</v>
      </c>
      <c r="AN76" s="122">
        <f t="shared" si="5"/>
        <v>2.1144230000000022</v>
      </c>
      <c r="AO76" s="122">
        <f t="shared" si="6"/>
        <v>1.5637000000001677E-4</v>
      </c>
      <c r="AP76" s="122">
        <f t="shared" si="7"/>
        <v>9.6236999999999018E-4</v>
      </c>
      <c r="AQ76" s="88">
        <f t="shared" si="8"/>
        <v>-7.8536490000000007E-3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27.405705000000001</v>
      </c>
      <c r="G78" s="97">
        <v>32.457841999999999</v>
      </c>
      <c r="H78" s="97">
        <v>0.95638084000000001</v>
      </c>
      <c r="I78" s="60">
        <v>0.95399014000000004</v>
      </c>
      <c r="J78" s="60">
        <v>6.8317509999999998E-2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27.963080999999999</v>
      </c>
      <c r="Y78" s="97">
        <v>33.804152000000002</v>
      </c>
      <c r="Z78" s="97">
        <v>0.95680107999999997</v>
      </c>
      <c r="AA78" s="60">
        <v>0.95625926999999999</v>
      </c>
      <c r="AB78" s="60">
        <v>5.7952426000000001E-2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0.55737599999999787</v>
      </c>
      <c r="AN78" s="96">
        <f t="shared" si="5"/>
        <v>1.3463100000000026</v>
      </c>
      <c r="AO78" s="96">
        <f t="shared" si="6"/>
        <v>4.2023999999996065E-4</v>
      </c>
      <c r="AP78" s="96">
        <f t="shared" si="7"/>
        <v>2.2691299999999526E-3</v>
      </c>
      <c r="AQ78" s="121">
        <f t="shared" si="8"/>
        <v>-1.0365083999999997E-2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30.773243999999998</v>
      </c>
      <c r="G79" s="190">
        <v>35.277866000000003</v>
      </c>
      <c r="H79" s="190">
        <v>0.97366498000000001</v>
      </c>
      <c r="I79" s="62">
        <v>0.97176437999999998</v>
      </c>
      <c r="J79" s="62">
        <v>4.4094090000000002E-2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31.795801999999998</v>
      </c>
      <c r="Y79" s="190">
        <v>36.654806000000001</v>
      </c>
      <c r="Z79" s="190">
        <v>0.97382690999999999</v>
      </c>
      <c r="AA79" s="62">
        <v>0.97423216000000001</v>
      </c>
      <c r="AB79" s="62">
        <v>3.5409678E-2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1.0225580000000001</v>
      </c>
      <c r="AN79" s="122">
        <f t="shared" si="5"/>
        <v>1.3769399999999976</v>
      </c>
      <c r="AO79" s="122">
        <f t="shared" si="6"/>
        <v>1.6192999999997681E-4</v>
      </c>
      <c r="AP79" s="122">
        <f t="shared" si="7"/>
        <v>2.4677800000000305E-3</v>
      </c>
      <c r="AQ79" s="88">
        <f t="shared" si="8"/>
        <v>-8.6844120000000025E-3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35.080210999999998</v>
      </c>
      <c r="G80" s="190">
        <v>39.169288000000002</v>
      </c>
      <c r="H80" s="190">
        <v>0.98669481999999997</v>
      </c>
      <c r="I80" s="62">
        <v>0.98969298000000006</v>
      </c>
      <c r="J80" s="62">
        <v>2.6203364E-2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36.957642999999997</v>
      </c>
      <c r="Y80" s="190">
        <v>40.673327999999998</v>
      </c>
      <c r="Z80" s="190">
        <v>0.98682404999999995</v>
      </c>
      <c r="AA80" s="62">
        <v>0.99019137999999995</v>
      </c>
      <c r="AB80" s="62">
        <v>1.8384885E-2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1.8774319999999989</v>
      </c>
      <c r="AN80" s="122">
        <f t="shared" si="5"/>
        <v>1.5040399999999963</v>
      </c>
      <c r="AO80" s="122">
        <f t="shared" si="6"/>
        <v>1.2922999999998019E-4</v>
      </c>
      <c r="AP80" s="122">
        <f t="shared" si="7"/>
        <v>4.9839999999989892E-4</v>
      </c>
      <c r="AQ80" s="88">
        <f t="shared" si="8"/>
        <v>-7.8184789999999997E-3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37.360393999999999</v>
      </c>
      <c r="G81" s="190">
        <v>41.401468999999999</v>
      </c>
      <c r="H81" s="190">
        <v>0.99109287000000001</v>
      </c>
      <c r="I81" s="62">
        <v>0.99487776999999999</v>
      </c>
      <c r="J81" s="62">
        <v>1.9950002000000001E-2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39.779383000000003</v>
      </c>
      <c r="Y81" s="190">
        <v>43.268241000000003</v>
      </c>
      <c r="Z81" s="190">
        <v>0.99117635999999998</v>
      </c>
      <c r="AA81" s="62">
        <v>0.99567439999999996</v>
      </c>
      <c r="AB81" s="62">
        <v>1.2500397E-2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2.4189890000000034</v>
      </c>
      <c r="AN81" s="122">
        <f t="shared" si="5"/>
        <v>1.8667720000000045</v>
      </c>
      <c r="AO81" s="122">
        <f t="shared" si="6"/>
        <v>8.3489999999963871E-5</v>
      </c>
      <c r="AP81" s="122">
        <f t="shared" si="7"/>
        <v>7.9662999999996487E-4</v>
      </c>
      <c r="AQ81" s="88">
        <f t="shared" si="8"/>
        <v>-7.4496050000000015E-3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26.963075</v>
      </c>
      <c r="G83" s="97">
        <v>32.120189000000003</v>
      </c>
      <c r="H83" s="97">
        <v>0.95462179999999996</v>
      </c>
      <c r="I83" s="60">
        <v>0.95483320000000005</v>
      </c>
      <c r="J83" s="60">
        <v>7.4974540000000006E-2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27.635625000000001</v>
      </c>
      <c r="Y83" s="97">
        <v>33.754114999999999</v>
      </c>
      <c r="Z83" s="97">
        <v>0.95473397999999998</v>
      </c>
      <c r="AA83" s="60">
        <v>0.95689044000000001</v>
      </c>
      <c r="AB83" s="60">
        <v>6.1886452000000002E-2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0.67255000000000109</v>
      </c>
      <c r="AN83" s="96">
        <f t="shared" si="5"/>
        <v>1.6339259999999953</v>
      </c>
      <c r="AO83" s="96">
        <f t="shared" si="6"/>
        <v>1.1218000000001727E-4</v>
      </c>
      <c r="AP83" s="96">
        <f t="shared" si="7"/>
        <v>2.0572399999999602E-3</v>
      </c>
      <c r="AQ83" s="121">
        <f t="shared" si="8"/>
        <v>-1.3088088000000005E-2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30.591602999999999</v>
      </c>
      <c r="G84" s="190">
        <v>35.207272000000003</v>
      </c>
      <c r="H84" s="190">
        <v>0.97541928</v>
      </c>
      <c r="I84" s="62">
        <v>0.97389921999999995</v>
      </c>
      <c r="J84" s="62">
        <v>4.3672200000000001E-2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31.711257</v>
      </c>
      <c r="Y84" s="190">
        <v>36.778218000000003</v>
      </c>
      <c r="Z84" s="190">
        <v>0.97531853999999996</v>
      </c>
      <c r="AA84" s="62">
        <v>0.97546204000000003</v>
      </c>
      <c r="AB84" s="62">
        <v>3.3254195E-2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1.1196540000000006</v>
      </c>
      <c r="AN84" s="122">
        <f t="shared" si="5"/>
        <v>1.5709459999999993</v>
      </c>
      <c r="AO84" s="122">
        <f t="shared" si="6"/>
        <v>-1.0074000000004357E-4</v>
      </c>
      <c r="AP84" s="122">
        <f t="shared" si="7"/>
        <v>1.5628200000000758E-3</v>
      </c>
      <c r="AQ84" s="88">
        <f t="shared" si="8"/>
        <v>-1.0418005000000001E-2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34.832658000000002</v>
      </c>
      <c r="G85" s="190">
        <v>38.982447999999998</v>
      </c>
      <c r="H85" s="190">
        <v>0.98804689000000001</v>
      </c>
      <c r="I85" s="62">
        <v>0.99057287000000005</v>
      </c>
      <c r="J85" s="62">
        <v>2.4423534E-2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36.821568999999997</v>
      </c>
      <c r="Y85" s="190">
        <v>40.676374000000003</v>
      </c>
      <c r="Z85" s="190">
        <v>0.98791256999999999</v>
      </c>
      <c r="AA85" s="62">
        <v>0.99128558</v>
      </c>
      <c r="AB85" s="62">
        <v>1.5959408000000001E-2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1.9889109999999945</v>
      </c>
      <c r="AN85" s="122">
        <f t="shared" si="5"/>
        <v>1.6939260000000047</v>
      </c>
      <c r="AO85" s="122">
        <f t="shared" si="6"/>
        <v>-1.3432000000002109E-4</v>
      </c>
      <c r="AP85" s="122">
        <f t="shared" si="7"/>
        <v>7.1270999999994977E-4</v>
      </c>
      <c r="AQ85" s="88">
        <f t="shared" si="8"/>
        <v>-8.4641259999999989E-3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37.568697999999998</v>
      </c>
      <c r="G86" s="190">
        <v>41.660629999999998</v>
      </c>
      <c r="H86" s="190">
        <v>0.99250609000000001</v>
      </c>
      <c r="I86" s="62">
        <v>0.99544147000000005</v>
      </c>
      <c r="J86" s="62">
        <v>1.7680545999999998E-2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39.972960999999998</v>
      </c>
      <c r="Y86" s="190">
        <v>43.479275999999999</v>
      </c>
      <c r="Z86" s="190">
        <v>0.99237083000000004</v>
      </c>
      <c r="AA86" s="62">
        <v>0.99593292</v>
      </c>
      <c r="AB86" s="62">
        <v>9.4038530000000002E-3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2.4042630000000003</v>
      </c>
      <c r="AN86" s="122">
        <f t="shared" si="5"/>
        <v>1.8186460000000011</v>
      </c>
      <c r="AO86" s="122">
        <f t="shared" si="6"/>
        <v>-1.352599999999704E-4</v>
      </c>
      <c r="AP86" s="122">
        <f t="shared" si="7"/>
        <v>4.9144999999994887E-4</v>
      </c>
      <c r="AQ86" s="88">
        <f t="shared" si="8"/>
        <v>-8.2766929999999982E-3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27.114550000000001</v>
      </c>
      <c r="G88" s="97">
        <v>32.271419999999999</v>
      </c>
      <c r="H88" s="97">
        <v>0.95618983000000002</v>
      </c>
      <c r="I88" s="60">
        <v>0.95408546999999999</v>
      </c>
      <c r="J88" s="60">
        <v>7.0601225000000004E-2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27.767012999999999</v>
      </c>
      <c r="Y88" s="97">
        <v>33.907179999999997</v>
      </c>
      <c r="Z88" s="97">
        <v>0.95648012000000004</v>
      </c>
      <c r="AA88" s="60">
        <v>0.95626113000000001</v>
      </c>
      <c r="AB88" s="60">
        <v>5.7373486000000001E-2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0.65246299999999735</v>
      </c>
      <c r="AN88" s="96">
        <f t="shared" si="5"/>
        <v>1.6357599999999977</v>
      </c>
      <c r="AO88" s="96">
        <f t="shared" si="6"/>
        <v>2.9029000000002636E-4</v>
      </c>
      <c r="AP88" s="96">
        <f t="shared" si="7"/>
        <v>2.1756600000000237E-3</v>
      </c>
      <c r="AQ88" s="121">
        <f t="shared" si="8"/>
        <v>-1.3227739000000002E-2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30.671133999999999</v>
      </c>
      <c r="G89" s="190">
        <v>35.282074000000001</v>
      </c>
      <c r="H89" s="190">
        <v>0.97538983000000001</v>
      </c>
      <c r="I89" s="62">
        <v>0.97235013000000003</v>
      </c>
      <c r="J89" s="62">
        <v>4.2192522000000003E-2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31.829888</v>
      </c>
      <c r="Y89" s="190">
        <v>36.897680999999999</v>
      </c>
      <c r="Z89" s="190">
        <v>0.97560586999999999</v>
      </c>
      <c r="AA89" s="62">
        <v>0.97453754000000004</v>
      </c>
      <c r="AB89" s="62">
        <v>3.1049357999999999E-2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1.1587540000000018</v>
      </c>
      <c r="AN89" s="122">
        <f t="shared" si="5"/>
        <v>1.6156069999999971</v>
      </c>
      <c r="AO89" s="122">
        <f t="shared" si="6"/>
        <v>2.1603999999997292E-4</v>
      </c>
      <c r="AP89" s="122">
        <f t="shared" si="7"/>
        <v>2.1874100000000007E-3</v>
      </c>
      <c r="AQ89" s="88">
        <f t="shared" si="8"/>
        <v>-1.1143164000000004E-2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34.997312999999998</v>
      </c>
      <c r="G90" s="190">
        <v>39.150410000000001</v>
      </c>
      <c r="H90" s="190">
        <v>0.98810282000000005</v>
      </c>
      <c r="I90" s="62">
        <v>0.99037629000000005</v>
      </c>
      <c r="J90" s="62">
        <v>2.4090877E-2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37.118406</v>
      </c>
      <c r="Y90" s="190">
        <v>40.920183999999999</v>
      </c>
      <c r="Z90" s="190">
        <v>0.98822697999999998</v>
      </c>
      <c r="AA90" s="62">
        <v>0.99120443000000003</v>
      </c>
      <c r="AB90" s="62">
        <v>1.5059793E-2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2.1210930000000019</v>
      </c>
      <c r="AN90" s="122">
        <f t="shared" si="5"/>
        <v>1.7697739999999982</v>
      </c>
      <c r="AO90" s="122">
        <f t="shared" si="6"/>
        <v>1.2415999999992877E-4</v>
      </c>
      <c r="AP90" s="122">
        <f t="shared" si="7"/>
        <v>8.2813999999997723E-4</v>
      </c>
      <c r="AQ90" s="88">
        <f t="shared" si="8"/>
        <v>-9.031084E-3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37.661011000000002</v>
      </c>
      <c r="G91" s="190">
        <v>41.763508999999999</v>
      </c>
      <c r="H91" s="190">
        <v>0.99246385999999998</v>
      </c>
      <c r="I91" s="62">
        <v>0.99532761999999997</v>
      </c>
      <c r="J91" s="62">
        <v>1.7785002000000001E-2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40.381621000000003</v>
      </c>
      <c r="Y91" s="190">
        <v>43.825952999999998</v>
      </c>
      <c r="Z91" s="190">
        <v>0.99256385999999996</v>
      </c>
      <c r="AA91" s="62">
        <v>0.99615624999999997</v>
      </c>
      <c r="AB91" s="62">
        <v>8.8700370000000008E-3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2.7206100000000006</v>
      </c>
      <c r="AN91" s="122">
        <f t="shared" si="5"/>
        <v>2.0624439999999993</v>
      </c>
      <c r="AO91" s="122">
        <f t="shared" si="6"/>
        <v>9.9999999999988987E-5</v>
      </c>
      <c r="AP91" s="122">
        <f t="shared" si="7"/>
        <v>8.2862999999999687E-4</v>
      </c>
      <c r="AQ91" s="88">
        <f t="shared" si="8"/>
        <v>-8.9149650000000004E-3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27.202297999999999</v>
      </c>
      <c r="G93" s="97">
        <v>32.386859000000001</v>
      </c>
      <c r="H93" s="97">
        <v>0.95735431999999998</v>
      </c>
      <c r="I93" s="60">
        <v>0.95384888999999995</v>
      </c>
      <c r="J93" s="60">
        <v>6.6542840000000006E-2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27.801341000000001</v>
      </c>
      <c r="Y93" s="97">
        <v>33.925890000000003</v>
      </c>
      <c r="Z93" s="97">
        <v>0.95761229999999997</v>
      </c>
      <c r="AA93" s="60">
        <v>0.95519916000000005</v>
      </c>
      <c r="AB93" s="60">
        <v>5.5074339999999999E-2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0.59904300000000177</v>
      </c>
      <c r="AN93" s="96">
        <f t="shared" si="5"/>
        <v>1.5390310000000014</v>
      </c>
      <c r="AO93" s="96">
        <f t="shared" si="6"/>
        <v>2.5797999999999099E-4</v>
      </c>
      <c r="AP93" s="96">
        <f t="shared" si="7"/>
        <v>1.3502700000000978E-3</v>
      </c>
      <c r="AQ93" s="121">
        <f t="shared" si="8"/>
        <v>-1.1468500000000006E-2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30.801442999999999</v>
      </c>
      <c r="G94" s="190">
        <v>35.390521</v>
      </c>
      <c r="H94" s="190">
        <v>0.97566615999999995</v>
      </c>
      <c r="I94" s="62">
        <v>0.97055415</v>
      </c>
      <c r="J94" s="62">
        <v>3.9504091999999998E-2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31.937069000000001</v>
      </c>
      <c r="Y94" s="190">
        <v>36.955984000000001</v>
      </c>
      <c r="Z94" s="190">
        <v>0.97592378999999996</v>
      </c>
      <c r="AA94" s="62">
        <v>0.97335092999999995</v>
      </c>
      <c r="AB94" s="62">
        <v>2.9617808999999998E-2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1.135626000000002</v>
      </c>
      <c r="AN94" s="122">
        <f t="shared" si="5"/>
        <v>1.5654630000000012</v>
      </c>
      <c r="AO94" s="122">
        <f t="shared" si="6"/>
        <v>2.5763000000000869E-4</v>
      </c>
      <c r="AP94" s="122">
        <f t="shared" si="7"/>
        <v>2.7967799999999432E-3</v>
      </c>
      <c r="AQ94" s="88">
        <f t="shared" si="8"/>
        <v>-9.8862829999999992E-3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35.196044999999998</v>
      </c>
      <c r="G95" s="190">
        <v>39.323577999999998</v>
      </c>
      <c r="H95" s="190">
        <v>0.98820056999999994</v>
      </c>
      <c r="I95" s="62">
        <v>0.98988584000000002</v>
      </c>
      <c r="J95" s="62">
        <v>2.2761915000000001E-2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37.296092999999999</v>
      </c>
      <c r="Y95" s="190">
        <v>41.017122000000001</v>
      </c>
      <c r="Z95" s="190">
        <v>0.98834770000000005</v>
      </c>
      <c r="AA95" s="62">
        <v>0.99068984999999998</v>
      </c>
      <c r="AB95" s="62">
        <v>1.4703653000000001E-2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2.100048000000001</v>
      </c>
      <c r="AN95" s="122">
        <f t="shared" si="5"/>
        <v>1.6935440000000028</v>
      </c>
      <c r="AO95" s="122">
        <f t="shared" si="6"/>
        <v>1.4713000000010634E-4</v>
      </c>
      <c r="AP95" s="122">
        <f t="shared" si="7"/>
        <v>8.0400999999996614E-4</v>
      </c>
      <c r="AQ95" s="88">
        <f t="shared" si="8"/>
        <v>-8.0582620000000001E-3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37.755116000000001</v>
      </c>
      <c r="G96" s="190">
        <v>41.835341</v>
      </c>
      <c r="H96" s="190">
        <v>0.99243813999999997</v>
      </c>
      <c r="I96" s="62">
        <v>0.99515463000000004</v>
      </c>
      <c r="J96" s="62">
        <v>1.6902469999999999E-2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40.480950999999997</v>
      </c>
      <c r="Y96" s="190">
        <v>43.892659999999999</v>
      </c>
      <c r="Z96" s="190">
        <v>0.99255762999999997</v>
      </c>
      <c r="AA96" s="62">
        <v>0.99613706999999996</v>
      </c>
      <c r="AB96" s="62">
        <v>8.6838699999999998E-3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2.7258349999999965</v>
      </c>
      <c r="AN96" s="122">
        <f t="shared" si="5"/>
        <v>2.0573189999999997</v>
      </c>
      <c r="AO96" s="122">
        <f t="shared" si="6"/>
        <v>1.1948999999999987E-4</v>
      </c>
      <c r="AP96" s="122">
        <f t="shared" si="7"/>
        <v>9.8243999999991782E-4</v>
      </c>
      <c r="AQ96" s="88">
        <f t="shared" si="8"/>
        <v>-8.2185999999999995E-3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27.328194</v>
      </c>
      <c r="G98" s="97">
        <v>32.482353000000003</v>
      </c>
      <c r="H98" s="97">
        <v>0.95786501999999996</v>
      </c>
      <c r="I98" s="60">
        <v>0.95428961999999995</v>
      </c>
      <c r="J98" s="60">
        <v>6.6073634000000006E-2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27.953305</v>
      </c>
      <c r="Y98" s="97">
        <v>34.034835999999999</v>
      </c>
      <c r="Z98" s="97">
        <v>0.95807673000000004</v>
      </c>
      <c r="AA98" s="60">
        <v>0.95627191</v>
      </c>
      <c r="AB98" s="60">
        <v>5.4873902000000002E-2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0.62511100000000042</v>
      </c>
      <c r="AN98" s="96">
        <f t="shared" si="15"/>
        <v>1.5524829999999952</v>
      </c>
      <c r="AO98" s="96">
        <f t="shared" si="16"/>
        <v>2.1171000000008711E-4</v>
      </c>
      <c r="AP98" s="96">
        <f t="shared" si="17"/>
        <v>1.9822900000000532E-3</v>
      </c>
      <c r="AQ98" s="121">
        <f t="shared" si="18"/>
        <v>-1.1199732000000004E-2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30.811927000000001</v>
      </c>
      <c r="G99" s="190">
        <v>35.395769999999999</v>
      </c>
      <c r="H99" s="190">
        <v>0.9757072</v>
      </c>
      <c r="I99" s="62">
        <v>0.97141584999999997</v>
      </c>
      <c r="J99" s="62">
        <v>4.015581E-2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31.942077000000001</v>
      </c>
      <c r="Y99" s="190">
        <v>36.962515000000003</v>
      </c>
      <c r="Z99" s="190">
        <v>0.97589672000000005</v>
      </c>
      <c r="AA99" s="62">
        <v>0.97401762999999997</v>
      </c>
      <c r="AB99" s="62">
        <v>3.0685069999999998E-2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1.1301500000000004</v>
      </c>
      <c r="AN99" s="122">
        <f t="shared" si="15"/>
        <v>1.5667450000000045</v>
      </c>
      <c r="AO99" s="122">
        <f t="shared" si="16"/>
        <v>1.8952000000005409E-4</v>
      </c>
      <c r="AP99" s="122">
        <f t="shared" si="17"/>
        <v>2.601779999999998E-3</v>
      </c>
      <c r="AQ99" s="88">
        <f t="shared" si="18"/>
        <v>-9.4707400000000018E-3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35.137132000000001</v>
      </c>
      <c r="G100" s="190">
        <v>39.275651000000003</v>
      </c>
      <c r="H100" s="190">
        <v>0.98814093000000003</v>
      </c>
      <c r="I100" s="62">
        <v>0.98978166999999995</v>
      </c>
      <c r="J100" s="62">
        <v>2.3735850999999999E-2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37.184851999999999</v>
      </c>
      <c r="Y100" s="190">
        <v>40.951613000000002</v>
      </c>
      <c r="Z100" s="190">
        <v>0.98823841999999995</v>
      </c>
      <c r="AA100" s="62">
        <v>0.99058142000000005</v>
      </c>
      <c r="AB100" s="62">
        <v>1.5503673000000001E-2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2.0477199999999982</v>
      </c>
      <c r="AN100" s="122">
        <f t="shared" si="15"/>
        <v>1.6759619999999984</v>
      </c>
      <c r="AO100" s="122">
        <f t="shared" si="16"/>
        <v>9.7489999999922361E-5</v>
      </c>
      <c r="AP100" s="122">
        <f t="shared" si="17"/>
        <v>7.9975000000009899E-4</v>
      </c>
      <c r="AQ100" s="88">
        <f t="shared" si="18"/>
        <v>-8.232177999999998E-3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37.754162000000001</v>
      </c>
      <c r="G101" s="190">
        <v>41.827857999999999</v>
      </c>
      <c r="H101" s="190">
        <v>0.99244491999999995</v>
      </c>
      <c r="I101" s="62">
        <v>0.99522845999999998</v>
      </c>
      <c r="J101" s="62">
        <v>1.7600418999999999E-2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40.403444999999998</v>
      </c>
      <c r="Y101" s="190">
        <v>43.855314</v>
      </c>
      <c r="Z101" s="190">
        <v>0.99252810000000002</v>
      </c>
      <c r="AA101" s="62">
        <v>0.99611251000000001</v>
      </c>
      <c r="AB101" s="62">
        <v>9.4726849999999998E-3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2.6492829999999969</v>
      </c>
      <c r="AN101" s="122">
        <f t="shared" si="15"/>
        <v>2.0274560000000008</v>
      </c>
      <c r="AO101" s="122">
        <f t="shared" si="16"/>
        <v>8.318000000007153E-5</v>
      </c>
      <c r="AP101" s="122">
        <f t="shared" si="17"/>
        <v>8.8405000000002509E-4</v>
      </c>
      <c r="AQ101" s="88">
        <f t="shared" si="18"/>
        <v>-8.1277339999999993E-3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27.278324999999999</v>
      </c>
      <c r="G103" s="97">
        <v>32.252378</v>
      </c>
      <c r="H103" s="97">
        <v>0.95609765999999996</v>
      </c>
      <c r="I103" s="60">
        <v>0.95473774</v>
      </c>
      <c r="J103" s="60">
        <v>6.8340084999999995E-2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27.834053000000001</v>
      </c>
      <c r="Y103" s="97">
        <v>33.477611000000003</v>
      </c>
      <c r="Z103" s="97">
        <v>0.95618546000000004</v>
      </c>
      <c r="AA103" s="60">
        <v>0.9565728</v>
      </c>
      <c r="AB103" s="60">
        <v>5.7742395000000002E-2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0.555728000000002</v>
      </c>
      <c r="AN103" s="96">
        <f t="shared" si="15"/>
        <v>1.2252330000000029</v>
      </c>
      <c r="AO103" s="96">
        <f t="shared" si="16"/>
        <v>8.7800000000082257E-5</v>
      </c>
      <c r="AP103" s="96">
        <f t="shared" si="17"/>
        <v>1.8350599999999995E-3</v>
      </c>
      <c r="AQ103" s="121">
        <f t="shared" si="18"/>
        <v>-1.0597689999999993E-2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30.613520999999999</v>
      </c>
      <c r="G104" s="190">
        <v>35.094991999999998</v>
      </c>
      <c r="H104" s="190">
        <v>0.97476379000000002</v>
      </c>
      <c r="I104" s="62">
        <v>0.97251279000000002</v>
      </c>
      <c r="J104" s="62">
        <v>4.1671406000000001E-2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31.58586</v>
      </c>
      <c r="Y104" s="190">
        <v>36.337786000000001</v>
      </c>
      <c r="Z104" s="190">
        <v>0.97485175000000002</v>
      </c>
      <c r="AA104" s="62">
        <v>0.97484064999999998</v>
      </c>
      <c r="AB104" s="62">
        <v>3.2555357E-2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0.97233900000000162</v>
      </c>
      <c r="AN104" s="122">
        <f t="shared" si="15"/>
        <v>1.2427940000000035</v>
      </c>
      <c r="AO104" s="122">
        <f t="shared" si="16"/>
        <v>8.795999999999804E-5</v>
      </c>
      <c r="AP104" s="122">
        <f t="shared" si="17"/>
        <v>2.3278599999999594E-3</v>
      </c>
      <c r="AQ104" s="88">
        <f t="shared" si="18"/>
        <v>-9.1160490000000011E-3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34.799374999999998</v>
      </c>
      <c r="G105" s="190">
        <v>38.913462000000003</v>
      </c>
      <c r="H105" s="190">
        <v>0.98733037999999995</v>
      </c>
      <c r="I105" s="62">
        <v>0.98957368000000001</v>
      </c>
      <c r="J105" s="62">
        <v>2.4812325999999999E-2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36.375585999999998</v>
      </c>
      <c r="Y105" s="190">
        <v>40.157989999999998</v>
      </c>
      <c r="Z105" s="190">
        <v>0.98726364</v>
      </c>
      <c r="AA105" s="62">
        <v>0.99018063999999995</v>
      </c>
      <c r="AB105" s="62">
        <v>1.7092178E-2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1.5762110000000007</v>
      </c>
      <c r="AN105" s="122">
        <f t="shared" si="15"/>
        <v>1.2445279999999954</v>
      </c>
      <c r="AO105" s="122">
        <f t="shared" si="16"/>
        <v>-6.6739999999954058E-5</v>
      </c>
      <c r="AP105" s="122">
        <f t="shared" si="17"/>
        <v>6.0695999999993422E-4</v>
      </c>
      <c r="AQ105" s="88">
        <f t="shared" si="18"/>
        <v>-7.7201479999999996E-3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37.480200000000004</v>
      </c>
      <c r="G106" s="190">
        <v>41.513464999999997</v>
      </c>
      <c r="H106" s="190">
        <v>0.99190233999999999</v>
      </c>
      <c r="I106" s="62">
        <v>0.99496264999999995</v>
      </c>
      <c r="J106" s="62">
        <v>1.8384662999999999E-2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39.403500999999999</v>
      </c>
      <c r="Y106" s="190">
        <v>42.917454999999997</v>
      </c>
      <c r="Z106" s="190">
        <v>0.99181470000000005</v>
      </c>
      <c r="AA106" s="62">
        <v>0.99565276000000003</v>
      </c>
      <c r="AB106" s="62">
        <v>1.065577E-2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1.923300999999995</v>
      </c>
      <c r="AN106" s="122">
        <f t="shared" si="15"/>
        <v>1.4039900000000003</v>
      </c>
      <c r="AO106" s="122">
        <f t="shared" si="16"/>
        <v>-8.7639999999944429E-5</v>
      </c>
      <c r="AP106" s="122">
        <f t="shared" si="17"/>
        <v>6.9011000000007705E-4</v>
      </c>
      <c r="AQ106" s="88">
        <f t="shared" si="18"/>
        <v>-7.7288929999999988E-3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/>
      <c r="G108" s="97"/>
      <c r="H108" s="97"/>
      <c r="I108" s="60"/>
      <c r="J108" s="60"/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/>
      <c r="G109" s="190"/>
      <c r="H109" s="190"/>
      <c r="I109" s="62"/>
      <c r="J109" s="62"/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/>
      <c r="G110" s="190"/>
      <c r="H110" s="190"/>
      <c r="I110" s="62"/>
      <c r="J110" s="62"/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/>
      <c r="G111" s="190"/>
      <c r="H111" s="190"/>
      <c r="I111" s="62"/>
      <c r="J111" s="62"/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/>
      <c r="G113" s="97"/>
      <c r="H113" s="97"/>
      <c r="I113" s="60"/>
      <c r="J113" s="60"/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/>
      <c r="G114" s="190"/>
      <c r="H114" s="190"/>
      <c r="I114" s="62"/>
      <c r="J114" s="62"/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/>
      <c r="G115" s="190"/>
      <c r="H115" s="190"/>
      <c r="I115" s="62"/>
      <c r="J115" s="62"/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/>
      <c r="G116" s="190"/>
      <c r="H116" s="190"/>
      <c r="I116" s="62"/>
      <c r="J116" s="62"/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/>
      <c r="G118" s="97"/>
      <c r="H118" s="97"/>
      <c r="I118" s="60"/>
      <c r="J118" s="60"/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/>
      <c r="G119" s="190"/>
      <c r="H119" s="190"/>
      <c r="I119" s="62"/>
      <c r="J119" s="62"/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/>
      <c r="G120" s="190"/>
      <c r="H120" s="190"/>
      <c r="I120" s="62"/>
      <c r="J120" s="62"/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/>
      <c r="G121" s="190"/>
      <c r="H121" s="190"/>
      <c r="I121" s="62"/>
      <c r="J121" s="62"/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/>
      <c r="G123" s="97"/>
      <c r="H123" s="97"/>
      <c r="I123" s="60"/>
      <c r="J123" s="60"/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/>
      <c r="G124" s="190"/>
      <c r="H124" s="190"/>
      <c r="I124" s="62"/>
      <c r="J124" s="62"/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/>
      <c r="G125" s="190"/>
      <c r="H125" s="190"/>
      <c r="I125" s="62"/>
      <c r="J125" s="62"/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/>
      <c r="G126" s="190"/>
      <c r="H126" s="190"/>
      <c r="I126" s="62"/>
      <c r="J126" s="62"/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/>
      <c r="G128" s="97"/>
      <c r="H128" s="97"/>
      <c r="I128" s="60"/>
      <c r="J128" s="60"/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/>
      <c r="G129" s="190"/>
      <c r="H129" s="190"/>
      <c r="I129" s="62"/>
      <c r="J129" s="62"/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/>
      <c r="G130" s="190"/>
      <c r="H130" s="190"/>
      <c r="I130" s="62"/>
      <c r="J130" s="62"/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/>
      <c r="G131" s="190"/>
      <c r="H131" s="190"/>
      <c r="I131" s="62"/>
      <c r="J131" s="62"/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/>
      <c r="G133" s="97"/>
      <c r="H133" s="97"/>
      <c r="I133" s="60"/>
      <c r="J133" s="60"/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/>
      <c r="G134" s="190"/>
      <c r="H134" s="190"/>
      <c r="I134" s="62"/>
      <c r="J134" s="62"/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/>
      <c r="G135" s="190"/>
      <c r="H135" s="190"/>
      <c r="I135" s="62"/>
      <c r="J135" s="62"/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/>
      <c r="G136" s="190"/>
      <c r="H136" s="190"/>
      <c r="I136" s="62"/>
      <c r="J136" s="62"/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26.822709</v>
      </c>
      <c r="G641" s="136">
        <f t="shared" si="59"/>
        <v>31.894273999999999</v>
      </c>
      <c r="H641" s="136">
        <f t="shared" si="59"/>
        <v>0.95462179999999996</v>
      </c>
      <c r="I641" s="136">
        <f t="shared" si="59"/>
        <v>0.94974391000000002</v>
      </c>
      <c r="J641" s="136">
        <f t="shared" si="59"/>
        <v>6.4277420000000002E-2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27.269041000000001</v>
      </c>
      <c r="Y641" s="136">
        <f t="shared" si="60"/>
        <v>33.296163999999997</v>
      </c>
      <c r="Z641" s="136">
        <f t="shared" si="60"/>
        <v>0.95473397999999998</v>
      </c>
      <c r="AA641" s="136">
        <f t="shared" si="60"/>
        <v>0.95246131000000001</v>
      </c>
      <c r="AB641" s="136">
        <f t="shared" si="60"/>
        <v>5.3417239999999998E-2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30.535499999999999</v>
      </c>
      <c r="G642" s="18">
        <f t="shared" si="59"/>
        <v>34.941802000000003</v>
      </c>
      <c r="H642" s="18">
        <f t="shared" si="59"/>
        <v>0.97325649000000003</v>
      </c>
      <c r="I642" s="18">
        <f t="shared" si="59"/>
        <v>0.97055415</v>
      </c>
      <c r="J642" s="18">
        <f t="shared" si="59"/>
        <v>3.9504091999999998E-2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31.548856000000001</v>
      </c>
      <c r="Y642" s="18">
        <f t="shared" si="60"/>
        <v>36.295296</v>
      </c>
      <c r="Z642" s="18">
        <f t="shared" si="60"/>
        <v>0.97333312999999999</v>
      </c>
      <c r="AA642" s="18">
        <f t="shared" si="60"/>
        <v>0.97335092999999995</v>
      </c>
      <c r="AB642" s="18">
        <f t="shared" si="60"/>
        <v>2.9617808999999998E-2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34.799374999999998</v>
      </c>
      <c r="G643" s="18">
        <f t="shared" si="59"/>
        <v>38.913462000000003</v>
      </c>
      <c r="H643" s="18">
        <f t="shared" si="59"/>
        <v>0.98639427000000002</v>
      </c>
      <c r="I643" s="18">
        <f t="shared" si="59"/>
        <v>0.98957368000000001</v>
      </c>
      <c r="J643" s="18">
        <f t="shared" si="59"/>
        <v>2.2761915000000001E-2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36.375585999999998</v>
      </c>
      <c r="Y643" s="18">
        <f t="shared" si="60"/>
        <v>40.157989999999998</v>
      </c>
      <c r="Z643" s="18">
        <f t="shared" si="60"/>
        <v>0.98655623000000003</v>
      </c>
      <c r="AA643" s="18">
        <f t="shared" si="60"/>
        <v>0.99018063999999995</v>
      </c>
      <c r="AB643" s="18">
        <f t="shared" si="60"/>
        <v>1.4703653000000001E-2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37.247562000000002</v>
      </c>
      <c r="G644" s="18">
        <f t="shared" si="59"/>
        <v>41.294356000000001</v>
      </c>
      <c r="H644" s="18">
        <f t="shared" si="59"/>
        <v>0.99092533999999999</v>
      </c>
      <c r="I644" s="18">
        <f t="shared" si="59"/>
        <v>0.99484271999999996</v>
      </c>
      <c r="J644" s="18">
        <f t="shared" si="59"/>
        <v>1.6902469999999999E-2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39.403500999999999</v>
      </c>
      <c r="Y644" s="18">
        <f t="shared" si="60"/>
        <v>42.917454999999997</v>
      </c>
      <c r="Z644" s="18">
        <f t="shared" si="60"/>
        <v>0.99104535000000005</v>
      </c>
      <c r="AA644" s="18">
        <f t="shared" si="60"/>
        <v>0.99559531999999995</v>
      </c>
      <c r="AB644" s="18">
        <f t="shared" si="60"/>
        <v>8.6838699999999998E-3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27.461846000000001</v>
      </c>
      <c r="G646" s="136">
        <f t="shared" si="61"/>
        <v>32.512600999999997</v>
      </c>
      <c r="H646" s="136">
        <f t="shared" si="61"/>
        <v>0.95837852999999995</v>
      </c>
      <c r="I646" s="136">
        <f t="shared" si="61"/>
        <v>0.95539302999999998</v>
      </c>
      <c r="J646" s="136">
        <f t="shared" si="61"/>
        <v>7.4974540000000006E-2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28.046126000000001</v>
      </c>
      <c r="Y646" s="136">
        <f t="shared" si="62"/>
        <v>34.034835999999999</v>
      </c>
      <c r="Z646" s="136">
        <f t="shared" si="62"/>
        <v>0.95878090999999999</v>
      </c>
      <c r="AA646" s="136">
        <f t="shared" si="62"/>
        <v>0.95724854000000004</v>
      </c>
      <c r="AB646" s="136">
        <f t="shared" si="62"/>
        <v>6.1886452000000002E-2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30.87134</v>
      </c>
      <c r="G647" s="18">
        <f t="shared" si="61"/>
        <v>35.446496000000003</v>
      </c>
      <c r="H647" s="18">
        <f t="shared" si="61"/>
        <v>0.97574711000000003</v>
      </c>
      <c r="I647" s="18">
        <f t="shared" si="61"/>
        <v>0.97445409000000005</v>
      </c>
      <c r="J647" s="18">
        <f t="shared" si="61"/>
        <v>4.5896985000000001E-2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31.993285</v>
      </c>
      <c r="Y647" s="18">
        <f t="shared" si="62"/>
        <v>37.040123999999999</v>
      </c>
      <c r="Z647" s="18">
        <f t="shared" si="62"/>
        <v>0.97592378999999996</v>
      </c>
      <c r="AA647" s="18">
        <f t="shared" si="62"/>
        <v>0.97616906999999997</v>
      </c>
      <c r="AB647" s="18">
        <f t="shared" si="62"/>
        <v>3.7360575E-2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35.254483</v>
      </c>
      <c r="G648" s="18">
        <f t="shared" si="61"/>
        <v>39.365321999999999</v>
      </c>
      <c r="H648" s="18">
        <f t="shared" si="61"/>
        <v>0.98820056999999994</v>
      </c>
      <c r="I648" s="18">
        <f t="shared" si="61"/>
        <v>0.99057287000000005</v>
      </c>
      <c r="J648" s="18">
        <f t="shared" si="61"/>
        <v>2.7892190000000001E-2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37.407972999999998</v>
      </c>
      <c r="Y648" s="18">
        <f t="shared" si="62"/>
        <v>41.099300999999997</v>
      </c>
      <c r="Z648" s="18">
        <f t="shared" si="62"/>
        <v>0.98834770000000005</v>
      </c>
      <c r="AA648" s="18">
        <f t="shared" si="62"/>
        <v>0.99128558</v>
      </c>
      <c r="AB648" s="18">
        <f t="shared" si="62"/>
        <v>1.9894599999999998E-2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37.821803000000003</v>
      </c>
      <c r="G649" s="18">
        <f t="shared" si="61"/>
        <v>41.911560999999999</v>
      </c>
      <c r="H649" s="18">
        <f t="shared" si="61"/>
        <v>0.99250609000000001</v>
      </c>
      <c r="I649" s="18">
        <f t="shared" si="61"/>
        <v>0.99554823000000003</v>
      </c>
      <c r="J649" s="18">
        <f t="shared" si="61"/>
        <v>2.0623737999999999E-2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40.625072000000003</v>
      </c>
      <c r="Y649" s="18">
        <f t="shared" si="62"/>
        <v>44.018042000000001</v>
      </c>
      <c r="Z649" s="18">
        <f t="shared" si="62"/>
        <v>0.99257868999999999</v>
      </c>
      <c r="AA649" s="18">
        <f t="shared" si="62"/>
        <v>0.99624314999999997</v>
      </c>
      <c r="AB649" s="18">
        <f t="shared" si="62"/>
        <v>1.3416391E-2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0.63913700000000162</v>
      </c>
      <c r="G651" s="136">
        <f t="shared" si="63"/>
        <v>0.61832699999999718</v>
      </c>
      <c r="H651" s="136">
        <f t="shared" si="63"/>
        <v>3.7567299999999859E-3</v>
      </c>
      <c r="I651" s="136">
        <f t="shared" si="63"/>
        <v>5.649119999999952E-3</v>
      </c>
      <c r="J651" s="136">
        <f t="shared" si="63"/>
        <v>1.0697120000000004E-2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0.77708499999999958</v>
      </c>
      <c r="Y651" s="136">
        <f t="shared" si="64"/>
        <v>0.73867200000000111</v>
      </c>
      <c r="Z651" s="136">
        <f t="shared" si="64"/>
        <v>4.0469300000000041E-3</v>
      </c>
      <c r="AA651" s="136">
        <f t="shared" si="64"/>
        <v>4.7872300000000312E-3</v>
      </c>
      <c r="AB651" s="136">
        <f t="shared" si="64"/>
        <v>8.4692120000000037E-3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0.33584000000000103</v>
      </c>
      <c r="G652" s="18">
        <f t="shared" si="63"/>
        <v>0.50469400000000064</v>
      </c>
      <c r="H652" s="18">
        <f t="shared" si="63"/>
        <v>2.4906199999999989E-3</v>
      </c>
      <c r="I652" s="18">
        <f t="shared" si="63"/>
        <v>3.8999400000000461E-3</v>
      </c>
      <c r="J652" s="18">
        <f t="shared" si="63"/>
        <v>6.3928930000000037E-3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0.44442899999999952</v>
      </c>
      <c r="Y652" s="18">
        <f t="shared" si="64"/>
        <v>0.74482799999999827</v>
      </c>
      <c r="Z652" s="18">
        <f t="shared" si="64"/>
        <v>2.5906599999999669E-3</v>
      </c>
      <c r="AA652" s="18">
        <f t="shared" si="64"/>
        <v>2.8181400000000245E-3</v>
      </c>
      <c r="AB652" s="18">
        <f t="shared" si="64"/>
        <v>7.7427660000000016E-3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0.45510800000000273</v>
      </c>
      <c r="G653" s="18">
        <f t="shared" si="63"/>
        <v>0.45185999999999638</v>
      </c>
      <c r="H653" s="18">
        <f t="shared" si="63"/>
        <v>1.8062999999999274E-3</v>
      </c>
      <c r="I653" s="18">
        <f t="shared" si="63"/>
        <v>9.9919000000003866E-4</v>
      </c>
      <c r="J653" s="18">
        <f t="shared" si="63"/>
        <v>5.1302750000000001E-3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1.0323869999999999</v>
      </c>
      <c r="Y653" s="18">
        <f t="shared" si="64"/>
        <v>0.9413109999999989</v>
      </c>
      <c r="Z653" s="18">
        <f t="shared" si="64"/>
        <v>1.7914700000000172E-3</v>
      </c>
      <c r="AA653" s="18">
        <f t="shared" si="64"/>
        <v>1.1049400000000542E-3</v>
      </c>
      <c r="AB653" s="18">
        <f t="shared" si="64"/>
        <v>5.1909469999999978E-3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0.57424100000000067</v>
      </c>
      <c r="G654" s="18">
        <f t="shared" si="63"/>
        <v>0.61720499999999845</v>
      </c>
      <c r="H654" s="18">
        <f t="shared" si="63"/>
        <v>1.5807500000000196E-3</v>
      </c>
      <c r="I654" s="18">
        <f t="shared" si="63"/>
        <v>7.055100000000758E-4</v>
      </c>
      <c r="J654" s="18">
        <f t="shared" si="63"/>
        <v>3.7212679999999998E-3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1.2215710000000044</v>
      </c>
      <c r="Y654" s="18">
        <f t="shared" si="64"/>
        <v>1.1005870000000044</v>
      </c>
      <c r="Z654" s="18">
        <f t="shared" si="64"/>
        <v>1.5333399999999386E-3</v>
      </c>
      <c r="AA654" s="18">
        <f t="shared" si="64"/>
        <v>6.4783000000001589E-4</v>
      </c>
      <c r="AB654" s="18">
        <f t="shared" si="64"/>
        <v>4.7325209999999999E-3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>
      <selection activeCell="U33" sqref="U33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12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cinema_track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cinema_track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27457.296000000002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30.246270333333335</v>
      </c>
      <c r="G5" s="30">
        <f t="shared" si="0"/>
        <v>33.862599857142854</v>
      </c>
      <c r="H5" s="30">
        <f t="shared" si="0"/>
        <v>0.96684382285714265</v>
      </c>
      <c r="I5" s="91">
        <f t="shared" si="0"/>
        <v>0.97327361047619032</v>
      </c>
      <c r="J5" s="91">
        <f t="shared" si="0"/>
        <v>6.4074182428571436E-2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27221.728000000003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30.527118619047616</v>
      </c>
      <c r="Y5" s="30">
        <f t="shared" si="2"/>
        <v>34.423260904761896</v>
      </c>
      <c r="Z5" s="30">
        <f t="shared" si="2"/>
        <v>0.96684086333333341</v>
      </c>
      <c r="AA5" s="91">
        <f t="shared" si="2"/>
        <v>0.97388099809523831</v>
      </c>
      <c r="AB5" s="91">
        <f t="shared" si="2"/>
        <v>5.6121006190476184E-2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-0.12672850309828498</v>
      </c>
      <c r="AN5" s="245">
        <f>bdrate($E5:$E8,G5:G8,$W5:$W8,Y5:Y8)</f>
        <v>-9.3221763512695177E-2</v>
      </c>
      <c r="AO5" s="245">
        <f>bdrate($E5:$E8,H5:H8,$W5:$W8,Z5:Z8)</f>
        <v>-5.4712421887043172E-3</v>
      </c>
      <c r="AP5" s="245">
        <f>bdrate($E5:$E8,I5:I8,$W5:$W8,AA5:AA8)</f>
        <v>-2.8946664236532582E-2</v>
      </c>
      <c r="AQ5" s="246">
        <f>bdrateInverted($E5:$E8,J5:J8,$W5:$W8,AB5:AB8)</f>
        <v>-0.15554839735577231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39731.792000000001</v>
      </c>
      <c r="F6" s="91">
        <f t="shared" si="0"/>
        <v>33.072678761904761</v>
      </c>
      <c r="G6" s="91">
        <f t="shared" si="0"/>
        <v>36.632195285714296</v>
      </c>
      <c r="H6" s="91">
        <f t="shared" si="0"/>
        <v>0.98000114238095259</v>
      </c>
      <c r="I6" s="91">
        <f t="shared" si="0"/>
        <v>0.98426155285714267</v>
      </c>
      <c r="J6" s="91">
        <f t="shared" si="0"/>
        <v>4.3200263047619043E-2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39182.120000000003</v>
      </c>
      <c r="X6" s="91">
        <f t="shared" si="2"/>
        <v>33.859525571428577</v>
      </c>
      <c r="Y6" s="91">
        <f t="shared" si="2"/>
        <v>37.285611523809536</v>
      </c>
      <c r="Z6" s="91">
        <f t="shared" si="2"/>
        <v>0.97976092619047583</v>
      </c>
      <c r="AA6" s="91">
        <f t="shared" si="2"/>
        <v>0.98462386380952382</v>
      </c>
      <c r="AB6" s="91">
        <f t="shared" si="2"/>
        <v>3.6334335333333335E-2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59551.984000000004</v>
      </c>
      <c r="F7" s="91">
        <f t="shared" si="0"/>
        <v>36.281602476190471</v>
      </c>
      <c r="G7" s="91">
        <f t="shared" si="0"/>
        <v>40.251414476190476</v>
      </c>
      <c r="H7" s="91">
        <f t="shared" si="0"/>
        <v>0.98903340333333323</v>
      </c>
      <c r="I7" s="91">
        <f t="shared" si="0"/>
        <v>0.99228081523809508</v>
      </c>
      <c r="J7" s="91">
        <f t="shared" si="0"/>
        <v>2.7228831333333335E-2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58803.095999999998</v>
      </c>
      <c r="X7" s="91">
        <f t="shared" si="2"/>
        <v>37.726022619047612</v>
      </c>
      <c r="Y7" s="91">
        <f t="shared" si="2"/>
        <v>41.029849857142857</v>
      </c>
      <c r="Z7" s="91">
        <f t="shared" si="2"/>
        <v>0.98891447666666665</v>
      </c>
      <c r="AA7" s="91">
        <f t="shared" si="2"/>
        <v>0.992504997142857</v>
      </c>
      <c r="AB7" s="91">
        <f t="shared" si="2"/>
        <v>2.1230680095238097E-2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86991.584000000003</v>
      </c>
      <c r="F8" s="91">
        <f t="shared" si="0"/>
        <v>39.436459095238085</v>
      </c>
      <c r="G8" s="91">
        <f t="shared" si="0"/>
        <v>43.588469761904761</v>
      </c>
      <c r="H8" s="91">
        <f t="shared" si="0"/>
        <v>0.99375173238095238</v>
      </c>
      <c r="I8" s="91">
        <f t="shared" si="0"/>
        <v>0.99594449714285727</v>
      </c>
      <c r="J8" s="91">
        <f t="shared" si="0"/>
        <v>1.4458101000000004E-2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86195.664000000004</v>
      </c>
      <c r="X8" s="91">
        <f t="shared" si="2"/>
        <v>41.74372128571428</v>
      </c>
      <c r="Y8" s="91">
        <f t="shared" si="2"/>
        <v>44.836356380952374</v>
      </c>
      <c r="Z8" s="91">
        <f t="shared" si="2"/>
        <v>0.99364363714285719</v>
      </c>
      <c r="AA8" s="91">
        <f t="shared" si="2"/>
        <v>0.99627574142857167</v>
      </c>
      <c r="AB8" s="91">
        <f t="shared" si="2"/>
        <v>9.6530589047619068E-3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4622.4719999999998</v>
      </c>
      <c r="F16" s="167">
        <v>5835.96</v>
      </c>
      <c r="G16" s="167">
        <v>1040.24</v>
      </c>
      <c r="H16" s="167">
        <v>357.512</v>
      </c>
      <c r="I16" s="167">
        <v>150.14400000000001</v>
      </c>
      <c r="J16" s="167">
        <v>8571.3119999999999</v>
      </c>
      <c r="K16" s="60">
        <v>5024.0240000000003</v>
      </c>
      <c r="L16" s="60">
        <v>1855.6320000000001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4622.4719999999998</v>
      </c>
      <c r="X16" s="167">
        <v>5835.96</v>
      </c>
      <c r="Y16" s="167">
        <v>934.54399999999998</v>
      </c>
      <c r="Z16" s="167">
        <v>285.68799999999999</v>
      </c>
      <c r="AA16" s="167">
        <v>92.096000000000004</v>
      </c>
      <c r="AB16" s="167">
        <v>8571.3119999999999</v>
      </c>
      <c r="AC16" s="60">
        <v>5024.0240000000003</v>
      </c>
      <c r="AD16" s="60">
        <v>1855.6320000000001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4622.4719999999998</v>
      </c>
      <c r="F17" s="168">
        <v>7698.6719999999996</v>
      </c>
      <c r="G17" s="168">
        <v>3755.4879999999998</v>
      </c>
      <c r="H17" s="168">
        <v>1880.1759999999999</v>
      </c>
      <c r="I17" s="168">
        <v>1357.768</v>
      </c>
      <c r="J17" s="168">
        <v>11094.191999999999</v>
      </c>
      <c r="K17" s="62">
        <v>6863.848</v>
      </c>
      <c r="L17" s="62">
        <v>2459.1759999999999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4622.4719999999998</v>
      </c>
      <c r="X17" s="168">
        <v>7698.6719999999996</v>
      </c>
      <c r="Y17" s="168">
        <v>3628.808</v>
      </c>
      <c r="Z17" s="168">
        <v>1704.704</v>
      </c>
      <c r="AA17" s="168">
        <v>1110.248</v>
      </c>
      <c r="AB17" s="168">
        <v>11094.191999999999</v>
      </c>
      <c r="AC17" s="62">
        <v>6863.848</v>
      </c>
      <c r="AD17" s="62">
        <v>2459.1759999999999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4622.4719999999998</v>
      </c>
      <c r="F18" s="168">
        <v>9632.4240000000009</v>
      </c>
      <c r="G18" s="168">
        <v>8173.3760000000002</v>
      </c>
      <c r="H18" s="168">
        <v>5921.192</v>
      </c>
      <c r="I18" s="168">
        <v>5643.4080000000004</v>
      </c>
      <c r="J18" s="168">
        <v>13694.736000000001</v>
      </c>
      <c r="K18" s="62">
        <v>8782.8880000000008</v>
      </c>
      <c r="L18" s="62">
        <v>3081.4879999999998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4622.4719999999998</v>
      </c>
      <c r="X18" s="168">
        <v>9632.4240000000009</v>
      </c>
      <c r="Y18" s="168">
        <v>8033.2879999999996</v>
      </c>
      <c r="Z18" s="168">
        <v>5674.3440000000001</v>
      </c>
      <c r="AA18" s="168">
        <v>5281.4560000000001</v>
      </c>
      <c r="AB18" s="168">
        <v>13694.736000000001</v>
      </c>
      <c r="AC18" s="62">
        <v>8782.8880000000008</v>
      </c>
      <c r="AD18" s="62">
        <v>3081.4879999999998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4622.4719999999998</v>
      </c>
      <c r="F19" s="168">
        <v>11479.904</v>
      </c>
      <c r="G19" s="168">
        <v>13301.456</v>
      </c>
      <c r="H19" s="168">
        <v>12617.896000000001</v>
      </c>
      <c r="I19" s="168">
        <v>14033.632</v>
      </c>
      <c r="J19" s="168">
        <v>16403.704000000002</v>
      </c>
      <c r="K19" s="62">
        <v>10804.575999999999</v>
      </c>
      <c r="L19" s="62">
        <v>3727.944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4622.4719999999998</v>
      </c>
      <c r="X19" s="168">
        <v>11479.904</v>
      </c>
      <c r="Y19" s="168">
        <v>13153.575999999999</v>
      </c>
      <c r="Z19" s="168">
        <v>12349.592000000001</v>
      </c>
      <c r="AA19" s="168">
        <v>13653.896000000001</v>
      </c>
      <c r="AB19" s="168">
        <v>16403.704000000002</v>
      </c>
      <c r="AC19" s="62">
        <v>10804.575999999999</v>
      </c>
      <c r="AD19" s="62">
        <v>3727.944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27457.296000000002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27221.728000000003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39731.792000000001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39182.120000000003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59551.984000000004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58803.095999999998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86991.584000000003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86195.664000000004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26.906856000000001</v>
      </c>
      <c r="G33" s="97">
        <v>30.367884</v>
      </c>
      <c r="H33" s="97">
        <v>0.95871066000000005</v>
      </c>
      <c r="I33" s="60">
        <v>0.96455597999999998</v>
      </c>
      <c r="J33" s="60">
        <v>8.2726759999999996E-2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27.179098</v>
      </c>
      <c r="Y33" s="97">
        <v>30.984999999999999</v>
      </c>
      <c r="Z33" s="97">
        <v>0.95848586999999996</v>
      </c>
      <c r="AA33" s="60">
        <v>0.96538214</v>
      </c>
      <c r="AB33" s="60">
        <v>6.6708489999999995E-2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0.27224199999999854</v>
      </c>
      <c r="AN33" s="96">
        <f t="shared" ref="AN33:AN96" si="5">IF(OR(Y33="",G33=""),"",Y33-G33)</f>
        <v>0.61711599999999933</v>
      </c>
      <c r="AO33" s="96">
        <f t="shared" ref="AO33:AO96" si="6">IF(OR(Z33="",H33=""),"",Z33-H33)</f>
        <v>-2.2479000000008575E-4</v>
      </c>
      <c r="AP33" s="96">
        <f t="shared" ref="AP33:AP96" si="7">IF(OR(AA33="",I33=""),"",AA33-I33)</f>
        <v>8.2616000000002021E-4</v>
      </c>
      <c r="AQ33" s="121">
        <f t="shared" ref="AQ33:AQ96" si="8">IF(OR(AB33="",J33=""),"",AB33-J33)</f>
        <v>-1.6018270000000001E-2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30.790431000000002</v>
      </c>
      <c r="G34" s="190">
        <v>34.198450999999999</v>
      </c>
      <c r="H34" s="190">
        <v>0.97776145000000003</v>
      </c>
      <c r="I34" s="62">
        <v>0.98092376000000003</v>
      </c>
      <c r="J34" s="62">
        <v>5.6608659999999998E-2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31.682708000000002</v>
      </c>
      <c r="Y34" s="190">
        <v>35.006261000000002</v>
      </c>
      <c r="Z34" s="190">
        <v>0.97755007999999999</v>
      </c>
      <c r="AA34" s="62">
        <v>0.98151316</v>
      </c>
      <c r="AB34" s="62">
        <v>4.1126717E-2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0.89227699999999999</v>
      </c>
      <c r="AN34" s="122">
        <f t="shared" si="5"/>
        <v>0.80781000000000347</v>
      </c>
      <c r="AO34" s="122">
        <f t="shared" si="6"/>
        <v>-2.1137000000004402E-4</v>
      </c>
      <c r="AP34" s="122">
        <f t="shared" si="7"/>
        <v>5.8939999999996218E-4</v>
      </c>
      <c r="AQ34" s="88">
        <f t="shared" si="8"/>
        <v>-1.5481942999999998E-2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33.798454999999997</v>
      </c>
      <c r="G35" s="190">
        <v>37.850261000000003</v>
      </c>
      <c r="H35" s="190">
        <v>0.98821081</v>
      </c>
      <c r="I35" s="62">
        <v>0.99115816999999995</v>
      </c>
      <c r="J35" s="62">
        <v>3.3108838000000002E-2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35.391381000000003</v>
      </c>
      <c r="Y35" s="190">
        <v>38.773296000000002</v>
      </c>
      <c r="Z35" s="190">
        <v>0.98810047999999995</v>
      </c>
      <c r="AA35" s="62">
        <v>0.99119721000000005</v>
      </c>
      <c r="AB35" s="62">
        <v>2.3315545E-2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1.5929260000000056</v>
      </c>
      <c r="AN35" s="122">
        <f t="shared" si="5"/>
        <v>0.92303499999999872</v>
      </c>
      <c r="AO35" s="122">
        <f t="shared" si="6"/>
        <v>-1.1033000000004733E-4</v>
      </c>
      <c r="AP35" s="122">
        <f t="shared" si="7"/>
        <v>3.9040000000101216E-5</v>
      </c>
      <c r="AQ35" s="88">
        <f t="shared" si="8"/>
        <v>-9.7932930000000015E-3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37.759284000000001</v>
      </c>
      <c r="G36" s="190">
        <v>42.061574999999998</v>
      </c>
      <c r="H36" s="190">
        <v>0.99373683999999995</v>
      </c>
      <c r="I36" s="62">
        <v>0.99582391999999997</v>
      </c>
      <c r="J36" s="62">
        <v>1.6167026000000001E-2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40.494540000000001</v>
      </c>
      <c r="Y36" s="190">
        <v>43.480781</v>
      </c>
      <c r="Z36" s="190">
        <v>0.99366438999999995</v>
      </c>
      <c r="AA36" s="62">
        <v>0.99604669000000001</v>
      </c>
      <c r="AB36" s="62">
        <v>9.8206160000000008E-3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2.7352559999999997</v>
      </c>
      <c r="AN36" s="122">
        <f t="shared" si="5"/>
        <v>1.4192060000000026</v>
      </c>
      <c r="AO36" s="122">
        <f t="shared" si="6"/>
        <v>-7.245000000000168E-5</v>
      </c>
      <c r="AP36" s="122">
        <f t="shared" si="7"/>
        <v>2.2277000000003877E-4</v>
      </c>
      <c r="AQ36" s="88">
        <f t="shared" si="8"/>
        <v>-6.3464100000000002E-3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27.200422</v>
      </c>
      <c r="G38" s="97">
        <v>31.087743</v>
      </c>
      <c r="H38" s="97">
        <v>0.96085849999999995</v>
      </c>
      <c r="I38" s="60">
        <v>0.96518318000000003</v>
      </c>
      <c r="J38" s="60">
        <v>7.4697630000000001E-2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27.562562</v>
      </c>
      <c r="Y38" s="97">
        <v>31.808903000000001</v>
      </c>
      <c r="Z38" s="97">
        <v>0.96078196999999999</v>
      </c>
      <c r="AA38" s="60">
        <v>0.96612646000000002</v>
      </c>
      <c r="AB38" s="60">
        <v>6.2277520000000003E-2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0.36214000000000013</v>
      </c>
      <c r="AN38" s="96">
        <f t="shared" si="5"/>
        <v>0.72116000000000113</v>
      </c>
      <c r="AO38" s="96">
        <f t="shared" si="6"/>
        <v>-7.6529999999963572E-5</v>
      </c>
      <c r="AP38" s="96">
        <f t="shared" si="7"/>
        <v>9.4327999999999079E-4</v>
      </c>
      <c r="AQ38" s="121">
        <f t="shared" si="8"/>
        <v>-1.2420109999999998E-2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31.362172000000001</v>
      </c>
      <c r="G39" s="190">
        <v>34.855811000000003</v>
      </c>
      <c r="H39" s="190">
        <v>0.97830549</v>
      </c>
      <c r="I39" s="62">
        <v>0.98107862000000001</v>
      </c>
      <c r="J39" s="62">
        <v>5.2833669999999999E-2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32.414071</v>
      </c>
      <c r="Y39" s="190">
        <v>35.741785999999998</v>
      </c>
      <c r="Z39" s="190">
        <v>0.97803963999999999</v>
      </c>
      <c r="AA39" s="62">
        <v>0.98161978999999999</v>
      </c>
      <c r="AB39" s="62">
        <v>4.0589630000000002E-2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1.0518989999999988</v>
      </c>
      <c r="AN39" s="122">
        <f t="shared" si="5"/>
        <v>0.88597499999999485</v>
      </c>
      <c r="AO39" s="122">
        <f t="shared" si="6"/>
        <v>-2.6585000000001191E-4</v>
      </c>
      <c r="AP39" s="122">
        <f t="shared" si="7"/>
        <v>5.4116999999997972E-4</v>
      </c>
      <c r="AQ39" s="88">
        <f t="shared" si="8"/>
        <v>-1.2244039999999998E-2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34.821733000000002</v>
      </c>
      <c r="G40" s="190">
        <v>38.854044000000002</v>
      </c>
      <c r="H40" s="190">
        <v>0.98842865999999996</v>
      </c>
      <c r="I40" s="62">
        <v>0.99141953999999999</v>
      </c>
      <c r="J40" s="62">
        <v>3.1363530000000001E-2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36.378211</v>
      </c>
      <c r="Y40" s="190">
        <v>39.737571000000003</v>
      </c>
      <c r="Z40" s="190">
        <v>0.98827326000000004</v>
      </c>
      <c r="AA40" s="62">
        <v>0.99152974000000005</v>
      </c>
      <c r="AB40" s="62">
        <v>2.4011892999999999E-2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1.5564779999999985</v>
      </c>
      <c r="AN40" s="122">
        <f t="shared" si="5"/>
        <v>0.88352700000000084</v>
      </c>
      <c r="AO40" s="122">
        <f t="shared" si="6"/>
        <v>-1.5539999999991672E-4</v>
      </c>
      <c r="AP40" s="122">
        <f t="shared" si="7"/>
        <v>1.1020000000006025E-4</v>
      </c>
      <c r="AQ40" s="88">
        <f t="shared" si="8"/>
        <v>-7.3516370000000011E-3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37.943613999999997</v>
      </c>
      <c r="G41" s="190">
        <v>42.295147999999998</v>
      </c>
      <c r="H41" s="190">
        <v>0.99364967999999998</v>
      </c>
      <c r="I41" s="62">
        <v>0.99573507999999999</v>
      </c>
      <c r="J41" s="62">
        <v>1.7374005000000001E-2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40.745314999999998</v>
      </c>
      <c r="Y41" s="190">
        <v>43.888511000000001</v>
      </c>
      <c r="Z41" s="190">
        <v>0.99352306999999995</v>
      </c>
      <c r="AA41" s="62">
        <v>0.99599311000000001</v>
      </c>
      <c r="AB41" s="62">
        <v>1.0317923999999999E-2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2.8017010000000013</v>
      </c>
      <c r="AN41" s="122">
        <f t="shared" si="5"/>
        <v>1.5933630000000036</v>
      </c>
      <c r="AO41" s="122">
        <f t="shared" si="6"/>
        <v>-1.2661000000002698E-4</v>
      </c>
      <c r="AP41" s="122">
        <f t="shared" si="7"/>
        <v>2.5803000000002019E-4</v>
      </c>
      <c r="AQ41" s="88">
        <f t="shared" si="8"/>
        <v>-7.0560810000000022E-3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28.65916</v>
      </c>
      <c r="G43" s="97">
        <v>32.372030000000002</v>
      </c>
      <c r="H43" s="97">
        <v>0.96303813000000005</v>
      </c>
      <c r="I43" s="60">
        <v>0.96806577000000005</v>
      </c>
      <c r="J43" s="60">
        <v>7.2121119999999997E-2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29.066804000000001</v>
      </c>
      <c r="Y43" s="97">
        <v>32.931604</v>
      </c>
      <c r="Z43" s="97">
        <v>0.96296669999999995</v>
      </c>
      <c r="AA43" s="60">
        <v>0.9688428</v>
      </c>
      <c r="AB43" s="60">
        <v>6.1984980000000002E-2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0.40764400000000123</v>
      </c>
      <c r="AN43" s="96">
        <f t="shared" si="5"/>
        <v>0.5595739999999978</v>
      </c>
      <c r="AO43" s="96">
        <f t="shared" si="6"/>
        <v>-7.1430000000094473E-5</v>
      </c>
      <c r="AP43" s="96">
        <f t="shared" si="7"/>
        <v>7.7702999999995637E-4</v>
      </c>
      <c r="AQ43" s="121">
        <f t="shared" si="8"/>
        <v>-1.0136139999999995E-2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31.796644000000001</v>
      </c>
      <c r="G44" s="190">
        <v>35.372275999999999</v>
      </c>
      <c r="H44" s="190">
        <v>0.97867174000000001</v>
      </c>
      <c r="I44" s="62">
        <v>0.98156958000000005</v>
      </c>
      <c r="J44" s="62">
        <v>4.9679883000000001E-2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32.778336000000003</v>
      </c>
      <c r="Y44" s="190">
        <v>36.057501000000002</v>
      </c>
      <c r="Z44" s="190">
        <v>0.97824310999999997</v>
      </c>
      <c r="AA44" s="62">
        <v>0.98210189000000003</v>
      </c>
      <c r="AB44" s="62">
        <v>4.0979832000000001E-2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0.98169200000000245</v>
      </c>
      <c r="AN44" s="122">
        <f t="shared" si="5"/>
        <v>0.68522500000000264</v>
      </c>
      <c r="AO44" s="122">
        <f t="shared" si="6"/>
        <v>-4.2863000000004092E-4</v>
      </c>
      <c r="AP44" s="122">
        <f t="shared" si="7"/>
        <v>5.323099999999803E-4</v>
      </c>
      <c r="AQ44" s="88">
        <f t="shared" si="8"/>
        <v>-8.7000510000000003E-3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35.22092</v>
      </c>
      <c r="G45" s="190">
        <v>39.357385000000001</v>
      </c>
      <c r="H45" s="190">
        <v>0.98861547999999999</v>
      </c>
      <c r="I45" s="62">
        <v>0.99154975000000001</v>
      </c>
      <c r="J45" s="62">
        <v>3.1610447999999999E-2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36.739806999999999</v>
      </c>
      <c r="Y45" s="190">
        <v>40.169471999999999</v>
      </c>
      <c r="Z45" s="190">
        <v>0.98827191999999997</v>
      </c>
      <c r="AA45" s="62">
        <v>0.99156387999999995</v>
      </c>
      <c r="AB45" s="62">
        <v>2.4469784000000001E-2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1.5188869999999994</v>
      </c>
      <c r="AN45" s="122">
        <f t="shared" si="5"/>
        <v>0.81208699999999823</v>
      </c>
      <c r="AO45" s="122">
        <f t="shared" si="6"/>
        <v>-3.4356000000002052E-4</v>
      </c>
      <c r="AP45" s="122">
        <f t="shared" si="7"/>
        <v>1.4129999999945575E-5</v>
      </c>
      <c r="AQ45" s="88">
        <f t="shared" si="8"/>
        <v>-7.140663999999998E-3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38.417346000000002</v>
      </c>
      <c r="G46" s="190">
        <v>42.767448000000002</v>
      </c>
      <c r="H46" s="190">
        <v>0.99367030999999995</v>
      </c>
      <c r="I46" s="62">
        <v>0.99572028000000001</v>
      </c>
      <c r="J46" s="62">
        <v>1.6581476000000001E-2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40.824634000000003</v>
      </c>
      <c r="Y46" s="190">
        <v>43.980634999999999</v>
      </c>
      <c r="Z46" s="190">
        <v>0.99341316000000002</v>
      </c>
      <c r="AA46" s="62">
        <v>0.99589130999999997</v>
      </c>
      <c r="AB46" s="62">
        <v>1.0613447E-2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2.4072880000000012</v>
      </c>
      <c r="AN46" s="122">
        <f t="shared" si="5"/>
        <v>1.2131869999999978</v>
      </c>
      <c r="AO46" s="122">
        <f t="shared" si="6"/>
        <v>-2.5714999999992827E-4</v>
      </c>
      <c r="AP46" s="122">
        <f t="shared" si="7"/>
        <v>1.7102999999996094E-4</v>
      </c>
      <c r="AQ46" s="88">
        <f t="shared" si="8"/>
        <v>-5.9680290000000014E-3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29.745839</v>
      </c>
      <c r="G48" s="97">
        <v>33.225439999999999</v>
      </c>
      <c r="H48" s="97">
        <v>0.96386821</v>
      </c>
      <c r="I48" s="60">
        <v>0.96959516999999995</v>
      </c>
      <c r="J48" s="60">
        <v>6.3522994999999999E-2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29.810003999999999</v>
      </c>
      <c r="Y48" s="97">
        <v>33.611122000000002</v>
      </c>
      <c r="Z48" s="97">
        <v>0.96372464000000002</v>
      </c>
      <c r="AA48" s="60">
        <v>0.97023680999999995</v>
      </c>
      <c r="AB48" s="60">
        <v>5.7143617000000001E-2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6.4164999999999139E-2</v>
      </c>
      <c r="AN48" s="96">
        <f t="shared" si="5"/>
        <v>0.38568200000000274</v>
      </c>
      <c r="AO48" s="96">
        <f t="shared" si="6"/>
        <v>-1.4356999999998177E-4</v>
      </c>
      <c r="AP48" s="96">
        <f t="shared" si="7"/>
        <v>6.4163999999999888E-4</v>
      </c>
      <c r="AQ48" s="121">
        <f t="shared" si="8"/>
        <v>-6.3793779999999981E-3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32.735086000000003</v>
      </c>
      <c r="G49" s="190">
        <v>36.205340999999997</v>
      </c>
      <c r="H49" s="190">
        <v>0.97830682000000002</v>
      </c>
      <c r="I49" s="62">
        <v>0.98237512999999999</v>
      </c>
      <c r="J49" s="62">
        <v>4.2703564999999999E-2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33.448653</v>
      </c>
      <c r="Y49" s="190">
        <v>36.716050000000003</v>
      </c>
      <c r="Z49" s="190">
        <v>0.97776719999999995</v>
      </c>
      <c r="AA49" s="62">
        <v>0.98247320000000005</v>
      </c>
      <c r="AB49" s="62">
        <v>3.7600964000000001E-2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0.71356699999999762</v>
      </c>
      <c r="AN49" s="122">
        <f t="shared" si="5"/>
        <v>0.51070900000000563</v>
      </c>
      <c r="AO49" s="122">
        <f t="shared" si="6"/>
        <v>-5.3962000000007393E-4</v>
      </c>
      <c r="AP49" s="122">
        <f t="shared" si="7"/>
        <v>9.8070000000061164E-5</v>
      </c>
      <c r="AQ49" s="88">
        <f t="shared" si="8"/>
        <v>-5.1026009999999983E-3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35.967500999999999</v>
      </c>
      <c r="G50" s="190">
        <v>40.04759</v>
      </c>
      <c r="H50" s="190">
        <v>0.98835806999999998</v>
      </c>
      <c r="I50" s="62">
        <v>0.99156557000000001</v>
      </c>
      <c r="J50" s="62">
        <v>2.797852E-2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37.384923999999998</v>
      </c>
      <c r="Y50" s="190">
        <v>40.714590999999999</v>
      </c>
      <c r="Z50" s="190">
        <v>0.98798169000000002</v>
      </c>
      <c r="AA50" s="62">
        <v>0.99174487</v>
      </c>
      <c r="AB50" s="62">
        <v>2.2308001000000001E-2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1.4174229999999994</v>
      </c>
      <c r="AN50" s="122">
        <f t="shared" si="5"/>
        <v>0.66700099999999907</v>
      </c>
      <c r="AO50" s="122">
        <f t="shared" si="6"/>
        <v>-3.7637999999995397E-4</v>
      </c>
      <c r="AP50" s="122">
        <f t="shared" si="7"/>
        <v>1.7929999999999335E-4</v>
      </c>
      <c r="AQ50" s="88">
        <f t="shared" si="8"/>
        <v>-5.6705189999999989E-3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38.887250000000002</v>
      </c>
      <c r="G51" s="190">
        <v>43.177607999999999</v>
      </c>
      <c r="H51" s="190">
        <v>0.99349167000000005</v>
      </c>
      <c r="I51" s="62">
        <v>0.99565446999999996</v>
      </c>
      <c r="J51" s="62">
        <v>1.4722479E-2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41.073666000000003</v>
      </c>
      <c r="Y51" s="190">
        <v>44.226838000000001</v>
      </c>
      <c r="Z51" s="190">
        <v>0.99320206</v>
      </c>
      <c r="AA51" s="62">
        <v>0.99590515000000002</v>
      </c>
      <c r="AB51" s="62">
        <v>1.0056850500000001E-2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2.1864160000000012</v>
      </c>
      <c r="AN51" s="122">
        <f t="shared" si="5"/>
        <v>1.0492300000000014</v>
      </c>
      <c r="AO51" s="122">
        <f t="shared" si="6"/>
        <v>-2.8961000000005122E-4</v>
      </c>
      <c r="AP51" s="122">
        <f t="shared" si="7"/>
        <v>2.5068000000005863E-4</v>
      </c>
      <c r="AQ51" s="88">
        <f t="shared" si="8"/>
        <v>-4.6656284999999995E-3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29.693740999999999</v>
      </c>
      <c r="G53" s="97">
        <v>33.267111</v>
      </c>
      <c r="H53" s="97">
        <v>0.96388675000000001</v>
      </c>
      <c r="I53" s="60">
        <v>0.97028398999999999</v>
      </c>
      <c r="J53" s="60">
        <v>6.3975333999999995E-2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30.039272</v>
      </c>
      <c r="Y53" s="97">
        <v>33.777490999999998</v>
      </c>
      <c r="Z53" s="97">
        <v>0.96384444000000002</v>
      </c>
      <c r="AA53" s="60">
        <v>0.97102281999999995</v>
      </c>
      <c r="AB53" s="60">
        <v>5.6457239999999999E-2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0.34553100000000114</v>
      </c>
      <c r="AN53" s="96">
        <f t="shared" si="5"/>
        <v>0.51037999999999784</v>
      </c>
      <c r="AO53" s="96">
        <f t="shared" si="6"/>
        <v>-4.2309999999989856E-5</v>
      </c>
      <c r="AP53" s="96">
        <f t="shared" si="7"/>
        <v>7.3882999999996812E-4</v>
      </c>
      <c r="AQ53" s="121">
        <f t="shared" si="8"/>
        <v>-7.518093999999996E-3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32.605066000000001</v>
      </c>
      <c r="G54" s="190">
        <v>36.147630999999997</v>
      </c>
      <c r="H54" s="190">
        <v>0.97824115</v>
      </c>
      <c r="I54" s="62">
        <v>0.98248981999999996</v>
      </c>
      <c r="J54" s="62">
        <v>4.2394076000000003E-2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33.391607999999998</v>
      </c>
      <c r="Y54" s="190">
        <v>36.698895</v>
      </c>
      <c r="Z54" s="190">
        <v>0.97772455999999996</v>
      </c>
      <c r="AA54" s="62">
        <v>0.98258882000000003</v>
      </c>
      <c r="AB54" s="62">
        <v>3.657212E-2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0.78654199999999719</v>
      </c>
      <c r="AN54" s="122">
        <f t="shared" si="5"/>
        <v>0.55126400000000331</v>
      </c>
      <c r="AO54" s="122">
        <f t="shared" si="6"/>
        <v>-5.1659000000003896E-4</v>
      </c>
      <c r="AP54" s="122">
        <f t="shared" si="7"/>
        <v>9.9000000000071253E-5</v>
      </c>
      <c r="AQ54" s="88">
        <f t="shared" si="8"/>
        <v>-5.8219560000000031E-3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35.849721000000002</v>
      </c>
      <c r="G55" s="190">
        <v>39.937669</v>
      </c>
      <c r="H55" s="190">
        <v>0.98815037999999999</v>
      </c>
      <c r="I55" s="62">
        <v>0.99146029000000002</v>
      </c>
      <c r="J55" s="62">
        <v>2.8317743999999999E-2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37.286321000000001</v>
      </c>
      <c r="Y55" s="190">
        <v>40.640985999999998</v>
      </c>
      <c r="Z55" s="190">
        <v>0.98785712999999997</v>
      </c>
      <c r="AA55" s="62">
        <v>0.99168586000000003</v>
      </c>
      <c r="AB55" s="62">
        <v>2.2382493999999999E-2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1.4365999999999985</v>
      </c>
      <c r="AN55" s="122">
        <f t="shared" si="5"/>
        <v>0.70331699999999842</v>
      </c>
      <c r="AO55" s="122">
        <f t="shared" si="6"/>
        <v>-2.9325000000002266E-4</v>
      </c>
      <c r="AP55" s="122">
        <f t="shared" si="7"/>
        <v>2.2557000000000826E-4</v>
      </c>
      <c r="AQ55" s="88">
        <f t="shared" si="8"/>
        <v>-5.9352499999999996E-3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39.036290000000001</v>
      </c>
      <c r="G56" s="190">
        <v>43.205052999999999</v>
      </c>
      <c r="H56" s="190">
        <v>0.99343181000000003</v>
      </c>
      <c r="I56" s="62">
        <v>0.99556213000000005</v>
      </c>
      <c r="J56" s="62">
        <v>1.35627E-2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41.022897</v>
      </c>
      <c r="Y56" s="190">
        <v>44.203552000000002</v>
      </c>
      <c r="Z56" s="190">
        <v>0.99318691000000003</v>
      </c>
      <c r="AA56" s="62">
        <v>0.99585710999999999</v>
      </c>
      <c r="AB56" s="62">
        <v>9.7875054999999999E-3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1.9866069999999993</v>
      </c>
      <c r="AN56" s="122">
        <f t="shared" si="5"/>
        <v>0.99849900000000247</v>
      </c>
      <c r="AO56" s="122">
        <f t="shared" si="6"/>
        <v>-2.4489999999999235E-4</v>
      </c>
      <c r="AP56" s="122">
        <f t="shared" si="7"/>
        <v>2.9497999999994473E-4</v>
      </c>
      <c r="AQ56" s="88">
        <f t="shared" si="8"/>
        <v>-3.7751945000000005E-3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29.889361999999998</v>
      </c>
      <c r="G58" s="97">
        <v>33.443480000000001</v>
      </c>
      <c r="H58" s="97">
        <v>0.96353847000000004</v>
      </c>
      <c r="I58" s="60">
        <v>0.97093255000000001</v>
      </c>
      <c r="J58" s="60">
        <v>6.4833710000000003E-2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30.196186000000001</v>
      </c>
      <c r="Y58" s="97">
        <v>33.909765999999998</v>
      </c>
      <c r="Z58" s="97">
        <v>0.96355521</v>
      </c>
      <c r="AA58" s="60">
        <v>0.97136864000000001</v>
      </c>
      <c r="AB58" s="60">
        <v>5.7666956999999998E-2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0.30682400000000243</v>
      </c>
      <c r="AN58" s="96">
        <f t="shared" si="5"/>
        <v>0.46628599999999665</v>
      </c>
      <c r="AO58" s="96">
        <f t="shared" si="6"/>
        <v>1.6739999999959565E-5</v>
      </c>
      <c r="AP58" s="96">
        <f t="shared" si="7"/>
        <v>4.3609000000000009E-4</v>
      </c>
      <c r="AQ58" s="121">
        <f t="shared" si="8"/>
        <v>-7.1667530000000049E-3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32.757964000000001</v>
      </c>
      <c r="G59" s="190">
        <v>36.271399000000002</v>
      </c>
      <c r="H59" s="190">
        <v>0.97812847999999997</v>
      </c>
      <c r="I59" s="62">
        <v>0.98300646999999997</v>
      </c>
      <c r="J59" s="62">
        <v>4.2763035999999997E-2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33.441834999999998</v>
      </c>
      <c r="Y59" s="190">
        <v>36.769353000000002</v>
      </c>
      <c r="Z59" s="190">
        <v>0.97763098999999998</v>
      </c>
      <c r="AA59" s="62">
        <v>0.98308991000000001</v>
      </c>
      <c r="AB59" s="62">
        <v>3.7137806000000002E-2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0.68387099999999634</v>
      </c>
      <c r="AN59" s="122">
        <f t="shared" si="5"/>
        <v>0.49795400000000001</v>
      </c>
      <c r="AO59" s="122">
        <f t="shared" si="6"/>
        <v>-4.9748999999998933E-4</v>
      </c>
      <c r="AP59" s="122">
        <f t="shared" si="7"/>
        <v>8.34400000000457E-5</v>
      </c>
      <c r="AQ59" s="88">
        <f t="shared" si="8"/>
        <v>-5.625229999999995E-3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35.903069000000002</v>
      </c>
      <c r="G60" s="190">
        <v>39.942720999999999</v>
      </c>
      <c r="H60" s="190">
        <v>0.98819625</v>
      </c>
      <c r="I60" s="62">
        <v>0.99141855000000001</v>
      </c>
      <c r="J60" s="62">
        <v>2.8687609999999999E-2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37.031706</v>
      </c>
      <c r="Y60" s="190">
        <v>40.427390000000003</v>
      </c>
      <c r="Z60" s="190">
        <v>0.98783332999999995</v>
      </c>
      <c r="AA60" s="62">
        <v>0.99165822000000003</v>
      </c>
      <c r="AB60" s="62">
        <v>2.3389719999999999E-2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1.1286369999999977</v>
      </c>
      <c r="AN60" s="122">
        <f t="shared" si="5"/>
        <v>0.48466900000000379</v>
      </c>
      <c r="AO60" s="122">
        <f t="shared" si="6"/>
        <v>-3.6292000000004432E-4</v>
      </c>
      <c r="AP60" s="122">
        <f t="shared" si="7"/>
        <v>2.3967000000002514E-4</v>
      </c>
      <c r="AQ60" s="88">
        <f t="shared" si="8"/>
        <v>-5.2978899999999995E-3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39.331583999999999</v>
      </c>
      <c r="G61" s="190">
        <v>43.395305</v>
      </c>
      <c r="H61" s="190">
        <v>0.99347154999999998</v>
      </c>
      <c r="I61" s="62">
        <v>0.99553382999999995</v>
      </c>
      <c r="J61" s="62">
        <v>1.3033723000000001E-2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40.825803999999998</v>
      </c>
      <c r="Y61" s="190">
        <v>44.048712000000002</v>
      </c>
      <c r="Z61" s="190">
        <v>0.99317036000000003</v>
      </c>
      <c r="AA61" s="62">
        <v>0.99583332999999996</v>
      </c>
      <c r="AB61" s="62">
        <v>1.0057872000000001E-2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1.4942199999999985</v>
      </c>
      <c r="AN61" s="122">
        <f t="shared" si="5"/>
        <v>0.6534070000000014</v>
      </c>
      <c r="AO61" s="122">
        <f t="shared" si="6"/>
        <v>-3.0118999999995122E-4</v>
      </c>
      <c r="AP61" s="122">
        <f t="shared" si="7"/>
        <v>2.9950000000000809E-4</v>
      </c>
      <c r="AQ61" s="88">
        <f t="shared" si="8"/>
        <v>-2.9758509999999998E-3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30.192778000000001</v>
      </c>
      <c r="G63" s="97">
        <v>33.849732000000003</v>
      </c>
      <c r="H63" s="97">
        <v>0.96250073000000003</v>
      </c>
      <c r="I63" s="60">
        <v>0.97161414999999995</v>
      </c>
      <c r="J63" s="60">
        <v>6.3317520000000002E-2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30.248511000000001</v>
      </c>
      <c r="Y63" s="97">
        <v>34.105705</v>
      </c>
      <c r="Z63" s="97">
        <v>0.96236748000000005</v>
      </c>
      <c r="AA63" s="60">
        <v>0.97218064999999998</v>
      </c>
      <c r="AB63" s="60">
        <v>5.8899651999999997E-2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5.5733000000000033E-2</v>
      </c>
      <c r="AN63" s="96">
        <f t="shared" si="5"/>
        <v>0.25597299999999734</v>
      </c>
      <c r="AO63" s="96">
        <f t="shared" si="6"/>
        <v>-1.3324999999997367E-4</v>
      </c>
      <c r="AP63" s="96">
        <f t="shared" si="7"/>
        <v>5.6650000000002532E-4</v>
      </c>
      <c r="AQ63" s="121">
        <f t="shared" si="8"/>
        <v>-4.4178680000000053E-3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33.275219999999997</v>
      </c>
      <c r="G64" s="190">
        <v>36.688637</v>
      </c>
      <c r="H64" s="190">
        <v>0.97791008000000001</v>
      </c>
      <c r="I64" s="62">
        <v>0.98319962999999999</v>
      </c>
      <c r="J64" s="62">
        <v>4.0474116999999997E-2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33.504440000000002</v>
      </c>
      <c r="Y64" s="190">
        <v>36.926237</v>
      </c>
      <c r="Z64" s="190">
        <v>0.97740673</v>
      </c>
      <c r="AA64" s="62">
        <v>0.98341643000000001</v>
      </c>
      <c r="AB64" s="62">
        <v>3.7586670000000003E-2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0.22922000000000509</v>
      </c>
      <c r="AN64" s="122">
        <f t="shared" si="5"/>
        <v>0.23760000000000048</v>
      </c>
      <c r="AO64" s="122">
        <f t="shared" si="6"/>
        <v>-5.0335000000001351E-4</v>
      </c>
      <c r="AP64" s="122">
        <f t="shared" si="7"/>
        <v>2.1680000000001698E-4</v>
      </c>
      <c r="AQ64" s="88">
        <f t="shared" si="8"/>
        <v>-2.8874469999999944E-3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36.537548999999999</v>
      </c>
      <c r="G65" s="190">
        <v>40.389308</v>
      </c>
      <c r="H65" s="190">
        <v>0.98837861000000005</v>
      </c>
      <c r="I65" s="62">
        <v>0.99179441999999995</v>
      </c>
      <c r="J65" s="62">
        <v>2.6841093E-2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37.222884000000001</v>
      </c>
      <c r="Y65" s="190">
        <v>40.559806000000002</v>
      </c>
      <c r="Z65" s="190">
        <v>0.98793715999999998</v>
      </c>
      <c r="AA65" s="62">
        <v>0.99183211000000004</v>
      </c>
      <c r="AB65" s="62">
        <v>2.3125785999999999E-2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0.68533500000000203</v>
      </c>
      <c r="AN65" s="122">
        <f t="shared" si="5"/>
        <v>0.17049800000000204</v>
      </c>
      <c r="AO65" s="122">
        <f t="shared" si="6"/>
        <v>-4.414500000000654E-4</v>
      </c>
      <c r="AP65" s="122">
        <f t="shared" si="7"/>
        <v>3.7690000000090151E-5</v>
      </c>
      <c r="AQ65" s="88">
        <f t="shared" si="8"/>
        <v>-3.715307000000001E-3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40.025813999999997</v>
      </c>
      <c r="G66" s="190">
        <v>43.876637000000002</v>
      </c>
      <c r="H66" s="190">
        <v>0.99360501999999995</v>
      </c>
      <c r="I66" s="62">
        <v>0.99574750000000001</v>
      </c>
      <c r="J66" s="62">
        <v>1.2267765999999999E-2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40.953994000000002</v>
      </c>
      <c r="Y66" s="190">
        <v>44.164512000000002</v>
      </c>
      <c r="Z66" s="190">
        <v>0.99319829000000004</v>
      </c>
      <c r="AA66" s="62">
        <v>0.99595730000000005</v>
      </c>
      <c r="AB66" s="62">
        <v>1.0226323000000001E-2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0.92818000000000467</v>
      </c>
      <c r="AN66" s="122">
        <f t="shared" si="5"/>
        <v>0.28787499999999966</v>
      </c>
      <c r="AO66" s="122">
        <f t="shared" si="6"/>
        <v>-4.0672999999991077E-4</v>
      </c>
      <c r="AP66" s="122">
        <f t="shared" si="7"/>
        <v>2.0980000000003773E-4</v>
      </c>
      <c r="AQ66" s="88">
        <f t="shared" si="8"/>
        <v>-2.0414429999999987E-3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28.758030000000002</v>
      </c>
      <c r="G68" s="97">
        <v>32.175871000000001</v>
      </c>
      <c r="H68" s="97">
        <v>0.96246520000000002</v>
      </c>
      <c r="I68" s="60">
        <v>0.96850700999999995</v>
      </c>
      <c r="J68" s="60">
        <v>7.027593E-2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29.206094</v>
      </c>
      <c r="Y68" s="97">
        <v>33.222844000000002</v>
      </c>
      <c r="Z68" s="97">
        <v>0.96232300000000004</v>
      </c>
      <c r="AA68" s="60">
        <v>0.96945303000000005</v>
      </c>
      <c r="AB68" s="60">
        <v>5.6623198E-2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0.44806399999999869</v>
      </c>
      <c r="AN68" s="96">
        <f t="shared" si="5"/>
        <v>1.0469730000000013</v>
      </c>
      <c r="AO68" s="96">
        <f t="shared" si="6"/>
        <v>-1.4219999999998123E-4</v>
      </c>
      <c r="AP68" s="96">
        <f t="shared" si="7"/>
        <v>9.4602000000010289E-4</v>
      </c>
      <c r="AQ68" s="121">
        <f t="shared" si="8"/>
        <v>-1.3652732000000001E-2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31.994530000000001</v>
      </c>
      <c r="G69" s="190">
        <v>35.559193</v>
      </c>
      <c r="H69" s="190">
        <v>0.97834412999999998</v>
      </c>
      <c r="I69" s="62">
        <v>0.98252963000000004</v>
      </c>
      <c r="J69" s="62">
        <v>4.7107913000000001E-2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33.322445999999999</v>
      </c>
      <c r="Y69" s="190">
        <v>36.727758999999999</v>
      </c>
      <c r="Z69" s="190">
        <v>0.97828212999999997</v>
      </c>
      <c r="AA69" s="62">
        <v>0.98308793999999999</v>
      </c>
      <c r="AB69" s="62">
        <v>3.4958615999999998E-2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1.3279159999999983</v>
      </c>
      <c r="AN69" s="122">
        <f t="shared" si="5"/>
        <v>1.1685659999999984</v>
      </c>
      <c r="AO69" s="122">
        <f t="shared" si="6"/>
        <v>-6.2000000000006494E-5</v>
      </c>
      <c r="AP69" s="122">
        <f t="shared" si="7"/>
        <v>5.5830999999995079E-4</v>
      </c>
      <c r="AQ69" s="88">
        <f t="shared" si="8"/>
        <v>-1.2149297000000003E-2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34.840690000000002</v>
      </c>
      <c r="G70" s="190">
        <v>39.056075999999997</v>
      </c>
      <c r="H70" s="190">
        <v>0.98872780999999998</v>
      </c>
      <c r="I70" s="62">
        <v>0.99181105999999997</v>
      </c>
      <c r="J70" s="62">
        <v>2.9465063E-2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37.365602000000003</v>
      </c>
      <c r="Y70" s="190">
        <v>40.566915999999999</v>
      </c>
      <c r="Z70" s="190">
        <v>0.98885334000000003</v>
      </c>
      <c r="AA70" s="62">
        <v>0.99227118999999997</v>
      </c>
      <c r="AB70" s="62">
        <v>1.8671362E-2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2.5249120000000005</v>
      </c>
      <c r="AN70" s="122">
        <f t="shared" si="5"/>
        <v>1.5108400000000017</v>
      </c>
      <c r="AO70" s="122">
        <f t="shared" si="6"/>
        <v>1.2553000000004033E-4</v>
      </c>
      <c r="AP70" s="122">
        <f t="shared" si="7"/>
        <v>4.6013000000000304E-4</v>
      </c>
      <c r="AQ70" s="88">
        <f t="shared" si="8"/>
        <v>-1.0793700999999999E-2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38.082653000000001</v>
      </c>
      <c r="G71" s="190">
        <v>42.416034000000003</v>
      </c>
      <c r="H71" s="190">
        <v>0.99370533999999999</v>
      </c>
      <c r="I71" s="62">
        <v>0.99579413000000006</v>
      </c>
      <c r="J71" s="62">
        <v>1.4960887000000001E-2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41.611556</v>
      </c>
      <c r="Y71" s="190">
        <v>44.648423999999999</v>
      </c>
      <c r="Z71" s="190">
        <v>0.99380612000000002</v>
      </c>
      <c r="AA71" s="62">
        <v>0.99621201999999998</v>
      </c>
      <c r="AB71" s="62">
        <v>8.5758594999999996E-3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3.5289029999999997</v>
      </c>
      <c r="AN71" s="122">
        <f t="shared" si="5"/>
        <v>2.2323899999999952</v>
      </c>
      <c r="AO71" s="122">
        <f t="shared" si="6"/>
        <v>1.0078000000002252E-4</v>
      </c>
      <c r="AP71" s="122">
        <f t="shared" si="7"/>
        <v>4.1788999999992082E-4</v>
      </c>
      <c r="AQ71" s="88">
        <f t="shared" si="8"/>
        <v>-6.3850275000000012E-3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29.721824999999999</v>
      </c>
      <c r="G73" s="97">
        <v>33.441149000000003</v>
      </c>
      <c r="H73" s="97">
        <v>0.96528581999999996</v>
      </c>
      <c r="I73" s="60">
        <v>0.96971233999999995</v>
      </c>
      <c r="J73" s="60">
        <v>6.1627384E-2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30.182062999999999</v>
      </c>
      <c r="Y73" s="97">
        <v>34.296509999999998</v>
      </c>
      <c r="Z73" s="97">
        <v>0.96533329000000001</v>
      </c>
      <c r="AA73" s="60">
        <v>0.97081525999999996</v>
      </c>
      <c r="AB73" s="60">
        <v>5.250138E-2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0.46023800000000037</v>
      </c>
      <c r="AN73" s="96">
        <f t="shared" si="5"/>
        <v>0.85536099999999493</v>
      </c>
      <c r="AO73" s="96">
        <f t="shared" si="6"/>
        <v>4.7470000000049417E-5</v>
      </c>
      <c r="AP73" s="96">
        <f t="shared" si="7"/>
        <v>1.1029200000000072E-3</v>
      </c>
      <c r="AQ73" s="121">
        <f t="shared" si="8"/>
        <v>-9.1260040000000001E-3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32.559113000000004</v>
      </c>
      <c r="G74" s="190">
        <v>36.275317999999999</v>
      </c>
      <c r="H74" s="190">
        <v>0.97913749999999999</v>
      </c>
      <c r="I74" s="62">
        <v>0.98275504999999996</v>
      </c>
      <c r="J74" s="62">
        <v>4.1051560000000001E-2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33.743085999999998</v>
      </c>
      <c r="Y74" s="190">
        <v>37.20476</v>
      </c>
      <c r="Z74" s="190">
        <v>0.97905478999999995</v>
      </c>
      <c r="AA74" s="62">
        <v>0.98328859999999996</v>
      </c>
      <c r="AB74" s="62">
        <v>3.336074E-2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1.1839729999999946</v>
      </c>
      <c r="AN74" s="122">
        <f t="shared" si="5"/>
        <v>0.92944200000000166</v>
      </c>
      <c r="AO74" s="122">
        <f t="shared" si="6"/>
        <v>-8.2710000000041362E-5</v>
      </c>
      <c r="AP74" s="122">
        <f t="shared" si="7"/>
        <v>5.3354999999999375E-4</v>
      </c>
      <c r="AQ74" s="88">
        <f t="shared" si="8"/>
        <v>-7.690820000000001E-3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36.264294</v>
      </c>
      <c r="G75" s="190">
        <v>40.258662000000001</v>
      </c>
      <c r="H75" s="190">
        <v>0.98887616</v>
      </c>
      <c r="I75" s="62">
        <v>0.99184554999999996</v>
      </c>
      <c r="J75" s="62">
        <v>2.3844425999999998E-2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38.024410000000003</v>
      </c>
      <c r="Y75" s="190">
        <v>41.262802000000001</v>
      </c>
      <c r="Z75" s="190">
        <v>0.98892206000000005</v>
      </c>
      <c r="AA75" s="62">
        <v>0.99231720000000001</v>
      </c>
      <c r="AB75" s="62">
        <v>1.8214035999999999E-2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1.7601160000000036</v>
      </c>
      <c r="AN75" s="122">
        <f t="shared" si="5"/>
        <v>1.0041399999999996</v>
      </c>
      <c r="AO75" s="122">
        <f t="shared" si="6"/>
        <v>4.5900000000043129E-5</v>
      </c>
      <c r="AP75" s="122">
        <f t="shared" si="7"/>
        <v>4.7165000000004564E-4</v>
      </c>
      <c r="AQ75" s="88">
        <f t="shared" si="8"/>
        <v>-5.630389999999999E-3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38.274569</v>
      </c>
      <c r="G76" s="190">
        <v>42.696556999999999</v>
      </c>
      <c r="H76" s="190">
        <v>0.99367722000000003</v>
      </c>
      <c r="I76" s="62">
        <v>0.99576049</v>
      </c>
      <c r="J76" s="62">
        <v>1.6243509999999999E-2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41.714579000000001</v>
      </c>
      <c r="Y76" s="190">
        <v>44.806539000000001</v>
      </c>
      <c r="Z76" s="190">
        <v>0.99371925000000005</v>
      </c>
      <c r="AA76" s="62">
        <v>0.99621532000000002</v>
      </c>
      <c r="AB76" s="62">
        <v>8.7201880000000002E-3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3.4400100000000009</v>
      </c>
      <c r="AN76" s="122">
        <f t="shared" si="5"/>
        <v>2.1099820000000022</v>
      </c>
      <c r="AO76" s="122">
        <f t="shared" si="6"/>
        <v>4.2030000000026213E-5</v>
      </c>
      <c r="AP76" s="122">
        <f t="shared" si="7"/>
        <v>4.5483000000001717E-4</v>
      </c>
      <c r="AQ76" s="88">
        <f t="shared" si="8"/>
        <v>-7.523321999999999E-3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29.816041999999999</v>
      </c>
      <c r="G78" s="97">
        <v>33.506577999999998</v>
      </c>
      <c r="H78" s="97">
        <v>0.96681386999999996</v>
      </c>
      <c r="I78" s="60">
        <v>0.97138119999999994</v>
      </c>
      <c r="J78" s="60">
        <v>6.4323430000000001E-2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30.424392999999998</v>
      </c>
      <c r="Y78" s="97">
        <v>34.166874</v>
      </c>
      <c r="Z78" s="97">
        <v>0.96689426999999994</v>
      </c>
      <c r="AA78" s="60">
        <v>0.97219122000000002</v>
      </c>
      <c r="AB78" s="60">
        <v>5.4229856E-2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0.60835099999999898</v>
      </c>
      <c r="AN78" s="96">
        <f t="shared" si="5"/>
        <v>0.66029600000000244</v>
      </c>
      <c r="AO78" s="96">
        <f t="shared" si="6"/>
        <v>8.0399999999980487E-5</v>
      </c>
      <c r="AP78" s="96">
        <f t="shared" si="7"/>
        <v>8.100200000000779E-4</v>
      </c>
      <c r="AQ78" s="121">
        <f t="shared" si="8"/>
        <v>-1.0093574000000001E-2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32.388849</v>
      </c>
      <c r="G79" s="190">
        <v>36.199632000000001</v>
      </c>
      <c r="H79" s="190">
        <v>0.97959214999999999</v>
      </c>
      <c r="I79" s="62">
        <v>0.98290674</v>
      </c>
      <c r="J79" s="62">
        <v>4.2779789999999998E-2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33.538642000000003</v>
      </c>
      <c r="Y79" s="190">
        <v>36.917676999999998</v>
      </c>
      <c r="Z79" s="190">
        <v>0.97940479999999996</v>
      </c>
      <c r="AA79" s="62">
        <v>0.98334027000000002</v>
      </c>
      <c r="AB79" s="62">
        <v>3.5160709999999998E-2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1.1497930000000025</v>
      </c>
      <c r="AN79" s="122">
        <f t="shared" si="5"/>
        <v>0.71804499999999649</v>
      </c>
      <c r="AO79" s="122">
        <f t="shared" si="6"/>
        <v>-1.8735000000003055E-4</v>
      </c>
      <c r="AP79" s="122">
        <f t="shared" si="7"/>
        <v>4.3353000000001529E-4</v>
      </c>
      <c r="AQ79" s="88">
        <f t="shared" si="8"/>
        <v>-7.6190800000000003E-3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35.932589999999998</v>
      </c>
      <c r="G80" s="190">
        <v>40.137836999999998</v>
      </c>
      <c r="H80" s="190">
        <v>0.98902133999999997</v>
      </c>
      <c r="I80" s="62">
        <v>0.99188843999999998</v>
      </c>
      <c r="J80" s="62">
        <v>2.7310178000000001E-2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37.743962000000003</v>
      </c>
      <c r="Y80" s="190">
        <v>41.115907</v>
      </c>
      <c r="Z80" s="190">
        <v>0.98892877999999995</v>
      </c>
      <c r="AA80" s="62">
        <v>0.99231469000000005</v>
      </c>
      <c r="AB80" s="62">
        <v>1.9447742000000001E-2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1.8113720000000058</v>
      </c>
      <c r="AN80" s="122">
        <f t="shared" si="5"/>
        <v>0.97807000000000244</v>
      </c>
      <c r="AO80" s="122">
        <f t="shared" si="6"/>
        <v>-9.2560000000019294E-5</v>
      </c>
      <c r="AP80" s="122">
        <f t="shared" si="7"/>
        <v>4.262500000000724E-4</v>
      </c>
      <c r="AQ80" s="88">
        <f t="shared" si="8"/>
        <v>-7.8624360000000004E-3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38.685720000000003</v>
      </c>
      <c r="G81" s="190">
        <v>43.108693000000002</v>
      </c>
      <c r="H81" s="190">
        <v>0.99371940000000003</v>
      </c>
      <c r="I81" s="62">
        <v>0.99581129999999995</v>
      </c>
      <c r="J81" s="62">
        <v>1.559665E-2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41.604792000000003</v>
      </c>
      <c r="Y81" s="190">
        <v>44.802016999999999</v>
      </c>
      <c r="Z81" s="190">
        <v>0.99365091000000005</v>
      </c>
      <c r="AA81" s="62">
        <v>0.99620249000000005</v>
      </c>
      <c r="AB81" s="62">
        <v>9.0285720000000003E-3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2.9190719999999999</v>
      </c>
      <c r="AN81" s="122">
        <f t="shared" si="5"/>
        <v>1.6933239999999969</v>
      </c>
      <c r="AO81" s="122">
        <f t="shared" si="6"/>
        <v>-6.8489999999976625E-5</v>
      </c>
      <c r="AP81" s="122">
        <f t="shared" si="7"/>
        <v>3.9119000000009674E-4</v>
      </c>
      <c r="AQ81" s="88">
        <f t="shared" si="8"/>
        <v>-6.5680779999999998E-3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30.504632000000001</v>
      </c>
      <c r="G83" s="97">
        <v>33.855038999999998</v>
      </c>
      <c r="H83" s="97">
        <v>0.96774022000000004</v>
      </c>
      <c r="I83" s="60">
        <v>0.97337149000000001</v>
      </c>
      <c r="J83" s="60">
        <v>5.9574283999999998E-2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30.653704999999999</v>
      </c>
      <c r="Y83" s="97">
        <v>34.450449999999996</v>
      </c>
      <c r="Z83" s="97">
        <v>0.96790988</v>
      </c>
      <c r="AA83" s="60">
        <v>0.97419336000000001</v>
      </c>
      <c r="AB83" s="60">
        <v>5.2021409999999997E-2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0.14907299999999779</v>
      </c>
      <c r="AN83" s="96">
        <f t="shared" si="5"/>
        <v>0.59541099999999858</v>
      </c>
      <c r="AO83" s="96">
        <f t="shared" si="6"/>
        <v>1.696599999999604E-4</v>
      </c>
      <c r="AP83" s="96">
        <f t="shared" si="7"/>
        <v>8.2187000000000232E-4</v>
      </c>
      <c r="AQ83" s="121">
        <f t="shared" si="8"/>
        <v>-7.5528740000000011E-3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33.225603</v>
      </c>
      <c r="G84" s="190">
        <v>36.723312999999997</v>
      </c>
      <c r="H84" s="190">
        <v>0.98014716999999996</v>
      </c>
      <c r="I84" s="62">
        <v>0.98407553000000003</v>
      </c>
      <c r="J84" s="62">
        <v>3.9376434000000002E-2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34.196708000000001</v>
      </c>
      <c r="Y84" s="190">
        <v>37.495246999999999</v>
      </c>
      <c r="Z84" s="190">
        <v>0.97987402999999995</v>
      </c>
      <c r="AA84" s="62">
        <v>0.98458562999999999</v>
      </c>
      <c r="AB84" s="62">
        <v>3.3333577000000003E-2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0.97110500000000144</v>
      </c>
      <c r="AN84" s="122">
        <f t="shared" si="5"/>
        <v>0.77193400000000167</v>
      </c>
      <c r="AO84" s="122">
        <f t="shared" si="6"/>
        <v>-2.7314000000000505E-4</v>
      </c>
      <c r="AP84" s="122">
        <f t="shared" si="7"/>
        <v>5.1009999999995781E-4</v>
      </c>
      <c r="AQ84" s="88">
        <f t="shared" si="8"/>
        <v>-6.0428569999999987E-3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36.298963999999998</v>
      </c>
      <c r="G85" s="190">
        <v>40.418304999999997</v>
      </c>
      <c r="H85" s="190">
        <v>0.9888728</v>
      </c>
      <c r="I85" s="62">
        <v>0.99219478000000005</v>
      </c>
      <c r="J85" s="62">
        <v>2.5791584999999999E-2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38.159408999999997</v>
      </c>
      <c r="Y85" s="190">
        <v>41.411377999999999</v>
      </c>
      <c r="Z85" s="190">
        <v>0.98879773000000004</v>
      </c>
      <c r="AA85" s="62">
        <v>0.99242726999999997</v>
      </c>
      <c r="AB85" s="62">
        <v>1.93072E-2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1.8604449999999986</v>
      </c>
      <c r="AN85" s="122">
        <f t="shared" si="5"/>
        <v>0.99307300000000254</v>
      </c>
      <c r="AO85" s="122">
        <f t="shared" si="6"/>
        <v>-7.5069999999954895E-5</v>
      </c>
      <c r="AP85" s="122">
        <f t="shared" si="7"/>
        <v>2.324899999999186E-4</v>
      </c>
      <c r="AQ85" s="88">
        <f t="shared" si="8"/>
        <v>-6.4843849999999988E-3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39.179333999999997</v>
      </c>
      <c r="G86" s="190">
        <v>43.472152999999999</v>
      </c>
      <c r="H86" s="190">
        <v>0.99356557999999995</v>
      </c>
      <c r="I86" s="62">
        <v>0.99577068999999996</v>
      </c>
      <c r="J86" s="62">
        <v>1.3926925999999999E-2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41.853163000000002</v>
      </c>
      <c r="Y86" s="190">
        <v>44.951236999999999</v>
      </c>
      <c r="Z86" s="190">
        <v>0.99349991000000004</v>
      </c>
      <c r="AA86" s="62">
        <v>0.99622531999999997</v>
      </c>
      <c r="AB86" s="62">
        <v>8.9529870000000008E-3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2.6738290000000049</v>
      </c>
      <c r="AN86" s="122">
        <f t="shared" si="5"/>
        <v>1.4790840000000003</v>
      </c>
      <c r="AO86" s="122">
        <f t="shared" si="6"/>
        <v>-6.5669999999906636E-5</v>
      </c>
      <c r="AP86" s="122">
        <f t="shared" si="7"/>
        <v>4.5463000000001141E-4</v>
      </c>
      <c r="AQ86" s="88">
        <f t="shared" si="8"/>
        <v>-4.9739389999999984E-3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30.506453</v>
      </c>
      <c r="G88" s="97">
        <v>34.065699000000002</v>
      </c>
      <c r="H88" s="97">
        <v>0.96813229000000001</v>
      </c>
      <c r="I88" s="60">
        <v>0.97347740000000005</v>
      </c>
      <c r="J88" s="60">
        <v>5.7891036999999999E-2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30.882846000000001</v>
      </c>
      <c r="Y88" s="97">
        <v>34.672114999999998</v>
      </c>
      <c r="Z88" s="97">
        <v>0.96838590999999996</v>
      </c>
      <c r="AA88" s="60">
        <v>0.97449909999999995</v>
      </c>
      <c r="AB88" s="60">
        <v>5.0411104999999998E-2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0.3763930000000002</v>
      </c>
      <c r="AN88" s="96">
        <f t="shared" si="5"/>
        <v>0.60641599999999585</v>
      </c>
      <c r="AO88" s="96">
        <f t="shared" si="6"/>
        <v>2.5361999999995444E-4</v>
      </c>
      <c r="AP88" s="96">
        <f t="shared" si="7"/>
        <v>1.0216999999999032E-3</v>
      </c>
      <c r="AQ88" s="121">
        <f t="shared" si="8"/>
        <v>-7.4799320000000016E-3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33.477825000000003</v>
      </c>
      <c r="G89" s="190">
        <v>36.947403999999999</v>
      </c>
      <c r="H89" s="190">
        <v>0.98062110000000002</v>
      </c>
      <c r="I89" s="62">
        <v>0.98461038000000001</v>
      </c>
      <c r="J89" s="62">
        <v>3.7740704E-2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34.260821</v>
      </c>
      <c r="Y89" s="190">
        <v>37.547049999999999</v>
      </c>
      <c r="Z89" s="190">
        <v>0.98034012999999998</v>
      </c>
      <c r="AA89" s="62">
        <v>0.98505745</v>
      </c>
      <c r="AB89" s="62">
        <v>3.2581218000000002E-2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0.78299599999999714</v>
      </c>
      <c r="AN89" s="122">
        <f t="shared" si="5"/>
        <v>0.5996459999999999</v>
      </c>
      <c r="AO89" s="122">
        <f t="shared" si="6"/>
        <v>-2.8097000000004702E-4</v>
      </c>
      <c r="AP89" s="122">
        <f t="shared" si="7"/>
        <v>4.4706999999999386E-4</v>
      </c>
      <c r="AQ89" s="88">
        <f t="shared" si="8"/>
        <v>-5.1594859999999979E-3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36.749054000000001</v>
      </c>
      <c r="G90" s="190">
        <v>40.726500999999999</v>
      </c>
      <c r="H90" s="190">
        <v>0.98907822000000001</v>
      </c>
      <c r="I90" s="62">
        <v>0.99218974999999998</v>
      </c>
      <c r="J90" s="62">
        <v>2.3785336000000001E-2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38.311675000000001</v>
      </c>
      <c r="Y90" s="190">
        <v>41.584432999999997</v>
      </c>
      <c r="Z90" s="190">
        <v>0.98903412999999996</v>
      </c>
      <c r="AA90" s="62">
        <v>0.99264284999999997</v>
      </c>
      <c r="AB90" s="62">
        <v>1.8962987000000001E-2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1.562621</v>
      </c>
      <c r="AN90" s="122">
        <f t="shared" si="5"/>
        <v>0.85793199999999814</v>
      </c>
      <c r="AO90" s="122">
        <f t="shared" si="6"/>
        <v>-4.4090000000052143E-5</v>
      </c>
      <c r="AP90" s="122">
        <f t="shared" si="7"/>
        <v>4.5309999999998407E-4</v>
      </c>
      <c r="AQ90" s="88">
        <f t="shared" si="8"/>
        <v>-4.8223490000000001E-3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39.673329000000003</v>
      </c>
      <c r="G91" s="190">
        <v>43.851545000000002</v>
      </c>
      <c r="H91" s="190">
        <v>0.99377333999999995</v>
      </c>
      <c r="I91" s="62">
        <v>0.99585747999999996</v>
      </c>
      <c r="J91" s="62">
        <v>1.2670857000000001E-2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42.073621000000003</v>
      </c>
      <c r="Y91" s="190">
        <v>45.192791</v>
      </c>
      <c r="Z91" s="190">
        <v>0.99371757000000005</v>
      </c>
      <c r="AA91" s="62">
        <v>0.99632043000000003</v>
      </c>
      <c r="AB91" s="62">
        <v>8.5992029999999997E-3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2.4002920000000003</v>
      </c>
      <c r="AN91" s="122">
        <f t="shared" si="5"/>
        <v>1.3412459999999982</v>
      </c>
      <c r="AO91" s="122">
        <f t="shared" si="6"/>
        <v>-5.5769999999899511E-5</v>
      </c>
      <c r="AP91" s="122">
        <f t="shared" si="7"/>
        <v>4.6295000000007303E-4</v>
      </c>
      <c r="AQ91" s="88">
        <f t="shared" si="8"/>
        <v>-4.0716540000000009E-3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30.692250999999999</v>
      </c>
      <c r="G93" s="97">
        <v>34.376691000000001</v>
      </c>
      <c r="H93" s="97">
        <v>0.96842532999999997</v>
      </c>
      <c r="I93" s="60">
        <v>0.97444523000000005</v>
      </c>
      <c r="J93" s="60">
        <v>5.9075086999999998E-2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31.158785000000002</v>
      </c>
      <c r="Y93" s="97">
        <v>34.884129000000001</v>
      </c>
      <c r="Z93" s="97">
        <v>0.96860274000000002</v>
      </c>
      <c r="AA93" s="60">
        <v>0.97483421999999997</v>
      </c>
      <c r="AB93" s="60">
        <v>5.1752239999999998E-2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0.46653400000000289</v>
      </c>
      <c r="AN93" s="96">
        <f t="shared" si="5"/>
        <v>0.5074380000000005</v>
      </c>
      <c r="AO93" s="96">
        <f t="shared" si="6"/>
        <v>1.7741000000004448E-4</v>
      </c>
      <c r="AP93" s="96">
        <f t="shared" si="7"/>
        <v>3.8898999999992245E-4</v>
      </c>
      <c r="AQ93" s="121">
        <f t="shared" si="8"/>
        <v>-7.3228470000000004E-3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33.522762999999998</v>
      </c>
      <c r="G94" s="190">
        <v>37.168640000000003</v>
      </c>
      <c r="H94" s="190">
        <v>0.98070608999999997</v>
      </c>
      <c r="I94" s="62">
        <v>0.98510531000000001</v>
      </c>
      <c r="J94" s="62">
        <v>3.8282968000000001E-2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34.337325999999997</v>
      </c>
      <c r="Y94" s="190">
        <v>37.685892000000003</v>
      </c>
      <c r="Z94" s="190">
        <v>0.98050545</v>
      </c>
      <c r="AA94" s="62">
        <v>0.98541749999999995</v>
      </c>
      <c r="AB94" s="62">
        <v>3.3428630000000001E-2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0.8145629999999997</v>
      </c>
      <c r="AN94" s="122">
        <f t="shared" si="5"/>
        <v>0.51725199999999916</v>
      </c>
      <c r="AO94" s="122">
        <f t="shared" si="6"/>
        <v>-2.0063999999997417E-4</v>
      </c>
      <c r="AP94" s="122">
        <f t="shared" si="7"/>
        <v>3.1218999999993446E-4</v>
      </c>
      <c r="AQ94" s="88">
        <f t="shared" si="8"/>
        <v>-4.8543379999999997E-3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36.743402000000003</v>
      </c>
      <c r="G95" s="190">
        <v>40.670453000000002</v>
      </c>
      <c r="H95" s="190">
        <v>0.98922787000000001</v>
      </c>
      <c r="I95" s="62">
        <v>0.99235998999999997</v>
      </c>
      <c r="J95" s="62">
        <v>2.4386208999999999E-2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37.821092</v>
      </c>
      <c r="Y95" s="190">
        <v>41.270560000000003</v>
      </c>
      <c r="Z95" s="190">
        <v>0.98915662000000004</v>
      </c>
      <c r="AA95" s="62">
        <v>0.99263820000000003</v>
      </c>
      <c r="AB95" s="62">
        <v>2.0429635000000002E-2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1.0776899999999969</v>
      </c>
      <c r="AN95" s="122">
        <f t="shared" si="5"/>
        <v>0.60010700000000128</v>
      </c>
      <c r="AO95" s="122">
        <f t="shared" si="6"/>
        <v>-7.1249999999967173E-5</v>
      </c>
      <c r="AP95" s="122">
        <f t="shared" si="7"/>
        <v>2.7821000000005647E-4</v>
      </c>
      <c r="AQ95" s="88">
        <f t="shared" si="8"/>
        <v>-3.9565739999999974E-3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39.985708000000002</v>
      </c>
      <c r="G96" s="190">
        <v>44.116194999999998</v>
      </c>
      <c r="H96" s="190">
        <v>0.99387769999999998</v>
      </c>
      <c r="I96" s="62">
        <v>0.99593662000000005</v>
      </c>
      <c r="J96" s="62">
        <v>1.2287433E-2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41.961655</v>
      </c>
      <c r="Y96" s="190">
        <v>45.184094000000002</v>
      </c>
      <c r="Z96" s="190">
        <v>0.99379366000000002</v>
      </c>
      <c r="AA96" s="62">
        <v>0.99629255000000005</v>
      </c>
      <c r="AB96" s="62">
        <v>8.8845499999999997E-3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1.9759469999999979</v>
      </c>
      <c r="AN96" s="122">
        <f t="shared" si="5"/>
        <v>1.0678990000000042</v>
      </c>
      <c r="AO96" s="122">
        <f t="shared" si="6"/>
        <v>-8.4039999999951931E-5</v>
      </c>
      <c r="AP96" s="122">
        <f t="shared" si="7"/>
        <v>3.559300000000043E-4</v>
      </c>
      <c r="AQ96" s="88">
        <f t="shared" si="8"/>
        <v>-3.4028830000000006E-3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31.200097</v>
      </c>
      <c r="G98" s="97">
        <v>35.032724999999999</v>
      </c>
      <c r="H98" s="97">
        <v>0.96768799999999999</v>
      </c>
      <c r="I98" s="60">
        <v>0.97495796999999995</v>
      </c>
      <c r="J98" s="60">
        <v>5.6385610000000003E-2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31.245906999999999</v>
      </c>
      <c r="Y98" s="97">
        <v>35.302329</v>
      </c>
      <c r="Z98" s="97">
        <v>0.96773766000000006</v>
      </c>
      <c r="AA98" s="60">
        <v>0.97516835000000002</v>
      </c>
      <c r="AB98" s="60">
        <v>5.2920281999999999E-2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4.5809999999999462E-2</v>
      </c>
      <c r="AN98" s="96">
        <f t="shared" si="15"/>
        <v>0.26960400000000107</v>
      </c>
      <c r="AO98" s="96">
        <f t="shared" si="16"/>
        <v>4.9660000000062432E-5</v>
      </c>
      <c r="AP98" s="96">
        <f t="shared" si="17"/>
        <v>2.1038000000006551E-4</v>
      </c>
      <c r="AQ98" s="121">
        <f t="shared" si="18"/>
        <v>-3.4653280000000036E-3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34.226730000000003</v>
      </c>
      <c r="G99" s="190">
        <v>37.816426</v>
      </c>
      <c r="H99" s="190">
        <v>0.98047395000000004</v>
      </c>
      <c r="I99" s="62">
        <v>0.98535510999999998</v>
      </c>
      <c r="J99" s="62">
        <v>3.5571985E-2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34.566960999999999</v>
      </c>
      <c r="Y99" s="190">
        <v>38.088434999999997</v>
      </c>
      <c r="Z99" s="190">
        <v>0.98024791</v>
      </c>
      <c r="AA99" s="62">
        <v>0.98557790999999995</v>
      </c>
      <c r="AB99" s="62">
        <v>3.3831809999999997E-2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0.34023099999999573</v>
      </c>
      <c r="AN99" s="122">
        <f t="shared" si="15"/>
        <v>0.27200899999999706</v>
      </c>
      <c r="AO99" s="122">
        <f t="shared" si="16"/>
        <v>-2.2604000000003843E-4</v>
      </c>
      <c r="AP99" s="122">
        <f t="shared" si="17"/>
        <v>2.2279999999996747E-4</v>
      </c>
      <c r="AQ99" s="88">
        <f t="shared" si="18"/>
        <v>-1.7401750000000035E-3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37.317253999999998</v>
      </c>
      <c r="G100" s="190">
        <v>41.042479999999998</v>
      </c>
      <c r="H100" s="190">
        <v>0.98930030000000002</v>
      </c>
      <c r="I100" s="62">
        <v>0.99247538999999996</v>
      </c>
      <c r="J100" s="62">
        <v>2.2819249999999999E-2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38.123454000000002</v>
      </c>
      <c r="Y100" s="190">
        <v>41.399954999999999</v>
      </c>
      <c r="Z100" s="190">
        <v>0.98917261999999995</v>
      </c>
      <c r="AA100" s="62">
        <v>0.99253897999999996</v>
      </c>
      <c r="AB100" s="62">
        <v>2.0507350000000001E-2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0.80620000000000402</v>
      </c>
      <c r="AN100" s="122">
        <f t="shared" si="15"/>
        <v>0.35747500000000088</v>
      </c>
      <c r="AO100" s="122">
        <f t="shared" si="16"/>
        <v>-1.276800000000744E-4</v>
      </c>
      <c r="AP100" s="122">
        <f t="shared" si="17"/>
        <v>6.3590000000002256E-5</v>
      </c>
      <c r="AQ100" s="88">
        <f t="shared" si="18"/>
        <v>-2.3118999999999987E-3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40.763637000000003</v>
      </c>
      <c r="G101" s="190">
        <v>44.629862000000003</v>
      </c>
      <c r="H101" s="190">
        <v>0.99400851000000001</v>
      </c>
      <c r="I101" s="62">
        <v>0.99606444999999999</v>
      </c>
      <c r="J101" s="62">
        <v>1.1500524E-2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42.144733000000002</v>
      </c>
      <c r="Y101" s="190">
        <v>45.310751000000003</v>
      </c>
      <c r="Z101" s="190">
        <v>0.99388259000000001</v>
      </c>
      <c r="AA101" s="62">
        <v>0.99635417000000004</v>
      </c>
      <c r="AB101" s="62">
        <v>9.2335530000000002E-3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1.3810959999999994</v>
      </c>
      <c r="AN101" s="122">
        <f t="shared" si="15"/>
        <v>0.68088900000000052</v>
      </c>
      <c r="AO101" s="122">
        <f t="shared" si="16"/>
        <v>-1.2592000000000159E-4</v>
      </c>
      <c r="AP101" s="122">
        <f t="shared" si="17"/>
        <v>2.8972000000004883E-4</v>
      </c>
      <c r="AQ101" s="88">
        <f t="shared" si="18"/>
        <v>-2.2669709999999996E-3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30.891673999999998</v>
      </c>
      <c r="G103" s="97">
        <v>34.286845999999997</v>
      </c>
      <c r="H103" s="97">
        <v>0.96876554000000004</v>
      </c>
      <c r="I103" s="60">
        <v>0.97717799000000005</v>
      </c>
      <c r="J103" s="60">
        <v>7.1601090000000006E-2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31.175401000000001</v>
      </c>
      <c r="Y103" s="97">
        <v>35.415801000000002</v>
      </c>
      <c r="Z103" s="97">
        <v>0.96880080999999996</v>
      </c>
      <c r="AA103" s="60">
        <v>0.97742945000000003</v>
      </c>
      <c r="AB103" s="60">
        <v>5.9815800000000002E-2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0.2837270000000025</v>
      </c>
      <c r="AN103" s="96">
        <f t="shared" si="15"/>
        <v>1.1289550000000048</v>
      </c>
      <c r="AO103" s="96">
        <f t="shared" si="16"/>
        <v>3.5269999999920643E-5</v>
      </c>
      <c r="AP103" s="96">
        <f t="shared" si="17"/>
        <v>2.5145999999998114E-4</v>
      </c>
      <c r="AQ103" s="121">
        <f t="shared" si="18"/>
        <v>-1.1785290000000004E-2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33.513888000000001</v>
      </c>
      <c r="G104" s="190">
        <v>36.932178999999998</v>
      </c>
      <c r="H104" s="190">
        <v>0.98103441000000002</v>
      </c>
      <c r="I104" s="62">
        <v>0.98645523999999996</v>
      </c>
      <c r="J104" s="62">
        <v>4.8445635000000001E-2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34.622819999999997</v>
      </c>
      <c r="Y104" s="190">
        <v>38.265815000000003</v>
      </c>
      <c r="Z104" s="190">
        <v>0.98102056999999998</v>
      </c>
      <c r="AA104" s="62">
        <v>0.98676341999999995</v>
      </c>
      <c r="AB104" s="62">
        <v>3.7090283000000002E-2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1.1089319999999958</v>
      </c>
      <c r="AN104" s="122">
        <f t="shared" si="15"/>
        <v>1.3336360000000056</v>
      </c>
      <c r="AO104" s="122">
        <f t="shared" si="16"/>
        <v>-1.3840000000042707E-5</v>
      </c>
      <c r="AP104" s="122">
        <f t="shared" si="17"/>
        <v>3.0817999999999124E-4</v>
      </c>
      <c r="AQ104" s="88">
        <f t="shared" si="18"/>
        <v>-1.1355351999999999E-2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36.028989000000003</v>
      </c>
      <c r="G105" s="190">
        <v>40.189062</v>
      </c>
      <c r="H105" s="190">
        <v>0.98975290999999999</v>
      </c>
      <c r="I105" s="62">
        <v>0.99311974000000003</v>
      </c>
      <c r="J105" s="62">
        <v>3.1016476000000001E-2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38.757156000000002</v>
      </c>
      <c r="Y105" s="190">
        <v>41.873789000000002</v>
      </c>
      <c r="Z105" s="190">
        <v>0.98986255999999995</v>
      </c>
      <c r="AA105" s="62">
        <v>0.99359127000000003</v>
      </c>
      <c r="AB105" s="62">
        <v>1.9989936E-2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2.7281669999999991</v>
      </c>
      <c r="AN105" s="122">
        <f t="shared" si="15"/>
        <v>1.6847270000000023</v>
      </c>
      <c r="AO105" s="122">
        <f t="shared" si="16"/>
        <v>1.0964999999996117E-4</v>
      </c>
      <c r="AP105" s="122">
        <f t="shared" si="17"/>
        <v>4.7152999999999778E-4</v>
      </c>
      <c r="AQ105" s="88">
        <f t="shared" si="18"/>
        <v>-1.1026540000000001E-2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39.088518000000001</v>
      </c>
      <c r="G106" s="190">
        <v>43.431870000000004</v>
      </c>
      <c r="H106" s="190">
        <v>0.99384706</v>
      </c>
      <c r="I106" s="62">
        <v>0.99622750999999998</v>
      </c>
      <c r="J106" s="62">
        <v>1.6748056000000001E-2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42.435746999999999</v>
      </c>
      <c r="Y106" s="190">
        <v>45.352907000000002</v>
      </c>
      <c r="Z106" s="190">
        <v>0.99390694000000002</v>
      </c>
      <c r="AA106" s="62">
        <v>0.99660338999999998</v>
      </c>
      <c r="AB106" s="62">
        <v>9.9079240000000002E-3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3.3472289999999987</v>
      </c>
      <c r="AN106" s="122">
        <f t="shared" si="15"/>
        <v>1.9210369999999983</v>
      </c>
      <c r="AO106" s="122">
        <f t="shared" si="16"/>
        <v>5.9880000000012146E-5</v>
      </c>
      <c r="AP106" s="122">
        <f t="shared" si="17"/>
        <v>3.7587999999999511E-4</v>
      </c>
      <c r="AQ106" s="88">
        <f t="shared" si="18"/>
        <v>-6.8401320000000005E-3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>
        <v>31.290185999999999</v>
      </c>
      <c r="G108" s="97">
        <v>34.809119000000003</v>
      </c>
      <c r="H108" s="97">
        <v>0.97069452000000001</v>
      </c>
      <c r="I108" s="60">
        <v>0.97828090000000001</v>
      </c>
      <c r="J108" s="60">
        <v>6.2942780000000004E-2</v>
      </c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>
        <v>31.063402</v>
      </c>
      <c r="Y108" s="97">
        <v>35.370238000000001</v>
      </c>
      <c r="Z108" s="97">
        <v>0.97064914000000002</v>
      </c>
      <c r="AA108" s="60">
        <v>0.97858729</v>
      </c>
      <c r="AB108" s="60">
        <v>5.6030333000000002E-2</v>
      </c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>
        <f t="shared" si="14"/>
        <v>-0.22678399999999854</v>
      </c>
      <c r="AN108" s="96">
        <f t="shared" si="15"/>
        <v>0.56111899999999792</v>
      </c>
      <c r="AO108" s="96">
        <f t="shared" si="16"/>
        <v>-4.5379999999983767E-5</v>
      </c>
      <c r="AP108" s="96">
        <f t="shared" si="17"/>
        <v>3.0638999999998973E-4</v>
      </c>
      <c r="AQ108" s="121">
        <f t="shared" si="18"/>
        <v>-6.9124470000000021E-3</v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>
        <v>33.972735</v>
      </c>
      <c r="G109" s="190">
        <v>37.300522999999998</v>
      </c>
      <c r="H109" s="190">
        <v>0.98153665999999995</v>
      </c>
      <c r="I109" s="62">
        <v>0.98666723999999995</v>
      </c>
      <c r="J109" s="62">
        <v>4.3309010000000002E-2</v>
      </c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>
        <v>34.222270000000002</v>
      </c>
      <c r="Y109" s="190">
        <v>38.026408000000004</v>
      </c>
      <c r="Z109" s="190">
        <v>0.98140930999999998</v>
      </c>
      <c r="AA109" s="62">
        <v>0.98690655000000005</v>
      </c>
      <c r="AB109" s="62">
        <v>3.6163248000000002E-2</v>
      </c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>
        <f t="shared" si="14"/>
        <v>0.24953500000000162</v>
      </c>
      <c r="AN109" s="122">
        <f t="shared" si="15"/>
        <v>0.72588500000000522</v>
      </c>
      <c r="AO109" s="122">
        <f t="shared" si="16"/>
        <v>-1.2734999999997054E-4</v>
      </c>
      <c r="AP109" s="122">
        <f t="shared" si="17"/>
        <v>2.3931000000010361E-4</v>
      </c>
      <c r="AQ109" s="88">
        <f t="shared" si="18"/>
        <v>-7.1457619999999999E-3</v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>
        <v>37.349426000000001</v>
      </c>
      <c r="G110" s="190">
        <v>41.120111000000001</v>
      </c>
      <c r="H110" s="190">
        <v>0.98968685999999995</v>
      </c>
      <c r="I110" s="62">
        <v>0.99314919000000002</v>
      </c>
      <c r="J110" s="62">
        <v>2.641162E-2</v>
      </c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>
        <v>38.682931000000004</v>
      </c>
      <c r="Y110" s="190">
        <v>41.847177000000002</v>
      </c>
      <c r="Z110" s="190">
        <v>0.989707</v>
      </c>
      <c r="AA110" s="62">
        <v>0.99326787000000005</v>
      </c>
      <c r="AB110" s="62">
        <v>2.0812002999999999E-2</v>
      </c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>
        <f t="shared" si="14"/>
        <v>1.3335050000000024</v>
      </c>
      <c r="AN110" s="122">
        <f t="shared" si="15"/>
        <v>0.72706600000000066</v>
      </c>
      <c r="AO110" s="122">
        <f t="shared" si="16"/>
        <v>2.0140000000057334E-5</v>
      </c>
      <c r="AP110" s="122">
        <f t="shared" si="17"/>
        <v>1.1868000000003764E-4</v>
      </c>
      <c r="AQ110" s="88">
        <f t="shared" si="18"/>
        <v>-5.5996170000000012E-3</v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>
        <v>39.203989999999997</v>
      </c>
      <c r="G111" s="190">
        <v>43.63984</v>
      </c>
      <c r="H111" s="190">
        <v>0.99384304999999995</v>
      </c>
      <c r="I111" s="62">
        <v>0.99611203000000004</v>
      </c>
      <c r="J111" s="62">
        <v>1.8621081000000001E-2</v>
      </c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>
        <v>42.397078</v>
      </c>
      <c r="Y111" s="190">
        <v>45.292144999999998</v>
      </c>
      <c r="Z111" s="190">
        <v>0.99385436999999999</v>
      </c>
      <c r="AA111" s="62">
        <v>0.99656623</v>
      </c>
      <c r="AB111" s="62">
        <v>1.0383276E-2</v>
      </c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>
        <f t="shared" si="14"/>
        <v>3.193088000000003</v>
      </c>
      <c r="AN111" s="122">
        <f t="shared" si="15"/>
        <v>1.6523049999999984</v>
      </c>
      <c r="AO111" s="122">
        <f t="shared" si="16"/>
        <v>1.1320000000036856E-5</v>
      </c>
      <c r="AP111" s="122">
        <f t="shared" si="17"/>
        <v>4.5419999999996019E-4</v>
      </c>
      <c r="AQ111" s="88">
        <f t="shared" si="18"/>
        <v>-8.2378050000000008E-3</v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>
        <v>31.307379000000001</v>
      </c>
      <c r="G113" s="97">
        <v>34.876389000000003</v>
      </c>
      <c r="H113" s="97">
        <v>0.97152119000000003</v>
      </c>
      <c r="I113" s="60">
        <v>0.97890670999999996</v>
      </c>
      <c r="J113" s="60">
        <v>6.5662070000000003E-2</v>
      </c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>
        <v>31.800305999999999</v>
      </c>
      <c r="Y113" s="97">
        <v>35.445320000000002</v>
      </c>
      <c r="Z113" s="97">
        <v>0.97149450999999998</v>
      </c>
      <c r="AA113" s="60">
        <v>0.97939463999999998</v>
      </c>
      <c r="AB113" s="60">
        <v>5.6129836000000002E-2</v>
      </c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>
        <f t="shared" si="14"/>
        <v>0.49292699999999812</v>
      </c>
      <c r="AN113" s="96">
        <f t="shared" si="15"/>
        <v>0.56893099999999919</v>
      </c>
      <c r="AO113" s="96">
        <f t="shared" si="16"/>
        <v>-2.6680000000056658E-5</v>
      </c>
      <c r="AP113" s="96">
        <f t="shared" si="17"/>
        <v>4.8793000000002529E-4</v>
      </c>
      <c r="AQ113" s="121">
        <f t="shared" si="18"/>
        <v>-9.5322340000000005E-3</v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>
        <v>33.510789000000003</v>
      </c>
      <c r="G114" s="190">
        <v>37.230671999999998</v>
      </c>
      <c r="H114" s="190">
        <v>0.98188275999999997</v>
      </c>
      <c r="I114" s="62">
        <v>0.98655720999999996</v>
      </c>
      <c r="J114" s="62">
        <v>4.6633880000000003E-2</v>
      </c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>
        <v>34.493521999999999</v>
      </c>
      <c r="Y114" s="190">
        <v>37.911771999999999</v>
      </c>
      <c r="Z114" s="190">
        <v>0.98171611000000003</v>
      </c>
      <c r="AA114" s="62">
        <v>0.98700089000000002</v>
      </c>
      <c r="AB114" s="62">
        <v>3.7029649999999997E-2</v>
      </c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>
        <f t="shared" si="14"/>
        <v>0.98273299999999608</v>
      </c>
      <c r="AN114" s="122">
        <f t="shared" si="15"/>
        <v>0.6811000000000007</v>
      </c>
      <c r="AO114" s="122">
        <f t="shared" si="16"/>
        <v>-1.6664999999993491E-4</v>
      </c>
      <c r="AP114" s="122">
        <f t="shared" si="17"/>
        <v>4.4368000000005736E-4</v>
      </c>
      <c r="AQ114" s="88">
        <f t="shared" si="18"/>
        <v>-9.6042300000000053E-3</v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>
        <v>36.542417</v>
      </c>
      <c r="G115" s="190">
        <v>40.676073000000002</v>
      </c>
      <c r="H115" s="190">
        <v>0.98963670000000004</v>
      </c>
      <c r="I115" s="62">
        <v>0.99317381999999998</v>
      </c>
      <c r="J115" s="62">
        <v>3.080979E-2</v>
      </c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>
        <v>38.321027000000001</v>
      </c>
      <c r="Y115" s="190">
        <v>41.611679000000002</v>
      </c>
      <c r="Z115" s="190">
        <v>0.98960473000000004</v>
      </c>
      <c r="AA115" s="62">
        <v>0.99339593000000004</v>
      </c>
      <c r="AB115" s="62">
        <v>2.1615493999999999E-2</v>
      </c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>
        <f t="shared" si="14"/>
        <v>1.7786100000000005</v>
      </c>
      <c r="AN115" s="122">
        <f t="shared" si="15"/>
        <v>0.93560599999999994</v>
      </c>
      <c r="AO115" s="122">
        <f t="shared" si="16"/>
        <v>-3.1969999999992282E-5</v>
      </c>
      <c r="AP115" s="122">
        <f t="shared" si="17"/>
        <v>2.221100000000531E-4</v>
      </c>
      <c r="AQ115" s="88">
        <f t="shared" si="18"/>
        <v>-9.1942960000000011E-3</v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>
        <v>39.554364999999997</v>
      </c>
      <c r="G116" s="190">
        <v>43.849491999999998</v>
      </c>
      <c r="H116" s="190">
        <v>0.99387789000000004</v>
      </c>
      <c r="I116" s="62">
        <v>0.99627235999999997</v>
      </c>
      <c r="J116" s="62">
        <v>1.6568935999999999E-2</v>
      </c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>
        <v>42.279038</v>
      </c>
      <c r="Y116" s="190">
        <v>45.368228999999999</v>
      </c>
      <c r="Z116" s="190">
        <v>0.99381735000000004</v>
      </c>
      <c r="AA116" s="62">
        <v>0.99664730000000001</v>
      </c>
      <c r="AB116" s="62">
        <v>1.0021202E-2</v>
      </c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>
        <f t="shared" si="14"/>
        <v>2.7246730000000028</v>
      </c>
      <c r="AN116" s="122">
        <f t="shared" si="15"/>
        <v>1.5187370000000016</v>
      </c>
      <c r="AO116" s="122">
        <f t="shared" si="16"/>
        <v>-6.0539999999997818E-5</v>
      </c>
      <c r="AP116" s="122">
        <f t="shared" si="17"/>
        <v>3.7494000000004579E-4</v>
      </c>
      <c r="AQ116" s="88">
        <f t="shared" si="18"/>
        <v>-6.5477339999999995E-3</v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>
        <v>31.977093</v>
      </c>
      <c r="G118" s="97">
        <v>35.379707000000003</v>
      </c>
      <c r="H118" s="97">
        <v>0.97230981000000005</v>
      </c>
      <c r="I118" s="60">
        <v>0.97998803000000001</v>
      </c>
      <c r="J118" s="60">
        <v>5.8553763000000002E-2</v>
      </c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>
        <v>32.277197999999999</v>
      </c>
      <c r="Y118" s="97">
        <v>35.966518000000001</v>
      </c>
      <c r="Z118" s="97">
        <v>0.97229997000000001</v>
      </c>
      <c r="AA118" s="60">
        <v>0.98051454000000005</v>
      </c>
      <c r="AB118" s="60">
        <v>5.2166153E-2</v>
      </c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>
        <f t="shared" si="14"/>
        <v>0.30010499999999851</v>
      </c>
      <c r="AN118" s="96">
        <f t="shared" si="15"/>
        <v>0.58681099999999731</v>
      </c>
      <c r="AO118" s="96">
        <f t="shared" si="16"/>
        <v>-9.8400000000387067E-6</v>
      </c>
      <c r="AP118" s="96">
        <f t="shared" si="17"/>
        <v>5.2651000000003556E-4</v>
      </c>
      <c r="AQ118" s="121">
        <f t="shared" si="18"/>
        <v>-6.3876100000000019E-3</v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>
        <v>34.003112999999999</v>
      </c>
      <c r="G119" s="190">
        <v>37.584052999999997</v>
      </c>
      <c r="H119" s="190">
        <v>0.98210790999999997</v>
      </c>
      <c r="I119" s="62">
        <v>0.98699572000000002</v>
      </c>
      <c r="J119" s="62">
        <v>4.1352739999999999E-2</v>
      </c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>
        <v>34.963540000000002</v>
      </c>
      <c r="Y119" s="190">
        <v>38.425922999999997</v>
      </c>
      <c r="Z119" s="190">
        <v>0.98190659999999996</v>
      </c>
      <c r="AA119" s="62">
        <v>0.98749721999999995</v>
      </c>
      <c r="AB119" s="62">
        <v>3.4642680000000002E-2</v>
      </c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>
        <f t="shared" si="14"/>
        <v>0.96042700000000281</v>
      </c>
      <c r="AN119" s="122">
        <f t="shared" si="15"/>
        <v>0.84187000000000012</v>
      </c>
      <c r="AO119" s="122">
        <f t="shared" si="16"/>
        <v>-2.0131000000001009E-4</v>
      </c>
      <c r="AP119" s="122">
        <f t="shared" si="17"/>
        <v>5.0149999999993256E-4</v>
      </c>
      <c r="AQ119" s="88">
        <f t="shared" si="18"/>
        <v>-6.7100599999999969E-3</v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>
        <v>36.893611</v>
      </c>
      <c r="G120" s="190">
        <v>40.868147</v>
      </c>
      <c r="H120" s="190">
        <v>0.98948150000000001</v>
      </c>
      <c r="I120" s="62">
        <v>0.99334911999999997</v>
      </c>
      <c r="J120" s="62">
        <v>2.718684E-2</v>
      </c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>
        <v>38.581288000000001</v>
      </c>
      <c r="Y120" s="190">
        <v>41.855308999999998</v>
      </c>
      <c r="Z120" s="190">
        <v>0.98941626000000005</v>
      </c>
      <c r="AA120" s="62">
        <v>0.99353491999999999</v>
      </c>
      <c r="AB120" s="62">
        <v>2.0741608000000002E-2</v>
      </c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>
        <f t="shared" si="14"/>
        <v>1.6876770000000008</v>
      </c>
      <c r="AN120" s="122">
        <f t="shared" si="15"/>
        <v>0.98716199999999787</v>
      </c>
      <c r="AO120" s="122">
        <f t="shared" si="16"/>
        <v>-6.5239999999966436E-5</v>
      </c>
      <c r="AP120" s="122">
        <f t="shared" si="17"/>
        <v>1.8580000000001373E-4</v>
      </c>
      <c r="AQ120" s="88">
        <f t="shared" si="18"/>
        <v>-6.4452319999999987E-3</v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>
        <v>40.228369000000001</v>
      </c>
      <c r="G121" s="190">
        <v>44.318052999999999</v>
      </c>
      <c r="H121" s="190">
        <v>0.99376142999999995</v>
      </c>
      <c r="I121" s="62">
        <v>0.99625306000000002</v>
      </c>
      <c r="J121" s="62">
        <v>1.4041791E-2</v>
      </c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>
        <v>42.467281</v>
      </c>
      <c r="Y121" s="190">
        <v>45.515642</v>
      </c>
      <c r="Z121" s="190">
        <v>0.99366991000000005</v>
      </c>
      <c r="AA121" s="62">
        <v>0.99665440999999999</v>
      </c>
      <c r="AB121" s="62">
        <v>9.9450330000000007E-3</v>
      </c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>
        <f t="shared" si="14"/>
        <v>2.2389119999999991</v>
      </c>
      <c r="AN121" s="122">
        <f t="shared" si="15"/>
        <v>1.1975890000000007</v>
      </c>
      <c r="AO121" s="122">
        <f t="shared" si="16"/>
        <v>-9.151999999990057E-5</v>
      </c>
      <c r="AP121" s="122">
        <f t="shared" si="17"/>
        <v>4.0134999999996701E-4</v>
      </c>
      <c r="AQ121" s="88">
        <f t="shared" si="18"/>
        <v>-4.096757999999999E-3</v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>
        <v>32.061478999999999</v>
      </c>
      <c r="G123" s="97">
        <v>35.686695999999998</v>
      </c>
      <c r="H123" s="97">
        <v>0.97253480999999997</v>
      </c>
      <c r="I123" s="60">
        <v>0.9796861</v>
      </c>
      <c r="J123" s="60">
        <v>5.7089634E-2</v>
      </c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>
        <v>32.355477999999998</v>
      </c>
      <c r="Y123" s="97">
        <v>36.086050999999998</v>
      </c>
      <c r="Z123" s="97">
        <v>0.97258241999999995</v>
      </c>
      <c r="AA123" s="60">
        <v>0.97961776</v>
      </c>
      <c r="AB123" s="60">
        <v>5.2661467000000003E-2</v>
      </c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>
        <f t="shared" si="14"/>
        <v>0.29399899999999946</v>
      </c>
      <c r="AN123" s="96">
        <f t="shared" si="15"/>
        <v>0.3993549999999999</v>
      </c>
      <c r="AO123" s="96">
        <f t="shared" si="16"/>
        <v>4.7609999999975727E-5</v>
      </c>
      <c r="AP123" s="96">
        <f t="shared" si="17"/>
        <v>-6.8340000000000067E-5</v>
      </c>
      <c r="AQ123" s="121">
        <f t="shared" si="18"/>
        <v>-4.4281669999999967E-3</v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>
        <v>34.271987000000003</v>
      </c>
      <c r="G124" s="190">
        <v>37.723033000000001</v>
      </c>
      <c r="H124" s="190">
        <v>0.98226100000000005</v>
      </c>
      <c r="I124" s="62">
        <v>0.98712575000000002</v>
      </c>
      <c r="J124" s="62">
        <v>4.0143422999999998E-2</v>
      </c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>
        <v>34.842635000000001</v>
      </c>
      <c r="Y124" s="190">
        <v>38.280974999999998</v>
      </c>
      <c r="Z124" s="190">
        <v>0.98211961999999997</v>
      </c>
      <c r="AA124" s="62">
        <v>0.98730143000000004</v>
      </c>
      <c r="AB124" s="62">
        <v>3.5219155000000002E-2</v>
      </c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>
        <f t="shared" si="14"/>
        <v>0.57064799999999849</v>
      </c>
      <c r="AN124" s="122">
        <f t="shared" si="15"/>
        <v>0.55794199999999705</v>
      </c>
      <c r="AO124" s="122">
        <f t="shared" si="16"/>
        <v>-1.4138000000007978E-4</v>
      </c>
      <c r="AP124" s="122">
        <f t="shared" si="17"/>
        <v>1.7568000000001138E-4</v>
      </c>
      <c r="AQ124" s="88">
        <f t="shared" si="18"/>
        <v>-4.9242679999999955E-3</v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>
        <v>37.606946999999998</v>
      </c>
      <c r="G125" s="190">
        <v>41.306640000000002</v>
      </c>
      <c r="H125" s="190">
        <v>0.98966821000000005</v>
      </c>
      <c r="I125" s="62">
        <v>0.99336617999999999</v>
      </c>
      <c r="J125" s="62">
        <v>2.4599116000000001E-2</v>
      </c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>
        <v>38.738379999999999</v>
      </c>
      <c r="Y125" s="190">
        <v>41.967621999999999</v>
      </c>
      <c r="Z125" s="190">
        <v>0.9896047</v>
      </c>
      <c r="AA125" s="62">
        <v>0.99359143999999999</v>
      </c>
      <c r="AB125" s="62">
        <v>2.0766757E-2</v>
      </c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>
        <f t="shared" si="14"/>
        <v>1.1314330000000012</v>
      </c>
      <c r="AN125" s="122">
        <f t="shared" si="15"/>
        <v>0.66098199999999707</v>
      </c>
      <c r="AO125" s="122">
        <f t="shared" si="16"/>
        <v>-6.3510000000044364E-5</v>
      </c>
      <c r="AP125" s="122">
        <f t="shared" si="17"/>
        <v>2.252600000000049E-4</v>
      </c>
      <c r="AQ125" s="88">
        <f t="shared" si="18"/>
        <v>-3.8323590000000005E-3</v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>
        <v>41.030496999999997</v>
      </c>
      <c r="G126" s="190">
        <v>44.857125000000003</v>
      </c>
      <c r="H126" s="190">
        <v>0.99390120999999998</v>
      </c>
      <c r="I126" s="62">
        <v>0.99640275</v>
      </c>
      <c r="J126" s="62">
        <v>1.287598E-2</v>
      </c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>
        <v>42.830748</v>
      </c>
      <c r="Y126" s="190">
        <v>45.801822000000001</v>
      </c>
      <c r="Z126" s="190">
        <v>0.99381953000000001</v>
      </c>
      <c r="AA126" s="62">
        <v>0.99672654000000005</v>
      </c>
      <c r="AB126" s="62">
        <v>9.6904374999999994E-3</v>
      </c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>
        <f t="shared" si="14"/>
        <v>1.8002510000000029</v>
      </c>
      <c r="AN126" s="122">
        <f t="shared" si="15"/>
        <v>0.9446969999999979</v>
      </c>
      <c r="AO126" s="122">
        <f t="shared" si="16"/>
        <v>-8.1679999999972885E-5</v>
      </c>
      <c r="AP126" s="122">
        <f t="shared" si="17"/>
        <v>3.2379000000004599E-4</v>
      </c>
      <c r="AQ126" s="88">
        <f t="shared" si="18"/>
        <v>-3.185542500000001E-3</v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>
        <v>32.031561000000004</v>
      </c>
      <c r="G128" s="97">
        <v>35.852595000000001</v>
      </c>
      <c r="H128" s="97">
        <v>0.97304522000000004</v>
      </c>
      <c r="I128" s="60">
        <v>0.97958460999999997</v>
      </c>
      <c r="J128" s="60">
        <v>5.7230093000000003E-2</v>
      </c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>
        <v>32.324527000000003</v>
      </c>
      <c r="Y128" s="97">
        <v>36.111015999999999</v>
      </c>
      <c r="Z128" s="97">
        <v>0.97308855000000005</v>
      </c>
      <c r="AA128" s="60">
        <v>0.98010129999999995</v>
      </c>
      <c r="AB128" s="60">
        <v>5.3777874000000003E-2</v>
      </c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>
        <f t="shared" si="14"/>
        <v>0.29296599999999984</v>
      </c>
      <c r="AN128" s="96">
        <f t="shared" si="15"/>
        <v>0.25842099999999846</v>
      </c>
      <c r="AO128" s="96">
        <f t="shared" si="16"/>
        <v>4.3330000000008084E-5</v>
      </c>
      <c r="AP128" s="96">
        <f t="shared" si="17"/>
        <v>5.1668999999998633E-4</v>
      </c>
      <c r="AQ128" s="121">
        <f t="shared" si="18"/>
        <v>-3.4522189999999994E-3</v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>
        <v>34.099704000000003</v>
      </c>
      <c r="G129" s="190">
        <v>37.834556999999997</v>
      </c>
      <c r="H129" s="190">
        <v>0.98252967000000002</v>
      </c>
      <c r="I129" s="62">
        <v>0.98692391999999995</v>
      </c>
      <c r="J129" s="62">
        <v>3.9563358E-2</v>
      </c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>
        <v>34.548565000000004</v>
      </c>
      <c r="Y129" s="190">
        <v>38.055618000000003</v>
      </c>
      <c r="Z129" s="190">
        <v>0.98247085000000001</v>
      </c>
      <c r="AA129" s="62">
        <v>0.98722776999999995</v>
      </c>
      <c r="AB129" s="62">
        <v>3.6907796E-2</v>
      </c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>
        <f t="shared" si="14"/>
        <v>0.44886100000000084</v>
      </c>
      <c r="AN129" s="122">
        <f t="shared" si="15"/>
        <v>0.22106100000000595</v>
      </c>
      <c r="AO129" s="122">
        <f t="shared" si="16"/>
        <v>-5.8820000000014971E-5</v>
      </c>
      <c r="AP129" s="122">
        <f t="shared" si="17"/>
        <v>3.038499999999944E-4</v>
      </c>
      <c r="AQ129" s="88">
        <f t="shared" si="18"/>
        <v>-2.6555620000000002E-3</v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>
        <v>37.463017999999998</v>
      </c>
      <c r="G130" s="190">
        <v>41.130343000000003</v>
      </c>
      <c r="H130" s="190">
        <v>0.98992318999999995</v>
      </c>
      <c r="I130" s="62">
        <v>0.99325134000000004</v>
      </c>
      <c r="J130" s="62">
        <v>2.3462706999999999E-2</v>
      </c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>
        <v>38.031838</v>
      </c>
      <c r="Y130" s="190">
        <v>41.411551000000003</v>
      </c>
      <c r="Z130" s="190">
        <v>0.98983827000000002</v>
      </c>
      <c r="AA130" s="62">
        <v>0.99349476999999997</v>
      </c>
      <c r="AB130" s="62">
        <v>2.1408099999999999E-2</v>
      </c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>
        <f t="shared" si="14"/>
        <v>0.56882000000000232</v>
      </c>
      <c r="AN130" s="122">
        <f t="shared" si="15"/>
        <v>0.28120799999999946</v>
      </c>
      <c r="AO130" s="122">
        <f t="shared" si="16"/>
        <v>-8.4919999999932827E-5</v>
      </c>
      <c r="AP130" s="122">
        <f t="shared" si="17"/>
        <v>2.4342999999993342E-4</v>
      </c>
      <c r="AQ130" s="88">
        <f t="shared" si="18"/>
        <v>-2.054607E-3</v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>
        <v>41.309367999999999</v>
      </c>
      <c r="G131" s="190">
        <v>44.999827000000003</v>
      </c>
      <c r="H131" s="190">
        <v>0.99404751999999996</v>
      </c>
      <c r="I131" s="62">
        <v>0.99638674999999999</v>
      </c>
      <c r="J131" s="62">
        <v>1.1929257E-2</v>
      </c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>
        <v>42.628751999999999</v>
      </c>
      <c r="Y131" s="190">
        <v>45.656334999999999</v>
      </c>
      <c r="Z131" s="190">
        <v>0.99396205999999998</v>
      </c>
      <c r="AA131" s="62">
        <v>0.99666204999999997</v>
      </c>
      <c r="AB131" s="62">
        <v>9.7280760000000004E-3</v>
      </c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>
        <f t="shared" si="14"/>
        <v>1.3193839999999994</v>
      </c>
      <c r="AN131" s="122">
        <f t="shared" si="15"/>
        <v>0.65650799999999521</v>
      </c>
      <c r="AO131" s="122">
        <f t="shared" si="16"/>
        <v>-8.5459999999981662E-5</v>
      </c>
      <c r="AP131" s="122">
        <f t="shared" si="17"/>
        <v>2.7529999999997834E-4</v>
      </c>
      <c r="AQ131" s="88">
        <f t="shared" si="18"/>
        <v>-2.201181E-3</v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>
        <v>32.124817</v>
      </c>
      <c r="G133" s="97">
        <v>36.156072999999999</v>
      </c>
      <c r="H133" s="97">
        <v>0.97189700999999995</v>
      </c>
      <c r="I133" s="60">
        <v>0.97903804999999999</v>
      </c>
      <c r="J133" s="60">
        <v>5.8130569999999999E-2</v>
      </c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>
        <v>32.216949</v>
      </c>
      <c r="Y133" s="97">
        <v>36.368693</v>
      </c>
      <c r="Z133" s="97">
        <v>0.97182966999999998</v>
      </c>
      <c r="AA133" s="60">
        <v>0.97954112000000004</v>
      </c>
      <c r="AB133" s="60">
        <v>5.636174E-2</v>
      </c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>
        <f t="shared" si="14"/>
        <v>9.2131999999999437E-2</v>
      </c>
      <c r="AN133" s="96">
        <f t="shared" si="15"/>
        <v>0.21262000000000114</v>
      </c>
      <c r="AO133" s="96">
        <f t="shared" si="16"/>
        <v>-6.7339999999971312E-5</v>
      </c>
      <c r="AP133" s="96">
        <f t="shared" si="17"/>
        <v>5.0307000000004987E-4</v>
      </c>
      <c r="AQ133" s="121">
        <f t="shared" si="18"/>
        <v>-1.768829999999999E-3</v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>
        <v>34.436042</v>
      </c>
      <c r="G134" s="190">
        <v>38.241612000000003</v>
      </c>
      <c r="H134" s="190">
        <v>0.98232428000000005</v>
      </c>
      <c r="I134" s="62">
        <v>0.98678677000000004</v>
      </c>
      <c r="J134" s="62">
        <v>3.8389117E-2</v>
      </c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>
        <v>34.729044000000002</v>
      </c>
      <c r="Y134" s="190">
        <v>38.448428</v>
      </c>
      <c r="Z134" s="190">
        <v>0.98226484000000003</v>
      </c>
      <c r="AA134" s="62">
        <v>0.98724535999999996</v>
      </c>
      <c r="AB134" s="62">
        <v>3.771919E-2</v>
      </c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>
        <f t="shared" si="14"/>
        <v>0.29300200000000132</v>
      </c>
      <c r="AN134" s="122">
        <f t="shared" si="15"/>
        <v>0.20681599999999634</v>
      </c>
      <c r="AO134" s="122">
        <f t="shared" si="16"/>
        <v>-5.9440000000021698E-5</v>
      </c>
      <c r="AP134" s="122">
        <f t="shared" si="17"/>
        <v>4.5858999999992545E-4</v>
      </c>
      <c r="AQ134" s="88">
        <f t="shared" si="18"/>
        <v>-6.6992700000000072E-4</v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>
        <v>37.784047999999999</v>
      </c>
      <c r="G135" s="190">
        <v>41.300035999999999</v>
      </c>
      <c r="H135" s="190">
        <v>0.99010933999999995</v>
      </c>
      <c r="I135" s="62">
        <v>0.99335647999999999</v>
      </c>
      <c r="J135" s="62">
        <v>2.3009079000000002E-2</v>
      </c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>
        <v>38.149017000000001</v>
      </c>
      <c r="Y135" s="190">
        <v>41.424657000000003</v>
      </c>
      <c r="Z135" s="190">
        <v>0.99005023999999997</v>
      </c>
      <c r="AA135" s="62">
        <v>0.99336647</v>
      </c>
      <c r="AB135" s="62">
        <v>2.1966849E-2</v>
      </c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>
        <f t="shared" si="14"/>
        <v>0.3649690000000021</v>
      </c>
      <c r="AN135" s="122">
        <f t="shared" si="15"/>
        <v>0.12462100000000476</v>
      </c>
      <c r="AO135" s="122">
        <f t="shared" si="16"/>
        <v>-5.9099999999978614E-5</v>
      </c>
      <c r="AP135" s="122">
        <f t="shared" si="17"/>
        <v>9.9900000000152644E-6</v>
      </c>
      <c r="AQ135" s="88">
        <f t="shared" si="18"/>
        <v>-1.0422300000000016E-3</v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>
        <v>41.704402000000002</v>
      </c>
      <c r="G136" s="190">
        <v>45.191845000000001</v>
      </c>
      <c r="H136" s="190">
        <v>0.99412425000000004</v>
      </c>
      <c r="I136" s="62">
        <v>0.99640761</v>
      </c>
      <c r="J136" s="62">
        <v>1.1939058000000001E-2</v>
      </c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>
        <v>42.674554000000001</v>
      </c>
      <c r="Y136" s="190">
        <v>45.687010000000001</v>
      </c>
      <c r="Z136" s="190">
        <v>0.99405796999999996</v>
      </c>
      <c r="AA136" s="62">
        <v>0.99662435000000005</v>
      </c>
      <c r="AB136" s="62">
        <v>1.0162838E-2</v>
      </c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>
        <f t="shared" si="14"/>
        <v>0.97015199999999879</v>
      </c>
      <c r="AN136" s="122">
        <f t="shared" si="15"/>
        <v>0.49516500000000008</v>
      </c>
      <c r="AO136" s="122">
        <f t="shared" si="16"/>
        <v>-6.628000000008516E-5</v>
      </c>
      <c r="AP136" s="122">
        <f t="shared" si="17"/>
        <v>2.1674000000004856E-4</v>
      </c>
      <c r="AQ136" s="88">
        <f t="shared" si="18"/>
        <v>-1.7762200000000002E-3</v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26.906856000000001</v>
      </c>
      <c r="G641" s="136">
        <f t="shared" si="59"/>
        <v>30.367884</v>
      </c>
      <c r="H641" s="136">
        <f t="shared" si="59"/>
        <v>0.95871066000000005</v>
      </c>
      <c r="I641" s="136">
        <f t="shared" si="59"/>
        <v>0.96455597999999998</v>
      </c>
      <c r="J641" s="136">
        <f t="shared" si="59"/>
        <v>5.6385610000000003E-2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27.179098</v>
      </c>
      <c r="Y641" s="136">
        <f t="shared" si="60"/>
        <v>30.984999999999999</v>
      </c>
      <c r="Z641" s="136">
        <f t="shared" si="60"/>
        <v>0.95848586999999996</v>
      </c>
      <c r="AA641" s="136">
        <f t="shared" si="60"/>
        <v>0.96538214</v>
      </c>
      <c r="AB641" s="136">
        <f t="shared" si="60"/>
        <v>5.0411104999999998E-2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30.790431000000002</v>
      </c>
      <c r="G642" s="18">
        <f t="shared" si="59"/>
        <v>34.198450999999999</v>
      </c>
      <c r="H642" s="18">
        <f t="shared" si="59"/>
        <v>0.97776145000000003</v>
      </c>
      <c r="I642" s="18">
        <f t="shared" si="59"/>
        <v>0.98092376000000003</v>
      </c>
      <c r="J642" s="18">
        <f t="shared" si="59"/>
        <v>3.5571985E-2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31.682708000000002</v>
      </c>
      <c r="Y642" s="18">
        <f t="shared" si="60"/>
        <v>35.006261000000002</v>
      </c>
      <c r="Z642" s="18">
        <f t="shared" si="60"/>
        <v>0.97740673</v>
      </c>
      <c r="AA642" s="18">
        <f t="shared" si="60"/>
        <v>0.98151316</v>
      </c>
      <c r="AB642" s="18">
        <f t="shared" si="60"/>
        <v>3.2581218000000002E-2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33.798454999999997</v>
      </c>
      <c r="G643" s="18">
        <f t="shared" si="59"/>
        <v>37.850261000000003</v>
      </c>
      <c r="H643" s="18">
        <f t="shared" si="59"/>
        <v>0.98815037999999999</v>
      </c>
      <c r="I643" s="18">
        <f t="shared" si="59"/>
        <v>0.99115816999999995</v>
      </c>
      <c r="J643" s="18">
        <f t="shared" si="59"/>
        <v>2.2819249999999999E-2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35.391381000000003</v>
      </c>
      <c r="Y643" s="18">
        <f t="shared" si="60"/>
        <v>38.773296000000002</v>
      </c>
      <c r="Z643" s="18">
        <f t="shared" si="60"/>
        <v>0.98783332999999995</v>
      </c>
      <c r="AA643" s="18">
        <f t="shared" si="60"/>
        <v>0.99119721000000005</v>
      </c>
      <c r="AB643" s="18">
        <f t="shared" si="60"/>
        <v>1.8214035999999999E-2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37.759284000000001</v>
      </c>
      <c r="G644" s="18">
        <f t="shared" si="59"/>
        <v>42.061574999999998</v>
      </c>
      <c r="H644" s="18">
        <f t="shared" si="59"/>
        <v>0.99343181000000003</v>
      </c>
      <c r="I644" s="18">
        <f t="shared" si="59"/>
        <v>0.99553382999999995</v>
      </c>
      <c r="J644" s="18">
        <f t="shared" si="59"/>
        <v>1.1500524E-2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40.494540000000001</v>
      </c>
      <c r="Y644" s="18">
        <f t="shared" si="60"/>
        <v>43.480781</v>
      </c>
      <c r="Z644" s="18">
        <f t="shared" si="60"/>
        <v>0.99317036000000003</v>
      </c>
      <c r="AA644" s="18">
        <f t="shared" si="60"/>
        <v>0.99583332999999996</v>
      </c>
      <c r="AB644" s="18">
        <f t="shared" si="60"/>
        <v>8.5758594999999996E-3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32.124817</v>
      </c>
      <c r="G646" s="136">
        <f t="shared" si="61"/>
        <v>36.156072999999999</v>
      </c>
      <c r="H646" s="136">
        <f t="shared" si="61"/>
        <v>0.97304522000000004</v>
      </c>
      <c r="I646" s="136">
        <f t="shared" si="61"/>
        <v>0.97998803000000001</v>
      </c>
      <c r="J646" s="136">
        <f t="shared" si="61"/>
        <v>8.2726759999999996E-2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32.355477999999998</v>
      </c>
      <c r="Y646" s="136">
        <f t="shared" si="62"/>
        <v>36.368693</v>
      </c>
      <c r="Z646" s="136">
        <f t="shared" si="62"/>
        <v>0.97308855000000005</v>
      </c>
      <c r="AA646" s="136">
        <f t="shared" si="62"/>
        <v>0.98051454000000005</v>
      </c>
      <c r="AB646" s="136">
        <f t="shared" si="62"/>
        <v>6.6708489999999995E-2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34.436042</v>
      </c>
      <c r="G647" s="18">
        <f t="shared" si="61"/>
        <v>38.241612000000003</v>
      </c>
      <c r="H647" s="18">
        <f t="shared" si="61"/>
        <v>0.98252967000000002</v>
      </c>
      <c r="I647" s="18">
        <f t="shared" si="61"/>
        <v>0.98712575000000002</v>
      </c>
      <c r="J647" s="18">
        <f t="shared" si="61"/>
        <v>5.6608659999999998E-2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34.963540000000002</v>
      </c>
      <c r="Y647" s="18">
        <f t="shared" si="62"/>
        <v>38.448428</v>
      </c>
      <c r="Z647" s="18">
        <f t="shared" si="62"/>
        <v>0.98247085000000001</v>
      </c>
      <c r="AA647" s="18">
        <f t="shared" si="62"/>
        <v>0.98749721999999995</v>
      </c>
      <c r="AB647" s="18">
        <f t="shared" si="62"/>
        <v>4.1126717E-2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37.784047999999999</v>
      </c>
      <c r="G648" s="18">
        <f t="shared" si="61"/>
        <v>41.306640000000002</v>
      </c>
      <c r="H648" s="18">
        <f t="shared" si="61"/>
        <v>0.99010933999999995</v>
      </c>
      <c r="I648" s="18">
        <f t="shared" si="61"/>
        <v>0.99336617999999999</v>
      </c>
      <c r="J648" s="18">
        <f t="shared" si="61"/>
        <v>3.3108838000000002E-2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38.757156000000002</v>
      </c>
      <c r="Y648" s="18">
        <f t="shared" si="62"/>
        <v>41.967621999999999</v>
      </c>
      <c r="Z648" s="18">
        <f t="shared" si="62"/>
        <v>0.99005023999999997</v>
      </c>
      <c r="AA648" s="18">
        <f t="shared" si="62"/>
        <v>0.99359143999999999</v>
      </c>
      <c r="AB648" s="18">
        <f t="shared" si="62"/>
        <v>2.4469784000000001E-2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41.704402000000002</v>
      </c>
      <c r="G649" s="18">
        <f t="shared" si="61"/>
        <v>45.191845000000001</v>
      </c>
      <c r="H649" s="18">
        <f t="shared" si="61"/>
        <v>0.99412425000000004</v>
      </c>
      <c r="I649" s="18">
        <f t="shared" si="61"/>
        <v>0.99640761</v>
      </c>
      <c r="J649" s="18">
        <f t="shared" si="61"/>
        <v>1.8621081000000001E-2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42.830748</v>
      </c>
      <c r="Y649" s="18">
        <f t="shared" si="62"/>
        <v>45.801822000000001</v>
      </c>
      <c r="Z649" s="18">
        <f t="shared" si="62"/>
        <v>0.99405796999999996</v>
      </c>
      <c r="AA649" s="18">
        <f t="shared" si="62"/>
        <v>0.99672654000000005</v>
      </c>
      <c r="AB649" s="18">
        <f t="shared" si="62"/>
        <v>1.0613447E-2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5.217960999999999</v>
      </c>
      <c r="G651" s="136">
        <f t="shared" si="63"/>
        <v>5.7881889999999991</v>
      </c>
      <c r="H651" s="136">
        <f t="shared" si="63"/>
        <v>1.4334559999999996E-2</v>
      </c>
      <c r="I651" s="136">
        <f t="shared" si="63"/>
        <v>1.543205000000003E-2</v>
      </c>
      <c r="J651" s="136">
        <f t="shared" si="63"/>
        <v>2.6341149999999994E-2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5.1763799999999982</v>
      </c>
      <c r="Y651" s="136">
        <f t="shared" si="64"/>
        <v>5.3836930000000009</v>
      </c>
      <c r="Z651" s="136">
        <f t="shared" si="64"/>
        <v>1.460268000000009E-2</v>
      </c>
      <c r="AA651" s="136">
        <f t="shared" si="64"/>
        <v>1.5132400000000046E-2</v>
      </c>
      <c r="AB651" s="136">
        <f t="shared" si="64"/>
        <v>1.6297384999999998E-2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3.6456109999999988</v>
      </c>
      <c r="G652" s="18">
        <f t="shared" si="63"/>
        <v>4.0431610000000049</v>
      </c>
      <c r="H652" s="18">
        <f t="shared" si="63"/>
        <v>4.7682199999999897E-3</v>
      </c>
      <c r="I652" s="18">
        <f t="shared" si="63"/>
        <v>6.2019899999999906E-3</v>
      </c>
      <c r="J652" s="18">
        <f t="shared" si="63"/>
        <v>2.1036674999999998E-2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3.2808320000000002</v>
      </c>
      <c r="Y652" s="18">
        <f t="shared" si="64"/>
        <v>3.4421669999999978</v>
      </c>
      <c r="Z652" s="18">
        <f t="shared" si="64"/>
        <v>5.0641200000000053E-3</v>
      </c>
      <c r="AA652" s="18">
        <f t="shared" si="64"/>
        <v>5.9840599999999577E-3</v>
      </c>
      <c r="AB652" s="18">
        <f t="shared" si="64"/>
        <v>8.5454989999999981E-3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3.9855930000000015</v>
      </c>
      <c r="G653" s="18">
        <f t="shared" si="63"/>
        <v>3.4563789999999983</v>
      </c>
      <c r="H653" s="18">
        <f t="shared" si="63"/>
        <v>1.9589599999999541E-3</v>
      </c>
      <c r="I653" s="18">
        <f t="shared" si="63"/>
        <v>2.208010000000038E-3</v>
      </c>
      <c r="J653" s="18">
        <f t="shared" si="63"/>
        <v>1.0289588000000002E-2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3.3657749999999993</v>
      </c>
      <c r="Y653" s="18">
        <f t="shared" si="64"/>
        <v>3.1943259999999967</v>
      </c>
      <c r="Z653" s="18">
        <f t="shared" si="64"/>
        <v>2.2169100000000164E-3</v>
      </c>
      <c r="AA653" s="18">
        <f t="shared" si="64"/>
        <v>2.3942299999999417E-3</v>
      </c>
      <c r="AB653" s="18">
        <f t="shared" si="64"/>
        <v>6.2557480000000019E-3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3.9451180000000008</v>
      </c>
      <c r="G654" s="18">
        <f t="shared" si="63"/>
        <v>3.130270000000003</v>
      </c>
      <c r="H654" s="18">
        <f t="shared" si="63"/>
        <v>6.9244000000001638E-4</v>
      </c>
      <c r="I654" s="18">
        <f t="shared" si="63"/>
        <v>8.7378000000004619E-4</v>
      </c>
      <c r="J654" s="18">
        <f t="shared" si="63"/>
        <v>7.1205570000000013E-3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2.3362079999999992</v>
      </c>
      <c r="Y654" s="18">
        <f t="shared" si="64"/>
        <v>2.321041000000001</v>
      </c>
      <c r="Z654" s="18">
        <f t="shared" si="64"/>
        <v>8.8760999999992762E-4</v>
      </c>
      <c r="AA654" s="18">
        <f t="shared" si="64"/>
        <v>8.9321000000008866E-4</v>
      </c>
      <c r="AB654" s="18">
        <f t="shared" si="64"/>
        <v>2.0375875000000002E-3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13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cinema_semitrack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cinema_semitrack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28316.847999999998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30.214093190476195</v>
      </c>
      <c r="G5" s="30">
        <f t="shared" si="0"/>
        <v>33.832055285714283</v>
      </c>
      <c r="H5" s="30">
        <f t="shared" si="0"/>
        <v>0.96582942476190481</v>
      </c>
      <c r="I5" s="91">
        <f t="shared" si="0"/>
        <v>0.9725471133333331</v>
      </c>
      <c r="J5" s="91">
        <f t="shared" si="0"/>
        <v>6.5973396238095255E-2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28063.08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30.57322266666667</v>
      </c>
      <c r="Y5" s="30">
        <f t="shared" si="2"/>
        <v>34.432709619047628</v>
      </c>
      <c r="Z5" s="30">
        <f t="shared" si="2"/>
        <v>0.96572328523809503</v>
      </c>
      <c r="AA5" s="91">
        <f t="shared" si="2"/>
        <v>0.97317759000000004</v>
      </c>
      <c r="AB5" s="91">
        <f t="shared" si="2"/>
        <v>5.746704323809524E-2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-0.14136539253158753</v>
      </c>
      <c r="AN5" s="245">
        <f>bdrate($E5:$E8,G5:G8,$W5:$W8,Y5:Y8)</f>
        <v>-0.1058896198150906</v>
      </c>
      <c r="AO5" s="245">
        <f>bdrate($E5:$E8,H5:H8,$W5:$W8,Z5:Z8)</f>
        <v>-7.4156112507972605E-3</v>
      </c>
      <c r="AP5" s="245">
        <f>bdrate($E5:$E8,I5:I8,$W5:$W8,AA5:AA8)</f>
        <v>-3.7966226145796367E-2</v>
      </c>
      <c r="AQ5" s="246">
        <f>bdrateInverted($E5:$E8,J5:J8,$W5:$W8,AB5:AB8)</f>
        <v>-0.16835589343062496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41126.480000000003</v>
      </c>
      <c r="F6" s="91">
        <f t="shared" si="0"/>
        <v>32.999578714285725</v>
      </c>
      <c r="G6" s="91">
        <f t="shared" si="0"/>
        <v>36.531831238095236</v>
      </c>
      <c r="H6" s="91">
        <f t="shared" si="0"/>
        <v>0.97901262523809529</v>
      </c>
      <c r="I6" s="91">
        <f t="shared" si="0"/>
        <v>0.98376468238095238</v>
      </c>
      <c r="J6" s="91">
        <f t="shared" si="0"/>
        <v>4.448833447619048E-2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40549.728000000003</v>
      </c>
      <c r="X6" s="91">
        <f t="shared" si="2"/>
        <v>33.892589761904759</v>
      </c>
      <c r="Y6" s="91">
        <f t="shared" si="2"/>
        <v>37.261800000000001</v>
      </c>
      <c r="Z6" s="91">
        <f t="shared" si="2"/>
        <v>0.978892940952381</v>
      </c>
      <c r="AA6" s="91">
        <f t="shared" si="2"/>
        <v>0.98446825666666649</v>
      </c>
      <c r="AB6" s="91">
        <f t="shared" si="2"/>
        <v>3.6774379809523805E-2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61865.04</v>
      </c>
      <c r="F7" s="91">
        <f t="shared" si="0"/>
        <v>36.248342999999991</v>
      </c>
      <c r="G7" s="91">
        <f t="shared" si="0"/>
        <v>40.276491190476186</v>
      </c>
      <c r="H7" s="91">
        <f t="shared" si="0"/>
        <v>0.98868709857142867</v>
      </c>
      <c r="I7" s="91">
        <f t="shared" si="0"/>
        <v>0.99210457047619049</v>
      </c>
      <c r="J7" s="91">
        <f t="shared" si="0"/>
        <v>2.7850360190476191E-2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61100.84</v>
      </c>
      <c r="X7" s="91">
        <f t="shared" si="2"/>
        <v>37.87540666666667</v>
      </c>
      <c r="Y7" s="91">
        <f t="shared" si="2"/>
        <v>41.190098428571432</v>
      </c>
      <c r="Z7" s="91">
        <f t="shared" si="2"/>
        <v>0.98854986666666667</v>
      </c>
      <c r="AA7" s="91">
        <f t="shared" si="2"/>
        <v>0.9924200871428569</v>
      </c>
      <c r="AB7" s="91">
        <f t="shared" si="2"/>
        <v>2.126328380952381E-2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90416.760000000009</v>
      </c>
      <c r="F8" s="91">
        <f t="shared" si="0"/>
        <v>39.028174857142858</v>
      </c>
      <c r="G8" s="91">
        <f t="shared" si="0"/>
        <v>43.229996952380951</v>
      </c>
      <c r="H8" s="91">
        <f t="shared" si="0"/>
        <v>0.99344393809523812</v>
      </c>
      <c r="I8" s="91">
        <f t="shared" si="0"/>
        <v>0.99578089857142849</v>
      </c>
      <c r="J8" s="91">
        <f t="shared" si="0"/>
        <v>1.5608584595238097E-2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89609.776000000013</v>
      </c>
      <c r="X8" s="91">
        <f t="shared" si="2"/>
        <v>41.65032038095238</v>
      </c>
      <c r="Y8" s="91">
        <f t="shared" si="2"/>
        <v>44.764042857142854</v>
      </c>
      <c r="Z8" s="91">
        <f t="shared" si="2"/>
        <v>0.99336029666666648</v>
      </c>
      <c r="AA8" s="91">
        <f t="shared" si="2"/>
        <v>0.99616031761904755</v>
      </c>
      <c r="AB8" s="91">
        <f t="shared" si="2"/>
        <v>9.9106832619047635E-3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4688.8959999999997</v>
      </c>
      <c r="F16" s="167">
        <v>6056.2079999999996</v>
      </c>
      <c r="G16" s="167">
        <v>1130.7760000000001</v>
      </c>
      <c r="H16" s="167">
        <v>388.36</v>
      </c>
      <c r="I16" s="167">
        <v>167.80799999999999</v>
      </c>
      <c r="J16" s="167">
        <v>8771.848</v>
      </c>
      <c r="K16" s="60">
        <v>5224.8</v>
      </c>
      <c r="L16" s="60">
        <v>1888.152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4688.8959999999997</v>
      </c>
      <c r="X16" s="167">
        <v>6056.2079999999996</v>
      </c>
      <c r="Y16" s="167">
        <v>1020.824</v>
      </c>
      <c r="Z16" s="167">
        <v>309.976</v>
      </c>
      <c r="AA16" s="167">
        <v>102.376</v>
      </c>
      <c r="AB16" s="167">
        <v>8771.848</v>
      </c>
      <c r="AC16" s="60">
        <v>5224.8</v>
      </c>
      <c r="AD16" s="60">
        <v>1888.152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4688.8959999999997</v>
      </c>
      <c r="F17" s="168">
        <v>7941.5919999999996</v>
      </c>
      <c r="G17" s="168">
        <v>4043.28</v>
      </c>
      <c r="H17" s="168">
        <v>2044.9680000000001</v>
      </c>
      <c r="I17" s="168">
        <v>1498.336</v>
      </c>
      <c r="J17" s="168">
        <v>11323.12</v>
      </c>
      <c r="K17" s="62">
        <v>7088.4719999999998</v>
      </c>
      <c r="L17" s="62">
        <v>2497.8159999999998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4688.8959999999997</v>
      </c>
      <c r="X17" s="168">
        <v>7941.5919999999996</v>
      </c>
      <c r="Y17" s="168">
        <v>3913.8879999999999</v>
      </c>
      <c r="Z17" s="168">
        <v>1860.4480000000001</v>
      </c>
      <c r="AA17" s="168">
        <v>1235.4960000000001</v>
      </c>
      <c r="AB17" s="168">
        <v>11323.12</v>
      </c>
      <c r="AC17" s="62">
        <v>7088.4719999999998</v>
      </c>
      <c r="AD17" s="62">
        <v>2497.8159999999998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4688.8959999999997</v>
      </c>
      <c r="F18" s="168">
        <v>9902.32</v>
      </c>
      <c r="G18" s="168">
        <v>8648.4</v>
      </c>
      <c r="H18" s="168">
        <v>6395.5360000000001</v>
      </c>
      <c r="I18" s="168">
        <v>6107.9359999999997</v>
      </c>
      <c r="J18" s="168">
        <v>13961.536</v>
      </c>
      <c r="K18" s="62">
        <v>9035.2880000000005</v>
      </c>
      <c r="L18" s="62">
        <v>3125.1280000000002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4688.8959999999997</v>
      </c>
      <c r="X18" s="168">
        <v>9902.32</v>
      </c>
      <c r="Y18" s="168">
        <v>8505.92</v>
      </c>
      <c r="Z18" s="168">
        <v>6143.1040000000003</v>
      </c>
      <c r="AA18" s="168">
        <v>5738.6480000000001</v>
      </c>
      <c r="AB18" s="168">
        <v>13961.536</v>
      </c>
      <c r="AC18" s="62">
        <v>9035.2880000000005</v>
      </c>
      <c r="AD18" s="62">
        <v>3125.1280000000002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4688.8959999999997</v>
      </c>
      <c r="F19" s="168">
        <v>11776.415999999999</v>
      </c>
      <c r="G19" s="168">
        <v>13866.175999999999</v>
      </c>
      <c r="H19" s="168">
        <v>13459.6</v>
      </c>
      <c r="I19" s="168">
        <v>15053.32</v>
      </c>
      <c r="J19" s="168">
        <v>16708.376</v>
      </c>
      <c r="K19" s="62">
        <v>11084.592000000001</v>
      </c>
      <c r="L19" s="62">
        <v>3779.384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4688.8959999999997</v>
      </c>
      <c r="X19" s="168">
        <v>11776.415999999999</v>
      </c>
      <c r="Y19" s="168">
        <v>13717.6</v>
      </c>
      <c r="Z19" s="168">
        <v>13186.96</v>
      </c>
      <c r="AA19" s="168">
        <v>14667.552</v>
      </c>
      <c r="AB19" s="168">
        <v>16708.376</v>
      </c>
      <c r="AC19" s="62">
        <v>11084.592000000001</v>
      </c>
      <c r="AD19" s="62">
        <v>3779.384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28316.847999999998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28063.08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41126.480000000003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40549.728000000003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61865.04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61100.84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90416.760000000009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89609.776000000013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27.577456000000002</v>
      </c>
      <c r="G33" s="97">
        <v>31.134187000000001</v>
      </c>
      <c r="H33" s="97">
        <v>0.95943495000000001</v>
      </c>
      <c r="I33" s="60">
        <v>0.96601981000000003</v>
      </c>
      <c r="J33" s="60">
        <v>8.3524169999999995E-2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27.991402000000001</v>
      </c>
      <c r="Y33" s="97">
        <v>32.013744000000003</v>
      </c>
      <c r="Z33" s="97">
        <v>0.95923464999999997</v>
      </c>
      <c r="AA33" s="60">
        <v>0.96717145999999998</v>
      </c>
      <c r="AB33" s="60">
        <v>6.5771099999999999E-2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0.41394599999999926</v>
      </c>
      <c r="AN33" s="96">
        <f t="shared" ref="AN33:AN96" si="5">IF(OR(Y33="",G33=""),"",Y33-G33)</f>
        <v>0.87955700000000192</v>
      </c>
      <c r="AO33" s="96">
        <f t="shared" ref="AO33:AO96" si="6">IF(OR(Z33="",H33=""),"",Z33-H33)</f>
        <v>-2.0030000000004211E-4</v>
      </c>
      <c r="AP33" s="96">
        <f t="shared" ref="AP33:AP96" si="7">IF(OR(AA33="",I33=""),"",AA33-I33)</f>
        <v>1.1516499999999485E-3</v>
      </c>
      <c r="AQ33" s="121">
        <f t="shared" ref="AQ33:AQ96" si="8">IF(OR(AB33="",J33=""),"",AB33-J33)</f>
        <v>-1.7753069999999996E-2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30.759060000000002</v>
      </c>
      <c r="G34" s="190">
        <v>34.076340999999999</v>
      </c>
      <c r="H34" s="190">
        <v>0.97693960999999996</v>
      </c>
      <c r="I34" s="62">
        <v>0.98018503000000001</v>
      </c>
      <c r="J34" s="62">
        <v>5.8090188000000001E-2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31.819542999999999</v>
      </c>
      <c r="Y34" s="190">
        <v>34.972994999999997</v>
      </c>
      <c r="Z34" s="190">
        <v>0.97706377</v>
      </c>
      <c r="AA34" s="62">
        <v>0.98156560000000004</v>
      </c>
      <c r="AB34" s="62">
        <v>4.0807214000000001E-2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1.0604829999999978</v>
      </c>
      <c r="AN34" s="122">
        <f t="shared" si="5"/>
        <v>0.89665399999999806</v>
      </c>
      <c r="AO34" s="122">
        <f t="shared" si="6"/>
        <v>1.2416000000003979E-4</v>
      </c>
      <c r="AP34" s="122">
        <f t="shared" si="7"/>
        <v>1.3805700000000254E-3</v>
      </c>
      <c r="AQ34" s="88">
        <f t="shared" si="8"/>
        <v>-1.7282974E-2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34.701622</v>
      </c>
      <c r="G35" s="190">
        <v>39.048186000000001</v>
      </c>
      <c r="H35" s="190">
        <v>0.98871198000000005</v>
      </c>
      <c r="I35" s="62">
        <v>0.99178215999999997</v>
      </c>
      <c r="J35" s="62">
        <v>3.3094823000000002E-2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36.859104000000002</v>
      </c>
      <c r="Y35" s="190">
        <v>40.188541999999998</v>
      </c>
      <c r="Z35" s="190">
        <v>0.98867963999999997</v>
      </c>
      <c r="AA35" s="62">
        <v>0.99201070000000002</v>
      </c>
      <c r="AB35" s="62">
        <v>2.2451390000000002E-2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2.1574820000000017</v>
      </c>
      <c r="AN35" s="122">
        <f t="shared" si="5"/>
        <v>1.140355999999997</v>
      </c>
      <c r="AO35" s="122">
        <f t="shared" si="6"/>
        <v>-3.2340000000075086E-5</v>
      </c>
      <c r="AP35" s="122">
        <f t="shared" si="7"/>
        <v>2.2854000000005481E-4</v>
      </c>
      <c r="AQ35" s="88">
        <f t="shared" si="8"/>
        <v>-1.0643433000000001E-2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37.285139999999998</v>
      </c>
      <c r="G36" s="190">
        <v>41.695649000000003</v>
      </c>
      <c r="H36" s="190">
        <v>0.99349675000000004</v>
      </c>
      <c r="I36" s="62">
        <v>0.99566268000000002</v>
      </c>
      <c r="J36" s="62">
        <v>1.9023346E-2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40.752868999999997</v>
      </c>
      <c r="Y36" s="190">
        <v>43.884220999999997</v>
      </c>
      <c r="Z36" s="190">
        <v>0.99350897000000005</v>
      </c>
      <c r="AA36" s="62">
        <v>0.99601074999999994</v>
      </c>
      <c r="AB36" s="62">
        <v>9.8145920000000005E-3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3.4677289999999985</v>
      </c>
      <c r="AN36" s="122">
        <f t="shared" si="5"/>
        <v>2.1885719999999935</v>
      </c>
      <c r="AO36" s="122">
        <f t="shared" si="6"/>
        <v>1.2220000000007225E-5</v>
      </c>
      <c r="AP36" s="122">
        <f t="shared" si="7"/>
        <v>3.4806999999992261E-4</v>
      </c>
      <c r="AQ36" s="88">
        <f t="shared" si="8"/>
        <v>-9.2087539999999996E-3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28.193349000000001</v>
      </c>
      <c r="G38" s="97">
        <v>31.808422</v>
      </c>
      <c r="H38" s="97">
        <v>0.96085564000000001</v>
      </c>
      <c r="I38" s="60">
        <v>0.96608455999999998</v>
      </c>
      <c r="J38" s="60">
        <v>7.6065703999999998E-2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28.599553</v>
      </c>
      <c r="Y38" s="97">
        <v>32.539541</v>
      </c>
      <c r="Z38" s="97">
        <v>0.96077539000000001</v>
      </c>
      <c r="AA38" s="60">
        <v>0.96705585999999999</v>
      </c>
      <c r="AB38" s="60">
        <v>6.1999850000000002E-2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0.4062039999999989</v>
      </c>
      <c r="AN38" s="96">
        <f t="shared" si="5"/>
        <v>0.73111899999999963</v>
      </c>
      <c r="AO38" s="96">
        <f t="shared" si="6"/>
        <v>-8.0250000000003929E-5</v>
      </c>
      <c r="AP38" s="96">
        <f t="shared" si="7"/>
        <v>9.7130000000000827E-4</v>
      </c>
      <c r="AQ38" s="121">
        <f t="shared" si="8"/>
        <v>-1.4065853999999996E-2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31.252689</v>
      </c>
      <c r="G39" s="190">
        <v>34.732500999999999</v>
      </c>
      <c r="H39" s="190">
        <v>0.97719151000000004</v>
      </c>
      <c r="I39" s="62">
        <v>0.98035265999999999</v>
      </c>
      <c r="J39" s="62">
        <v>5.4013060000000002E-2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32.462969999999999</v>
      </c>
      <c r="Y39" s="190">
        <v>35.744821999999999</v>
      </c>
      <c r="Z39" s="190">
        <v>0.97709082999999997</v>
      </c>
      <c r="AA39" s="62">
        <v>0.98152044000000005</v>
      </c>
      <c r="AB39" s="62">
        <v>4.0037113999999999E-2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1.2102809999999984</v>
      </c>
      <c r="AN39" s="122">
        <f t="shared" si="5"/>
        <v>1.012321</v>
      </c>
      <c r="AO39" s="122">
        <f t="shared" si="6"/>
        <v>-1.0068000000007515E-4</v>
      </c>
      <c r="AP39" s="122">
        <f t="shared" si="7"/>
        <v>1.1677800000000627E-3</v>
      </c>
      <c r="AQ39" s="88">
        <f t="shared" si="8"/>
        <v>-1.3975946000000003E-2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35.001336999999999</v>
      </c>
      <c r="G40" s="190">
        <v>39.219678999999999</v>
      </c>
      <c r="H40" s="190">
        <v>0.98841422000000001</v>
      </c>
      <c r="I40" s="62">
        <v>0.9914191</v>
      </c>
      <c r="J40" s="62">
        <v>3.1824815999999999E-2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36.931344000000003</v>
      </c>
      <c r="Y40" s="190">
        <v>40.275989000000003</v>
      </c>
      <c r="Z40" s="190">
        <v>0.98829769999999995</v>
      </c>
      <c r="AA40" s="62">
        <v>0.99168133000000003</v>
      </c>
      <c r="AB40" s="62">
        <v>2.3152611999999999E-2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1.9300070000000034</v>
      </c>
      <c r="AN40" s="122">
        <f t="shared" si="5"/>
        <v>1.0563100000000034</v>
      </c>
      <c r="AO40" s="122">
        <f t="shared" si="6"/>
        <v>-1.1652000000006435E-4</v>
      </c>
      <c r="AP40" s="122">
        <f t="shared" si="7"/>
        <v>2.6223000000002994E-4</v>
      </c>
      <c r="AQ40" s="88">
        <f t="shared" si="8"/>
        <v>-8.6722039999999993E-3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37.389982000000003</v>
      </c>
      <c r="G41" s="190">
        <v>41.763351</v>
      </c>
      <c r="H41" s="190">
        <v>0.99333020999999999</v>
      </c>
      <c r="I41" s="62">
        <v>0.99550910000000004</v>
      </c>
      <c r="J41" s="62">
        <v>1.8921693999999999E-2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40.667372999999998</v>
      </c>
      <c r="Y41" s="190">
        <v>43.837330999999999</v>
      </c>
      <c r="Z41" s="190">
        <v>0.99330868000000005</v>
      </c>
      <c r="AA41" s="62">
        <v>0.99587124999999999</v>
      </c>
      <c r="AB41" s="62">
        <v>1.0014851E-2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3.2773909999999944</v>
      </c>
      <c r="AN41" s="122">
        <f t="shared" si="5"/>
        <v>2.0739799999999988</v>
      </c>
      <c r="AO41" s="122">
        <f t="shared" si="6"/>
        <v>-2.1529999999936322E-5</v>
      </c>
      <c r="AP41" s="122">
        <f t="shared" si="7"/>
        <v>3.6214999999995001E-4</v>
      </c>
      <c r="AQ41" s="88">
        <f t="shared" si="8"/>
        <v>-8.9068429999999994E-3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28.768204000000001</v>
      </c>
      <c r="G43" s="97">
        <v>32.409649999999999</v>
      </c>
      <c r="H43" s="97">
        <v>0.96211438999999999</v>
      </c>
      <c r="I43" s="60">
        <v>0.96779749999999998</v>
      </c>
      <c r="J43" s="60">
        <v>7.4610220000000005E-2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29.147773999999998</v>
      </c>
      <c r="Y43" s="97">
        <v>32.959705999999997</v>
      </c>
      <c r="Z43" s="97">
        <v>0.96186715</v>
      </c>
      <c r="AA43" s="60">
        <v>0.96848913999999997</v>
      </c>
      <c r="AB43" s="60">
        <v>6.3780660000000003E-2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0.37956999999999752</v>
      </c>
      <c r="AN43" s="96">
        <f t="shared" si="5"/>
        <v>0.55005599999999788</v>
      </c>
      <c r="AO43" s="96">
        <f t="shared" si="6"/>
        <v>-2.4723999999998192E-4</v>
      </c>
      <c r="AP43" s="96">
        <f t="shared" si="7"/>
        <v>6.9163999999999337E-4</v>
      </c>
      <c r="AQ43" s="121">
        <f t="shared" si="8"/>
        <v>-1.0829560000000002E-2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31.693356999999999</v>
      </c>
      <c r="G44" s="190">
        <v>35.252952999999998</v>
      </c>
      <c r="H44" s="190">
        <v>0.97751454999999998</v>
      </c>
      <c r="I44" s="62">
        <v>0.98098412000000001</v>
      </c>
      <c r="J44" s="62">
        <v>5.0052739999999998E-2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32.742885000000001</v>
      </c>
      <c r="Y44" s="190">
        <v>36.020294</v>
      </c>
      <c r="Z44" s="190">
        <v>0.97715198000000003</v>
      </c>
      <c r="AA44" s="62">
        <v>0.98202060999999996</v>
      </c>
      <c r="AB44" s="62">
        <v>4.0995110000000001E-2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1.0495280000000022</v>
      </c>
      <c r="AN44" s="122">
        <f t="shared" si="5"/>
        <v>0.76734100000000183</v>
      </c>
      <c r="AO44" s="122">
        <f t="shared" si="6"/>
        <v>-3.6256999999995099E-4</v>
      </c>
      <c r="AP44" s="122">
        <f t="shared" si="7"/>
        <v>1.0364899999999455E-3</v>
      </c>
      <c r="AQ44" s="88">
        <f t="shared" si="8"/>
        <v>-9.0576299999999971E-3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35.019258999999998</v>
      </c>
      <c r="G45" s="190">
        <v>39.286160000000002</v>
      </c>
      <c r="H45" s="190">
        <v>0.98840072000000001</v>
      </c>
      <c r="I45" s="62">
        <v>0.99148994999999995</v>
      </c>
      <c r="J45" s="62">
        <v>3.2509700000000002E-2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36.915816</v>
      </c>
      <c r="Y45" s="190">
        <v>40.334181999999998</v>
      </c>
      <c r="Z45" s="190">
        <v>0.98799932000000001</v>
      </c>
      <c r="AA45" s="62">
        <v>0.99158376000000004</v>
      </c>
      <c r="AB45" s="62">
        <v>2.3924407000000002E-2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1.8965570000000014</v>
      </c>
      <c r="AN45" s="122">
        <f t="shared" si="5"/>
        <v>1.048021999999996</v>
      </c>
      <c r="AO45" s="122">
        <f t="shared" si="6"/>
        <v>-4.013999999999962E-4</v>
      </c>
      <c r="AP45" s="122">
        <f t="shared" si="7"/>
        <v>9.3810000000082994E-5</v>
      </c>
      <c r="AQ45" s="88">
        <f t="shared" si="8"/>
        <v>-8.5852930000000008E-3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37.792676</v>
      </c>
      <c r="G46" s="190">
        <v>42.168708000000002</v>
      </c>
      <c r="H46" s="190">
        <v>0.99332200999999998</v>
      </c>
      <c r="I46" s="62">
        <v>0.99553944999999999</v>
      </c>
      <c r="J46" s="62">
        <v>1.8137565000000001E-2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40.681055000000001</v>
      </c>
      <c r="Y46" s="190">
        <v>43.888770999999998</v>
      </c>
      <c r="Z46" s="190">
        <v>0.99312955999999997</v>
      </c>
      <c r="AA46" s="62">
        <v>0.99579470999999997</v>
      </c>
      <c r="AB46" s="62">
        <v>1.0503422E-2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2.8883790000000005</v>
      </c>
      <c r="AN46" s="122">
        <f t="shared" si="5"/>
        <v>1.7200629999999961</v>
      </c>
      <c r="AO46" s="122">
        <f t="shared" si="6"/>
        <v>-1.9245000000001067E-4</v>
      </c>
      <c r="AP46" s="122">
        <f t="shared" si="7"/>
        <v>2.5525999999997939E-4</v>
      </c>
      <c r="AQ46" s="88">
        <f t="shared" si="8"/>
        <v>-7.6341430000000012E-3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29.646042999999999</v>
      </c>
      <c r="G48" s="97">
        <v>33.106610000000003</v>
      </c>
      <c r="H48" s="97">
        <v>0.96270007999999996</v>
      </c>
      <c r="I48" s="60">
        <v>0.96883207999999998</v>
      </c>
      <c r="J48" s="60">
        <v>6.692476E-2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29.84751</v>
      </c>
      <c r="Y48" s="97">
        <v>33.598197999999996</v>
      </c>
      <c r="Z48" s="97">
        <v>0.96240466000000002</v>
      </c>
      <c r="AA48" s="60">
        <v>0.96942435000000005</v>
      </c>
      <c r="AB48" s="60">
        <v>5.9248723000000003E-2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0.20146700000000095</v>
      </c>
      <c r="AN48" s="96">
        <f t="shared" si="5"/>
        <v>0.49158799999999303</v>
      </c>
      <c r="AO48" s="96">
        <f t="shared" si="6"/>
        <v>-2.9541999999993518E-4</v>
      </c>
      <c r="AP48" s="96">
        <f t="shared" si="7"/>
        <v>5.9227000000006136E-4</v>
      </c>
      <c r="AQ48" s="121">
        <f t="shared" si="8"/>
        <v>-7.6760369999999967E-3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32.635077000000003</v>
      </c>
      <c r="G49" s="190">
        <v>36.090877999999996</v>
      </c>
      <c r="H49" s="190">
        <v>0.97698622000000002</v>
      </c>
      <c r="I49" s="62">
        <v>0.98179987999999996</v>
      </c>
      <c r="J49" s="62">
        <v>4.4159416E-2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33.501530000000002</v>
      </c>
      <c r="Y49" s="190">
        <v>36.721473000000003</v>
      </c>
      <c r="Z49" s="190">
        <v>0.97653981000000001</v>
      </c>
      <c r="AA49" s="62">
        <v>0.98242134000000003</v>
      </c>
      <c r="AB49" s="62">
        <v>3.7984195999999998E-2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0.86645299999999992</v>
      </c>
      <c r="AN49" s="122">
        <f t="shared" si="5"/>
        <v>0.63059500000000668</v>
      </c>
      <c r="AO49" s="122">
        <f t="shared" si="6"/>
        <v>-4.4641000000000819E-4</v>
      </c>
      <c r="AP49" s="122">
        <f t="shared" si="7"/>
        <v>6.2146000000007362E-4</v>
      </c>
      <c r="AQ49" s="88">
        <f t="shared" si="8"/>
        <v>-6.1752200000000021E-3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35.634103000000003</v>
      </c>
      <c r="G50" s="190">
        <v>39.809362999999998</v>
      </c>
      <c r="H50" s="190">
        <v>0.98790906999999994</v>
      </c>
      <c r="I50" s="62">
        <v>0.99133842999999999</v>
      </c>
      <c r="J50" s="62">
        <v>2.9285403000000002E-2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37.257528000000001</v>
      </c>
      <c r="Y50" s="190">
        <v>40.648420000000002</v>
      </c>
      <c r="Z50" s="190">
        <v>0.98750453000000005</v>
      </c>
      <c r="AA50" s="62">
        <v>0.99148411999999997</v>
      </c>
      <c r="AB50" s="62">
        <v>2.2663909999999999E-2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1.6234249999999975</v>
      </c>
      <c r="AN50" s="122">
        <f t="shared" si="5"/>
        <v>0.83905700000000394</v>
      </c>
      <c r="AO50" s="122">
        <f t="shared" si="6"/>
        <v>-4.0453999999989776E-4</v>
      </c>
      <c r="AP50" s="122">
        <f t="shared" si="7"/>
        <v>1.4568999999997612E-4</v>
      </c>
      <c r="AQ50" s="88">
        <f t="shared" si="8"/>
        <v>-6.6214930000000026E-3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38.367744000000002</v>
      </c>
      <c r="G51" s="190">
        <v>42.722358</v>
      </c>
      <c r="H51" s="190">
        <v>0.99321422999999998</v>
      </c>
      <c r="I51" s="62">
        <v>0.99548629</v>
      </c>
      <c r="J51" s="62">
        <v>1.6130444000000001E-2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41.008803</v>
      </c>
      <c r="Y51" s="190">
        <v>44.191839000000002</v>
      </c>
      <c r="Z51" s="190">
        <v>0.99298189999999997</v>
      </c>
      <c r="AA51" s="62">
        <v>0.99579532999999998</v>
      </c>
      <c r="AB51" s="62">
        <v>1.0092363E-2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2.6410589999999985</v>
      </c>
      <c r="AN51" s="122">
        <f t="shared" si="5"/>
        <v>1.4694810000000018</v>
      </c>
      <c r="AO51" s="122">
        <f t="shared" si="6"/>
        <v>-2.3233000000000281E-4</v>
      </c>
      <c r="AP51" s="122">
        <f t="shared" si="7"/>
        <v>3.0903999999998266E-4</v>
      </c>
      <c r="AQ51" s="88">
        <f t="shared" si="8"/>
        <v>-6.0380810000000007E-3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29.522048999999999</v>
      </c>
      <c r="G53" s="97">
        <v>33.095426000000003</v>
      </c>
      <c r="H53" s="97">
        <v>0.96237687000000005</v>
      </c>
      <c r="I53" s="60">
        <v>0.96936633999999999</v>
      </c>
      <c r="J53" s="60">
        <v>6.6631360000000001E-2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29.925792000000001</v>
      </c>
      <c r="Y53" s="97">
        <v>33.641559000000001</v>
      </c>
      <c r="Z53" s="97">
        <v>0.96200551999999995</v>
      </c>
      <c r="AA53" s="60">
        <v>0.96966978000000004</v>
      </c>
      <c r="AB53" s="60">
        <v>5.843363E-2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0.40374300000000218</v>
      </c>
      <c r="AN53" s="96">
        <f t="shared" si="5"/>
        <v>0.54613299999999754</v>
      </c>
      <c r="AO53" s="96">
        <f t="shared" si="6"/>
        <v>-3.7135000000010354E-4</v>
      </c>
      <c r="AP53" s="96">
        <f t="shared" si="7"/>
        <v>3.0344000000004367E-4</v>
      </c>
      <c r="AQ53" s="121">
        <f t="shared" si="8"/>
        <v>-8.1977300000000003E-3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32.458666999999998</v>
      </c>
      <c r="G54" s="190">
        <v>35.984918</v>
      </c>
      <c r="H54" s="190">
        <v>0.97689793999999996</v>
      </c>
      <c r="I54" s="62">
        <v>0.98175643000000001</v>
      </c>
      <c r="J54" s="62">
        <v>4.4433027999999999E-2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33.400849999999998</v>
      </c>
      <c r="Y54" s="190">
        <v>36.663907000000002</v>
      </c>
      <c r="Z54" s="190">
        <v>0.97643004</v>
      </c>
      <c r="AA54" s="62">
        <v>0.98247368000000002</v>
      </c>
      <c r="AB54" s="62">
        <v>3.7183112999999997E-2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0.94218299999999999</v>
      </c>
      <c r="AN54" s="122">
        <f t="shared" si="5"/>
        <v>0.6789890000000014</v>
      </c>
      <c r="AO54" s="122">
        <f t="shared" si="6"/>
        <v>-4.6789999999996557E-4</v>
      </c>
      <c r="AP54" s="122">
        <f t="shared" si="7"/>
        <v>7.1725000000000261E-4</v>
      </c>
      <c r="AQ54" s="88">
        <f t="shared" si="8"/>
        <v>-7.2499150000000026E-3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35.679766000000001</v>
      </c>
      <c r="G55" s="190">
        <v>39.763469000000001</v>
      </c>
      <c r="H55" s="190">
        <v>0.98777605999999996</v>
      </c>
      <c r="I55" s="62">
        <v>0.99115679999999995</v>
      </c>
      <c r="J55" s="62">
        <v>2.8534828000000002E-2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37.110881999999997</v>
      </c>
      <c r="Y55" s="190">
        <v>40.529496000000002</v>
      </c>
      <c r="Z55" s="190">
        <v>0.98738384999999995</v>
      </c>
      <c r="AA55" s="62">
        <v>0.99137708000000002</v>
      </c>
      <c r="AB55" s="62">
        <v>2.2825985999999999E-2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1.4311159999999958</v>
      </c>
      <c r="AN55" s="122">
        <f t="shared" si="5"/>
        <v>0.76602700000000112</v>
      </c>
      <c r="AO55" s="122">
        <f t="shared" si="6"/>
        <v>-3.9221000000000394E-4</v>
      </c>
      <c r="AP55" s="122">
        <f t="shared" si="7"/>
        <v>2.2028000000007264E-4</v>
      </c>
      <c r="AQ55" s="88">
        <f t="shared" si="8"/>
        <v>-5.7088420000000022E-3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38.597504999999998</v>
      </c>
      <c r="G56" s="190">
        <v>42.825226999999998</v>
      </c>
      <c r="H56" s="190">
        <v>0.99314466000000001</v>
      </c>
      <c r="I56" s="62">
        <v>0.99536809000000004</v>
      </c>
      <c r="J56" s="62">
        <v>1.4998801000000001E-2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40.754550999999999</v>
      </c>
      <c r="Y56" s="190">
        <v>43.970461999999998</v>
      </c>
      <c r="Z56" s="190">
        <v>0.99290546000000002</v>
      </c>
      <c r="AA56" s="62">
        <v>0.99568142999999998</v>
      </c>
      <c r="AB56" s="62">
        <v>1.0544471999999999E-2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2.1570460000000011</v>
      </c>
      <c r="AN56" s="122">
        <f t="shared" si="5"/>
        <v>1.1452349999999996</v>
      </c>
      <c r="AO56" s="122">
        <f t="shared" si="6"/>
        <v>-2.3919999999999497E-4</v>
      </c>
      <c r="AP56" s="122">
        <f t="shared" si="7"/>
        <v>3.1333999999993978E-4</v>
      </c>
      <c r="AQ56" s="88">
        <f t="shared" si="8"/>
        <v>-4.4543290000000017E-3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29.68233</v>
      </c>
      <c r="G58" s="97">
        <v>33.258108999999997</v>
      </c>
      <c r="H58" s="97">
        <v>0.96183008999999997</v>
      </c>
      <c r="I58" s="60">
        <v>0.96960731</v>
      </c>
      <c r="J58" s="60">
        <v>6.7332400000000001E-2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30.024643000000001</v>
      </c>
      <c r="Y58" s="97">
        <v>33.734779000000003</v>
      </c>
      <c r="Z58" s="97">
        <v>0.96157356000000005</v>
      </c>
      <c r="AA58" s="60">
        <v>0.96946220000000005</v>
      </c>
      <c r="AB58" s="60">
        <v>5.9597377E-2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0.34231300000000076</v>
      </c>
      <c r="AN58" s="96">
        <f t="shared" si="5"/>
        <v>0.4766700000000057</v>
      </c>
      <c r="AO58" s="96">
        <f t="shared" si="6"/>
        <v>-2.5652999999992154E-4</v>
      </c>
      <c r="AP58" s="96">
        <f t="shared" si="7"/>
        <v>-1.4510999999994834E-4</v>
      </c>
      <c r="AQ58" s="121">
        <f t="shared" si="8"/>
        <v>-7.7350230000000006E-3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32.585791999999998</v>
      </c>
      <c r="G59" s="190">
        <v>36.097355999999998</v>
      </c>
      <c r="H59" s="190">
        <v>0.97665292000000004</v>
      </c>
      <c r="I59" s="62">
        <v>0.98189451000000005</v>
      </c>
      <c r="J59" s="62">
        <v>4.5003085999999998E-2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33.413967</v>
      </c>
      <c r="Y59" s="190">
        <v>36.708584000000002</v>
      </c>
      <c r="Z59" s="190">
        <v>0.97627483999999998</v>
      </c>
      <c r="AA59" s="62">
        <v>0.98254045000000001</v>
      </c>
      <c r="AB59" s="62">
        <v>3.8287469999999997E-2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0.82817500000000166</v>
      </c>
      <c r="AN59" s="122">
        <f t="shared" si="5"/>
        <v>0.6112280000000041</v>
      </c>
      <c r="AO59" s="122">
        <f t="shared" si="6"/>
        <v>-3.7808000000005837E-4</v>
      </c>
      <c r="AP59" s="122">
        <f t="shared" si="7"/>
        <v>6.4593999999995599E-4</v>
      </c>
      <c r="AQ59" s="88">
        <f t="shared" si="8"/>
        <v>-6.7156160000000006E-3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35.839658</v>
      </c>
      <c r="G60" s="190">
        <v>39.831609</v>
      </c>
      <c r="H60" s="190">
        <v>0.98778858000000003</v>
      </c>
      <c r="I60" s="62">
        <v>0.99115125999999998</v>
      </c>
      <c r="J60" s="62">
        <v>2.8406635E-2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36.988788</v>
      </c>
      <c r="Y60" s="190">
        <v>40.431538000000003</v>
      </c>
      <c r="Z60" s="190">
        <v>0.98743795999999995</v>
      </c>
      <c r="AA60" s="62">
        <v>0.99146995999999998</v>
      </c>
      <c r="AB60" s="62">
        <v>2.3879936000000001E-2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1.1491299999999995</v>
      </c>
      <c r="AN60" s="122">
        <f t="shared" si="5"/>
        <v>0.59992900000000304</v>
      </c>
      <c r="AO60" s="122">
        <f t="shared" si="6"/>
        <v>-3.506200000000792E-4</v>
      </c>
      <c r="AP60" s="122">
        <f t="shared" si="7"/>
        <v>3.1870000000000509E-4</v>
      </c>
      <c r="AQ60" s="88">
        <f t="shared" si="8"/>
        <v>-4.5266989999999986E-3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39.007764000000002</v>
      </c>
      <c r="G61" s="190">
        <v>43.125194</v>
      </c>
      <c r="H61" s="190">
        <v>0.99317886</v>
      </c>
      <c r="I61" s="62">
        <v>0.99532387</v>
      </c>
      <c r="J61" s="62">
        <v>1.4320851000000001E-2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40.618613000000003</v>
      </c>
      <c r="Y61" s="190">
        <v>43.858756999999997</v>
      </c>
      <c r="Z61" s="190">
        <v>0.99283189000000005</v>
      </c>
      <c r="AA61" s="62">
        <v>0.99564355000000004</v>
      </c>
      <c r="AB61" s="62">
        <v>1.0957741999999999E-2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1.6108490000000018</v>
      </c>
      <c r="AN61" s="122">
        <f t="shared" si="5"/>
        <v>0.73356299999999663</v>
      </c>
      <c r="AO61" s="122">
        <f t="shared" si="6"/>
        <v>-3.4696999999994649E-4</v>
      </c>
      <c r="AP61" s="122">
        <f t="shared" si="7"/>
        <v>3.1968000000004437E-4</v>
      </c>
      <c r="AQ61" s="88">
        <f t="shared" si="8"/>
        <v>-3.3631090000000013E-3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29.997012999999999</v>
      </c>
      <c r="G63" s="97">
        <v>33.660482000000002</v>
      </c>
      <c r="H63" s="97">
        <v>0.96114701999999996</v>
      </c>
      <c r="I63" s="60">
        <v>0.97034967999999999</v>
      </c>
      <c r="J63" s="60">
        <v>6.5846375999999998E-2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30.084529</v>
      </c>
      <c r="Y63" s="97">
        <v>33.932881000000002</v>
      </c>
      <c r="Z63" s="97">
        <v>0.96078945999999998</v>
      </c>
      <c r="AA63" s="60">
        <v>0.97066295000000002</v>
      </c>
      <c r="AB63" s="60">
        <v>6.0890816E-2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8.7516000000000815E-2</v>
      </c>
      <c r="AN63" s="96">
        <f t="shared" si="5"/>
        <v>0.27239900000000006</v>
      </c>
      <c r="AO63" s="96">
        <f t="shared" si="6"/>
        <v>-3.5755999999997901E-4</v>
      </c>
      <c r="AP63" s="96">
        <f t="shared" si="7"/>
        <v>3.1327000000003213E-4</v>
      </c>
      <c r="AQ63" s="121">
        <f t="shared" si="8"/>
        <v>-4.9555599999999977E-3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33.147660000000002</v>
      </c>
      <c r="G64" s="190">
        <v>36.565246999999999</v>
      </c>
      <c r="H64" s="190">
        <v>0.97660387999999998</v>
      </c>
      <c r="I64" s="62">
        <v>0.98222423000000003</v>
      </c>
      <c r="J64" s="62">
        <v>4.1996222E-2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33.528137000000001</v>
      </c>
      <c r="Y64" s="190">
        <v>36.919699999999999</v>
      </c>
      <c r="Z64" s="190">
        <v>0.97620213</v>
      </c>
      <c r="AA64" s="62">
        <v>0.98300655000000003</v>
      </c>
      <c r="AB64" s="62">
        <v>3.8039523999999998E-2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0.38047699999999907</v>
      </c>
      <c r="AN64" s="122">
        <f t="shared" si="5"/>
        <v>0.35445299999999946</v>
      </c>
      <c r="AO64" s="122">
        <f t="shared" si="6"/>
        <v>-4.0174999999997851E-4</v>
      </c>
      <c r="AP64" s="122">
        <f t="shared" si="7"/>
        <v>7.8232000000000301E-4</v>
      </c>
      <c r="AQ64" s="88">
        <f t="shared" si="8"/>
        <v>-3.9566980000000015E-3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36.391508000000002</v>
      </c>
      <c r="G65" s="190">
        <v>40.252209000000001</v>
      </c>
      <c r="H65" s="190">
        <v>0.98797999000000003</v>
      </c>
      <c r="I65" s="62">
        <v>0.99132962000000002</v>
      </c>
      <c r="J65" s="62">
        <v>2.6921328000000001E-2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37.186594999999997</v>
      </c>
      <c r="Y65" s="190">
        <v>40.592756000000001</v>
      </c>
      <c r="Z65" s="190">
        <v>0.98751949000000006</v>
      </c>
      <c r="AA65" s="62">
        <v>0.99169600000000002</v>
      </c>
      <c r="AB65" s="62">
        <v>2.3448218E-2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0.79508699999999521</v>
      </c>
      <c r="AN65" s="122">
        <f t="shared" si="5"/>
        <v>0.34054700000000082</v>
      </c>
      <c r="AO65" s="122">
        <f t="shared" si="6"/>
        <v>-4.6049999999997482E-4</v>
      </c>
      <c r="AP65" s="122">
        <f t="shared" si="7"/>
        <v>3.6637999999999948E-4</v>
      </c>
      <c r="AQ65" s="88">
        <f t="shared" si="8"/>
        <v>-3.4731100000000015E-3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39.687700999999997</v>
      </c>
      <c r="G66" s="190">
        <v>43.589041999999999</v>
      </c>
      <c r="H66" s="190">
        <v>0.99332034000000002</v>
      </c>
      <c r="I66" s="62">
        <v>0.9955522</v>
      </c>
      <c r="J66" s="62">
        <v>1.3120456000000001E-2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40.70317</v>
      </c>
      <c r="Y66" s="190">
        <v>43.916491999999998</v>
      </c>
      <c r="Z66" s="190">
        <v>0.99289251999999995</v>
      </c>
      <c r="AA66" s="62">
        <v>0.99576164</v>
      </c>
      <c r="AB66" s="62">
        <v>1.0982538999999999E-2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1.0154690000000031</v>
      </c>
      <c r="AN66" s="122">
        <f t="shared" si="5"/>
        <v>0.32744999999999891</v>
      </c>
      <c r="AO66" s="122">
        <f t="shared" si="6"/>
        <v>-4.2782000000007869E-4</v>
      </c>
      <c r="AP66" s="122">
        <f t="shared" si="7"/>
        <v>2.0944000000000518E-4</v>
      </c>
      <c r="AQ66" s="88">
        <f t="shared" si="8"/>
        <v>-2.1379170000000013E-3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28.984580000000001</v>
      </c>
      <c r="G68" s="97">
        <v>32.458784000000001</v>
      </c>
      <c r="H68" s="97">
        <v>0.96228798000000004</v>
      </c>
      <c r="I68" s="60">
        <v>0.96817421999999997</v>
      </c>
      <c r="J68" s="60">
        <v>7.1367040000000007E-2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29.531148999999999</v>
      </c>
      <c r="Y68" s="97">
        <v>33.534779999999998</v>
      </c>
      <c r="Z68" s="97">
        <v>0.96215033000000005</v>
      </c>
      <c r="AA68" s="60">
        <v>0.96916232000000002</v>
      </c>
      <c r="AB68" s="60">
        <v>5.7320735999999997E-2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0.54656899999999808</v>
      </c>
      <c r="AN68" s="96">
        <f t="shared" si="5"/>
        <v>1.0759959999999964</v>
      </c>
      <c r="AO68" s="96">
        <f t="shared" si="6"/>
        <v>-1.3764999999998917E-4</v>
      </c>
      <c r="AP68" s="96">
        <f t="shared" si="7"/>
        <v>9.8810000000004727E-4</v>
      </c>
      <c r="AQ68" s="121">
        <f t="shared" si="8"/>
        <v>-1.4046304000000009E-2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31.978733999999999</v>
      </c>
      <c r="G69" s="190">
        <v>35.560954000000002</v>
      </c>
      <c r="H69" s="190">
        <v>0.97750647999999996</v>
      </c>
      <c r="I69" s="62">
        <v>0.98177000999999997</v>
      </c>
      <c r="J69" s="62">
        <v>4.6866390000000001E-2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33.345829999999999</v>
      </c>
      <c r="Y69" s="190">
        <v>36.704939000000003</v>
      </c>
      <c r="Z69" s="190">
        <v>0.97766776</v>
      </c>
      <c r="AA69" s="62">
        <v>0.98284313999999995</v>
      </c>
      <c r="AB69" s="62">
        <v>3.5177260000000002E-2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1.3670960000000001</v>
      </c>
      <c r="AN69" s="122">
        <f t="shared" si="5"/>
        <v>1.1439850000000007</v>
      </c>
      <c r="AO69" s="122">
        <f t="shared" si="6"/>
        <v>1.6128000000004139E-4</v>
      </c>
      <c r="AP69" s="122">
        <f t="shared" si="7"/>
        <v>1.0731299999999777E-3</v>
      </c>
      <c r="AQ69" s="88">
        <f t="shared" si="8"/>
        <v>-1.1689129999999999E-2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35.082237999999997</v>
      </c>
      <c r="G70" s="190">
        <v>39.436193000000003</v>
      </c>
      <c r="H70" s="190">
        <v>0.98856533000000002</v>
      </c>
      <c r="I70" s="62">
        <v>0.99181430999999998</v>
      </c>
      <c r="J70" s="62">
        <v>3.004592E-2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37.982539000000003</v>
      </c>
      <c r="Y70" s="190">
        <v>41.1783</v>
      </c>
      <c r="Z70" s="190">
        <v>0.98869309999999999</v>
      </c>
      <c r="AA70" s="62">
        <v>0.99234087999999998</v>
      </c>
      <c r="AB70" s="62">
        <v>1.8358458000000001E-2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2.900301000000006</v>
      </c>
      <c r="AN70" s="122">
        <f t="shared" si="5"/>
        <v>1.7421069999999972</v>
      </c>
      <c r="AO70" s="122">
        <f t="shared" si="6"/>
        <v>1.2776999999997152E-4</v>
      </c>
      <c r="AP70" s="122">
        <f t="shared" si="7"/>
        <v>5.2657000000000398E-4</v>
      </c>
      <c r="AQ70" s="88">
        <f t="shared" si="8"/>
        <v>-1.1687461999999999E-2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37.543035000000003</v>
      </c>
      <c r="G71" s="190">
        <v>41.983271999999999</v>
      </c>
      <c r="H71" s="190">
        <v>0.99337465000000003</v>
      </c>
      <c r="I71" s="62">
        <v>0.99564514999999998</v>
      </c>
      <c r="J71" s="62">
        <v>1.7582047999999999E-2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41.534002000000001</v>
      </c>
      <c r="Y71" s="190">
        <v>44.607346</v>
      </c>
      <c r="Z71" s="190">
        <v>0.99348413000000002</v>
      </c>
      <c r="AA71" s="62">
        <v>0.99611702999999996</v>
      </c>
      <c r="AB71" s="62">
        <v>8.8317169999999993E-3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3.9909669999999977</v>
      </c>
      <c r="AN71" s="122">
        <f t="shared" si="5"/>
        <v>2.6240740000000002</v>
      </c>
      <c r="AO71" s="122">
        <f t="shared" si="6"/>
        <v>1.0947999999999514E-4</v>
      </c>
      <c r="AP71" s="122">
        <f t="shared" si="7"/>
        <v>4.7187999999998009E-4</v>
      </c>
      <c r="AQ71" s="88">
        <f t="shared" si="8"/>
        <v>-8.7503310000000001E-3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29.526973000000002</v>
      </c>
      <c r="G73" s="97">
        <v>33.266182000000001</v>
      </c>
      <c r="H73" s="97">
        <v>0.96416942000000005</v>
      </c>
      <c r="I73" s="60">
        <v>0.96878752999999995</v>
      </c>
      <c r="J73" s="60">
        <v>6.4007090000000003E-2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29.994088999999999</v>
      </c>
      <c r="Y73" s="97">
        <v>34.077961000000002</v>
      </c>
      <c r="Z73" s="97">
        <v>0.96416780000000002</v>
      </c>
      <c r="AA73" s="60">
        <v>0.96983343</v>
      </c>
      <c r="AB73" s="60">
        <v>5.4503349999999999E-2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0.4671159999999972</v>
      </c>
      <c r="AN73" s="96">
        <f t="shared" si="5"/>
        <v>0.81177900000000136</v>
      </c>
      <c r="AO73" s="96">
        <f t="shared" si="6"/>
        <v>-1.6200000000354819E-6</v>
      </c>
      <c r="AP73" s="96">
        <f t="shared" si="7"/>
        <v>1.045900000000044E-3</v>
      </c>
      <c r="AQ73" s="121">
        <f t="shared" si="8"/>
        <v>-9.5037400000000036E-3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32.283003000000001</v>
      </c>
      <c r="G74" s="190">
        <v>36.011023999999999</v>
      </c>
      <c r="H74" s="190">
        <v>0.97811376000000005</v>
      </c>
      <c r="I74" s="62">
        <v>0.98162729999999998</v>
      </c>
      <c r="J74" s="62">
        <v>4.2279504000000002E-2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33.612696</v>
      </c>
      <c r="Y74" s="190">
        <v>37.048609999999996</v>
      </c>
      <c r="Z74" s="190">
        <v>0.97808430000000002</v>
      </c>
      <c r="AA74" s="62">
        <v>0.98261765999999995</v>
      </c>
      <c r="AB74" s="62">
        <v>3.4153650000000001E-2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1.3296929999999989</v>
      </c>
      <c r="AN74" s="122">
        <f t="shared" si="5"/>
        <v>1.0375859999999975</v>
      </c>
      <c r="AO74" s="122">
        <f t="shared" si="6"/>
        <v>-2.9460000000036679E-5</v>
      </c>
      <c r="AP74" s="122">
        <f t="shared" si="7"/>
        <v>9.9035999999996793E-4</v>
      </c>
      <c r="AQ74" s="88">
        <f t="shared" si="8"/>
        <v>-8.1258540000000018E-3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35.978337000000003</v>
      </c>
      <c r="G75" s="190">
        <v>40.064262999999997</v>
      </c>
      <c r="H75" s="190">
        <v>0.98843513999999999</v>
      </c>
      <c r="I75" s="62">
        <v>0.99156294</v>
      </c>
      <c r="J75" s="62">
        <v>2.5514245000000001E-2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37.974575999999999</v>
      </c>
      <c r="Y75" s="190">
        <v>41.207892999999999</v>
      </c>
      <c r="Z75" s="190">
        <v>0.98846873000000002</v>
      </c>
      <c r="AA75" s="62">
        <v>0.99210549999999997</v>
      </c>
      <c r="AB75" s="62">
        <v>1.8695534999999999E-2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1.9962389999999957</v>
      </c>
      <c r="AN75" s="122">
        <f t="shared" si="5"/>
        <v>1.1436300000000017</v>
      </c>
      <c r="AO75" s="122">
        <f t="shared" si="6"/>
        <v>3.3590000000027764E-5</v>
      </c>
      <c r="AP75" s="122">
        <f t="shared" si="7"/>
        <v>5.4255999999996973E-4</v>
      </c>
      <c r="AQ75" s="88">
        <f t="shared" si="8"/>
        <v>-6.8187100000000021E-3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37.902993000000002</v>
      </c>
      <c r="G76" s="190">
        <v>42.288583000000003</v>
      </c>
      <c r="H76" s="190">
        <v>0.99335713999999997</v>
      </c>
      <c r="I76" s="62">
        <v>0.99562839000000003</v>
      </c>
      <c r="J76" s="62">
        <v>1.6562795000000002E-2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41.589489999999998</v>
      </c>
      <c r="Y76" s="190">
        <v>44.684474000000002</v>
      </c>
      <c r="Z76" s="190">
        <v>0.99341047000000005</v>
      </c>
      <c r="AA76" s="62">
        <v>0.99607842999999996</v>
      </c>
      <c r="AB76" s="62">
        <v>8.774446E-3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3.6864969999999957</v>
      </c>
      <c r="AN76" s="122">
        <f t="shared" si="5"/>
        <v>2.3958909999999989</v>
      </c>
      <c r="AO76" s="122">
        <f t="shared" si="6"/>
        <v>5.3330000000073596E-5</v>
      </c>
      <c r="AP76" s="122">
        <f t="shared" si="7"/>
        <v>4.5003999999992939E-4</v>
      </c>
      <c r="AQ76" s="88">
        <f t="shared" si="8"/>
        <v>-7.7883490000000017E-3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29.636751</v>
      </c>
      <c r="G78" s="97">
        <v>33.338917000000002</v>
      </c>
      <c r="H78" s="97">
        <v>0.96574822999999999</v>
      </c>
      <c r="I78" s="60">
        <v>0.97007438000000001</v>
      </c>
      <c r="J78" s="60">
        <v>6.6473134000000003E-2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30.288568000000001</v>
      </c>
      <c r="Y78" s="97">
        <v>34.002366000000002</v>
      </c>
      <c r="Z78" s="97">
        <v>0.96570303999999996</v>
      </c>
      <c r="AA78" s="60">
        <v>0.97093982999999995</v>
      </c>
      <c r="AB78" s="60">
        <v>5.5516450000000002E-2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0.6518170000000012</v>
      </c>
      <c r="AN78" s="96">
        <f t="shared" si="5"/>
        <v>0.66344899999999996</v>
      </c>
      <c r="AO78" s="96">
        <f t="shared" si="6"/>
        <v>-4.5190000000028263E-5</v>
      </c>
      <c r="AP78" s="96">
        <f t="shared" si="7"/>
        <v>8.6544999999993433E-4</v>
      </c>
      <c r="AQ78" s="121">
        <f t="shared" si="8"/>
        <v>-1.0956684000000001E-2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32.240988999999999</v>
      </c>
      <c r="G79" s="190">
        <v>36.054644000000003</v>
      </c>
      <c r="H79" s="190">
        <v>0.97868995000000003</v>
      </c>
      <c r="I79" s="62">
        <v>0.98222352000000002</v>
      </c>
      <c r="J79" s="62">
        <v>4.4221000000000003E-2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33.562257000000002</v>
      </c>
      <c r="Y79" s="190">
        <v>36.896360000000001</v>
      </c>
      <c r="Z79" s="190">
        <v>0.97847823</v>
      </c>
      <c r="AA79" s="62">
        <v>0.98299212000000002</v>
      </c>
      <c r="AB79" s="62">
        <v>3.5763944999999998E-2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1.3212680000000034</v>
      </c>
      <c r="AN79" s="122">
        <f t="shared" si="5"/>
        <v>0.84171599999999813</v>
      </c>
      <c r="AO79" s="122">
        <f t="shared" si="6"/>
        <v>-2.1172000000002633E-4</v>
      </c>
      <c r="AP79" s="122">
        <f t="shared" si="7"/>
        <v>7.6860000000000817E-4</v>
      </c>
      <c r="AQ79" s="88">
        <f t="shared" si="8"/>
        <v>-8.457055000000005E-3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35.561171999999999</v>
      </c>
      <c r="G80" s="190">
        <v>39.869092999999999</v>
      </c>
      <c r="H80" s="190">
        <v>0.98851942000000004</v>
      </c>
      <c r="I80" s="62">
        <v>0.99173741000000004</v>
      </c>
      <c r="J80" s="62">
        <v>2.9034961000000001E-2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37.710912</v>
      </c>
      <c r="Y80" s="190">
        <v>41.115265999999998</v>
      </c>
      <c r="Z80" s="190">
        <v>0.98835079000000003</v>
      </c>
      <c r="AA80" s="62">
        <v>0.99214446000000001</v>
      </c>
      <c r="AB80" s="62">
        <v>1.9944047999999999E-2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2.1497400000000013</v>
      </c>
      <c r="AN80" s="122">
        <f t="shared" si="5"/>
        <v>1.2461729999999989</v>
      </c>
      <c r="AO80" s="122">
        <f t="shared" si="6"/>
        <v>-1.6863000000000294E-4</v>
      </c>
      <c r="AP80" s="122">
        <f t="shared" si="7"/>
        <v>4.0704999999996438E-4</v>
      </c>
      <c r="AQ80" s="88">
        <f t="shared" si="8"/>
        <v>-9.0909130000000025E-3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38.317521999999997</v>
      </c>
      <c r="G81" s="190">
        <v>42.705719999999999</v>
      </c>
      <c r="H81" s="190">
        <v>0.99340107</v>
      </c>
      <c r="I81" s="62">
        <v>0.99566867999999997</v>
      </c>
      <c r="J81" s="62">
        <v>1.6119537999999999E-2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41.592342000000002</v>
      </c>
      <c r="Y81" s="190">
        <v>44.739248000000003</v>
      </c>
      <c r="Z81" s="190">
        <v>0.99335755000000003</v>
      </c>
      <c r="AA81" s="62">
        <v>0.99607966999999997</v>
      </c>
      <c r="AB81" s="62">
        <v>9.0509430000000005E-3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3.2748200000000054</v>
      </c>
      <c r="AN81" s="122">
        <f t="shared" si="5"/>
        <v>2.033528000000004</v>
      </c>
      <c r="AO81" s="122">
        <f t="shared" si="6"/>
        <v>-4.3519999999963588E-5</v>
      </c>
      <c r="AP81" s="122">
        <f t="shared" si="7"/>
        <v>4.1098999999999997E-4</v>
      </c>
      <c r="AQ81" s="88">
        <f t="shared" si="8"/>
        <v>-7.0685949999999987E-3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30.346667</v>
      </c>
      <c r="G83" s="97">
        <v>33.698810000000002</v>
      </c>
      <c r="H83" s="97">
        <v>0.96659404000000004</v>
      </c>
      <c r="I83" s="60">
        <v>0.97200211999999997</v>
      </c>
      <c r="J83" s="60">
        <v>6.1710282999999998E-2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30.589727</v>
      </c>
      <c r="Y83" s="97">
        <v>34.385339999999999</v>
      </c>
      <c r="Z83" s="97">
        <v>0.96652757</v>
      </c>
      <c r="AA83" s="60">
        <v>0.97281454000000001</v>
      </c>
      <c r="AB83" s="60">
        <v>5.3397800000000002E-2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0.24305999999999983</v>
      </c>
      <c r="AN83" s="96">
        <f t="shared" si="5"/>
        <v>0.68652999999999764</v>
      </c>
      <c r="AO83" s="96">
        <f t="shared" si="6"/>
        <v>-6.6470000000040663E-5</v>
      </c>
      <c r="AP83" s="96">
        <f t="shared" si="7"/>
        <v>8.1242000000003589E-4</v>
      </c>
      <c r="AQ83" s="121">
        <f t="shared" si="8"/>
        <v>-8.3124829999999955E-3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33.197960999999999</v>
      </c>
      <c r="G84" s="190">
        <v>36.642747</v>
      </c>
      <c r="H84" s="190">
        <v>0.97917063999999998</v>
      </c>
      <c r="I84" s="62">
        <v>0.98362461999999995</v>
      </c>
      <c r="J84" s="62">
        <v>4.063746E-2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34.275553000000002</v>
      </c>
      <c r="Y84" s="190">
        <v>37.521267999999999</v>
      </c>
      <c r="Z84" s="190">
        <v>0.97898795000000005</v>
      </c>
      <c r="AA84" s="62">
        <v>0.98454209999999998</v>
      </c>
      <c r="AB84" s="62">
        <v>3.3478859999999999E-2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1.0775920000000028</v>
      </c>
      <c r="AN84" s="122">
        <f t="shared" si="5"/>
        <v>0.87852099999999922</v>
      </c>
      <c r="AO84" s="122">
        <f t="shared" si="6"/>
        <v>-1.8268999999992985E-4</v>
      </c>
      <c r="AP84" s="122">
        <f t="shared" si="7"/>
        <v>9.1748000000002605E-4</v>
      </c>
      <c r="AQ84" s="88">
        <f t="shared" si="8"/>
        <v>-7.1586000000000011E-3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36.323225000000001</v>
      </c>
      <c r="G85" s="190">
        <v>40.461047000000001</v>
      </c>
      <c r="H85" s="190">
        <v>0.98836796999999998</v>
      </c>
      <c r="I85" s="62">
        <v>0.99187791999999997</v>
      </c>
      <c r="J85" s="62">
        <v>2.5983978000000001E-2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38.123556999999998</v>
      </c>
      <c r="Y85" s="190">
        <v>41.402830999999999</v>
      </c>
      <c r="Z85" s="190">
        <v>0.98822219</v>
      </c>
      <c r="AA85" s="62">
        <v>0.99222796999999996</v>
      </c>
      <c r="AB85" s="62">
        <v>1.9703434999999998E-2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1.8003319999999974</v>
      </c>
      <c r="AN85" s="122">
        <f t="shared" si="5"/>
        <v>0.9417839999999984</v>
      </c>
      <c r="AO85" s="122">
        <f t="shared" si="6"/>
        <v>-1.4577999999998426E-4</v>
      </c>
      <c r="AP85" s="122">
        <f t="shared" si="7"/>
        <v>3.5004999999999065E-4</v>
      </c>
      <c r="AQ85" s="88">
        <f t="shared" si="8"/>
        <v>-6.280543000000003E-3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38.604658000000001</v>
      </c>
      <c r="G86" s="190">
        <v>42.987068999999998</v>
      </c>
      <c r="H86" s="190">
        <v>0.99325755999999998</v>
      </c>
      <c r="I86" s="62">
        <v>0.99559222999999997</v>
      </c>
      <c r="J86" s="62">
        <v>1.5268248999999999E-2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41.685482</v>
      </c>
      <c r="Y86" s="190">
        <v>44.798251</v>
      </c>
      <c r="Z86" s="190">
        <v>0.99321093000000005</v>
      </c>
      <c r="AA86" s="62">
        <v>0.99607964000000004</v>
      </c>
      <c r="AB86" s="62">
        <v>9.1373770000000003E-3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3.0808239999999998</v>
      </c>
      <c r="AN86" s="122">
        <f t="shared" si="5"/>
        <v>1.8111820000000023</v>
      </c>
      <c r="AO86" s="122">
        <f t="shared" si="6"/>
        <v>-4.6629999999936445E-5</v>
      </c>
      <c r="AP86" s="122">
        <f t="shared" si="7"/>
        <v>4.8741000000007695E-4</v>
      </c>
      <c r="AQ86" s="88">
        <f t="shared" si="8"/>
        <v>-6.130871999999999E-3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30.330774999999999</v>
      </c>
      <c r="G88" s="97">
        <v>33.888913000000002</v>
      </c>
      <c r="H88" s="97">
        <v>0.96718583999999996</v>
      </c>
      <c r="I88" s="60">
        <v>0.97233603999999996</v>
      </c>
      <c r="J88" s="60">
        <v>6.0269896000000003E-2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30.767693999999999</v>
      </c>
      <c r="Y88" s="97">
        <v>34.545898000000001</v>
      </c>
      <c r="Z88" s="97">
        <v>0.96718506000000004</v>
      </c>
      <c r="AA88" s="60">
        <v>0.97321537999999996</v>
      </c>
      <c r="AB88" s="60">
        <v>5.2234219999999998E-2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0.43691899999999961</v>
      </c>
      <c r="AN88" s="96">
        <f t="shared" si="5"/>
        <v>0.65698499999999882</v>
      </c>
      <c r="AO88" s="96">
        <f t="shared" si="6"/>
        <v>-7.7999999992250935E-7</v>
      </c>
      <c r="AP88" s="96">
        <f t="shared" si="7"/>
        <v>8.7934000000000623E-4</v>
      </c>
      <c r="AQ88" s="121">
        <f t="shared" si="8"/>
        <v>-8.0356760000000055E-3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33.457307999999998</v>
      </c>
      <c r="G89" s="190">
        <v>36.880572999999998</v>
      </c>
      <c r="H89" s="190">
        <v>0.97968538999999999</v>
      </c>
      <c r="I89" s="62">
        <v>0.98436557999999996</v>
      </c>
      <c r="J89" s="62">
        <v>3.9441094000000003E-2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34.367314999999998</v>
      </c>
      <c r="Y89" s="190">
        <v>37.597456999999999</v>
      </c>
      <c r="Z89" s="190">
        <v>0.97958407999999997</v>
      </c>
      <c r="AA89" s="62">
        <v>0.98511592000000003</v>
      </c>
      <c r="AB89" s="62">
        <v>3.2818331999999999E-2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0.91000700000000023</v>
      </c>
      <c r="AN89" s="122">
        <f t="shared" si="5"/>
        <v>0.7168840000000003</v>
      </c>
      <c r="AO89" s="122">
        <f t="shared" si="6"/>
        <v>-1.0131000000002111E-4</v>
      </c>
      <c r="AP89" s="122">
        <f t="shared" si="7"/>
        <v>7.5034000000007151E-4</v>
      </c>
      <c r="AQ89" s="88">
        <f t="shared" si="8"/>
        <v>-6.6227620000000043E-3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36.753244000000002</v>
      </c>
      <c r="G90" s="190">
        <v>40.748925999999997</v>
      </c>
      <c r="H90" s="190">
        <v>0.98862737000000001</v>
      </c>
      <c r="I90" s="62">
        <v>0.99193087000000002</v>
      </c>
      <c r="J90" s="62">
        <v>2.4453229999999999E-2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38.239161000000003</v>
      </c>
      <c r="Y90" s="190">
        <v>41.551245000000002</v>
      </c>
      <c r="Z90" s="190">
        <v>0.98849688999999996</v>
      </c>
      <c r="AA90" s="62">
        <v>0.99241780000000002</v>
      </c>
      <c r="AB90" s="62">
        <v>1.9466766999999999E-2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1.4859170000000006</v>
      </c>
      <c r="AN90" s="122">
        <f t="shared" si="5"/>
        <v>0.80231900000000422</v>
      </c>
      <c r="AO90" s="122">
        <f t="shared" si="6"/>
        <v>-1.3048000000004389E-4</v>
      </c>
      <c r="AP90" s="122">
        <f t="shared" si="7"/>
        <v>4.8692999999999653E-4</v>
      </c>
      <c r="AQ90" s="88">
        <f t="shared" si="8"/>
        <v>-4.986463E-3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39.221527999999999</v>
      </c>
      <c r="G91" s="190">
        <v>43.491194999999998</v>
      </c>
      <c r="H91" s="190">
        <v>0.99348431000000004</v>
      </c>
      <c r="I91" s="62">
        <v>0.99572461000000001</v>
      </c>
      <c r="J91" s="62">
        <v>1.3737254000000001E-2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41.852026000000002</v>
      </c>
      <c r="Y91" s="190">
        <v>45.006270999999998</v>
      </c>
      <c r="Z91" s="190">
        <v>0.99342945999999999</v>
      </c>
      <c r="AA91" s="62">
        <v>0.99618958999999996</v>
      </c>
      <c r="AB91" s="62">
        <v>9.0565179999999995E-3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2.6304980000000029</v>
      </c>
      <c r="AN91" s="122">
        <f t="shared" si="5"/>
        <v>1.5150760000000005</v>
      </c>
      <c r="AO91" s="122">
        <f t="shared" si="6"/>
        <v>-5.4850000000050692E-5</v>
      </c>
      <c r="AP91" s="122">
        <f t="shared" si="7"/>
        <v>4.6497999999994821E-4</v>
      </c>
      <c r="AQ91" s="88">
        <f t="shared" si="8"/>
        <v>-4.6807360000000013E-3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30.403388</v>
      </c>
      <c r="G93" s="97">
        <v>34.113942000000002</v>
      </c>
      <c r="H93" s="97">
        <v>0.96725786000000002</v>
      </c>
      <c r="I93" s="60">
        <v>0.97287062000000002</v>
      </c>
      <c r="J93" s="60">
        <v>6.1141807999999999E-2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30.904986999999998</v>
      </c>
      <c r="Y93" s="97">
        <v>34.632058999999998</v>
      </c>
      <c r="Z93" s="97">
        <v>0.96729074999999998</v>
      </c>
      <c r="AA93" s="60">
        <v>0.97322796</v>
      </c>
      <c r="AB93" s="60">
        <v>5.3750607999999998E-2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0.5015989999999988</v>
      </c>
      <c r="AN93" s="96">
        <f t="shared" si="5"/>
        <v>0.51811699999999661</v>
      </c>
      <c r="AO93" s="96">
        <f t="shared" si="6"/>
        <v>3.2889999999952124E-5</v>
      </c>
      <c r="AP93" s="96">
        <f t="shared" si="7"/>
        <v>3.5733999999998378E-4</v>
      </c>
      <c r="AQ93" s="121">
        <f t="shared" si="8"/>
        <v>-7.3912000000000005E-3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33.436641000000002</v>
      </c>
      <c r="G94" s="190">
        <v>37.069685999999997</v>
      </c>
      <c r="H94" s="190">
        <v>0.97984364000000002</v>
      </c>
      <c r="I94" s="62">
        <v>0.98470243000000002</v>
      </c>
      <c r="J94" s="62">
        <v>4.0614147000000003E-2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34.483978999999998</v>
      </c>
      <c r="Y94" s="190">
        <v>37.759034999999997</v>
      </c>
      <c r="Z94" s="190">
        <v>0.97984499999999997</v>
      </c>
      <c r="AA94" s="62">
        <v>0.98530141000000004</v>
      </c>
      <c r="AB94" s="62">
        <v>3.4008240000000002E-2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1.0473379999999963</v>
      </c>
      <c r="AN94" s="122">
        <f t="shared" si="5"/>
        <v>0.68934899999999999</v>
      </c>
      <c r="AO94" s="122">
        <f t="shared" si="6"/>
        <v>1.3599999999502899E-6</v>
      </c>
      <c r="AP94" s="122">
        <f t="shared" si="7"/>
        <v>5.9898000000002671E-4</v>
      </c>
      <c r="AQ94" s="88">
        <f t="shared" si="8"/>
        <v>-6.6059070000000011E-3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36.790162000000002</v>
      </c>
      <c r="G95" s="190">
        <v>40.713656999999998</v>
      </c>
      <c r="H95" s="190">
        <v>0.98878248000000002</v>
      </c>
      <c r="I95" s="62">
        <v>0.99217164999999996</v>
      </c>
      <c r="J95" s="62">
        <v>2.4706522000000002E-2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37.959924000000001</v>
      </c>
      <c r="Y95" s="190">
        <v>41.419603000000002</v>
      </c>
      <c r="Z95" s="190">
        <v>0.98869172999999999</v>
      </c>
      <c r="AA95" s="62">
        <v>0.99249774999999996</v>
      </c>
      <c r="AB95" s="62">
        <v>2.0537211999999999E-2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1.1697619999999986</v>
      </c>
      <c r="AN95" s="122">
        <f t="shared" si="5"/>
        <v>0.7059460000000044</v>
      </c>
      <c r="AO95" s="122">
        <f t="shared" si="6"/>
        <v>-9.0750000000028308E-5</v>
      </c>
      <c r="AP95" s="122">
        <f t="shared" si="7"/>
        <v>3.2609999999999584E-4</v>
      </c>
      <c r="AQ95" s="88">
        <f t="shared" si="8"/>
        <v>-4.1693100000000025E-3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39.709640999999998</v>
      </c>
      <c r="G96" s="190">
        <v>43.892923000000003</v>
      </c>
      <c r="H96" s="190">
        <v>0.99356986999999997</v>
      </c>
      <c r="I96" s="62">
        <v>0.99571025000000002</v>
      </c>
      <c r="J96" s="62">
        <v>1.3260409000000001E-2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41.807591000000002</v>
      </c>
      <c r="Y96" s="190">
        <v>45.035626999999998</v>
      </c>
      <c r="Z96" s="190">
        <v>0.99348621999999998</v>
      </c>
      <c r="AA96" s="62">
        <v>0.99617770999999999</v>
      </c>
      <c r="AB96" s="62">
        <v>9.3352515000000007E-3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2.0979500000000044</v>
      </c>
      <c r="AN96" s="122">
        <f t="shared" si="5"/>
        <v>1.1427039999999948</v>
      </c>
      <c r="AO96" s="122">
        <f t="shared" si="6"/>
        <v>-8.3649999999990676E-5</v>
      </c>
      <c r="AP96" s="122">
        <f t="shared" si="7"/>
        <v>4.6745999999997512E-4</v>
      </c>
      <c r="AQ96" s="88">
        <f t="shared" si="8"/>
        <v>-3.9251575E-3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30.862511999999999</v>
      </c>
      <c r="G98" s="97">
        <v>34.720914999999998</v>
      </c>
      <c r="H98" s="97">
        <v>0.96609047999999997</v>
      </c>
      <c r="I98" s="60">
        <v>0.97317480999999995</v>
      </c>
      <c r="J98" s="60">
        <v>5.9064909999999998E-2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30.958680999999999</v>
      </c>
      <c r="Y98" s="97">
        <v>35.015923999999998</v>
      </c>
      <c r="Z98" s="97">
        <v>0.96609641000000002</v>
      </c>
      <c r="AA98" s="60">
        <v>0.97342828000000003</v>
      </c>
      <c r="AB98" s="60">
        <v>5.5795662000000003E-2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9.6168999999999727E-2</v>
      </c>
      <c r="AN98" s="96">
        <f t="shared" si="15"/>
        <v>0.2950090000000003</v>
      </c>
      <c r="AO98" s="96">
        <f t="shared" si="16"/>
        <v>5.9300000000428454E-6</v>
      </c>
      <c r="AP98" s="96">
        <f t="shared" si="17"/>
        <v>2.534700000000889E-4</v>
      </c>
      <c r="AQ98" s="121">
        <f t="shared" si="18"/>
        <v>-3.2692479999999954E-3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34.109063999999996</v>
      </c>
      <c r="G99" s="190">
        <v>37.640196000000003</v>
      </c>
      <c r="H99" s="190">
        <v>0.97953049000000003</v>
      </c>
      <c r="I99" s="62">
        <v>0.98471628</v>
      </c>
      <c r="J99" s="62">
        <v>3.7864416999999997E-2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34.679054000000001</v>
      </c>
      <c r="Y99" s="190">
        <v>38.117412999999999</v>
      </c>
      <c r="Z99" s="190">
        <v>0.97957079999999996</v>
      </c>
      <c r="AA99" s="62">
        <v>0.98541162999999998</v>
      </c>
      <c r="AB99" s="62">
        <v>3.4569311999999998E-2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0.56999000000000422</v>
      </c>
      <c r="AN99" s="122">
        <f t="shared" si="15"/>
        <v>0.47721699999999601</v>
      </c>
      <c r="AO99" s="122">
        <f t="shared" si="16"/>
        <v>4.0309999999932344E-5</v>
      </c>
      <c r="AP99" s="122">
        <f t="shared" si="17"/>
        <v>6.9534999999998348E-4</v>
      </c>
      <c r="AQ99" s="88">
        <f t="shared" si="18"/>
        <v>-3.2951049999999996E-3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37.278939999999999</v>
      </c>
      <c r="G100" s="190">
        <v>40.99606</v>
      </c>
      <c r="H100" s="190">
        <v>0.98883938000000005</v>
      </c>
      <c r="I100" s="62">
        <v>0.99227198000000005</v>
      </c>
      <c r="J100" s="62">
        <v>2.3715215000000001E-2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38.208807999999998</v>
      </c>
      <c r="Y100" s="190">
        <v>41.529119000000001</v>
      </c>
      <c r="Z100" s="190">
        <v>0.98871909999999996</v>
      </c>
      <c r="AA100" s="62">
        <v>0.99244091999999995</v>
      </c>
      <c r="AB100" s="62">
        <v>2.0998063000000001E-2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0.92986799999999903</v>
      </c>
      <c r="AN100" s="122">
        <f t="shared" si="15"/>
        <v>0.5330590000000015</v>
      </c>
      <c r="AO100" s="122">
        <f t="shared" si="16"/>
        <v>-1.2028000000008365E-4</v>
      </c>
      <c r="AP100" s="122">
        <f t="shared" si="17"/>
        <v>1.6893999999989529E-4</v>
      </c>
      <c r="AQ100" s="88">
        <f t="shared" si="18"/>
        <v>-2.7171520000000005E-3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40.434356999999999</v>
      </c>
      <c r="G101" s="190">
        <v>44.347915999999998</v>
      </c>
      <c r="H101" s="190">
        <v>0.99364368999999997</v>
      </c>
      <c r="I101" s="62">
        <v>0.99585778999999996</v>
      </c>
      <c r="J101" s="62">
        <v>1.2499240999999999E-2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41.941127999999999</v>
      </c>
      <c r="Y101" s="190">
        <v>45.113236999999998</v>
      </c>
      <c r="Z101" s="190">
        <v>0.99352942</v>
      </c>
      <c r="AA101" s="62">
        <v>0.99620498000000002</v>
      </c>
      <c r="AB101" s="62">
        <v>1.0020934E-2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1.5067710000000005</v>
      </c>
      <c r="AN101" s="122">
        <f t="shared" si="15"/>
        <v>0.76532100000000014</v>
      </c>
      <c r="AO101" s="122">
        <f t="shared" si="16"/>
        <v>-1.1426999999997189E-4</v>
      </c>
      <c r="AP101" s="122">
        <f t="shared" si="17"/>
        <v>3.4719000000005273E-4</v>
      </c>
      <c r="AQ101" s="88">
        <f t="shared" si="18"/>
        <v>-2.478306999999999E-3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30.720379000000001</v>
      </c>
      <c r="G103" s="97">
        <v>34.296075000000002</v>
      </c>
      <c r="H103" s="97">
        <v>0.96751726000000005</v>
      </c>
      <c r="I103" s="60">
        <v>0.97575869999999998</v>
      </c>
      <c r="J103" s="60">
        <v>7.2852150000000004E-2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31.105042000000001</v>
      </c>
      <c r="Y103" s="97">
        <v>35.365734000000003</v>
      </c>
      <c r="Z103" s="97">
        <v>0.96740948999999998</v>
      </c>
      <c r="AA103" s="60">
        <v>0.97614665</v>
      </c>
      <c r="AB103" s="60">
        <v>6.1291089999999999E-2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0.38466299999999976</v>
      </c>
      <c r="AN103" s="96">
        <f t="shared" si="15"/>
        <v>1.0696590000000015</v>
      </c>
      <c r="AO103" s="96">
        <f t="shared" si="16"/>
        <v>-1.0777000000006254E-4</v>
      </c>
      <c r="AP103" s="96">
        <f t="shared" si="17"/>
        <v>3.8795000000002577E-4</v>
      </c>
      <c r="AQ103" s="121">
        <f t="shared" si="18"/>
        <v>-1.1561060000000005E-2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33.470007000000003</v>
      </c>
      <c r="G104" s="190">
        <v>36.901752000000002</v>
      </c>
      <c r="H104" s="190">
        <v>0.98006360000000003</v>
      </c>
      <c r="I104" s="62">
        <v>0.98599756000000005</v>
      </c>
      <c r="J104" s="62">
        <v>4.7936079999999999E-2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34.458610999999998</v>
      </c>
      <c r="Y104" s="190">
        <v>38.099834999999999</v>
      </c>
      <c r="Z104" s="190">
        <v>0.98015757000000003</v>
      </c>
      <c r="AA104" s="62">
        <v>0.98644642999999999</v>
      </c>
      <c r="AB104" s="62">
        <v>3.7140474E-2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0.98860399999999515</v>
      </c>
      <c r="AN104" s="122">
        <f t="shared" si="15"/>
        <v>1.1980829999999969</v>
      </c>
      <c r="AO104" s="122">
        <f t="shared" si="16"/>
        <v>9.3969999999998777E-5</v>
      </c>
      <c r="AP104" s="122">
        <f t="shared" si="17"/>
        <v>4.488699999999346E-4</v>
      </c>
      <c r="AQ104" s="88">
        <f t="shared" si="18"/>
        <v>-1.0795605999999999E-2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35.999310999999999</v>
      </c>
      <c r="G105" s="190">
        <v>40.200256000000003</v>
      </c>
      <c r="H105" s="190">
        <v>0.98932509000000002</v>
      </c>
      <c r="I105" s="62">
        <v>0.99290555999999996</v>
      </c>
      <c r="J105" s="62">
        <v>3.1772059999999998E-2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38.713676999999997</v>
      </c>
      <c r="Y105" s="190">
        <v>41.896450000000002</v>
      </c>
      <c r="Z105" s="190">
        <v>0.98939390000000005</v>
      </c>
      <c r="AA105" s="62">
        <v>0.99339675000000005</v>
      </c>
      <c r="AB105" s="62">
        <v>2.0127229999999999E-2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2.7143659999999983</v>
      </c>
      <c r="AN105" s="122">
        <f t="shared" si="15"/>
        <v>1.6961939999999984</v>
      </c>
      <c r="AO105" s="122">
        <f t="shared" si="16"/>
        <v>6.8810000000030236E-5</v>
      </c>
      <c r="AP105" s="122">
        <f t="shared" si="17"/>
        <v>4.9119000000008572E-4</v>
      </c>
      <c r="AQ105" s="88">
        <f t="shared" si="18"/>
        <v>-1.1644829999999998E-2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38.535500999999996</v>
      </c>
      <c r="G106" s="190">
        <v>42.921599999999998</v>
      </c>
      <c r="H106" s="190">
        <v>0.99352770999999995</v>
      </c>
      <c r="I106" s="62">
        <v>0.99604459999999995</v>
      </c>
      <c r="J106" s="62">
        <v>1.9031455999999999E-2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42.240974000000001</v>
      </c>
      <c r="Y106" s="190">
        <v>45.22831</v>
      </c>
      <c r="Z106" s="190">
        <v>0.99363093999999996</v>
      </c>
      <c r="AA106" s="62">
        <v>0.99648281999999999</v>
      </c>
      <c r="AB106" s="62">
        <v>1.0002878E-2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3.7054730000000049</v>
      </c>
      <c r="AN106" s="122">
        <f t="shared" si="15"/>
        <v>2.3067100000000025</v>
      </c>
      <c r="AO106" s="122">
        <f t="shared" si="16"/>
        <v>1.032300000000097E-4</v>
      </c>
      <c r="AP106" s="122">
        <f t="shared" si="17"/>
        <v>4.3822000000004468E-4</v>
      </c>
      <c r="AQ106" s="88">
        <f t="shared" si="18"/>
        <v>-9.0285779999999989E-3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>
        <v>31.097268</v>
      </c>
      <c r="G108" s="97">
        <v>34.729168999999999</v>
      </c>
      <c r="H108" s="97">
        <v>0.96944311000000005</v>
      </c>
      <c r="I108" s="60">
        <v>0.97736369999999995</v>
      </c>
      <c r="J108" s="60">
        <v>6.4543030000000001E-2</v>
      </c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>
        <v>31.033816000000002</v>
      </c>
      <c r="Y108" s="97">
        <v>35.248089999999998</v>
      </c>
      <c r="Z108" s="97">
        <v>0.96947468999999997</v>
      </c>
      <c r="AA108" s="60">
        <v>0.97783235000000002</v>
      </c>
      <c r="AB108" s="60">
        <v>5.7543605999999997E-2</v>
      </c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>
        <f t="shared" si="14"/>
        <v>-6.3451999999998066E-2</v>
      </c>
      <c r="AN108" s="96">
        <f t="shared" si="15"/>
        <v>0.51892099999999886</v>
      </c>
      <c r="AO108" s="96">
        <f t="shared" si="16"/>
        <v>3.1579999999920005E-5</v>
      </c>
      <c r="AP108" s="96">
        <f t="shared" si="17"/>
        <v>4.686500000000704E-4</v>
      </c>
      <c r="AQ108" s="121">
        <f t="shared" si="18"/>
        <v>-6.9994240000000041E-3</v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>
        <v>33.926485999999997</v>
      </c>
      <c r="G109" s="190">
        <v>37.319012999999998</v>
      </c>
      <c r="H109" s="190">
        <v>0.98074671999999996</v>
      </c>
      <c r="I109" s="62">
        <v>0.98647187000000003</v>
      </c>
      <c r="J109" s="62">
        <v>4.3211847999999997E-2</v>
      </c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>
        <v>34.228642999999998</v>
      </c>
      <c r="Y109" s="190">
        <v>37.977074000000002</v>
      </c>
      <c r="Z109" s="190">
        <v>0.98076001000000002</v>
      </c>
      <c r="AA109" s="62">
        <v>0.98676260000000005</v>
      </c>
      <c r="AB109" s="62">
        <v>3.6225042999999998E-2</v>
      </c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>
        <f t="shared" si="14"/>
        <v>0.30215700000000112</v>
      </c>
      <c r="AN109" s="122">
        <f t="shared" si="15"/>
        <v>0.65806100000000356</v>
      </c>
      <c r="AO109" s="122">
        <f t="shared" si="16"/>
        <v>1.3290000000054647E-5</v>
      </c>
      <c r="AP109" s="122">
        <f t="shared" si="17"/>
        <v>2.9073000000001681E-4</v>
      </c>
      <c r="AQ109" s="88">
        <f t="shared" si="18"/>
        <v>-6.9868049999999987E-3</v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>
        <v>37.230013999999997</v>
      </c>
      <c r="G110" s="190">
        <v>41.028703999999998</v>
      </c>
      <c r="H110" s="190">
        <v>0.98925010999999996</v>
      </c>
      <c r="I110" s="62">
        <v>0.99290849999999997</v>
      </c>
      <c r="J110" s="62">
        <v>2.6501916E-2</v>
      </c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>
        <v>38.540728999999999</v>
      </c>
      <c r="Y110" s="190">
        <v>41.748899999999999</v>
      </c>
      <c r="Z110" s="190">
        <v>0.9892628</v>
      </c>
      <c r="AA110" s="62">
        <v>0.99313300000000004</v>
      </c>
      <c r="AB110" s="62">
        <v>2.0870323999999999E-2</v>
      </c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>
        <f t="shared" si="14"/>
        <v>1.3107150000000019</v>
      </c>
      <c r="AN110" s="122">
        <f t="shared" si="15"/>
        <v>0.72019600000000139</v>
      </c>
      <c r="AO110" s="122">
        <f t="shared" si="16"/>
        <v>1.2690000000037394E-5</v>
      </c>
      <c r="AP110" s="122">
        <f t="shared" si="17"/>
        <v>2.2450000000007186E-4</v>
      </c>
      <c r="AQ110" s="88">
        <f t="shared" si="18"/>
        <v>-5.6315920000000012E-3</v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>
        <v>39.028179999999999</v>
      </c>
      <c r="G111" s="190">
        <v>43.349167000000001</v>
      </c>
      <c r="H111" s="190">
        <v>0.99353923</v>
      </c>
      <c r="I111" s="62">
        <v>0.99602281999999998</v>
      </c>
      <c r="J111" s="62">
        <v>1.8346011999999998E-2</v>
      </c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>
        <v>42.246474999999997</v>
      </c>
      <c r="Y111" s="190">
        <v>45.179184999999997</v>
      </c>
      <c r="Z111" s="190">
        <v>0.99357141000000004</v>
      </c>
      <c r="AA111" s="62">
        <v>0.99645108999999998</v>
      </c>
      <c r="AB111" s="62">
        <v>1.0057639E-2</v>
      </c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>
        <f t="shared" si="14"/>
        <v>3.2182949999999977</v>
      </c>
      <c r="AN111" s="122">
        <f t="shared" si="15"/>
        <v>1.8300179999999955</v>
      </c>
      <c r="AO111" s="122">
        <f t="shared" si="16"/>
        <v>3.2180000000048281E-5</v>
      </c>
      <c r="AP111" s="122">
        <f t="shared" si="17"/>
        <v>4.2827000000000837E-4</v>
      </c>
      <c r="AQ111" s="88">
        <f t="shared" si="18"/>
        <v>-8.2883729999999982E-3</v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>
        <v>31.078412</v>
      </c>
      <c r="G113" s="97">
        <v>34.701805999999998</v>
      </c>
      <c r="H113" s="97">
        <v>0.97023300000000001</v>
      </c>
      <c r="I113" s="60">
        <v>0.97796879000000003</v>
      </c>
      <c r="J113" s="60">
        <v>6.6789139999999997E-2</v>
      </c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>
        <v>31.670272000000001</v>
      </c>
      <c r="Y113" s="97">
        <v>35.291161000000002</v>
      </c>
      <c r="Z113" s="97">
        <v>0.97028048</v>
      </c>
      <c r="AA113" s="60">
        <v>0.97878560000000003</v>
      </c>
      <c r="AB113" s="60">
        <v>5.6859527E-2</v>
      </c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>
        <f t="shared" si="14"/>
        <v>0.5918600000000005</v>
      </c>
      <c r="AN113" s="96">
        <f t="shared" si="15"/>
        <v>0.58935500000000474</v>
      </c>
      <c r="AO113" s="96">
        <f t="shared" si="16"/>
        <v>4.7479999999988642E-5</v>
      </c>
      <c r="AP113" s="96">
        <f t="shared" si="17"/>
        <v>8.1681000000000115E-4</v>
      </c>
      <c r="AQ113" s="121">
        <f t="shared" si="18"/>
        <v>-9.9296129999999969E-3</v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>
        <v>33.427937</v>
      </c>
      <c r="G114" s="190">
        <v>37.158971000000001</v>
      </c>
      <c r="H114" s="190">
        <v>0.98110244000000002</v>
      </c>
      <c r="I114" s="62">
        <v>0.98644668000000002</v>
      </c>
      <c r="J114" s="62">
        <v>4.7697416999999999E-2</v>
      </c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>
        <v>34.513838999999997</v>
      </c>
      <c r="Y114" s="190">
        <v>37.873618</v>
      </c>
      <c r="Z114" s="190">
        <v>0.98103302000000003</v>
      </c>
      <c r="AA114" s="62">
        <v>0.98690420000000001</v>
      </c>
      <c r="AB114" s="62">
        <v>3.7492222999999998E-2</v>
      </c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>
        <f t="shared" si="14"/>
        <v>1.0859019999999973</v>
      </c>
      <c r="AN114" s="122">
        <f t="shared" si="15"/>
        <v>0.71464699999999937</v>
      </c>
      <c r="AO114" s="122">
        <f t="shared" si="16"/>
        <v>-6.9419999999986715E-5</v>
      </c>
      <c r="AP114" s="122">
        <f t="shared" si="17"/>
        <v>4.5751999999998905E-4</v>
      </c>
      <c r="AQ114" s="88">
        <f t="shared" si="18"/>
        <v>-1.0205194000000001E-2</v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>
        <v>36.358764999999998</v>
      </c>
      <c r="G115" s="190">
        <v>40.509982000000001</v>
      </c>
      <c r="H115" s="190">
        <v>0.98918983999999999</v>
      </c>
      <c r="I115" s="62">
        <v>0.99282771000000003</v>
      </c>
      <c r="J115" s="62">
        <v>3.0637681E-2</v>
      </c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>
        <v>38.378112000000002</v>
      </c>
      <c r="Y115" s="190">
        <v>41.699579999999997</v>
      </c>
      <c r="Z115" s="190">
        <v>0.98913452999999996</v>
      </c>
      <c r="AA115" s="62">
        <v>0.99332432999999998</v>
      </c>
      <c r="AB115" s="62">
        <v>2.136352E-2</v>
      </c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>
        <f t="shared" si="14"/>
        <v>2.0193470000000033</v>
      </c>
      <c r="AN115" s="122">
        <f t="shared" si="15"/>
        <v>1.1895979999999966</v>
      </c>
      <c r="AO115" s="122">
        <f t="shared" si="16"/>
        <v>-5.5310000000030612E-5</v>
      </c>
      <c r="AP115" s="122">
        <f t="shared" si="17"/>
        <v>4.9661999999994766E-4</v>
      </c>
      <c r="AQ115" s="88">
        <f t="shared" si="18"/>
        <v>-9.2741609999999995E-3</v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>
        <v>39.288930999999998</v>
      </c>
      <c r="G116" s="190">
        <v>43.522325000000002</v>
      </c>
      <c r="H116" s="190">
        <v>0.99352236999999999</v>
      </c>
      <c r="I116" s="62">
        <v>0.99612221999999995</v>
      </c>
      <c r="J116" s="62">
        <v>1.6717692999999999E-2</v>
      </c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>
        <v>42.267263999999997</v>
      </c>
      <c r="Y116" s="190">
        <v>45.298811999999998</v>
      </c>
      <c r="Z116" s="190">
        <v>0.99349118000000003</v>
      </c>
      <c r="AA116" s="62">
        <v>0.99652901999999999</v>
      </c>
      <c r="AB116" s="62">
        <v>1.0075084999999999E-2</v>
      </c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>
        <f t="shared" si="14"/>
        <v>2.9783329999999992</v>
      </c>
      <c r="AN116" s="122">
        <f t="shared" si="15"/>
        <v>1.7764869999999959</v>
      </c>
      <c r="AO116" s="122">
        <f t="shared" si="16"/>
        <v>-3.1189999999958751E-5</v>
      </c>
      <c r="AP116" s="122">
        <f t="shared" si="17"/>
        <v>4.0680000000004046E-4</v>
      </c>
      <c r="AQ116" s="88">
        <f t="shared" si="18"/>
        <v>-6.6426079999999995E-3</v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>
        <v>31.888351</v>
      </c>
      <c r="G118" s="97">
        <v>35.295918999999998</v>
      </c>
      <c r="H118" s="97">
        <v>0.97137426000000004</v>
      </c>
      <c r="I118" s="60">
        <v>0.97964784999999999</v>
      </c>
      <c r="J118" s="60">
        <v>6.0324759999999998E-2</v>
      </c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>
        <v>32.356647000000002</v>
      </c>
      <c r="Y118" s="97">
        <v>35.993997999999998</v>
      </c>
      <c r="Z118" s="97">
        <v>0.97131537000000001</v>
      </c>
      <c r="AA118" s="60">
        <v>0.98044569000000004</v>
      </c>
      <c r="AB118" s="60">
        <v>5.3368359999999997E-2</v>
      </c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>
        <f t="shared" si="14"/>
        <v>0.46829600000000227</v>
      </c>
      <c r="AN118" s="96">
        <f t="shared" si="15"/>
        <v>0.69807899999999989</v>
      </c>
      <c r="AO118" s="96">
        <f t="shared" si="16"/>
        <v>-5.8890000000033638E-5</v>
      </c>
      <c r="AP118" s="96">
        <f t="shared" si="17"/>
        <v>7.9784000000004962E-4</v>
      </c>
      <c r="AQ118" s="121">
        <f t="shared" si="18"/>
        <v>-6.9564000000000015E-3</v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>
        <v>33.973292000000001</v>
      </c>
      <c r="G119" s="190">
        <v>37.526770999999997</v>
      </c>
      <c r="H119" s="190">
        <v>0.9812689</v>
      </c>
      <c r="I119" s="62">
        <v>0.98713642999999995</v>
      </c>
      <c r="J119" s="62">
        <v>4.277359E-2</v>
      </c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>
        <v>35.044179999999997</v>
      </c>
      <c r="Y119" s="190">
        <v>38.436706999999998</v>
      </c>
      <c r="Z119" s="190">
        <v>0.98118183000000003</v>
      </c>
      <c r="AA119" s="62">
        <v>0.98770332999999999</v>
      </c>
      <c r="AB119" s="62">
        <v>3.5472339999999998E-2</v>
      </c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>
        <f t="shared" si="14"/>
        <v>1.0708879999999965</v>
      </c>
      <c r="AN119" s="122">
        <f t="shared" si="15"/>
        <v>0.90993600000000185</v>
      </c>
      <c r="AO119" s="122">
        <f t="shared" si="16"/>
        <v>-8.7069999999966896E-5</v>
      </c>
      <c r="AP119" s="122">
        <f t="shared" si="17"/>
        <v>5.6690000000003682E-4</v>
      </c>
      <c r="AQ119" s="88">
        <f t="shared" si="18"/>
        <v>-7.3012500000000022E-3</v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>
        <v>36.898999000000003</v>
      </c>
      <c r="G120" s="190">
        <v>40.855061999999997</v>
      </c>
      <c r="H120" s="190">
        <v>0.98905573999999996</v>
      </c>
      <c r="I120" s="62">
        <v>0.99305235000000003</v>
      </c>
      <c r="J120" s="62">
        <v>2.7011137000000001E-2</v>
      </c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>
        <v>38.673383000000001</v>
      </c>
      <c r="Y120" s="190">
        <v>41.916263999999998</v>
      </c>
      <c r="Z120" s="190">
        <v>0.98896967999999996</v>
      </c>
      <c r="AA120" s="62">
        <v>0.99334643</v>
      </c>
      <c r="AB120" s="62">
        <v>2.0504035E-2</v>
      </c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>
        <f t="shared" si="14"/>
        <v>1.7743839999999977</v>
      </c>
      <c r="AN120" s="122">
        <f t="shared" si="15"/>
        <v>1.0612020000000015</v>
      </c>
      <c r="AO120" s="122">
        <f t="shared" si="16"/>
        <v>-8.6059999999998915E-5</v>
      </c>
      <c r="AP120" s="122">
        <f t="shared" si="17"/>
        <v>2.9407999999997436E-4</v>
      </c>
      <c r="AQ120" s="88">
        <f t="shared" si="18"/>
        <v>-6.5071020000000007E-3</v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>
        <v>39.838743000000001</v>
      </c>
      <c r="G121" s="190">
        <v>43.977676000000002</v>
      </c>
      <c r="H121" s="190">
        <v>0.99347032999999996</v>
      </c>
      <c r="I121" s="62">
        <v>0.99613098</v>
      </c>
      <c r="J121" s="62">
        <v>1.4743185000000001E-2</v>
      </c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>
        <v>42.436770000000003</v>
      </c>
      <c r="Y121" s="190">
        <v>45.449173000000002</v>
      </c>
      <c r="Z121" s="190">
        <v>0.99340048000000003</v>
      </c>
      <c r="AA121" s="62">
        <v>0.99651528</v>
      </c>
      <c r="AB121" s="62">
        <v>1.0129305E-2</v>
      </c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>
        <f t="shared" si="14"/>
        <v>2.5980270000000019</v>
      </c>
      <c r="AN121" s="122">
        <f t="shared" si="15"/>
        <v>1.4714969999999994</v>
      </c>
      <c r="AO121" s="122">
        <f t="shared" si="16"/>
        <v>-6.9849999999926915E-5</v>
      </c>
      <c r="AP121" s="122">
        <f t="shared" si="17"/>
        <v>3.8430000000000408E-4</v>
      </c>
      <c r="AQ121" s="88">
        <f t="shared" si="18"/>
        <v>-4.6138800000000008E-3</v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>
        <v>32.029989</v>
      </c>
      <c r="G123" s="97">
        <v>35.615054000000001</v>
      </c>
      <c r="H123" s="97">
        <v>0.97161218000000005</v>
      </c>
      <c r="I123" s="60">
        <v>0.97933577000000005</v>
      </c>
      <c r="J123" s="60">
        <v>5.8582664E-2</v>
      </c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>
        <v>32.495235000000001</v>
      </c>
      <c r="Y123" s="97">
        <v>36.137777999999997</v>
      </c>
      <c r="Z123" s="97">
        <v>0.97163157</v>
      </c>
      <c r="AA123" s="60">
        <v>0.97970363000000005</v>
      </c>
      <c r="AB123" s="60">
        <v>5.3543724000000001E-2</v>
      </c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>
        <f t="shared" si="14"/>
        <v>0.46524600000000049</v>
      </c>
      <c r="AN123" s="96">
        <f t="shared" si="15"/>
        <v>0.52272399999999664</v>
      </c>
      <c r="AO123" s="96">
        <f t="shared" si="16"/>
        <v>1.9389999999952501E-5</v>
      </c>
      <c r="AP123" s="96">
        <f t="shared" si="17"/>
        <v>3.6785999999999763E-4</v>
      </c>
      <c r="AQ123" s="121">
        <f t="shared" si="18"/>
        <v>-5.0389399999999987E-3</v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>
        <v>34.309565999999997</v>
      </c>
      <c r="G124" s="190">
        <v>37.661875999999999</v>
      </c>
      <c r="H124" s="190">
        <v>0.98152150999999999</v>
      </c>
      <c r="I124" s="62">
        <v>0.98719683999999996</v>
      </c>
      <c r="J124" s="62">
        <v>4.1439182999999997E-2</v>
      </c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>
        <v>34.890416000000002</v>
      </c>
      <c r="Y124" s="190">
        <v>38.257078999999997</v>
      </c>
      <c r="Z124" s="190">
        <v>0.98143875000000003</v>
      </c>
      <c r="AA124" s="62">
        <v>0.98745601999999999</v>
      </c>
      <c r="AB124" s="62">
        <v>3.6056961999999998E-2</v>
      </c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>
        <f t="shared" si="14"/>
        <v>0.5808500000000052</v>
      </c>
      <c r="AN124" s="122">
        <f t="shared" si="15"/>
        <v>0.59520299999999793</v>
      </c>
      <c r="AO124" s="122">
        <f t="shared" si="16"/>
        <v>-8.2759999999959533E-5</v>
      </c>
      <c r="AP124" s="122">
        <f t="shared" si="17"/>
        <v>2.591800000000255E-4</v>
      </c>
      <c r="AQ124" s="88">
        <f t="shared" si="18"/>
        <v>-5.3822209999999995E-3</v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>
        <v>37.433019000000002</v>
      </c>
      <c r="G125" s="190">
        <v>41.191780999999999</v>
      </c>
      <c r="H125" s="190">
        <v>0.98922860999999995</v>
      </c>
      <c r="I125" s="62">
        <v>0.99310282999999999</v>
      </c>
      <c r="J125" s="62">
        <v>2.5739505999999999E-2</v>
      </c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>
        <v>38.769216</v>
      </c>
      <c r="Y125" s="190">
        <v>41.963684999999998</v>
      </c>
      <c r="Z125" s="190">
        <v>0.98915529000000002</v>
      </c>
      <c r="AA125" s="62">
        <v>0.99342775000000005</v>
      </c>
      <c r="AB125" s="62">
        <v>2.0648840000000002E-2</v>
      </c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>
        <f t="shared" si="14"/>
        <v>1.3361969999999985</v>
      </c>
      <c r="AN125" s="122">
        <f t="shared" si="15"/>
        <v>0.77190399999999926</v>
      </c>
      <c r="AO125" s="122">
        <f t="shared" si="16"/>
        <v>-7.3319999999932328E-5</v>
      </c>
      <c r="AP125" s="122">
        <f t="shared" si="17"/>
        <v>3.2492000000006183E-4</v>
      </c>
      <c r="AQ125" s="88">
        <f t="shared" si="18"/>
        <v>-5.0906659999999972E-3</v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>
        <v>40.440899000000002</v>
      </c>
      <c r="G126" s="190">
        <v>44.429394000000002</v>
      </c>
      <c r="H126" s="190">
        <v>0.99358753</v>
      </c>
      <c r="I126" s="62">
        <v>0.99614643999999997</v>
      </c>
      <c r="J126" s="62">
        <v>1.3829309499999999E-2</v>
      </c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>
        <v>42.692329999999998</v>
      </c>
      <c r="Y126" s="190">
        <v>45.696886999999997</v>
      </c>
      <c r="Z126" s="190">
        <v>0.99352945999999998</v>
      </c>
      <c r="AA126" s="62">
        <v>0.99660663999999999</v>
      </c>
      <c r="AB126" s="62">
        <v>9.9832640000000004E-3</v>
      </c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>
        <f t="shared" si="14"/>
        <v>2.2514309999999966</v>
      </c>
      <c r="AN126" s="122">
        <f t="shared" si="15"/>
        <v>1.2674929999999947</v>
      </c>
      <c r="AO126" s="122">
        <f t="shared" si="16"/>
        <v>-5.807000000002116E-5</v>
      </c>
      <c r="AP126" s="122">
        <f t="shared" si="17"/>
        <v>4.602000000000217E-4</v>
      </c>
      <c r="AQ126" s="88">
        <f t="shared" si="18"/>
        <v>-3.8460454999999991E-3</v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>
        <v>32.028416</v>
      </c>
      <c r="G128" s="97">
        <v>35.785454999999999</v>
      </c>
      <c r="H128" s="97">
        <v>0.97201868000000002</v>
      </c>
      <c r="I128" s="60">
        <v>0.97935952999999998</v>
      </c>
      <c r="J128" s="60">
        <v>5.8290526000000002E-2</v>
      </c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>
        <v>32.438839999999999</v>
      </c>
      <c r="Y128" s="97">
        <v>36.133673000000002</v>
      </c>
      <c r="Z128" s="97">
        <v>0.97196497000000004</v>
      </c>
      <c r="AA128" s="60">
        <v>0.98010198000000004</v>
      </c>
      <c r="AB128" s="60">
        <v>5.4481505999999999E-2</v>
      </c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>
        <f t="shared" si="14"/>
        <v>0.41042399999999901</v>
      </c>
      <c r="AN128" s="96">
        <f t="shared" si="15"/>
        <v>0.3482180000000028</v>
      </c>
      <c r="AO128" s="96">
        <f t="shared" si="16"/>
        <v>-5.3709999999984603E-5</v>
      </c>
      <c r="AP128" s="96">
        <f t="shared" si="17"/>
        <v>7.4245000000006112E-4</v>
      </c>
      <c r="AQ128" s="121">
        <f t="shared" si="18"/>
        <v>-3.8090200000000032E-3</v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>
        <v>34.149138999999998</v>
      </c>
      <c r="G129" s="190">
        <v>37.801473000000001</v>
      </c>
      <c r="H129" s="190">
        <v>0.98175420000000002</v>
      </c>
      <c r="I129" s="62">
        <v>0.98691412000000001</v>
      </c>
      <c r="J129" s="62">
        <v>4.1434041999999997E-2</v>
      </c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>
        <v>34.633015</v>
      </c>
      <c r="Y129" s="190">
        <v>38.055712999999997</v>
      </c>
      <c r="Z129" s="190">
        <v>0.98170729000000001</v>
      </c>
      <c r="AA129" s="62">
        <v>0.98716879000000002</v>
      </c>
      <c r="AB129" s="62">
        <v>3.7820199999999998E-2</v>
      </c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>
        <f t="shared" si="14"/>
        <v>0.48387600000000219</v>
      </c>
      <c r="AN129" s="122">
        <f t="shared" si="15"/>
        <v>0.2542399999999958</v>
      </c>
      <c r="AO129" s="122">
        <f t="shared" si="16"/>
        <v>-4.6910000000011109E-5</v>
      </c>
      <c r="AP129" s="122">
        <f t="shared" si="17"/>
        <v>2.5467000000001239E-4</v>
      </c>
      <c r="AQ129" s="88">
        <f t="shared" si="18"/>
        <v>-3.6138419999999991E-3</v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>
        <v>37.425134999999997</v>
      </c>
      <c r="G130" s="190">
        <v>41.143859999999997</v>
      </c>
      <c r="H130" s="190">
        <v>0.98950945000000001</v>
      </c>
      <c r="I130" s="62">
        <v>0.99313185999999998</v>
      </c>
      <c r="J130" s="62">
        <v>2.4756685E-2</v>
      </c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>
        <v>38.321885000000002</v>
      </c>
      <c r="Y130" s="190">
        <v>41.643166999999998</v>
      </c>
      <c r="Z130" s="190">
        <v>0.98944122999999995</v>
      </c>
      <c r="AA130" s="62">
        <v>0.99335443999999995</v>
      </c>
      <c r="AB130" s="62">
        <v>2.1091292000000001E-2</v>
      </c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>
        <f t="shared" si="14"/>
        <v>0.89675000000000438</v>
      </c>
      <c r="AN130" s="122">
        <f t="shared" si="15"/>
        <v>0.49930700000000172</v>
      </c>
      <c r="AO130" s="122">
        <f t="shared" si="16"/>
        <v>-6.822000000006323E-5</v>
      </c>
      <c r="AP130" s="122">
        <f t="shared" si="17"/>
        <v>2.2257999999997224E-4</v>
      </c>
      <c r="AQ130" s="88">
        <f t="shared" si="18"/>
        <v>-3.6653929999999994E-3</v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>
        <v>41.002122999999997</v>
      </c>
      <c r="G131" s="190">
        <v>44.861865999999999</v>
      </c>
      <c r="H131" s="190">
        <v>0.99376087000000002</v>
      </c>
      <c r="I131" s="62">
        <v>0.99632465999999997</v>
      </c>
      <c r="J131" s="62">
        <v>1.2812884E-2</v>
      </c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>
        <v>42.717998000000001</v>
      </c>
      <c r="Y131" s="190">
        <v>45.811087999999998</v>
      </c>
      <c r="Z131" s="190">
        <v>0.99370484000000003</v>
      </c>
      <c r="AA131" s="62">
        <v>0.99666663</v>
      </c>
      <c r="AB131" s="62">
        <v>1.0088171E-2</v>
      </c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>
        <f t="shared" si="14"/>
        <v>1.715875000000004</v>
      </c>
      <c r="AN131" s="122">
        <f t="shared" si="15"/>
        <v>0.9492219999999989</v>
      </c>
      <c r="AO131" s="122">
        <f t="shared" si="16"/>
        <v>-5.6029999999984703E-5</v>
      </c>
      <c r="AP131" s="122">
        <f t="shared" si="17"/>
        <v>3.4197000000002475E-4</v>
      </c>
      <c r="AQ131" s="88">
        <f t="shared" si="18"/>
        <v>-2.7247130000000001E-3</v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>
        <v>32.175052000000001</v>
      </c>
      <c r="G133" s="97">
        <v>36.090333999999999</v>
      </c>
      <c r="H133" s="97">
        <v>0.97042653999999995</v>
      </c>
      <c r="I133" s="60">
        <v>0.97857804000000004</v>
      </c>
      <c r="J133" s="60">
        <v>5.9089900000000001E-2</v>
      </c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>
        <v>32.281725999999999</v>
      </c>
      <c r="Y133" s="97">
        <v>36.301732000000001</v>
      </c>
      <c r="Z133" s="97">
        <v>0.97034107000000003</v>
      </c>
      <c r="AA133" s="60">
        <v>0.97915600999999997</v>
      </c>
      <c r="AB133" s="60">
        <v>5.7479112999999998E-2</v>
      </c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>
        <f t="shared" si="14"/>
        <v>0.10667399999999816</v>
      </c>
      <c r="AN133" s="96">
        <f t="shared" si="15"/>
        <v>0.21139800000000264</v>
      </c>
      <c r="AO133" s="96">
        <f t="shared" si="16"/>
        <v>-8.5469999999920887E-5</v>
      </c>
      <c r="AP133" s="96">
        <f t="shared" si="17"/>
        <v>5.7796999999992771E-4</v>
      </c>
      <c r="AQ133" s="121">
        <f t="shared" si="18"/>
        <v>-1.6107870000000024E-3</v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>
        <v>34.498724000000003</v>
      </c>
      <c r="G134" s="190">
        <v>38.138582</v>
      </c>
      <c r="H134" s="190">
        <v>0.98148078000000005</v>
      </c>
      <c r="I134" s="62">
        <v>0.98666823000000003</v>
      </c>
      <c r="J134" s="62">
        <v>4.0091111999999998E-2</v>
      </c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>
        <v>34.779114999999997</v>
      </c>
      <c r="Y134" s="190">
        <v>38.400917</v>
      </c>
      <c r="Z134" s="190">
        <v>0.98150177000000005</v>
      </c>
      <c r="AA134" s="62">
        <v>0.98701936999999995</v>
      </c>
      <c r="AB134" s="62">
        <v>3.8751394000000002E-2</v>
      </c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>
        <f t="shared" si="14"/>
        <v>0.28039099999999451</v>
      </c>
      <c r="AN134" s="122">
        <f t="shared" si="15"/>
        <v>0.26233500000000021</v>
      </c>
      <c r="AO134" s="122">
        <f t="shared" si="16"/>
        <v>2.098999999999851E-5</v>
      </c>
      <c r="AP134" s="122">
        <f t="shared" si="17"/>
        <v>3.5113999999991652E-4</v>
      </c>
      <c r="AQ134" s="88">
        <f t="shared" si="18"/>
        <v>-1.3397179999999967E-3</v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>
        <v>37.835388999999999</v>
      </c>
      <c r="G135" s="190">
        <v>41.376756</v>
      </c>
      <c r="H135" s="190">
        <v>0.98975252000000002</v>
      </c>
      <c r="I135" s="62">
        <v>0.99323276999999999</v>
      </c>
      <c r="J135" s="62">
        <v>2.4406975000000001E-2</v>
      </c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>
        <v>38.537004000000003</v>
      </c>
      <c r="Y135" s="190">
        <v>41.718840999999998</v>
      </c>
      <c r="Z135" s="190">
        <v>0.98972475000000004</v>
      </c>
      <c r="AA135" s="62">
        <v>0.99336089999999999</v>
      </c>
      <c r="AB135" s="62">
        <v>2.1873742000000002E-2</v>
      </c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>
        <f t="shared" si="14"/>
        <v>0.70161500000000387</v>
      </c>
      <c r="AN135" s="122">
        <f t="shared" si="15"/>
        <v>0.34208499999999731</v>
      </c>
      <c r="AO135" s="122">
        <f t="shared" si="16"/>
        <v>-2.7769999999982531E-5</v>
      </c>
      <c r="AP135" s="122">
        <f t="shared" si="17"/>
        <v>1.2813000000000407E-4</v>
      </c>
      <c r="AQ135" s="88">
        <f t="shared" si="18"/>
        <v>-2.5332329999999993E-3</v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>
        <v>41.595049000000003</v>
      </c>
      <c r="G136" s="190">
        <v>45.181700999999997</v>
      </c>
      <c r="H136" s="190">
        <v>0.99381931000000001</v>
      </c>
      <c r="I136" s="62">
        <v>0.99633837000000003</v>
      </c>
      <c r="J136" s="62">
        <v>1.2617046E-2</v>
      </c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>
        <v>42.866422</v>
      </c>
      <c r="Y136" s="190">
        <v>45.849117999999997</v>
      </c>
      <c r="Z136" s="190">
        <v>0.99377075999999998</v>
      </c>
      <c r="AA136" s="62">
        <v>0.99662947999999996</v>
      </c>
      <c r="AB136" s="62">
        <v>1.0670839E-2</v>
      </c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>
        <f t="shared" si="14"/>
        <v>1.271372999999997</v>
      </c>
      <c r="AN136" s="122">
        <f t="shared" si="15"/>
        <v>0.66741700000000037</v>
      </c>
      <c r="AO136" s="122">
        <f t="shared" si="16"/>
        <v>-4.8550000000036064E-5</v>
      </c>
      <c r="AP136" s="122">
        <f t="shared" si="17"/>
        <v>2.9110999999992782E-4</v>
      </c>
      <c r="AQ136" s="88">
        <f t="shared" si="18"/>
        <v>-1.9462070000000001E-3</v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27.577456000000002</v>
      </c>
      <c r="G641" s="136">
        <f t="shared" si="59"/>
        <v>31.134187000000001</v>
      </c>
      <c r="H641" s="136">
        <f t="shared" si="59"/>
        <v>0.95943495000000001</v>
      </c>
      <c r="I641" s="136">
        <f t="shared" si="59"/>
        <v>0.96601981000000003</v>
      </c>
      <c r="J641" s="136">
        <f t="shared" si="59"/>
        <v>5.8290526000000002E-2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27.991402000000001</v>
      </c>
      <c r="Y641" s="136">
        <f t="shared" si="60"/>
        <v>32.013744000000003</v>
      </c>
      <c r="Z641" s="136">
        <f t="shared" si="60"/>
        <v>0.95923464999999997</v>
      </c>
      <c r="AA641" s="136">
        <f t="shared" si="60"/>
        <v>0.96705585999999999</v>
      </c>
      <c r="AB641" s="136">
        <f t="shared" si="60"/>
        <v>5.2234219999999998E-2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30.759060000000002</v>
      </c>
      <c r="G642" s="18">
        <f t="shared" si="59"/>
        <v>34.076340999999999</v>
      </c>
      <c r="H642" s="18">
        <f t="shared" si="59"/>
        <v>0.97660387999999998</v>
      </c>
      <c r="I642" s="18">
        <f t="shared" si="59"/>
        <v>0.98018503000000001</v>
      </c>
      <c r="J642" s="18">
        <f t="shared" si="59"/>
        <v>3.7864416999999997E-2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31.819542999999999</v>
      </c>
      <c r="Y642" s="18">
        <f t="shared" si="60"/>
        <v>34.972994999999997</v>
      </c>
      <c r="Z642" s="18">
        <f t="shared" si="60"/>
        <v>0.97620213</v>
      </c>
      <c r="AA642" s="18">
        <f t="shared" si="60"/>
        <v>0.98152044000000005</v>
      </c>
      <c r="AB642" s="18">
        <f t="shared" si="60"/>
        <v>3.2818331999999999E-2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34.701622</v>
      </c>
      <c r="G643" s="18">
        <f t="shared" si="59"/>
        <v>39.048186000000001</v>
      </c>
      <c r="H643" s="18">
        <f t="shared" si="59"/>
        <v>0.98777605999999996</v>
      </c>
      <c r="I643" s="18">
        <f t="shared" si="59"/>
        <v>0.99115125999999998</v>
      </c>
      <c r="J643" s="18">
        <f t="shared" si="59"/>
        <v>2.3715215000000001E-2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36.859104000000002</v>
      </c>
      <c r="Y643" s="18">
        <f t="shared" si="60"/>
        <v>40.188541999999998</v>
      </c>
      <c r="Z643" s="18">
        <f t="shared" si="60"/>
        <v>0.98738384999999995</v>
      </c>
      <c r="AA643" s="18">
        <f t="shared" si="60"/>
        <v>0.99137708000000002</v>
      </c>
      <c r="AB643" s="18">
        <f t="shared" si="60"/>
        <v>1.8358458000000001E-2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37.285139999999998</v>
      </c>
      <c r="G644" s="18">
        <f t="shared" si="59"/>
        <v>41.695649000000003</v>
      </c>
      <c r="H644" s="18">
        <f t="shared" si="59"/>
        <v>0.99314466000000001</v>
      </c>
      <c r="I644" s="18">
        <f t="shared" si="59"/>
        <v>0.99532387</v>
      </c>
      <c r="J644" s="18">
        <f t="shared" si="59"/>
        <v>1.2499240999999999E-2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40.618613000000003</v>
      </c>
      <c r="Y644" s="18">
        <f t="shared" si="60"/>
        <v>43.837330999999999</v>
      </c>
      <c r="Z644" s="18">
        <f t="shared" si="60"/>
        <v>0.99283189000000005</v>
      </c>
      <c r="AA644" s="18">
        <f t="shared" si="60"/>
        <v>0.99564355000000004</v>
      </c>
      <c r="AB644" s="18">
        <f t="shared" si="60"/>
        <v>8.774446E-3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32.175052000000001</v>
      </c>
      <c r="G646" s="136">
        <f t="shared" si="61"/>
        <v>36.090333999999999</v>
      </c>
      <c r="H646" s="136">
        <f t="shared" si="61"/>
        <v>0.97201868000000002</v>
      </c>
      <c r="I646" s="136">
        <f t="shared" si="61"/>
        <v>0.97964784999999999</v>
      </c>
      <c r="J646" s="136">
        <f t="shared" si="61"/>
        <v>8.3524169999999995E-2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32.495235000000001</v>
      </c>
      <c r="Y646" s="136">
        <f t="shared" si="62"/>
        <v>36.301732000000001</v>
      </c>
      <c r="Z646" s="136">
        <f t="shared" si="62"/>
        <v>0.97196497000000004</v>
      </c>
      <c r="AA646" s="136">
        <f t="shared" si="62"/>
        <v>0.98044569000000004</v>
      </c>
      <c r="AB646" s="136">
        <f t="shared" si="62"/>
        <v>6.5771099999999999E-2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34.498724000000003</v>
      </c>
      <c r="G647" s="18">
        <f t="shared" si="61"/>
        <v>38.138582</v>
      </c>
      <c r="H647" s="18">
        <f t="shared" si="61"/>
        <v>0.98175420000000002</v>
      </c>
      <c r="I647" s="18">
        <f t="shared" si="61"/>
        <v>0.98719683999999996</v>
      </c>
      <c r="J647" s="18">
        <f t="shared" si="61"/>
        <v>5.8090188000000001E-2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35.044179999999997</v>
      </c>
      <c r="Y647" s="18">
        <f t="shared" si="62"/>
        <v>38.436706999999998</v>
      </c>
      <c r="Z647" s="18">
        <f t="shared" si="62"/>
        <v>0.98170729000000001</v>
      </c>
      <c r="AA647" s="18">
        <f t="shared" si="62"/>
        <v>0.98770332999999999</v>
      </c>
      <c r="AB647" s="18">
        <f t="shared" si="62"/>
        <v>4.0995110000000001E-2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37.835388999999999</v>
      </c>
      <c r="G648" s="18">
        <f t="shared" si="61"/>
        <v>41.376756</v>
      </c>
      <c r="H648" s="18">
        <f t="shared" si="61"/>
        <v>0.98975252000000002</v>
      </c>
      <c r="I648" s="18">
        <f t="shared" si="61"/>
        <v>0.99323276999999999</v>
      </c>
      <c r="J648" s="18">
        <f t="shared" si="61"/>
        <v>3.3094823000000002E-2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38.769216</v>
      </c>
      <c r="Y648" s="18">
        <f t="shared" si="62"/>
        <v>41.963684999999998</v>
      </c>
      <c r="Z648" s="18">
        <f t="shared" si="62"/>
        <v>0.98972475000000004</v>
      </c>
      <c r="AA648" s="18">
        <f t="shared" si="62"/>
        <v>0.99342775000000005</v>
      </c>
      <c r="AB648" s="18">
        <f t="shared" si="62"/>
        <v>2.3924407000000002E-2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41.595049000000003</v>
      </c>
      <c r="G649" s="18">
        <f t="shared" si="61"/>
        <v>45.181700999999997</v>
      </c>
      <c r="H649" s="18">
        <f t="shared" si="61"/>
        <v>0.99381931000000001</v>
      </c>
      <c r="I649" s="18">
        <f t="shared" si="61"/>
        <v>0.99633837000000003</v>
      </c>
      <c r="J649" s="18">
        <f t="shared" si="61"/>
        <v>1.9031455999999999E-2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42.866422</v>
      </c>
      <c r="Y649" s="18">
        <f t="shared" si="62"/>
        <v>45.849117999999997</v>
      </c>
      <c r="Z649" s="18">
        <f t="shared" si="62"/>
        <v>0.99377075999999998</v>
      </c>
      <c r="AA649" s="18">
        <f t="shared" si="62"/>
        <v>0.99666663</v>
      </c>
      <c r="AB649" s="18">
        <f t="shared" si="62"/>
        <v>1.0982538999999999E-2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4.5975959999999993</v>
      </c>
      <c r="G651" s="136">
        <f t="shared" si="63"/>
        <v>4.9561469999999979</v>
      </c>
      <c r="H651" s="136">
        <f t="shared" si="63"/>
        <v>1.2583730000000015E-2</v>
      </c>
      <c r="I651" s="136">
        <f t="shared" si="63"/>
        <v>1.3628039999999952E-2</v>
      </c>
      <c r="J651" s="136">
        <f t="shared" si="63"/>
        <v>2.5233643999999993E-2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4.5038330000000002</v>
      </c>
      <c r="Y651" s="136">
        <f t="shared" si="64"/>
        <v>4.2879879999999986</v>
      </c>
      <c r="Z651" s="136">
        <f t="shared" si="64"/>
        <v>1.2730320000000073E-2</v>
      </c>
      <c r="AA651" s="136">
        <f t="shared" si="64"/>
        <v>1.3389830000000047E-2</v>
      </c>
      <c r="AB651" s="136">
        <f t="shared" si="64"/>
        <v>1.3536880000000001E-2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3.7396640000000012</v>
      </c>
      <c r="G652" s="18">
        <f t="shared" si="63"/>
        <v>4.0622410000000002</v>
      </c>
      <c r="H652" s="18">
        <f t="shared" si="63"/>
        <v>5.1503200000000415E-3</v>
      </c>
      <c r="I652" s="18">
        <f t="shared" si="63"/>
        <v>7.0118099999999517E-3</v>
      </c>
      <c r="J652" s="18">
        <f t="shared" si="63"/>
        <v>2.0225771000000003E-2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3.2246369999999978</v>
      </c>
      <c r="Y652" s="18">
        <f t="shared" si="64"/>
        <v>3.463712000000001</v>
      </c>
      <c r="Z652" s="18">
        <f t="shared" si="64"/>
        <v>5.5051600000000089E-3</v>
      </c>
      <c r="AA652" s="18">
        <f t="shared" si="64"/>
        <v>6.1828899999999409E-3</v>
      </c>
      <c r="AB652" s="18">
        <f t="shared" si="64"/>
        <v>8.1767780000000026E-3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3.1337669999999989</v>
      </c>
      <c r="G653" s="18">
        <f t="shared" si="63"/>
        <v>2.3285699999999991</v>
      </c>
      <c r="H653" s="18">
        <f t="shared" si="63"/>
        <v>1.9764600000000687E-3</v>
      </c>
      <c r="I653" s="18">
        <f t="shared" si="63"/>
        <v>2.0815100000000086E-3</v>
      </c>
      <c r="J653" s="18">
        <f t="shared" si="63"/>
        <v>9.3796080000000011E-3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1.910111999999998</v>
      </c>
      <c r="Y653" s="18">
        <f t="shared" si="64"/>
        <v>1.7751429999999999</v>
      </c>
      <c r="Z653" s="18">
        <f t="shared" si="64"/>
        <v>2.3409000000000901E-3</v>
      </c>
      <c r="AA653" s="18">
        <f t="shared" si="64"/>
        <v>2.0506700000000322E-3</v>
      </c>
      <c r="AB653" s="18">
        <f t="shared" si="64"/>
        <v>5.5659490000000006E-3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4.3099090000000047</v>
      </c>
      <c r="G654" s="18">
        <f t="shared" si="63"/>
        <v>3.4860519999999937</v>
      </c>
      <c r="H654" s="18">
        <f t="shared" si="63"/>
        <v>6.7464999999999886E-4</v>
      </c>
      <c r="I654" s="18">
        <f t="shared" si="63"/>
        <v>1.0145000000000293E-3</v>
      </c>
      <c r="J654" s="18">
        <f t="shared" si="63"/>
        <v>6.5322149999999992E-3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2.2478089999999966</v>
      </c>
      <c r="Y654" s="18">
        <f t="shared" si="64"/>
        <v>2.0117869999999982</v>
      </c>
      <c r="Z654" s="18">
        <f t="shared" si="64"/>
        <v>9.3886999999992504E-4</v>
      </c>
      <c r="AA654" s="18">
        <f t="shared" si="64"/>
        <v>1.023079999999954E-3</v>
      </c>
      <c r="AB654" s="18">
        <f t="shared" si="64"/>
        <v>2.2080929999999995E-3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Summary (auto)</vt:lpstr>
      <vt:lpstr>RGB-PSNR</vt:lpstr>
      <vt:lpstr>YUV-PSNR</vt:lpstr>
      <vt:lpstr>YUV-SSIM</vt:lpstr>
      <vt:lpstr>YUV-IVSSIM</vt:lpstr>
      <vt:lpstr>LPIPS</vt:lpstr>
      <vt:lpstr>breakfast_track</vt:lpstr>
      <vt:lpstr>breakfast_semitrack</vt:lpstr>
      <vt:lpstr>cinema_track</vt:lpstr>
      <vt:lpstr>cinema_semitrack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2025-05-22T06:34:25Z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