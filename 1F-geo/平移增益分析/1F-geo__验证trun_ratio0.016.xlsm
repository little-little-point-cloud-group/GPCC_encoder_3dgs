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1" activeTab="8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breakfast_track" sheetId="7" state="visible" r:id="rId7"/>
    <sheet name="breakfast_semitrack" sheetId="8" state="visible" r:id="rId8"/>
    <sheet name="cinema_track" sheetId="9" state="visible" r:id="rId9"/>
    <sheet name="cinema_semitrack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#,##0.0"/>
    <numFmt numFmtId="170" formatCode="0.0E+00"/>
    <numFmt numFmtId="171" formatCode="_-* #,##0.00_-;\-* #,##0.00_-;_-* &quot;-&quot;??_-;_-@_-"/>
  </numFmts>
  <fonts count="28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34"/>
      <sz val="9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366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0" fontId="24" fillId="3" borderId="0" pivotButton="0" quotePrefix="1" xfId="0"/>
    <xf numFmtId="0" fontId="24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4" fillId="3" borderId="19" pivotButton="0" quotePrefix="0" xfId="0"/>
    <xf numFmtId="0" fontId="24" fillId="2" borderId="19" pivotButton="0" quotePrefix="0" xfId="0"/>
    <xf numFmtId="0" fontId="24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3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3" fillId="5" borderId="13" applyAlignment="1" pivotButton="0" quotePrefix="0" xfId="0">
      <alignment horizontal="center" vertical="center"/>
    </xf>
    <xf numFmtId="2" fontId="19" fillId="0" borderId="0" pivotButton="0" quotePrefix="0" xfId="0"/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0" fontId="11" fillId="3" borderId="0" applyAlignment="1" pivotButton="0" quotePrefix="0" xfId="0">
      <alignment vertic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2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0" fontId="5" fillId="5" borderId="0" applyAlignment="1" pivotButton="0" quotePrefix="0" xfId="0">
      <alignment horizontal="center"/>
    </xf>
    <xf numFmtId="0" fontId="5" fillId="5" borderId="13" applyAlignment="1" pivotButton="0" quotePrefix="0" xfId="0">
      <alignment horizontal="center"/>
    </xf>
    <xf numFmtId="2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6" fillId="3" borderId="0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5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3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17" fillId="3" borderId="2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0" pivotButton="0" quotePrefix="0" xfId="0"/>
    <xf numFmtId="0" fontId="5" fillId="3" borderId="1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14" fontId="11" fillId="2" borderId="0" applyAlignment="1" pivotButton="0" quotePrefix="1" xfId="0">
      <alignment horizontal="left"/>
    </xf>
    <xf numFmtId="0" fontId="4" fillId="3" borderId="0" pivotButton="0" quotePrefix="0" xfId="0"/>
    <xf numFmtId="0" fontId="13" fillId="3" borderId="13" applyAlignment="1" pivotButton="0" quotePrefix="0" xfId="0">
      <alignment horizontal="center"/>
    </xf>
    <xf numFmtId="0" fontId="0" fillId="0" borderId="13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pivotButton="0" quotePrefix="0" xfId="0"/>
    <xf numFmtId="14" fontId="13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13" fillId="0" borderId="0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10" pivotButton="0" quotePrefix="0" xfId="0"/>
    <xf numFmtId="0" fontId="8" fillId="3" borderId="0" applyAlignment="1" pivotButton="0" quotePrefix="0" xfId="0">
      <alignment horizontal="center"/>
    </xf>
    <xf numFmtId="0" fontId="5" fillId="3" borderId="0" pivotButton="0" quotePrefix="0" xfId="0"/>
    <xf numFmtId="0" fontId="5" fillId="3" borderId="7" applyAlignment="1" pivotButton="0" quotePrefix="0" xfId="0">
      <alignment horizontal="center" vertical="center"/>
    </xf>
    <xf numFmtId="0" fontId="0" fillId="0" borderId="11" pivotButton="0" quotePrefix="0" xfId="0"/>
    <xf numFmtId="0" fontId="5" fillId="3" borderId="2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5" fillId="3" borderId="3" applyAlignment="1" pivotButton="0" quotePrefix="0" xfId="0">
      <alignment horizontal="center" vertical="center"/>
    </xf>
    <xf numFmtId="0" fontId="8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10" fillId="3" borderId="0" applyAlignment="1" pivotButton="0" quotePrefix="0" xfId="0">
      <alignment horizont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0" fontId="10" fillId="3" borderId="23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 wrapText="1"/>
    </xf>
    <xf numFmtId="1" fontId="5" fillId="3" borderId="8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/>
    </xf>
    <xf numFmtId="0" fontId="5" fillId="3" borderId="3" applyAlignment="1" pivotButton="0" quotePrefix="1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0" fontId="0" fillId="0" borderId="14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27.22580046666667</v>
                </pt>
                <pt idx="1">
                  <v>30.71761493333334</v>
                </pt>
                <pt idx="2">
                  <v>35.10815586666667</v>
                </pt>
                <pt idx="3">
                  <v>37.60589593333334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30.24627033333334</v>
                </pt>
                <pt idx="1">
                  <v>33.07267876190476</v>
                </pt>
                <pt idx="2">
                  <v>36.28160247619047</v>
                </pt>
                <pt idx="3">
                  <v>39.43645909523809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30.21409319047619</v>
                </pt>
                <pt idx="1">
                  <v>32.99957871428573</v>
                </pt>
                <pt idx="2">
                  <v>36.24834299999999</v>
                </pt>
                <pt idx="3">
                  <v>39.02817485714286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MPEG-151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27.2627336</v>
                </pt>
                <pt idx="1">
                  <v>30.5955504</v>
                </pt>
                <pt idx="2">
                  <v>35.17838400000001</v>
                </pt>
                <pt idx="3">
                  <v>37.84750626666666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32.32119686666667</v>
                </pt>
                <pt idx="1">
                  <v>35.23271560000001</v>
                </pt>
                <pt idx="2">
                  <v>39.21084226666667</v>
                </pt>
                <pt idx="3">
                  <v>41.687571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33.86259985714285</v>
                </pt>
                <pt idx="1">
                  <v>36.6321952857143</v>
                </pt>
                <pt idx="2">
                  <v>40.25141447619048</v>
                </pt>
                <pt idx="3">
                  <v>43.58846976190476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33.83205528571428</v>
                </pt>
                <pt idx="1">
                  <v>36.53183123809524</v>
                </pt>
                <pt idx="2">
                  <v>40.27649119047619</v>
                </pt>
                <pt idx="3">
                  <v>43.22999695238095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32.4693168</v>
                </pt>
                <pt idx="1">
                  <v>35.24310213333333</v>
                </pt>
                <pt idx="2">
                  <v>39.28737146666667</v>
                </pt>
                <pt idx="3">
                  <v>41.92952173333333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0.9570006686666664</v>
                </pt>
                <pt idx="1">
                  <v>0.9749254726666667</v>
                </pt>
                <pt idx="2">
                  <v>0.9875746533333333</v>
                </pt>
                <pt idx="3">
                  <v>0.9919336393333335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0.9668438228571427</v>
                </pt>
                <pt idx="1">
                  <v>0.9800011423809526</v>
                </pt>
                <pt idx="2">
                  <v>0.9890334033333332</v>
                </pt>
                <pt idx="3">
                  <v>0.9937517323809524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0.9658294247619048</v>
                </pt>
                <pt idx="1">
                  <v>0.9790126252380953</v>
                </pt>
                <pt idx="2">
                  <v>0.9886870985714287</v>
                </pt>
                <pt idx="3">
                  <v>0.9934439380952381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0.9583451673333332</v>
                </pt>
                <pt idx="1">
                  <v>0.9757281966666667</v>
                </pt>
                <pt idx="2">
                  <v>0.9881094553333332</v>
                </pt>
                <pt idx="3">
                  <v>0.9924133746666667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0.9539593673333334</v>
                </pt>
                <pt idx="1">
                  <v>0.9722375646666667</v>
                </pt>
                <pt idx="2">
                  <v>0.9900518986666664</v>
                </pt>
                <pt idx="3">
                  <v>0.9951577339999998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0.9732736104761903</v>
                </pt>
                <pt idx="1">
                  <v>0.9842615528571427</v>
                </pt>
                <pt idx="2">
                  <v>0.9922808152380951</v>
                </pt>
                <pt idx="3">
                  <v>0.9959444971428573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0.9725471133333331</v>
                </pt>
                <pt idx="1">
                  <v>0.9837646823809524</v>
                </pt>
                <pt idx="2">
                  <v>0.9921045704761905</v>
                </pt>
                <pt idx="3">
                  <v>0.9957808985714285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0.9545635379999999</v>
                </pt>
                <pt idx="1">
                  <v>0.9725859333333334</v>
                </pt>
                <pt idx="2">
                  <v>0.9903826146666665</v>
                </pt>
                <pt idx="3">
                  <v>0.99521364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0.06875882159999999</v>
                </pt>
                <pt idx="1">
                  <v>0.04251767653333333</v>
                </pt>
                <pt idx="2">
                  <v>0.024925761</v>
                </pt>
                <pt idx="3">
                  <v>0.01827497906666667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0.06407418242857144</v>
                </pt>
                <pt idx="1">
                  <v>0.04320026304761904</v>
                </pt>
                <pt idx="2">
                  <v>0.02722883133333334</v>
                </pt>
                <pt idx="3">
                  <v>0.014458101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0.06597339623809526</v>
                </pt>
                <pt idx="1">
                  <v>0.04448833447619048</v>
                </pt>
                <pt idx="2">
                  <v>0.02785036019047619</v>
                </pt>
                <pt idx="3">
                  <v>0.0156085845952381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0.06612499773333333</v>
                </pt>
                <pt idx="1">
                  <v>0.04102658380000001</v>
                </pt>
                <pt idx="2">
                  <v>0.0244386328</v>
                </pt>
                <pt idx="3">
                  <v>0.01744433573333333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workbookViewId="0">
      <selection activeCell="C3" sqref="C3:H3"/>
    </sheetView>
  </sheetViews>
  <sheetFormatPr baseColWidth="8" defaultColWidth="8.59765625" defaultRowHeight="14.4" outlineLevelCol="0"/>
  <cols>
    <col width="1.59765625" bestFit="1" customWidth="1" style="275" min="1" max="1"/>
    <col width="30.69921875" customWidth="1" style="275" min="2" max="2"/>
    <col hidden="1" width="9.59765625" customWidth="1" style="275" min="3" max="3"/>
    <col width="9.59765625" bestFit="1" customWidth="1" style="275" min="4" max="5"/>
    <col width="8.19921875" customWidth="1" style="275" min="6" max="6"/>
    <col width="9.69921875" customWidth="1" style="275" min="7" max="7"/>
    <col width="7.09765625" customWidth="1" style="275" min="8" max="8"/>
    <col width="7.19921875" customWidth="1" style="275" min="9" max="9"/>
    <col width="8.59765625" customWidth="1" style="275" min="10" max="10"/>
    <col width="8.59765625" customWidth="1" style="275" min="11" max="16384"/>
  </cols>
  <sheetData>
    <row r="1">
      <c r="A1" s="173" t="inlineStr"/>
      <c r="B1" s="168" t="n"/>
      <c r="C1" s="168" t="n"/>
      <c r="D1" s="173" t="inlineStr"/>
      <c r="E1" s="173" t="inlineStr"/>
      <c r="F1" s="173" t="n"/>
      <c r="G1" s="173" t="n"/>
      <c r="H1" s="173" t="n"/>
      <c r="I1" s="173" t="inlineStr"/>
    </row>
    <row r="2">
      <c r="A2" s="168" t="n"/>
      <c r="B2" s="5" t="n"/>
      <c r="C2" s="150" t="n"/>
      <c r="D2" s="168" t="n"/>
      <c r="E2" s="168" t="n"/>
      <c r="F2" s="168" t="n"/>
      <c r="G2" s="168" t="n"/>
      <c r="H2" s="168" t="n"/>
      <c r="I2" s="168" t="n"/>
    </row>
    <row r="3">
      <c r="A3" s="168" t="n"/>
      <c r="B3" s="5" t="inlineStr">
        <is>
          <t>Anchor</t>
        </is>
      </c>
      <c r="C3" s="274" t="inlineStr">
        <is>
          <t>MPEG-151</t>
        </is>
      </c>
      <c r="I3" s="168" t="n"/>
    </row>
    <row r="4">
      <c r="A4" s="168" t="n"/>
      <c r="B4" s="5" t="inlineStr">
        <is>
          <t>Proposal</t>
        </is>
      </c>
      <c r="C4" s="274" t="inlineStr">
        <is>
          <t>my</t>
        </is>
      </c>
      <c r="I4" s="168" t="n"/>
    </row>
    <row r="5">
      <c r="A5" s="168" t="n"/>
      <c r="B5" s="5" t="n"/>
      <c r="C5" s="150" t="n"/>
      <c r="D5" s="168" t="n"/>
      <c r="E5" s="168" t="n"/>
      <c r="F5" s="168" t="n"/>
      <c r="G5" s="168" t="n"/>
      <c r="H5" s="168" t="n"/>
      <c r="I5" s="168" t="n"/>
    </row>
    <row r="6">
      <c r="A6" s="168" t="n"/>
      <c r="B6" s="2" t="n"/>
      <c r="C6" s="2" t="n"/>
      <c r="D6" s="168" t="n"/>
      <c r="E6" s="168" t="n"/>
      <c r="F6" s="168" t="n"/>
      <c r="G6" s="168" t="n"/>
      <c r="H6" s="168" t="n"/>
      <c r="I6" s="168" t="n"/>
    </row>
    <row r="7" ht="16.5" customFormat="1" customHeight="1" s="16" thickBot="1">
      <c r="A7" s="174" t="n"/>
      <c r="B7" s="276" t="n"/>
      <c r="C7" s="277" t="n"/>
      <c r="D7" s="277" t="n"/>
      <c r="E7" s="277" t="n"/>
      <c r="F7" s="277" t="n"/>
      <c r="G7" s="277" t="n"/>
      <c r="H7" s="277" t="n"/>
      <c r="I7" s="174" t="n"/>
    </row>
    <row r="8" ht="30" customHeight="1" s="279" thickBot="1">
      <c r="A8" s="168" t="n"/>
      <c r="B8" s="272" t="inlineStr">
        <is>
          <t>Sequence</t>
        </is>
      </c>
      <c r="C8" s="18" t="n"/>
      <c r="D8" s="19" t="inlineStr">
        <is>
          <t>BD-rate
RGB-PSNR</t>
        </is>
      </c>
      <c r="E8" s="19" t="inlineStr">
        <is>
          <t>BD-rate
YUV-PSNR</t>
        </is>
      </c>
      <c r="F8" s="19" t="inlineStr">
        <is>
          <t>BD-rate
YUV-SSIM</t>
        </is>
      </c>
      <c r="G8" s="19" t="inlineStr">
        <is>
          <t>BD-rate
YUV-IVSSIM</t>
        </is>
      </c>
      <c r="H8" s="198" t="inlineStr">
        <is>
          <t>BD-rate
LPIPS</t>
        </is>
      </c>
      <c r="I8" s="14" t="n"/>
    </row>
    <row r="9" ht="15.75" customHeight="1" s="279">
      <c r="A9" s="168" t="n"/>
      <c r="B9" s="175">
        <f>INDIRECT(C9&amp;"!B2")</f>
        <v/>
      </c>
      <c r="C9" s="196" t="inlineStr">
        <is>
          <t>breakfast_track</t>
        </is>
      </c>
      <c r="D9" s="312">
        <f>INDIRECT($C9&amp;"!AM$5")</f>
        <v/>
      </c>
      <c r="E9" s="312">
        <f>INDIRECT($C9&amp;"!AN$5")</f>
        <v/>
      </c>
      <c r="F9" s="312">
        <f>INDIRECT($C9&amp;"!AO$5")</f>
        <v/>
      </c>
      <c r="G9" s="312">
        <f>INDIRECT($C9&amp;"!AP$5")</f>
        <v/>
      </c>
      <c r="H9" s="313">
        <f>INDIRECT($C9&amp;"!AQ$5")</f>
        <v/>
      </c>
      <c r="I9" s="314" t="n"/>
    </row>
    <row r="10" ht="15.75" customHeight="1" s="279">
      <c r="A10" s="168" t="n"/>
      <c r="B10" s="175">
        <f>INDIRECT(C10&amp;"!B2")</f>
        <v/>
      </c>
      <c r="C10" s="196" t="inlineStr">
        <is>
          <t>breakfast_semitrack</t>
        </is>
      </c>
      <c r="D10" s="312">
        <f>INDIRECT($C10&amp;"!AM$5")</f>
        <v/>
      </c>
      <c r="E10" s="312">
        <f>INDIRECT($C10&amp;"!AN$5")</f>
        <v/>
      </c>
      <c r="F10" s="312">
        <f>INDIRECT($C10&amp;"!AO$5")</f>
        <v/>
      </c>
      <c r="G10" s="312">
        <f>INDIRECT($C10&amp;"!AP$5")</f>
        <v/>
      </c>
      <c r="H10" s="315">
        <f>INDIRECT($C10&amp;"!AQ$5")</f>
        <v/>
      </c>
      <c r="I10" s="314" t="n"/>
    </row>
    <row r="11" ht="15.75" customHeight="1" s="279">
      <c r="A11" s="168" t="n"/>
      <c r="B11" s="175">
        <f>INDIRECT(C11&amp;"!B2")</f>
        <v/>
      </c>
      <c r="C11" s="196" t="inlineStr">
        <is>
          <t>cinema_track</t>
        </is>
      </c>
      <c r="D11" s="312">
        <f>INDIRECT($C11&amp;"!AM$5")</f>
        <v/>
      </c>
      <c r="E11" s="312">
        <f>INDIRECT($C11&amp;"!AN$5")</f>
        <v/>
      </c>
      <c r="F11" s="312">
        <f>INDIRECT($C11&amp;"!AO$5")</f>
        <v/>
      </c>
      <c r="G11" s="312">
        <f>INDIRECT($C11&amp;"!AP$5")</f>
        <v/>
      </c>
      <c r="H11" s="315">
        <f>INDIRECT($C11&amp;"!AQ$5")</f>
        <v/>
      </c>
      <c r="I11" s="314" t="n"/>
    </row>
    <row r="12" ht="15.75" customHeight="1" s="279">
      <c r="A12" s="168" t="n"/>
      <c r="B12" s="175">
        <f>INDIRECT(C12&amp;"!B2")</f>
        <v/>
      </c>
      <c r="C12" s="197" t="inlineStr">
        <is>
          <t>cinema_semitrack</t>
        </is>
      </c>
      <c r="D12" s="312">
        <f>INDIRECT($C12&amp;"!AM$5")</f>
        <v/>
      </c>
      <c r="E12" s="312">
        <f>INDIRECT($C12&amp;"!AN$5")</f>
        <v/>
      </c>
      <c r="F12" s="312">
        <f>INDIRECT($C12&amp;"!AO$5")</f>
        <v/>
      </c>
      <c r="G12" s="312">
        <f>INDIRECT($C12&amp;"!AP$5")</f>
        <v/>
      </c>
      <c r="H12" s="315">
        <f>INDIRECT($C12&amp;"!AQ$5")</f>
        <v/>
      </c>
      <c r="I12" s="314" t="n"/>
    </row>
    <row r="13" ht="15.75" customHeight="1" s="279">
      <c r="A13" s="168" t="n"/>
      <c r="B13" s="175">
        <f>INDIRECT(C13&amp;"!B2")</f>
        <v/>
      </c>
      <c r="C13" s="197" t="n"/>
      <c r="D13" s="312">
        <f>INDIRECT($C13&amp;"!AM$5")</f>
        <v/>
      </c>
      <c r="E13" s="312">
        <f>INDIRECT($C13&amp;"!AN$5")</f>
        <v/>
      </c>
      <c r="F13" s="312">
        <f>INDIRECT($C13&amp;"!AO$5")</f>
        <v/>
      </c>
      <c r="G13" s="312">
        <f>INDIRECT($C13&amp;"!AP$5")</f>
        <v/>
      </c>
      <c r="H13" s="315">
        <f>INDIRECT($C13&amp;"!AQ$5")</f>
        <v/>
      </c>
      <c r="I13" s="314" t="n"/>
    </row>
    <row r="14" ht="15.75" customHeight="1" s="279">
      <c r="A14" s="168" t="n"/>
      <c r="B14" s="175">
        <f>INDIRECT(C14&amp;"!B2")</f>
        <v/>
      </c>
      <c r="C14" s="196" t="n"/>
      <c r="D14" s="312">
        <f>INDIRECT($C14&amp;"!AM$5")</f>
        <v/>
      </c>
      <c r="E14" s="312">
        <f>INDIRECT($C14&amp;"!AN$5")</f>
        <v/>
      </c>
      <c r="F14" s="312">
        <f>INDIRECT($C14&amp;"!AO$5")</f>
        <v/>
      </c>
      <c r="G14" s="312">
        <f>INDIRECT($C14&amp;"!AP$5")</f>
        <v/>
      </c>
      <c r="H14" s="315">
        <f>INDIRECT($C14&amp;"!AQ$5")</f>
        <v/>
      </c>
      <c r="I14" s="314" t="n"/>
    </row>
    <row r="15" ht="15.75" customHeight="1" s="279">
      <c r="A15" s="168" t="n"/>
      <c r="B15" s="175">
        <f>INDIRECT(C15&amp;"!B2")</f>
        <v/>
      </c>
      <c r="C15" s="196" t="n"/>
      <c r="D15" s="312">
        <f>INDIRECT($C15&amp;"!AM$5")</f>
        <v/>
      </c>
      <c r="E15" s="312">
        <f>INDIRECT($C15&amp;"!AN$5")</f>
        <v/>
      </c>
      <c r="F15" s="312">
        <f>INDIRECT($C15&amp;"!AO$5")</f>
        <v/>
      </c>
      <c r="G15" s="312">
        <f>INDIRECT($C15&amp;"!AP$5")</f>
        <v/>
      </c>
      <c r="H15" s="315">
        <f>INDIRECT($C15&amp;"!AQ$5")</f>
        <v/>
      </c>
      <c r="I15" s="314" t="n"/>
    </row>
    <row r="16" ht="15.75" customHeight="1" s="279">
      <c r="A16" s="168" t="n"/>
      <c r="B16" s="175">
        <f>INDIRECT(C16&amp;"!B2")</f>
        <v/>
      </c>
      <c r="C16" s="196" t="n"/>
      <c r="D16" s="312">
        <f>INDIRECT($C16&amp;"!AM$5")</f>
        <v/>
      </c>
      <c r="E16" s="312">
        <f>INDIRECT($C16&amp;"!AN$5")</f>
        <v/>
      </c>
      <c r="F16" s="312">
        <f>INDIRECT($C16&amp;"!AO$5")</f>
        <v/>
      </c>
      <c r="G16" s="312">
        <f>INDIRECT($C16&amp;"!AP$5")</f>
        <v/>
      </c>
      <c r="H16" s="315">
        <f>INDIRECT($C16&amp;"!AQ$5")</f>
        <v/>
      </c>
      <c r="I16" s="314" t="n"/>
    </row>
    <row r="17" ht="15.75" customHeight="1" s="279">
      <c r="A17" s="168" t="n"/>
      <c r="B17" s="175">
        <f>INDIRECT(C17&amp;"!B2")</f>
        <v/>
      </c>
      <c r="C17" s="196" t="n"/>
      <c r="D17" s="312">
        <f>INDIRECT($C17&amp;"!AM$5")</f>
        <v/>
      </c>
      <c r="E17" s="312">
        <f>INDIRECT($C17&amp;"!AN$5")</f>
        <v/>
      </c>
      <c r="F17" s="312">
        <f>INDIRECT($C17&amp;"!AO$5")</f>
        <v/>
      </c>
      <c r="G17" s="312">
        <f>INDIRECT($C17&amp;"!AP$5")</f>
        <v/>
      </c>
      <c r="H17" s="315">
        <f>INDIRECT($C17&amp;"!AQ$5")</f>
        <v/>
      </c>
      <c r="I17" s="314" t="n"/>
    </row>
    <row r="18" ht="15.75" customHeight="1" s="279" thickBot="1">
      <c r="A18" s="168" t="n"/>
      <c r="B18" s="175">
        <f>INDIRECT(C18&amp;"!B2")</f>
        <v/>
      </c>
      <c r="C18" s="196" t="n"/>
      <c r="D18" s="312">
        <f>INDIRECT($C18&amp;"!AM$5")</f>
        <v/>
      </c>
      <c r="E18" s="312">
        <f>INDIRECT($C18&amp;"!AN$5")</f>
        <v/>
      </c>
      <c r="F18" s="312">
        <f>INDIRECT($C18&amp;"!AO$5")</f>
        <v/>
      </c>
      <c r="G18" s="312">
        <f>INDIRECT($C18&amp;"!AP$5")</f>
        <v/>
      </c>
      <c r="H18" s="315">
        <f>INDIRECT($C18&amp;"!AQ$5")</f>
        <v/>
      </c>
      <c r="I18" s="314" t="n"/>
    </row>
    <row r="19" ht="15.75" customHeight="1" s="279" thickBot="1">
      <c r="A19" s="168" t="n"/>
      <c r="B19" s="272" t="inlineStr">
        <is>
          <t>Average</t>
        </is>
      </c>
      <c r="C19" s="273" t="n"/>
      <c r="D19" s="316">
        <f>IF(COUNTIF(D10:D15,"=0")&gt;0,0,AVERAGE(D10:D15))</f>
        <v/>
      </c>
      <c r="E19" s="316">
        <f>IF(COUNTIF(E10:E15,"=0")&gt;0,0,AVERAGE(E10:E15))</f>
        <v/>
      </c>
      <c r="F19" s="316">
        <f>IF(COUNTIF(F10:F15,"=0")&gt;0,0,AVERAGE(F10:F15))</f>
        <v/>
      </c>
      <c r="G19" s="316">
        <f>IF(COUNTIF(G10:G15,"=0")&gt;0,0,AVERAGE(G10:G15))</f>
        <v/>
      </c>
      <c r="H19" s="317">
        <f>IF(COUNTIF(H10:H15,"=0")&gt;0,0,AVERAGE(H10:H15))</f>
        <v/>
      </c>
      <c r="I19" s="314" t="n"/>
    </row>
    <row r="20" ht="15.75" customHeight="1" s="279">
      <c r="B20" s="176" t="n"/>
      <c r="C20" s="177" t="n"/>
      <c r="D20" s="314" t="n"/>
      <c r="E20" s="314" t="n"/>
      <c r="F20" s="314" t="n"/>
      <c r="G20" s="314" t="n"/>
      <c r="H20" s="314" t="n"/>
      <c r="I20" s="314" t="n"/>
    </row>
    <row r="21" ht="15.75" customHeight="1" s="279">
      <c r="B21" s="176" t="n"/>
      <c r="C21" s="177" t="n"/>
      <c r="D21" s="314" t="n"/>
      <c r="E21" s="314" t="n"/>
      <c r="F21" s="314" t="n"/>
      <c r="G21" s="314" t="n"/>
      <c r="H21" s="314" t="n"/>
      <c r="I21" s="314" t="n"/>
    </row>
    <row r="22" ht="15.75" customHeight="1" s="279">
      <c r="B22" s="88" t="n"/>
      <c r="D22" s="318" t="n"/>
      <c r="E22" s="318" t="n"/>
      <c r="F22" s="318" t="n"/>
      <c r="G22" s="318" t="n"/>
      <c r="H22" s="318" t="n"/>
      <c r="I22" s="174" t="n"/>
    </row>
    <row r="23">
      <c r="D23" s="319" t="n"/>
      <c r="E23" s="319" t="n"/>
      <c r="F23" s="319" t="n"/>
      <c r="G23" s="319" t="n"/>
      <c r="H23" s="319" t="n"/>
      <c r="I23" s="319" t="n"/>
    </row>
  </sheetData>
  <mergeCells count="4">
    <mergeCell ref="B19:C19"/>
    <mergeCell ref="C4:H4"/>
    <mergeCell ref="B7:H7"/>
    <mergeCell ref="C3:H3"/>
  </mergeCells>
  <conditionalFormatting sqref="D10:G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conditionalFormatting sqref="H10:H19">
    <cfRule type="cellIs" priority="1" operator="lessThan" dxfId="1949">
      <formula>-0.03</formula>
    </cfRule>
    <cfRule type="cellIs" priority="2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19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18.5" bestFit="1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21.5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9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F</t>
        </is>
      </c>
      <c r="M3" s="87" t="inlineStr">
        <is>
          <t>X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RGB-PSNR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>
      <c r="B14" s="206" t="n"/>
      <c r="C14" s="206" t="n"/>
      <c r="D14" s="329" t="n"/>
      <c r="E14" s="320" t="n"/>
      <c r="F14" s="206" t="n"/>
      <c r="G14" s="206" t="n"/>
      <c r="H14" s="329" t="n"/>
      <c r="I14" s="10" t="n"/>
      <c r="J14" s="200" t="n"/>
      <c r="L14" s="201" t="n"/>
      <c r="M14" s="201" t="n"/>
      <c r="N14" s="202" t="n"/>
      <c r="O14" s="320" t="n"/>
      <c r="P14" s="281" t="n"/>
      <c r="Q14" s="320" t="n"/>
      <c r="R14" s="10" t="n"/>
      <c r="S14" s="10" t="n"/>
      <c r="T14" s="10" t="n"/>
      <c r="U14" s="10" t="n"/>
      <c r="V14" s="67" t="n"/>
      <c r="X14" s="68" t="n"/>
      <c r="Y14" s="68" t="n"/>
      <c r="Z14" s="66" t="n"/>
    </row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RGB-PSNR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RGB-PSNR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RGB-PSNR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RGB-PSNR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RGB-PSNR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RGB-PSNR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2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RGB-PSNR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RGB-PSNR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RGB-PSNR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3">
      <c r="AB113" s="324" t="n"/>
    </row>
    <row r="116" ht="16.5" customHeight="1" s="279">
      <c r="AB116" s="324" t="n"/>
    </row>
    <row r="118" ht="16.5" customHeight="1" s="279"/>
    <row r="119" ht="16.5" customHeight="1" s="279"/>
    <row r="123">
      <c r="AB123" s="324" t="n"/>
    </row>
    <row r="126" ht="16.5" customHeight="1" s="279">
      <c r="AB126" s="324" t="n"/>
    </row>
    <row r="128" ht="16.5" customHeight="1" s="279"/>
    <row r="129" ht="16.5" customHeight="1" s="279"/>
    <row r="133">
      <c r="AB133" s="324" t="n"/>
    </row>
    <row r="136" ht="16.5" customHeight="1" s="279">
      <c r="AB136" s="324" t="n"/>
    </row>
    <row r="138" ht="16.5" customHeight="1" s="279"/>
    <row r="139" ht="16.5" customHeight="1" s="279"/>
    <row r="143">
      <c r="AB143" s="324" t="n"/>
    </row>
    <row r="146" ht="16.5" customHeight="1" s="279">
      <c r="AB146" s="324" t="n"/>
    </row>
    <row r="148" ht="16.5" customHeight="1" s="279"/>
    <row r="149" ht="16.5" customHeight="1" s="279"/>
    <row r="153">
      <c r="AB153" s="324" t="n"/>
    </row>
    <row r="156" ht="16.5" customHeight="1" s="279">
      <c r="AB156" s="324" t="n"/>
    </row>
    <row r="158" ht="16.5" customHeight="1" s="279"/>
    <row r="159" ht="16.5" customHeight="1" s="279"/>
    <row r="163">
      <c r="AB163" s="324" t="n"/>
    </row>
    <row r="166" ht="16.5" customHeight="1" s="279">
      <c r="AB166" s="324" t="n"/>
    </row>
    <row r="168" ht="16.5" customHeight="1" s="279"/>
    <row r="169" ht="16.5" customHeight="1" s="279"/>
    <row r="173">
      <c r="AB173" s="324" t="n"/>
    </row>
    <row r="176" ht="16.5" customHeight="1" s="279">
      <c r="AB176" s="324" t="n"/>
    </row>
    <row r="178" ht="16.5" customHeight="1" s="279"/>
    <row r="179" ht="16.5" customHeight="1" s="279"/>
    <row r="182">
      <c r="B182" s="183" t="n"/>
      <c r="C182" s="183" t="n"/>
      <c r="D182" s="3" t="n"/>
      <c r="E182" s="3" t="n"/>
      <c r="F182" s="3" t="n"/>
      <c r="G182" s="3" t="n"/>
      <c r="H182" s="3" t="n"/>
      <c r="I182" s="3" t="n"/>
      <c r="J182" s="3" t="n"/>
      <c r="L182" s="183" t="n"/>
      <c r="M182" s="183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183" t="n"/>
      <c r="Y182" s="183" t="n"/>
      <c r="Z182" s="183" t="n"/>
    </row>
    <row r="183">
      <c r="B183" s="40" t="n"/>
      <c r="C183" s="183" t="n"/>
      <c r="D183" s="320" t="n"/>
      <c r="E183" s="320" t="n"/>
      <c r="F183" s="320" t="n"/>
      <c r="G183" s="320" t="n"/>
      <c r="H183" s="10" t="n"/>
      <c r="I183" s="10" t="n"/>
      <c r="J183" s="10" t="n"/>
      <c r="L183" s="40" t="n"/>
      <c r="M183" s="183" t="n"/>
      <c r="N183" s="320" t="n"/>
      <c r="O183" s="320" t="n"/>
      <c r="P183" s="320" t="n"/>
      <c r="Q183" s="320" t="n"/>
      <c r="R183" s="10" t="n"/>
      <c r="S183" s="10" t="n"/>
      <c r="T183" s="10" t="n"/>
      <c r="U183" s="10" t="n"/>
      <c r="V183" s="323" t="n"/>
      <c r="X183" s="7" t="n"/>
      <c r="Y183" s="7" t="n"/>
      <c r="Z183" s="66" t="n"/>
      <c r="AB183" s="324" t="n"/>
    </row>
    <row r="184">
      <c r="B184" s="40" t="n"/>
      <c r="C184" s="183" t="n"/>
      <c r="D184" s="320" t="n"/>
      <c r="E184" s="320" t="n"/>
      <c r="F184" s="320" t="n"/>
      <c r="G184" s="320" t="n"/>
      <c r="H184" s="10" t="n"/>
      <c r="I184" s="10" t="n"/>
      <c r="J184" s="10" t="n"/>
      <c r="L184" s="40" t="n"/>
      <c r="M184" s="183" t="n"/>
      <c r="N184" s="320" t="n"/>
      <c r="O184" s="320" t="n"/>
      <c r="P184" s="320" t="n"/>
      <c r="Q184" s="320" t="n"/>
      <c r="R184" s="10" t="n"/>
      <c r="S184" s="10" t="n"/>
      <c r="T184" s="10" t="n"/>
      <c r="U184" s="10" t="n"/>
      <c r="V184" s="323" t="n"/>
      <c r="X184" s="7" t="n"/>
      <c r="Y184" s="7" t="n"/>
      <c r="Z184" s="66" t="n"/>
    </row>
    <row r="185">
      <c r="B185" s="40" t="n"/>
      <c r="C185" s="183" t="n"/>
      <c r="D185" s="320" t="n"/>
      <c r="E185" s="320" t="n"/>
      <c r="F185" s="320" t="n"/>
      <c r="G185" s="320" t="n"/>
      <c r="H185" s="10" t="n"/>
      <c r="I185" s="10" t="n"/>
      <c r="J185" s="10" t="n"/>
      <c r="L185" s="40" t="n"/>
      <c r="M185" s="183" t="n"/>
      <c r="N185" s="320" t="n"/>
      <c r="O185" s="320" t="n"/>
      <c r="P185" s="320" t="n"/>
      <c r="Q185" s="320" t="n"/>
      <c r="R185" s="10" t="n"/>
      <c r="S185" s="10" t="n"/>
      <c r="T185" s="10" t="n"/>
      <c r="U185" s="10" t="n"/>
      <c r="V185" s="323" t="n"/>
      <c r="X185" s="7" t="n"/>
      <c r="Y185" s="7" t="n"/>
      <c r="Z185" s="66" t="n"/>
    </row>
    <row r="186" ht="16.5" customHeight="1" s="279">
      <c r="B186" s="40" t="n"/>
      <c r="C186" s="183" t="n"/>
      <c r="D186" s="320" t="n"/>
      <c r="E186" s="320" t="n"/>
      <c r="F186" s="320" t="n"/>
      <c r="G186" s="320" t="n"/>
      <c r="H186" s="10" t="n"/>
      <c r="I186" s="10" t="n"/>
      <c r="J186" s="10" t="n"/>
      <c r="L186" s="40" t="n"/>
      <c r="M186" s="183" t="n"/>
      <c r="N186" s="320" t="n"/>
      <c r="O186" s="320" t="n"/>
      <c r="P186" s="320" t="n"/>
      <c r="Q186" s="320" t="n"/>
      <c r="R186" s="10" t="n"/>
      <c r="S186" s="10" t="n"/>
      <c r="T186" s="10" t="n"/>
      <c r="U186" s="10" t="n"/>
      <c r="V186" s="323" t="n"/>
      <c r="X186" s="7" t="n"/>
      <c r="Y186" s="7" t="n"/>
      <c r="Z186" s="66" t="n"/>
      <c r="AB186" s="324" t="n"/>
    </row>
    <row r="187">
      <c r="B187" s="40" t="n"/>
      <c r="C187" s="183" t="n"/>
      <c r="D187" s="320" t="n"/>
      <c r="E187" s="320" t="n"/>
      <c r="F187" s="320" t="n"/>
      <c r="G187" s="320" t="n"/>
      <c r="H187" s="10" t="n"/>
      <c r="I187" s="10" t="n"/>
      <c r="J187" s="10" t="n"/>
      <c r="L187" s="40" t="n"/>
      <c r="M187" s="183" t="n"/>
      <c r="N187" s="320" t="n"/>
      <c r="O187" s="320" t="n"/>
      <c r="P187" s="320" t="n"/>
      <c r="Q187" s="320" t="n"/>
      <c r="R187" s="10" t="n"/>
      <c r="S187" s="10" t="n"/>
      <c r="T187" s="10" t="n"/>
      <c r="U187" s="10" t="n"/>
      <c r="V187" s="67" t="n"/>
      <c r="X187" s="7" t="n"/>
      <c r="Y187" s="7" t="n"/>
      <c r="Z187" s="66" t="n"/>
    </row>
    <row r="188" ht="16.5" customHeight="1" s="279">
      <c r="B188" s="40" t="n"/>
      <c r="D188" s="320" t="n"/>
      <c r="E188" s="320" t="n"/>
      <c r="F188" s="320" t="n"/>
      <c r="G188" s="320" t="n"/>
      <c r="H188" s="10" t="n"/>
      <c r="I188" s="10" t="n"/>
      <c r="J188" s="10" t="n"/>
      <c r="L188" s="40" t="n"/>
      <c r="M188" s="183" t="n"/>
      <c r="N188" s="320" t="n"/>
      <c r="O188" s="320" t="n"/>
      <c r="P188" s="320" t="n"/>
      <c r="Q188" s="320" t="n"/>
      <c r="R188" s="10" t="n"/>
      <c r="S188" s="10" t="n"/>
      <c r="T188" s="10" t="n"/>
      <c r="U188" s="10" t="n"/>
      <c r="V188" s="67" t="n"/>
      <c r="X188" s="68" t="n"/>
      <c r="Y188" s="68" t="n"/>
      <c r="Z188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workbookViewId="0">
      <selection activeCell="R25" sqref="R25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G</t>
        </is>
      </c>
      <c r="M3" s="87" t="inlineStr">
        <is>
          <t>Y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5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5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8" bestFit="1" customWidth="1" style="279" min="14" max="14"/>
    <col width="4.59765625" customWidth="1" style="279" min="15" max="15"/>
    <col width="9.6992187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H</t>
        </is>
      </c>
      <c r="M3" s="87" t="inlineStr">
        <is>
          <t>Z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I</t>
        </is>
      </c>
      <c r="M3" s="87" t="inlineStr">
        <is>
          <t>AA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9"/>
    <col width="9" customWidth="1" style="279" min="40" max="16384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J</t>
        </is>
      </c>
      <c r="M3" s="87" t="inlineStr">
        <is>
          <t>AB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5941.224</v>
      </c>
      <c r="F16" s="169" t="n">
        <v>6950.84</v>
      </c>
      <c r="G16" s="169" t="n">
        <v>2479.192</v>
      </c>
      <c r="H16" s="169" t="n">
        <v>925.624</v>
      </c>
      <c r="I16" s="169" t="n">
        <v>107.456</v>
      </c>
      <c r="J16" s="169" t="n">
        <v>11102.456</v>
      </c>
      <c r="K16" s="62" t="n">
        <v>7159.68</v>
      </c>
      <c r="L16" s="62" t="n">
        <v>2367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/>
      <c r="X16" s="169" t="n"/>
      <c r="Y16" s="169" t="n"/>
      <c r="Z16" s="169" t="n"/>
      <c r="AA16" s="169" t="n"/>
      <c r="AB16" s="169" t="n"/>
      <c r="AC16" s="62" t="n"/>
      <c r="AD16" s="62" t="n"/>
      <c r="AE16" s="62" t="n"/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5941.224</v>
      </c>
      <c r="F17" s="170" t="n">
        <v>9208.879999999999</v>
      </c>
      <c r="G17" s="170" t="n">
        <v>6678.36</v>
      </c>
      <c r="H17" s="170" t="n">
        <v>3445.296</v>
      </c>
      <c r="I17" s="170" t="n">
        <v>1066.664</v>
      </c>
      <c r="J17" s="170" t="n">
        <v>14290.28</v>
      </c>
      <c r="K17" s="64" t="n">
        <v>9490.904</v>
      </c>
      <c r="L17" s="64" t="n">
        <v>3121.8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/>
      <c r="X17" s="170" t="n"/>
      <c r="Y17" s="170" t="n"/>
      <c r="Z17" s="170" t="n"/>
      <c r="AA17" s="170" t="n"/>
      <c r="AB17" s="170" t="n"/>
      <c r="AC17" s="64" t="n"/>
      <c r="AD17" s="64" t="n"/>
      <c r="AE17" s="64" t="n"/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5941.224</v>
      </c>
      <c r="F18" s="170" t="n">
        <v>11523.68</v>
      </c>
      <c r="G18" s="170" t="n">
        <v>12327.76</v>
      </c>
      <c r="H18" s="170" t="n">
        <v>8552.031999999999</v>
      </c>
      <c r="I18" s="170" t="n">
        <v>5014.36</v>
      </c>
      <c r="J18" s="170" t="n">
        <v>17597.624</v>
      </c>
      <c r="K18" s="64" t="n">
        <v>11921.12</v>
      </c>
      <c r="L18" s="64" t="n">
        <v>3895.536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/>
      <c r="X18" s="170" t="n"/>
      <c r="Y18" s="170" t="n"/>
      <c r="Z18" s="170" t="n"/>
      <c r="AA18" s="170" t="n"/>
      <c r="AB18" s="170" t="n"/>
      <c r="AC18" s="64" t="n"/>
      <c r="AD18" s="64" t="n"/>
      <c r="AE18" s="64" t="n"/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5941.224</v>
      </c>
      <c r="F19" s="170" t="n">
        <v>13726.208</v>
      </c>
      <c r="G19" s="170" t="n">
        <v>18542.392</v>
      </c>
      <c r="H19" s="170" t="n">
        <v>16488.648</v>
      </c>
      <c r="I19" s="170" t="n">
        <v>13983.656</v>
      </c>
      <c r="J19" s="170" t="n">
        <v>21009.472</v>
      </c>
      <c r="K19" s="64" t="n">
        <v>14466.144</v>
      </c>
      <c r="L19" s="64" t="n">
        <v>4704.344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/>
      <c r="X19" s="170" t="n"/>
      <c r="Y19" s="170" t="n"/>
      <c r="Z19" s="170" t="n"/>
      <c r="AA19" s="170" t="n"/>
      <c r="AB19" s="170" t="n"/>
      <c r="AC19" s="64" t="n"/>
      <c r="AD19" s="64" t="n"/>
      <c r="AE19" s="64" t="n"/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26.798352</v>
      </c>
      <c r="G33" s="99" t="n">
        <v>32.055731</v>
      </c>
      <c r="H33" s="99" t="n">
        <v>0.95811589</v>
      </c>
      <c r="I33" s="62" t="n">
        <v>0.95013264</v>
      </c>
      <c r="J33" s="62" t="n">
        <v>0.07062971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/>
      <c r="Y33" s="99" t="n"/>
      <c r="Z33" s="99" t="n"/>
      <c r="AA33" s="62" t="n"/>
      <c r="AB33" s="62" t="n"/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30.683052</v>
      </c>
      <c r="G34" s="192" t="n">
        <v>35.189309</v>
      </c>
      <c r="H34" s="192" t="n">
        <v>0.97566373</v>
      </c>
      <c r="I34" s="64" t="n">
        <v>0.97241996</v>
      </c>
      <c r="J34" s="64" t="n">
        <v>0.043773934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/>
      <c r="Y34" s="192" t="n"/>
      <c r="Z34" s="192" t="n"/>
      <c r="AA34" s="64" t="n"/>
      <c r="AB34" s="64" t="n"/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35.245213</v>
      </c>
      <c r="G35" s="192" t="n">
        <v>39.325405</v>
      </c>
      <c r="H35" s="192" t="n">
        <v>0.98802478</v>
      </c>
      <c r="I35" s="64" t="n">
        <v>0.99024722</v>
      </c>
      <c r="J35" s="64" t="n">
        <v>0.025878713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/>
      <c r="Y35" s="192" t="n"/>
      <c r="Z35" s="192" t="n"/>
      <c r="AA35" s="64" t="n"/>
      <c r="AB35" s="64" t="n"/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37.978982</v>
      </c>
      <c r="G36" s="192" t="n">
        <v>42.071569</v>
      </c>
      <c r="H36" s="192" t="n">
        <v>0.99232674</v>
      </c>
      <c r="I36" s="64" t="n">
        <v>0.99516832</v>
      </c>
      <c r="J36" s="64" t="n">
        <v>0.018133216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/>
      <c r="Y36" s="192" t="n"/>
      <c r="Z36" s="192" t="n"/>
      <c r="AA36" s="64" t="n"/>
      <c r="AB36" s="64" t="n"/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27.159337</v>
      </c>
      <c r="G38" s="99" t="n">
        <v>32.313654</v>
      </c>
      <c r="H38" s="99" t="n">
        <v>0.9591326100000001</v>
      </c>
      <c r="I38" s="62" t="n">
        <v>0.95348165</v>
      </c>
      <c r="J38" s="62" t="n">
        <v>0.06765059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/>
      <c r="Y38" s="99" t="n"/>
      <c r="Z38" s="99" t="n"/>
      <c r="AA38" s="62" t="n"/>
      <c r="AB38" s="62" t="n"/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30.61149</v>
      </c>
      <c r="G39" s="192" t="n">
        <v>35.12582</v>
      </c>
      <c r="H39" s="192" t="n">
        <v>0.97554803</v>
      </c>
      <c r="I39" s="64" t="n">
        <v>0.97318224</v>
      </c>
      <c r="J39" s="64" t="n">
        <v>0.042904843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/>
      <c r="Y39" s="192" t="n"/>
      <c r="Z39" s="192" t="n"/>
      <c r="AA39" s="64" t="n"/>
      <c r="AB39" s="64" t="n"/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35.104631</v>
      </c>
      <c r="G40" s="192" t="n">
        <v>39.205774</v>
      </c>
      <c r="H40" s="192" t="n">
        <v>0.98771968</v>
      </c>
      <c r="I40" s="64" t="n">
        <v>0.99035199</v>
      </c>
      <c r="J40" s="64" t="n">
        <v>0.026291702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/>
      <c r="Y40" s="192" t="n"/>
      <c r="Z40" s="192" t="n"/>
      <c r="AA40" s="64" t="n"/>
      <c r="AB40" s="64" t="n"/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37.772447</v>
      </c>
      <c r="G41" s="192" t="n">
        <v>41.887455</v>
      </c>
      <c r="H41" s="192" t="n">
        <v>0.99197133</v>
      </c>
      <c r="I41" s="64" t="n">
        <v>0.99512036</v>
      </c>
      <c r="J41" s="64" t="n">
        <v>0.018893559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/>
      <c r="Y41" s="192" t="n"/>
      <c r="Z41" s="192" t="n"/>
      <c r="AA41" s="64" t="n"/>
      <c r="AB41" s="64" t="n"/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27.47721</v>
      </c>
      <c r="G43" s="99" t="n">
        <v>32.542786</v>
      </c>
      <c r="H43" s="99" t="n">
        <v>0.95888883</v>
      </c>
      <c r="I43" s="62" t="n">
        <v>0.95585541</v>
      </c>
      <c r="J43" s="62" t="n">
        <v>0.06415727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/>
      <c r="Y43" s="99" t="n"/>
      <c r="Z43" s="99" t="n"/>
      <c r="AA43" s="62" t="n"/>
      <c r="AB43" s="62" t="n"/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30.589346</v>
      </c>
      <c r="G44" s="192" t="n">
        <v>35.108955</v>
      </c>
      <c r="H44" s="192" t="n">
        <v>0.97530395</v>
      </c>
      <c r="I44" s="64" t="n">
        <v>0.97331947</v>
      </c>
      <c r="J44" s="64" t="n">
        <v>0.040674977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/>
      <c r="Y44" s="192" t="n"/>
      <c r="Z44" s="192" t="n"/>
      <c r="AA44" s="64" t="n"/>
      <c r="AB44" s="64" t="n"/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35.185032</v>
      </c>
      <c r="G45" s="192" t="n">
        <v>39.267469</v>
      </c>
      <c r="H45" s="192" t="n">
        <v>0.98778605</v>
      </c>
      <c r="I45" s="64" t="n">
        <v>0.99048534</v>
      </c>
      <c r="J45" s="64" t="n">
        <v>0.024693282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/>
      <c r="Y45" s="192" t="n"/>
      <c r="Z45" s="192" t="n"/>
      <c r="AA45" s="64" t="n"/>
      <c r="AB45" s="64" t="n"/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37.84141</v>
      </c>
      <c r="G46" s="192" t="n">
        <v>41.947218</v>
      </c>
      <c r="H46" s="192" t="n">
        <v>0.99210927</v>
      </c>
      <c r="I46" s="64" t="n">
        <v>0.99513595</v>
      </c>
      <c r="J46" s="64" t="n">
        <v>0.017724298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/>
      <c r="Y46" s="192" t="n"/>
      <c r="Z46" s="192" t="n"/>
      <c r="AA46" s="64" t="n"/>
      <c r="AB46" s="64" t="n"/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27.528515</v>
      </c>
      <c r="G48" s="99" t="n">
        <v>32.573353</v>
      </c>
      <c r="H48" s="99" t="n">
        <v>0.95889004</v>
      </c>
      <c r="I48" s="62" t="n">
        <v>0.95552258</v>
      </c>
      <c r="J48" s="62" t="n">
        <v>0.06511947999999999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/>
      <c r="Y48" s="99" t="n"/>
      <c r="Z48" s="99" t="n"/>
      <c r="AA48" s="62" t="n"/>
      <c r="AB48" s="62" t="n"/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30.364004</v>
      </c>
      <c r="G49" s="192" t="n">
        <v>34.911343</v>
      </c>
      <c r="H49" s="192" t="n">
        <v>0.97482051</v>
      </c>
      <c r="I49" s="64" t="n">
        <v>0.97217199</v>
      </c>
      <c r="J49" s="64" t="n">
        <v>0.042943962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/>
      <c r="Y49" s="192" t="n"/>
      <c r="Z49" s="192" t="n"/>
      <c r="AA49" s="64" t="n"/>
      <c r="AB49" s="64" t="n"/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35.178788</v>
      </c>
      <c r="G50" s="192" t="n">
        <v>39.253575</v>
      </c>
      <c r="H50" s="192" t="n">
        <v>0.98766487</v>
      </c>
      <c r="I50" s="64" t="n">
        <v>0.99047031</v>
      </c>
      <c r="J50" s="64" t="n">
        <v>0.025777917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/>
      <c r="Y50" s="192" t="n"/>
      <c r="Z50" s="192" t="n"/>
      <c r="AA50" s="64" t="n"/>
      <c r="AB50" s="64" t="n"/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37.787499</v>
      </c>
      <c r="G51" s="192" t="n">
        <v>41.886262</v>
      </c>
      <c r="H51" s="192" t="n">
        <v>0.99195459</v>
      </c>
      <c r="I51" s="64" t="n">
        <v>0.9950635799999999</v>
      </c>
      <c r="J51" s="64" t="n">
        <v>0.01861242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/>
      <c r="Y51" s="192" t="n"/>
      <c r="Z51" s="192" t="n"/>
      <c r="AA51" s="64" t="n"/>
      <c r="AB51" s="64" t="n"/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27.637275</v>
      </c>
      <c r="G53" s="99" t="n">
        <v>32.603611</v>
      </c>
      <c r="H53" s="99" t="n">
        <v>0.95685091</v>
      </c>
      <c r="I53" s="62" t="n">
        <v>0.95639452</v>
      </c>
      <c r="J53" s="62" t="n">
        <v>0.06859033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/>
      <c r="Y53" s="99" t="n"/>
      <c r="Z53" s="99" t="n"/>
      <c r="AA53" s="62" t="n"/>
      <c r="AB53" s="62" t="n"/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30.342055</v>
      </c>
      <c r="G54" s="192" t="n">
        <v>34.873163</v>
      </c>
      <c r="H54" s="192" t="n">
        <v>0.97403955</v>
      </c>
      <c r="I54" s="64" t="n">
        <v>0.97253383</v>
      </c>
      <c r="J54" s="64" t="n">
        <v>0.045010433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/>
      <c r="Y54" s="192" t="n"/>
      <c r="Z54" s="192" t="n"/>
      <c r="AA54" s="64" t="n"/>
      <c r="AB54" s="64" t="n"/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34.99412</v>
      </c>
      <c r="G55" s="192" t="n">
        <v>39.061015</v>
      </c>
      <c r="H55" s="192" t="n">
        <v>0.98708829</v>
      </c>
      <c r="I55" s="64" t="n">
        <v>0.99036941</v>
      </c>
      <c r="J55" s="64" t="n">
        <v>0.027586918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/>
      <c r="Y55" s="192" t="n"/>
      <c r="Z55" s="192" t="n"/>
      <c r="AA55" s="64" t="n"/>
      <c r="AB55" s="64" t="n"/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37.432069</v>
      </c>
      <c r="G56" s="192" t="n">
        <v>41.503722</v>
      </c>
      <c r="H56" s="192" t="n">
        <v>0.99142966</v>
      </c>
      <c r="I56" s="64" t="n">
        <v>0.99482473</v>
      </c>
      <c r="J56" s="64" t="n">
        <v>0.019992592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/>
      <c r="Y56" s="192" t="n"/>
      <c r="Z56" s="192" t="n"/>
      <c r="AA56" s="64" t="n"/>
      <c r="AB56" s="64" t="n"/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26.894822</v>
      </c>
      <c r="G58" s="99" t="n">
        <v>32.264718</v>
      </c>
      <c r="H58" s="99" t="n">
        <v>0.95867438</v>
      </c>
      <c r="I58" s="62" t="n">
        <v>0.95391573</v>
      </c>
      <c r="J58" s="62" t="n">
        <v>0.06924356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/>
      <c r="Y58" s="99" t="n"/>
      <c r="Z58" s="99" t="n"/>
      <c r="AA58" s="62" t="n"/>
      <c r="AB58" s="62" t="n"/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30.816381</v>
      </c>
      <c r="G59" s="192" t="n">
        <v>35.493073</v>
      </c>
      <c r="H59" s="192" t="n">
        <v>0.9764444799999999</v>
      </c>
      <c r="I59" s="64" t="n">
        <v>0.97494441</v>
      </c>
      <c r="J59" s="64" t="n">
        <v>0.041013528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/>
      <c r="Y59" s="192" t="n"/>
      <c r="Z59" s="192" t="n"/>
      <c r="AA59" s="64" t="n"/>
      <c r="AB59" s="64" t="n"/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35.293846</v>
      </c>
      <c r="G60" s="192" t="n">
        <v>39.39068</v>
      </c>
      <c r="H60" s="192" t="n">
        <v>0.98864725</v>
      </c>
      <c r="I60" s="64" t="n">
        <v>0.99094232</v>
      </c>
      <c r="J60" s="64" t="n">
        <v>0.023807272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/>
      <c r="Y60" s="192" t="n"/>
      <c r="Z60" s="192" t="n"/>
      <c r="AA60" s="64" t="n"/>
      <c r="AB60" s="64" t="n"/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37.956539</v>
      </c>
      <c r="G61" s="192" t="n">
        <v>42.040222</v>
      </c>
      <c r="H61" s="192" t="n">
        <v>0.99285303</v>
      </c>
      <c r="I61" s="64" t="n">
        <v>0.9956947900000001</v>
      </c>
      <c r="J61" s="64" t="n">
        <v>0.016822651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/>
      <c r="Y61" s="192" t="n"/>
      <c r="Z61" s="192" t="n"/>
      <c r="AA61" s="64" t="n"/>
      <c r="AB61" s="64" t="n"/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27.080069</v>
      </c>
      <c r="G63" s="99" t="n">
        <v>32.41377</v>
      </c>
      <c r="H63" s="99" t="n">
        <v>0.95950606</v>
      </c>
      <c r="I63" s="62" t="n">
        <v>0.95407178</v>
      </c>
      <c r="J63" s="62" t="n">
        <v>0.0653517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/>
      <c r="Y63" s="99" t="n"/>
      <c r="Z63" s="99" t="n"/>
      <c r="AA63" s="62" t="n"/>
      <c r="AB63" s="62" t="n"/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30.646645</v>
      </c>
      <c r="G64" s="192" t="n">
        <v>35.377361</v>
      </c>
      <c r="H64" s="192" t="n">
        <v>0.97647065</v>
      </c>
      <c r="I64" s="64" t="n">
        <v>0.97207644</v>
      </c>
      <c r="J64" s="64" t="n">
        <v>0.039864033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/>
      <c r="Y64" s="192" t="n"/>
      <c r="Z64" s="192" t="n"/>
      <c r="AA64" s="64" t="n"/>
      <c r="AB64" s="64" t="n"/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35.304289</v>
      </c>
      <c r="G65" s="192" t="n">
        <v>39.427394</v>
      </c>
      <c r="H65" s="192" t="n">
        <v>0.98858228</v>
      </c>
      <c r="I65" s="64" t="n">
        <v>0.99053735</v>
      </c>
      <c r="J65" s="64" t="n">
        <v>0.023588745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/>
      <c r="Y65" s="192" t="n"/>
      <c r="Z65" s="192" t="n"/>
      <c r="AA65" s="64" t="n"/>
      <c r="AB65" s="64" t="n"/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37.940698</v>
      </c>
      <c r="G66" s="192" t="n">
        <v>42.04266</v>
      </c>
      <c r="H66" s="192" t="n">
        <v>0.99273868</v>
      </c>
      <c r="I66" s="64" t="n">
        <v>0.99535589</v>
      </c>
      <c r="J66" s="64" t="n">
        <v>0.0167075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/>
      <c r="Y66" s="192" t="n"/>
      <c r="Z66" s="192" t="n"/>
      <c r="AA66" s="64" t="n"/>
      <c r="AB66" s="64" t="n"/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27.339937</v>
      </c>
      <c r="G68" s="99" t="n">
        <v>32.598719</v>
      </c>
      <c r="H68" s="99" t="n">
        <v>0.9595214</v>
      </c>
      <c r="I68" s="62" t="n">
        <v>0.95485657</v>
      </c>
      <c r="J68" s="62" t="n">
        <v>0.062930346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/>
      <c r="Y68" s="99" t="n"/>
      <c r="Z68" s="99" t="n"/>
      <c r="AA68" s="62" t="n"/>
      <c r="AB68" s="62" t="n"/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30.699699</v>
      </c>
      <c r="G69" s="192" t="n">
        <v>35.41825</v>
      </c>
      <c r="H69" s="192" t="n">
        <v>0.97609678</v>
      </c>
      <c r="I69" s="64" t="n">
        <v>0.97140774</v>
      </c>
      <c r="J69" s="64" t="n">
        <v>0.039092842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/>
      <c r="Y69" s="192" t="n"/>
      <c r="Z69" s="192" t="n"/>
      <c r="AA69" s="64" t="n"/>
      <c r="AB69" s="64" t="n"/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35.325892</v>
      </c>
      <c r="G70" s="192" t="n">
        <v>39.444446</v>
      </c>
      <c r="H70" s="192" t="n">
        <v>0.98833273</v>
      </c>
      <c r="I70" s="64" t="n">
        <v>0.99000382</v>
      </c>
      <c r="J70" s="64" t="n">
        <v>0.023051122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/>
      <c r="Y70" s="192" t="n"/>
      <c r="Z70" s="192" t="n"/>
      <c r="AA70" s="64" t="n"/>
      <c r="AB70" s="64" t="n"/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37.91897</v>
      </c>
      <c r="G71" s="192" t="n">
        <v>42.0106</v>
      </c>
      <c r="H71" s="192" t="n">
        <v>0.9926001</v>
      </c>
      <c r="I71" s="64" t="n">
        <v>0.99502448</v>
      </c>
      <c r="J71" s="64" t="n">
        <v>0.016604716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/>
      <c r="Y71" s="192" t="n"/>
      <c r="Z71" s="192" t="n"/>
      <c r="AA71" s="64" t="n"/>
      <c r="AB71" s="64" t="n"/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27.454829</v>
      </c>
      <c r="G73" s="99" t="n">
        <v>32.661768</v>
      </c>
      <c r="H73" s="99" t="n">
        <v>0.95952679</v>
      </c>
      <c r="I73" s="62" t="n">
        <v>0.95506356</v>
      </c>
      <c r="J73" s="62" t="n">
        <v>0.06267731999999999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/>
      <c r="Y73" s="99" t="n"/>
      <c r="Z73" s="99" t="n"/>
      <c r="AA73" s="62" t="n"/>
      <c r="AB73" s="62" t="n"/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30.660633</v>
      </c>
      <c r="G74" s="192" t="n">
        <v>35.361565</v>
      </c>
      <c r="H74" s="192" t="n">
        <v>0.9757781</v>
      </c>
      <c r="I74" s="64" t="n">
        <v>0.9710833</v>
      </c>
      <c r="J74" s="64" t="n">
        <v>0.039405763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/>
      <c r="Y74" s="192" t="n"/>
      <c r="Z74" s="192" t="n"/>
      <c r="AA74" s="64" t="n"/>
      <c r="AB74" s="64" t="n"/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35.31421</v>
      </c>
      <c r="G75" s="192" t="n">
        <v>39.431276</v>
      </c>
      <c r="H75" s="192" t="n">
        <v>0.98818454</v>
      </c>
      <c r="I75" s="64" t="n">
        <v>0.9900803500000001</v>
      </c>
      <c r="J75" s="64" t="n">
        <v>0.023250917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/>
      <c r="Y75" s="192" t="n"/>
      <c r="Z75" s="192" t="n"/>
      <c r="AA75" s="64" t="n"/>
      <c r="AB75" s="64" t="n"/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37.881674</v>
      </c>
      <c r="G76" s="192" t="n">
        <v>41.968683</v>
      </c>
      <c r="H76" s="192" t="n">
        <v>0.99242517</v>
      </c>
      <c r="I76" s="64" t="n">
        <v>0.99507888</v>
      </c>
      <c r="J76" s="64" t="n">
        <v>0.016820215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/>
      <c r="Y76" s="192" t="n"/>
      <c r="Z76" s="192" t="n"/>
      <c r="AA76" s="64" t="n"/>
      <c r="AB76" s="64" t="n"/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27.508753</v>
      </c>
      <c r="G78" s="99" t="n">
        <v>32.618157</v>
      </c>
      <c r="H78" s="99" t="n">
        <v>0.95760784</v>
      </c>
      <c r="I78" s="62" t="n">
        <v>0.95567822</v>
      </c>
      <c r="J78" s="62" t="n">
        <v>0.06616482999999999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/>
      <c r="Y78" s="99" t="n"/>
      <c r="Z78" s="99" t="n"/>
      <c r="AA78" s="62" t="n"/>
      <c r="AB78" s="62" t="n"/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30.58878</v>
      </c>
      <c r="G79" s="192" t="n">
        <v>35.228862</v>
      </c>
      <c r="H79" s="192" t="n">
        <v>0.97467069</v>
      </c>
      <c r="I79" s="64" t="n">
        <v>0.9719521800000001</v>
      </c>
      <c r="J79" s="64" t="n">
        <v>0.04279477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/>
      <c r="Y79" s="192" t="n"/>
      <c r="Z79" s="192" t="n"/>
      <c r="AA79" s="64" t="n"/>
      <c r="AB79" s="64" t="n"/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35.130314</v>
      </c>
      <c r="G80" s="192" t="n">
        <v>39.225898</v>
      </c>
      <c r="H80" s="192" t="n">
        <v>0.98737633</v>
      </c>
      <c r="I80" s="64" t="n">
        <v>0.99017669</v>
      </c>
      <c r="J80" s="64" t="n">
        <v>0.025149196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/>
      <c r="Y80" s="192" t="n"/>
      <c r="Z80" s="192" t="n"/>
      <c r="AA80" s="64" t="n"/>
      <c r="AB80" s="64" t="n"/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37.597347</v>
      </c>
      <c r="G81" s="192" t="n">
        <v>41.652252</v>
      </c>
      <c r="H81" s="192" t="n">
        <v>0.9916916099999999</v>
      </c>
      <c r="I81" s="64" t="n">
        <v>0.99492577</v>
      </c>
      <c r="J81" s="64" t="n">
        <v>0.01848512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/>
      <c r="Y81" s="192" t="n"/>
      <c r="Z81" s="192" t="n"/>
      <c r="AA81" s="64" t="n"/>
      <c r="AB81" s="64" t="n"/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26.979896</v>
      </c>
      <c r="G83" s="99" t="n">
        <v>32.325276</v>
      </c>
      <c r="H83" s="99" t="n">
        <v>0.95656842</v>
      </c>
      <c r="I83" s="62" t="n">
        <v>0.95544584</v>
      </c>
      <c r="J83" s="62" t="n">
        <v>0.07042292999999999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/>
      <c r="Y83" s="99" t="n"/>
      <c r="Z83" s="99" t="n"/>
      <c r="AA83" s="62" t="n"/>
      <c r="AB83" s="62" t="n"/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30.509104</v>
      </c>
      <c r="G84" s="192" t="n">
        <v>35.275842</v>
      </c>
      <c r="H84" s="192" t="n">
        <v>0.9760980500000001</v>
      </c>
      <c r="I84" s="64" t="n">
        <v>0.97458858</v>
      </c>
      <c r="J84" s="64" t="n">
        <v>0.0410227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/>
      <c r="Y84" s="192" t="n"/>
      <c r="Z84" s="192" t="n"/>
      <c r="AA84" s="64" t="n"/>
      <c r="AB84" s="64" t="n"/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34.995499</v>
      </c>
      <c r="G85" s="192" t="n">
        <v>39.131517</v>
      </c>
      <c r="H85" s="192" t="n">
        <v>0.988575</v>
      </c>
      <c r="I85" s="64" t="n">
        <v>0.99112529</v>
      </c>
      <c r="J85" s="64" t="n">
        <v>0.023768082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/>
      <c r="Y85" s="192" t="n"/>
      <c r="Z85" s="192" t="n"/>
      <c r="AA85" s="64" t="n"/>
      <c r="AB85" s="64" t="n"/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37.818875</v>
      </c>
      <c r="G86" s="192" t="n">
        <v>41.873577</v>
      </c>
      <c r="H86" s="192" t="n">
        <v>0.99298097</v>
      </c>
      <c r="I86" s="64" t="n">
        <v>0.99568496</v>
      </c>
      <c r="J86" s="64" t="n">
        <v>0.016779754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/>
      <c r="Y86" s="192" t="n"/>
      <c r="Z86" s="192" t="n"/>
      <c r="AA86" s="64" t="n"/>
      <c r="AB86" s="64" t="n"/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27.070197</v>
      </c>
      <c r="G88" s="99" t="n">
        <v>32.40762</v>
      </c>
      <c r="H88" s="99" t="n">
        <v>0.95771629</v>
      </c>
      <c r="I88" s="62" t="n">
        <v>0.95467356</v>
      </c>
      <c r="J88" s="62" t="n">
        <v>0.0666832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/>
      <c r="Y88" s="99" t="n"/>
      <c r="Z88" s="99" t="n"/>
      <c r="AA88" s="62" t="n"/>
      <c r="AB88" s="62" t="n"/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30.588432</v>
      </c>
      <c r="G89" s="192" t="n">
        <v>35.345521</v>
      </c>
      <c r="H89" s="192" t="n">
        <v>0.97624431</v>
      </c>
      <c r="I89" s="64" t="n">
        <v>0.97311337</v>
      </c>
      <c r="J89" s="64" t="n">
        <v>0.039928038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/>
      <c r="Y89" s="192" t="n"/>
      <c r="Z89" s="192" t="n"/>
      <c r="AA89" s="64" t="n"/>
      <c r="AB89" s="64" t="n"/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35.127245</v>
      </c>
      <c r="G90" s="192" t="n">
        <v>39.274522</v>
      </c>
      <c r="H90" s="192" t="n">
        <v>0.9885316</v>
      </c>
      <c r="I90" s="64" t="n">
        <v>0.99071747</v>
      </c>
      <c r="J90" s="64" t="n">
        <v>0.023596168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/>
      <c r="Y90" s="192" t="n"/>
      <c r="Z90" s="192" t="n"/>
      <c r="AA90" s="64" t="n"/>
      <c r="AB90" s="64" t="n"/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37.913258</v>
      </c>
      <c r="G91" s="192" t="n">
        <v>41.991973</v>
      </c>
      <c r="H91" s="192" t="n">
        <v>0.99289779</v>
      </c>
      <c r="I91" s="64" t="n">
        <v>0.99545551</v>
      </c>
      <c r="J91" s="64" t="n">
        <v>0.016695475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/>
      <c r="Y91" s="192" t="n"/>
      <c r="Z91" s="192" t="n"/>
      <c r="AA91" s="64" t="n"/>
      <c r="AB91" s="64" t="n"/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27.229775</v>
      </c>
      <c r="G93" s="99" t="n">
        <v>32.531093</v>
      </c>
      <c r="H93" s="99" t="n">
        <v>0.95857614</v>
      </c>
      <c r="I93" s="62" t="n">
        <v>0.95339068</v>
      </c>
      <c r="J93" s="62" t="n">
        <v>0.06351257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/>
      <c r="Y93" s="99" t="n"/>
      <c r="Z93" s="99" t="n"/>
      <c r="AA93" s="62" t="n"/>
      <c r="AB93" s="62" t="n"/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30.689409</v>
      </c>
      <c r="G94" s="192" t="n">
        <v>35.411991</v>
      </c>
      <c r="H94" s="192" t="n">
        <v>0.97657392</v>
      </c>
      <c r="I94" s="64" t="n">
        <v>0.97131583</v>
      </c>
      <c r="J94" s="64" t="n">
        <v>0.038080454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/>
      <c r="Y94" s="192" t="n"/>
      <c r="Z94" s="192" t="n"/>
      <c r="AA94" s="64" t="n"/>
      <c r="AB94" s="64" t="n"/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35.329491</v>
      </c>
      <c r="G95" s="192" t="n">
        <v>39.454034</v>
      </c>
      <c r="H95" s="192" t="n">
        <v>0.98865216</v>
      </c>
      <c r="I95" s="64" t="n">
        <v>0.99013811</v>
      </c>
      <c r="J95" s="64" t="n">
        <v>0.022565855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/>
      <c r="Y95" s="192" t="n"/>
      <c r="Z95" s="192" t="n"/>
      <c r="AA95" s="64" t="n"/>
      <c r="AB95" s="64" t="n"/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38.081161</v>
      </c>
      <c r="G96" s="192" t="n">
        <v>42.15001</v>
      </c>
      <c r="H96" s="192" t="n">
        <v>0.99293013</v>
      </c>
      <c r="I96" s="64" t="n">
        <v>0.99516193</v>
      </c>
      <c r="J96" s="64" t="n">
        <v>0.016004402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/>
      <c r="Y96" s="192" t="n"/>
      <c r="Z96" s="192" t="n"/>
      <c r="AA96" s="64" t="n"/>
      <c r="AB96" s="64" t="n"/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27.399815</v>
      </c>
      <c r="G98" s="99" t="n">
        <v>32.661894</v>
      </c>
      <c r="H98" s="99" t="n">
        <v>0.95872363</v>
      </c>
      <c r="I98" s="62" t="n">
        <v>0.95469424</v>
      </c>
      <c r="J98" s="62" t="n">
        <v>0.063374124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/>
      <c r="Y98" s="99" t="n"/>
      <c r="Z98" s="99" t="n"/>
      <c r="AA98" s="62" t="n"/>
      <c r="AB98" s="62" t="n"/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30.65092</v>
      </c>
      <c r="G99" s="192" t="n">
        <v>35.392979</v>
      </c>
      <c r="H99" s="192" t="n">
        <v>0.97648904</v>
      </c>
      <c r="I99" s="64" t="n">
        <v>0.97186671</v>
      </c>
      <c r="J99" s="64" t="n">
        <v>0.038674027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/>
      <c r="Y99" s="192" t="n"/>
      <c r="Z99" s="192" t="n"/>
      <c r="AA99" s="64" t="n"/>
      <c r="AB99" s="64" t="n"/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35.226109</v>
      </c>
      <c r="G100" s="192" t="n">
        <v>39.377244</v>
      </c>
      <c r="H100" s="192" t="n">
        <v>0.98856973</v>
      </c>
      <c r="I100" s="64" t="n">
        <v>0.99010826</v>
      </c>
      <c r="J100" s="64" t="n">
        <v>0.023301473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/>
      <c r="Y100" s="192" t="n"/>
      <c r="Z100" s="192" t="n"/>
      <c r="AA100" s="64" t="n"/>
      <c r="AB100" s="64" t="n"/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38.028995</v>
      </c>
      <c r="G101" s="192" t="n">
        <v>42.107762</v>
      </c>
      <c r="H101" s="192" t="n">
        <v>0.99285833</v>
      </c>
      <c r="I101" s="64" t="n">
        <v>0.99530067</v>
      </c>
      <c r="J101" s="64" t="n">
        <v>0.016391024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/>
      <c r="Y101" s="192" t="n"/>
      <c r="Z101" s="192" t="n"/>
      <c r="AA101" s="64" t="n"/>
      <c r="AB101" s="64" t="n"/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27.382222</v>
      </c>
      <c r="G103" s="99" t="n">
        <v>32.467602</v>
      </c>
      <c r="H103" s="99" t="n">
        <v>0.95687828</v>
      </c>
      <c r="I103" s="62" t="n">
        <v>0.95527609</v>
      </c>
      <c r="J103" s="62" t="n">
        <v>0.06536700600000001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/>
      <c r="Y103" s="99" t="n"/>
      <c r="Z103" s="99" t="n"/>
      <c r="AA103" s="62" t="n"/>
      <c r="AB103" s="62" t="n"/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30.493306</v>
      </c>
      <c r="G104" s="192" t="n">
        <v>35.132498</v>
      </c>
      <c r="H104" s="192" t="n">
        <v>0.97568116</v>
      </c>
      <c r="I104" s="64" t="n">
        <v>0.97281295</v>
      </c>
      <c r="J104" s="64" t="n">
        <v>0.040214453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/>
      <c r="Y104" s="192" t="n"/>
      <c r="Z104" s="192" t="n"/>
      <c r="AA104" s="64" t="n"/>
      <c r="AB104" s="64" t="n"/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34.921081</v>
      </c>
      <c r="G105" s="192" t="n">
        <v>39.040323</v>
      </c>
      <c r="H105" s="192" t="n">
        <v>0.98790654</v>
      </c>
      <c r="I105" s="64" t="n">
        <v>0.98998529</v>
      </c>
      <c r="J105" s="64" t="n">
        <v>0.02427213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/>
      <c r="Y105" s="192" t="n"/>
      <c r="Z105" s="192" t="n"/>
      <c r="AA105" s="64" t="n"/>
      <c r="AB105" s="64" t="n"/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37.76267</v>
      </c>
      <c r="G106" s="192" t="n">
        <v>41.808861</v>
      </c>
      <c r="H106" s="192" t="n">
        <v>0.99243322</v>
      </c>
      <c r="I106" s="64" t="n">
        <v>0.99520878</v>
      </c>
      <c r="J106" s="64" t="n">
        <v>0.016998094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/>
      <c r="Y106" s="192" t="n"/>
      <c r="Z106" s="192" t="n"/>
      <c r="AA106" s="64" t="n"/>
      <c r="AB106" s="64" t="n"/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6005.904</v>
      </c>
      <c r="F16" s="169" t="n">
        <v>7153.416</v>
      </c>
      <c r="G16" s="169" t="n">
        <v>2634.032</v>
      </c>
      <c r="H16" s="169" t="n">
        <v>989.232</v>
      </c>
      <c r="I16" s="169" t="n">
        <v>123.896</v>
      </c>
      <c r="J16" s="169" t="n">
        <v>11311.216</v>
      </c>
      <c r="K16" s="62" t="n">
        <v>7332.128</v>
      </c>
      <c r="L16" s="62" t="n">
        <v>2395.384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/>
      <c r="X16" s="169" t="n"/>
      <c r="Y16" s="169" t="n"/>
      <c r="Z16" s="169" t="n"/>
      <c r="AA16" s="169" t="n"/>
      <c r="AB16" s="169" t="n"/>
      <c r="AC16" s="62" t="n"/>
      <c r="AD16" s="62" t="n"/>
      <c r="AE16" s="62" t="n"/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6005.904</v>
      </c>
      <c r="F17" s="170" t="n">
        <v>9431.216</v>
      </c>
      <c r="G17" s="170" t="n">
        <v>7009.32</v>
      </c>
      <c r="H17" s="170" t="n">
        <v>3661.576</v>
      </c>
      <c r="I17" s="170" t="n">
        <v>1207.752</v>
      </c>
      <c r="J17" s="170" t="n">
        <v>14528.6</v>
      </c>
      <c r="K17" s="64" t="n">
        <v>9682.368</v>
      </c>
      <c r="L17" s="64" t="n">
        <v>3154.832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/>
      <c r="X17" s="170" t="n"/>
      <c r="Y17" s="170" t="n"/>
      <c r="Z17" s="170" t="n"/>
      <c r="AA17" s="170" t="n"/>
      <c r="AB17" s="170" t="n"/>
      <c r="AC17" s="64" t="n"/>
      <c r="AD17" s="64" t="n"/>
      <c r="AE17" s="64" t="n"/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6005.904</v>
      </c>
      <c r="F18" s="170" t="n">
        <v>11769.8</v>
      </c>
      <c r="G18" s="170" t="n">
        <v>12782.184</v>
      </c>
      <c r="H18" s="170" t="n">
        <v>9017.944</v>
      </c>
      <c r="I18" s="170" t="n">
        <v>5526.952</v>
      </c>
      <c r="J18" s="170" t="n">
        <v>17869.976</v>
      </c>
      <c r="K18" s="64" t="n">
        <v>12136.968</v>
      </c>
      <c r="L18" s="64" t="n">
        <v>3931.064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/>
      <c r="X18" s="170" t="n"/>
      <c r="Y18" s="170" t="n"/>
      <c r="Z18" s="170" t="n"/>
      <c r="AA18" s="170" t="n"/>
      <c r="AB18" s="170" t="n"/>
      <c r="AC18" s="64" t="n"/>
      <c r="AD18" s="64" t="n"/>
      <c r="AE18" s="64" t="n"/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6005.904</v>
      </c>
      <c r="F19" s="170" t="n">
        <v>13995.472</v>
      </c>
      <c r="G19" s="170" t="n">
        <v>19073.768</v>
      </c>
      <c r="H19" s="170" t="n">
        <v>17235.536</v>
      </c>
      <c r="I19" s="170" t="n">
        <v>15068.224</v>
      </c>
      <c r="J19" s="170" t="n">
        <v>21317.2</v>
      </c>
      <c r="K19" s="64" t="n">
        <v>14705.208</v>
      </c>
      <c r="L19" s="64" t="n">
        <v>4742.936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/>
      <c r="X19" s="170" t="n"/>
      <c r="Y19" s="170" t="n"/>
      <c r="Z19" s="170" t="n"/>
      <c r="AA19" s="170" t="n"/>
      <c r="AB19" s="170" t="n"/>
      <c r="AC19" s="64" t="n"/>
      <c r="AD19" s="64" t="n"/>
      <c r="AE19" s="64" t="n"/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26.822709</v>
      </c>
      <c r="G33" s="99" t="n">
        <v>31.894274</v>
      </c>
      <c r="H33" s="99" t="n">
        <v>0.95634443</v>
      </c>
      <c r="I33" s="62" t="n">
        <v>0.94974391</v>
      </c>
      <c r="J33" s="62" t="n">
        <v>0.07316177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/>
      <c r="Y33" s="99" t="n"/>
      <c r="Z33" s="99" t="n"/>
      <c r="AA33" s="62" t="n"/>
      <c r="AB33" s="62" t="n"/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30.718677</v>
      </c>
      <c r="G34" s="192" t="n">
        <v>35.105765</v>
      </c>
      <c r="H34" s="192" t="n">
        <v>0.97493398</v>
      </c>
      <c r="I34" s="64" t="n">
        <v>0.97260874</v>
      </c>
      <c r="J34" s="64" t="n">
        <v>0.045003712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/>
      <c r="Y34" s="192" t="n"/>
      <c r="Z34" s="192" t="n"/>
      <c r="AA34" s="64" t="n"/>
      <c r="AB34" s="64" t="n"/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35.208333</v>
      </c>
      <c r="G35" s="192" t="n">
        <v>39.272649</v>
      </c>
      <c r="H35" s="192" t="n">
        <v>0.98740146</v>
      </c>
      <c r="I35" s="64" t="n">
        <v>0.99000587</v>
      </c>
      <c r="J35" s="64" t="n">
        <v>0.026539272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/>
      <c r="Y35" s="192" t="n"/>
      <c r="Z35" s="192" t="n"/>
      <c r="AA35" s="64" t="n"/>
      <c r="AB35" s="64" t="n"/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37.821803</v>
      </c>
      <c r="G36" s="192" t="n">
        <v>41.911561</v>
      </c>
      <c r="H36" s="192" t="n">
        <v>0.99184025</v>
      </c>
      <c r="I36" s="64" t="n">
        <v>0.99521393</v>
      </c>
      <c r="J36" s="64" t="n">
        <v>0.018475004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/>
      <c r="Y36" s="192" t="n"/>
      <c r="Z36" s="192" t="n"/>
      <c r="AA36" s="64" t="n"/>
      <c r="AB36" s="64" t="n"/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27.15503</v>
      </c>
      <c r="G38" s="99" t="n">
        <v>32.206569</v>
      </c>
      <c r="H38" s="99" t="n">
        <v>0.95730326</v>
      </c>
      <c r="I38" s="62" t="n">
        <v>0.95267179</v>
      </c>
      <c r="J38" s="62" t="n">
        <v>0.07038909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/>
      <c r="Y38" s="99" t="n"/>
      <c r="Z38" s="99" t="n"/>
      <c r="AA38" s="62" t="n"/>
      <c r="AB38" s="62" t="n"/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30.670563</v>
      </c>
      <c r="G39" s="192" t="n">
        <v>35.084049</v>
      </c>
      <c r="H39" s="192" t="n">
        <v>0.97492584</v>
      </c>
      <c r="I39" s="64" t="n">
        <v>0.97300891</v>
      </c>
      <c r="J39" s="64" t="n">
        <v>0.044366464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/>
      <c r="Y39" s="192" t="n"/>
      <c r="Z39" s="192" t="n"/>
      <c r="AA39" s="64" t="n"/>
      <c r="AB39" s="64" t="n"/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35.082215</v>
      </c>
      <c r="G40" s="192" t="n">
        <v>39.175049</v>
      </c>
      <c r="H40" s="192" t="n">
        <v>0.9872140700000001</v>
      </c>
      <c r="I40" s="64" t="n">
        <v>0.99041207</v>
      </c>
      <c r="J40" s="64" t="n">
        <v>0.026983492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/>
      <c r="Y40" s="192" t="n"/>
      <c r="Z40" s="192" t="n"/>
      <c r="AA40" s="64" t="n"/>
      <c r="AB40" s="64" t="n"/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37.564023</v>
      </c>
      <c r="G41" s="192" t="n">
        <v>41.673533</v>
      </c>
      <c r="H41" s="192" t="n">
        <v>0.99154983</v>
      </c>
      <c r="I41" s="64" t="n">
        <v>0.99517492</v>
      </c>
      <c r="J41" s="64" t="n">
        <v>0.01939185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/>
      <c r="Y41" s="192" t="n"/>
      <c r="Z41" s="192" t="n"/>
      <c r="AA41" s="64" t="n"/>
      <c r="AB41" s="64" t="n"/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27.395927</v>
      </c>
      <c r="G43" s="99" t="n">
        <v>32.426301</v>
      </c>
      <c r="H43" s="99" t="n">
        <v>0.95755312</v>
      </c>
      <c r="I43" s="62" t="n">
        <v>0.95498381</v>
      </c>
      <c r="J43" s="62" t="n">
        <v>0.06547744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/>
      <c r="Y43" s="99" t="n"/>
      <c r="Z43" s="99" t="n"/>
      <c r="AA43" s="62" t="n"/>
      <c r="AB43" s="62" t="n"/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30.697759</v>
      </c>
      <c r="G44" s="192" t="n">
        <v>35.114454</v>
      </c>
      <c r="H44" s="192" t="n">
        <v>0.9745536299999999</v>
      </c>
      <c r="I44" s="64" t="n">
        <v>0.97301749</v>
      </c>
      <c r="J44" s="64" t="n">
        <v>0.041261587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/>
      <c r="Y44" s="192" t="n"/>
      <c r="Z44" s="192" t="n"/>
      <c r="AA44" s="64" t="n"/>
      <c r="AB44" s="64" t="n"/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35.193805</v>
      </c>
      <c r="G45" s="192" t="n">
        <v>39.2552</v>
      </c>
      <c r="H45" s="192" t="n">
        <v>0.98722105</v>
      </c>
      <c r="I45" s="64" t="n">
        <v>0.9903841</v>
      </c>
      <c r="J45" s="64" t="n">
        <v>0.024934815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/>
      <c r="Y45" s="192" t="n"/>
      <c r="Z45" s="192" t="n"/>
      <c r="AA45" s="64" t="n"/>
      <c r="AB45" s="64" t="n"/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37.602215</v>
      </c>
      <c r="G46" s="192" t="n">
        <v>41.690871</v>
      </c>
      <c r="H46" s="192" t="n">
        <v>0.9916004899999999</v>
      </c>
      <c r="I46" s="64" t="n">
        <v>0.9951375099999999</v>
      </c>
      <c r="J46" s="64" t="n">
        <v>0.018027645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/>
      <c r="Y46" s="192" t="n"/>
      <c r="Z46" s="192" t="n"/>
      <c r="AA46" s="64" t="n"/>
      <c r="AB46" s="64" t="n"/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27.406087</v>
      </c>
      <c r="G48" s="99" t="n">
        <v>32.42689</v>
      </c>
      <c r="H48" s="99" t="n">
        <v>0.95777323</v>
      </c>
      <c r="I48" s="62" t="n">
        <v>0.95496381</v>
      </c>
      <c r="J48" s="62" t="n">
        <v>0.06714096999999999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/>
      <c r="Y48" s="99" t="n"/>
      <c r="Z48" s="99" t="n"/>
      <c r="AA48" s="62" t="n"/>
      <c r="AB48" s="62" t="n"/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30.551265</v>
      </c>
      <c r="G49" s="192" t="n">
        <v>34.978854</v>
      </c>
      <c r="H49" s="192" t="n">
        <v>0.97408086</v>
      </c>
      <c r="I49" s="64" t="n">
        <v>0.9721792</v>
      </c>
      <c r="J49" s="64" t="n">
        <v>0.043624606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/>
      <c r="Y49" s="192" t="n"/>
      <c r="Z49" s="192" t="n"/>
      <c r="AA49" s="64" t="n"/>
      <c r="AB49" s="64" t="n"/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35.21565</v>
      </c>
      <c r="G50" s="192" t="n">
        <v>39.264226</v>
      </c>
      <c r="H50" s="192" t="n">
        <v>0.98699548</v>
      </c>
      <c r="I50" s="64" t="n">
        <v>0.99021385</v>
      </c>
      <c r="J50" s="64" t="n">
        <v>0.026084714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/>
      <c r="Y50" s="192" t="n"/>
      <c r="Z50" s="192" t="n"/>
      <c r="AA50" s="64" t="n"/>
      <c r="AB50" s="64" t="n"/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37.544877</v>
      </c>
      <c r="G51" s="192" t="n">
        <v>41.619893</v>
      </c>
      <c r="H51" s="192" t="n">
        <v>0.9913883100000001</v>
      </c>
      <c r="I51" s="64" t="n">
        <v>0.99507394</v>
      </c>
      <c r="J51" s="64" t="n">
        <v>0.019179547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/>
      <c r="Y51" s="192" t="n"/>
      <c r="Z51" s="192" t="n"/>
      <c r="AA51" s="64" t="n"/>
      <c r="AB51" s="64" t="n"/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27.461846</v>
      </c>
      <c r="G53" s="99" t="n">
        <v>32.418275</v>
      </c>
      <c r="H53" s="99" t="n">
        <v>0.95585049</v>
      </c>
      <c r="I53" s="62" t="n">
        <v>0.95539303</v>
      </c>
      <c r="J53" s="62" t="n">
        <v>0.07097901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/>
      <c r="Y53" s="99" t="n"/>
      <c r="Z53" s="99" t="n"/>
      <c r="AA53" s="62" t="n"/>
      <c r="AB53" s="62" t="n"/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30.5355</v>
      </c>
      <c r="G54" s="192" t="n">
        <v>34.941802</v>
      </c>
      <c r="H54" s="192" t="n">
        <v>0.97325649</v>
      </c>
      <c r="I54" s="64" t="n">
        <v>0.97258572</v>
      </c>
      <c r="J54" s="64" t="n">
        <v>0.045896985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/>
      <c r="Y54" s="192" t="n"/>
      <c r="Z54" s="192" t="n"/>
      <c r="AA54" s="64" t="n"/>
      <c r="AB54" s="64" t="n"/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34.999614</v>
      </c>
      <c r="G55" s="192" t="n">
        <v>39.030625</v>
      </c>
      <c r="H55" s="192" t="n">
        <v>0.98639427</v>
      </c>
      <c r="I55" s="64" t="n">
        <v>0.98987499</v>
      </c>
      <c r="J55" s="64" t="n">
        <v>0.02789219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/>
      <c r="Y55" s="192" t="n"/>
      <c r="Z55" s="192" t="n"/>
      <c r="AA55" s="64" t="n"/>
      <c r="AB55" s="64" t="n"/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37.247562</v>
      </c>
      <c r="G56" s="192" t="n">
        <v>41.294356</v>
      </c>
      <c r="H56" s="192" t="n">
        <v>0.99092534</v>
      </c>
      <c r="I56" s="64" t="n">
        <v>0.99484272</v>
      </c>
      <c r="J56" s="64" t="n">
        <v>0.020623738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/>
      <c r="Y56" s="192" t="n"/>
      <c r="Z56" s="192" t="n"/>
      <c r="AA56" s="64" t="n"/>
      <c r="AB56" s="64" t="n"/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27.015913</v>
      </c>
      <c r="G58" s="99" t="n">
        <v>32.128841</v>
      </c>
      <c r="H58" s="99" t="n">
        <v>0.95702016</v>
      </c>
      <c r="I58" s="62" t="n">
        <v>0.95447514</v>
      </c>
      <c r="J58" s="62" t="n">
        <v>0.07345168000000001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/>
      <c r="Y58" s="99" t="n"/>
      <c r="Z58" s="99" t="n"/>
      <c r="AA58" s="62" t="n"/>
      <c r="AB58" s="62" t="n"/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30.87134</v>
      </c>
      <c r="G59" s="192" t="n">
        <v>35.404367</v>
      </c>
      <c r="H59" s="192" t="n">
        <v>0.97574711</v>
      </c>
      <c r="I59" s="64" t="n">
        <v>0.9744540900000001</v>
      </c>
      <c r="J59" s="64" t="n">
        <v>0.043537956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/>
      <c r="Y59" s="192" t="n"/>
      <c r="Z59" s="192" t="n"/>
      <c r="AA59" s="64" t="n"/>
      <c r="AB59" s="64" t="n"/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35.184916</v>
      </c>
      <c r="G60" s="192" t="n">
        <v>39.299033</v>
      </c>
      <c r="H60" s="192" t="n">
        <v>0.98817892</v>
      </c>
      <c r="I60" s="64" t="n">
        <v>0.99054431</v>
      </c>
      <c r="J60" s="64" t="n">
        <v>0.024527108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/>
      <c r="Y60" s="192" t="n"/>
      <c r="Z60" s="192" t="n"/>
      <c r="AA60" s="64" t="n"/>
      <c r="AB60" s="64" t="n"/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37.748719</v>
      </c>
      <c r="G61" s="192" t="n">
        <v>41.856163</v>
      </c>
      <c r="H61" s="192" t="n">
        <v>0.9924557899999999</v>
      </c>
      <c r="I61" s="64" t="n">
        <v>0.99554823</v>
      </c>
      <c r="J61" s="64" t="n">
        <v>0.017698685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/>
      <c r="Y61" s="192" t="n"/>
      <c r="Z61" s="192" t="n"/>
      <c r="AA61" s="64" t="n"/>
      <c r="AB61" s="64" t="n"/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27.141102</v>
      </c>
      <c r="G63" s="99" t="n">
        <v>32.32602</v>
      </c>
      <c r="H63" s="99" t="n">
        <v>0.95799069</v>
      </c>
      <c r="I63" s="62" t="n">
        <v>0.95360668</v>
      </c>
      <c r="J63" s="62" t="n">
        <v>0.06721154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/>
      <c r="Y63" s="99" t="n"/>
      <c r="Z63" s="99" t="n"/>
      <c r="AA63" s="62" t="n"/>
      <c r="AB63" s="62" t="n"/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30.764541</v>
      </c>
      <c r="G64" s="192" t="n">
        <v>35.355891</v>
      </c>
      <c r="H64" s="192" t="n">
        <v>0.9755476</v>
      </c>
      <c r="I64" s="64" t="n">
        <v>0.97143144</v>
      </c>
      <c r="J64" s="64" t="n">
        <v>0.04165407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/>
      <c r="Y64" s="192" t="n"/>
      <c r="Z64" s="192" t="n"/>
      <c r="AA64" s="64" t="n"/>
      <c r="AB64" s="64" t="n"/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35.208038</v>
      </c>
      <c r="G65" s="192" t="n">
        <v>39.33586</v>
      </c>
      <c r="H65" s="192" t="n">
        <v>0.9880755</v>
      </c>
      <c r="I65" s="64" t="n">
        <v>0.99014009</v>
      </c>
      <c r="J65" s="64" t="n">
        <v>0.023809284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/>
      <c r="Y65" s="192" t="n"/>
      <c r="Z65" s="192" t="n"/>
      <c r="AA65" s="64" t="n"/>
      <c r="AB65" s="64" t="n"/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37.707916</v>
      </c>
      <c r="G66" s="192" t="n">
        <v>41.820721</v>
      </c>
      <c r="H66" s="192" t="n">
        <v>0.99227363</v>
      </c>
      <c r="I66" s="64" t="n">
        <v>0.99525815</v>
      </c>
      <c r="J66" s="64" t="n">
        <v>0.017411407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/>
      <c r="Y66" s="192" t="n"/>
      <c r="Z66" s="192" t="n"/>
      <c r="AA66" s="64" t="n"/>
      <c r="AB66" s="64" t="n"/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27.331708</v>
      </c>
      <c r="G68" s="99" t="n">
        <v>32.507141</v>
      </c>
      <c r="H68" s="99" t="n">
        <v>0.95828665</v>
      </c>
      <c r="I68" s="62" t="n">
        <v>0.95433583</v>
      </c>
      <c r="J68" s="62" t="n">
        <v>0.06427742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/>
      <c r="Y68" s="99" t="n"/>
      <c r="Z68" s="99" t="n"/>
      <c r="AA68" s="62" t="n"/>
      <c r="AB68" s="62" t="n"/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30.849554</v>
      </c>
      <c r="G69" s="192" t="n">
        <v>35.446496</v>
      </c>
      <c r="H69" s="192" t="n">
        <v>0.97521</v>
      </c>
      <c r="I69" s="64" t="n">
        <v>0.9709185299999999</v>
      </c>
      <c r="J69" s="64" t="n">
        <v>0.040489223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/>
      <c r="Y69" s="192" t="n"/>
      <c r="Z69" s="192" t="n"/>
      <c r="AA69" s="64" t="n"/>
      <c r="AB69" s="64" t="n"/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35.23255</v>
      </c>
      <c r="G70" s="192" t="n">
        <v>39.349833</v>
      </c>
      <c r="H70" s="192" t="n">
        <v>0.98786896</v>
      </c>
      <c r="I70" s="64" t="n">
        <v>0.9896754</v>
      </c>
      <c r="J70" s="64" t="n">
        <v>0.023408875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/>
      <c r="Y70" s="192" t="n"/>
      <c r="Z70" s="192" t="n"/>
      <c r="AA70" s="64" t="n"/>
      <c r="AB70" s="64" t="n"/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37.644455</v>
      </c>
      <c r="G71" s="192" t="n">
        <v>41.736614</v>
      </c>
      <c r="H71" s="192" t="n">
        <v>0.99211748</v>
      </c>
      <c r="I71" s="64" t="n">
        <v>0.99504284</v>
      </c>
      <c r="J71" s="64" t="n">
        <v>0.01736308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/>
      <c r="Y71" s="192" t="n"/>
      <c r="Z71" s="192" t="n"/>
      <c r="AA71" s="64" t="n"/>
      <c r="AB71" s="64" t="n"/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27.364538</v>
      </c>
      <c r="G73" s="99" t="n">
        <v>32.512601</v>
      </c>
      <c r="H73" s="99" t="n">
        <v>0.95837853</v>
      </c>
      <c r="I73" s="62" t="n">
        <v>0.95343145</v>
      </c>
      <c r="J73" s="62" t="n">
        <v>0.06444357000000001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/>
      <c r="Y73" s="99" t="n"/>
      <c r="Z73" s="99" t="n"/>
      <c r="AA73" s="62" t="n"/>
      <c r="AB73" s="62" t="n"/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30.842153</v>
      </c>
      <c r="G74" s="192" t="n">
        <v>35.410561</v>
      </c>
      <c r="H74" s="192" t="n">
        <v>0.97501534</v>
      </c>
      <c r="I74" s="64" t="n">
        <v>0.97086283</v>
      </c>
      <c r="J74" s="64" t="n">
        <v>0.040640425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/>
      <c r="Y74" s="192" t="n"/>
      <c r="Z74" s="192" t="n"/>
      <c r="AA74" s="64" t="n"/>
      <c r="AB74" s="64" t="n"/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35.254483</v>
      </c>
      <c r="G75" s="192" t="n">
        <v>39.365322</v>
      </c>
      <c r="H75" s="192" t="n">
        <v>0.98775368</v>
      </c>
      <c r="I75" s="64" t="n">
        <v>0.98964447</v>
      </c>
      <c r="J75" s="64" t="n">
        <v>0.023678798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/>
      <c r="Y75" s="192" t="n"/>
      <c r="Z75" s="192" t="n"/>
      <c r="AA75" s="64" t="n"/>
      <c r="AB75" s="64" t="n"/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37.627288</v>
      </c>
      <c r="G76" s="192" t="n">
        <v>41.707581</v>
      </c>
      <c r="H76" s="192" t="n">
        <v>0.9920052499999999</v>
      </c>
      <c r="I76" s="64" t="n">
        <v>0.99508117</v>
      </c>
      <c r="J76" s="64" t="n">
        <v>0.017650628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/>
      <c r="Y76" s="192" t="n"/>
      <c r="Z76" s="192" t="n"/>
      <c r="AA76" s="64" t="n"/>
      <c r="AB76" s="64" t="n"/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27.405705</v>
      </c>
      <c r="G78" s="99" t="n">
        <v>32.457842</v>
      </c>
      <c r="H78" s="99" t="n">
        <v>0.95638084</v>
      </c>
      <c r="I78" s="62" t="n">
        <v>0.95399014</v>
      </c>
      <c r="J78" s="62" t="n">
        <v>0.06831751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/>
      <c r="Y78" s="99" t="n"/>
      <c r="Z78" s="99" t="n"/>
      <c r="AA78" s="62" t="n"/>
      <c r="AB78" s="62" t="n"/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30.773244</v>
      </c>
      <c r="G79" s="192" t="n">
        <v>35.277866</v>
      </c>
      <c r="H79" s="192" t="n">
        <v>0.97366498</v>
      </c>
      <c r="I79" s="64" t="n">
        <v>0.97176438</v>
      </c>
      <c r="J79" s="64" t="n">
        <v>0.04409409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/>
      <c r="Y79" s="192" t="n"/>
      <c r="Z79" s="192" t="n"/>
      <c r="AA79" s="64" t="n"/>
      <c r="AB79" s="64" t="n"/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35.080211</v>
      </c>
      <c r="G80" s="192" t="n">
        <v>39.169288</v>
      </c>
      <c r="H80" s="192" t="n">
        <v>0.98669482</v>
      </c>
      <c r="I80" s="64" t="n">
        <v>0.9896929800000001</v>
      </c>
      <c r="J80" s="64" t="n">
        <v>0.026203364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/>
      <c r="Y80" s="192" t="n"/>
      <c r="Z80" s="192" t="n"/>
      <c r="AA80" s="64" t="n"/>
      <c r="AB80" s="64" t="n"/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37.360394</v>
      </c>
      <c r="G81" s="192" t="n">
        <v>41.401469</v>
      </c>
      <c r="H81" s="192" t="n">
        <v>0.99109287</v>
      </c>
      <c r="I81" s="64" t="n">
        <v>0.99487777</v>
      </c>
      <c r="J81" s="64" t="n">
        <v>0.019950002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/>
      <c r="Y81" s="192" t="n"/>
      <c r="Z81" s="192" t="n"/>
      <c r="AA81" s="64" t="n"/>
      <c r="AB81" s="64" t="n"/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26.963075</v>
      </c>
      <c r="G83" s="99" t="n">
        <v>32.120189</v>
      </c>
      <c r="H83" s="99" t="n">
        <v>0.9546218</v>
      </c>
      <c r="I83" s="62" t="n">
        <v>0.9548332</v>
      </c>
      <c r="J83" s="62" t="n">
        <v>0.07497454000000001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/>
      <c r="Y83" s="99" t="n"/>
      <c r="Z83" s="99" t="n"/>
      <c r="AA83" s="62" t="n"/>
      <c r="AB83" s="62" t="n"/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30.591603</v>
      </c>
      <c r="G84" s="192" t="n">
        <v>35.207272</v>
      </c>
      <c r="H84" s="192" t="n">
        <v>0.97541928</v>
      </c>
      <c r="I84" s="64" t="n">
        <v>0.97389922</v>
      </c>
      <c r="J84" s="64" t="n">
        <v>0.0436722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/>
      <c r="Y84" s="192" t="n"/>
      <c r="Z84" s="192" t="n"/>
      <c r="AA84" s="64" t="n"/>
      <c r="AB84" s="64" t="n"/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34.832658</v>
      </c>
      <c r="G85" s="192" t="n">
        <v>38.982448</v>
      </c>
      <c r="H85" s="192" t="n">
        <v>0.98804689</v>
      </c>
      <c r="I85" s="64" t="n">
        <v>0.99057287</v>
      </c>
      <c r="J85" s="64" t="n">
        <v>0.024423534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/>
      <c r="Y85" s="192" t="n"/>
      <c r="Z85" s="192" t="n"/>
      <c r="AA85" s="64" t="n"/>
      <c r="AB85" s="64" t="n"/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37.568698</v>
      </c>
      <c r="G86" s="192" t="n">
        <v>41.66063</v>
      </c>
      <c r="H86" s="192" t="n">
        <v>0.99250609</v>
      </c>
      <c r="I86" s="64" t="n">
        <v>0.9954414700000001</v>
      </c>
      <c r="J86" s="64" t="n">
        <v>0.017680546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/>
      <c r="Y86" s="192" t="n"/>
      <c r="Z86" s="192" t="n"/>
      <c r="AA86" s="64" t="n"/>
      <c r="AB86" s="64" t="n"/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27.11455</v>
      </c>
      <c r="G88" s="99" t="n">
        <v>32.27142</v>
      </c>
      <c r="H88" s="99" t="n">
        <v>0.95618983</v>
      </c>
      <c r="I88" s="62" t="n">
        <v>0.95408547</v>
      </c>
      <c r="J88" s="62" t="n">
        <v>0.070601225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/>
      <c r="Y88" s="99" t="n"/>
      <c r="Z88" s="99" t="n"/>
      <c r="AA88" s="62" t="n"/>
      <c r="AB88" s="62" t="n"/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30.671134</v>
      </c>
      <c r="G89" s="192" t="n">
        <v>35.282074</v>
      </c>
      <c r="H89" s="192" t="n">
        <v>0.97538983</v>
      </c>
      <c r="I89" s="64" t="n">
        <v>0.97235013</v>
      </c>
      <c r="J89" s="64" t="n">
        <v>0.042192522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/>
      <c r="Y89" s="192" t="n"/>
      <c r="Z89" s="192" t="n"/>
      <c r="AA89" s="64" t="n"/>
      <c r="AB89" s="64" t="n"/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34.997313</v>
      </c>
      <c r="G90" s="192" t="n">
        <v>39.15041</v>
      </c>
      <c r="H90" s="192" t="n">
        <v>0.98810282</v>
      </c>
      <c r="I90" s="64" t="n">
        <v>0.99037629</v>
      </c>
      <c r="J90" s="64" t="n">
        <v>0.024090877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/>
      <c r="Y90" s="192" t="n"/>
      <c r="Z90" s="192" t="n"/>
      <c r="AA90" s="64" t="n"/>
      <c r="AB90" s="64" t="n"/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37.661011</v>
      </c>
      <c r="G91" s="192" t="n">
        <v>41.763509</v>
      </c>
      <c r="H91" s="192" t="n">
        <v>0.99246386</v>
      </c>
      <c r="I91" s="64" t="n">
        <v>0.99532762</v>
      </c>
      <c r="J91" s="64" t="n">
        <v>0.017785002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/>
      <c r="Y91" s="192" t="n"/>
      <c r="Z91" s="192" t="n"/>
      <c r="AA91" s="64" t="n"/>
      <c r="AB91" s="64" t="n"/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27.202298</v>
      </c>
      <c r="G93" s="99" t="n">
        <v>32.386859</v>
      </c>
      <c r="H93" s="99" t="n">
        <v>0.95735432</v>
      </c>
      <c r="I93" s="62" t="n">
        <v>0.9538488899999999</v>
      </c>
      <c r="J93" s="62" t="n">
        <v>0.06654284000000001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/>
      <c r="Y93" s="99" t="n"/>
      <c r="Z93" s="99" t="n"/>
      <c r="AA93" s="62" t="n"/>
      <c r="AB93" s="62" t="n"/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30.801443</v>
      </c>
      <c r="G94" s="192" t="n">
        <v>35.390521</v>
      </c>
      <c r="H94" s="192" t="n">
        <v>0.9756661599999999</v>
      </c>
      <c r="I94" s="64" t="n">
        <v>0.97055415</v>
      </c>
      <c r="J94" s="64" t="n">
        <v>0.039504092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/>
      <c r="Y94" s="192" t="n"/>
      <c r="Z94" s="192" t="n"/>
      <c r="AA94" s="64" t="n"/>
      <c r="AB94" s="64" t="n"/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35.196045</v>
      </c>
      <c r="G95" s="192" t="n">
        <v>39.323578</v>
      </c>
      <c r="H95" s="192" t="n">
        <v>0.9882005699999999</v>
      </c>
      <c r="I95" s="64" t="n">
        <v>0.98988584</v>
      </c>
      <c r="J95" s="64" t="n">
        <v>0.022761915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/>
      <c r="Y95" s="192" t="n"/>
      <c r="Z95" s="192" t="n"/>
      <c r="AA95" s="64" t="n"/>
      <c r="AB95" s="64" t="n"/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37.755116</v>
      </c>
      <c r="G96" s="192" t="n">
        <v>41.835341</v>
      </c>
      <c r="H96" s="192" t="n">
        <v>0.99243814</v>
      </c>
      <c r="I96" s="64" t="n">
        <v>0.99515463</v>
      </c>
      <c r="J96" s="64" t="n">
        <v>0.01690247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/>
      <c r="Y96" s="192" t="n"/>
      <c r="Z96" s="192" t="n"/>
      <c r="AA96" s="64" t="n"/>
      <c r="AB96" s="64" t="n"/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27.328194</v>
      </c>
      <c r="G98" s="99" t="n">
        <v>32.482353</v>
      </c>
      <c r="H98" s="99" t="n">
        <v>0.95786502</v>
      </c>
      <c r="I98" s="62" t="n">
        <v>0.9542896199999999</v>
      </c>
      <c r="J98" s="62" t="n">
        <v>0.06607363400000001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/>
      <c r="Y98" s="99" t="n"/>
      <c r="Z98" s="99" t="n"/>
      <c r="AA98" s="62" t="n"/>
      <c r="AB98" s="62" t="n"/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30.811927</v>
      </c>
      <c r="G99" s="192" t="n">
        <v>35.39577</v>
      </c>
      <c r="H99" s="192" t="n">
        <v>0.9757072</v>
      </c>
      <c r="I99" s="64" t="n">
        <v>0.97141585</v>
      </c>
      <c r="J99" s="64" t="n">
        <v>0.04015581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/>
      <c r="Y99" s="192" t="n"/>
      <c r="Z99" s="192" t="n"/>
      <c r="AA99" s="64" t="n"/>
      <c r="AB99" s="64" t="n"/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35.137132</v>
      </c>
      <c r="G100" s="192" t="n">
        <v>39.275651</v>
      </c>
      <c r="H100" s="192" t="n">
        <v>0.98814093</v>
      </c>
      <c r="I100" s="64" t="n">
        <v>0.9897816699999999</v>
      </c>
      <c r="J100" s="64" t="n">
        <v>0.023735851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/>
      <c r="Y100" s="192" t="n"/>
      <c r="Z100" s="192" t="n"/>
      <c r="AA100" s="64" t="n"/>
      <c r="AB100" s="64" t="n"/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37.754162</v>
      </c>
      <c r="G101" s="192" t="n">
        <v>41.827858</v>
      </c>
      <c r="H101" s="192" t="n">
        <v>0.99244492</v>
      </c>
      <c r="I101" s="64" t="n">
        <v>0.99522846</v>
      </c>
      <c r="J101" s="64" t="n">
        <v>0.017600419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/>
      <c r="Y101" s="192" t="n"/>
      <c r="Z101" s="192" t="n"/>
      <c r="AA101" s="64" t="n"/>
      <c r="AB101" s="64" t="n"/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27.278325</v>
      </c>
      <c r="G103" s="99" t="n">
        <v>32.252378</v>
      </c>
      <c r="H103" s="99" t="n">
        <v>0.95609766</v>
      </c>
      <c r="I103" s="62" t="n">
        <v>0.95473774</v>
      </c>
      <c r="J103" s="62" t="n">
        <v>0.06834008499999999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/>
      <c r="Y103" s="99" t="n"/>
      <c r="Z103" s="99" t="n"/>
      <c r="AA103" s="62" t="n"/>
      <c r="AB103" s="62" t="n"/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30.613521</v>
      </c>
      <c r="G104" s="192" t="n">
        <v>35.094992</v>
      </c>
      <c r="H104" s="192" t="n">
        <v>0.97476379</v>
      </c>
      <c r="I104" s="64" t="n">
        <v>0.97251279</v>
      </c>
      <c r="J104" s="64" t="n">
        <v>0.041671406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/>
      <c r="Y104" s="192" t="n"/>
      <c r="Z104" s="192" t="n"/>
      <c r="AA104" s="64" t="n"/>
      <c r="AB104" s="64" t="n"/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34.799375</v>
      </c>
      <c r="G105" s="192" t="n">
        <v>38.913462</v>
      </c>
      <c r="H105" s="192" t="n">
        <v>0.98733038</v>
      </c>
      <c r="I105" s="64" t="n">
        <v>0.98957368</v>
      </c>
      <c r="J105" s="64" t="n">
        <v>0.024812326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/>
      <c r="Y105" s="192" t="n"/>
      <c r="Z105" s="192" t="n"/>
      <c r="AA105" s="64" t="n"/>
      <c r="AB105" s="64" t="n"/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37.4802</v>
      </c>
      <c r="G106" s="192" t="n">
        <v>41.513465</v>
      </c>
      <c r="H106" s="192" t="n">
        <v>0.99190234</v>
      </c>
      <c r="I106" s="64" t="n">
        <v>0.9949626499999999</v>
      </c>
      <c r="J106" s="64" t="n">
        <v>0.018384663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/>
      <c r="Y106" s="192" t="n"/>
      <c r="Z106" s="192" t="n"/>
      <c r="AA106" s="64" t="n"/>
      <c r="AB106" s="64" t="n"/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abSelected="1" workbookViewId="0">
      <selection activeCell="U33" sqref="U33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4622.472</v>
      </c>
      <c r="F16" s="169" t="n">
        <v>5835.96</v>
      </c>
      <c r="G16" s="169" t="n">
        <v>1040.24</v>
      </c>
      <c r="H16" s="169" t="n">
        <v>357.512</v>
      </c>
      <c r="I16" s="169" t="n">
        <v>150.144</v>
      </c>
      <c r="J16" s="169" t="n">
        <v>8571.312</v>
      </c>
      <c r="K16" s="62" t="n">
        <v>5024.024</v>
      </c>
      <c r="L16" s="62" t="n">
        <v>1855.632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4622.472</v>
      </c>
      <c r="X16" s="169" t="n">
        <v>5835.96</v>
      </c>
      <c r="Y16" s="169" t="n">
        <v>934.544</v>
      </c>
      <c r="Z16" s="169" t="n">
        <v>285.688</v>
      </c>
      <c r="AA16" s="169" t="n">
        <v>92.096</v>
      </c>
      <c r="AB16" s="169" t="n">
        <v>8571.312</v>
      </c>
      <c r="AC16" s="62" t="n">
        <v>5024.024</v>
      </c>
      <c r="AD16" s="62" t="n">
        <v>1855.632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4622.472</v>
      </c>
      <c r="F17" s="170" t="n">
        <v>7698.672</v>
      </c>
      <c r="G17" s="170" t="n">
        <v>3755.488</v>
      </c>
      <c r="H17" s="170" t="n">
        <v>1880.176</v>
      </c>
      <c r="I17" s="170" t="n">
        <v>1357.768</v>
      </c>
      <c r="J17" s="170" t="n">
        <v>11094.192</v>
      </c>
      <c r="K17" s="64" t="n">
        <v>6863.848</v>
      </c>
      <c r="L17" s="64" t="n">
        <v>2459.176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4622.472</v>
      </c>
      <c r="X17" s="170" t="n">
        <v>7698.672</v>
      </c>
      <c r="Y17" s="170" t="n">
        <v>3628.808</v>
      </c>
      <c r="Z17" s="170" t="n">
        <v>1704.704</v>
      </c>
      <c r="AA17" s="170" t="n">
        <v>1110.248</v>
      </c>
      <c r="AB17" s="170" t="n">
        <v>11094.192</v>
      </c>
      <c r="AC17" s="64" t="n">
        <v>6863.848</v>
      </c>
      <c r="AD17" s="64" t="n">
        <v>2459.176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4622.472</v>
      </c>
      <c r="F18" s="170" t="n">
        <v>9632.424000000001</v>
      </c>
      <c r="G18" s="170" t="n">
        <v>8173.376</v>
      </c>
      <c r="H18" s="170" t="n">
        <v>5921.192</v>
      </c>
      <c r="I18" s="170" t="n">
        <v>5643.408</v>
      </c>
      <c r="J18" s="170" t="n">
        <v>13694.736</v>
      </c>
      <c r="K18" s="64" t="n">
        <v>8782.888000000001</v>
      </c>
      <c r="L18" s="64" t="n">
        <v>3081.488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4622.472</v>
      </c>
      <c r="X18" s="170" t="n">
        <v>9632.424000000001</v>
      </c>
      <c r="Y18" s="170" t="n">
        <v>8033.288</v>
      </c>
      <c r="Z18" s="170" t="n">
        <v>5674.344</v>
      </c>
      <c r="AA18" s="170" t="n">
        <v>5281.456</v>
      </c>
      <c r="AB18" s="170" t="n">
        <v>13694.736</v>
      </c>
      <c r="AC18" s="64" t="n">
        <v>8782.888000000001</v>
      </c>
      <c r="AD18" s="64" t="n">
        <v>3081.488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4622.472</v>
      </c>
      <c r="F19" s="170" t="n">
        <v>11479.904</v>
      </c>
      <c r="G19" s="170" t="n">
        <v>13301.456</v>
      </c>
      <c r="H19" s="170" t="n">
        <v>12617.896</v>
      </c>
      <c r="I19" s="170" t="n">
        <v>14033.632</v>
      </c>
      <c r="J19" s="170" t="n">
        <v>16403.704</v>
      </c>
      <c r="K19" s="64" t="n">
        <v>10804.576</v>
      </c>
      <c r="L19" s="64" t="n">
        <v>3727.944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4622.472</v>
      </c>
      <c r="X19" s="170" t="n">
        <v>11479.904</v>
      </c>
      <c r="Y19" s="170" t="n">
        <v>13153.576</v>
      </c>
      <c r="Z19" s="170" t="n">
        <v>12349.592</v>
      </c>
      <c r="AA19" s="170" t="n">
        <v>13653.896</v>
      </c>
      <c r="AB19" s="170" t="n">
        <v>16403.704</v>
      </c>
      <c r="AC19" s="64" t="n">
        <v>10804.576</v>
      </c>
      <c r="AD19" s="64" t="n">
        <v>3727.944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26.906856</v>
      </c>
      <c r="G33" s="99" t="n">
        <v>30.367884</v>
      </c>
      <c r="H33" s="99" t="n">
        <v>0.95871066</v>
      </c>
      <c r="I33" s="62" t="n">
        <v>0.96455598</v>
      </c>
      <c r="J33" s="62" t="n">
        <v>0.08272676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27.179098</v>
      </c>
      <c r="Y33" s="99" t="n">
        <v>30.985</v>
      </c>
      <c r="Z33" s="99" t="n">
        <v>0.95848587</v>
      </c>
      <c r="AA33" s="62" t="n">
        <v>0.96538214</v>
      </c>
      <c r="AB33" s="62" t="n">
        <v>0.06670849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30.790431</v>
      </c>
      <c r="G34" s="192" t="n">
        <v>34.198451</v>
      </c>
      <c r="H34" s="192" t="n">
        <v>0.97776145</v>
      </c>
      <c r="I34" s="64" t="n">
        <v>0.98092376</v>
      </c>
      <c r="J34" s="64" t="n">
        <v>0.05660866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31.682708</v>
      </c>
      <c r="Y34" s="192" t="n">
        <v>35.006261</v>
      </c>
      <c r="Z34" s="192" t="n">
        <v>0.97755008</v>
      </c>
      <c r="AA34" s="64" t="n">
        <v>0.98151316</v>
      </c>
      <c r="AB34" s="64" t="n">
        <v>0.041126717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33.798455</v>
      </c>
      <c r="G35" s="192" t="n">
        <v>37.850261</v>
      </c>
      <c r="H35" s="192" t="n">
        <v>0.98821081</v>
      </c>
      <c r="I35" s="64" t="n">
        <v>0.9911581699999999</v>
      </c>
      <c r="J35" s="64" t="n">
        <v>0.033108838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35.391381</v>
      </c>
      <c r="Y35" s="192" t="n">
        <v>38.773296</v>
      </c>
      <c r="Z35" s="192" t="n">
        <v>0.9881004799999999</v>
      </c>
      <c r="AA35" s="64" t="n">
        <v>0.9911972100000001</v>
      </c>
      <c r="AB35" s="64" t="n">
        <v>0.023315545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37.759284</v>
      </c>
      <c r="G36" s="192" t="n">
        <v>42.061575</v>
      </c>
      <c r="H36" s="192" t="n">
        <v>0.99373684</v>
      </c>
      <c r="I36" s="64" t="n">
        <v>0.99582392</v>
      </c>
      <c r="J36" s="64" t="n">
        <v>0.016167026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40.49454</v>
      </c>
      <c r="Y36" s="192" t="n">
        <v>43.480781</v>
      </c>
      <c r="Z36" s="192" t="n">
        <v>0.99366439</v>
      </c>
      <c r="AA36" s="64" t="n">
        <v>0.99604669</v>
      </c>
      <c r="AB36" s="64" t="n">
        <v>0.009820616000000001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27.200422</v>
      </c>
      <c r="G38" s="99" t="n">
        <v>31.087743</v>
      </c>
      <c r="H38" s="99" t="n">
        <v>0.9608584999999999</v>
      </c>
      <c r="I38" s="62" t="n">
        <v>0.96518318</v>
      </c>
      <c r="J38" s="62" t="n">
        <v>0.07469763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27.562562</v>
      </c>
      <c r="Y38" s="99" t="n">
        <v>31.808903</v>
      </c>
      <c r="Z38" s="99" t="n">
        <v>0.96078197</v>
      </c>
      <c r="AA38" s="62" t="n">
        <v>0.96612646</v>
      </c>
      <c r="AB38" s="62" t="n">
        <v>0.06227752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31.362172</v>
      </c>
      <c r="G39" s="192" t="n">
        <v>34.855811</v>
      </c>
      <c r="H39" s="192" t="n">
        <v>0.97830549</v>
      </c>
      <c r="I39" s="64" t="n">
        <v>0.98107862</v>
      </c>
      <c r="J39" s="64" t="n">
        <v>0.05283367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32.414071</v>
      </c>
      <c r="Y39" s="192" t="n">
        <v>35.741786</v>
      </c>
      <c r="Z39" s="192" t="n">
        <v>0.97803964</v>
      </c>
      <c r="AA39" s="64" t="n">
        <v>0.98161979</v>
      </c>
      <c r="AB39" s="64" t="n">
        <v>0.04058963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34.821733</v>
      </c>
      <c r="G40" s="192" t="n">
        <v>38.854044</v>
      </c>
      <c r="H40" s="192" t="n">
        <v>0.98842866</v>
      </c>
      <c r="I40" s="64" t="n">
        <v>0.99141954</v>
      </c>
      <c r="J40" s="64" t="n">
        <v>0.03136353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36.378211</v>
      </c>
      <c r="Y40" s="192" t="n">
        <v>39.737571</v>
      </c>
      <c r="Z40" s="192" t="n">
        <v>0.98827326</v>
      </c>
      <c r="AA40" s="64" t="n">
        <v>0.99152974</v>
      </c>
      <c r="AB40" s="64" t="n">
        <v>0.024011893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37.943614</v>
      </c>
      <c r="G41" s="192" t="n">
        <v>42.295148</v>
      </c>
      <c r="H41" s="192" t="n">
        <v>0.99364968</v>
      </c>
      <c r="I41" s="64" t="n">
        <v>0.99573508</v>
      </c>
      <c r="J41" s="64" t="n">
        <v>0.017374005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40.745315</v>
      </c>
      <c r="Y41" s="192" t="n">
        <v>43.888511</v>
      </c>
      <c r="Z41" s="192" t="n">
        <v>0.99352307</v>
      </c>
      <c r="AA41" s="64" t="n">
        <v>0.99599311</v>
      </c>
      <c r="AB41" s="64" t="n">
        <v>0.010317924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28.65916</v>
      </c>
      <c r="G43" s="99" t="n">
        <v>32.37203</v>
      </c>
      <c r="H43" s="99" t="n">
        <v>0.96303813</v>
      </c>
      <c r="I43" s="62" t="n">
        <v>0.96806577</v>
      </c>
      <c r="J43" s="62" t="n">
        <v>0.07212112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29.066804</v>
      </c>
      <c r="Y43" s="99" t="n">
        <v>32.931604</v>
      </c>
      <c r="Z43" s="99" t="n">
        <v>0.9629667</v>
      </c>
      <c r="AA43" s="62" t="n">
        <v>0.9688428</v>
      </c>
      <c r="AB43" s="62" t="n">
        <v>0.06198498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31.796644</v>
      </c>
      <c r="G44" s="192" t="n">
        <v>35.372276</v>
      </c>
      <c r="H44" s="192" t="n">
        <v>0.97867174</v>
      </c>
      <c r="I44" s="64" t="n">
        <v>0.9815695800000001</v>
      </c>
      <c r="J44" s="64" t="n">
        <v>0.049679883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32.778336</v>
      </c>
      <c r="Y44" s="192" t="n">
        <v>36.057501</v>
      </c>
      <c r="Z44" s="192" t="n">
        <v>0.97824311</v>
      </c>
      <c r="AA44" s="64" t="n">
        <v>0.98210189</v>
      </c>
      <c r="AB44" s="64" t="n">
        <v>0.040979832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35.22092</v>
      </c>
      <c r="G45" s="192" t="n">
        <v>39.357385</v>
      </c>
      <c r="H45" s="192" t="n">
        <v>0.98861548</v>
      </c>
      <c r="I45" s="64" t="n">
        <v>0.99154975</v>
      </c>
      <c r="J45" s="64" t="n">
        <v>0.031610448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36.739807</v>
      </c>
      <c r="Y45" s="192" t="n">
        <v>40.169472</v>
      </c>
      <c r="Z45" s="192" t="n">
        <v>0.98827192</v>
      </c>
      <c r="AA45" s="64" t="n">
        <v>0.99156388</v>
      </c>
      <c r="AB45" s="64" t="n">
        <v>0.024469784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38.417346</v>
      </c>
      <c r="G46" s="192" t="n">
        <v>42.767448</v>
      </c>
      <c r="H46" s="192" t="n">
        <v>0.9936703099999999</v>
      </c>
      <c r="I46" s="64" t="n">
        <v>0.99572028</v>
      </c>
      <c r="J46" s="64" t="n">
        <v>0.016581476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40.824634</v>
      </c>
      <c r="Y46" s="192" t="n">
        <v>43.980635</v>
      </c>
      <c r="Z46" s="192" t="n">
        <v>0.99341316</v>
      </c>
      <c r="AA46" s="64" t="n">
        <v>0.99589131</v>
      </c>
      <c r="AB46" s="64" t="n">
        <v>0.010613447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29.745839</v>
      </c>
      <c r="G48" s="99" t="n">
        <v>33.22544</v>
      </c>
      <c r="H48" s="99" t="n">
        <v>0.96386821</v>
      </c>
      <c r="I48" s="62" t="n">
        <v>0.96959517</v>
      </c>
      <c r="J48" s="62" t="n">
        <v>0.063522995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29.810004</v>
      </c>
      <c r="Y48" s="99" t="n">
        <v>33.611122</v>
      </c>
      <c r="Z48" s="99" t="n">
        <v>0.96372464</v>
      </c>
      <c r="AA48" s="62" t="n">
        <v>0.9702368099999999</v>
      </c>
      <c r="AB48" s="62" t="n">
        <v>0.057143617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32.735086</v>
      </c>
      <c r="G49" s="192" t="n">
        <v>36.205341</v>
      </c>
      <c r="H49" s="192" t="n">
        <v>0.97830682</v>
      </c>
      <c r="I49" s="64" t="n">
        <v>0.98237513</v>
      </c>
      <c r="J49" s="64" t="n">
        <v>0.042703565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33.448653</v>
      </c>
      <c r="Y49" s="192" t="n">
        <v>36.71605</v>
      </c>
      <c r="Z49" s="192" t="n">
        <v>0.9777671999999999</v>
      </c>
      <c r="AA49" s="64" t="n">
        <v>0.9824732</v>
      </c>
      <c r="AB49" s="64" t="n">
        <v>0.037600964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35.967501</v>
      </c>
      <c r="G50" s="192" t="n">
        <v>40.04759</v>
      </c>
      <c r="H50" s="192" t="n">
        <v>0.98835807</v>
      </c>
      <c r="I50" s="64" t="n">
        <v>0.99156557</v>
      </c>
      <c r="J50" s="64" t="n">
        <v>0.02797852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37.384924</v>
      </c>
      <c r="Y50" s="192" t="n">
        <v>40.714591</v>
      </c>
      <c r="Z50" s="192" t="n">
        <v>0.98798169</v>
      </c>
      <c r="AA50" s="64" t="n">
        <v>0.99174487</v>
      </c>
      <c r="AB50" s="64" t="n">
        <v>0.022308001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38.88725</v>
      </c>
      <c r="G51" s="192" t="n">
        <v>43.177608</v>
      </c>
      <c r="H51" s="192" t="n">
        <v>0.99349167</v>
      </c>
      <c r="I51" s="64" t="n">
        <v>0.99565447</v>
      </c>
      <c r="J51" s="64" t="n">
        <v>0.014722479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41.073666</v>
      </c>
      <c r="Y51" s="192" t="n">
        <v>44.226838</v>
      </c>
      <c r="Z51" s="192" t="n">
        <v>0.99320206</v>
      </c>
      <c r="AA51" s="64" t="n">
        <v>0.99590515</v>
      </c>
      <c r="AB51" s="64" t="n">
        <v>0.0100568505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29.693741</v>
      </c>
      <c r="G53" s="99" t="n">
        <v>33.267111</v>
      </c>
      <c r="H53" s="99" t="n">
        <v>0.96388675</v>
      </c>
      <c r="I53" s="62" t="n">
        <v>0.97028399</v>
      </c>
      <c r="J53" s="62" t="n">
        <v>0.06397533399999999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30.039272</v>
      </c>
      <c r="Y53" s="99" t="n">
        <v>33.777491</v>
      </c>
      <c r="Z53" s="99" t="n">
        <v>0.96384444</v>
      </c>
      <c r="AA53" s="62" t="n">
        <v>0.97102282</v>
      </c>
      <c r="AB53" s="62" t="n">
        <v>0.05645724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32.605066</v>
      </c>
      <c r="G54" s="192" t="n">
        <v>36.147631</v>
      </c>
      <c r="H54" s="192" t="n">
        <v>0.97824115</v>
      </c>
      <c r="I54" s="64" t="n">
        <v>0.98248982</v>
      </c>
      <c r="J54" s="64" t="n">
        <v>0.042394076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33.391608</v>
      </c>
      <c r="Y54" s="192" t="n">
        <v>36.698895</v>
      </c>
      <c r="Z54" s="192" t="n">
        <v>0.97772456</v>
      </c>
      <c r="AA54" s="64" t="n">
        <v>0.98258882</v>
      </c>
      <c r="AB54" s="64" t="n">
        <v>0.03657212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35.849721</v>
      </c>
      <c r="G55" s="192" t="n">
        <v>39.937669</v>
      </c>
      <c r="H55" s="192" t="n">
        <v>0.98815038</v>
      </c>
      <c r="I55" s="64" t="n">
        <v>0.99146029</v>
      </c>
      <c r="J55" s="64" t="n">
        <v>0.028317744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37.286321</v>
      </c>
      <c r="Y55" s="192" t="n">
        <v>40.640986</v>
      </c>
      <c r="Z55" s="192" t="n">
        <v>0.98785713</v>
      </c>
      <c r="AA55" s="64" t="n">
        <v>0.99168586</v>
      </c>
      <c r="AB55" s="64" t="n">
        <v>0.022382494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39.03629</v>
      </c>
      <c r="G56" s="192" t="n">
        <v>43.205053</v>
      </c>
      <c r="H56" s="192" t="n">
        <v>0.99343181</v>
      </c>
      <c r="I56" s="64" t="n">
        <v>0.99556213</v>
      </c>
      <c r="J56" s="64" t="n">
        <v>0.0135627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41.022897</v>
      </c>
      <c r="Y56" s="192" t="n">
        <v>44.203552</v>
      </c>
      <c r="Z56" s="192" t="n">
        <v>0.99318691</v>
      </c>
      <c r="AA56" s="64" t="n">
        <v>0.99585711</v>
      </c>
      <c r="AB56" s="64" t="n">
        <v>0.0097875055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29.889362</v>
      </c>
      <c r="G58" s="99" t="n">
        <v>33.44348</v>
      </c>
      <c r="H58" s="99" t="n">
        <v>0.96353847</v>
      </c>
      <c r="I58" s="62" t="n">
        <v>0.97093255</v>
      </c>
      <c r="J58" s="62" t="n">
        <v>0.06483371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30.196186</v>
      </c>
      <c r="Y58" s="99" t="n">
        <v>33.909766</v>
      </c>
      <c r="Z58" s="99" t="n">
        <v>0.96355521</v>
      </c>
      <c r="AA58" s="62" t="n">
        <v>0.97136864</v>
      </c>
      <c r="AB58" s="62" t="n">
        <v>0.057666957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32.757964</v>
      </c>
      <c r="G59" s="192" t="n">
        <v>36.271399</v>
      </c>
      <c r="H59" s="192" t="n">
        <v>0.97812848</v>
      </c>
      <c r="I59" s="64" t="n">
        <v>0.98300647</v>
      </c>
      <c r="J59" s="64" t="n">
        <v>0.042763036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33.441835</v>
      </c>
      <c r="Y59" s="192" t="n">
        <v>36.769353</v>
      </c>
      <c r="Z59" s="192" t="n">
        <v>0.97763099</v>
      </c>
      <c r="AA59" s="64" t="n">
        <v>0.98308991</v>
      </c>
      <c r="AB59" s="64" t="n">
        <v>0.037137806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35.903069</v>
      </c>
      <c r="G60" s="192" t="n">
        <v>39.942721</v>
      </c>
      <c r="H60" s="192" t="n">
        <v>0.98819625</v>
      </c>
      <c r="I60" s="64" t="n">
        <v>0.99141855</v>
      </c>
      <c r="J60" s="64" t="n">
        <v>0.02868761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37.031706</v>
      </c>
      <c r="Y60" s="192" t="n">
        <v>40.42739</v>
      </c>
      <c r="Z60" s="192" t="n">
        <v>0.98783333</v>
      </c>
      <c r="AA60" s="64" t="n">
        <v>0.99165822</v>
      </c>
      <c r="AB60" s="64" t="n">
        <v>0.02338972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39.331584</v>
      </c>
      <c r="G61" s="192" t="n">
        <v>43.395305</v>
      </c>
      <c r="H61" s="192" t="n">
        <v>0.99347155</v>
      </c>
      <c r="I61" s="64" t="n">
        <v>0.99553383</v>
      </c>
      <c r="J61" s="64" t="n">
        <v>0.013033723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40.825804</v>
      </c>
      <c r="Y61" s="192" t="n">
        <v>44.048712</v>
      </c>
      <c r="Z61" s="192" t="n">
        <v>0.99317036</v>
      </c>
      <c r="AA61" s="64" t="n">
        <v>0.99583333</v>
      </c>
      <c r="AB61" s="64" t="n">
        <v>0.010057872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30.192778</v>
      </c>
      <c r="G63" s="99" t="n">
        <v>33.849732</v>
      </c>
      <c r="H63" s="99" t="n">
        <v>0.96250073</v>
      </c>
      <c r="I63" s="62" t="n">
        <v>0.97161415</v>
      </c>
      <c r="J63" s="62" t="n">
        <v>0.06331752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30.248511</v>
      </c>
      <c r="Y63" s="99" t="n">
        <v>34.105705</v>
      </c>
      <c r="Z63" s="99" t="n">
        <v>0.9623674800000001</v>
      </c>
      <c r="AA63" s="62" t="n">
        <v>0.97218065</v>
      </c>
      <c r="AB63" s="62" t="n">
        <v>0.058899652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33.27522</v>
      </c>
      <c r="G64" s="192" t="n">
        <v>36.688637</v>
      </c>
      <c r="H64" s="192" t="n">
        <v>0.97791008</v>
      </c>
      <c r="I64" s="64" t="n">
        <v>0.98319963</v>
      </c>
      <c r="J64" s="64" t="n">
        <v>0.040474117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33.50444</v>
      </c>
      <c r="Y64" s="192" t="n">
        <v>36.926237</v>
      </c>
      <c r="Z64" s="192" t="n">
        <v>0.97740673</v>
      </c>
      <c r="AA64" s="64" t="n">
        <v>0.98341643</v>
      </c>
      <c r="AB64" s="64" t="n">
        <v>0.03758667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36.537549</v>
      </c>
      <c r="G65" s="192" t="n">
        <v>40.389308</v>
      </c>
      <c r="H65" s="192" t="n">
        <v>0.98837861</v>
      </c>
      <c r="I65" s="64" t="n">
        <v>0.99179442</v>
      </c>
      <c r="J65" s="64" t="n">
        <v>0.026841093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37.222884</v>
      </c>
      <c r="Y65" s="192" t="n">
        <v>40.559806</v>
      </c>
      <c r="Z65" s="192" t="n">
        <v>0.98793716</v>
      </c>
      <c r="AA65" s="64" t="n">
        <v>0.99183211</v>
      </c>
      <c r="AB65" s="64" t="n">
        <v>0.023125786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40.025814</v>
      </c>
      <c r="G66" s="192" t="n">
        <v>43.876637</v>
      </c>
      <c r="H66" s="192" t="n">
        <v>0.9936050199999999</v>
      </c>
      <c r="I66" s="64" t="n">
        <v>0.9957475</v>
      </c>
      <c r="J66" s="64" t="n">
        <v>0.012267766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40.953994</v>
      </c>
      <c r="Y66" s="192" t="n">
        <v>44.164512</v>
      </c>
      <c r="Z66" s="192" t="n">
        <v>0.99319829</v>
      </c>
      <c r="AA66" s="64" t="n">
        <v>0.9959573</v>
      </c>
      <c r="AB66" s="64" t="n">
        <v>0.010226323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28.75803</v>
      </c>
      <c r="G68" s="99" t="n">
        <v>32.175871</v>
      </c>
      <c r="H68" s="99" t="n">
        <v>0.9624652</v>
      </c>
      <c r="I68" s="62" t="n">
        <v>0.9685070099999999</v>
      </c>
      <c r="J68" s="62" t="n">
        <v>0.07027593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29.206094</v>
      </c>
      <c r="Y68" s="99" t="n">
        <v>33.222844</v>
      </c>
      <c r="Z68" s="99" t="n">
        <v>0.962323</v>
      </c>
      <c r="AA68" s="62" t="n">
        <v>0.96945303</v>
      </c>
      <c r="AB68" s="62" t="n">
        <v>0.056623198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31.99453</v>
      </c>
      <c r="G69" s="192" t="n">
        <v>35.559193</v>
      </c>
      <c r="H69" s="192" t="n">
        <v>0.97834413</v>
      </c>
      <c r="I69" s="64" t="n">
        <v>0.98252963</v>
      </c>
      <c r="J69" s="64" t="n">
        <v>0.047107913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33.322446</v>
      </c>
      <c r="Y69" s="192" t="n">
        <v>36.727759</v>
      </c>
      <c r="Z69" s="192" t="n">
        <v>0.97828213</v>
      </c>
      <c r="AA69" s="64" t="n">
        <v>0.98308794</v>
      </c>
      <c r="AB69" s="64" t="n">
        <v>0.034958616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34.84069</v>
      </c>
      <c r="G70" s="192" t="n">
        <v>39.056076</v>
      </c>
      <c r="H70" s="192" t="n">
        <v>0.98872781</v>
      </c>
      <c r="I70" s="64" t="n">
        <v>0.99181106</v>
      </c>
      <c r="J70" s="64" t="n">
        <v>0.029465063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37.365602</v>
      </c>
      <c r="Y70" s="192" t="n">
        <v>40.566916</v>
      </c>
      <c r="Z70" s="192" t="n">
        <v>0.98885334</v>
      </c>
      <c r="AA70" s="64" t="n">
        <v>0.99227119</v>
      </c>
      <c r="AB70" s="64" t="n">
        <v>0.018671362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38.082653</v>
      </c>
      <c r="G71" s="192" t="n">
        <v>42.416034</v>
      </c>
      <c r="H71" s="192" t="n">
        <v>0.99370534</v>
      </c>
      <c r="I71" s="64" t="n">
        <v>0.9957941300000001</v>
      </c>
      <c r="J71" s="64" t="n">
        <v>0.014960887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41.611556</v>
      </c>
      <c r="Y71" s="192" t="n">
        <v>44.648424</v>
      </c>
      <c r="Z71" s="192" t="n">
        <v>0.99380612</v>
      </c>
      <c r="AA71" s="64" t="n">
        <v>0.99621202</v>
      </c>
      <c r="AB71" s="64" t="n">
        <v>0.0085758595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29.721825</v>
      </c>
      <c r="G73" s="99" t="n">
        <v>33.441149</v>
      </c>
      <c r="H73" s="99" t="n">
        <v>0.96528582</v>
      </c>
      <c r="I73" s="62" t="n">
        <v>0.96971234</v>
      </c>
      <c r="J73" s="62" t="n">
        <v>0.061627384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30.182063</v>
      </c>
      <c r="Y73" s="99" t="n">
        <v>34.29651</v>
      </c>
      <c r="Z73" s="99" t="n">
        <v>0.96533329</v>
      </c>
      <c r="AA73" s="62" t="n">
        <v>0.97081526</v>
      </c>
      <c r="AB73" s="62" t="n">
        <v>0.05250138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32.559113</v>
      </c>
      <c r="G74" s="192" t="n">
        <v>36.275318</v>
      </c>
      <c r="H74" s="192" t="n">
        <v>0.9791375</v>
      </c>
      <c r="I74" s="64" t="n">
        <v>0.98275505</v>
      </c>
      <c r="J74" s="64" t="n">
        <v>0.04105156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33.743086</v>
      </c>
      <c r="Y74" s="192" t="n">
        <v>37.20476</v>
      </c>
      <c r="Z74" s="192" t="n">
        <v>0.97905479</v>
      </c>
      <c r="AA74" s="64" t="n">
        <v>0.9832886</v>
      </c>
      <c r="AB74" s="64" t="n">
        <v>0.03336074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36.264294</v>
      </c>
      <c r="G75" s="192" t="n">
        <v>40.258662</v>
      </c>
      <c r="H75" s="192" t="n">
        <v>0.98887616</v>
      </c>
      <c r="I75" s="64" t="n">
        <v>0.99184555</v>
      </c>
      <c r="J75" s="64" t="n">
        <v>0.023844426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38.02441</v>
      </c>
      <c r="Y75" s="192" t="n">
        <v>41.262802</v>
      </c>
      <c r="Z75" s="192" t="n">
        <v>0.98892206</v>
      </c>
      <c r="AA75" s="64" t="n">
        <v>0.9923172</v>
      </c>
      <c r="AB75" s="64" t="n">
        <v>0.018214036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38.274569</v>
      </c>
      <c r="G76" s="192" t="n">
        <v>42.696557</v>
      </c>
      <c r="H76" s="192" t="n">
        <v>0.99367722</v>
      </c>
      <c r="I76" s="64" t="n">
        <v>0.99576049</v>
      </c>
      <c r="J76" s="64" t="n">
        <v>0.01624351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41.714579</v>
      </c>
      <c r="Y76" s="192" t="n">
        <v>44.806539</v>
      </c>
      <c r="Z76" s="192" t="n">
        <v>0.9937192500000001</v>
      </c>
      <c r="AA76" s="64" t="n">
        <v>0.99621532</v>
      </c>
      <c r="AB76" s="64" t="n">
        <v>0.008720188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29.816042</v>
      </c>
      <c r="G78" s="99" t="n">
        <v>33.506578</v>
      </c>
      <c r="H78" s="99" t="n">
        <v>0.96681387</v>
      </c>
      <c r="I78" s="62" t="n">
        <v>0.9713811999999999</v>
      </c>
      <c r="J78" s="62" t="n">
        <v>0.06432343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30.424393</v>
      </c>
      <c r="Y78" s="99" t="n">
        <v>34.166874</v>
      </c>
      <c r="Z78" s="99" t="n">
        <v>0.9668942699999999</v>
      </c>
      <c r="AA78" s="62" t="n">
        <v>0.97219122</v>
      </c>
      <c r="AB78" s="62" t="n">
        <v>0.054229856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32.388849</v>
      </c>
      <c r="G79" s="192" t="n">
        <v>36.199632</v>
      </c>
      <c r="H79" s="192" t="n">
        <v>0.97959215</v>
      </c>
      <c r="I79" s="64" t="n">
        <v>0.98290674</v>
      </c>
      <c r="J79" s="64" t="n">
        <v>0.04277979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33.538642</v>
      </c>
      <c r="Y79" s="192" t="n">
        <v>36.917677</v>
      </c>
      <c r="Z79" s="192" t="n">
        <v>0.9794048</v>
      </c>
      <c r="AA79" s="64" t="n">
        <v>0.98334027</v>
      </c>
      <c r="AB79" s="64" t="n">
        <v>0.03516071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35.93259</v>
      </c>
      <c r="G80" s="192" t="n">
        <v>40.137837</v>
      </c>
      <c r="H80" s="192" t="n">
        <v>0.98902134</v>
      </c>
      <c r="I80" s="64" t="n">
        <v>0.99188844</v>
      </c>
      <c r="J80" s="64" t="n">
        <v>0.027310178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37.743962</v>
      </c>
      <c r="Y80" s="192" t="n">
        <v>41.115907</v>
      </c>
      <c r="Z80" s="192" t="n">
        <v>0.98892878</v>
      </c>
      <c r="AA80" s="64" t="n">
        <v>0.9923146900000001</v>
      </c>
      <c r="AB80" s="64" t="n">
        <v>0.019447742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38.68572</v>
      </c>
      <c r="G81" s="192" t="n">
        <v>43.108693</v>
      </c>
      <c r="H81" s="192" t="n">
        <v>0.9937194</v>
      </c>
      <c r="I81" s="64" t="n">
        <v>0.9958113</v>
      </c>
      <c r="J81" s="64" t="n">
        <v>0.01559665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41.604792</v>
      </c>
      <c r="Y81" s="192" t="n">
        <v>44.802017</v>
      </c>
      <c r="Z81" s="192" t="n">
        <v>0.9936509100000001</v>
      </c>
      <c r="AA81" s="64" t="n">
        <v>0.9962024900000001</v>
      </c>
      <c r="AB81" s="64" t="n">
        <v>0.009028572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30.504632</v>
      </c>
      <c r="G83" s="99" t="n">
        <v>33.855039</v>
      </c>
      <c r="H83" s="99" t="n">
        <v>0.96774022</v>
      </c>
      <c r="I83" s="62" t="n">
        <v>0.97337149</v>
      </c>
      <c r="J83" s="62" t="n">
        <v>0.059574284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30.653705</v>
      </c>
      <c r="Y83" s="99" t="n">
        <v>34.45045</v>
      </c>
      <c r="Z83" s="99" t="n">
        <v>0.96790988</v>
      </c>
      <c r="AA83" s="62" t="n">
        <v>0.97419336</v>
      </c>
      <c r="AB83" s="62" t="n">
        <v>0.05202141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33.225603</v>
      </c>
      <c r="G84" s="192" t="n">
        <v>36.723313</v>
      </c>
      <c r="H84" s="192" t="n">
        <v>0.98014717</v>
      </c>
      <c r="I84" s="64" t="n">
        <v>0.98407553</v>
      </c>
      <c r="J84" s="64" t="n">
        <v>0.039376434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34.196708</v>
      </c>
      <c r="Y84" s="192" t="n">
        <v>37.495247</v>
      </c>
      <c r="Z84" s="192" t="n">
        <v>0.97987403</v>
      </c>
      <c r="AA84" s="64" t="n">
        <v>0.98458563</v>
      </c>
      <c r="AB84" s="64" t="n">
        <v>0.033333577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36.298964</v>
      </c>
      <c r="G85" s="192" t="n">
        <v>40.418305</v>
      </c>
      <c r="H85" s="192" t="n">
        <v>0.9888728</v>
      </c>
      <c r="I85" s="64" t="n">
        <v>0.9921947800000001</v>
      </c>
      <c r="J85" s="64" t="n">
        <v>0.025791585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38.159409</v>
      </c>
      <c r="Y85" s="192" t="n">
        <v>41.411378</v>
      </c>
      <c r="Z85" s="192" t="n">
        <v>0.98879773</v>
      </c>
      <c r="AA85" s="64" t="n">
        <v>0.99242727</v>
      </c>
      <c r="AB85" s="64" t="n">
        <v>0.0193072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39.179334</v>
      </c>
      <c r="G86" s="192" t="n">
        <v>43.472153</v>
      </c>
      <c r="H86" s="192" t="n">
        <v>0.9935655799999999</v>
      </c>
      <c r="I86" s="64" t="n">
        <v>0.99577069</v>
      </c>
      <c r="J86" s="64" t="n">
        <v>0.013926926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41.853163</v>
      </c>
      <c r="Y86" s="192" t="n">
        <v>44.951237</v>
      </c>
      <c r="Z86" s="192" t="n">
        <v>0.99349991</v>
      </c>
      <c r="AA86" s="64" t="n">
        <v>0.99622532</v>
      </c>
      <c r="AB86" s="64" t="n">
        <v>0.008952987000000001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30.506453</v>
      </c>
      <c r="G88" s="99" t="n">
        <v>34.065699</v>
      </c>
      <c r="H88" s="99" t="n">
        <v>0.96813229</v>
      </c>
      <c r="I88" s="62" t="n">
        <v>0.9734774</v>
      </c>
      <c r="J88" s="62" t="n">
        <v>0.057891037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30.882846</v>
      </c>
      <c r="Y88" s="99" t="n">
        <v>34.672115</v>
      </c>
      <c r="Z88" s="99" t="n">
        <v>0.96838591</v>
      </c>
      <c r="AA88" s="62" t="n">
        <v>0.9744991</v>
      </c>
      <c r="AB88" s="62" t="n">
        <v>0.050411105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33.477825</v>
      </c>
      <c r="G89" s="192" t="n">
        <v>36.947404</v>
      </c>
      <c r="H89" s="192" t="n">
        <v>0.9806211</v>
      </c>
      <c r="I89" s="64" t="n">
        <v>0.98461038</v>
      </c>
      <c r="J89" s="64" t="n">
        <v>0.037740704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34.260821</v>
      </c>
      <c r="Y89" s="192" t="n">
        <v>37.54705</v>
      </c>
      <c r="Z89" s="192" t="n">
        <v>0.98034013</v>
      </c>
      <c r="AA89" s="64" t="n">
        <v>0.98505745</v>
      </c>
      <c r="AB89" s="64" t="n">
        <v>0.032581218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36.749054</v>
      </c>
      <c r="G90" s="192" t="n">
        <v>40.726501</v>
      </c>
      <c r="H90" s="192" t="n">
        <v>0.98907822</v>
      </c>
      <c r="I90" s="64" t="n">
        <v>0.99218975</v>
      </c>
      <c r="J90" s="64" t="n">
        <v>0.023785336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38.311675</v>
      </c>
      <c r="Y90" s="192" t="n">
        <v>41.584433</v>
      </c>
      <c r="Z90" s="192" t="n">
        <v>0.98903413</v>
      </c>
      <c r="AA90" s="64" t="n">
        <v>0.99264285</v>
      </c>
      <c r="AB90" s="64" t="n">
        <v>0.018962987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39.673329</v>
      </c>
      <c r="G91" s="192" t="n">
        <v>43.851545</v>
      </c>
      <c r="H91" s="192" t="n">
        <v>0.9937733399999999</v>
      </c>
      <c r="I91" s="64" t="n">
        <v>0.99585748</v>
      </c>
      <c r="J91" s="64" t="n">
        <v>0.012670857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42.073621</v>
      </c>
      <c r="Y91" s="192" t="n">
        <v>45.192791</v>
      </c>
      <c r="Z91" s="192" t="n">
        <v>0.9937175700000001</v>
      </c>
      <c r="AA91" s="64" t="n">
        <v>0.99632043</v>
      </c>
      <c r="AB91" s="64" t="n">
        <v>0.008599203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30.692251</v>
      </c>
      <c r="G93" s="99" t="n">
        <v>34.376691</v>
      </c>
      <c r="H93" s="99" t="n">
        <v>0.96842533</v>
      </c>
      <c r="I93" s="62" t="n">
        <v>0.9744452300000001</v>
      </c>
      <c r="J93" s="62" t="n">
        <v>0.059075087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31.158785</v>
      </c>
      <c r="Y93" s="99" t="n">
        <v>34.884129</v>
      </c>
      <c r="Z93" s="99" t="n">
        <v>0.96860274</v>
      </c>
      <c r="AA93" s="62" t="n">
        <v>0.97483422</v>
      </c>
      <c r="AB93" s="62" t="n">
        <v>0.05175224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33.522763</v>
      </c>
      <c r="G94" s="192" t="n">
        <v>37.16864</v>
      </c>
      <c r="H94" s="192" t="n">
        <v>0.98070609</v>
      </c>
      <c r="I94" s="64" t="n">
        <v>0.98510531</v>
      </c>
      <c r="J94" s="64" t="n">
        <v>0.038282968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34.337326</v>
      </c>
      <c r="Y94" s="192" t="n">
        <v>37.685892</v>
      </c>
      <c r="Z94" s="192" t="n">
        <v>0.98050545</v>
      </c>
      <c r="AA94" s="64" t="n">
        <v>0.9854174999999999</v>
      </c>
      <c r="AB94" s="64" t="n">
        <v>0.03342863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36.743402</v>
      </c>
      <c r="G95" s="192" t="n">
        <v>40.670453</v>
      </c>
      <c r="H95" s="192" t="n">
        <v>0.98922787</v>
      </c>
      <c r="I95" s="64" t="n">
        <v>0.99235999</v>
      </c>
      <c r="J95" s="64" t="n">
        <v>0.024386209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37.821092</v>
      </c>
      <c r="Y95" s="192" t="n">
        <v>41.27056</v>
      </c>
      <c r="Z95" s="192" t="n">
        <v>0.98915662</v>
      </c>
      <c r="AA95" s="64" t="n">
        <v>0.9926382</v>
      </c>
      <c r="AB95" s="64" t="n">
        <v>0.020429635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39.985708</v>
      </c>
      <c r="G96" s="192" t="n">
        <v>44.116195</v>
      </c>
      <c r="H96" s="192" t="n">
        <v>0.9938777</v>
      </c>
      <c r="I96" s="64" t="n">
        <v>0.9959366200000001</v>
      </c>
      <c r="J96" s="64" t="n">
        <v>0.012287433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41.961655</v>
      </c>
      <c r="Y96" s="192" t="n">
        <v>45.184094</v>
      </c>
      <c r="Z96" s="192" t="n">
        <v>0.99379366</v>
      </c>
      <c r="AA96" s="64" t="n">
        <v>0.9962925500000001</v>
      </c>
      <c r="AB96" s="64" t="n">
        <v>0.00888455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31.200097</v>
      </c>
      <c r="G98" s="99" t="n">
        <v>35.032725</v>
      </c>
      <c r="H98" s="99" t="n">
        <v>0.967688</v>
      </c>
      <c r="I98" s="62" t="n">
        <v>0.97495797</v>
      </c>
      <c r="J98" s="62" t="n">
        <v>0.05638561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31.245907</v>
      </c>
      <c r="Y98" s="99" t="n">
        <v>35.302329</v>
      </c>
      <c r="Z98" s="99" t="n">
        <v>0.9677376600000001</v>
      </c>
      <c r="AA98" s="62" t="n">
        <v>0.97516835</v>
      </c>
      <c r="AB98" s="62" t="n">
        <v>0.052920282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34.22673</v>
      </c>
      <c r="G99" s="192" t="n">
        <v>37.816426</v>
      </c>
      <c r="H99" s="192" t="n">
        <v>0.98047395</v>
      </c>
      <c r="I99" s="64" t="n">
        <v>0.98535511</v>
      </c>
      <c r="J99" s="64" t="n">
        <v>0.035571985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34.566961</v>
      </c>
      <c r="Y99" s="192" t="n">
        <v>38.088435</v>
      </c>
      <c r="Z99" s="192" t="n">
        <v>0.98024791</v>
      </c>
      <c r="AA99" s="64" t="n">
        <v>0.9855779099999999</v>
      </c>
      <c r="AB99" s="64" t="n">
        <v>0.03383181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37.317254</v>
      </c>
      <c r="G100" s="192" t="n">
        <v>41.04248</v>
      </c>
      <c r="H100" s="192" t="n">
        <v>0.9893003</v>
      </c>
      <c r="I100" s="64" t="n">
        <v>0.99247539</v>
      </c>
      <c r="J100" s="64" t="n">
        <v>0.02281925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38.123454</v>
      </c>
      <c r="Y100" s="192" t="n">
        <v>41.399955</v>
      </c>
      <c r="Z100" s="192" t="n">
        <v>0.9891726199999999</v>
      </c>
      <c r="AA100" s="64" t="n">
        <v>0.99253898</v>
      </c>
      <c r="AB100" s="64" t="n">
        <v>0.02050735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40.763637</v>
      </c>
      <c r="G101" s="192" t="n">
        <v>44.629862</v>
      </c>
      <c r="H101" s="192" t="n">
        <v>0.99400851</v>
      </c>
      <c r="I101" s="64" t="n">
        <v>0.99606445</v>
      </c>
      <c r="J101" s="64" t="n">
        <v>0.011500524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42.144733</v>
      </c>
      <c r="Y101" s="192" t="n">
        <v>45.310751</v>
      </c>
      <c r="Z101" s="192" t="n">
        <v>0.99388259</v>
      </c>
      <c r="AA101" s="64" t="n">
        <v>0.99635417</v>
      </c>
      <c r="AB101" s="64" t="n">
        <v>0.009233553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30.891674</v>
      </c>
      <c r="G103" s="99" t="n">
        <v>34.286846</v>
      </c>
      <c r="H103" s="99" t="n">
        <v>0.96876554</v>
      </c>
      <c r="I103" s="62" t="n">
        <v>0.9771779900000001</v>
      </c>
      <c r="J103" s="62" t="n">
        <v>0.07160109000000001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31.175401</v>
      </c>
      <c r="Y103" s="99" t="n">
        <v>35.415801</v>
      </c>
      <c r="Z103" s="99" t="n">
        <v>0.96880081</v>
      </c>
      <c r="AA103" s="62" t="n">
        <v>0.97742945</v>
      </c>
      <c r="AB103" s="62" t="n">
        <v>0.0598158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33.513888</v>
      </c>
      <c r="G104" s="192" t="n">
        <v>36.932179</v>
      </c>
      <c r="H104" s="192" t="n">
        <v>0.98103441</v>
      </c>
      <c r="I104" s="64" t="n">
        <v>0.98645524</v>
      </c>
      <c r="J104" s="64" t="n">
        <v>0.048445635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34.62282</v>
      </c>
      <c r="Y104" s="192" t="n">
        <v>38.265815</v>
      </c>
      <c r="Z104" s="192" t="n">
        <v>0.98102057</v>
      </c>
      <c r="AA104" s="64" t="n">
        <v>0.9867634199999999</v>
      </c>
      <c r="AB104" s="64" t="n">
        <v>0.037090283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36.028989</v>
      </c>
      <c r="G105" s="192" t="n">
        <v>40.189062</v>
      </c>
      <c r="H105" s="192" t="n">
        <v>0.98975291</v>
      </c>
      <c r="I105" s="64" t="n">
        <v>0.99311974</v>
      </c>
      <c r="J105" s="64" t="n">
        <v>0.031016476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38.757156</v>
      </c>
      <c r="Y105" s="192" t="n">
        <v>41.873789</v>
      </c>
      <c r="Z105" s="192" t="n">
        <v>0.9898625599999999</v>
      </c>
      <c r="AA105" s="64" t="n">
        <v>0.99359127</v>
      </c>
      <c r="AB105" s="64" t="n">
        <v>0.019989936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39.088518</v>
      </c>
      <c r="G106" s="192" t="n">
        <v>43.43187</v>
      </c>
      <c r="H106" s="192" t="n">
        <v>0.99384706</v>
      </c>
      <c r="I106" s="64" t="n">
        <v>0.99622751</v>
      </c>
      <c r="J106" s="64" t="n">
        <v>0.016748056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42.435747</v>
      </c>
      <c r="Y106" s="192" t="n">
        <v>45.352907</v>
      </c>
      <c r="Z106" s="192" t="n">
        <v>0.99390694</v>
      </c>
      <c r="AA106" s="64" t="n">
        <v>0.99660339</v>
      </c>
      <c r="AB106" s="64" t="n">
        <v>0.009907924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31.290186</v>
      </c>
      <c r="G108" s="99" t="n">
        <v>34.809119</v>
      </c>
      <c r="H108" s="99" t="n">
        <v>0.97069452</v>
      </c>
      <c r="I108" s="62" t="n">
        <v>0.9782809</v>
      </c>
      <c r="J108" s="62" t="n">
        <v>0.06294278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31.063402</v>
      </c>
      <c r="Y108" s="99" t="n">
        <v>35.370238</v>
      </c>
      <c r="Z108" s="99" t="n">
        <v>0.97064914</v>
      </c>
      <c r="AA108" s="62" t="n">
        <v>0.97858729</v>
      </c>
      <c r="AB108" s="62" t="n">
        <v>0.056030333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33.972735</v>
      </c>
      <c r="G109" s="192" t="n">
        <v>37.300523</v>
      </c>
      <c r="H109" s="192" t="n">
        <v>0.9815366599999999</v>
      </c>
      <c r="I109" s="64" t="n">
        <v>0.9866672399999999</v>
      </c>
      <c r="J109" s="64" t="n">
        <v>0.04330901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34.22227</v>
      </c>
      <c r="Y109" s="192" t="n">
        <v>38.026408</v>
      </c>
      <c r="Z109" s="192" t="n">
        <v>0.98140931</v>
      </c>
      <c r="AA109" s="64" t="n">
        <v>0.98690655</v>
      </c>
      <c r="AB109" s="64" t="n">
        <v>0.036163248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37.349426</v>
      </c>
      <c r="G110" s="192" t="n">
        <v>41.120111</v>
      </c>
      <c r="H110" s="192" t="n">
        <v>0.9896868599999999</v>
      </c>
      <c r="I110" s="64" t="n">
        <v>0.99314919</v>
      </c>
      <c r="J110" s="64" t="n">
        <v>0.02641162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38.682931</v>
      </c>
      <c r="Y110" s="192" t="n">
        <v>41.847177</v>
      </c>
      <c r="Z110" s="192" t="n">
        <v>0.989707</v>
      </c>
      <c r="AA110" s="64" t="n">
        <v>0.9932678700000001</v>
      </c>
      <c r="AB110" s="64" t="n">
        <v>0.020812003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39.20399</v>
      </c>
      <c r="G111" s="192" t="n">
        <v>43.63984</v>
      </c>
      <c r="H111" s="192" t="n">
        <v>0.99384305</v>
      </c>
      <c r="I111" s="64" t="n">
        <v>0.99611203</v>
      </c>
      <c r="J111" s="64" t="n">
        <v>0.018621081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42.397078</v>
      </c>
      <c r="Y111" s="192" t="n">
        <v>45.292145</v>
      </c>
      <c r="Z111" s="192" t="n">
        <v>0.99385437</v>
      </c>
      <c r="AA111" s="64" t="n">
        <v>0.99656623</v>
      </c>
      <c r="AB111" s="64" t="n">
        <v>0.010383276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31.307379</v>
      </c>
      <c r="G113" s="99" t="n">
        <v>34.876389</v>
      </c>
      <c r="H113" s="99" t="n">
        <v>0.97152119</v>
      </c>
      <c r="I113" s="62" t="n">
        <v>0.97890671</v>
      </c>
      <c r="J113" s="62" t="n">
        <v>0.06566207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31.800306</v>
      </c>
      <c r="Y113" s="99" t="n">
        <v>35.44532</v>
      </c>
      <c r="Z113" s="99" t="n">
        <v>0.97149451</v>
      </c>
      <c r="AA113" s="62" t="n">
        <v>0.97939464</v>
      </c>
      <c r="AB113" s="62" t="n">
        <v>0.056129836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33.510789</v>
      </c>
      <c r="G114" s="192" t="n">
        <v>37.230672</v>
      </c>
      <c r="H114" s="192" t="n">
        <v>0.98188276</v>
      </c>
      <c r="I114" s="64" t="n">
        <v>0.98655721</v>
      </c>
      <c r="J114" s="64" t="n">
        <v>0.04663388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34.493522</v>
      </c>
      <c r="Y114" s="192" t="n">
        <v>37.911772</v>
      </c>
      <c r="Z114" s="192" t="n">
        <v>0.98171611</v>
      </c>
      <c r="AA114" s="64" t="n">
        <v>0.98700089</v>
      </c>
      <c r="AB114" s="64" t="n">
        <v>0.03702965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36.542417</v>
      </c>
      <c r="G115" s="192" t="n">
        <v>40.676073</v>
      </c>
      <c r="H115" s="192" t="n">
        <v>0.9896367</v>
      </c>
      <c r="I115" s="64" t="n">
        <v>0.99317382</v>
      </c>
      <c r="J115" s="64" t="n">
        <v>0.03080979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38.321027</v>
      </c>
      <c r="Y115" s="192" t="n">
        <v>41.611679</v>
      </c>
      <c r="Z115" s="192" t="n">
        <v>0.98960473</v>
      </c>
      <c r="AA115" s="64" t="n">
        <v>0.99339593</v>
      </c>
      <c r="AB115" s="64" t="n">
        <v>0.021615494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39.554365</v>
      </c>
      <c r="G116" s="192" t="n">
        <v>43.849492</v>
      </c>
      <c r="H116" s="192" t="n">
        <v>0.99387789</v>
      </c>
      <c r="I116" s="64" t="n">
        <v>0.99627236</v>
      </c>
      <c r="J116" s="64" t="n">
        <v>0.016568936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42.279038</v>
      </c>
      <c r="Y116" s="192" t="n">
        <v>45.368229</v>
      </c>
      <c r="Z116" s="192" t="n">
        <v>0.99381735</v>
      </c>
      <c r="AA116" s="64" t="n">
        <v>0.9966473</v>
      </c>
      <c r="AB116" s="64" t="n">
        <v>0.010021202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31.977093</v>
      </c>
      <c r="G118" s="99" t="n">
        <v>35.379707</v>
      </c>
      <c r="H118" s="99" t="n">
        <v>0.9723098100000001</v>
      </c>
      <c r="I118" s="62" t="n">
        <v>0.97998803</v>
      </c>
      <c r="J118" s="62" t="n">
        <v>0.058553763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32.277198</v>
      </c>
      <c r="Y118" s="99" t="n">
        <v>35.966518</v>
      </c>
      <c r="Z118" s="99" t="n">
        <v>0.97229997</v>
      </c>
      <c r="AA118" s="62" t="n">
        <v>0.98051454</v>
      </c>
      <c r="AB118" s="62" t="n">
        <v>0.052166153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34.003113</v>
      </c>
      <c r="G119" s="192" t="n">
        <v>37.584053</v>
      </c>
      <c r="H119" s="192" t="n">
        <v>0.98210791</v>
      </c>
      <c r="I119" s="64" t="n">
        <v>0.98699572</v>
      </c>
      <c r="J119" s="64" t="n">
        <v>0.04135274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34.96354</v>
      </c>
      <c r="Y119" s="192" t="n">
        <v>38.425923</v>
      </c>
      <c r="Z119" s="192" t="n">
        <v>0.9819066</v>
      </c>
      <c r="AA119" s="64" t="n">
        <v>0.98749722</v>
      </c>
      <c r="AB119" s="64" t="n">
        <v>0.03464268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36.893611</v>
      </c>
      <c r="G120" s="192" t="n">
        <v>40.868147</v>
      </c>
      <c r="H120" s="192" t="n">
        <v>0.9894815</v>
      </c>
      <c r="I120" s="64" t="n">
        <v>0.99334912</v>
      </c>
      <c r="J120" s="64" t="n">
        <v>0.02718684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38.581288</v>
      </c>
      <c r="Y120" s="192" t="n">
        <v>41.855309</v>
      </c>
      <c r="Z120" s="192" t="n">
        <v>0.98941626</v>
      </c>
      <c r="AA120" s="64" t="n">
        <v>0.99353492</v>
      </c>
      <c r="AB120" s="64" t="n">
        <v>0.020741608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40.228369</v>
      </c>
      <c r="G121" s="192" t="n">
        <v>44.318053</v>
      </c>
      <c r="H121" s="192" t="n">
        <v>0.9937614299999999</v>
      </c>
      <c r="I121" s="64" t="n">
        <v>0.99625306</v>
      </c>
      <c r="J121" s="64" t="n">
        <v>0.014041791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42.467281</v>
      </c>
      <c r="Y121" s="192" t="n">
        <v>45.515642</v>
      </c>
      <c r="Z121" s="192" t="n">
        <v>0.99366991</v>
      </c>
      <c r="AA121" s="64" t="n">
        <v>0.99665441</v>
      </c>
      <c r="AB121" s="64" t="n">
        <v>0.009945033000000001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32.061479</v>
      </c>
      <c r="G123" s="99" t="n">
        <v>35.686696</v>
      </c>
      <c r="H123" s="99" t="n">
        <v>0.97253481</v>
      </c>
      <c r="I123" s="62" t="n">
        <v>0.9796861</v>
      </c>
      <c r="J123" s="62" t="n">
        <v>0.057089634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32.355478</v>
      </c>
      <c r="Y123" s="99" t="n">
        <v>36.086051</v>
      </c>
      <c r="Z123" s="99" t="n">
        <v>0.9725824199999999</v>
      </c>
      <c r="AA123" s="62" t="n">
        <v>0.97961776</v>
      </c>
      <c r="AB123" s="62" t="n">
        <v>0.052661467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34.271987</v>
      </c>
      <c r="G124" s="192" t="n">
        <v>37.723033</v>
      </c>
      <c r="H124" s="192" t="n">
        <v>0.9822610000000001</v>
      </c>
      <c r="I124" s="64" t="n">
        <v>0.98712575</v>
      </c>
      <c r="J124" s="64" t="n">
        <v>0.040143423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34.842635</v>
      </c>
      <c r="Y124" s="192" t="n">
        <v>38.280975</v>
      </c>
      <c r="Z124" s="192" t="n">
        <v>0.98211962</v>
      </c>
      <c r="AA124" s="64" t="n">
        <v>0.98730143</v>
      </c>
      <c r="AB124" s="64" t="n">
        <v>0.035219155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37.606947</v>
      </c>
      <c r="G125" s="192" t="n">
        <v>41.30664</v>
      </c>
      <c r="H125" s="192" t="n">
        <v>0.98966821</v>
      </c>
      <c r="I125" s="64" t="n">
        <v>0.99336618</v>
      </c>
      <c r="J125" s="64" t="n">
        <v>0.024599116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38.73838</v>
      </c>
      <c r="Y125" s="192" t="n">
        <v>41.967622</v>
      </c>
      <c r="Z125" s="192" t="n">
        <v>0.9896047</v>
      </c>
      <c r="AA125" s="64" t="n">
        <v>0.99359144</v>
      </c>
      <c r="AB125" s="64" t="n">
        <v>0.020766757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41.030497</v>
      </c>
      <c r="G126" s="192" t="n">
        <v>44.857125</v>
      </c>
      <c r="H126" s="192" t="n">
        <v>0.99390121</v>
      </c>
      <c r="I126" s="64" t="n">
        <v>0.99640275</v>
      </c>
      <c r="J126" s="64" t="n">
        <v>0.01287598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42.830748</v>
      </c>
      <c r="Y126" s="192" t="n">
        <v>45.801822</v>
      </c>
      <c r="Z126" s="192" t="n">
        <v>0.99381953</v>
      </c>
      <c r="AA126" s="64" t="n">
        <v>0.99672654</v>
      </c>
      <c r="AB126" s="64" t="n">
        <v>0.009690437499999999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32.031561</v>
      </c>
      <c r="G128" s="99" t="n">
        <v>35.852595</v>
      </c>
      <c r="H128" s="99" t="n">
        <v>0.97304522</v>
      </c>
      <c r="I128" s="62" t="n">
        <v>0.97958461</v>
      </c>
      <c r="J128" s="62" t="n">
        <v>0.057230093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32.324527</v>
      </c>
      <c r="Y128" s="99" t="n">
        <v>36.111016</v>
      </c>
      <c r="Z128" s="99" t="n">
        <v>0.9730885500000001</v>
      </c>
      <c r="AA128" s="62" t="n">
        <v>0.9801013</v>
      </c>
      <c r="AB128" s="62" t="n">
        <v>0.053777874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34.099704</v>
      </c>
      <c r="G129" s="192" t="n">
        <v>37.834557</v>
      </c>
      <c r="H129" s="192" t="n">
        <v>0.98252967</v>
      </c>
      <c r="I129" s="64" t="n">
        <v>0.98692392</v>
      </c>
      <c r="J129" s="64" t="n">
        <v>0.039563358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34.548565</v>
      </c>
      <c r="Y129" s="192" t="n">
        <v>38.055618</v>
      </c>
      <c r="Z129" s="192" t="n">
        <v>0.98247085</v>
      </c>
      <c r="AA129" s="64" t="n">
        <v>0.9872277699999999</v>
      </c>
      <c r="AB129" s="64" t="n">
        <v>0.036907796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37.463018</v>
      </c>
      <c r="G130" s="192" t="n">
        <v>41.130343</v>
      </c>
      <c r="H130" s="192" t="n">
        <v>0.98992319</v>
      </c>
      <c r="I130" s="64" t="n">
        <v>0.99325134</v>
      </c>
      <c r="J130" s="64" t="n">
        <v>0.023462707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38.031838</v>
      </c>
      <c r="Y130" s="192" t="n">
        <v>41.411551</v>
      </c>
      <c r="Z130" s="192" t="n">
        <v>0.98983827</v>
      </c>
      <c r="AA130" s="64" t="n">
        <v>0.99349477</v>
      </c>
      <c r="AB130" s="64" t="n">
        <v>0.0214081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41.309368</v>
      </c>
      <c r="G131" s="192" t="n">
        <v>44.999827</v>
      </c>
      <c r="H131" s="192" t="n">
        <v>0.99404752</v>
      </c>
      <c r="I131" s="64" t="n">
        <v>0.99638675</v>
      </c>
      <c r="J131" s="64" t="n">
        <v>0.011929257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42.628752</v>
      </c>
      <c r="Y131" s="192" t="n">
        <v>45.656335</v>
      </c>
      <c r="Z131" s="192" t="n">
        <v>0.99396206</v>
      </c>
      <c r="AA131" s="64" t="n">
        <v>0.99666205</v>
      </c>
      <c r="AB131" s="64" t="n">
        <v>0.009728076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32.124817</v>
      </c>
      <c r="G133" s="99" t="n">
        <v>36.156073</v>
      </c>
      <c r="H133" s="99" t="n">
        <v>0.97189701</v>
      </c>
      <c r="I133" s="62" t="n">
        <v>0.97903805</v>
      </c>
      <c r="J133" s="62" t="n">
        <v>0.05813057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32.216949</v>
      </c>
      <c r="Y133" s="99" t="n">
        <v>36.368693</v>
      </c>
      <c r="Z133" s="99" t="n">
        <v>0.97182967</v>
      </c>
      <c r="AA133" s="62" t="n">
        <v>0.97954112</v>
      </c>
      <c r="AB133" s="62" t="n">
        <v>0.05636174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34.436042</v>
      </c>
      <c r="G134" s="192" t="n">
        <v>38.241612</v>
      </c>
      <c r="H134" s="192" t="n">
        <v>0.98232428</v>
      </c>
      <c r="I134" s="64" t="n">
        <v>0.98678677</v>
      </c>
      <c r="J134" s="64" t="n">
        <v>0.038389117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34.729044</v>
      </c>
      <c r="Y134" s="192" t="n">
        <v>38.448428</v>
      </c>
      <c r="Z134" s="192" t="n">
        <v>0.98226484</v>
      </c>
      <c r="AA134" s="64" t="n">
        <v>0.98724536</v>
      </c>
      <c r="AB134" s="64" t="n">
        <v>0.03771919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37.784048</v>
      </c>
      <c r="G135" s="192" t="n">
        <v>41.300036</v>
      </c>
      <c r="H135" s="192" t="n">
        <v>0.9901093399999999</v>
      </c>
      <c r="I135" s="64" t="n">
        <v>0.99335648</v>
      </c>
      <c r="J135" s="64" t="n">
        <v>0.023009079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38.149017</v>
      </c>
      <c r="Y135" s="192" t="n">
        <v>41.424657</v>
      </c>
      <c r="Z135" s="192" t="n">
        <v>0.99005024</v>
      </c>
      <c r="AA135" s="64" t="n">
        <v>0.99336647</v>
      </c>
      <c r="AB135" s="64" t="n">
        <v>0.021966849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41.704402</v>
      </c>
      <c r="G136" s="192" t="n">
        <v>45.191845</v>
      </c>
      <c r="H136" s="192" t="n">
        <v>0.99412425</v>
      </c>
      <c r="I136" s="64" t="n">
        <v>0.99640761</v>
      </c>
      <c r="J136" s="64" t="n">
        <v>0.011939058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42.674554</v>
      </c>
      <c r="Y136" s="192" t="n">
        <v>45.68701</v>
      </c>
      <c r="Z136" s="192" t="n">
        <v>0.99405797</v>
      </c>
      <c r="AA136" s="64" t="n">
        <v>0.99662435</v>
      </c>
      <c r="AB136" s="64" t="n">
        <v>0.010162838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4688.896</v>
      </c>
      <c r="F16" s="169" t="n">
        <v>6056.208</v>
      </c>
      <c r="G16" s="169" t="n">
        <v>1130.776</v>
      </c>
      <c r="H16" s="169" t="n">
        <v>388.36</v>
      </c>
      <c r="I16" s="169" t="n">
        <v>167.808</v>
      </c>
      <c r="J16" s="169" t="n">
        <v>8771.848</v>
      </c>
      <c r="K16" s="62" t="n">
        <v>5224.8</v>
      </c>
      <c r="L16" s="62" t="n">
        <v>1888.152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/>
      <c r="X16" s="169" t="n"/>
      <c r="Y16" s="169" t="n"/>
      <c r="Z16" s="169" t="n"/>
      <c r="AA16" s="169" t="n"/>
      <c r="AB16" s="169" t="n"/>
      <c r="AC16" s="62" t="n"/>
      <c r="AD16" s="62" t="n"/>
      <c r="AE16" s="62" t="n"/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4688.896</v>
      </c>
      <c r="F17" s="170" t="n">
        <v>7941.592</v>
      </c>
      <c r="G17" s="170" t="n">
        <v>4043.28</v>
      </c>
      <c r="H17" s="170" t="n">
        <v>2044.968</v>
      </c>
      <c r="I17" s="170" t="n">
        <v>1498.336</v>
      </c>
      <c r="J17" s="170" t="n">
        <v>11323.12</v>
      </c>
      <c r="K17" s="64" t="n">
        <v>7088.472</v>
      </c>
      <c r="L17" s="64" t="n">
        <v>2497.816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/>
      <c r="X17" s="170" t="n"/>
      <c r="Y17" s="170" t="n"/>
      <c r="Z17" s="170" t="n"/>
      <c r="AA17" s="170" t="n"/>
      <c r="AB17" s="170" t="n"/>
      <c r="AC17" s="64" t="n"/>
      <c r="AD17" s="64" t="n"/>
      <c r="AE17" s="64" t="n"/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4688.896</v>
      </c>
      <c r="F18" s="170" t="n">
        <v>9902.32</v>
      </c>
      <c r="G18" s="170" t="n">
        <v>8648.4</v>
      </c>
      <c r="H18" s="170" t="n">
        <v>6395.536</v>
      </c>
      <c r="I18" s="170" t="n">
        <v>6107.936</v>
      </c>
      <c r="J18" s="170" t="n">
        <v>13961.536</v>
      </c>
      <c r="K18" s="64" t="n">
        <v>9035.288</v>
      </c>
      <c r="L18" s="64" t="n">
        <v>3125.128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/>
      <c r="X18" s="170" t="n"/>
      <c r="Y18" s="170" t="n"/>
      <c r="Z18" s="170" t="n"/>
      <c r="AA18" s="170" t="n"/>
      <c r="AB18" s="170" t="n"/>
      <c r="AC18" s="64" t="n"/>
      <c r="AD18" s="64" t="n"/>
      <c r="AE18" s="64" t="n"/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4688.896</v>
      </c>
      <c r="F19" s="170" t="n">
        <v>11776.416</v>
      </c>
      <c r="G19" s="170" t="n">
        <v>13866.176</v>
      </c>
      <c r="H19" s="170" t="n">
        <v>13459.6</v>
      </c>
      <c r="I19" s="170" t="n">
        <v>15053.32</v>
      </c>
      <c r="J19" s="170" t="n">
        <v>16708.376</v>
      </c>
      <c r="K19" s="64" t="n">
        <v>11084.592</v>
      </c>
      <c r="L19" s="64" t="n">
        <v>3779.384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/>
      <c r="X19" s="170" t="n"/>
      <c r="Y19" s="170" t="n"/>
      <c r="Z19" s="170" t="n"/>
      <c r="AA19" s="170" t="n"/>
      <c r="AB19" s="170" t="n"/>
      <c r="AC19" s="64" t="n"/>
      <c r="AD19" s="64" t="n"/>
      <c r="AE19" s="64" t="n"/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27.577456</v>
      </c>
      <c r="G33" s="99" t="n">
        <v>31.134187</v>
      </c>
      <c r="H33" s="99" t="n">
        <v>0.95943495</v>
      </c>
      <c r="I33" s="62" t="n">
        <v>0.96601981</v>
      </c>
      <c r="J33" s="62" t="n">
        <v>0.08352416999999999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/>
      <c r="Y33" s="99" t="n"/>
      <c r="Z33" s="99" t="n"/>
      <c r="AA33" s="62" t="n"/>
      <c r="AB33" s="62" t="n"/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30.75906</v>
      </c>
      <c r="G34" s="192" t="n">
        <v>34.076341</v>
      </c>
      <c r="H34" s="192" t="n">
        <v>0.97693961</v>
      </c>
      <c r="I34" s="64" t="n">
        <v>0.98018503</v>
      </c>
      <c r="J34" s="64" t="n">
        <v>0.058090188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/>
      <c r="Y34" s="192" t="n"/>
      <c r="Z34" s="192" t="n"/>
      <c r="AA34" s="64" t="n"/>
      <c r="AB34" s="64" t="n"/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34.701622</v>
      </c>
      <c r="G35" s="192" t="n">
        <v>39.048186</v>
      </c>
      <c r="H35" s="192" t="n">
        <v>0.98871198</v>
      </c>
      <c r="I35" s="64" t="n">
        <v>0.99178216</v>
      </c>
      <c r="J35" s="64" t="n">
        <v>0.033094823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/>
      <c r="Y35" s="192" t="n"/>
      <c r="Z35" s="192" t="n"/>
      <c r="AA35" s="64" t="n"/>
      <c r="AB35" s="64" t="n"/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37.28514</v>
      </c>
      <c r="G36" s="192" t="n">
        <v>41.695649</v>
      </c>
      <c r="H36" s="192" t="n">
        <v>0.99349675</v>
      </c>
      <c r="I36" s="64" t="n">
        <v>0.99566268</v>
      </c>
      <c r="J36" s="64" t="n">
        <v>0.019023346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/>
      <c r="Y36" s="192" t="n"/>
      <c r="Z36" s="192" t="n"/>
      <c r="AA36" s="64" t="n"/>
      <c r="AB36" s="64" t="n"/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28.193349</v>
      </c>
      <c r="G38" s="99" t="n">
        <v>31.808422</v>
      </c>
      <c r="H38" s="99" t="n">
        <v>0.96085564</v>
      </c>
      <c r="I38" s="62" t="n">
        <v>0.96608456</v>
      </c>
      <c r="J38" s="62" t="n">
        <v>0.076065704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/>
      <c r="Y38" s="99" t="n"/>
      <c r="Z38" s="99" t="n"/>
      <c r="AA38" s="62" t="n"/>
      <c r="AB38" s="62" t="n"/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31.252689</v>
      </c>
      <c r="G39" s="192" t="n">
        <v>34.732501</v>
      </c>
      <c r="H39" s="192" t="n">
        <v>0.97719151</v>
      </c>
      <c r="I39" s="64" t="n">
        <v>0.98035266</v>
      </c>
      <c r="J39" s="64" t="n">
        <v>0.05401306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/>
      <c r="Y39" s="192" t="n"/>
      <c r="Z39" s="192" t="n"/>
      <c r="AA39" s="64" t="n"/>
      <c r="AB39" s="64" t="n"/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35.001337</v>
      </c>
      <c r="G40" s="192" t="n">
        <v>39.219679</v>
      </c>
      <c r="H40" s="192" t="n">
        <v>0.98841422</v>
      </c>
      <c r="I40" s="64" t="n">
        <v>0.9914191</v>
      </c>
      <c r="J40" s="64" t="n">
        <v>0.031824816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/>
      <c r="Y40" s="192" t="n"/>
      <c r="Z40" s="192" t="n"/>
      <c r="AA40" s="64" t="n"/>
      <c r="AB40" s="64" t="n"/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37.389982</v>
      </c>
      <c r="G41" s="192" t="n">
        <v>41.763351</v>
      </c>
      <c r="H41" s="192" t="n">
        <v>0.99333021</v>
      </c>
      <c r="I41" s="64" t="n">
        <v>0.9955091</v>
      </c>
      <c r="J41" s="64" t="n">
        <v>0.018921694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/>
      <c r="Y41" s="192" t="n"/>
      <c r="Z41" s="192" t="n"/>
      <c r="AA41" s="64" t="n"/>
      <c r="AB41" s="64" t="n"/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28.768204</v>
      </c>
      <c r="G43" s="99" t="n">
        <v>32.40965</v>
      </c>
      <c r="H43" s="99" t="n">
        <v>0.96211439</v>
      </c>
      <c r="I43" s="62" t="n">
        <v>0.9677975</v>
      </c>
      <c r="J43" s="62" t="n">
        <v>0.07461022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/>
      <c r="Y43" s="99" t="n"/>
      <c r="Z43" s="99" t="n"/>
      <c r="AA43" s="62" t="n"/>
      <c r="AB43" s="62" t="n"/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31.693357</v>
      </c>
      <c r="G44" s="192" t="n">
        <v>35.252953</v>
      </c>
      <c r="H44" s="192" t="n">
        <v>0.97751455</v>
      </c>
      <c r="I44" s="64" t="n">
        <v>0.98098412</v>
      </c>
      <c r="J44" s="64" t="n">
        <v>0.05005274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/>
      <c r="Y44" s="192" t="n"/>
      <c r="Z44" s="192" t="n"/>
      <c r="AA44" s="64" t="n"/>
      <c r="AB44" s="64" t="n"/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35.019259</v>
      </c>
      <c r="G45" s="192" t="n">
        <v>39.28616</v>
      </c>
      <c r="H45" s="192" t="n">
        <v>0.98840072</v>
      </c>
      <c r="I45" s="64" t="n">
        <v>0.99148995</v>
      </c>
      <c r="J45" s="64" t="n">
        <v>0.0325097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/>
      <c r="Y45" s="192" t="n"/>
      <c r="Z45" s="192" t="n"/>
      <c r="AA45" s="64" t="n"/>
      <c r="AB45" s="64" t="n"/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37.792676</v>
      </c>
      <c r="G46" s="192" t="n">
        <v>42.168708</v>
      </c>
      <c r="H46" s="192" t="n">
        <v>0.99332201</v>
      </c>
      <c r="I46" s="64" t="n">
        <v>0.99553945</v>
      </c>
      <c r="J46" s="64" t="n">
        <v>0.018137565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/>
      <c r="Y46" s="192" t="n"/>
      <c r="Z46" s="192" t="n"/>
      <c r="AA46" s="64" t="n"/>
      <c r="AB46" s="64" t="n"/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29.646043</v>
      </c>
      <c r="G48" s="99" t="n">
        <v>33.10661</v>
      </c>
      <c r="H48" s="99" t="n">
        <v>0.96270008</v>
      </c>
      <c r="I48" s="62" t="n">
        <v>0.96883208</v>
      </c>
      <c r="J48" s="62" t="n">
        <v>0.06692476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/>
      <c r="Y48" s="99" t="n"/>
      <c r="Z48" s="99" t="n"/>
      <c r="AA48" s="62" t="n"/>
      <c r="AB48" s="62" t="n"/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32.635077</v>
      </c>
      <c r="G49" s="192" t="n">
        <v>36.090878</v>
      </c>
      <c r="H49" s="192" t="n">
        <v>0.97698622</v>
      </c>
      <c r="I49" s="64" t="n">
        <v>0.98179988</v>
      </c>
      <c r="J49" s="64" t="n">
        <v>0.044159416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/>
      <c r="Y49" s="192" t="n"/>
      <c r="Z49" s="192" t="n"/>
      <c r="AA49" s="64" t="n"/>
      <c r="AB49" s="64" t="n"/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35.634103</v>
      </c>
      <c r="G50" s="192" t="n">
        <v>39.809363</v>
      </c>
      <c r="H50" s="192" t="n">
        <v>0.9879090699999999</v>
      </c>
      <c r="I50" s="64" t="n">
        <v>0.99133843</v>
      </c>
      <c r="J50" s="64" t="n">
        <v>0.029285403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/>
      <c r="Y50" s="192" t="n"/>
      <c r="Z50" s="192" t="n"/>
      <c r="AA50" s="64" t="n"/>
      <c r="AB50" s="64" t="n"/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38.367744</v>
      </c>
      <c r="G51" s="192" t="n">
        <v>42.722358</v>
      </c>
      <c r="H51" s="192" t="n">
        <v>0.99321423</v>
      </c>
      <c r="I51" s="64" t="n">
        <v>0.99548629</v>
      </c>
      <c r="J51" s="64" t="n">
        <v>0.016130444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/>
      <c r="Y51" s="192" t="n"/>
      <c r="Z51" s="192" t="n"/>
      <c r="AA51" s="64" t="n"/>
      <c r="AB51" s="64" t="n"/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29.522049</v>
      </c>
      <c r="G53" s="99" t="n">
        <v>33.095426</v>
      </c>
      <c r="H53" s="99" t="n">
        <v>0.9623768700000001</v>
      </c>
      <c r="I53" s="62" t="n">
        <v>0.96936634</v>
      </c>
      <c r="J53" s="62" t="n">
        <v>0.06663136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/>
      <c r="Y53" s="99" t="n"/>
      <c r="Z53" s="99" t="n"/>
      <c r="AA53" s="62" t="n"/>
      <c r="AB53" s="62" t="n"/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32.458667</v>
      </c>
      <c r="G54" s="192" t="n">
        <v>35.984918</v>
      </c>
      <c r="H54" s="192" t="n">
        <v>0.97689794</v>
      </c>
      <c r="I54" s="64" t="n">
        <v>0.98175643</v>
      </c>
      <c r="J54" s="64" t="n">
        <v>0.044433028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/>
      <c r="Y54" s="192" t="n"/>
      <c r="Z54" s="192" t="n"/>
      <c r="AA54" s="64" t="n"/>
      <c r="AB54" s="64" t="n"/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35.679766</v>
      </c>
      <c r="G55" s="192" t="n">
        <v>39.763469</v>
      </c>
      <c r="H55" s="192" t="n">
        <v>0.98777606</v>
      </c>
      <c r="I55" s="64" t="n">
        <v>0.9911567999999999</v>
      </c>
      <c r="J55" s="64" t="n">
        <v>0.028534828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/>
      <c r="Y55" s="192" t="n"/>
      <c r="Z55" s="192" t="n"/>
      <c r="AA55" s="64" t="n"/>
      <c r="AB55" s="64" t="n"/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38.597505</v>
      </c>
      <c r="G56" s="192" t="n">
        <v>42.825227</v>
      </c>
      <c r="H56" s="192" t="n">
        <v>0.99314466</v>
      </c>
      <c r="I56" s="64" t="n">
        <v>0.99536809</v>
      </c>
      <c r="J56" s="64" t="n">
        <v>0.014998801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/>
      <c r="Y56" s="192" t="n"/>
      <c r="Z56" s="192" t="n"/>
      <c r="AA56" s="64" t="n"/>
      <c r="AB56" s="64" t="n"/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29.68233</v>
      </c>
      <c r="G58" s="99" t="n">
        <v>33.258109</v>
      </c>
      <c r="H58" s="99" t="n">
        <v>0.96183009</v>
      </c>
      <c r="I58" s="62" t="n">
        <v>0.96960731</v>
      </c>
      <c r="J58" s="62" t="n">
        <v>0.0673324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/>
      <c r="Y58" s="99" t="n"/>
      <c r="Z58" s="99" t="n"/>
      <c r="AA58" s="62" t="n"/>
      <c r="AB58" s="62" t="n"/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32.585792</v>
      </c>
      <c r="G59" s="192" t="n">
        <v>36.097356</v>
      </c>
      <c r="H59" s="192" t="n">
        <v>0.97665292</v>
      </c>
      <c r="I59" s="64" t="n">
        <v>0.9818945100000001</v>
      </c>
      <c r="J59" s="64" t="n">
        <v>0.045003086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/>
      <c r="Y59" s="192" t="n"/>
      <c r="Z59" s="192" t="n"/>
      <c r="AA59" s="64" t="n"/>
      <c r="AB59" s="64" t="n"/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35.839658</v>
      </c>
      <c r="G60" s="192" t="n">
        <v>39.831609</v>
      </c>
      <c r="H60" s="192" t="n">
        <v>0.98778858</v>
      </c>
      <c r="I60" s="64" t="n">
        <v>0.99115126</v>
      </c>
      <c r="J60" s="64" t="n">
        <v>0.028406635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/>
      <c r="Y60" s="192" t="n"/>
      <c r="Z60" s="192" t="n"/>
      <c r="AA60" s="64" t="n"/>
      <c r="AB60" s="64" t="n"/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39.007764</v>
      </c>
      <c r="G61" s="192" t="n">
        <v>43.125194</v>
      </c>
      <c r="H61" s="192" t="n">
        <v>0.99317886</v>
      </c>
      <c r="I61" s="64" t="n">
        <v>0.99532387</v>
      </c>
      <c r="J61" s="64" t="n">
        <v>0.014320851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/>
      <c r="Y61" s="192" t="n"/>
      <c r="Z61" s="192" t="n"/>
      <c r="AA61" s="64" t="n"/>
      <c r="AB61" s="64" t="n"/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29.997013</v>
      </c>
      <c r="G63" s="99" t="n">
        <v>33.660482</v>
      </c>
      <c r="H63" s="99" t="n">
        <v>0.96114702</v>
      </c>
      <c r="I63" s="62" t="n">
        <v>0.97034968</v>
      </c>
      <c r="J63" s="62" t="n">
        <v>0.065846376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/>
      <c r="Y63" s="99" t="n"/>
      <c r="Z63" s="99" t="n"/>
      <c r="AA63" s="62" t="n"/>
      <c r="AB63" s="62" t="n"/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33.14766</v>
      </c>
      <c r="G64" s="192" t="n">
        <v>36.565247</v>
      </c>
      <c r="H64" s="192" t="n">
        <v>0.97660388</v>
      </c>
      <c r="I64" s="64" t="n">
        <v>0.98222423</v>
      </c>
      <c r="J64" s="64" t="n">
        <v>0.041996222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/>
      <c r="Y64" s="192" t="n"/>
      <c r="Z64" s="192" t="n"/>
      <c r="AA64" s="64" t="n"/>
      <c r="AB64" s="64" t="n"/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36.391508</v>
      </c>
      <c r="G65" s="192" t="n">
        <v>40.252209</v>
      </c>
      <c r="H65" s="192" t="n">
        <v>0.98797999</v>
      </c>
      <c r="I65" s="64" t="n">
        <v>0.99132962</v>
      </c>
      <c r="J65" s="64" t="n">
        <v>0.026921328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/>
      <c r="Y65" s="192" t="n"/>
      <c r="Z65" s="192" t="n"/>
      <c r="AA65" s="64" t="n"/>
      <c r="AB65" s="64" t="n"/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39.687701</v>
      </c>
      <c r="G66" s="192" t="n">
        <v>43.589042</v>
      </c>
      <c r="H66" s="192" t="n">
        <v>0.99332034</v>
      </c>
      <c r="I66" s="64" t="n">
        <v>0.9955522</v>
      </c>
      <c r="J66" s="64" t="n">
        <v>0.013120456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/>
      <c r="Y66" s="192" t="n"/>
      <c r="Z66" s="192" t="n"/>
      <c r="AA66" s="64" t="n"/>
      <c r="AB66" s="64" t="n"/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28.98458</v>
      </c>
      <c r="G68" s="99" t="n">
        <v>32.458784</v>
      </c>
      <c r="H68" s="99" t="n">
        <v>0.96228798</v>
      </c>
      <c r="I68" s="62" t="n">
        <v>0.96817422</v>
      </c>
      <c r="J68" s="62" t="n">
        <v>0.07136704000000001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/>
      <c r="Y68" s="99" t="n"/>
      <c r="Z68" s="99" t="n"/>
      <c r="AA68" s="62" t="n"/>
      <c r="AB68" s="62" t="n"/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31.978734</v>
      </c>
      <c r="G69" s="192" t="n">
        <v>35.560954</v>
      </c>
      <c r="H69" s="192" t="n">
        <v>0.97750648</v>
      </c>
      <c r="I69" s="64" t="n">
        <v>0.98177001</v>
      </c>
      <c r="J69" s="64" t="n">
        <v>0.04686639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/>
      <c r="Y69" s="192" t="n"/>
      <c r="Z69" s="192" t="n"/>
      <c r="AA69" s="64" t="n"/>
      <c r="AB69" s="64" t="n"/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35.082238</v>
      </c>
      <c r="G70" s="192" t="n">
        <v>39.436193</v>
      </c>
      <c r="H70" s="192" t="n">
        <v>0.98856533</v>
      </c>
      <c r="I70" s="64" t="n">
        <v>0.99181431</v>
      </c>
      <c r="J70" s="64" t="n">
        <v>0.03004592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/>
      <c r="Y70" s="192" t="n"/>
      <c r="Z70" s="192" t="n"/>
      <c r="AA70" s="64" t="n"/>
      <c r="AB70" s="64" t="n"/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37.543035</v>
      </c>
      <c r="G71" s="192" t="n">
        <v>41.983272</v>
      </c>
      <c r="H71" s="192" t="n">
        <v>0.99337465</v>
      </c>
      <c r="I71" s="64" t="n">
        <v>0.99564515</v>
      </c>
      <c r="J71" s="64" t="n">
        <v>0.017582048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/>
      <c r="Y71" s="192" t="n"/>
      <c r="Z71" s="192" t="n"/>
      <c r="AA71" s="64" t="n"/>
      <c r="AB71" s="64" t="n"/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29.526973</v>
      </c>
      <c r="G73" s="99" t="n">
        <v>33.266182</v>
      </c>
      <c r="H73" s="99" t="n">
        <v>0.9641694200000001</v>
      </c>
      <c r="I73" s="62" t="n">
        <v>0.96878753</v>
      </c>
      <c r="J73" s="62" t="n">
        <v>0.06400709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/>
      <c r="Y73" s="99" t="n"/>
      <c r="Z73" s="99" t="n"/>
      <c r="AA73" s="62" t="n"/>
      <c r="AB73" s="62" t="n"/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32.283003</v>
      </c>
      <c r="G74" s="192" t="n">
        <v>36.011024</v>
      </c>
      <c r="H74" s="192" t="n">
        <v>0.9781137600000001</v>
      </c>
      <c r="I74" s="64" t="n">
        <v>0.9816273</v>
      </c>
      <c r="J74" s="64" t="n">
        <v>0.042279504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/>
      <c r="Y74" s="192" t="n"/>
      <c r="Z74" s="192" t="n"/>
      <c r="AA74" s="64" t="n"/>
      <c r="AB74" s="64" t="n"/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35.978337</v>
      </c>
      <c r="G75" s="192" t="n">
        <v>40.064263</v>
      </c>
      <c r="H75" s="192" t="n">
        <v>0.98843514</v>
      </c>
      <c r="I75" s="64" t="n">
        <v>0.99156294</v>
      </c>
      <c r="J75" s="64" t="n">
        <v>0.025514245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/>
      <c r="Y75" s="192" t="n"/>
      <c r="Z75" s="192" t="n"/>
      <c r="AA75" s="64" t="n"/>
      <c r="AB75" s="64" t="n"/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37.902993</v>
      </c>
      <c r="G76" s="192" t="n">
        <v>42.288583</v>
      </c>
      <c r="H76" s="192" t="n">
        <v>0.99335714</v>
      </c>
      <c r="I76" s="64" t="n">
        <v>0.99562839</v>
      </c>
      <c r="J76" s="64" t="n">
        <v>0.016562795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/>
      <c r="Y76" s="192" t="n"/>
      <c r="Z76" s="192" t="n"/>
      <c r="AA76" s="64" t="n"/>
      <c r="AB76" s="64" t="n"/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29.636751</v>
      </c>
      <c r="G78" s="99" t="n">
        <v>33.338917</v>
      </c>
      <c r="H78" s="99" t="n">
        <v>0.96574823</v>
      </c>
      <c r="I78" s="62" t="n">
        <v>0.97007438</v>
      </c>
      <c r="J78" s="62" t="n">
        <v>0.066473134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/>
      <c r="Y78" s="99" t="n"/>
      <c r="Z78" s="99" t="n"/>
      <c r="AA78" s="62" t="n"/>
      <c r="AB78" s="62" t="n"/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32.240989</v>
      </c>
      <c r="G79" s="192" t="n">
        <v>36.054644</v>
      </c>
      <c r="H79" s="192" t="n">
        <v>0.97868995</v>
      </c>
      <c r="I79" s="64" t="n">
        <v>0.98222352</v>
      </c>
      <c r="J79" s="64" t="n">
        <v>0.044221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/>
      <c r="Y79" s="192" t="n"/>
      <c r="Z79" s="192" t="n"/>
      <c r="AA79" s="64" t="n"/>
      <c r="AB79" s="64" t="n"/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35.561172</v>
      </c>
      <c r="G80" s="192" t="n">
        <v>39.869093</v>
      </c>
      <c r="H80" s="192" t="n">
        <v>0.98851942</v>
      </c>
      <c r="I80" s="64" t="n">
        <v>0.99173741</v>
      </c>
      <c r="J80" s="64" t="n">
        <v>0.029034961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/>
      <c r="Y80" s="192" t="n"/>
      <c r="Z80" s="192" t="n"/>
      <c r="AA80" s="64" t="n"/>
      <c r="AB80" s="64" t="n"/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38.317522</v>
      </c>
      <c r="G81" s="192" t="n">
        <v>42.70572</v>
      </c>
      <c r="H81" s="192" t="n">
        <v>0.99340107</v>
      </c>
      <c r="I81" s="64" t="n">
        <v>0.99566868</v>
      </c>
      <c r="J81" s="64" t="n">
        <v>0.016119538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/>
      <c r="Y81" s="192" t="n"/>
      <c r="Z81" s="192" t="n"/>
      <c r="AA81" s="64" t="n"/>
      <c r="AB81" s="64" t="n"/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30.346667</v>
      </c>
      <c r="G83" s="99" t="n">
        <v>33.69881</v>
      </c>
      <c r="H83" s="99" t="n">
        <v>0.96659404</v>
      </c>
      <c r="I83" s="62" t="n">
        <v>0.97200212</v>
      </c>
      <c r="J83" s="62" t="n">
        <v>0.061710283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/>
      <c r="Y83" s="99" t="n"/>
      <c r="Z83" s="99" t="n"/>
      <c r="AA83" s="62" t="n"/>
      <c r="AB83" s="62" t="n"/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33.197961</v>
      </c>
      <c r="G84" s="192" t="n">
        <v>36.642747</v>
      </c>
      <c r="H84" s="192" t="n">
        <v>0.97917064</v>
      </c>
      <c r="I84" s="64" t="n">
        <v>0.9836246199999999</v>
      </c>
      <c r="J84" s="64" t="n">
        <v>0.04063746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/>
      <c r="Y84" s="192" t="n"/>
      <c r="Z84" s="192" t="n"/>
      <c r="AA84" s="64" t="n"/>
      <c r="AB84" s="64" t="n"/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36.323225</v>
      </c>
      <c r="G85" s="192" t="n">
        <v>40.461047</v>
      </c>
      <c r="H85" s="192" t="n">
        <v>0.98836797</v>
      </c>
      <c r="I85" s="64" t="n">
        <v>0.99187792</v>
      </c>
      <c r="J85" s="64" t="n">
        <v>0.025983978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/>
      <c r="Y85" s="192" t="n"/>
      <c r="Z85" s="192" t="n"/>
      <c r="AA85" s="64" t="n"/>
      <c r="AB85" s="64" t="n"/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38.604658</v>
      </c>
      <c r="G86" s="192" t="n">
        <v>42.987069</v>
      </c>
      <c r="H86" s="192" t="n">
        <v>0.99325756</v>
      </c>
      <c r="I86" s="64" t="n">
        <v>0.99559223</v>
      </c>
      <c r="J86" s="64" t="n">
        <v>0.015268249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/>
      <c r="Y86" s="192" t="n"/>
      <c r="Z86" s="192" t="n"/>
      <c r="AA86" s="64" t="n"/>
      <c r="AB86" s="64" t="n"/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30.330775</v>
      </c>
      <c r="G88" s="99" t="n">
        <v>33.888913</v>
      </c>
      <c r="H88" s="99" t="n">
        <v>0.96718584</v>
      </c>
      <c r="I88" s="62" t="n">
        <v>0.97233604</v>
      </c>
      <c r="J88" s="62" t="n">
        <v>0.060269896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/>
      <c r="Y88" s="99" t="n"/>
      <c r="Z88" s="99" t="n"/>
      <c r="AA88" s="62" t="n"/>
      <c r="AB88" s="62" t="n"/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33.457308</v>
      </c>
      <c r="G89" s="192" t="n">
        <v>36.880573</v>
      </c>
      <c r="H89" s="192" t="n">
        <v>0.97968539</v>
      </c>
      <c r="I89" s="64" t="n">
        <v>0.98436558</v>
      </c>
      <c r="J89" s="64" t="n">
        <v>0.039441094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/>
      <c r="Y89" s="192" t="n"/>
      <c r="Z89" s="192" t="n"/>
      <c r="AA89" s="64" t="n"/>
      <c r="AB89" s="64" t="n"/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36.753244</v>
      </c>
      <c r="G90" s="192" t="n">
        <v>40.748926</v>
      </c>
      <c r="H90" s="192" t="n">
        <v>0.98862737</v>
      </c>
      <c r="I90" s="64" t="n">
        <v>0.99193087</v>
      </c>
      <c r="J90" s="64" t="n">
        <v>0.02445323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/>
      <c r="Y90" s="192" t="n"/>
      <c r="Z90" s="192" t="n"/>
      <c r="AA90" s="64" t="n"/>
      <c r="AB90" s="64" t="n"/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39.221528</v>
      </c>
      <c r="G91" s="192" t="n">
        <v>43.491195</v>
      </c>
      <c r="H91" s="192" t="n">
        <v>0.99348431</v>
      </c>
      <c r="I91" s="64" t="n">
        <v>0.99572461</v>
      </c>
      <c r="J91" s="64" t="n">
        <v>0.013737254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/>
      <c r="Y91" s="192" t="n"/>
      <c r="Z91" s="192" t="n"/>
      <c r="AA91" s="64" t="n"/>
      <c r="AB91" s="64" t="n"/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30.403388</v>
      </c>
      <c r="G93" s="99" t="n">
        <v>34.113942</v>
      </c>
      <c r="H93" s="99" t="n">
        <v>0.96725786</v>
      </c>
      <c r="I93" s="62" t="n">
        <v>0.97287062</v>
      </c>
      <c r="J93" s="62" t="n">
        <v>0.061141808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/>
      <c r="Y93" s="99" t="n"/>
      <c r="Z93" s="99" t="n"/>
      <c r="AA93" s="62" t="n"/>
      <c r="AB93" s="62" t="n"/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33.436641</v>
      </c>
      <c r="G94" s="192" t="n">
        <v>37.069686</v>
      </c>
      <c r="H94" s="192" t="n">
        <v>0.97984364</v>
      </c>
      <c r="I94" s="64" t="n">
        <v>0.98470243</v>
      </c>
      <c r="J94" s="64" t="n">
        <v>0.040614147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/>
      <c r="Y94" s="192" t="n"/>
      <c r="Z94" s="192" t="n"/>
      <c r="AA94" s="64" t="n"/>
      <c r="AB94" s="64" t="n"/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36.790162</v>
      </c>
      <c r="G95" s="192" t="n">
        <v>40.713657</v>
      </c>
      <c r="H95" s="192" t="n">
        <v>0.98878248</v>
      </c>
      <c r="I95" s="64" t="n">
        <v>0.99217165</v>
      </c>
      <c r="J95" s="64" t="n">
        <v>0.024706522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/>
      <c r="Y95" s="192" t="n"/>
      <c r="Z95" s="192" t="n"/>
      <c r="AA95" s="64" t="n"/>
      <c r="AB95" s="64" t="n"/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39.709641</v>
      </c>
      <c r="G96" s="192" t="n">
        <v>43.892923</v>
      </c>
      <c r="H96" s="192" t="n">
        <v>0.99356987</v>
      </c>
      <c r="I96" s="64" t="n">
        <v>0.99571025</v>
      </c>
      <c r="J96" s="64" t="n">
        <v>0.013260409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/>
      <c r="Y96" s="192" t="n"/>
      <c r="Z96" s="192" t="n"/>
      <c r="AA96" s="64" t="n"/>
      <c r="AB96" s="64" t="n"/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30.862512</v>
      </c>
      <c r="G98" s="99" t="n">
        <v>34.720915</v>
      </c>
      <c r="H98" s="99" t="n">
        <v>0.96609048</v>
      </c>
      <c r="I98" s="62" t="n">
        <v>0.9731748099999999</v>
      </c>
      <c r="J98" s="62" t="n">
        <v>0.05906491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/>
      <c r="Y98" s="99" t="n"/>
      <c r="Z98" s="99" t="n"/>
      <c r="AA98" s="62" t="n"/>
      <c r="AB98" s="62" t="n"/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34.109064</v>
      </c>
      <c r="G99" s="192" t="n">
        <v>37.640196</v>
      </c>
      <c r="H99" s="192" t="n">
        <v>0.97953049</v>
      </c>
      <c r="I99" s="64" t="n">
        <v>0.98471628</v>
      </c>
      <c r="J99" s="64" t="n">
        <v>0.037864417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/>
      <c r="Y99" s="192" t="n"/>
      <c r="Z99" s="192" t="n"/>
      <c r="AA99" s="64" t="n"/>
      <c r="AB99" s="64" t="n"/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37.27894</v>
      </c>
      <c r="G100" s="192" t="n">
        <v>40.99606</v>
      </c>
      <c r="H100" s="192" t="n">
        <v>0.98883938</v>
      </c>
      <c r="I100" s="64" t="n">
        <v>0.9922719800000001</v>
      </c>
      <c r="J100" s="64" t="n">
        <v>0.023715215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/>
      <c r="Y100" s="192" t="n"/>
      <c r="Z100" s="192" t="n"/>
      <c r="AA100" s="64" t="n"/>
      <c r="AB100" s="64" t="n"/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40.434357</v>
      </c>
      <c r="G101" s="192" t="n">
        <v>44.347916</v>
      </c>
      <c r="H101" s="192" t="n">
        <v>0.99364369</v>
      </c>
      <c r="I101" s="64" t="n">
        <v>0.99585779</v>
      </c>
      <c r="J101" s="64" t="n">
        <v>0.012499241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/>
      <c r="Y101" s="192" t="n"/>
      <c r="Z101" s="192" t="n"/>
      <c r="AA101" s="64" t="n"/>
      <c r="AB101" s="64" t="n"/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30.720379</v>
      </c>
      <c r="G103" s="99" t="n">
        <v>34.296075</v>
      </c>
      <c r="H103" s="99" t="n">
        <v>0.96751726</v>
      </c>
      <c r="I103" s="62" t="n">
        <v>0.9757587</v>
      </c>
      <c r="J103" s="62" t="n">
        <v>0.07285215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/>
      <c r="Y103" s="99" t="n"/>
      <c r="Z103" s="99" t="n"/>
      <c r="AA103" s="62" t="n"/>
      <c r="AB103" s="62" t="n"/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33.470007</v>
      </c>
      <c r="G104" s="192" t="n">
        <v>36.901752</v>
      </c>
      <c r="H104" s="192" t="n">
        <v>0.9800636</v>
      </c>
      <c r="I104" s="64" t="n">
        <v>0.9859975600000001</v>
      </c>
      <c r="J104" s="64" t="n">
        <v>0.04793608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/>
      <c r="Y104" s="192" t="n"/>
      <c r="Z104" s="192" t="n"/>
      <c r="AA104" s="64" t="n"/>
      <c r="AB104" s="64" t="n"/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35.999311</v>
      </c>
      <c r="G105" s="192" t="n">
        <v>40.200256</v>
      </c>
      <c r="H105" s="192" t="n">
        <v>0.98932509</v>
      </c>
      <c r="I105" s="64" t="n">
        <v>0.99290556</v>
      </c>
      <c r="J105" s="64" t="n">
        <v>0.03177206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/>
      <c r="Y105" s="192" t="n"/>
      <c r="Z105" s="192" t="n"/>
      <c r="AA105" s="64" t="n"/>
      <c r="AB105" s="64" t="n"/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38.535501</v>
      </c>
      <c r="G106" s="192" t="n">
        <v>42.9216</v>
      </c>
      <c r="H106" s="192" t="n">
        <v>0.99352771</v>
      </c>
      <c r="I106" s="64" t="n">
        <v>0.9960445999999999</v>
      </c>
      <c r="J106" s="64" t="n">
        <v>0.019031456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/>
      <c r="Y106" s="192" t="n"/>
      <c r="Z106" s="192" t="n"/>
      <c r="AA106" s="64" t="n"/>
      <c r="AB106" s="64" t="n"/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31.097268</v>
      </c>
      <c r="G108" s="99" t="n">
        <v>34.729169</v>
      </c>
      <c r="H108" s="99" t="n">
        <v>0.9694431100000001</v>
      </c>
      <c r="I108" s="62" t="n">
        <v>0.9773636999999999</v>
      </c>
      <c r="J108" s="62" t="n">
        <v>0.06454303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33.926486</v>
      </c>
      <c r="G109" s="192" t="n">
        <v>37.319013</v>
      </c>
      <c r="H109" s="192" t="n">
        <v>0.98074672</v>
      </c>
      <c r="I109" s="64" t="n">
        <v>0.98647187</v>
      </c>
      <c r="J109" s="64" t="n">
        <v>0.043211848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37.230014</v>
      </c>
      <c r="G110" s="192" t="n">
        <v>41.028704</v>
      </c>
      <c r="H110" s="192" t="n">
        <v>0.98925011</v>
      </c>
      <c r="I110" s="64" t="n">
        <v>0.9929085</v>
      </c>
      <c r="J110" s="64" t="n">
        <v>0.026501916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39.02818</v>
      </c>
      <c r="G111" s="192" t="n">
        <v>43.349167</v>
      </c>
      <c r="H111" s="192" t="n">
        <v>0.99353923</v>
      </c>
      <c r="I111" s="64" t="n">
        <v>0.99602282</v>
      </c>
      <c r="J111" s="64" t="n">
        <v>0.018346012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31.078412</v>
      </c>
      <c r="G113" s="99" t="n">
        <v>34.701806</v>
      </c>
      <c r="H113" s="99" t="n">
        <v>0.970233</v>
      </c>
      <c r="I113" s="62" t="n">
        <v>0.97796879</v>
      </c>
      <c r="J113" s="62" t="n">
        <v>0.06678914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33.427937</v>
      </c>
      <c r="G114" s="192" t="n">
        <v>37.158971</v>
      </c>
      <c r="H114" s="192" t="n">
        <v>0.98110244</v>
      </c>
      <c r="I114" s="64" t="n">
        <v>0.98644668</v>
      </c>
      <c r="J114" s="64" t="n">
        <v>0.047697417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36.358765</v>
      </c>
      <c r="G115" s="192" t="n">
        <v>40.509982</v>
      </c>
      <c r="H115" s="192" t="n">
        <v>0.98918984</v>
      </c>
      <c r="I115" s="64" t="n">
        <v>0.99282771</v>
      </c>
      <c r="J115" s="64" t="n">
        <v>0.030637681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39.288931</v>
      </c>
      <c r="G116" s="192" t="n">
        <v>43.522325</v>
      </c>
      <c r="H116" s="192" t="n">
        <v>0.99352237</v>
      </c>
      <c r="I116" s="64" t="n">
        <v>0.9961222199999999</v>
      </c>
      <c r="J116" s="64" t="n">
        <v>0.016717693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31.888351</v>
      </c>
      <c r="G118" s="99" t="n">
        <v>35.295919</v>
      </c>
      <c r="H118" s="99" t="n">
        <v>0.97137426</v>
      </c>
      <c r="I118" s="62" t="n">
        <v>0.97964785</v>
      </c>
      <c r="J118" s="62" t="n">
        <v>0.06032476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33.973292</v>
      </c>
      <c r="G119" s="192" t="n">
        <v>37.526771</v>
      </c>
      <c r="H119" s="192" t="n">
        <v>0.9812689</v>
      </c>
      <c r="I119" s="64" t="n">
        <v>0.98713643</v>
      </c>
      <c r="J119" s="64" t="n">
        <v>0.04277359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36.898999</v>
      </c>
      <c r="G120" s="192" t="n">
        <v>40.855062</v>
      </c>
      <c r="H120" s="192" t="n">
        <v>0.98905574</v>
      </c>
      <c r="I120" s="64" t="n">
        <v>0.99305235</v>
      </c>
      <c r="J120" s="64" t="n">
        <v>0.027011137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39.838743</v>
      </c>
      <c r="G121" s="192" t="n">
        <v>43.977676</v>
      </c>
      <c r="H121" s="192" t="n">
        <v>0.99347033</v>
      </c>
      <c r="I121" s="64" t="n">
        <v>0.99613098</v>
      </c>
      <c r="J121" s="64" t="n">
        <v>0.014743185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32.029989</v>
      </c>
      <c r="G123" s="99" t="n">
        <v>35.615054</v>
      </c>
      <c r="H123" s="99" t="n">
        <v>0.97161218</v>
      </c>
      <c r="I123" s="62" t="n">
        <v>0.97933577</v>
      </c>
      <c r="J123" s="62" t="n">
        <v>0.058582664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34.309566</v>
      </c>
      <c r="G124" s="192" t="n">
        <v>37.661876</v>
      </c>
      <c r="H124" s="192" t="n">
        <v>0.98152151</v>
      </c>
      <c r="I124" s="64" t="n">
        <v>0.98719684</v>
      </c>
      <c r="J124" s="64" t="n">
        <v>0.041439183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37.433019</v>
      </c>
      <c r="G125" s="192" t="n">
        <v>41.191781</v>
      </c>
      <c r="H125" s="192" t="n">
        <v>0.98922861</v>
      </c>
      <c r="I125" s="64" t="n">
        <v>0.99310283</v>
      </c>
      <c r="J125" s="64" t="n">
        <v>0.025739506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40.440899</v>
      </c>
      <c r="G126" s="192" t="n">
        <v>44.429394</v>
      </c>
      <c r="H126" s="192" t="n">
        <v>0.99358753</v>
      </c>
      <c r="I126" s="64" t="n">
        <v>0.99614644</v>
      </c>
      <c r="J126" s="64" t="n">
        <v>0.0138293095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32.028416</v>
      </c>
      <c r="G128" s="99" t="n">
        <v>35.785455</v>
      </c>
      <c r="H128" s="99" t="n">
        <v>0.97201868</v>
      </c>
      <c r="I128" s="62" t="n">
        <v>0.97935953</v>
      </c>
      <c r="J128" s="62" t="n">
        <v>0.058290526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34.149139</v>
      </c>
      <c r="G129" s="192" t="n">
        <v>37.801473</v>
      </c>
      <c r="H129" s="192" t="n">
        <v>0.9817542</v>
      </c>
      <c r="I129" s="64" t="n">
        <v>0.98691412</v>
      </c>
      <c r="J129" s="64" t="n">
        <v>0.041434042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37.425135</v>
      </c>
      <c r="G130" s="192" t="n">
        <v>41.14386</v>
      </c>
      <c r="H130" s="192" t="n">
        <v>0.98950945</v>
      </c>
      <c r="I130" s="64" t="n">
        <v>0.99313186</v>
      </c>
      <c r="J130" s="64" t="n">
        <v>0.024756685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41.002123</v>
      </c>
      <c r="G131" s="192" t="n">
        <v>44.861866</v>
      </c>
      <c r="H131" s="192" t="n">
        <v>0.99376087</v>
      </c>
      <c r="I131" s="64" t="n">
        <v>0.99632466</v>
      </c>
      <c r="J131" s="64" t="n">
        <v>0.012812884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32.175052</v>
      </c>
      <c r="G133" s="99" t="n">
        <v>36.090334</v>
      </c>
      <c r="H133" s="99" t="n">
        <v>0.9704265399999999</v>
      </c>
      <c r="I133" s="62" t="n">
        <v>0.97857804</v>
      </c>
      <c r="J133" s="62" t="n">
        <v>0.0590899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34.498724</v>
      </c>
      <c r="G134" s="192" t="n">
        <v>38.138582</v>
      </c>
      <c r="H134" s="192" t="n">
        <v>0.9814807800000001</v>
      </c>
      <c r="I134" s="64" t="n">
        <v>0.98666823</v>
      </c>
      <c r="J134" s="64" t="n">
        <v>0.040091112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37.835389</v>
      </c>
      <c r="G135" s="192" t="n">
        <v>41.376756</v>
      </c>
      <c r="H135" s="192" t="n">
        <v>0.98975252</v>
      </c>
      <c r="I135" s="64" t="n">
        <v>0.99323277</v>
      </c>
      <c r="J135" s="64" t="n">
        <v>0.024406975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41.595049</v>
      </c>
      <c r="G136" s="192" t="n">
        <v>45.181701</v>
      </c>
      <c r="H136" s="192" t="n">
        <v>0.99381931</v>
      </c>
      <c r="I136" s="64" t="n">
        <v>0.99633837</v>
      </c>
      <c r="J136" s="64" t="n">
        <v>0.012617046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2025-05-23T03:19:49Z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