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0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bartender_track" sheetId="5" state="visible" r:id="rId5"/>
    <sheet name="breakfast_track" sheetId="6" state="visible" r:id="rId6"/>
    <sheet name="cinema_track" sheetId="7" state="visible" r:id="rId7"/>
    <sheet name="ManWithFruit" sheetId="8" state="visible" r:id="rId8"/>
    <sheet name="LEGO_Ferrari" sheetId="9" state="visible" r:id="rId9"/>
    <sheet name="LEGO_Bugatti" sheetId="10" state="visible" r:id="rId10"/>
    <sheet name="Plant" sheetId="11" state="visible" r:id="rId11"/>
    <sheet name="Tennis_Player" sheetId="12" state="visible" r:id="rId12"/>
    <sheet name="Cricket_Player" sheetId="13" state="visible" r:id="rId13"/>
    <sheet name="Tango_Duo" sheetId="14" state="visible" r:id="rId14"/>
    <sheet name="Solo_Tango_Female" sheetId="15" state="visible" r:id="rId15"/>
    <sheet name="Solo_Tango_Male" sheetId="16" state="visible" r:id="rId16"/>
    <sheet name="BlueBackpack_UVGgs_0100" sheetId="17" state="visible" r:id="rId17"/>
    <sheet name="BlueBackpack_UVGgs_0200" sheetId="18" state="visible" r:id="rId18"/>
    <sheet name="FlowerDance_UVGgs_0000" sheetId="19" state="visible" r:id="rId19"/>
    <sheet name="FlowerDance_UVGgs_0200" sheetId="20" state="visible" r:id="rId20"/>
    <sheet name="Gymnast_UVGgs_0100" sheetId="21" state="visible" r:id="rId21"/>
    <sheet name="Gymnast_UVGgs_0200" sheetId="22" state="visible" r:id="rId22"/>
    <sheet name="artwork" sheetId="23" state="visible" r:id="rId23"/>
    <sheet name="panda" sheetId="24" state="visible" r:id="rId24"/>
    <sheet name="wukong" sheetId="25" state="visible" r:id="rId25"/>
  </sheets>
  <definedNames/>
  <calcPr calcId="191028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0.0E+00"/>
    <numFmt numFmtId="170" formatCode="#,##0.0"/>
    <numFmt numFmtId="171" formatCode="_-* #,##0.00_-;\-* #,##0.00_-;_-* &quot;-&quot;??_-;_-@_-"/>
  </numFmts>
  <fonts count="29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charset val="129"/>
      <family val="3"/>
      <sz val="8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28"/>
      <family val="3"/>
      <sz val="6"/>
      <scheme val="minor"/>
    </font>
    <font>
      <name val="宋体"/>
      <charset val="128"/>
      <family val="3"/>
      <b val="1"/>
      <color theme="1"/>
      <sz val="10"/>
      <scheme val="minor"/>
    </font>
    <font>
      <name val="宋体"/>
      <charset val="129"/>
      <family val="3"/>
      <color theme="1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71" fontId="20" fillId="0" borderId="0"/>
  </cellStyleXfs>
  <cellXfs count="362">
    <xf numFmtId="0" fontId="0" fillId="0" borderId="0" pivotButton="0" quotePrefix="0" xfId="0"/>
    <xf numFmtId="0" fontId="4" fillId="3" borderId="0" pivotButton="0" quotePrefix="1" xfId="0"/>
    <xf numFmtId="0" fontId="17" fillId="0" borderId="0" pivotButton="0" quotePrefix="0" xfId="0"/>
    <xf numFmtId="0" fontId="0" fillId="0" borderId="5" applyAlignment="1" pivotButton="0" quotePrefix="0" xfId="0">
      <alignment horizontal="center"/>
    </xf>
    <xf numFmtId="0" fontId="10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4" fillId="3" borderId="0" applyAlignment="1" pivotButton="0" quotePrefix="0" xfId="0">
      <alignment horizontal="center"/>
    </xf>
    <xf numFmtId="10" fontId="6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4" fillId="3" borderId="0" pivotButton="0" quotePrefix="0" xfId="0"/>
    <xf numFmtId="1" fontId="4" fillId="3" borderId="0" pivotButton="0" quotePrefix="0" xfId="0"/>
    <xf numFmtId="0" fontId="3" fillId="3" borderId="0" pivotButton="0" quotePrefix="0" xfId="0"/>
    <xf numFmtId="0" fontId="11" fillId="3" borderId="0" pivotButton="0" quotePrefix="0" xfId="0"/>
    <xf numFmtId="0" fontId="4" fillId="3" borderId="0" pivotButton="0" quotePrefix="0" xfId="0"/>
    <xf numFmtId="164" fontId="13" fillId="3" borderId="15" applyAlignment="1" pivotButton="0" quotePrefix="0" xfId="0">
      <alignment horizontal="center" vertical="center"/>
    </xf>
    <xf numFmtId="164" fontId="13" fillId="3" borderId="0" applyAlignment="1" pivotButton="0" quotePrefix="0" xfId="0">
      <alignment horizontal="center" vertical="center"/>
    </xf>
    <xf numFmtId="164" fontId="19" fillId="3" borderId="8" applyAlignment="1" pivotButton="0" quotePrefix="0" xfId="0">
      <alignment horizontal="center" vertical="center"/>
    </xf>
    <xf numFmtId="164" fontId="19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/>
    </xf>
    <xf numFmtId="166" fontId="0" fillId="0" borderId="0" pivotButton="0" quotePrefix="0" xfId="0"/>
    <xf numFmtId="165" fontId="18" fillId="0" borderId="5" applyAlignment="1" pivotButton="0" quotePrefix="0" xfId="0">
      <alignment horizontal="center" vertical="center"/>
    </xf>
    <xf numFmtId="167" fontId="4" fillId="3" borderId="0" pivotButton="0" quotePrefix="0" xfId="0"/>
    <xf numFmtId="168" fontId="4" fillId="3" borderId="0" pivotButton="0" quotePrefix="0" xfId="0"/>
    <xf numFmtId="0" fontId="10" fillId="3" borderId="4" applyAlignment="1" pivotButton="0" quotePrefix="0" xfId="0">
      <alignment horizontal="center" vertical="center"/>
    </xf>
    <xf numFmtId="165" fontId="18" fillId="0" borderId="6" applyAlignment="1" pivotButton="0" quotePrefix="0" xfId="0">
      <alignment horizontal="center" vertical="center"/>
    </xf>
    <xf numFmtId="0" fontId="16" fillId="3" borderId="8" applyAlignment="1" pivotButton="0" quotePrefix="0" xfId="0">
      <alignment horizontal="center" vertical="center" wrapText="1"/>
    </xf>
    <xf numFmtId="2" fontId="4" fillId="3" borderId="0" applyAlignment="1" pivotButton="0" quotePrefix="0" xfId="0">
      <alignment horizontal="center"/>
    </xf>
    <xf numFmtId="165" fontId="6" fillId="3" borderId="0" applyAlignment="1" pivotButton="0" quotePrefix="0" xfId="0">
      <alignment horizontal="center"/>
    </xf>
    <xf numFmtId="0" fontId="23" fillId="3" borderId="0" pivotButton="0" quotePrefix="1" xfId="0"/>
    <xf numFmtId="0" fontId="8" fillId="3" borderId="4" applyAlignment="1" pivotButton="0" quotePrefix="0" xfId="0">
      <alignment horizontal="center" vertical="center"/>
    </xf>
    <xf numFmtId="0" fontId="4" fillId="5" borderId="7" applyAlignment="1" pivotButton="0" quotePrefix="0" xfId="0">
      <alignment horizontal="center" vertical="center"/>
    </xf>
    <xf numFmtId="1" fontId="4" fillId="5" borderId="1" applyAlignment="1" pivotButton="0" quotePrefix="0" xfId="0">
      <alignment horizontal="center" vertical="center"/>
    </xf>
    <xf numFmtId="0" fontId="4" fillId="5" borderId="11" applyAlignment="1" pivotButton="0" quotePrefix="0" xfId="0">
      <alignment horizontal="center" vertical="center"/>
    </xf>
    <xf numFmtId="1" fontId="4" fillId="5" borderId="0" applyAlignment="1" pivotButton="0" quotePrefix="0" xfId="0">
      <alignment horizontal="center" vertical="center"/>
    </xf>
    <xf numFmtId="0" fontId="4" fillId="5" borderId="12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 vertical="center"/>
    </xf>
    <xf numFmtId="2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" fontId="4" fillId="3" borderId="1" applyAlignment="1" pivotButton="0" quotePrefix="0" xfId="0">
      <alignment horizontal="center" vertical="center"/>
    </xf>
    <xf numFmtId="1" fontId="4" fillId="3" borderId="2" applyAlignment="1" pivotButton="0" quotePrefix="0" xfId="0">
      <alignment horizontal="center" vertical="center"/>
    </xf>
    <xf numFmtId="0" fontId="4" fillId="3" borderId="13" applyAlignment="1" pivotButton="0" quotePrefix="0" xfId="0">
      <alignment horizontal="center" vertical="center"/>
    </xf>
    <xf numFmtId="167" fontId="4" fillId="3" borderId="13" applyAlignment="1" pivotButton="0" quotePrefix="0" xfId="0">
      <alignment horizontal="center" vertical="center"/>
    </xf>
    <xf numFmtId="2" fontId="4" fillId="3" borderId="13" applyAlignment="1" pivotButton="0" quotePrefix="0" xfId="0">
      <alignment horizontal="center" vertical="center"/>
    </xf>
    <xf numFmtId="168" fontId="4" fillId="3" borderId="13" applyAlignment="1" pivotButton="0" quotePrefix="0" xfId="0">
      <alignment horizontal="center" vertical="center"/>
    </xf>
    <xf numFmtId="1" fontId="4" fillId="3" borderId="13" applyAlignment="1" pivotButton="0" quotePrefix="0" xfId="0">
      <alignment horizontal="center" vertical="center"/>
    </xf>
    <xf numFmtId="1" fontId="4" fillId="3" borderId="14" applyAlignment="1" pivotButton="0" quotePrefix="0" xfId="0">
      <alignment horizontal="center" vertical="center"/>
    </xf>
    <xf numFmtId="1" fontId="4" fillId="5" borderId="13" applyAlignment="1" pivotButton="0" quotePrefix="0" xfId="0">
      <alignment horizontal="center" vertical="center"/>
    </xf>
    <xf numFmtId="10" fontId="6" fillId="3" borderId="0" applyAlignment="1" pivotButton="0" quotePrefix="0" xfId="0">
      <alignment horizontal="center" vertical="center"/>
    </xf>
    <xf numFmtId="2" fontId="4" fillId="3" borderId="0" applyAlignment="1" pivotButton="0" quotePrefix="0" xfId="0">
      <alignment vertical="center"/>
    </xf>
    <xf numFmtId="168" fontId="4" fillId="3" borderId="0" applyAlignment="1" pivotButton="0" quotePrefix="0" xfId="0">
      <alignment vertical="center"/>
    </xf>
    <xf numFmtId="2" fontId="6" fillId="3" borderId="0" applyAlignment="1" pivotButton="0" quotePrefix="0" xfId="0">
      <alignment horizontal="right" vertical="center"/>
    </xf>
    <xf numFmtId="0" fontId="4" fillId="5" borderId="13" applyAlignment="1" pivotButton="0" quotePrefix="0" xfId="0">
      <alignment horizontal="center" vertical="center"/>
    </xf>
    <xf numFmtId="0" fontId="9" fillId="3" borderId="0" applyAlignment="1" pivotButton="0" quotePrefix="0" xfId="0">
      <alignment vertical="center"/>
    </xf>
    <xf numFmtId="165" fontId="6" fillId="3" borderId="7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 vertical="center"/>
    </xf>
    <xf numFmtId="165" fontId="6" fillId="5" borderId="11" applyAlignment="1" pivotButton="0" quotePrefix="0" xfId="0">
      <alignment horizontal="center" vertical="center"/>
    </xf>
    <xf numFmtId="10" fontId="6" fillId="5" borderId="10" applyAlignment="1" pivotButton="0" quotePrefix="0" xfId="0">
      <alignment horizontal="center" vertical="center"/>
    </xf>
    <xf numFmtId="10" fontId="6" fillId="5" borderId="11" applyAlignment="1" pivotButton="0" quotePrefix="0" xfId="0">
      <alignment horizontal="center" vertical="center"/>
    </xf>
    <xf numFmtId="0" fontId="4" fillId="5" borderId="11" applyAlignment="1" pivotButton="0" quotePrefix="0" xfId="0">
      <alignment vertical="center"/>
    </xf>
    <xf numFmtId="0" fontId="4" fillId="5" borderId="10" applyAlignment="1" pivotButton="0" quotePrefix="0" xfId="0">
      <alignment vertical="center"/>
    </xf>
    <xf numFmtId="0" fontId="4" fillId="5" borderId="12" applyAlignment="1" pivotButton="0" quotePrefix="0" xfId="0">
      <alignment vertical="center"/>
    </xf>
    <xf numFmtId="0" fontId="4" fillId="5" borderId="13" applyAlignment="1" pivotButton="0" quotePrefix="0" xfId="0">
      <alignment vertical="center"/>
    </xf>
    <xf numFmtId="0" fontId="4" fillId="5" borderId="14" applyAlignment="1" pivotButton="0" quotePrefix="0" xfId="0">
      <alignment vertical="center"/>
    </xf>
    <xf numFmtId="0" fontId="23" fillId="3" borderId="17" pivotButton="0" quotePrefix="0" xfId="0"/>
    <xf numFmtId="0" fontId="23" fillId="2" borderId="17" pivotButton="0" quotePrefix="0" xfId="0"/>
    <xf numFmtId="0" fontId="23" fillId="5" borderId="17" pivotButton="0" quotePrefix="0" xfId="0"/>
    <xf numFmtId="0" fontId="0" fillId="3" borderId="0" pivotButton="0" quotePrefix="1" xfId="0"/>
    <xf numFmtId="0" fontId="2" fillId="3" borderId="0" pivotButton="0" quotePrefix="1" xfId="0"/>
    <xf numFmtId="2" fontId="4" fillId="5" borderId="1" applyAlignment="1" pivotButton="0" quotePrefix="0" xfId="0">
      <alignment horizontal="center" vertical="center"/>
    </xf>
    <xf numFmtId="168" fontId="4" fillId="5" borderId="1" applyAlignment="1" pivotButton="0" quotePrefix="0" xfId="0">
      <alignment horizontal="center" vertical="center"/>
    </xf>
    <xf numFmtId="2" fontId="4" fillId="5" borderId="0" applyAlignment="1" pivotButton="0" quotePrefix="0" xfId="0">
      <alignment horizontal="center" vertical="center"/>
    </xf>
    <xf numFmtId="168" fontId="4" fillId="5" borderId="0" applyAlignment="1" pivotButton="0" quotePrefix="0" xfId="0">
      <alignment horizontal="center" vertical="center"/>
    </xf>
    <xf numFmtId="1" fontId="4" fillId="5" borderId="10" applyAlignment="1" pivotButton="0" quotePrefix="0" xfId="0">
      <alignment horizontal="center" vertical="center"/>
    </xf>
    <xf numFmtId="2" fontId="4" fillId="5" borderId="13" applyAlignment="1" pivotButton="0" quotePrefix="0" xfId="0">
      <alignment horizontal="center" vertical="center"/>
    </xf>
    <xf numFmtId="168" fontId="4" fillId="5" borderId="13" applyAlignment="1" pivotButton="0" quotePrefix="0" xfId="0">
      <alignment horizontal="center" vertical="center"/>
    </xf>
    <xf numFmtId="1" fontId="4" fillId="5" borderId="14" applyAlignment="1" pivotButton="0" quotePrefix="0" xfId="0">
      <alignment horizontal="center" vertical="center"/>
    </xf>
    <xf numFmtId="2" fontId="4" fillId="2" borderId="1" applyAlignment="1" pivotButton="0" quotePrefix="0" xfId="0">
      <alignment horizontal="center" vertical="center"/>
    </xf>
    <xf numFmtId="2" fontId="4" fillId="2" borderId="0" applyAlignment="1" pivotButton="0" quotePrefix="0" xfId="0">
      <alignment horizontal="center" vertical="center"/>
    </xf>
    <xf numFmtId="165" fontId="18" fillId="0" borderId="0" applyAlignment="1" pivotButton="0" quotePrefix="0" xfId="0">
      <alignment vertical="center"/>
    </xf>
    <xf numFmtId="2" fontId="18" fillId="0" borderId="0" pivotButton="0" quotePrefix="0" xfId="0"/>
    <xf numFmtId="165" fontId="18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vertical="center"/>
    </xf>
    <xf numFmtId="2" fontId="21" fillId="0" borderId="0" pivotButton="0" quotePrefix="0" xfId="0"/>
    <xf numFmtId="0" fontId="12" fillId="0" borderId="0" pivotButton="0" quotePrefix="0" xfId="0"/>
    <xf numFmtId="0" fontId="15" fillId="0" borderId="10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166" fontId="0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7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8" fillId="0" borderId="10" applyAlignment="1" pivotButton="0" quotePrefix="0" xfId="0">
      <alignment horizontal="center"/>
    </xf>
    <xf numFmtId="2" fontId="18" fillId="0" borderId="14" applyAlignment="1" pivotButton="0" quotePrefix="0" xfId="0">
      <alignment horizontal="center"/>
    </xf>
    <xf numFmtId="2" fontId="21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8" fillId="0" borderId="2" applyAlignment="1" pivotButton="0" quotePrefix="0" xfId="0">
      <alignment horizontal="center"/>
    </xf>
    <xf numFmtId="2" fontId="21" fillId="0" borderId="6" applyAlignment="1" pivotButton="0" quotePrefix="0" xfId="0">
      <alignment horizontal="center" vertical="center"/>
    </xf>
    <xf numFmtId="2" fontId="21" fillId="0" borderId="12" applyAlignment="1" pivotButton="0" quotePrefix="0" xfId="0">
      <alignment horizontal="center"/>
    </xf>
    <xf numFmtId="2" fontId="21" fillId="0" borderId="13" applyAlignment="1" pivotButton="0" quotePrefix="0" xfId="0">
      <alignment horizontal="center"/>
    </xf>
    <xf numFmtId="2" fontId="2" fillId="2" borderId="0" applyAlignment="1" pivotButton="0" quotePrefix="0" xfId="0">
      <alignment horizontal="center"/>
    </xf>
    <xf numFmtId="0" fontId="10" fillId="3" borderId="0" applyAlignment="1" pivotButton="0" quotePrefix="0" xfId="0">
      <alignment vertical="center"/>
    </xf>
    <xf numFmtId="2" fontId="6" fillId="3" borderId="11" applyAlignment="1" pivotButton="0" quotePrefix="0" xfId="0">
      <alignment horizontal="center" vertical="center"/>
    </xf>
    <xf numFmtId="2" fontId="6" fillId="3" borderId="10" applyAlignment="1" pivotButton="0" quotePrefix="0" xfId="0">
      <alignment horizontal="center" vertical="center"/>
    </xf>
    <xf numFmtId="0" fontId="15" fillId="0" borderId="7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2" fillId="0" borderId="5" applyAlignment="1" pivotButton="0" quotePrefix="0" xfId="0">
      <alignment horizontal="center"/>
    </xf>
    <xf numFmtId="0" fontId="4" fillId="3" borderId="0" applyAlignment="1" pivotButton="0" quotePrefix="0" xfId="0">
      <alignment horizontal="center" vertical="center"/>
    </xf>
    <xf numFmtId="167" fontId="4" fillId="3" borderId="0" applyAlignment="1" pivotButton="0" quotePrefix="0" xfId="0">
      <alignment horizontal="center" vertical="center"/>
    </xf>
    <xf numFmtId="2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" fontId="4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4" fillId="3" borderId="0" applyAlignment="1" pivotButton="0" quotePrefix="0" xfId="0">
      <alignment vertical="center"/>
    </xf>
    <xf numFmtId="2" fontId="6" fillId="3" borderId="1" applyAlignment="1" pivotButton="0" quotePrefix="0" xfId="0">
      <alignment horizontal="center" vertical="center"/>
    </xf>
    <xf numFmtId="2" fontId="4" fillId="3" borderId="2" applyAlignment="1" pivotButton="0" quotePrefix="0" xfId="0">
      <alignment horizontal="center" vertical="center"/>
    </xf>
    <xf numFmtId="2" fontId="4" fillId="3" borderId="7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/>
    </xf>
    <xf numFmtId="2" fontId="4" fillId="3" borderId="1" pivotButton="0" quotePrefix="0" xfId="0"/>
    <xf numFmtId="168" fontId="4" fillId="3" borderId="1" pivotButton="0" quotePrefix="0" xfId="0"/>
    <xf numFmtId="1" fontId="4" fillId="3" borderId="2" pivotButton="0" quotePrefix="0" xfId="0"/>
    <xf numFmtId="0" fontId="25" fillId="3" borderId="0" applyAlignment="1" pivotButton="0" quotePrefix="0" xfId="0">
      <alignment horizontal="center" vertical="center"/>
    </xf>
    <xf numFmtId="169" fontId="24" fillId="5" borderId="13" applyAlignment="1" pivotButton="0" quotePrefix="0" xfId="0">
      <alignment horizontal="center" vertical="center"/>
    </xf>
    <xf numFmtId="170" fontId="4" fillId="3" borderId="13" applyAlignment="1" pivotButton="0" quotePrefix="0" xfId="0">
      <alignment horizontal="center" vertical="center"/>
    </xf>
    <xf numFmtId="170" fontId="4" fillId="3" borderId="1" applyAlignment="1" pivotButton="0" quotePrefix="0" xfId="0">
      <alignment horizontal="center" vertical="center"/>
    </xf>
    <xf numFmtId="2" fontId="6" fillId="3" borderId="7" applyAlignment="1" pivotButton="0" quotePrefix="0" xfId="0">
      <alignment horizontal="center" vertical="center"/>
    </xf>
    <xf numFmtId="2" fontId="6" fillId="3" borderId="2" applyAlignment="1" pivotButton="0" quotePrefix="0" xfId="0">
      <alignment horizontal="center" vertical="center"/>
    </xf>
    <xf numFmtId="2" fontId="6" fillId="3" borderId="0" applyAlignment="1" pivotButton="0" quotePrefix="0" xfId="0">
      <alignment horizontal="center" vertical="center"/>
    </xf>
    <xf numFmtId="2" fontId="6" fillId="3" borderId="12" applyAlignment="1" pivotButton="0" quotePrefix="0" xfId="0">
      <alignment horizontal="center" vertical="center"/>
    </xf>
    <xf numFmtId="2" fontId="6" fillId="3" borderId="13" applyAlignment="1" pivotButton="0" quotePrefix="0" xfId="0">
      <alignment horizontal="center" vertical="center"/>
    </xf>
    <xf numFmtId="2" fontId="6" fillId="3" borderId="14" applyAlignment="1" pivotButton="0" quotePrefix="0" xfId="0">
      <alignment horizontal="center" vertical="center"/>
    </xf>
    <xf numFmtId="3" fontId="4" fillId="3" borderId="1" applyAlignment="1" pivotButton="0" quotePrefix="0" xfId="0">
      <alignment horizontal="right" vertical="center" wrapText="1"/>
    </xf>
    <xf numFmtId="3" fontId="4" fillId="3" borderId="0" applyAlignment="1" pivotButton="0" quotePrefix="0" xfId="0">
      <alignment horizontal="right" vertical="center"/>
    </xf>
    <xf numFmtId="3" fontId="4" fillId="2" borderId="1" applyAlignment="1" pivotButton="0" quotePrefix="0" xfId="5">
      <alignment horizontal="right" vertical="center"/>
    </xf>
    <xf numFmtId="3" fontId="4" fillId="3" borderId="0" applyAlignment="1" pivotButton="0" quotePrefix="0" xfId="0">
      <alignment horizontal="center" vertical="center"/>
    </xf>
    <xf numFmtId="3" fontId="4" fillId="2" borderId="10" applyAlignment="1" pivotButton="0" quotePrefix="0" xfId="0">
      <alignment horizontal="center" vertical="center"/>
    </xf>
    <xf numFmtId="3" fontId="4" fillId="3" borderId="10" applyAlignment="1" pivotButton="0" quotePrefix="0" xfId="0">
      <alignment horizontal="center" vertical="center"/>
    </xf>
    <xf numFmtId="2" fontId="4" fillId="3" borderId="1" applyAlignment="1" pivotButton="0" quotePrefix="0" xfId="0">
      <alignment horizontal="center"/>
    </xf>
    <xf numFmtId="0" fontId="4" fillId="5" borderId="8" applyAlignment="1" pivotButton="0" quotePrefix="0" xfId="0">
      <alignment horizontal="center" vertical="center"/>
    </xf>
    <xf numFmtId="167" fontId="4" fillId="5" borderId="8" applyAlignment="1" pivotButton="0" quotePrefix="0" xfId="0">
      <alignment horizontal="center" vertical="center"/>
    </xf>
    <xf numFmtId="2" fontId="4" fillId="5" borderId="8" applyAlignment="1" pivotButton="0" quotePrefix="0" xfId="0">
      <alignment horizontal="center" vertical="center"/>
    </xf>
    <xf numFmtId="1" fontId="4" fillId="5" borderId="8" applyAlignment="1" pivotButton="0" quotePrefix="0" xfId="0">
      <alignment horizontal="center" vertical="center"/>
    </xf>
    <xf numFmtId="168" fontId="4" fillId="5" borderId="8" applyAlignment="1" pivotButton="0" quotePrefix="0" xfId="0">
      <alignment horizontal="center" vertical="center"/>
    </xf>
    <xf numFmtId="0" fontId="4" fillId="3" borderId="7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8" fillId="4" borderId="7" applyAlignment="1" pivotButton="0" quotePrefix="0" xfId="0">
      <alignment vertical="center"/>
    </xf>
    <xf numFmtId="2" fontId="4" fillId="5" borderId="2" applyAlignment="1" pivotButton="0" quotePrefix="0" xfId="0">
      <alignment horizontal="center" vertical="center"/>
    </xf>
    <xf numFmtId="3" fontId="4" fillId="2" borderId="0" applyAlignment="1" pivotButton="0" quotePrefix="0" xfId="5">
      <alignment horizontal="right" vertical="center"/>
    </xf>
    <xf numFmtId="2" fontId="4" fillId="5" borderId="10" applyAlignment="1" pivotButton="0" quotePrefix="0" xfId="0">
      <alignment horizontal="center" vertical="center"/>
    </xf>
    <xf numFmtId="2" fontId="4" fillId="5" borderId="14" applyAlignment="1" pivotButton="0" quotePrefix="0" xfId="0">
      <alignment horizontal="center" vertical="center"/>
    </xf>
    <xf numFmtId="0" fontId="5" fillId="3" borderId="12" applyAlignment="1" pivotButton="0" quotePrefix="0" xfId="0">
      <alignment horizontal="center" vertical="center"/>
    </xf>
    <xf numFmtId="0" fontId="24" fillId="3" borderId="4" applyAlignment="1" pivotButton="0" quotePrefix="0" xfId="0">
      <alignment horizontal="center" vertical="center"/>
    </xf>
    <xf numFmtId="0" fontId="4" fillId="5" borderId="0" applyAlignment="1" pivotButton="0" quotePrefix="0" xfId="0">
      <alignment vertical="center"/>
    </xf>
    <xf numFmtId="3" fontId="4" fillId="3" borderId="1" applyAlignment="1" pivotButton="0" quotePrefix="0" xfId="0">
      <alignment horizontal="center" vertical="center"/>
    </xf>
    <xf numFmtId="0" fontId="9" fillId="3" borderId="2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0" fontId="4" fillId="3" borderId="7" pivotButton="0" quotePrefix="0" xfId="0"/>
    <xf numFmtId="3" fontId="4" fillId="3" borderId="0" applyAlignment="1" pivotButton="0" quotePrefix="0" xfId="0">
      <alignment horizontal="right" vertical="center" wrapText="1"/>
    </xf>
    <xf numFmtId="2" fontId="4" fillId="3" borderId="0" applyAlignment="1" pivotButton="0" quotePrefix="0" xfId="5">
      <alignment horizontal="center" vertical="center"/>
    </xf>
    <xf numFmtId="0" fontId="4" fillId="3" borderId="11" applyAlignment="1" pivotButton="0" quotePrefix="0" xfId="0">
      <alignment vertical="center"/>
    </xf>
    <xf numFmtId="165" fontId="6" fillId="5" borderId="0" applyAlignment="1" pivotButton="0" quotePrefix="0" xfId="0">
      <alignment horizontal="center" vertical="center"/>
    </xf>
    <xf numFmtId="10" fontId="6" fillId="5" borderId="0" applyAlignment="1" pivotButton="0" quotePrefix="0" xfId="0">
      <alignment horizontal="center" vertical="center"/>
    </xf>
    <xf numFmtId="0" fontId="4" fillId="3" borderId="12" applyAlignment="1" pivotButton="0" quotePrefix="0" xfId="0">
      <alignment vertical="center"/>
    </xf>
    <xf numFmtId="0" fontId="8" fillId="4" borderId="4" applyAlignment="1" pivotButton="0" quotePrefix="0" xfId="0">
      <alignment vertical="center"/>
    </xf>
    <xf numFmtId="0" fontId="4" fillId="3" borderId="1" pivotButton="0" quotePrefix="0" xfId="0"/>
    <xf numFmtId="0" fontId="4" fillId="3" borderId="2" pivotButton="0" quotePrefix="0" xfId="0"/>
    <xf numFmtId="2" fontId="4" fillId="3" borderId="1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3" fontId="4" fillId="2" borderId="1" applyAlignment="1" pivotButton="0" quotePrefix="0" xfId="0">
      <alignment horizontal="right" vertical="center"/>
    </xf>
    <xf numFmtId="3" fontId="4" fillId="2" borderId="0" applyAlignment="1" pivotButton="0" quotePrefix="0" xfId="0">
      <alignment horizontal="right" vertical="center"/>
    </xf>
    <xf numFmtId="3" fontId="4" fillId="5" borderId="0" applyAlignment="1" pivotButton="0" quotePrefix="0" xfId="0">
      <alignment horizontal="center" vertical="center"/>
    </xf>
    <xf numFmtId="3" fontId="4" fillId="5" borderId="13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/>
    </xf>
    <xf numFmtId="0" fontId="2" fillId="3" borderId="0" pivotButton="0" quotePrefix="0" xfId="0"/>
    <xf numFmtId="0" fontId="2" fillId="0" borderId="0" pivotButton="0" quotePrefix="1" xfId="0"/>
    <xf numFmtId="0" fontId="2" fillId="0" borderId="0" applyAlignment="1" pivotButton="0" quotePrefix="1" xfId="0">
      <alignment horizontal="center"/>
    </xf>
    <xf numFmtId="0" fontId="2" fillId="0" borderId="11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10" applyAlignment="1" pivotButton="0" quotePrefix="0" xfId="0">
      <alignment horizontal="center"/>
    </xf>
    <xf numFmtId="0" fontId="2" fillId="0" borderId="0" pivotButton="0" quotePrefix="0" xfId="0"/>
    <xf numFmtId="0" fontId="4" fillId="5" borderId="0" applyAlignment="1" pivotButton="0" quotePrefix="0" xfId="0">
      <alignment horizontal="center" vertical="center"/>
    </xf>
    <xf numFmtId="2" fontId="4" fillId="2" borderId="0" applyAlignment="1" pivotButton="0" quotePrefix="0" xfId="5">
      <alignment horizontal="center" vertical="center"/>
    </xf>
    <xf numFmtId="169" fontId="24" fillId="5" borderId="0" applyAlignment="1" pivotButton="0" quotePrefix="0" xfId="0">
      <alignment horizontal="center" vertical="center"/>
    </xf>
    <xf numFmtId="0" fontId="4" fillId="2" borderId="1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9" fontId="20" fillId="3" borderId="18" applyAlignment="1" pivotButton="0" quotePrefix="0" xfId="8">
      <alignment horizontal="center"/>
    </xf>
    <xf numFmtId="9" fontId="20" fillId="3" borderId="19" applyAlignment="1" pivotButton="0" quotePrefix="0" xfId="8">
      <alignment horizontal="center"/>
    </xf>
    <xf numFmtId="9" fontId="20" fillId="3" borderId="20" applyAlignment="1" pivotButton="0" quotePrefix="0" xfId="8">
      <alignment horizontal="center"/>
    </xf>
    <xf numFmtId="9" fontId="20" fillId="3" borderId="21" applyAlignment="1" pivotButton="0" quotePrefix="0" xfId="8">
      <alignment horizontal="center"/>
    </xf>
    <xf numFmtId="9" fontId="20" fillId="3" borderId="22" applyAlignment="1" pivotButton="0" quotePrefix="0" xfId="8">
      <alignment horizontal="center"/>
    </xf>
    <xf numFmtId="9" fontId="12" fillId="3" borderId="23" applyAlignment="1" pivotButton="0" quotePrefix="0" xfId="8">
      <alignment horizontal="center"/>
    </xf>
    <xf numFmtId="9" fontId="12" fillId="3" borderId="24" applyAlignment="1" pivotButton="0" quotePrefix="0" xfId="8">
      <alignment horizontal="center"/>
    </xf>
    <xf numFmtId="0" fontId="16" fillId="3" borderId="25" applyAlignment="1" pivotButton="0" quotePrefix="0" xfId="0">
      <alignment horizontal="center" vertical="center" wrapText="1"/>
    </xf>
    <xf numFmtId="164" fontId="19" fillId="3" borderId="25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horizontal="center"/>
    </xf>
    <xf numFmtId="2" fontId="18" fillId="0" borderId="0" applyAlignment="1" pivotButton="0" quotePrefix="0" xfId="0">
      <alignment horizontal="center"/>
    </xf>
    <xf numFmtId="0" fontId="27" fillId="3" borderId="0" applyAlignment="1" pivotButton="0" quotePrefix="0" xfId="0">
      <alignment horizontal="center" vertical="center"/>
    </xf>
    <xf numFmtId="1" fontId="4" fillId="3" borderId="1" applyAlignment="1" pivotButton="0" quotePrefix="0" xfId="0">
      <alignment horizontal="center"/>
    </xf>
    <xf numFmtId="0" fontId="15" fillId="0" borderId="5" applyAlignment="1" pivotButton="0" quotePrefix="0" xfId="0">
      <alignment horizontal="center"/>
    </xf>
    <xf numFmtId="0" fontId="1" fillId="3" borderId="0" pivotButton="0" quotePrefix="1" xfId="0"/>
    <xf numFmtId="2" fontId="4" fillId="2" borderId="13" applyAlignment="1" pivotButton="0" quotePrefix="0" xfId="0">
      <alignment horizontal="center" vertical="center"/>
    </xf>
    <xf numFmtId="3" fontId="4" fillId="2" borderId="13" applyAlignment="1" pivotButton="0" quotePrefix="0" xfId="5">
      <alignment horizontal="right" vertical="center"/>
    </xf>
    <xf numFmtId="3" fontId="4" fillId="3" borderId="13" applyAlignment="1" pivotButton="0" quotePrefix="0" xfId="0">
      <alignment horizontal="right" vertical="center"/>
    </xf>
    <xf numFmtId="0" fontId="16" fillId="3" borderId="19" applyAlignment="1" pivotButton="0" quotePrefix="0" xfId="0">
      <alignment horizontal="center" vertical="center" wrapText="1"/>
    </xf>
    <xf numFmtId="0" fontId="2" fillId="2" borderId="7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12" fillId="0" borderId="11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/>
    </xf>
    <xf numFmtId="0" fontId="1" fillId="6" borderId="16" applyAlignment="1" pivotButton="0" quotePrefix="0" xfId="0">
      <alignment horizontal="left" vertical="center"/>
    </xf>
    <xf numFmtId="0" fontId="1" fillId="7" borderId="16" applyAlignment="1" pivotButton="0" quotePrefix="0" xfId="0">
      <alignment horizontal="left" vertical="center"/>
    </xf>
    <xf numFmtId="0" fontId="10" fillId="6" borderId="0" pivotButton="0" quotePrefix="0" xfId="0"/>
    <xf numFmtId="0" fontId="10" fillId="7" borderId="0" pivotButton="0" quotePrefix="0" xfId="0"/>
    <xf numFmtId="0" fontId="10" fillId="0" borderId="0" pivotButton="0" quotePrefix="0" xfId="0"/>
    <xf numFmtId="0" fontId="5" fillId="3" borderId="7" applyAlignment="1" pivotButton="0" quotePrefix="0" xfId="0">
      <alignment horizontal="center" vertical="center"/>
    </xf>
    <xf numFmtId="0" fontId="4" fillId="5" borderId="16" applyAlignment="1" pivotButton="0" quotePrefix="0" xfId="0">
      <alignment horizontal="center" vertical="center"/>
    </xf>
    <xf numFmtId="0" fontId="4" fillId="5" borderId="15" applyAlignment="1" pivotButton="0" quotePrefix="0" xfId="0">
      <alignment horizontal="center" vertical="center"/>
    </xf>
    <xf numFmtId="2" fontId="4" fillId="5" borderId="15" applyAlignment="1" pivotButton="0" quotePrefix="0" xfId="0">
      <alignment horizontal="center" vertical="center"/>
    </xf>
    <xf numFmtId="2" fontId="4" fillId="2" borderId="15" applyAlignment="1" pivotButton="0" quotePrefix="0" xfId="5">
      <alignment horizontal="center" vertical="center"/>
    </xf>
    <xf numFmtId="2" fontId="4" fillId="2" borderId="15" applyAlignment="1" pivotButton="0" quotePrefix="0" xfId="0">
      <alignment horizontal="center" vertical="center"/>
    </xf>
    <xf numFmtId="169" fontId="24" fillId="5" borderId="15" applyAlignment="1" pivotButton="0" quotePrefix="0" xfId="0">
      <alignment horizontal="center" vertical="center"/>
    </xf>
    <xf numFmtId="1" fontId="4" fillId="5" borderId="15" applyAlignment="1" pivotButton="0" quotePrefix="0" xfId="0">
      <alignment horizontal="center" vertical="center"/>
    </xf>
    <xf numFmtId="3" fontId="4" fillId="2" borderId="27" applyAlignment="1" pivotButton="0" quotePrefix="0" xfId="0">
      <alignment horizontal="center" vertical="center"/>
    </xf>
    <xf numFmtId="2" fontId="4" fillId="2" borderId="13" applyAlignment="1" pivotButton="0" quotePrefix="0" xfId="5">
      <alignment horizontal="center" vertical="center"/>
    </xf>
    <xf numFmtId="9" fontId="20" fillId="3" borderId="28" applyAlignment="1" pivotButton="0" quotePrefix="0" xfId="8">
      <alignment horizontal="center"/>
    </xf>
    <xf numFmtId="3" fontId="4" fillId="2" borderId="14" applyAlignment="1" pivotButton="0" quotePrefix="0" xfId="0">
      <alignment horizontal="center" vertical="center"/>
    </xf>
    <xf numFmtId="0" fontId="1" fillId="3" borderId="0" pivotButton="0" quotePrefix="0" xfId="0"/>
    <xf numFmtId="14" fontId="1" fillId="3" borderId="0" applyAlignment="1" pivotButton="0" quotePrefix="1" xfId="0">
      <alignment horizontal="left"/>
    </xf>
    <xf numFmtId="0" fontId="1" fillId="3" borderId="0" applyAlignment="1" pivotButton="0" quotePrefix="0" xfId="0">
      <alignment horizontal="left" vertical="center"/>
    </xf>
    <xf numFmtId="0" fontId="1" fillId="3" borderId="0" applyAlignment="1" pivotButton="0" quotePrefix="0" xfId="0">
      <alignment horizontal="center" vertical="center"/>
    </xf>
    <xf numFmtId="14" fontId="10" fillId="2" borderId="0" applyAlignment="1" pivotButton="0" quotePrefix="1" xfId="0">
      <alignment horizontal="left"/>
    </xf>
    <xf numFmtId="0" fontId="12" fillId="3" borderId="13" applyAlignment="1" pivotButton="0" quotePrefix="0" xfId="0">
      <alignment horizontal="center"/>
    </xf>
    <xf numFmtId="0" fontId="12" fillId="3" borderId="0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2" fillId="2" borderId="7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12" fillId="0" borderId="11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12" fillId="0" borderId="10" applyAlignment="1" pivotButton="0" quotePrefix="0" xfId="0">
      <alignment horizontal="center"/>
    </xf>
    <xf numFmtId="0" fontId="12" fillId="0" borderId="11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12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0" pivotButton="0" quotePrefix="0" xfId="0"/>
    <xf numFmtId="14" fontId="12" fillId="2" borderId="0" applyAlignment="1" pivotButton="0" quotePrefix="0" xfId="0">
      <alignment horizontal="center" vertical="center"/>
    </xf>
    <xf numFmtId="0" fontId="12" fillId="2" borderId="0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4" fillId="3" borderId="5" applyAlignment="1" pivotButton="0" quotePrefix="0" xfId="0">
      <alignment horizontal="center" vertical="center"/>
    </xf>
    <xf numFmtId="0" fontId="4" fillId="3" borderId="6" applyAlignment="1" pivotButton="0" quotePrefix="0" xfId="0">
      <alignment horizontal="center" vertical="center"/>
    </xf>
    <xf numFmtId="0" fontId="7" fillId="3" borderId="9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9" fillId="3" borderId="7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4" fillId="3" borderId="26" applyAlignment="1" pivotButton="0" quotePrefix="0" xfId="0">
      <alignment horizontal="center" vertical="center" wrapText="1"/>
    </xf>
    <xf numFmtId="0" fontId="0" fillId="3" borderId="5" applyAlignment="1" pivotButton="0" quotePrefix="0" xfId="0">
      <alignment horizontal="center" vertical="center" wrapText="1"/>
    </xf>
    <xf numFmtId="0" fontId="0" fillId="3" borderId="6" applyAlignment="1" pivotButton="0" quotePrefix="0" xfId="0">
      <alignment horizontal="center" vertical="center" wrapText="1"/>
    </xf>
    <xf numFmtId="0" fontId="7" fillId="3" borderId="0" applyAlignment="1" pivotButton="0" quotePrefix="0" xfId="0">
      <alignment horizontal="center"/>
    </xf>
    <xf numFmtId="0" fontId="0" fillId="3" borderId="0" pivotButton="0" quotePrefix="0" xfId="0"/>
    <xf numFmtId="0" fontId="4" fillId="3" borderId="3" applyAlignment="1" pivotButton="0" quotePrefix="1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4" fillId="3" borderId="7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9" fillId="3" borderId="0" applyAlignment="1" pivotButton="0" quotePrefix="0" xfId="0">
      <alignment horizontal="center"/>
    </xf>
    <xf numFmtId="0" fontId="0" fillId="0" borderId="8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1" fontId="4" fillId="3" borderId="1" applyAlignment="1" pivotButton="0" quotePrefix="0" xfId="0">
      <alignment horizontal="center" vertical="center" wrapText="1"/>
    </xf>
    <xf numFmtId="1" fontId="4" fillId="3" borderId="13" applyAlignment="1" pivotButton="0" quotePrefix="0" xfId="0">
      <alignment horizontal="center" vertical="center"/>
    </xf>
    <xf numFmtId="0" fontId="7" fillId="3" borderId="2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9" fillId="3" borderId="4" applyAlignment="1" pivotButton="0" quotePrefix="0" xfId="0">
      <alignment horizontal="center" vertical="center"/>
    </xf>
    <xf numFmtId="0" fontId="9" fillId="3" borderId="8" applyAlignment="1" pivotButton="0" quotePrefix="0" xfId="0">
      <alignment horizontal="center" vertical="center"/>
    </xf>
    <xf numFmtId="0" fontId="9" fillId="3" borderId="9" applyAlignment="1" pivotButton="0" quotePrefix="0" xfId="0">
      <alignment horizontal="center" vertical="center"/>
    </xf>
    <xf numFmtId="1" fontId="4" fillId="3" borderId="2" applyAlignment="1" pivotButton="0" quotePrefix="0" xfId="0">
      <alignment horizontal="center" vertical="center" wrapText="1"/>
    </xf>
    <xf numFmtId="1" fontId="4" fillId="3" borderId="14" applyAlignment="1" pivotButton="0" quotePrefix="0" xfId="0">
      <alignment horizontal="center" vertical="center" wrapText="1"/>
    </xf>
    <xf numFmtId="0" fontId="0" fillId="0" borderId="13" pivotButton="0" quotePrefix="0" xfId="0"/>
    <xf numFmtId="164" fontId="13" fillId="3" borderId="15" applyAlignment="1" pivotButton="0" quotePrefix="0" xfId="0">
      <alignment horizontal="center" vertical="center"/>
    </xf>
    <xf numFmtId="164" fontId="13" fillId="3" borderId="0" applyAlignment="1" pivotButton="0" quotePrefix="0" xfId="0">
      <alignment horizontal="center" vertical="center"/>
    </xf>
    <xf numFmtId="164" fontId="19" fillId="3" borderId="8" applyAlignment="1" pivotButton="0" quotePrefix="0" xfId="0">
      <alignment horizontal="center" vertical="center"/>
    </xf>
    <xf numFmtId="164" fontId="19" fillId="3" borderId="25" applyAlignment="1" pivotButton="0" quotePrefix="0" xfId="0">
      <alignment horizontal="center" vertical="center"/>
    </xf>
    <xf numFmtId="164" fontId="19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/>
    </xf>
    <xf numFmtId="0" fontId="2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166" fontId="0" fillId="0" borderId="0" pivotButton="0" quotePrefix="0" xfId="0"/>
    <xf numFmtId="0" fontId="0" fillId="0" borderId="10" pivotButton="0" quotePrefix="0" xfId="0"/>
    <xf numFmtId="166" fontId="0" fillId="0" borderId="10" applyAlignment="1" pivotButton="0" quotePrefix="0" xfId="0">
      <alignment horizontal="center" vertical="center"/>
    </xf>
    <xf numFmtId="165" fontId="18" fillId="0" borderId="5" applyAlignment="1" pivotButton="0" quotePrefix="0" xfId="0">
      <alignment horizontal="center" vertical="center"/>
    </xf>
    <xf numFmtId="165" fontId="18" fillId="0" borderId="0" applyAlignment="1" pivotButton="0" quotePrefix="0" xfId="0">
      <alignment vertical="center"/>
    </xf>
    <xf numFmtId="165" fontId="18" fillId="0" borderId="0" applyAlignment="1" pivotButton="0" quotePrefix="0" xfId="0">
      <alignment horizontal="center" vertical="center"/>
    </xf>
    <xf numFmtId="165" fontId="18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7" fontId="4" fillId="3" borderId="0" pivotButton="0" quotePrefix="0" xfId="0"/>
    <xf numFmtId="168" fontId="4" fillId="3" borderId="0" pivotButton="0" quotePrefix="0" xfId="0"/>
    <xf numFmtId="0" fontId="0" fillId="0" borderId="8" pivotButton="0" quotePrefix="0" xfId="0"/>
    <xf numFmtId="0" fontId="0" fillId="0" borderId="9" pivotButton="0" quotePrefix="0" xfId="0"/>
    <xf numFmtId="0" fontId="9" fillId="3" borderId="29" applyAlignment="1" pivotButton="0" quotePrefix="0" xfId="0">
      <alignment horizontal="center" vertical="center"/>
    </xf>
    <xf numFmtId="168" fontId="4" fillId="3" borderId="0" applyAlignment="1" pivotButton="0" quotePrefix="0" xfId="0">
      <alignment vertical="center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" fontId="4" fillId="3" borderId="8" applyAlignment="1" pivotButton="0" quotePrefix="0" xfId="0">
      <alignment horizontal="center" vertical="center" wrapText="1"/>
    </xf>
    <xf numFmtId="1" fontId="4" fillId="3" borderId="9" applyAlignment="1" pivotButton="0" quotePrefix="0" xfId="0">
      <alignment horizontal="center" vertical="center" wrapText="1"/>
    </xf>
    <xf numFmtId="167" fontId="4" fillId="3" borderId="13" applyAlignment="1" pivotButton="0" quotePrefix="0" xfId="0">
      <alignment horizontal="center" vertical="center"/>
    </xf>
    <xf numFmtId="168" fontId="4" fillId="3" borderId="13" applyAlignment="1" pivotButton="0" quotePrefix="0" xfId="0">
      <alignment horizontal="center" vertical="center"/>
    </xf>
    <xf numFmtId="0" fontId="0" fillId="0" borderId="14" pivotButton="0" quotePrefix="0" xfId="0"/>
    <xf numFmtId="168" fontId="4" fillId="5" borderId="0" applyAlignment="1" pivotButton="0" quotePrefix="0" xfId="0">
      <alignment horizontal="center" vertical="center"/>
    </xf>
    <xf numFmtId="165" fontId="6" fillId="3" borderId="7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/>
    </xf>
    <xf numFmtId="0" fontId="0" fillId="0" borderId="5" pivotButton="0" quotePrefix="0" xfId="0"/>
    <xf numFmtId="165" fontId="6" fillId="5" borderId="11" applyAlignment="1" pivotButton="0" quotePrefix="0" xfId="0">
      <alignment horizontal="center" vertical="center"/>
    </xf>
    <xf numFmtId="165" fontId="6" fillId="5" borderId="0" applyAlignment="1" pivotButton="0" quotePrefix="0" xfId="0">
      <alignment horizontal="center" vertical="center"/>
    </xf>
    <xf numFmtId="0" fontId="0" fillId="0" borderId="6" pivotButton="0" quotePrefix="0" xfId="0"/>
    <xf numFmtId="167" fontId="4" fillId="5" borderId="8" applyAlignment="1" pivotButton="0" quotePrefix="0" xfId="0">
      <alignment horizontal="center" vertical="center"/>
    </xf>
    <xf numFmtId="168" fontId="4" fillId="5" borderId="8" applyAlignment="1" pivotButton="0" quotePrefix="0" xfId="0">
      <alignment horizontal="center"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/>
    </xf>
    <xf numFmtId="168" fontId="4" fillId="3" borderId="1" pivotButton="0" quotePrefix="0" xfId="0"/>
    <xf numFmtId="168" fontId="4" fillId="5" borderId="1" applyAlignment="1" pivotButton="0" quotePrefix="0" xfId="0">
      <alignment horizontal="center" vertical="center"/>
    </xf>
    <xf numFmtId="170" fontId="4" fillId="3" borderId="1" applyAlignment="1" pivotButton="0" quotePrefix="0" xfId="0">
      <alignment horizontal="center" vertical="center"/>
    </xf>
    <xf numFmtId="0" fontId="0" fillId="0" borderId="11" pivotButton="0" quotePrefix="0" xfId="0"/>
    <xf numFmtId="170" fontId="4" fillId="3" borderId="13" applyAlignment="1" pivotButton="0" quotePrefix="0" xfId="0">
      <alignment horizontal="center" vertical="center"/>
    </xf>
    <xf numFmtId="168" fontId="4" fillId="5" borderId="13" applyAlignment="1" pivotButton="0" quotePrefix="0" xfId="0">
      <alignment horizontal="center" vertical="center"/>
    </xf>
    <xf numFmtId="0" fontId="4" fillId="3" borderId="30" applyAlignment="1" pivotButton="0" quotePrefix="0" xfId="0">
      <alignment horizontal="center" vertical="center" wrapText="1"/>
    </xf>
    <xf numFmtId="169" fontId="24" fillId="5" borderId="15" applyAlignment="1" pivotButton="0" quotePrefix="0" xfId="0">
      <alignment horizontal="center" vertical="center"/>
    </xf>
    <xf numFmtId="169" fontId="24" fillId="5" borderId="0" applyAlignment="1" pivotButton="0" quotePrefix="0" xfId="0">
      <alignment horizontal="center" vertical="center"/>
    </xf>
    <xf numFmtId="169" fontId="24" fillId="5" borderId="13" applyAlignment="1" pivotButton="0" quotePrefix="0" xfId="0">
      <alignment horizontal="center" vertical="center"/>
    </xf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styles" Target="styles.xml" Id="rId26" /><Relationship Type="http://schemas.openxmlformats.org/officeDocument/2006/relationships/theme" Target="theme/theme1.xml" Id="rId27" /><Relationship Type="http://schemas.microsoft.com/office/2006/relationships/vbaProject" Target="vbaProject.bin" Id="rId28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G-PCC v1 Anchor breakfast_track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G-PCC v1 Anchor ManWithFruit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G-PCC v1 Proposal ManWithFruit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G-PCC v1 Anchor LEGO_Ferrari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G-PCC v1 Proposal LEGO_Ferrari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G-PCC v1 Anchor LEGO_Bugatti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G-PCC v1 Proposal LEGO_Bugatti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G-PCC v1 Anchor Plant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G-PCC v1 Proposal Plant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G-PCC v1 Anchor bartender_track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'RGB-PSNR'!$L$83</f>
              <strCache>
                <ptCount val="1"/>
                <pt idx="0">
                  <v>G-PCC v1 Anchor Tennis_Player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'RGB-PSNR'!$D$84:$D$88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'RGB-PSNR'!$L$84:$L$88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'RGB-PSNR'!$M$83</f>
              <strCache>
                <ptCount val="1"/>
                <pt idx="0">
                  <v>G-PCC v1 Proposal Tennis_Player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'RGB-PSNR'!$L$94</f>
              <strCache>
                <ptCount val="1"/>
                <pt idx="0">
                  <v>G-PCC v1 Anchor Cricket_Player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'RGB-PSNR'!$D$95:$D$99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'RGB-PSNR'!$L$95:$L$99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'RGB-PSNR'!$L$105</f>
              <strCache>
                <ptCount val="1"/>
                <pt idx="0">
                  <v>G-PCC v1 Anchor Tango_Duo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'RGB-PSNR'!$D$106:$D$110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'RGB-PSNR'!$L$106:$L$110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'RGB-PSNR'!$M$105</f>
              <strCache>
                <ptCount val="1"/>
                <pt idx="0">
                  <v>G-PCC v1 Proposal Tango_Duo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'RGB-PSNR'!$D$117:$D$121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'RGB-PSNR'!$L$117:$L$121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'RGB-PSNR'!$H$117:$H$121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'RGB-PSNR'!$M$117:$M$121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'RGB-PSNR'!$D$128:$D$132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'RGB-PSNR'!$L$128:$L$132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'RGB-PSNR'!$H$128:$H$132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'RGB-PSNR'!$M$128:$M$132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'RGB-PSNR'!$D$139:$D$143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'RGB-PSNR'!$L$139:$L$143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'RGB-PSNR'!$H$139:$H$143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'RGB-PSNR'!$M$139:$M$143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'RGB-PSNR'!$D$150:$D$154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'RGB-PSNR'!$L$150:$L$154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'RGB-PSNR'!$H$150:$H$154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'RGB-PSNR'!$M$150:$M$154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'RGB-PSNR'!$D$161:$D$165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'RGB-PSNR'!$L$161:$L$165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'RGB-PSNR'!$H$161:$H$165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'RGB-PSNR'!$M$161:$M$165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'RGB-PSNR'!$D$172:$D$176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'RGB-PSNR'!$L$172:$L$176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'RGB-PSNR'!$H$172:$H$176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'RGB-PSNR'!$M$172:$M$176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'RGB-PSNR'!$D$183:$D$187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'RGB-PSNR'!$L$183:$L$187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'RGB-PSNR'!$H$183:$H$187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'RGB-PSNR'!$M$183:$M$187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'RGB-PSNR'!$D$194:$D$198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'RGB-PSNR'!$L$194:$L$198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'RGB-PSNR'!$H$194:$H$198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'RGB-PSNR'!$M$194:$M$198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'RGB-PSNR'!$L$204</f>
              <strCache>
                <ptCount val="1"/>
                <pt idx="0">
                  <v>G-PCC v1 Anchor artwork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'RGB-PSNR'!$D$205:$D$209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'RGB-PSNR'!$L$205:$L$209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'RGB-PSNR'!$M$204</f>
              <strCache>
                <ptCount val="1"/>
                <pt idx="0">
                  <v>G-PCC v1 Proposal artwork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'RGB-PSNR'!$H$205:$H$209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'RGB-PSNR'!$M$205:$M$209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'RGB-PSNR'!$L$215</f>
              <strCache>
                <ptCount val="1"/>
                <pt idx="0">
                  <v>G-PCC v1 Anchor panda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'RGB-PSNR'!$D$216:$D$220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'RGB-PSNR'!$L$216:$L$220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'RGB-PSNR'!$M$215</f>
              <strCache>
                <ptCount val="1"/>
                <pt idx="0">
                  <v>G-PCC v1 Proposal panda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'RGB-PSNR'!$H$216:$H$220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'RGB-PSNR'!$M$216:$M$220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'RGB-PSNR'!$L$226</f>
              <strCache>
                <ptCount val="1"/>
                <pt idx="0">
                  <v>G-PCC v1 Anchor wukong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'RGB-PSNR'!$D$227:$D$231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'RGB-PSNR'!$L$227:$L$231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'RGB-PSNR'!$M$226</f>
              <strCache>
                <ptCount val="1"/>
                <pt idx="0">
                  <v>G-PCC v1 Proposal wukong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'RGB-PSNR'!$H$227:$H$231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'RGB-PSNR'!$M$227:$M$231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G-PCC v1 Anchor cinema_track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G-PCC v1 Proposal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G-PCC v1 Anchor breakfast_track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G-PCC v1 Anchor ManWithFruit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G-PCC v1 Proposal ManWithFruit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G-PCC v1 Anchor LEGO_Bugatti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G-PCC v1 Proposal LEGO_Bugatti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G-PCC v1 Anchor Cricket_Player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G-PCC v1 Anchor bartender_track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'YUV-PSNR'!$L$105</f>
              <strCache>
                <ptCount val="1"/>
                <pt idx="0">
                  <v>G-PCC v1 Anchor Tango_Duo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'YUV-PSNR'!$D$106:$D$110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'YUV-PSNR'!$L$106:$L$110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'YUV-PSNR'!$M$105</f>
              <strCache>
                <ptCount val="1"/>
                <pt idx="0">
                  <v>G-PCC v1 Proposal Tango_Duo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'YUV-PSNR'!$D$117:$D$121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'YUV-PSNR'!$L$117:$L$121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'YUV-PSNR'!$H$117:$H$121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'YUV-PSNR'!$M$117:$M$121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'YUV-PSNR'!$D$128:$D$132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'YUV-PSNR'!$L$128:$L$132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'YUV-PSNR'!$H$128:$H$132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'YUV-PSNR'!$M$128:$M$132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'YUV-PSNR'!$D$139:$D$143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'YUV-PSNR'!$L$139:$L$143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'YUV-PSNR'!$H$139:$H$143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'YUV-PSNR'!$M$139:$M$143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'YUV-PSNR'!$D$150:$D$154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'YUV-PSNR'!$L$150:$L$154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'YUV-PSNR'!$H$150:$H$154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'YUV-PSNR'!$M$150:$M$154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'YUV-PSNR'!$D$161:$D$165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'YUV-PSNR'!$L$161:$L$165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'YUV-PSNR'!$H$161:$H$165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'YUV-PSNR'!$M$161:$M$165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'YUV-PSNR'!$D$172:$D$176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'YUV-PSNR'!$L$172:$L$176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'YUV-PSNR'!$H$172:$H$176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'YUV-PSNR'!$M$172:$M$176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'YUV-PSNR'!$D$183:$D$187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'YUV-PSNR'!$L$183:$L$187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'YUV-PSNR'!$H$183:$H$187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'YUV-PSNR'!$M$183:$M$187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'YUV-PSNR'!$D$194:$D$198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'YUV-PSNR'!$L$194:$L$198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'YUV-PSNR'!$H$194:$H$198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'YUV-PSNR'!$M$194:$M$198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'YUV-PSNR'!$L$204</f>
              <strCache>
                <ptCount val="1"/>
                <pt idx="0">
                  <v>G-PCC v1 Anchor artwork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'YUV-PSNR'!$D$205:$D$209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'YUV-PSNR'!$L$205:$L$209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'YUV-PSNR'!$M$204</f>
              <strCache>
                <ptCount val="1"/>
                <pt idx="0">
                  <v>G-PCC v1 Proposal artwork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'YUV-PSNR'!$H$205:$H$209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'YUV-PSNR'!$M$205:$M$209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'YUV-PSNR'!$L$215</f>
              <strCache>
                <ptCount val="1"/>
                <pt idx="0">
                  <v>G-PCC v1 Anchor panda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'YUV-PSNR'!$D$216:$D$220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'YUV-PSNR'!$L$216:$L$220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'YUV-PSNR'!$M$215</f>
              <strCache>
                <ptCount val="1"/>
                <pt idx="0">
                  <v>G-PCC v1 Proposal panda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'YUV-PSNR'!$H$216:$H$220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'YUV-PSNR'!$M$216:$M$220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'YUV-PSNR'!$L$226</f>
              <strCache>
                <ptCount val="1"/>
                <pt idx="0">
                  <v>G-PCC v1 Anchor wukong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'YUV-PSNR'!$D$227:$D$231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'YUV-PSNR'!$L$227:$L$231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'YUV-PSNR'!$M$226</f>
              <strCache>
                <ptCount val="1"/>
                <pt idx="0">
                  <v>G-PCC v1 Proposal wukong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'YUV-PSNR'!$H$227:$H$231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'YUV-PSNR'!$M$227:$M$231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G-PCC v1 Anchor cinema_track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G-PCC v1 Proposal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G-PCC v1 Anchor LEGO_Ferrari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G-PCC v1 Proposal LEGO_Ferrari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G-PCC v1 Anchor Plant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G-PCC v1 Proposal Plant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G-PCC v1 Anchor Tennis_Player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G-PCC v1 Proposal Tennis_Player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G-PCC v1 Anchor breakfast_track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G-PCC v1 Anchor cinema_track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G-PCC v1 Proposal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G-PCC v1 Anchor ManWithFruit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G-PCC v1 Proposal ManWithFruit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G-PCC v1 Anchor LEGO_Ferrari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G-PCC v1 Proposal LEGO_Ferrari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G-PCC v1 Anchor LEGO_Bugatti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G-PCC v1 Proposal LEGO_Bugatti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G-PCC v1 Anchor Plant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G-PCC v1 Proposal Plant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G-PCC v1 Anchor bartender_track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'YUV-SSIM'!$L$83</f>
              <strCache>
                <ptCount val="1"/>
                <pt idx="0">
                  <v>G-PCC v1 Anchor Tennis_Player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'YUV-SSIM'!$D$84:$D$88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'YUV-SSIM'!$L$84:$L$88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'YUV-SSIM'!$M$83</f>
              <strCache>
                <ptCount val="1"/>
                <pt idx="0">
                  <v>G-PCC v1 Proposal Tennis_Player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'YUV-SSIM'!$L$94</f>
              <strCache>
                <ptCount val="1"/>
                <pt idx="0">
                  <v>G-PCC v1 Anchor Cricket_Player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'YUV-SSIM'!$D$95:$D$99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'YUV-SSIM'!$L$95:$L$99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'YUV-SSIM'!$L$105</f>
              <strCache>
                <ptCount val="1"/>
                <pt idx="0">
                  <v>G-PCC v1 Anchor Tango_Duo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'YUV-SSIM'!$D$106:$D$110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'YUV-SSIM'!$L$106:$L$110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'YUV-SSIM'!$M$105</f>
              <strCache>
                <ptCount val="1"/>
                <pt idx="0">
                  <v>G-PCC v1 Proposal Tango_Duo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'YUV-SSIM'!$D$117:$D$121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'YUV-SSIM'!$L$117:$L$121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'YUV-SSIM'!$H$117:$H$121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'YUV-SSIM'!$M$117:$M$121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'YUV-SSIM'!$D$128:$D$132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'YUV-SSIM'!$L$128:$L$132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'YUV-SSIM'!$H$128:$H$132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'YUV-SSIM'!$M$128:$M$132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'YUV-SSIM'!$D$139:$D$143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'YUV-SSIM'!$L$139:$L$143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'YUV-SSIM'!$H$139:$H$143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'YUV-SSIM'!$M$139:$M$143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'YUV-SSIM'!$D$150:$D$154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'YUV-SSIM'!$L$150:$L$154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'YUV-SSIM'!$H$150:$H$154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'YUV-SSIM'!$M$150:$M$154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'YUV-SSIM'!$D$161:$D$165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'YUV-SSIM'!$L$161:$L$165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'YUV-SSIM'!$H$161:$H$165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'YUV-SSIM'!$M$161:$M$165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'YUV-SSIM'!$D$172:$D$176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'YUV-SSIM'!$L$172:$L$176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'YUV-SSIM'!$H$172:$H$176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'YUV-SSIM'!$M$172:$M$176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'YUV-SSIM'!$D$183:$D$187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'YUV-SSIM'!$L$183:$L$187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'YUV-SSIM'!$H$183:$H$187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'YUV-SSIM'!$M$183:$M$187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'YUV-SSIM'!$D$194:$D$198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'YUV-SSIM'!$L$194:$L$198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'YUV-SSIM'!$H$194:$H$198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'YUV-SSIM'!$M$194:$M$198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'YUV-SSIM'!$L$204</f>
              <strCache>
                <ptCount val="1"/>
                <pt idx="0">
                  <v>G-PCC v1 Anchor artwork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'YUV-SSIM'!$D$205:$D$209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'YUV-SSIM'!$L$205:$L$209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'YUV-SSIM'!$M$204</f>
              <strCache>
                <ptCount val="1"/>
                <pt idx="0">
                  <v>G-PCC v1 Proposal artwork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'YUV-SSIM'!$H$205:$H$209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'YUV-SSIM'!$M$205:$M$209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'YUV-SSIM'!$L$215</f>
              <strCache>
                <ptCount val="1"/>
                <pt idx="0">
                  <v>G-PCC v1 Anchor panda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'YUV-SSIM'!$D$216:$D$220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'YUV-SSIM'!$L$216:$L$220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'YUV-SSIM'!$M$215</f>
              <strCache>
                <ptCount val="1"/>
                <pt idx="0">
                  <v>G-PCC v1 Proposal panda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'YUV-SSIM'!$H$216:$H$220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'YUV-SSIM'!$M$216:$M$220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'YUV-SSIM'!$L$226</f>
              <strCache>
                <ptCount val="1"/>
                <pt idx="0">
                  <v>G-PCC v1 Anchor wukong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'YUV-SSIM'!$D$227:$D$231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'YUV-SSIM'!$L$227:$L$231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'YUV-SSIM'!$M$226</f>
              <strCache>
                <ptCount val="1"/>
                <pt idx="0">
                  <v>G-PCC v1 Proposal wukong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'YUV-SSIM'!$H$227:$H$231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'YUV-SSIM'!$M$227:$M$231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Relationship Type="http://schemas.openxmlformats.org/officeDocument/2006/relationships/chart" Target="/xl/charts/chart16.xml" Id="rId16" /><Relationship Type="http://schemas.openxmlformats.org/officeDocument/2006/relationships/chart" Target="/xl/charts/chart17.xml" Id="rId17" /><Relationship Type="http://schemas.openxmlformats.org/officeDocument/2006/relationships/chart" Target="/xl/charts/chart18.xml" Id="rId18" /><Relationship Type="http://schemas.openxmlformats.org/officeDocument/2006/relationships/chart" Target="/xl/charts/chart19.xml" Id="rId19" /><Relationship Type="http://schemas.openxmlformats.org/officeDocument/2006/relationships/chart" Target="/xl/charts/chart20.xml" Id="rId20" /><Relationship Type="http://schemas.openxmlformats.org/officeDocument/2006/relationships/chart" Target="/xl/charts/chart21.xml" Id="rId2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2.xml" Id="rId1" /><Relationship Type="http://schemas.openxmlformats.org/officeDocument/2006/relationships/chart" Target="/xl/charts/chart23.xml" Id="rId2" /><Relationship Type="http://schemas.openxmlformats.org/officeDocument/2006/relationships/chart" Target="/xl/charts/chart24.xml" Id="rId3" /><Relationship Type="http://schemas.openxmlformats.org/officeDocument/2006/relationships/chart" Target="/xl/charts/chart25.xml" Id="rId4" /><Relationship Type="http://schemas.openxmlformats.org/officeDocument/2006/relationships/chart" Target="/xl/charts/chart26.xml" Id="rId5" /><Relationship Type="http://schemas.openxmlformats.org/officeDocument/2006/relationships/chart" Target="/xl/charts/chart27.xml" Id="rId6" /><Relationship Type="http://schemas.openxmlformats.org/officeDocument/2006/relationships/chart" Target="/xl/charts/chart28.xml" Id="rId7" /><Relationship Type="http://schemas.openxmlformats.org/officeDocument/2006/relationships/chart" Target="/xl/charts/chart29.xml" Id="rId8" /><Relationship Type="http://schemas.openxmlformats.org/officeDocument/2006/relationships/chart" Target="/xl/charts/chart30.xml" Id="rId9" /><Relationship Type="http://schemas.openxmlformats.org/officeDocument/2006/relationships/chart" Target="/xl/charts/chart31.xml" Id="rId10" /><Relationship Type="http://schemas.openxmlformats.org/officeDocument/2006/relationships/chart" Target="/xl/charts/chart32.xml" Id="rId11" /><Relationship Type="http://schemas.openxmlformats.org/officeDocument/2006/relationships/chart" Target="/xl/charts/chart33.xml" Id="rId12" /><Relationship Type="http://schemas.openxmlformats.org/officeDocument/2006/relationships/chart" Target="/xl/charts/chart34.xml" Id="rId13" /><Relationship Type="http://schemas.openxmlformats.org/officeDocument/2006/relationships/chart" Target="/xl/charts/chart35.xml" Id="rId14" /><Relationship Type="http://schemas.openxmlformats.org/officeDocument/2006/relationships/chart" Target="/xl/charts/chart36.xml" Id="rId15" /><Relationship Type="http://schemas.openxmlformats.org/officeDocument/2006/relationships/chart" Target="/xl/charts/chart37.xml" Id="rId16" /><Relationship Type="http://schemas.openxmlformats.org/officeDocument/2006/relationships/chart" Target="/xl/charts/chart38.xml" Id="rId17" /><Relationship Type="http://schemas.openxmlformats.org/officeDocument/2006/relationships/chart" Target="/xl/charts/chart39.xml" Id="rId18" /><Relationship Type="http://schemas.openxmlformats.org/officeDocument/2006/relationships/chart" Target="/xl/charts/chart40.xml" Id="rId19" /><Relationship Type="http://schemas.openxmlformats.org/officeDocument/2006/relationships/chart" Target="/xl/charts/chart41.xml" Id="rId20" /><Relationship Type="http://schemas.openxmlformats.org/officeDocument/2006/relationships/chart" Target="/xl/charts/chart42.xml" Id="rId2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43.xml" Id="rId1" /><Relationship Type="http://schemas.openxmlformats.org/officeDocument/2006/relationships/chart" Target="/xl/charts/chart44.xml" Id="rId2" /><Relationship Type="http://schemas.openxmlformats.org/officeDocument/2006/relationships/chart" Target="/xl/charts/chart45.xml" Id="rId3" /><Relationship Type="http://schemas.openxmlformats.org/officeDocument/2006/relationships/chart" Target="/xl/charts/chart46.xml" Id="rId4" /><Relationship Type="http://schemas.openxmlformats.org/officeDocument/2006/relationships/chart" Target="/xl/charts/chart47.xml" Id="rId5" /><Relationship Type="http://schemas.openxmlformats.org/officeDocument/2006/relationships/chart" Target="/xl/charts/chart48.xml" Id="rId6" /><Relationship Type="http://schemas.openxmlformats.org/officeDocument/2006/relationships/chart" Target="/xl/charts/chart49.xml" Id="rId7" /><Relationship Type="http://schemas.openxmlformats.org/officeDocument/2006/relationships/chart" Target="/xl/charts/chart50.xml" Id="rId8" /><Relationship Type="http://schemas.openxmlformats.org/officeDocument/2006/relationships/chart" Target="/xl/charts/chart51.xml" Id="rId9" /><Relationship Type="http://schemas.openxmlformats.org/officeDocument/2006/relationships/chart" Target="/xl/charts/chart52.xml" Id="rId10" /><Relationship Type="http://schemas.openxmlformats.org/officeDocument/2006/relationships/chart" Target="/xl/charts/chart53.xml" Id="rId11" /><Relationship Type="http://schemas.openxmlformats.org/officeDocument/2006/relationships/chart" Target="/xl/charts/chart54.xml" Id="rId12" /><Relationship Type="http://schemas.openxmlformats.org/officeDocument/2006/relationships/chart" Target="/xl/charts/chart55.xml" Id="rId13" /><Relationship Type="http://schemas.openxmlformats.org/officeDocument/2006/relationships/chart" Target="/xl/charts/chart56.xml" Id="rId14" /><Relationship Type="http://schemas.openxmlformats.org/officeDocument/2006/relationships/chart" Target="/xl/charts/chart57.xml" Id="rId15" /><Relationship Type="http://schemas.openxmlformats.org/officeDocument/2006/relationships/chart" Target="/xl/charts/chart58.xml" Id="rId16" /><Relationship Type="http://schemas.openxmlformats.org/officeDocument/2006/relationships/chart" Target="/xl/charts/chart59.xml" Id="rId17" /><Relationship Type="http://schemas.openxmlformats.org/officeDocument/2006/relationships/chart" Target="/xl/charts/chart60.xml" Id="rId18" /><Relationship Type="http://schemas.openxmlformats.org/officeDocument/2006/relationships/chart" Target="/xl/charts/chart61.xml" Id="rId19" /><Relationship Type="http://schemas.openxmlformats.org/officeDocument/2006/relationships/chart" Target="/xl/charts/chart62.xml" Id="rId20" /><Relationship Type="http://schemas.openxmlformats.org/officeDocument/2006/relationships/chart" Target="/xl/charts/chart63.xml" Id="rId2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16782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196849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196849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200024</rowOff>
    </to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187324</rowOff>
    </to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200024</rowOff>
    </to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196849</rowOff>
    </to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190499</rowOff>
    </to>
    <graphicFrame>
      <nvGraphicFramePr>
        <cNvPr id="16" name="Chart 16"/>
        <cNvGraphicFramePr/>
      </nvGraphicFramePr>
      <xfrm/>
      <a:graphic>
        <a:graphicData uri="http://schemas.openxmlformats.org/drawingml/2006/chart">
          <c:chart r:id="rId16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165099</rowOff>
    </to>
    <graphicFrame>
      <nvGraphicFramePr>
        <cNvPr id="17" name="Chart 17"/>
        <cNvGraphicFramePr/>
      </nvGraphicFramePr>
      <xfrm/>
      <a:graphic>
        <a:graphicData uri="http://schemas.openxmlformats.org/drawingml/2006/chart">
          <c:chart r:id="rId17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165099</rowOff>
    </to>
    <graphicFrame>
      <nvGraphicFramePr>
        <cNvPr id="18" name="Chart 18"/>
        <cNvGraphicFramePr/>
      </nvGraphicFramePr>
      <xfrm/>
      <a:graphic>
        <a:graphicData uri="http://schemas.openxmlformats.org/drawingml/2006/chart">
          <c:chart r:id="rId18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165099</rowOff>
    </to>
    <graphicFrame>
      <nvGraphicFramePr>
        <cNvPr id="19" name="Chart 19"/>
        <cNvGraphicFramePr/>
      </nvGraphicFramePr>
      <xfrm/>
      <a:graphic>
        <a:graphicData uri="http://schemas.openxmlformats.org/drawingml/2006/chart">
          <c:chart r:id="rId19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165099</rowOff>
    </to>
    <graphicFrame>
      <nvGraphicFramePr>
        <cNvPr id="20" name="Chart 20"/>
        <cNvGraphicFramePr/>
      </nvGraphicFramePr>
      <xfrm/>
      <a:graphic>
        <a:graphicData uri="http://schemas.openxmlformats.org/drawingml/2006/chart">
          <c:chart r:id="rId20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16782</colOff>
      <row>34</row>
      <rowOff>190499</rowOff>
    </to>
    <graphicFrame>
      <nvGraphicFramePr>
        <cNvPr id="21" name="Chart 21"/>
        <cNvGraphicFramePr/>
      </nvGraphicFramePr>
      <xfrm/>
      <a:graphic>
        <a:graphicData uri="http://schemas.openxmlformats.org/drawingml/2006/chart">
          <c:chart r:id="rId2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203199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200024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196849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200024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203199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206374</rowOff>
    </to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193674</rowOff>
    </to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206374</rowOff>
    </to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200024</rowOff>
    </to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196849</rowOff>
    </to>
    <graphicFrame>
      <nvGraphicFramePr>
        <cNvPr id="16" name="Chart 16"/>
        <cNvGraphicFramePr/>
      </nvGraphicFramePr>
      <xfrm/>
      <a:graphic>
        <a:graphicData uri="http://schemas.openxmlformats.org/drawingml/2006/chart">
          <c:chart r:id="rId16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174624</rowOff>
    </to>
    <graphicFrame>
      <nvGraphicFramePr>
        <cNvPr id="17" name="Chart 17"/>
        <cNvGraphicFramePr/>
      </nvGraphicFramePr>
      <xfrm/>
      <a:graphic>
        <a:graphicData uri="http://schemas.openxmlformats.org/drawingml/2006/chart">
          <c:chart r:id="rId17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16782</colOff>
      <row>34</row>
      <rowOff>190499</rowOff>
    </to>
    <graphicFrame>
      <nvGraphicFramePr>
        <cNvPr id="18" name="Chart 18"/>
        <cNvGraphicFramePr/>
      </nvGraphicFramePr>
      <xfrm/>
      <a:graphic>
        <a:graphicData uri="http://schemas.openxmlformats.org/drawingml/2006/chart">
          <c:chart r:id="rId18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16782</colOff>
      <row>56</row>
      <rowOff>190499</rowOff>
    </to>
    <graphicFrame>
      <nvGraphicFramePr>
        <cNvPr id="19" name="Chart 19"/>
        <cNvGraphicFramePr/>
      </nvGraphicFramePr>
      <xfrm/>
      <a:graphic>
        <a:graphicData uri="http://schemas.openxmlformats.org/drawingml/2006/chart">
          <c:chart r:id="rId19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16782</colOff>
      <row>78</row>
      <rowOff>190499</rowOff>
    </to>
    <graphicFrame>
      <nvGraphicFramePr>
        <cNvPr id="20" name="Chart 20"/>
        <cNvGraphicFramePr/>
      </nvGraphicFramePr>
      <xfrm/>
      <a:graphic>
        <a:graphicData uri="http://schemas.openxmlformats.org/drawingml/2006/chart">
          <c:chart r:id="rId20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21" name="Chart 21"/>
        <cNvGraphicFramePr/>
      </nvGraphicFramePr>
      <xfrm/>
      <a:graphic>
        <a:graphicData uri="http://schemas.openxmlformats.org/drawingml/2006/chart">
          <c:chart r:id="rId2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16782</colOff>
      <row>100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203199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206374</rowOff>
    </to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200024</rowOff>
    </to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203199</rowOff>
    </to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206374</rowOff>
    </to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206374</rowOff>
    </to>
    <graphicFrame>
      <nvGraphicFramePr>
        <cNvPr id="16" name="Chart 16"/>
        <cNvGraphicFramePr/>
      </nvGraphicFramePr>
      <xfrm/>
      <a:graphic>
        <a:graphicData uri="http://schemas.openxmlformats.org/drawingml/2006/chart">
          <c:chart r:id="rId16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193674</rowOff>
    </to>
    <graphicFrame>
      <nvGraphicFramePr>
        <cNvPr id="17" name="Chart 17"/>
        <cNvGraphicFramePr/>
      </nvGraphicFramePr>
      <xfrm/>
      <a:graphic>
        <a:graphicData uri="http://schemas.openxmlformats.org/drawingml/2006/chart">
          <c:chart r:id="rId17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206374</rowOff>
    </to>
    <graphicFrame>
      <nvGraphicFramePr>
        <cNvPr id="18" name="Chart 18"/>
        <cNvGraphicFramePr/>
      </nvGraphicFramePr>
      <xfrm/>
      <a:graphic>
        <a:graphicData uri="http://schemas.openxmlformats.org/drawingml/2006/chart">
          <c:chart r:id="rId18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200024</rowOff>
    </to>
    <graphicFrame>
      <nvGraphicFramePr>
        <cNvPr id="19" name="Chart 19"/>
        <cNvGraphicFramePr/>
      </nvGraphicFramePr>
      <xfrm/>
      <a:graphic>
        <a:graphicData uri="http://schemas.openxmlformats.org/drawingml/2006/chart">
          <c:chart r:id="rId19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196849</rowOff>
    </to>
    <graphicFrame>
      <nvGraphicFramePr>
        <cNvPr id="20" name="Chart 20"/>
        <cNvGraphicFramePr/>
      </nvGraphicFramePr>
      <xfrm/>
      <a:graphic>
        <a:graphicData uri="http://schemas.openxmlformats.org/drawingml/2006/chart">
          <c:chart r:id="rId20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174624</rowOff>
    </to>
    <graphicFrame>
      <nvGraphicFramePr>
        <cNvPr id="21" name="Chart 21"/>
        <cNvGraphicFramePr/>
      </nvGraphicFramePr>
      <xfrm/>
      <a:graphic>
        <a:graphicData uri="http://schemas.openxmlformats.org/drawingml/2006/chart">
          <c:chart r:id="rId2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P36"/>
  <sheetViews>
    <sheetView tabSelected="1" workbookViewId="0">
      <selection activeCell="D15" sqref="D15"/>
    </sheetView>
  </sheetViews>
  <sheetFormatPr baseColWidth="8" defaultColWidth="8.59765625" defaultRowHeight="14.4" outlineLevelCol="0"/>
  <cols>
    <col width="1.59765625" bestFit="1" customWidth="1" style="13" min="1" max="1"/>
    <col width="22.09765625" customWidth="1" style="13" min="2" max="2"/>
    <col width="12.5" customWidth="1" style="13" min="3" max="3"/>
    <col width="9.59765625" bestFit="1" customWidth="1" style="13" min="4" max="5"/>
    <col width="9.69921875" customWidth="1" style="13" min="6" max="14"/>
    <col width="7.09765625" customWidth="1" style="13" min="15" max="15"/>
    <col width="7.19921875" customWidth="1" style="13" min="16" max="16"/>
    <col width="8.59765625" customWidth="1" style="13" min="17" max="16384"/>
  </cols>
  <sheetData>
    <row r="1">
      <c r="A1" s="218" t="inlineStr">
        <is>
          <t>  </t>
        </is>
      </c>
      <c r="B1" s="247" t="n"/>
      <c r="C1" s="247" t="n"/>
      <c r="D1" s="218" t="inlineStr">
        <is>
          <t>               </t>
        </is>
      </c>
      <c r="E1" s="218" t="inlineStr">
        <is>
          <t>               </t>
        </is>
      </c>
      <c r="F1" s="218" t="n"/>
      <c r="G1" s="218" t="n"/>
      <c r="H1" s="218" t="n"/>
      <c r="I1" s="218" t="n"/>
      <c r="J1" s="218" t="n"/>
      <c r="K1" s="218" t="n"/>
      <c r="L1" s="218" t="n"/>
      <c r="M1" s="218" t="n"/>
      <c r="N1" s="218" t="n"/>
      <c r="O1" s="218" t="n"/>
      <c r="P1" s="218" t="inlineStr">
        <is>
          <t>  </t>
        </is>
      </c>
    </row>
    <row r="2">
      <c r="A2" s="247" t="n"/>
      <c r="B2" s="4" t="n"/>
      <c r="C2" s="248" t="n"/>
      <c r="D2" s="247" t="n"/>
      <c r="E2" s="247" t="n"/>
      <c r="F2" s="247" t="n"/>
      <c r="G2" s="247" t="n"/>
      <c r="H2" s="247" t="n"/>
      <c r="I2" s="247" t="n"/>
      <c r="J2" s="247" t="n"/>
      <c r="K2" s="247" t="n"/>
      <c r="L2" s="247" t="n"/>
      <c r="M2" s="247" t="n"/>
      <c r="N2" s="247" t="n"/>
      <c r="O2" s="247" t="n"/>
      <c r="P2" s="247" t="n"/>
    </row>
    <row r="3">
      <c r="A3" s="247" t="n"/>
      <c r="B3" s="4" t="inlineStr">
        <is>
          <t>Anchor</t>
        </is>
      </c>
      <c r="C3" s="251" t="inlineStr">
        <is>
          <t>MPEG151-lift</t>
        </is>
      </c>
      <c r="P3" s="247" t="n"/>
    </row>
    <row r="4">
      <c r="A4" s="247" t="n"/>
      <c r="B4" s="4" t="inlineStr">
        <is>
          <t>Proposal</t>
        </is>
      </c>
      <c r="C4" s="251" t="inlineStr">
        <is>
          <t>MPEG151-opt-raht</t>
        </is>
      </c>
      <c r="P4" s="247" t="n"/>
    </row>
    <row r="5">
      <c r="A5" s="247" t="n"/>
      <c r="B5" s="232" t="inlineStr">
        <is>
          <t>Mandatory</t>
        </is>
      </c>
      <c r="C5" s="248" t="n"/>
      <c r="D5" s="247" t="n"/>
      <c r="E5" s="247" t="n"/>
      <c r="F5" s="247" t="n"/>
      <c r="G5" s="247" t="n"/>
      <c r="H5" s="247" t="n"/>
      <c r="I5" s="247" t="n"/>
      <c r="J5" s="247" t="n"/>
      <c r="K5" s="247" t="n"/>
      <c r="L5" s="247" t="n"/>
      <c r="M5" s="247" t="n"/>
      <c r="N5" s="247" t="n"/>
      <c r="O5" s="247" t="n"/>
      <c r="P5" s="247" t="n"/>
    </row>
    <row r="6">
      <c r="A6" s="247" t="n"/>
      <c r="B6" s="233" t="inlineStr">
        <is>
          <t>Optional</t>
        </is>
      </c>
      <c r="C6" s="234" t="n"/>
      <c r="D6" s="247" t="n"/>
      <c r="E6" s="247" t="n"/>
      <c r="F6" s="247" t="n"/>
      <c r="G6" s="247" t="n"/>
      <c r="H6" s="247" t="n"/>
      <c r="I6" s="247" t="n"/>
      <c r="J6" s="247" t="n"/>
      <c r="K6" s="247" t="n"/>
      <c r="L6" s="247" t="n"/>
      <c r="M6" s="247" t="n"/>
      <c r="N6" s="247" t="n"/>
      <c r="O6" s="247" t="n"/>
      <c r="P6" s="247" t="n"/>
    </row>
    <row r="7" ht="16.5" customFormat="1" customHeight="1" s="14" thickBot="1">
      <c r="A7" s="188" t="n"/>
      <c r="B7" s="252" t="inlineStr">
        <is>
          <t>Forward facing content - Proposal vs. Anchor</t>
        </is>
      </c>
      <c r="C7" s="305" t="n"/>
      <c r="D7" s="305" t="n"/>
      <c r="E7" s="305" t="n"/>
      <c r="F7" s="305" t="n"/>
      <c r="G7" s="305" t="n"/>
      <c r="H7" s="305" t="n"/>
      <c r="I7" s="305" t="n"/>
      <c r="J7" s="305" t="n"/>
      <c r="K7" s="305" t="n"/>
      <c r="L7" s="305" t="n"/>
      <c r="M7" s="305" t="n"/>
      <c r="N7" s="305" t="n"/>
      <c r="O7" s="305" t="n"/>
      <c r="P7" s="188" t="n"/>
    </row>
    <row r="8" ht="30" customHeight="1" s="270" thickBot="1">
      <c r="A8" s="247" t="n"/>
      <c r="B8" s="25" t="inlineStr">
        <is>
          <t>Sequence</t>
        </is>
      </c>
      <c r="C8" s="27" t="inlineStr">
        <is>
          <t>BD-rate
RGB-PSNR</t>
        </is>
      </c>
      <c r="D8" s="27" t="inlineStr">
        <is>
          <t>BD-rate
YUV-PSNR</t>
        </is>
      </c>
      <c r="E8" s="27" t="inlineStr">
        <is>
          <t>BD-rate
YUV-SSIM</t>
        </is>
      </c>
      <c r="F8" s="27" t="inlineStr">
        <is>
          <t>EncT Total</t>
        </is>
      </c>
      <c r="G8" s="27" t="inlineStr">
        <is>
          <t>DecT Total</t>
        </is>
      </c>
      <c r="H8" s="27" t="inlineStr">
        <is>
          <t>EncT Geometry</t>
        </is>
      </c>
      <c r="I8" s="27" t="inlineStr">
        <is>
          <t>DecT Geometry</t>
        </is>
      </c>
      <c r="J8" s="27" t="inlineStr">
        <is>
          <t>EncT Attributes</t>
        </is>
      </c>
      <c r="K8" s="27" t="inlineStr">
        <is>
          <t>DecT Attributes</t>
        </is>
      </c>
      <c r="L8" s="27" t="inlineStr">
        <is>
          <t>MaxRSS Encoder</t>
        </is>
      </c>
      <c r="M8" s="27" t="inlineStr">
        <is>
          <t>MaxRSS Decoder</t>
        </is>
      </c>
      <c r="N8" s="27" t="inlineStr">
        <is>
          <t>vs GT (optional)</t>
        </is>
      </c>
      <c r="O8" s="222" t="n"/>
      <c r="P8" s="247" t="n"/>
    </row>
    <row r="9" ht="15.75" customHeight="1" s="270">
      <c r="A9" s="247" t="n"/>
      <c r="B9" s="230" t="inlineStr">
        <is>
          <t>bartender_track</t>
        </is>
      </c>
      <c r="C9" s="306">
        <f>INDIRECT($B9&amp;"!AY$5")</f>
        <v/>
      </c>
      <c r="D9" s="306">
        <f>INDIRECT($B9&amp;"!AZ$5")</f>
        <v/>
      </c>
      <c r="E9" s="306">
        <f>INDIRECT($B9&amp;"!BA$5")</f>
        <v/>
      </c>
      <c r="F9" s="306">
        <f>INDIRECT($B9&amp;"!AX$21")</f>
        <v/>
      </c>
      <c r="G9" s="306">
        <f>INDIRECT($B9&amp;"!AY$21")</f>
        <v/>
      </c>
      <c r="H9" s="306">
        <f>INDIRECT($B9&amp;"!AZ$21")</f>
        <v/>
      </c>
      <c r="I9" s="306">
        <f>INDIRECT($B9&amp;"!BA$21")</f>
        <v/>
      </c>
      <c r="J9" s="306">
        <f>INDIRECT($B9&amp;"!BB$21")</f>
        <v/>
      </c>
      <c r="K9" s="306">
        <f>INDIRECT($B9&amp;"!BC$21")</f>
        <v/>
      </c>
      <c r="L9" s="306">
        <f>INDIRECT($B9&amp;"!BD$21")</f>
        <v/>
      </c>
      <c r="M9" s="306">
        <f>INDIRECT($B9&amp;"!BE$21")</f>
        <v/>
      </c>
      <c r="N9" s="306">
        <f>INDIRECT($B9&amp;"!BC$5")</f>
        <v/>
      </c>
      <c r="O9" s="307" t="n"/>
      <c r="P9" s="247" t="n"/>
    </row>
    <row r="10" ht="15.75" customHeight="1" s="270">
      <c r="A10" s="247" t="n"/>
      <c r="B10" s="230" t="inlineStr">
        <is>
          <t>breakfast_track</t>
        </is>
      </c>
      <c r="C10" s="306">
        <f>INDIRECT($B10&amp;"!AY$5")</f>
        <v/>
      </c>
      <c r="D10" s="306">
        <f>INDIRECT($B10&amp;"!AZ$5")</f>
        <v/>
      </c>
      <c r="E10" s="306">
        <f>INDIRECT($B10&amp;"!BA$5")</f>
        <v/>
      </c>
      <c r="F10" s="306">
        <f>INDIRECT($B10&amp;"!AX$21")</f>
        <v/>
      </c>
      <c r="G10" s="306">
        <f>INDIRECT($B10&amp;"!AY$21")</f>
        <v/>
      </c>
      <c r="H10" s="306">
        <f>INDIRECT($B10&amp;"!AZ$21")</f>
        <v/>
      </c>
      <c r="I10" s="306">
        <f>INDIRECT($B10&amp;"!BA$21")</f>
        <v/>
      </c>
      <c r="J10" s="306">
        <f>INDIRECT($B10&amp;"!BB$21")</f>
        <v/>
      </c>
      <c r="K10" s="306">
        <f>INDIRECT($B10&amp;"!BC$21")</f>
        <v/>
      </c>
      <c r="L10" s="306">
        <f>INDIRECT($B10&amp;"!BD$21")</f>
        <v/>
      </c>
      <c r="M10" s="306">
        <f>INDIRECT($B10&amp;"!BE$21")</f>
        <v/>
      </c>
      <c r="N10" s="306">
        <f>INDIRECT($B10&amp;"!BC$5")</f>
        <v/>
      </c>
      <c r="O10" s="307" t="n"/>
      <c r="P10" s="247" t="n"/>
    </row>
    <row r="11" ht="15.75" customHeight="1" s="270" thickBot="1">
      <c r="A11" s="247" t="n"/>
      <c r="B11" s="230" t="inlineStr">
        <is>
          <t>cinema_track</t>
        </is>
      </c>
      <c r="C11" s="306">
        <f>INDIRECT($B11&amp;"!AY$5")</f>
        <v/>
      </c>
      <c r="D11" s="306">
        <f>INDIRECT($B11&amp;"!AZ$5")</f>
        <v/>
      </c>
      <c r="E11" s="306">
        <f>INDIRECT($B11&amp;"!BA$5")</f>
        <v/>
      </c>
      <c r="F11" s="306">
        <f>INDIRECT($B11&amp;"!AX$21")</f>
        <v/>
      </c>
      <c r="G11" s="306">
        <f>INDIRECT($B11&amp;"!AY$21")</f>
        <v/>
      </c>
      <c r="H11" s="306">
        <f>INDIRECT($B11&amp;"!AZ$21")</f>
        <v/>
      </c>
      <c r="I11" s="306">
        <f>INDIRECT($B11&amp;"!BA$21")</f>
        <v/>
      </c>
      <c r="J11" s="306">
        <f>INDIRECT($B11&amp;"!BB$21")</f>
        <v/>
      </c>
      <c r="K11" s="306">
        <f>INDIRECT($B11&amp;"!BC$21")</f>
        <v/>
      </c>
      <c r="L11" s="306">
        <f>INDIRECT($B11&amp;"!BD$21")</f>
        <v/>
      </c>
      <c r="M11" s="306">
        <f>INDIRECT($B11&amp;"!BE$21")</f>
        <v/>
      </c>
      <c r="N11" s="306">
        <f>INDIRECT($B11&amp;"!BC$5")</f>
        <v/>
      </c>
      <c r="O11" s="307" t="n"/>
      <c r="P11" s="247" t="n"/>
    </row>
    <row r="12" ht="15.75" customHeight="1" s="270" thickBot="1">
      <c r="A12" s="247" t="n"/>
      <c r="B12" s="25" t="inlineStr">
        <is>
          <t>Average</t>
        </is>
      </c>
      <c r="C12" s="308">
        <f>IF(COUNTIF(C9:C11,"=0")&gt;0,0,AVERAGE(C9:C11))</f>
        <v/>
      </c>
      <c r="D12" s="308">
        <f>IF(COUNTIF(D9:D11,"=0")&gt;0,0,AVERAGE(D9:D11))</f>
        <v/>
      </c>
      <c r="E12" s="308">
        <f>IF(COUNTIF(E9:E11,"=0")&gt;0,0,AVERAGE(E9:E11))</f>
        <v/>
      </c>
      <c r="F12" s="308">
        <f>IF(COUNTIF(F9:F11,"=0")&gt;0,0,AVERAGE(F9:F11))</f>
        <v/>
      </c>
      <c r="G12" s="308">
        <f>IF(COUNTIF(G9:G11,"=0")&gt;0,0,AVERAGE(G9:G11))</f>
        <v/>
      </c>
      <c r="H12" s="308">
        <f>IF(COUNTIF(H9:H11,"=0")&gt;0,0,AVERAGE(H9:H11))</f>
        <v/>
      </c>
      <c r="I12" s="308">
        <f>IF(COUNTIF(I9:I11,"=0")&gt;0,0,AVERAGE(I9:I11))</f>
        <v/>
      </c>
      <c r="J12" s="308">
        <f>IF(COUNTIF(J9:J11,"=0")&gt;0,0,AVERAGE(J9:J11))</f>
        <v/>
      </c>
      <c r="K12" s="308">
        <f>IF(COUNTIF(K9:K11,"=0")&gt;0,0,AVERAGE(K9:K11))</f>
        <v/>
      </c>
      <c r="L12" s="308">
        <f>IF(COUNTIF(L9:L11,"=0")&gt;0,0,AVERAGE(L9:L11))</f>
        <v/>
      </c>
      <c r="M12" s="308">
        <f>IF(COUNTIF(M9:M11,"=0")&gt;0,0,AVERAGE(M9:M11))</f>
        <v/>
      </c>
      <c r="N12" s="309">
        <f>IF(COUNTIF(N10:N11,"=0")&gt;0,0,AVERAGE(N10:N11))</f>
        <v/>
      </c>
      <c r="O12" s="307" t="n"/>
      <c r="P12" s="307" t="n"/>
    </row>
    <row r="13" ht="15.75" customHeight="1" s="270">
      <c r="A13" s="247" t="n"/>
      <c r="B13" s="249" t="n"/>
      <c r="C13" s="250" t="n"/>
      <c r="D13" s="307" t="n"/>
      <c r="E13" s="307" t="n"/>
      <c r="F13" s="307" t="n"/>
      <c r="G13" s="307" t="n"/>
      <c r="H13" s="307" t="n"/>
      <c r="I13" s="307" t="n"/>
      <c r="J13" s="307" t="n"/>
      <c r="K13" s="307" t="n"/>
      <c r="L13" s="307" t="n"/>
      <c r="M13" s="307" t="n"/>
      <c r="N13" s="307" t="n"/>
      <c r="O13" s="307" t="n"/>
      <c r="P13" s="307" t="n"/>
    </row>
    <row r="14" ht="15.75" customHeight="1" s="270">
      <c r="A14" s="247" t="n"/>
      <c r="B14" s="106" t="n"/>
      <c r="D14" s="310" t="n"/>
      <c r="E14" s="310" t="n"/>
      <c r="F14" s="310" t="n"/>
      <c r="G14" s="310" t="n"/>
      <c r="H14" s="310" t="n"/>
      <c r="I14" s="310" t="n"/>
      <c r="J14" s="310" t="n"/>
      <c r="K14" s="310" t="n"/>
      <c r="L14" s="310" t="n"/>
      <c r="M14" s="310" t="n"/>
      <c r="N14" s="310" t="n"/>
      <c r="O14" s="310" t="n"/>
      <c r="P14" s="188" t="n"/>
    </row>
    <row r="15">
      <c r="A15" s="247" t="n"/>
      <c r="B15" s="247" t="n"/>
      <c r="C15" s="247" t="n"/>
      <c r="D15" s="311" t="n"/>
      <c r="E15" s="311" t="n"/>
      <c r="F15" s="311" t="n"/>
      <c r="G15" s="311" t="n"/>
      <c r="H15" s="311" t="n"/>
      <c r="I15" s="311" t="n"/>
      <c r="J15" s="311" t="n"/>
      <c r="K15" s="311" t="n"/>
      <c r="L15" s="311" t="n"/>
      <c r="M15" s="311" t="n"/>
      <c r="N15" s="311" t="n"/>
      <c r="O15" s="311" t="n"/>
      <c r="P15" s="311" t="n"/>
    </row>
    <row r="16" ht="16.2" customHeight="1" s="270" thickBot="1">
      <c r="A16" s="247" t="n"/>
      <c r="B16" s="252" t="inlineStr">
        <is>
          <t>Object-centric content - Proposal vs. Anchor</t>
        </is>
      </c>
      <c r="C16" s="305" t="n"/>
      <c r="D16" s="305" t="n"/>
      <c r="E16" s="305" t="n"/>
      <c r="F16" s="305" t="n"/>
      <c r="G16" s="305" t="n"/>
      <c r="H16" s="305" t="n"/>
      <c r="I16" s="305" t="n"/>
      <c r="J16" s="305" t="n"/>
      <c r="K16" s="305" t="n"/>
      <c r="L16" s="305" t="n"/>
      <c r="M16" s="305" t="n"/>
      <c r="N16" s="305" t="n"/>
      <c r="O16" s="305" t="n"/>
      <c r="P16" s="247" t="n"/>
    </row>
    <row r="17" ht="22.2" customHeight="1" s="270" thickBot="1">
      <c r="B17" s="25" t="inlineStr">
        <is>
          <t>Sequence</t>
        </is>
      </c>
      <c r="C17" s="27" t="inlineStr">
        <is>
          <t>BD-rate
RGB-PSNR</t>
        </is>
      </c>
      <c r="D17" s="27" t="inlineStr">
        <is>
          <t>BD-rate
YUV-PSNR</t>
        </is>
      </c>
      <c r="E17" s="27" t="inlineStr">
        <is>
          <t>BD-rate
YUV-SSIM</t>
        </is>
      </c>
      <c r="F17" s="27" t="inlineStr">
        <is>
          <t>EncT Total</t>
        </is>
      </c>
      <c r="G17" s="27" t="inlineStr">
        <is>
          <t>DecT Total</t>
        </is>
      </c>
      <c r="H17" s="27" t="inlineStr">
        <is>
          <t>EncT Geometry</t>
        </is>
      </c>
      <c r="I17" s="27" t="inlineStr">
        <is>
          <t>DecT Geometry</t>
        </is>
      </c>
      <c r="J17" s="27" t="inlineStr">
        <is>
          <t>EncT Attributes</t>
        </is>
      </c>
      <c r="K17" s="27" t="inlineStr">
        <is>
          <t>DecT Attributes</t>
        </is>
      </c>
      <c r="L17" s="27" t="inlineStr">
        <is>
          <t>MaxRSS Encoder</t>
        </is>
      </c>
      <c r="M17" s="27" t="inlineStr">
        <is>
          <t>MaxRSS Decoder</t>
        </is>
      </c>
      <c r="N17" s="209" t="inlineStr">
        <is>
          <t>vs GT (optional)</t>
        </is>
      </c>
    </row>
    <row r="18">
      <c r="B18" s="230" t="inlineStr">
        <is>
          <t>ManWithFruit</t>
        </is>
      </c>
      <c r="C18" s="306">
        <f>INDIRECT($B18&amp;"!AY$5")</f>
        <v/>
      </c>
      <c r="D18" s="306">
        <f>INDIRECT($B18&amp;"!AZ$5")</f>
        <v/>
      </c>
      <c r="E18" s="306">
        <f>INDIRECT($B18&amp;"!BA$5")</f>
        <v/>
      </c>
      <c r="F18" s="306">
        <f>INDIRECT($B18&amp;"!AX$21")</f>
        <v/>
      </c>
      <c r="G18" s="306">
        <f>INDIRECT($B18&amp;"!AY$21")</f>
        <v/>
      </c>
      <c r="H18" s="306">
        <f>INDIRECT($B18&amp;"!AZ$21")</f>
        <v/>
      </c>
      <c r="I18" s="306">
        <f>INDIRECT($B18&amp;"!BA$21")</f>
        <v/>
      </c>
      <c r="J18" s="306">
        <f>INDIRECT($B18&amp;"!BB$21")</f>
        <v/>
      </c>
      <c r="K18" s="306">
        <f>INDIRECT($B18&amp;"!BC$21")</f>
        <v/>
      </c>
      <c r="L18" s="306">
        <f>INDIRECT($B18&amp;"!BD$21")</f>
        <v/>
      </c>
      <c r="M18" s="306">
        <f>INDIRECT($B18&amp;"!BE$21")</f>
        <v/>
      </c>
      <c r="N18" s="306">
        <f>INDIRECT($B18&amp;"!BC$5")</f>
        <v/>
      </c>
    </row>
    <row r="19">
      <c r="B19" s="231" t="inlineStr">
        <is>
          <t>LEGO_Ferrari</t>
        </is>
      </c>
      <c r="C19" s="306">
        <f>INDIRECT($B19&amp;"!AY$5")</f>
        <v/>
      </c>
      <c r="D19" s="306">
        <f>INDIRECT($B19&amp;"!AZ$5")</f>
        <v/>
      </c>
      <c r="E19" s="306">
        <f>INDIRECT($B19&amp;"!BA$5")</f>
        <v/>
      </c>
      <c r="F19" s="306">
        <f>INDIRECT($B19&amp;"!AX$21")</f>
        <v/>
      </c>
      <c r="G19" s="306">
        <f>INDIRECT($B19&amp;"!AY$21")</f>
        <v/>
      </c>
      <c r="H19" s="306">
        <f>INDIRECT($B19&amp;"!AZ$21")</f>
        <v/>
      </c>
      <c r="I19" s="306">
        <f>INDIRECT($B19&amp;"!BA$21")</f>
        <v/>
      </c>
      <c r="J19" s="306">
        <f>INDIRECT($B19&amp;"!BB$21")</f>
        <v/>
      </c>
      <c r="K19" s="306">
        <f>INDIRECT($B19&amp;"!BC$21")</f>
        <v/>
      </c>
      <c r="L19" s="306">
        <f>INDIRECT($B19&amp;"!BD$21")</f>
        <v/>
      </c>
      <c r="M19" s="306">
        <f>INDIRECT($B19&amp;"!BE$21")</f>
        <v/>
      </c>
      <c r="N19" s="306">
        <f>INDIRECT($B19&amp;"!BC$5")</f>
        <v/>
      </c>
    </row>
    <row r="20">
      <c r="B20" s="231" t="inlineStr">
        <is>
          <t>LEGO_Bugatti</t>
        </is>
      </c>
      <c r="C20" s="306">
        <f>INDIRECT($B20&amp;"!AY$5")</f>
        <v/>
      </c>
      <c r="D20" s="306">
        <f>INDIRECT($B20&amp;"!AZ$5")</f>
        <v/>
      </c>
      <c r="E20" s="306">
        <f>INDIRECT($B20&amp;"!BA$5")</f>
        <v/>
      </c>
      <c r="F20" s="306">
        <f>INDIRECT($B20&amp;"!AX$21")</f>
        <v/>
      </c>
      <c r="G20" s="306">
        <f>INDIRECT($B20&amp;"!AY$21")</f>
        <v/>
      </c>
      <c r="H20" s="306">
        <f>INDIRECT($B20&amp;"!AZ$21")</f>
        <v/>
      </c>
      <c r="I20" s="306">
        <f>INDIRECT($B20&amp;"!BA$21")</f>
        <v/>
      </c>
      <c r="J20" s="306">
        <f>INDIRECT($B20&amp;"!BB$21")</f>
        <v/>
      </c>
      <c r="K20" s="306">
        <f>INDIRECT($B20&amp;"!BC$21")</f>
        <v/>
      </c>
      <c r="L20" s="306">
        <f>INDIRECT($B20&amp;"!BD$21")</f>
        <v/>
      </c>
      <c r="M20" s="306">
        <f>INDIRECT($B20&amp;"!BE$21")</f>
        <v/>
      </c>
      <c r="N20" s="306">
        <f>INDIRECT($B20&amp;"!BC$5")</f>
        <v/>
      </c>
    </row>
    <row r="21">
      <c r="B21" s="231" t="inlineStr">
        <is>
          <t>Plant</t>
        </is>
      </c>
      <c r="C21" s="306">
        <f>INDIRECT($B21&amp;"!AY$5")</f>
        <v/>
      </c>
      <c r="D21" s="306">
        <f>INDIRECT($B21&amp;"!AZ$5")</f>
        <v/>
      </c>
      <c r="E21" s="306">
        <f>INDIRECT($B21&amp;"!BA$5")</f>
        <v/>
      </c>
      <c r="F21" s="306">
        <f>INDIRECT($B21&amp;"!AX$21")</f>
        <v/>
      </c>
      <c r="G21" s="306">
        <f>INDIRECT($B21&amp;"!AY$21")</f>
        <v/>
      </c>
      <c r="H21" s="306">
        <f>INDIRECT($B21&amp;"!AZ$21")</f>
        <v/>
      </c>
      <c r="I21" s="306">
        <f>INDIRECT($B21&amp;"!BA$21")</f>
        <v/>
      </c>
      <c r="J21" s="306">
        <f>INDIRECT($B21&amp;"!BB$21")</f>
        <v/>
      </c>
      <c r="K21" s="306">
        <f>INDIRECT($B21&amp;"!BC$21")</f>
        <v/>
      </c>
      <c r="L21" s="306">
        <f>INDIRECT($B21&amp;"!BD$21")</f>
        <v/>
      </c>
      <c r="M21" s="306">
        <f>INDIRECT($B21&amp;"!BE$21")</f>
        <v/>
      </c>
      <c r="N21" s="306">
        <f>INDIRECT($B21&amp;"!BC$5")</f>
        <v/>
      </c>
    </row>
    <row r="22">
      <c r="B22" s="231" t="inlineStr">
        <is>
          <t>Tennis_Player</t>
        </is>
      </c>
      <c r="C22" s="306">
        <f>INDIRECT($B22&amp;"!AY$5")</f>
        <v/>
      </c>
      <c r="D22" s="306">
        <f>INDIRECT($B22&amp;"!AZ$5")</f>
        <v/>
      </c>
      <c r="E22" s="306">
        <f>INDIRECT($B22&amp;"!BA$5")</f>
        <v/>
      </c>
      <c r="F22" s="306">
        <f>INDIRECT($B22&amp;"!AX$21")</f>
        <v/>
      </c>
      <c r="G22" s="306">
        <f>INDIRECT($B22&amp;"!AY$21")</f>
        <v/>
      </c>
      <c r="H22" s="306">
        <f>INDIRECT($B22&amp;"!AZ$21")</f>
        <v/>
      </c>
      <c r="I22" s="306">
        <f>INDIRECT($B22&amp;"!BA$21")</f>
        <v/>
      </c>
      <c r="J22" s="306">
        <f>INDIRECT($B22&amp;"!BB$21")</f>
        <v/>
      </c>
      <c r="K22" s="306">
        <f>INDIRECT($B22&amp;"!BC$21")</f>
        <v/>
      </c>
      <c r="L22" s="306">
        <f>INDIRECT($B22&amp;"!BD$21")</f>
        <v/>
      </c>
      <c r="M22" s="306">
        <f>INDIRECT($B22&amp;"!BE$21")</f>
        <v/>
      </c>
      <c r="N22" s="306">
        <f>INDIRECT($B22&amp;"!BC$5")</f>
        <v/>
      </c>
    </row>
    <row r="23">
      <c r="B23" s="231" t="inlineStr">
        <is>
          <t>Cricket_Player</t>
        </is>
      </c>
      <c r="C23" s="306">
        <f>INDIRECT($B23&amp;"!AY$5")</f>
        <v/>
      </c>
      <c r="D23" s="306">
        <f>INDIRECT($B23&amp;"!AZ$5")</f>
        <v/>
      </c>
      <c r="E23" s="306">
        <f>INDIRECT($B23&amp;"!BA$5")</f>
        <v/>
      </c>
      <c r="F23" s="306">
        <f>INDIRECT($B23&amp;"!AX$21")</f>
        <v/>
      </c>
      <c r="G23" s="306">
        <f>INDIRECT($B23&amp;"!AY$21")</f>
        <v/>
      </c>
      <c r="H23" s="306">
        <f>INDIRECT($B23&amp;"!AZ$21")</f>
        <v/>
      </c>
      <c r="I23" s="306">
        <f>INDIRECT($B23&amp;"!BA$21")</f>
        <v/>
      </c>
      <c r="J23" s="306">
        <f>INDIRECT($B23&amp;"!BB$21")</f>
        <v/>
      </c>
      <c r="K23" s="306">
        <f>INDIRECT($B23&amp;"!BC$21")</f>
        <v/>
      </c>
      <c r="L23" s="306">
        <f>INDIRECT($B23&amp;"!BD$21")</f>
        <v/>
      </c>
      <c r="M23" s="306">
        <f>INDIRECT($B23&amp;"!BE$21")</f>
        <v/>
      </c>
      <c r="N23" s="306">
        <f>INDIRECT($B23&amp;"!BC$5")</f>
        <v/>
      </c>
    </row>
    <row r="24">
      <c r="B24" s="231" t="inlineStr">
        <is>
          <t>Tango_Duo</t>
        </is>
      </c>
      <c r="C24" s="306">
        <f>INDIRECT($B24&amp;"!AY$5")</f>
        <v/>
      </c>
      <c r="D24" s="306">
        <f>INDIRECT($B24&amp;"!AZ$5")</f>
        <v/>
      </c>
      <c r="E24" s="306">
        <f>INDIRECT($B24&amp;"!BA$5")</f>
        <v/>
      </c>
      <c r="F24" s="306">
        <f>INDIRECT($B24&amp;"!AX$21")</f>
        <v/>
      </c>
      <c r="G24" s="306">
        <f>INDIRECT($B24&amp;"!AY$21")</f>
        <v/>
      </c>
      <c r="H24" s="306">
        <f>INDIRECT($B24&amp;"!AZ$21")</f>
        <v/>
      </c>
      <c r="I24" s="306">
        <f>INDIRECT($B24&amp;"!BA$21")</f>
        <v/>
      </c>
      <c r="J24" s="306">
        <f>INDIRECT($B24&amp;"!BB$21")</f>
        <v/>
      </c>
      <c r="K24" s="306">
        <f>INDIRECT($B24&amp;"!BC$21")</f>
        <v/>
      </c>
      <c r="L24" s="306">
        <f>INDIRECT($B24&amp;"!BD$21")</f>
        <v/>
      </c>
      <c r="M24" s="306">
        <f>INDIRECT($B24&amp;"!BE$21")</f>
        <v/>
      </c>
      <c r="N24" s="306">
        <f>INDIRECT($B24&amp;"!BC$5")</f>
        <v/>
      </c>
    </row>
    <row r="25">
      <c r="B25" s="231" t="inlineStr">
        <is>
          <t>Solo_Tango_Female</t>
        </is>
      </c>
      <c r="C25" s="306">
        <f>INDIRECT($B25&amp;"!AY$5")</f>
        <v/>
      </c>
      <c r="D25" s="306">
        <f>INDIRECT($B25&amp;"!AZ$5")</f>
        <v/>
      </c>
      <c r="E25" s="306">
        <f>INDIRECT($B25&amp;"!BA$5")</f>
        <v/>
      </c>
      <c r="F25" s="306">
        <f>INDIRECT($B25&amp;"!AX$21")</f>
        <v/>
      </c>
      <c r="G25" s="306">
        <f>INDIRECT($B25&amp;"!AY$21")</f>
        <v/>
      </c>
      <c r="H25" s="306">
        <f>INDIRECT($B25&amp;"!AZ$21")</f>
        <v/>
      </c>
      <c r="I25" s="306">
        <f>INDIRECT($B25&amp;"!BA$21")</f>
        <v/>
      </c>
      <c r="J25" s="306">
        <f>INDIRECT($B25&amp;"!BB$21")</f>
        <v/>
      </c>
      <c r="K25" s="306">
        <f>INDIRECT($B25&amp;"!BC$21")</f>
        <v/>
      </c>
      <c r="L25" s="306">
        <f>INDIRECT($B25&amp;"!BD$21")</f>
        <v/>
      </c>
      <c r="M25" s="306">
        <f>INDIRECT($B25&amp;"!BE$21")</f>
        <v/>
      </c>
      <c r="N25" s="306">
        <f>INDIRECT($B25&amp;"!BC$5")</f>
        <v/>
      </c>
    </row>
    <row r="26">
      <c r="B26" s="231" t="inlineStr">
        <is>
          <t>Solo_Tango_Male</t>
        </is>
      </c>
      <c r="C26" s="306">
        <f>INDIRECT($B26&amp;"!AY$5")</f>
        <v/>
      </c>
      <c r="D26" s="306">
        <f>INDIRECT($B26&amp;"!AZ$5")</f>
        <v/>
      </c>
      <c r="E26" s="306">
        <f>INDIRECT($B26&amp;"!BA$5")</f>
        <v/>
      </c>
      <c r="F26" s="306">
        <f>INDIRECT($B26&amp;"!AX$21")</f>
        <v/>
      </c>
      <c r="G26" s="306">
        <f>INDIRECT($B26&amp;"!AY$21")</f>
        <v/>
      </c>
      <c r="H26" s="306">
        <f>INDIRECT($B26&amp;"!AZ$21")</f>
        <v/>
      </c>
      <c r="I26" s="306">
        <f>INDIRECT($B26&amp;"!BA$21")</f>
        <v/>
      </c>
      <c r="J26" s="306">
        <f>INDIRECT($B26&amp;"!BB$21")</f>
        <v/>
      </c>
      <c r="K26" s="306">
        <f>INDIRECT($B26&amp;"!BC$21")</f>
        <v/>
      </c>
      <c r="L26" s="306">
        <f>INDIRECT($B26&amp;"!BD$21")</f>
        <v/>
      </c>
      <c r="M26" s="306">
        <f>INDIRECT($B26&amp;"!BE$21")</f>
        <v/>
      </c>
      <c r="N26" s="306">
        <f>INDIRECT($B26&amp;"!BC$5")</f>
        <v/>
      </c>
    </row>
    <row r="27">
      <c r="B27" s="231" t="inlineStr">
        <is>
          <t>BlueBackpack_UVGgs_0100</t>
        </is>
      </c>
      <c r="C27" s="306">
        <f>INDIRECT($B27&amp;"!AY$5")</f>
        <v/>
      </c>
      <c r="D27" s="306">
        <f>INDIRECT($B27&amp;"!AZ$5")</f>
        <v/>
      </c>
      <c r="E27" s="306">
        <f>INDIRECT($B27&amp;"!BA$5")</f>
        <v/>
      </c>
      <c r="F27" s="306">
        <f>INDIRECT($B27&amp;"!AX$21")</f>
        <v/>
      </c>
      <c r="G27" s="306">
        <f>INDIRECT($B27&amp;"!AY$21")</f>
        <v/>
      </c>
      <c r="H27" s="306">
        <f>INDIRECT($B27&amp;"!AZ$21")</f>
        <v/>
      </c>
      <c r="I27" s="306">
        <f>INDIRECT($B27&amp;"!BA$21")</f>
        <v/>
      </c>
      <c r="J27" s="306">
        <f>INDIRECT($B27&amp;"!BB$21")</f>
        <v/>
      </c>
      <c r="K27" s="306">
        <f>INDIRECT($B27&amp;"!BC$21")</f>
        <v/>
      </c>
      <c r="L27" s="306">
        <f>INDIRECT($B27&amp;"!BD$21")</f>
        <v/>
      </c>
      <c r="M27" s="306">
        <f>INDIRECT($B27&amp;"!BE$21")</f>
        <v/>
      </c>
      <c r="N27" s="306">
        <f>INDIRECT($B27&amp;"!BC$5")</f>
        <v/>
      </c>
    </row>
    <row r="28">
      <c r="B28" s="231" t="inlineStr">
        <is>
          <t>BlueBackpack_UVGgs_0200</t>
        </is>
      </c>
      <c r="C28" s="306">
        <f>INDIRECT($B28&amp;"!AY$5")</f>
        <v/>
      </c>
      <c r="D28" s="306">
        <f>INDIRECT($B28&amp;"!AZ$5")</f>
        <v/>
      </c>
      <c r="E28" s="306">
        <f>INDIRECT($B28&amp;"!BA$5")</f>
        <v/>
      </c>
      <c r="F28" s="306">
        <f>INDIRECT($B28&amp;"!AX$21")</f>
        <v/>
      </c>
      <c r="G28" s="306">
        <f>INDIRECT($B28&amp;"!AY$21")</f>
        <v/>
      </c>
      <c r="H28" s="306">
        <f>INDIRECT($B28&amp;"!AZ$21")</f>
        <v/>
      </c>
      <c r="I28" s="306">
        <f>INDIRECT($B28&amp;"!BA$21")</f>
        <v/>
      </c>
      <c r="J28" s="306">
        <f>INDIRECT($B28&amp;"!BB$21")</f>
        <v/>
      </c>
      <c r="K28" s="306">
        <f>INDIRECT($B28&amp;"!BC$21")</f>
        <v/>
      </c>
      <c r="L28" s="306">
        <f>INDIRECT($B28&amp;"!BD$21")</f>
        <v/>
      </c>
      <c r="M28" s="306">
        <f>INDIRECT($B28&amp;"!BE$21")</f>
        <v/>
      </c>
      <c r="N28" s="306">
        <f>INDIRECT($B28&amp;"!BC$5")</f>
        <v/>
      </c>
    </row>
    <row r="29">
      <c r="B29" s="231" t="inlineStr">
        <is>
          <t>FlowerDance_UVGgs_0000</t>
        </is>
      </c>
      <c r="C29" s="306">
        <f>INDIRECT($B29&amp;"!AY$5")</f>
        <v/>
      </c>
      <c r="D29" s="306">
        <f>INDIRECT($B29&amp;"!AZ$5")</f>
        <v/>
      </c>
      <c r="E29" s="306">
        <f>INDIRECT($B29&amp;"!BA$5")</f>
        <v/>
      </c>
      <c r="F29" s="306">
        <f>INDIRECT($B29&amp;"!AX$21")</f>
        <v/>
      </c>
      <c r="G29" s="306">
        <f>INDIRECT($B29&amp;"!AY$21")</f>
        <v/>
      </c>
      <c r="H29" s="306">
        <f>INDIRECT($B29&amp;"!AZ$21")</f>
        <v/>
      </c>
      <c r="I29" s="306">
        <f>INDIRECT($B29&amp;"!BA$21")</f>
        <v/>
      </c>
      <c r="J29" s="306">
        <f>INDIRECT($B29&amp;"!BB$21")</f>
        <v/>
      </c>
      <c r="K29" s="306">
        <f>INDIRECT($B29&amp;"!BC$21")</f>
        <v/>
      </c>
      <c r="L29" s="306">
        <f>INDIRECT($B29&amp;"!BD$21")</f>
        <v/>
      </c>
      <c r="M29" s="306">
        <f>INDIRECT($B29&amp;"!BE$21")</f>
        <v/>
      </c>
      <c r="N29" s="306">
        <f>INDIRECT($B29&amp;"!BC$5")</f>
        <v/>
      </c>
    </row>
    <row r="30">
      <c r="B30" s="231" t="inlineStr">
        <is>
          <t>FlowerDance_UVGgs_0200</t>
        </is>
      </c>
      <c r="C30" s="306">
        <f>INDIRECT($B30&amp;"!AY$5")</f>
        <v/>
      </c>
      <c r="D30" s="306">
        <f>INDIRECT($B30&amp;"!AZ$5")</f>
        <v/>
      </c>
      <c r="E30" s="306">
        <f>INDIRECT($B30&amp;"!BA$5")</f>
        <v/>
      </c>
      <c r="F30" s="306">
        <f>INDIRECT($B30&amp;"!AX$21")</f>
        <v/>
      </c>
      <c r="G30" s="306">
        <f>INDIRECT($B30&amp;"!AY$21")</f>
        <v/>
      </c>
      <c r="H30" s="306">
        <f>INDIRECT($B30&amp;"!AZ$21")</f>
        <v/>
      </c>
      <c r="I30" s="306">
        <f>INDIRECT($B30&amp;"!BA$21")</f>
        <v/>
      </c>
      <c r="J30" s="306">
        <f>INDIRECT($B30&amp;"!BB$21")</f>
        <v/>
      </c>
      <c r="K30" s="306">
        <f>INDIRECT($B30&amp;"!BC$21")</f>
        <v/>
      </c>
      <c r="L30" s="306">
        <f>INDIRECT($B30&amp;"!BD$21")</f>
        <v/>
      </c>
      <c r="M30" s="306">
        <f>INDIRECT($B30&amp;"!BE$21")</f>
        <v/>
      </c>
      <c r="N30" s="306">
        <f>INDIRECT($B30&amp;"!BC$5")</f>
        <v/>
      </c>
    </row>
    <row r="31">
      <c r="B31" s="231" t="inlineStr">
        <is>
          <t>Gymnast_UVGgs_0100</t>
        </is>
      </c>
      <c r="C31" s="306">
        <f>INDIRECT($B31&amp;"!AY$5")</f>
        <v/>
      </c>
      <c r="D31" s="306">
        <f>INDIRECT($B31&amp;"!AZ$5")</f>
        <v/>
      </c>
      <c r="E31" s="306">
        <f>INDIRECT($B31&amp;"!BA$5")</f>
        <v/>
      </c>
      <c r="F31" s="306">
        <f>INDIRECT($B31&amp;"!AX$21")</f>
        <v/>
      </c>
      <c r="G31" s="306">
        <f>INDIRECT($B31&amp;"!AY$21")</f>
        <v/>
      </c>
      <c r="H31" s="306">
        <f>INDIRECT($B31&amp;"!AZ$21")</f>
        <v/>
      </c>
      <c r="I31" s="306">
        <f>INDIRECT($B31&amp;"!BA$21")</f>
        <v/>
      </c>
      <c r="J31" s="306">
        <f>INDIRECT($B31&amp;"!BB$21")</f>
        <v/>
      </c>
      <c r="K31" s="306">
        <f>INDIRECT($B31&amp;"!BC$21")</f>
        <v/>
      </c>
      <c r="L31" s="306">
        <f>INDIRECT($B31&amp;"!BD$21")</f>
        <v/>
      </c>
      <c r="M31" s="306">
        <f>INDIRECT($B31&amp;"!BE$21")</f>
        <v/>
      </c>
      <c r="N31" s="306">
        <f>INDIRECT($B31&amp;"!BC$5")</f>
        <v/>
      </c>
    </row>
    <row r="32">
      <c r="B32" s="231" t="inlineStr">
        <is>
          <t>Gymnast_UVGgs_0200</t>
        </is>
      </c>
      <c r="C32" s="306">
        <f>INDIRECT($B32&amp;"!AY$5")</f>
        <v/>
      </c>
      <c r="D32" s="306">
        <f>INDIRECT($B32&amp;"!AZ$5")</f>
        <v/>
      </c>
      <c r="E32" s="306">
        <f>INDIRECT($B32&amp;"!BA$5")</f>
        <v/>
      </c>
      <c r="F32" s="306">
        <f>INDIRECT($B32&amp;"!AX$21")</f>
        <v/>
      </c>
      <c r="G32" s="306">
        <f>INDIRECT($B32&amp;"!AY$21")</f>
        <v/>
      </c>
      <c r="H32" s="306">
        <f>INDIRECT($B32&amp;"!AZ$21")</f>
        <v/>
      </c>
      <c r="I32" s="306">
        <f>INDIRECT($B32&amp;"!BA$21")</f>
        <v/>
      </c>
      <c r="J32" s="306">
        <f>INDIRECT($B32&amp;"!BB$21")</f>
        <v/>
      </c>
      <c r="K32" s="306">
        <f>INDIRECT($B32&amp;"!BC$21")</f>
        <v/>
      </c>
      <c r="L32" s="306">
        <f>INDIRECT($B32&amp;"!BD$21")</f>
        <v/>
      </c>
      <c r="M32" s="306">
        <f>INDIRECT($B32&amp;"!BE$21")</f>
        <v/>
      </c>
      <c r="N32" s="306">
        <f>INDIRECT($B32&amp;"!BC$5")</f>
        <v/>
      </c>
    </row>
    <row r="33">
      <c r="B33" s="231" t="inlineStr">
        <is>
          <t>artwork</t>
        </is>
      </c>
      <c r="C33" s="306">
        <f>INDIRECT($B33&amp;"!AY$5")</f>
        <v/>
      </c>
      <c r="D33" s="306">
        <f>INDIRECT($B33&amp;"!AZ$5")</f>
        <v/>
      </c>
      <c r="E33" s="306">
        <f>INDIRECT($B33&amp;"!BA$5")</f>
        <v/>
      </c>
      <c r="F33" s="306">
        <f>INDIRECT($B33&amp;"!AX$21")</f>
        <v/>
      </c>
      <c r="G33" s="306">
        <f>INDIRECT($B33&amp;"!AY$21")</f>
        <v/>
      </c>
      <c r="H33" s="306">
        <f>INDIRECT($B33&amp;"!AZ$21")</f>
        <v/>
      </c>
      <c r="I33" s="306">
        <f>INDIRECT($B33&amp;"!BA$21")</f>
        <v/>
      </c>
      <c r="J33" s="306">
        <f>INDIRECT($B33&amp;"!BB$21")</f>
        <v/>
      </c>
      <c r="K33" s="306">
        <f>INDIRECT($B33&amp;"!BC$21")</f>
        <v/>
      </c>
      <c r="L33" s="306">
        <f>INDIRECT($B33&amp;"!BD$21")</f>
        <v/>
      </c>
      <c r="M33" s="306">
        <f>INDIRECT($B33&amp;"!BE$21")</f>
        <v/>
      </c>
      <c r="N33" s="306">
        <f>INDIRECT($B33&amp;"!BC$5")</f>
        <v/>
      </c>
    </row>
    <row r="34">
      <c r="B34" s="231" t="inlineStr">
        <is>
          <t>panda</t>
        </is>
      </c>
      <c r="C34" s="306">
        <f>INDIRECT($B34&amp;"!AY$5")</f>
        <v/>
      </c>
      <c r="D34" s="306">
        <f>INDIRECT($B34&amp;"!AZ$5")</f>
        <v/>
      </c>
      <c r="E34" s="306">
        <f>INDIRECT($B34&amp;"!BA$5")</f>
        <v/>
      </c>
      <c r="F34" s="306">
        <f>INDIRECT($B34&amp;"!AX$21")</f>
        <v/>
      </c>
      <c r="G34" s="306">
        <f>INDIRECT($B34&amp;"!AY$21")</f>
        <v/>
      </c>
      <c r="H34" s="306">
        <f>INDIRECT($B34&amp;"!AZ$21")</f>
        <v/>
      </c>
      <c r="I34" s="306">
        <f>INDIRECT($B34&amp;"!BA$21")</f>
        <v/>
      </c>
      <c r="J34" s="306">
        <f>INDIRECT($B34&amp;"!BB$21")</f>
        <v/>
      </c>
      <c r="K34" s="306">
        <f>INDIRECT($B34&amp;"!BC$21")</f>
        <v/>
      </c>
      <c r="L34" s="306">
        <f>INDIRECT($B34&amp;"!BD$21")</f>
        <v/>
      </c>
      <c r="M34" s="306">
        <f>INDIRECT($B34&amp;"!BE$21")</f>
        <v/>
      </c>
      <c r="N34" s="306">
        <f>INDIRECT($B34&amp;"!BC$5")</f>
        <v/>
      </c>
    </row>
    <row r="35" ht="15" customHeight="1" s="270" thickBot="1">
      <c r="B35" s="231" t="inlineStr">
        <is>
          <t>wukong</t>
        </is>
      </c>
      <c r="C35" s="306">
        <f>INDIRECT($B35&amp;"!AY$5")</f>
        <v/>
      </c>
      <c r="D35" s="306">
        <f>INDIRECT($B35&amp;"!AZ$5")</f>
        <v/>
      </c>
      <c r="E35" s="306">
        <f>INDIRECT($B35&amp;"!BA$5")</f>
        <v/>
      </c>
      <c r="F35" s="306">
        <f>INDIRECT($B35&amp;"!AX$21")</f>
        <v/>
      </c>
      <c r="G35" s="306">
        <f>INDIRECT($B35&amp;"!AY$21")</f>
        <v/>
      </c>
      <c r="H35" s="306">
        <f>INDIRECT($B35&amp;"!AZ$21")</f>
        <v/>
      </c>
      <c r="I35" s="306">
        <f>INDIRECT($B35&amp;"!BA$21")</f>
        <v/>
      </c>
      <c r="J35" s="306">
        <f>INDIRECT($B35&amp;"!BB$21")</f>
        <v/>
      </c>
      <c r="K35" s="306">
        <f>INDIRECT($B35&amp;"!BC$21")</f>
        <v/>
      </c>
      <c r="L35" s="306">
        <f>INDIRECT($B35&amp;"!BD$21")</f>
        <v/>
      </c>
      <c r="M35" s="306">
        <f>INDIRECT($B35&amp;"!BE$21")</f>
        <v/>
      </c>
      <c r="N35" s="306">
        <f>INDIRECT($B35&amp;"!BC$5")</f>
        <v/>
      </c>
    </row>
    <row r="36" ht="16.2" customHeight="1" s="270" thickBot="1">
      <c r="B36" s="25" t="inlineStr">
        <is>
          <t>Average</t>
        </is>
      </c>
      <c r="C36" s="308">
        <f>IF(COUNTIF(C18:C35,"=0")&gt;0,0,AVERAGE(C18:C35))</f>
        <v/>
      </c>
      <c r="D36" s="308">
        <f>IF(COUNTIF(D18:D35,"=0")&gt;0,0,AVERAGE(D18:D35))</f>
        <v/>
      </c>
      <c r="E36" s="308">
        <f>IF(COUNTIF(E18:E35,"=0")&gt;0,0,AVERAGE(E18:E35))</f>
        <v/>
      </c>
      <c r="F36" s="308">
        <f>IF(COUNTIF(F18:F35,"=0")&gt;0,0,AVERAGE(F18:F35))</f>
        <v/>
      </c>
      <c r="G36" s="308">
        <f>IF(COUNTIF(G18:G35,"=0")&gt;0,0,AVERAGE(G18:G35))</f>
        <v/>
      </c>
      <c r="H36" s="308">
        <f>IF(COUNTIF(H18:H35,"=0")&gt;0,0,AVERAGE(H18:H35))</f>
        <v/>
      </c>
      <c r="I36" s="308">
        <f>IF(COUNTIF(I18:I35,"=0")&gt;0,0,AVERAGE(I18:I35))</f>
        <v/>
      </c>
      <c r="J36" s="308">
        <f>IF(COUNTIF(J18:J35,"=0")&gt;0,0,AVERAGE(J18:J35))</f>
        <v/>
      </c>
      <c r="K36" s="308">
        <f>IF(COUNTIF(K18:K35,"=0")&gt;0,0,AVERAGE(K18:K35))</f>
        <v/>
      </c>
      <c r="L36" s="308">
        <f>IF(COUNTIF(L18:L35,"=0")&gt;0,0,AVERAGE(L18:L35))</f>
        <v/>
      </c>
      <c r="M36" s="308">
        <f>IF(COUNTIF(M18:M35,"=0")&gt;0,0,AVERAGE(M18:M35))</f>
        <v/>
      </c>
      <c r="N36" s="308">
        <f>IF(COUNTIF(N18:N35,"=0")&gt;0,0,AVERAGE(N18:N35))</f>
        <v/>
      </c>
    </row>
  </sheetData>
  <mergeCells count="4">
    <mergeCell ref="B7:O7"/>
    <mergeCell ref="C3:O3"/>
    <mergeCell ref="B16:O16"/>
    <mergeCell ref="C4:O4"/>
  </mergeCells>
  <conditionalFormatting sqref="C9:E12 C18:E36 N9:N12">
    <cfRule type="cellIs" priority="37" operator="lessThan" dxfId="1781">
      <formula>-0.03</formula>
    </cfRule>
    <cfRule type="cellIs" priority="38" operator="greaterThan" dxfId="1780">
      <formula>0.03</formula>
    </cfRule>
  </conditionalFormatting>
  <conditionalFormatting sqref="N18:N35">
    <cfRule type="cellIs" priority="1" operator="lessThan" dxfId="1781">
      <formula>-0.03</formula>
    </cfRule>
    <cfRule type="cellIs" priority="2" operator="greaterThan" dxfId="1780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A1:AF277"/>
  <sheetViews>
    <sheetView topLeftCell="G1" workbookViewId="0">
      <selection activeCell="BE10" sqref="BE10"/>
    </sheetView>
  </sheetViews>
  <sheetFormatPr baseColWidth="8" defaultColWidth="9" defaultRowHeight="15.6" outlineLevelCol="0"/>
  <cols>
    <col width="1.59765625" bestFit="1" customWidth="1" style="270" min="1" max="1"/>
    <col width="19.59765625" customWidth="1" style="270" min="2" max="2"/>
    <col width="9.3984375" customWidth="1" style="270" min="3" max="3"/>
    <col width="14.3984375" customWidth="1" style="270" min="4" max="4"/>
    <col width="4.59765625" customWidth="1" style="270" min="5" max="5"/>
    <col width="18.5" bestFit="1" customWidth="1" style="270" min="6" max="6"/>
    <col width="9.3984375" customWidth="1" style="270" min="7" max="7"/>
    <col width="14.3984375" customWidth="1" style="270" min="8" max="8"/>
    <col width="4.59765625" customWidth="1" style="270" min="9" max="9"/>
    <col width="9.59765625" customWidth="1" style="270" min="10" max="10"/>
    <col width="4.59765625" customWidth="1" style="270" min="11" max="11"/>
    <col width="14.3984375" bestFit="1" customWidth="1" style="270" min="12" max="12"/>
    <col width="21.59765625" bestFit="1" customWidth="1" style="270" min="13" max="13"/>
    <col width="7.59765625" bestFit="1" customWidth="1" style="270" min="14" max="14"/>
    <col width="4.59765625" customWidth="1" style="270" min="15" max="15"/>
    <col width="9.59765625" bestFit="1" customWidth="1" style="270" min="16" max="16"/>
    <col width="4.59765625" customWidth="1" style="270" min="17" max="17"/>
    <col width="84.59765625" customWidth="1" style="270" min="18" max="18"/>
    <col width="6.5" bestFit="1" customWidth="1" style="270" min="19" max="19"/>
    <col width="9.59765625" bestFit="1" customWidth="1" style="270" min="20" max="20"/>
    <col width="1.59765625" bestFit="1" customWidth="1" style="270" min="21" max="21"/>
    <col width="7.59765625" bestFit="1" customWidth="1" style="270" min="22" max="22"/>
    <col width="1.59765625" bestFit="1" customWidth="1" style="270" min="23" max="23"/>
    <col width="14.3984375" bestFit="1" customWidth="1" style="270" min="24" max="24"/>
    <col width="16.09765625" bestFit="1" customWidth="1" style="270" min="25" max="25"/>
    <col width="5.09765625" bestFit="1" customWidth="1" style="270" min="26" max="26"/>
    <col width="1.59765625" bestFit="1" customWidth="1" style="270" min="27" max="27"/>
    <col width="9" bestFit="1" customWidth="1" style="268" min="28" max="28"/>
    <col width="9" customWidth="1" style="270" min="29" max="29"/>
    <col width="1.3984375" bestFit="1" customWidth="1" style="270" min="30" max="30"/>
    <col width="80.59765625" customWidth="1" style="270" min="31" max="31"/>
    <col width="1.3984375" bestFit="1" customWidth="1" style="270" min="32" max="32"/>
    <col width="9" customWidth="1" style="270" min="33" max="38"/>
  </cols>
  <sheetData>
    <row r="1">
      <c r="AD1" s="10" t="inlineStr">
        <is>
          <t> </t>
        </is>
      </c>
      <c r="AF1" s="10" t="inlineStr">
        <is>
          <t> </t>
        </is>
      </c>
    </row>
    <row r="2">
      <c r="B2" s="271">
        <f>'Summary (auto)'!C3</f>
        <v/>
      </c>
      <c r="E2" s="266" t="n"/>
      <c r="F2" s="271">
        <f>'Summary (auto)'!C4</f>
        <v/>
      </c>
      <c r="I2" s="268" t="n"/>
      <c r="J2" s="261" t="inlineStr">
        <is>
          <t>Rate</t>
        </is>
      </c>
      <c r="K2" s="268" t="n"/>
      <c r="L2" s="261" t="inlineStr">
        <is>
          <t>Distortion</t>
        </is>
      </c>
      <c r="O2" s="268" t="n"/>
      <c r="P2" s="261" t="inlineStr">
        <is>
          <t>BD-rate</t>
        </is>
      </c>
      <c r="U2" s="261" t="n"/>
      <c r="V2" s="261" t="n"/>
    </row>
    <row r="3" ht="16.5" customHeight="1" s="270" thickBot="1">
      <c r="A3" s="189" t="inlineStr">
        <is>
          <t>  </t>
        </is>
      </c>
      <c r="B3" s="266" t="n"/>
      <c r="C3" s="266" t="n"/>
      <c r="D3" s="266" t="n"/>
      <c r="E3" s="266" t="n"/>
      <c r="F3" s="266" t="n"/>
      <c r="G3" s="266" t="n"/>
      <c r="H3" s="266" t="n"/>
      <c r="I3" s="268" t="n"/>
      <c r="J3" s="268" t="n"/>
      <c r="K3" s="190" t="inlineStr">
        <is>
          <t>  </t>
        </is>
      </c>
      <c r="L3" s="105" t="inlineStr">
        <is>
          <t>F</t>
        </is>
      </c>
      <c r="M3" s="105" t="inlineStr">
        <is>
          <t>AD</t>
        </is>
      </c>
      <c r="N3" s="268" t="n"/>
      <c r="O3" s="190" t="inlineStr">
        <is>
          <t>  </t>
        </is>
      </c>
      <c r="P3" s="268" t="n"/>
      <c r="U3" s="189" t="inlineStr">
        <is>
          <t>  </t>
        </is>
      </c>
      <c r="W3" s="189" t="inlineStr">
        <is>
          <t>  </t>
        </is>
      </c>
    </row>
    <row r="4">
      <c r="B4" s="312" t="inlineStr">
        <is>
          <t>bartender_track</t>
        </is>
      </c>
      <c r="C4" s="313" t="n"/>
      <c r="D4" s="314" t="n"/>
      <c r="E4" s="2" t="n"/>
      <c r="F4" s="312">
        <f>B4</f>
        <v/>
      </c>
      <c r="G4" s="313" t="n"/>
      <c r="H4" s="314" t="n"/>
      <c r="I4" s="2" t="n"/>
      <c r="J4" s="265" t="n"/>
      <c r="L4" s="265">
        <f>F4</f>
        <v/>
      </c>
      <c r="M4" s="313" t="n"/>
      <c r="N4" s="314" t="n"/>
      <c r="O4" s="195" t="n"/>
      <c r="P4" s="265" t="n"/>
      <c r="Q4" s="195" t="n"/>
      <c r="R4" s="195" t="n"/>
      <c r="S4" s="195" t="n"/>
      <c r="T4" s="195" t="n"/>
      <c r="U4" s="268" t="n"/>
      <c r="V4" s="268" t="n"/>
      <c r="X4" s="268" t="n"/>
    </row>
    <row r="5">
      <c r="B5" s="263" t="inlineStr">
        <is>
          <t>Test</t>
        </is>
      </c>
      <c r="D5" s="87" t="inlineStr">
        <is>
          <t>Bitrate [Mbps]</t>
        </is>
      </c>
      <c r="E5" s="315" t="n"/>
      <c r="F5" s="263" t="inlineStr">
        <is>
          <t>Test</t>
        </is>
      </c>
      <c r="H5" s="87" t="inlineStr">
        <is>
          <t>Bitrate [Mbps]</t>
        </is>
      </c>
      <c r="I5" s="9" t="n"/>
      <c r="J5" s="267" t="inlineStr">
        <is>
          <t>%</t>
        </is>
      </c>
      <c r="L5" s="267" t="inlineStr">
        <is>
          <t>RGB-PSNR</t>
        </is>
      </c>
      <c r="N5" s="316" t="n"/>
      <c r="O5" s="85" t="n"/>
      <c r="P5" s="3" t="n"/>
      <c r="Q5" s="85" t="n"/>
      <c r="R5" s="261" t="n"/>
      <c r="U5" s="261" t="n"/>
      <c r="V5" s="261" t="n"/>
      <c r="X5" s="261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315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317">
        <f>0.001*INDIRECT($B7&amp;"!E5")</f>
        <v/>
      </c>
      <c r="E7" s="315" t="n"/>
      <c r="F7" s="122">
        <f>F4</f>
        <v/>
      </c>
      <c r="G7" s="130" t="inlineStr">
        <is>
          <t>r01</t>
        </is>
      </c>
      <c r="H7" s="317">
        <f>0.001*INDIRECT($B7&amp;"!AC5")</f>
        <v/>
      </c>
      <c r="I7" s="9" t="n"/>
      <c r="J7" s="318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315" t="n"/>
      <c r="P7" s="318">
        <f>bdRateExtend(D7:D11,L7:L11,H7:H11,M7:M11)</f>
        <v/>
      </c>
      <c r="Q7" s="315" t="n"/>
      <c r="R7" s="9" t="n"/>
      <c r="S7" s="9" t="n"/>
      <c r="T7" s="9" t="n"/>
      <c r="U7" s="9" t="n"/>
      <c r="V7" s="319" t="n"/>
      <c r="X7" s="6" t="n"/>
      <c r="Y7" s="6" t="n"/>
      <c r="Z7" s="81" t="n"/>
      <c r="AB7" s="320" t="n"/>
    </row>
    <row r="8">
      <c r="B8" s="122">
        <f>B7</f>
        <v/>
      </c>
      <c r="C8" s="130" t="inlineStr">
        <is>
          <t>r02</t>
        </is>
      </c>
      <c r="D8" s="317">
        <f>0.001*INDIRECT($B8&amp;"!E6")</f>
        <v/>
      </c>
      <c r="E8" s="315" t="n"/>
      <c r="F8" s="122">
        <f>F7</f>
        <v/>
      </c>
      <c r="G8" s="130" t="inlineStr">
        <is>
          <t>r02</t>
        </is>
      </c>
      <c r="H8" s="317">
        <f>0.001*INDIRECT($B8&amp;"!AC6")</f>
        <v/>
      </c>
      <c r="I8" s="9" t="n"/>
      <c r="J8" s="318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315" t="n"/>
      <c r="P8" s="3" t="n"/>
      <c r="Q8" s="315" t="n"/>
      <c r="R8" s="9" t="n"/>
      <c r="S8" s="9" t="n"/>
      <c r="T8" s="9" t="n"/>
      <c r="U8" s="9" t="n"/>
      <c r="V8" s="319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317">
        <f>0.001*INDIRECT($B9&amp;"!E7")</f>
        <v/>
      </c>
      <c r="E9" s="315" t="n"/>
      <c r="F9" s="122">
        <f>F8</f>
        <v/>
      </c>
      <c r="G9" s="130" t="inlineStr">
        <is>
          <t>r03</t>
        </is>
      </c>
      <c r="H9" s="317">
        <f>0.001*INDIRECT($B9&amp;"!AC7")</f>
        <v/>
      </c>
      <c r="I9" s="9" t="n"/>
      <c r="J9" s="318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315" t="n"/>
      <c r="P9" s="3" t="n"/>
      <c r="Q9" s="315" t="n"/>
      <c r="R9" s="9" t="n"/>
      <c r="S9" s="9" t="n"/>
      <c r="T9" s="9" t="n"/>
      <c r="U9" s="9" t="n"/>
      <c r="V9" s="319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317">
        <f>0.001*INDIRECT($B10&amp;"!E8")</f>
        <v/>
      </c>
      <c r="E10" s="315" t="n"/>
      <c r="F10" s="122">
        <f>F9</f>
        <v/>
      </c>
      <c r="G10" s="130" t="inlineStr">
        <is>
          <t>r04</t>
        </is>
      </c>
      <c r="H10" s="317">
        <f>0.001*INDIRECT($B10&amp;"!AC8")</f>
        <v/>
      </c>
      <c r="I10" s="9" t="n"/>
      <c r="J10" s="318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315" t="n"/>
      <c r="P10" s="318" t="n"/>
      <c r="Q10" s="315" t="n"/>
      <c r="R10" s="9" t="n"/>
      <c r="S10" s="9" t="n"/>
      <c r="T10" s="9" t="n"/>
      <c r="U10" s="9" t="n"/>
      <c r="V10" s="319" t="n"/>
      <c r="X10" s="6" t="n"/>
      <c r="Y10" s="6" t="n"/>
      <c r="Z10" s="81" t="n"/>
    </row>
    <row r="11" ht="16.5" customHeight="1" s="270" thickBot="1">
      <c r="B11" s="122">
        <f>B10</f>
        <v/>
      </c>
      <c r="C11" s="130" t="inlineStr">
        <is>
          <t>r05</t>
        </is>
      </c>
      <c r="D11" s="317">
        <f>0.001*INDIRECT($B11&amp;"!E9")</f>
        <v/>
      </c>
      <c r="E11" s="315" t="n"/>
      <c r="F11" s="122">
        <f>F10</f>
        <v/>
      </c>
      <c r="G11" s="130" t="inlineStr">
        <is>
          <t>r05</t>
        </is>
      </c>
      <c r="H11" s="317">
        <f>0.001*INDIRECT($B11&amp;"!AC9")</f>
        <v/>
      </c>
      <c r="I11" s="9" t="n"/>
      <c r="J11" s="318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315" t="n"/>
      <c r="P11" s="321" t="n"/>
      <c r="Q11" s="315" t="n"/>
      <c r="R11" s="9" t="n"/>
      <c r="S11" s="9" t="n"/>
      <c r="T11" s="9" t="n"/>
      <c r="U11" s="9" t="n"/>
      <c r="V11" s="319" t="n"/>
      <c r="X11" s="6" t="n"/>
      <c r="Y11" s="6" t="n"/>
      <c r="Z11" s="81" t="n"/>
      <c r="AB11" s="320" t="n"/>
    </row>
    <row r="12" ht="16.5" customHeight="1" s="270">
      <c r="B12" s="109" t="n"/>
      <c r="C12" s="110" t="n"/>
      <c r="D12" s="322" t="n"/>
      <c r="F12" s="109" t="n"/>
      <c r="G12" s="110" t="n"/>
      <c r="H12" s="322" t="n"/>
      <c r="J12" s="98">
        <f>MIN(D7:D11,H7:H11)</f>
        <v/>
      </c>
      <c r="L12" s="99" t="n"/>
      <c r="M12" s="100" t="n"/>
      <c r="N12" s="101" t="n"/>
      <c r="O12" s="315" t="n"/>
      <c r="P12" s="265" t="n"/>
      <c r="Q12" s="315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70" thickBot="1">
      <c r="B13" s="89" t="n"/>
      <c r="C13" s="92" t="n"/>
      <c r="D13" s="323" t="n"/>
      <c r="E13" s="315" t="n"/>
      <c r="F13" s="89" t="n"/>
      <c r="G13" s="92" t="n"/>
      <c r="H13" s="323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315" t="n"/>
      <c r="P13" s="5" t="n"/>
      <c r="Q13" s="315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70" thickBot="1">
      <c r="B14" s="266" t="n"/>
      <c r="C14" s="266" t="n"/>
      <c r="D14" s="324" t="n"/>
      <c r="E14" s="315" t="n"/>
      <c r="F14" s="266" t="n"/>
      <c r="G14" s="266" t="n"/>
      <c r="H14" s="324" t="n"/>
      <c r="I14" s="9" t="n"/>
      <c r="J14" s="212" t="n"/>
      <c r="L14" s="213" t="n"/>
      <c r="M14" s="213" t="n"/>
      <c r="N14" s="214" t="n"/>
      <c r="O14" s="315" t="n"/>
      <c r="P14" s="268" t="n"/>
      <c r="Q14" s="315" t="n"/>
      <c r="R14" s="9" t="n"/>
      <c r="S14" s="9" t="n"/>
      <c r="T14" s="9" t="n"/>
      <c r="U14" s="9" t="n"/>
      <c r="V14" s="83" t="n"/>
      <c r="X14" s="84" t="n"/>
      <c r="Y14" s="84" t="n"/>
      <c r="Z14" s="81" t="n"/>
    </row>
    <row r="15">
      <c r="B15" s="312" t="inlineStr">
        <is>
          <t>breakfast_track</t>
        </is>
      </c>
      <c r="C15" s="313" t="n"/>
      <c r="D15" s="314" t="n"/>
      <c r="E15" s="2" t="n"/>
      <c r="F15" s="312">
        <f>B15</f>
        <v/>
      </c>
      <c r="G15" s="313" t="n"/>
      <c r="H15" s="314" t="n"/>
      <c r="I15" s="2" t="n"/>
      <c r="J15" s="265" t="n"/>
      <c r="L15" s="265">
        <f>F15</f>
        <v/>
      </c>
      <c r="M15" s="313" t="n"/>
      <c r="N15" s="314" t="n"/>
      <c r="O15" s="195" t="n"/>
      <c r="P15" s="265" t="n"/>
      <c r="Q15" s="195" t="n"/>
      <c r="R15" s="195" t="n"/>
      <c r="S15" s="195" t="n"/>
      <c r="T15" s="195" t="n"/>
      <c r="U15" s="268" t="n"/>
      <c r="V15" s="268" t="n"/>
      <c r="X15" s="268" t="n"/>
    </row>
    <row r="16">
      <c r="B16" s="263" t="inlineStr">
        <is>
          <t>Test</t>
        </is>
      </c>
      <c r="D16" s="87" t="inlineStr">
        <is>
          <t>Bitrate [Mbps]</t>
        </is>
      </c>
      <c r="E16" s="315" t="n"/>
      <c r="F16" s="263" t="inlineStr">
        <is>
          <t>Test</t>
        </is>
      </c>
      <c r="H16" s="87" t="inlineStr">
        <is>
          <t>Bitrate [Mbps]</t>
        </is>
      </c>
      <c r="I16" s="9" t="n"/>
      <c r="J16" s="267" t="inlineStr">
        <is>
          <t>%</t>
        </is>
      </c>
      <c r="L16" s="267" t="inlineStr">
        <is>
          <t>RGB-PSNR</t>
        </is>
      </c>
      <c r="N16" s="316" t="n"/>
      <c r="O16" s="85" t="n"/>
      <c r="P16" s="3" t="n"/>
      <c r="Q16" s="85" t="n"/>
      <c r="R16" s="261" t="n"/>
      <c r="U16" s="261" t="n"/>
      <c r="V16" s="261" t="n"/>
      <c r="X16" s="261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315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317">
        <f>0.001*INDIRECT($B18&amp;"!E5")</f>
        <v/>
      </c>
      <c r="E18" s="315" t="n"/>
      <c r="F18" s="122">
        <f>F15</f>
        <v/>
      </c>
      <c r="G18" s="130" t="inlineStr">
        <is>
          <t>r01</t>
        </is>
      </c>
      <c r="H18" s="317">
        <f>0.001*INDIRECT($B18&amp;"!AC5")</f>
        <v/>
      </c>
      <c r="I18" s="9" t="n"/>
      <c r="J18" s="318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315" t="n"/>
      <c r="P18" s="318">
        <f>bdRateExtend(D18:D22,L18:L22,H18:H22,M18:M22)</f>
        <v/>
      </c>
      <c r="Q18" s="315" t="n"/>
      <c r="R18" s="9" t="n"/>
      <c r="S18" s="9" t="n"/>
      <c r="T18" s="9" t="n"/>
      <c r="U18" s="9" t="n"/>
      <c r="V18" s="319" t="n"/>
      <c r="X18" s="6" t="n"/>
      <c r="Y18" s="6" t="n"/>
      <c r="Z18" s="81" t="n"/>
      <c r="AB18" s="320" t="n"/>
    </row>
    <row r="19">
      <c r="B19" s="122">
        <f>B18</f>
        <v/>
      </c>
      <c r="C19" s="130" t="inlineStr">
        <is>
          <t>r02</t>
        </is>
      </c>
      <c r="D19" s="317">
        <f>0.001*INDIRECT($B19&amp;"!E6")</f>
        <v/>
      </c>
      <c r="E19" s="315" t="n"/>
      <c r="F19" s="122">
        <f>F18</f>
        <v/>
      </c>
      <c r="G19" s="130" t="inlineStr">
        <is>
          <t>r02</t>
        </is>
      </c>
      <c r="H19" s="317">
        <f>0.001*INDIRECT($B19&amp;"!AC6")</f>
        <v/>
      </c>
      <c r="I19" s="9" t="n"/>
      <c r="J19" s="318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315" t="n"/>
      <c r="P19" s="3" t="n"/>
      <c r="Q19" s="315" t="n"/>
      <c r="R19" s="9" t="n"/>
      <c r="S19" s="9" t="n"/>
      <c r="T19" s="9" t="n"/>
      <c r="U19" s="9" t="n"/>
      <c r="V19" s="319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317">
        <f>0.001*INDIRECT($B20&amp;"!E7")</f>
        <v/>
      </c>
      <c r="E20" s="315" t="n"/>
      <c r="F20" s="122">
        <f>F19</f>
        <v/>
      </c>
      <c r="G20" s="130" t="inlineStr">
        <is>
          <t>r03</t>
        </is>
      </c>
      <c r="H20" s="317">
        <f>0.001*INDIRECT($B20&amp;"!AC7")</f>
        <v/>
      </c>
      <c r="I20" s="9" t="n"/>
      <c r="J20" s="318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315" t="n"/>
      <c r="P20" s="3" t="n"/>
      <c r="Q20" s="315" t="n"/>
      <c r="R20" s="9" t="n"/>
      <c r="S20" s="9" t="n"/>
      <c r="T20" s="9" t="n"/>
      <c r="U20" s="9" t="n"/>
      <c r="V20" s="319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317">
        <f>0.001*INDIRECT($B21&amp;"!E8")</f>
        <v/>
      </c>
      <c r="E21" s="315" t="n"/>
      <c r="F21" s="122">
        <f>F20</f>
        <v/>
      </c>
      <c r="G21" s="130" t="inlineStr">
        <is>
          <t>r04</t>
        </is>
      </c>
      <c r="H21" s="317">
        <f>0.001*INDIRECT($B21&amp;"!AC8")</f>
        <v/>
      </c>
      <c r="I21" s="9" t="n"/>
      <c r="J21" s="318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315" t="n"/>
      <c r="P21" s="318" t="n"/>
      <c r="Q21" s="315" t="n"/>
      <c r="R21" s="9" t="n"/>
      <c r="S21" s="9" t="n"/>
      <c r="T21" s="9" t="n"/>
      <c r="U21" s="9" t="n"/>
      <c r="V21" s="319" t="n"/>
      <c r="X21" s="6" t="n"/>
      <c r="Y21" s="6" t="n"/>
      <c r="Z21" s="81" t="n"/>
    </row>
    <row r="22" ht="16.5" customHeight="1" s="270" thickBot="1">
      <c r="B22" s="122">
        <f>B21</f>
        <v/>
      </c>
      <c r="C22" s="130" t="inlineStr">
        <is>
          <t>r05</t>
        </is>
      </c>
      <c r="D22" s="317">
        <f>0.001*INDIRECT($B22&amp;"!E9")</f>
        <v/>
      </c>
      <c r="E22" s="315" t="n"/>
      <c r="F22" s="122">
        <f>F21</f>
        <v/>
      </c>
      <c r="G22" s="130" t="inlineStr">
        <is>
          <t>r05</t>
        </is>
      </c>
      <c r="H22" s="317">
        <f>0.001*INDIRECT($B22&amp;"!AC9")</f>
        <v/>
      </c>
      <c r="I22" s="9" t="n"/>
      <c r="J22" s="318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315" t="n"/>
      <c r="P22" s="321" t="n"/>
      <c r="Q22" s="315" t="n"/>
      <c r="R22" s="9" t="n"/>
      <c r="S22" s="9" t="n"/>
      <c r="T22" s="9" t="n"/>
      <c r="U22" s="9" t="n"/>
      <c r="V22" s="319" t="n"/>
      <c r="X22" s="6" t="n"/>
      <c r="Y22" s="6" t="n"/>
      <c r="Z22" s="81" t="n"/>
      <c r="AB22" s="320" t="n"/>
    </row>
    <row r="23" ht="16.5" customHeight="1" s="270">
      <c r="B23" s="109" t="n"/>
      <c r="C23" s="110" t="n"/>
      <c r="D23" s="322" t="n"/>
      <c r="F23" s="109" t="n"/>
      <c r="G23" s="110" t="n"/>
      <c r="H23" s="322" t="n"/>
      <c r="J23" s="98">
        <f>MIN(D18:D22,H18:H22)</f>
        <v/>
      </c>
      <c r="L23" s="99" t="n"/>
      <c r="M23" s="100" t="n"/>
      <c r="N23" s="101" t="n"/>
      <c r="O23" s="315" t="n"/>
      <c r="P23" s="265" t="n"/>
      <c r="Q23" s="315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70" thickBot="1">
      <c r="B24" s="89" t="n"/>
      <c r="C24" s="92" t="n"/>
      <c r="D24" s="323" t="n"/>
      <c r="E24" s="315" t="n"/>
      <c r="F24" s="89" t="n"/>
      <c r="G24" s="92" t="n"/>
      <c r="H24" s="323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315" t="n"/>
      <c r="P24" s="5" t="n"/>
      <c r="Q24" s="315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70" thickBot="1"/>
    <row r="26">
      <c r="B26" s="312" t="inlineStr">
        <is>
          <t>cinema_track</t>
        </is>
      </c>
      <c r="C26" s="313" t="n"/>
      <c r="D26" s="314" t="n"/>
      <c r="E26" s="2" t="n"/>
      <c r="F26" s="312">
        <f>B26</f>
        <v/>
      </c>
      <c r="G26" s="313" t="n"/>
      <c r="H26" s="314" t="n"/>
      <c r="I26" s="2" t="n"/>
      <c r="J26" s="265" t="n"/>
      <c r="L26" s="265">
        <f>F26</f>
        <v/>
      </c>
      <c r="M26" s="313" t="n"/>
      <c r="N26" s="314" t="n"/>
      <c r="O26" s="195" t="n"/>
      <c r="P26" s="265" t="n"/>
      <c r="U26" s="268" t="n"/>
      <c r="V26" s="268" t="n"/>
      <c r="X26" s="268" t="n"/>
    </row>
    <row r="27">
      <c r="B27" s="263" t="inlineStr">
        <is>
          <t>Test</t>
        </is>
      </c>
      <c r="D27" s="87" t="inlineStr">
        <is>
          <t>Bitrate [Mbps]</t>
        </is>
      </c>
      <c r="E27" s="315" t="n"/>
      <c r="F27" s="263" t="inlineStr">
        <is>
          <t>Test</t>
        </is>
      </c>
      <c r="H27" s="87" t="inlineStr">
        <is>
          <t>Bitrate [Mbps]</t>
        </is>
      </c>
      <c r="I27" s="9" t="n"/>
      <c r="J27" s="267" t="inlineStr">
        <is>
          <t>%</t>
        </is>
      </c>
      <c r="L27" s="267" t="inlineStr">
        <is>
          <t>RGB-PSNR</t>
        </is>
      </c>
      <c r="N27" s="316" t="n"/>
      <c r="O27" s="85" t="n"/>
      <c r="P27" s="3" t="n"/>
      <c r="R27" s="261" t="n"/>
      <c r="U27" s="261" t="n"/>
      <c r="V27" s="261" t="n"/>
      <c r="X27" s="261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315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317">
        <f>0.001*INDIRECT($B29&amp;"!E5")</f>
        <v/>
      </c>
      <c r="E29" s="315" t="n"/>
      <c r="F29" s="122">
        <f>F26</f>
        <v/>
      </c>
      <c r="G29" s="130" t="inlineStr">
        <is>
          <t>r01</t>
        </is>
      </c>
      <c r="H29" s="317">
        <f>0.001*INDIRECT($B29&amp;"!AC5")</f>
        <v/>
      </c>
      <c r="I29" s="9" t="n"/>
      <c r="J29" s="318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315" t="n"/>
      <c r="P29" s="318">
        <f>bdRateExtend(D29:D33,L29:L33,H29:H33,M29:M33)</f>
        <v/>
      </c>
      <c r="Q29" s="315" t="n"/>
      <c r="R29" s="9" t="n"/>
      <c r="S29" s="9" t="n"/>
      <c r="T29" s="9" t="n"/>
      <c r="U29" s="9" t="n"/>
      <c r="V29" s="319" t="n"/>
      <c r="X29" s="6" t="n"/>
      <c r="Y29" s="6" t="n"/>
      <c r="Z29" s="81" t="n"/>
      <c r="AB29" s="320" t="n"/>
    </row>
    <row r="30">
      <c r="B30" s="122">
        <f>B29</f>
        <v/>
      </c>
      <c r="C30" s="130" t="inlineStr">
        <is>
          <t>r02</t>
        </is>
      </c>
      <c r="D30" s="317">
        <f>0.001*INDIRECT($B30&amp;"!E6")</f>
        <v/>
      </c>
      <c r="E30" s="315" t="n"/>
      <c r="F30" s="122">
        <f>F29</f>
        <v/>
      </c>
      <c r="G30" s="130" t="inlineStr">
        <is>
          <t>r02</t>
        </is>
      </c>
      <c r="H30" s="317">
        <f>0.001*INDIRECT($B30&amp;"!AC6")</f>
        <v/>
      </c>
      <c r="I30" s="9" t="n"/>
      <c r="J30" s="318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315" t="n"/>
      <c r="P30" s="3" t="n"/>
      <c r="Q30" s="315" t="n"/>
      <c r="R30" s="9" t="n"/>
      <c r="S30" s="9" t="n"/>
      <c r="T30" s="9" t="n"/>
      <c r="U30" s="9" t="n"/>
      <c r="V30" s="319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317">
        <f>0.001*INDIRECT($B31&amp;"!E7")</f>
        <v/>
      </c>
      <c r="E31" s="315" t="n"/>
      <c r="F31" s="122">
        <f>F30</f>
        <v/>
      </c>
      <c r="G31" s="130" t="inlineStr">
        <is>
          <t>r03</t>
        </is>
      </c>
      <c r="H31" s="317">
        <f>0.001*INDIRECT($B31&amp;"!AC7")</f>
        <v/>
      </c>
      <c r="I31" s="9" t="n"/>
      <c r="J31" s="318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315" t="n"/>
      <c r="P31" s="3" t="n"/>
      <c r="Q31" s="315" t="n"/>
      <c r="R31" s="9" t="n"/>
      <c r="S31" s="9" t="n"/>
      <c r="T31" s="9" t="n"/>
      <c r="U31" s="9" t="n"/>
      <c r="V31" s="319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317">
        <f>0.001*INDIRECT($B32&amp;"!E8")</f>
        <v/>
      </c>
      <c r="E32" s="315" t="n"/>
      <c r="F32" s="122">
        <f>F31</f>
        <v/>
      </c>
      <c r="G32" s="130" t="inlineStr">
        <is>
          <t>r04</t>
        </is>
      </c>
      <c r="H32" s="317">
        <f>0.001*INDIRECT($B32&amp;"!AC8")</f>
        <v/>
      </c>
      <c r="I32" s="9" t="n"/>
      <c r="J32" s="318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315" t="n"/>
      <c r="P32" s="318" t="n"/>
      <c r="Q32" s="315" t="n"/>
      <c r="R32" s="9" t="n"/>
      <c r="S32" s="9" t="n"/>
      <c r="T32" s="9" t="n"/>
      <c r="U32" s="9" t="n"/>
      <c r="V32" s="319" t="n"/>
      <c r="X32" s="6" t="n"/>
      <c r="Y32" s="6" t="n"/>
      <c r="Z32" s="81" t="n"/>
    </row>
    <row r="33" ht="16.5" customHeight="1" s="270" thickBot="1">
      <c r="B33" s="122">
        <f>B32</f>
        <v/>
      </c>
      <c r="C33" s="130" t="inlineStr">
        <is>
          <t>r05</t>
        </is>
      </c>
      <c r="D33" s="317">
        <f>0.001*INDIRECT($B33&amp;"!E9")</f>
        <v/>
      </c>
      <c r="E33" s="315" t="n"/>
      <c r="F33" s="122">
        <f>F32</f>
        <v/>
      </c>
      <c r="G33" s="130" t="inlineStr">
        <is>
          <t>r05</t>
        </is>
      </c>
      <c r="H33" s="317">
        <f>0.001*INDIRECT($B33&amp;"!AC9")</f>
        <v/>
      </c>
      <c r="I33" s="9" t="n"/>
      <c r="J33" s="318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315" t="n"/>
      <c r="P33" s="321" t="n"/>
      <c r="Q33" s="315" t="n"/>
      <c r="R33" s="9" t="n"/>
      <c r="S33" s="9" t="n"/>
      <c r="T33" s="9" t="n"/>
      <c r="U33" s="9" t="n"/>
      <c r="V33" s="319" t="n"/>
      <c r="X33" s="6" t="n"/>
      <c r="Y33" s="6" t="n"/>
      <c r="Z33" s="81" t="n"/>
      <c r="AB33" s="320" t="n"/>
    </row>
    <row r="34" ht="16.5" customHeight="1" s="270">
      <c r="B34" s="109" t="n"/>
      <c r="C34" s="110" t="n"/>
      <c r="D34" s="322" t="n"/>
      <c r="F34" s="109" t="n"/>
      <c r="G34" s="110" t="n"/>
      <c r="H34" s="322" t="n"/>
      <c r="J34" s="98">
        <f>MIN(D29:D33,H29:H33)</f>
        <v/>
      </c>
      <c r="L34" s="99" t="n"/>
      <c r="M34" s="100" t="n"/>
      <c r="N34" s="101" t="n"/>
      <c r="O34" s="315" t="n"/>
      <c r="P34" s="265" t="n"/>
      <c r="Q34" s="315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70" thickBot="1">
      <c r="B35" s="89" t="n"/>
      <c r="C35" s="92" t="n"/>
      <c r="D35" s="323" t="n"/>
      <c r="E35" s="315" t="n"/>
      <c r="F35" s="89" t="n"/>
      <c r="G35" s="92" t="n"/>
      <c r="H35" s="323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315" t="n"/>
      <c r="P35" s="5" t="n"/>
      <c r="Q35" s="315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70" thickBot="1"/>
    <row r="37">
      <c r="B37" s="312" t="inlineStr">
        <is>
          <t>ManWithFruit</t>
        </is>
      </c>
      <c r="C37" s="313" t="n"/>
      <c r="D37" s="314" t="n"/>
      <c r="E37" s="2" t="n"/>
      <c r="F37" s="312">
        <f>B37</f>
        <v/>
      </c>
      <c r="G37" s="313" t="n"/>
      <c r="H37" s="314" t="n"/>
      <c r="I37" s="2" t="n"/>
      <c r="J37" s="265" t="n"/>
      <c r="L37" s="265">
        <f>F37</f>
        <v/>
      </c>
      <c r="M37" s="313" t="n"/>
      <c r="N37" s="314" t="n"/>
      <c r="O37" s="195" t="n"/>
      <c r="P37" s="265" t="n"/>
      <c r="U37" s="268" t="n"/>
      <c r="V37" s="268" t="n"/>
      <c r="X37" s="268" t="n"/>
    </row>
    <row r="38">
      <c r="B38" s="263" t="inlineStr">
        <is>
          <t>Test</t>
        </is>
      </c>
      <c r="D38" s="87" t="inlineStr">
        <is>
          <t>Bitrate [Mbps]</t>
        </is>
      </c>
      <c r="E38" s="315" t="n"/>
      <c r="F38" s="263" t="inlineStr">
        <is>
          <t>Test</t>
        </is>
      </c>
      <c r="H38" s="87" t="inlineStr">
        <is>
          <t>Bitrate [Mbps]</t>
        </is>
      </c>
      <c r="I38" s="9" t="n"/>
      <c r="J38" s="267" t="inlineStr">
        <is>
          <t>%</t>
        </is>
      </c>
      <c r="L38" s="267" t="inlineStr">
        <is>
          <t>RGB-PSNR</t>
        </is>
      </c>
      <c r="N38" s="316" t="n"/>
      <c r="O38" s="85" t="n"/>
      <c r="P38" s="3" t="n"/>
      <c r="R38" s="261" t="n"/>
      <c r="U38" s="261" t="n"/>
      <c r="V38" s="261" t="n"/>
      <c r="X38" s="261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315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317">
        <f>0.001*INDIRECT($B40&amp;"!E5")</f>
        <v/>
      </c>
      <c r="E40" s="315" t="n"/>
      <c r="F40" s="122">
        <f>F37</f>
        <v/>
      </c>
      <c r="G40" s="130" t="inlineStr">
        <is>
          <t>r01</t>
        </is>
      </c>
      <c r="H40" s="317">
        <f>0.001*INDIRECT($B40&amp;"!AC5")</f>
        <v/>
      </c>
      <c r="I40" s="9" t="n"/>
      <c r="J40" s="318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315" t="n"/>
      <c r="P40" s="318">
        <f>bdRateExtend(D40:D44,L40:L44,H40:H44,M40:M44)</f>
        <v/>
      </c>
      <c r="Q40" s="315" t="n"/>
      <c r="R40" s="9" t="n"/>
      <c r="S40" s="9" t="n"/>
      <c r="T40" s="9" t="n"/>
      <c r="U40" s="9" t="n"/>
      <c r="V40" s="319" t="n"/>
      <c r="X40" s="6" t="n"/>
      <c r="Y40" s="6" t="n"/>
      <c r="Z40" s="81" t="n"/>
      <c r="AB40" s="320" t="n"/>
    </row>
    <row r="41">
      <c r="B41" s="122">
        <f>B40</f>
        <v/>
      </c>
      <c r="C41" s="130" t="inlineStr">
        <is>
          <t>r02</t>
        </is>
      </c>
      <c r="D41" s="317">
        <f>0.001*INDIRECT($B41&amp;"!E6")</f>
        <v/>
      </c>
      <c r="E41" s="315" t="n"/>
      <c r="F41" s="122">
        <f>F40</f>
        <v/>
      </c>
      <c r="G41" s="130" t="inlineStr">
        <is>
          <t>r02</t>
        </is>
      </c>
      <c r="H41" s="317">
        <f>0.001*INDIRECT($B41&amp;"!AC6")</f>
        <v/>
      </c>
      <c r="I41" s="9" t="n"/>
      <c r="J41" s="318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315" t="n"/>
      <c r="P41" s="3" t="n"/>
      <c r="Q41" s="315" t="n"/>
      <c r="R41" s="9" t="n"/>
      <c r="S41" s="9" t="n"/>
      <c r="T41" s="9" t="n"/>
      <c r="U41" s="9" t="n"/>
      <c r="V41" s="319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317">
        <f>0.001*INDIRECT($B42&amp;"!E7")</f>
        <v/>
      </c>
      <c r="E42" s="315" t="n"/>
      <c r="F42" s="122">
        <f>F41</f>
        <v/>
      </c>
      <c r="G42" s="130" t="inlineStr">
        <is>
          <t>r03</t>
        </is>
      </c>
      <c r="H42" s="317">
        <f>0.001*INDIRECT($B42&amp;"!AC7")</f>
        <v/>
      </c>
      <c r="I42" s="9" t="n"/>
      <c r="J42" s="318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315" t="n"/>
      <c r="P42" s="3" t="n"/>
      <c r="Q42" s="315" t="n"/>
      <c r="R42" s="9" t="n"/>
      <c r="S42" s="9" t="n"/>
      <c r="T42" s="9" t="n"/>
      <c r="U42" s="9" t="n"/>
      <c r="V42" s="319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317">
        <f>0.001*INDIRECT($B43&amp;"!E8")</f>
        <v/>
      </c>
      <c r="E43" s="315" t="n"/>
      <c r="F43" s="122">
        <f>F42</f>
        <v/>
      </c>
      <c r="G43" s="130" t="inlineStr">
        <is>
          <t>r04</t>
        </is>
      </c>
      <c r="H43" s="317">
        <f>0.001*INDIRECT($B43&amp;"!AC8")</f>
        <v/>
      </c>
      <c r="I43" s="9" t="n"/>
      <c r="J43" s="318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315" t="n"/>
      <c r="P43" s="318" t="n"/>
      <c r="Q43" s="315" t="n"/>
      <c r="R43" s="9" t="n"/>
      <c r="S43" s="9" t="n"/>
      <c r="T43" s="9" t="n"/>
      <c r="U43" s="9" t="n"/>
      <c r="V43" s="319" t="n"/>
      <c r="X43" s="6" t="n"/>
      <c r="Y43" s="6" t="n"/>
      <c r="Z43" s="81" t="n"/>
    </row>
    <row r="44" ht="16.5" customHeight="1" s="270" thickBot="1">
      <c r="B44" s="122">
        <f>B43</f>
        <v/>
      </c>
      <c r="C44" s="130" t="inlineStr">
        <is>
          <t>r05</t>
        </is>
      </c>
      <c r="D44" s="317">
        <f>0.001*INDIRECT($B44&amp;"!E9")</f>
        <v/>
      </c>
      <c r="E44" s="315" t="n"/>
      <c r="F44" s="122">
        <f>F43</f>
        <v/>
      </c>
      <c r="G44" s="130" t="inlineStr">
        <is>
          <t>r05</t>
        </is>
      </c>
      <c r="H44" s="317">
        <f>0.001*INDIRECT($B44&amp;"!AC9")</f>
        <v/>
      </c>
      <c r="I44" s="9" t="n"/>
      <c r="J44" s="318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315" t="n"/>
      <c r="P44" s="321" t="n"/>
      <c r="Q44" s="315" t="n"/>
      <c r="R44" s="9" t="n"/>
      <c r="S44" s="9" t="n"/>
      <c r="T44" s="9" t="n"/>
      <c r="U44" s="9" t="n"/>
      <c r="V44" s="319" t="n"/>
      <c r="X44" s="6" t="n"/>
      <c r="Y44" s="6" t="n"/>
      <c r="Z44" s="81" t="n"/>
      <c r="AB44" s="320" t="n"/>
    </row>
    <row r="45" ht="16.5" customHeight="1" s="270">
      <c r="B45" s="109" t="n"/>
      <c r="C45" s="110" t="n"/>
      <c r="D45" s="322" t="n"/>
      <c r="F45" s="109" t="n"/>
      <c r="G45" s="110" t="n"/>
      <c r="H45" s="322" t="n"/>
      <c r="J45" s="98">
        <f>MIN(D40:D44,H40:H44)</f>
        <v/>
      </c>
      <c r="L45" s="99" t="n"/>
      <c r="M45" s="100" t="n"/>
      <c r="N45" s="101" t="n"/>
      <c r="O45" s="315" t="n"/>
      <c r="P45" s="265" t="n"/>
      <c r="Q45" s="315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70" thickBot="1">
      <c r="B46" s="89" t="n"/>
      <c r="C46" s="92" t="n"/>
      <c r="D46" s="323" t="n"/>
      <c r="E46" s="315" t="n"/>
      <c r="F46" s="89" t="n"/>
      <c r="G46" s="92" t="n"/>
      <c r="H46" s="323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315" t="n"/>
      <c r="P46" s="5" t="n"/>
      <c r="Q46" s="315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70" thickBot="1"/>
    <row r="48">
      <c r="B48" s="312" t="inlineStr">
        <is>
          <t>LEGO_Ferrari</t>
        </is>
      </c>
      <c r="C48" s="313" t="n"/>
      <c r="D48" s="314" t="n"/>
      <c r="E48" s="2" t="n"/>
      <c r="F48" s="312">
        <f>B48</f>
        <v/>
      </c>
      <c r="G48" s="313" t="n"/>
      <c r="H48" s="314" t="n"/>
      <c r="I48" s="2" t="n"/>
      <c r="J48" s="265" t="n"/>
      <c r="L48" s="265">
        <f>F48</f>
        <v/>
      </c>
      <c r="M48" s="313" t="n"/>
      <c r="N48" s="314" t="n"/>
      <c r="O48" s="195" t="n"/>
      <c r="P48" s="265" t="n"/>
      <c r="U48" s="268" t="n"/>
      <c r="V48" s="268" t="n"/>
      <c r="X48" s="268" t="n"/>
    </row>
    <row r="49">
      <c r="B49" s="263" t="inlineStr">
        <is>
          <t>Test</t>
        </is>
      </c>
      <c r="D49" s="87" t="inlineStr">
        <is>
          <t>Bitrate [Mbps]</t>
        </is>
      </c>
      <c r="E49" s="315" t="n"/>
      <c r="F49" s="263" t="inlineStr">
        <is>
          <t>Test</t>
        </is>
      </c>
      <c r="H49" s="87" t="inlineStr">
        <is>
          <t>Bitrate [Mbps]</t>
        </is>
      </c>
      <c r="I49" s="9" t="n"/>
      <c r="J49" s="267" t="inlineStr">
        <is>
          <t>%</t>
        </is>
      </c>
      <c r="L49" s="267" t="inlineStr">
        <is>
          <t>RGB-PSNR</t>
        </is>
      </c>
      <c r="N49" s="316" t="n"/>
      <c r="O49" s="85" t="n"/>
      <c r="P49" s="3" t="n"/>
      <c r="R49" s="261" t="n"/>
      <c r="U49" s="261" t="n"/>
      <c r="V49" s="261" t="n"/>
      <c r="X49" s="261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315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317">
        <f>0.001*INDIRECT($B51&amp;"!E5")</f>
        <v/>
      </c>
      <c r="E51" s="315" t="n"/>
      <c r="F51" s="122">
        <f>F48</f>
        <v/>
      </c>
      <c r="G51" s="130" t="inlineStr">
        <is>
          <t>r01</t>
        </is>
      </c>
      <c r="H51" s="317">
        <f>0.001*INDIRECT($B51&amp;"!AC5")</f>
        <v/>
      </c>
      <c r="I51" s="9" t="n"/>
      <c r="J51" s="318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315" t="n"/>
      <c r="P51" s="318">
        <f>bdRateExtend(D51:D55,L51:L55,H51:H55,M51:M55)</f>
        <v/>
      </c>
      <c r="Q51" s="315" t="n"/>
      <c r="R51" s="9" t="n"/>
      <c r="S51" s="9" t="n"/>
      <c r="T51" s="9" t="n"/>
      <c r="U51" s="9" t="n"/>
      <c r="V51" s="319" t="n"/>
      <c r="X51" s="6" t="n"/>
      <c r="Y51" s="6" t="n"/>
      <c r="Z51" s="81" t="n"/>
      <c r="AB51" s="320" t="n"/>
    </row>
    <row r="52">
      <c r="B52" s="122">
        <f>B51</f>
        <v/>
      </c>
      <c r="C52" s="130" t="inlineStr">
        <is>
          <t>r02</t>
        </is>
      </c>
      <c r="D52" s="317">
        <f>0.001*INDIRECT($B52&amp;"!E6")</f>
        <v/>
      </c>
      <c r="E52" s="315" t="n"/>
      <c r="F52" s="122">
        <f>F51</f>
        <v/>
      </c>
      <c r="G52" s="130" t="inlineStr">
        <is>
          <t>r02</t>
        </is>
      </c>
      <c r="H52" s="317">
        <f>0.001*INDIRECT($B52&amp;"!AC6")</f>
        <v/>
      </c>
      <c r="I52" s="9" t="n"/>
      <c r="J52" s="318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315" t="n"/>
      <c r="P52" s="3" t="n"/>
      <c r="Q52" s="315" t="n"/>
      <c r="R52" s="9" t="n"/>
      <c r="S52" s="9" t="n"/>
      <c r="T52" s="9" t="n"/>
      <c r="U52" s="9" t="n"/>
      <c r="V52" s="319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317">
        <f>0.001*INDIRECT($B53&amp;"!E7")</f>
        <v/>
      </c>
      <c r="E53" s="315" t="n"/>
      <c r="F53" s="122">
        <f>F52</f>
        <v/>
      </c>
      <c r="G53" s="130" t="inlineStr">
        <is>
          <t>r03</t>
        </is>
      </c>
      <c r="H53" s="317">
        <f>0.001*INDIRECT($B53&amp;"!AC7")</f>
        <v/>
      </c>
      <c r="I53" s="9" t="n"/>
      <c r="J53" s="318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315" t="n"/>
      <c r="P53" s="3" t="n"/>
      <c r="Q53" s="315" t="n"/>
      <c r="R53" s="9" t="n"/>
      <c r="S53" s="9" t="n"/>
      <c r="T53" s="9" t="n"/>
      <c r="U53" s="9" t="n"/>
      <c r="V53" s="319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317">
        <f>0.001*INDIRECT($B54&amp;"!E8")</f>
        <v/>
      </c>
      <c r="E54" s="315" t="n"/>
      <c r="F54" s="122">
        <f>F53</f>
        <v/>
      </c>
      <c r="G54" s="130" t="inlineStr">
        <is>
          <t>r04</t>
        </is>
      </c>
      <c r="H54" s="317">
        <f>0.001*INDIRECT($B54&amp;"!AC8")</f>
        <v/>
      </c>
      <c r="I54" s="9" t="n"/>
      <c r="J54" s="318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315" t="n"/>
      <c r="P54" s="318" t="n"/>
      <c r="Q54" s="315" t="n"/>
      <c r="R54" s="9" t="n"/>
      <c r="S54" s="9" t="n"/>
      <c r="T54" s="9" t="n"/>
      <c r="U54" s="9" t="n"/>
      <c r="V54" s="319" t="n"/>
      <c r="X54" s="6" t="n"/>
      <c r="Y54" s="6" t="n"/>
      <c r="Z54" s="81" t="n"/>
    </row>
    <row r="55" ht="16.5" customHeight="1" s="270" thickBot="1">
      <c r="B55" s="122">
        <f>B54</f>
        <v/>
      </c>
      <c r="C55" s="130" t="inlineStr">
        <is>
          <t>r05</t>
        </is>
      </c>
      <c r="D55" s="317">
        <f>0.001*INDIRECT($B55&amp;"!E9")</f>
        <v/>
      </c>
      <c r="E55" s="315" t="n"/>
      <c r="F55" s="122">
        <f>F54</f>
        <v/>
      </c>
      <c r="G55" s="130" t="inlineStr">
        <is>
          <t>r05</t>
        </is>
      </c>
      <c r="H55" s="317">
        <f>0.001*INDIRECT($B55&amp;"!AC9")</f>
        <v/>
      </c>
      <c r="I55" s="9" t="n"/>
      <c r="J55" s="318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315" t="n"/>
      <c r="P55" s="321" t="n"/>
      <c r="Q55" s="315" t="n"/>
      <c r="R55" s="9" t="n"/>
      <c r="S55" s="9" t="n"/>
      <c r="T55" s="9" t="n"/>
      <c r="U55" s="9" t="n"/>
      <c r="V55" s="319" t="n"/>
      <c r="X55" s="6" t="n"/>
      <c r="Y55" s="6" t="n"/>
      <c r="Z55" s="81" t="n"/>
      <c r="AB55" s="320" t="n"/>
    </row>
    <row r="56" ht="16.5" customHeight="1" s="270">
      <c r="B56" s="109" t="n"/>
      <c r="C56" s="110" t="n"/>
      <c r="D56" s="322" t="n"/>
      <c r="F56" s="109" t="n"/>
      <c r="G56" s="110" t="n"/>
      <c r="H56" s="322" t="n"/>
      <c r="J56" s="98">
        <f>MIN(D51:D55,H51:H55)</f>
        <v/>
      </c>
      <c r="L56" s="99" t="n"/>
      <c r="M56" s="100" t="n"/>
      <c r="N56" s="101" t="n"/>
      <c r="O56" s="315" t="n"/>
      <c r="P56" s="265" t="n"/>
      <c r="Q56" s="315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70" thickBot="1">
      <c r="B57" s="89" t="n"/>
      <c r="C57" s="92" t="n"/>
      <c r="D57" s="323" t="n"/>
      <c r="E57" s="315" t="n"/>
      <c r="F57" s="89" t="n"/>
      <c r="G57" s="92" t="n"/>
      <c r="H57" s="323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315" t="n"/>
      <c r="P57" s="5" t="n"/>
      <c r="Q57" s="315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70" thickBot="1"/>
    <row r="59">
      <c r="B59" s="312" t="inlineStr">
        <is>
          <t>LEGO_Bugatti</t>
        </is>
      </c>
      <c r="C59" s="313" t="n"/>
      <c r="D59" s="314" t="n"/>
      <c r="E59" s="2" t="n"/>
      <c r="F59" s="312">
        <f>B59</f>
        <v/>
      </c>
      <c r="G59" s="313" t="n"/>
      <c r="H59" s="314" t="n"/>
      <c r="I59" s="2" t="n"/>
      <c r="J59" s="265" t="n"/>
      <c r="L59" s="265">
        <f>F59</f>
        <v/>
      </c>
      <c r="M59" s="313" t="n"/>
      <c r="N59" s="314" t="n"/>
      <c r="O59" s="195" t="n"/>
      <c r="P59" s="265" t="n"/>
      <c r="U59" s="268" t="n"/>
      <c r="V59" s="268" t="n"/>
      <c r="X59" s="268" t="n"/>
    </row>
    <row r="60">
      <c r="B60" s="263" t="inlineStr">
        <is>
          <t>Test</t>
        </is>
      </c>
      <c r="D60" s="87" t="inlineStr">
        <is>
          <t>Bitrate [Mbps]</t>
        </is>
      </c>
      <c r="E60" s="315" t="n"/>
      <c r="F60" s="263" t="inlineStr">
        <is>
          <t>Test</t>
        </is>
      </c>
      <c r="H60" s="87" t="inlineStr">
        <is>
          <t>Bitrate [Mbps]</t>
        </is>
      </c>
      <c r="I60" s="9" t="n"/>
      <c r="J60" s="267" t="inlineStr">
        <is>
          <t>%</t>
        </is>
      </c>
      <c r="L60" s="267" t="inlineStr">
        <is>
          <t>RGB-PSNR</t>
        </is>
      </c>
      <c r="N60" s="316" t="n"/>
      <c r="O60" s="85" t="n"/>
      <c r="P60" s="3" t="n"/>
      <c r="R60" s="261" t="n"/>
      <c r="U60" s="261" t="n"/>
      <c r="V60" s="261" t="n"/>
      <c r="X60" s="261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315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317">
        <f>0.001*INDIRECT($B62&amp;"!E5")</f>
        <v/>
      </c>
      <c r="E62" s="315" t="n"/>
      <c r="F62" s="122">
        <f>F59</f>
        <v/>
      </c>
      <c r="G62" s="130" t="inlineStr">
        <is>
          <t>r01</t>
        </is>
      </c>
      <c r="H62" s="317">
        <f>0.001*INDIRECT($B62&amp;"!AC5")</f>
        <v/>
      </c>
      <c r="I62" s="9" t="n"/>
      <c r="J62" s="318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315" t="n"/>
      <c r="P62" s="318">
        <f>bdRateExtend(D62:D66,L62:L66,H62:H66,M62:M66)</f>
        <v/>
      </c>
      <c r="Q62" s="315" t="n"/>
      <c r="R62" s="9" t="n"/>
      <c r="S62" s="9" t="n"/>
      <c r="T62" s="9" t="n"/>
      <c r="U62" s="9" t="n"/>
      <c r="V62" s="319" t="n"/>
      <c r="X62" s="6" t="n"/>
      <c r="Y62" s="6" t="n"/>
      <c r="Z62" s="81" t="n"/>
      <c r="AB62" s="320" t="n"/>
    </row>
    <row r="63">
      <c r="B63" s="122">
        <f>B62</f>
        <v/>
      </c>
      <c r="C63" s="130" t="inlineStr">
        <is>
          <t>r02</t>
        </is>
      </c>
      <c r="D63" s="317">
        <f>0.001*INDIRECT($B63&amp;"!E6")</f>
        <v/>
      </c>
      <c r="E63" s="315" t="n"/>
      <c r="F63" s="122">
        <f>F62</f>
        <v/>
      </c>
      <c r="G63" s="130" t="inlineStr">
        <is>
          <t>r02</t>
        </is>
      </c>
      <c r="H63" s="317">
        <f>0.001*INDIRECT($B63&amp;"!AC6")</f>
        <v/>
      </c>
      <c r="I63" s="9" t="n"/>
      <c r="J63" s="318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315" t="n"/>
      <c r="P63" s="3" t="n"/>
      <c r="Q63" s="315" t="n"/>
      <c r="R63" s="9" t="n"/>
      <c r="S63" s="9" t="n"/>
      <c r="T63" s="9" t="n"/>
      <c r="U63" s="9" t="n"/>
      <c r="V63" s="319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317">
        <f>0.001*INDIRECT($B64&amp;"!E7")</f>
        <v/>
      </c>
      <c r="E64" s="315" t="n"/>
      <c r="F64" s="122">
        <f>F63</f>
        <v/>
      </c>
      <c r="G64" s="130" t="inlineStr">
        <is>
          <t>r03</t>
        </is>
      </c>
      <c r="H64" s="317">
        <f>0.001*INDIRECT($B64&amp;"!AC7")</f>
        <v/>
      </c>
      <c r="I64" s="9" t="n"/>
      <c r="J64" s="318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315" t="n"/>
      <c r="P64" s="3" t="n"/>
      <c r="Q64" s="315" t="n"/>
      <c r="R64" s="9" t="n"/>
      <c r="S64" s="9" t="n"/>
      <c r="T64" s="9" t="n"/>
      <c r="U64" s="9" t="n"/>
      <c r="V64" s="319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317">
        <f>0.001*INDIRECT($B65&amp;"!E8")</f>
        <v/>
      </c>
      <c r="E65" s="315" t="n"/>
      <c r="F65" s="122">
        <f>F64</f>
        <v/>
      </c>
      <c r="G65" s="130" t="inlineStr">
        <is>
          <t>r04</t>
        </is>
      </c>
      <c r="H65" s="317">
        <f>0.001*INDIRECT($B65&amp;"!AC8")</f>
        <v/>
      </c>
      <c r="I65" s="9" t="n"/>
      <c r="J65" s="318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315" t="n"/>
      <c r="P65" s="318" t="n"/>
      <c r="Q65" s="315" t="n"/>
      <c r="R65" s="9" t="n"/>
      <c r="S65" s="9" t="n"/>
      <c r="T65" s="9" t="n"/>
      <c r="U65" s="9" t="n"/>
      <c r="V65" s="319" t="n"/>
      <c r="X65" s="6" t="n"/>
      <c r="Y65" s="6" t="n"/>
      <c r="Z65" s="81" t="n"/>
    </row>
    <row r="66" ht="16.5" customHeight="1" s="270" thickBot="1">
      <c r="B66" s="122">
        <f>B65</f>
        <v/>
      </c>
      <c r="C66" s="130" t="inlineStr">
        <is>
          <t>r05</t>
        </is>
      </c>
      <c r="D66" s="317">
        <f>0.001*INDIRECT($B66&amp;"!E9")</f>
        <v/>
      </c>
      <c r="E66" s="315" t="n"/>
      <c r="F66" s="122">
        <f>F65</f>
        <v/>
      </c>
      <c r="G66" s="130" t="inlineStr">
        <is>
          <t>r05</t>
        </is>
      </c>
      <c r="H66" s="317">
        <f>0.001*INDIRECT($B66&amp;"!AC9")</f>
        <v/>
      </c>
      <c r="I66" s="9" t="n"/>
      <c r="J66" s="318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315" t="n"/>
      <c r="P66" s="321" t="n"/>
      <c r="Q66" s="315" t="n"/>
      <c r="R66" s="9" t="n"/>
      <c r="S66" s="9" t="n"/>
      <c r="T66" s="9" t="n"/>
      <c r="U66" s="9" t="n"/>
      <c r="V66" s="319" t="n"/>
      <c r="X66" s="6" t="n"/>
      <c r="Y66" s="6" t="n"/>
      <c r="Z66" s="81" t="n"/>
      <c r="AB66" s="320" t="n"/>
    </row>
    <row r="67" ht="16.5" customHeight="1" s="270">
      <c r="B67" s="109" t="n"/>
      <c r="C67" s="110" t="n"/>
      <c r="D67" s="322" t="n"/>
      <c r="F67" s="109" t="n"/>
      <c r="G67" s="110" t="n"/>
      <c r="H67" s="322" t="n"/>
      <c r="J67" s="98">
        <f>MIN(D62:D66,H62:H66)</f>
        <v/>
      </c>
      <c r="L67" s="99" t="n"/>
      <c r="M67" s="100" t="n"/>
      <c r="N67" s="101" t="n"/>
      <c r="O67" s="315" t="n"/>
      <c r="P67" s="265" t="n"/>
      <c r="Q67" s="315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70" thickBot="1">
      <c r="B68" s="89" t="n"/>
      <c r="C68" s="92" t="n"/>
      <c r="D68" s="323" t="n"/>
      <c r="E68" s="315" t="n"/>
      <c r="F68" s="89" t="n"/>
      <c r="G68" s="92" t="n"/>
      <c r="H68" s="323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315" t="n"/>
      <c r="P68" s="5" t="n"/>
      <c r="Q68" s="315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70" thickBot="1"/>
    <row r="70">
      <c r="B70" s="312" t="inlineStr">
        <is>
          <t>Plant</t>
        </is>
      </c>
      <c r="C70" s="313" t="n"/>
      <c r="D70" s="314" t="n"/>
      <c r="E70" s="2" t="n"/>
      <c r="F70" s="312">
        <f>B70</f>
        <v/>
      </c>
      <c r="G70" s="313" t="n"/>
      <c r="H70" s="314" t="n"/>
      <c r="I70" s="2" t="n"/>
      <c r="J70" s="265" t="n"/>
      <c r="L70" s="265">
        <f>F70</f>
        <v/>
      </c>
      <c r="M70" s="313" t="n"/>
      <c r="N70" s="314" t="n"/>
      <c r="O70" s="195" t="n"/>
      <c r="P70" s="265" t="n"/>
      <c r="U70" s="268" t="n"/>
      <c r="V70" s="268" t="n"/>
      <c r="X70" s="268" t="n"/>
    </row>
    <row r="71">
      <c r="B71" s="263" t="inlineStr">
        <is>
          <t>Test</t>
        </is>
      </c>
      <c r="D71" s="87" t="inlineStr">
        <is>
          <t>Bitrate [Mbps]</t>
        </is>
      </c>
      <c r="E71" s="315" t="n"/>
      <c r="F71" s="263" t="inlineStr">
        <is>
          <t>Test</t>
        </is>
      </c>
      <c r="H71" s="87" t="inlineStr">
        <is>
          <t>Bitrate [Mbps]</t>
        </is>
      </c>
      <c r="I71" s="9" t="n"/>
      <c r="J71" s="267" t="inlineStr">
        <is>
          <t>%</t>
        </is>
      </c>
      <c r="L71" s="267" t="inlineStr">
        <is>
          <t>RGB-PSNR</t>
        </is>
      </c>
      <c r="N71" s="316" t="n"/>
      <c r="O71" s="85" t="n"/>
      <c r="P71" s="3" t="n"/>
      <c r="R71" s="261" t="n"/>
      <c r="U71" s="261" t="n"/>
      <c r="V71" s="261" t="n"/>
      <c r="X71" s="261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315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317">
        <f>0.001*INDIRECT($B73&amp;"!E5")</f>
        <v/>
      </c>
      <c r="E73" s="315" t="n"/>
      <c r="F73" s="122">
        <f>F70</f>
        <v/>
      </c>
      <c r="G73" s="130" t="inlineStr">
        <is>
          <t>r01</t>
        </is>
      </c>
      <c r="H73" s="317">
        <f>0.001*INDIRECT($B73&amp;"!AC5")</f>
        <v/>
      </c>
      <c r="I73" s="9" t="n"/>
      <c r="J73" s="318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315" t="n"/>
      <c r="P73" s="318">
        <f>bdRateExtend(D73:D77,L73:L77,H73:H77,M73:M77)</f>
        <v/>
      </c>
      <c r="Q73" s="315" t="n"/>
      <c r="R73" s="9" t="n"/>
      <c r="S73" s="9" t="n"/>
      <c r="T73" s="9" t="n"/>
      <c r="U73" s="9" t="n"/>
      <c r="V73" s="319" t="n"/>
      <c r="X73" s="6" t="n"/>
      <c r="Y73" s="6" t="n"/>
      <c r="Z73" s="81" t="n"/>
      <c r="AB73" s="320" t="n"/>
    </row>
    <row r="74">
      <c r="B74" s="122">
        <f>B73</f>
        <v/>
      </c>
      <c r="C74" s="130" t="inlineStr">
        <is>
          <t>r02</t>
        </is>
      </c>
      <c r="D74" s="317">
        <f>0.001*INDIRECT($B74&amp;"!E6")</f>
        <v/>
      </c>
      <c r="E74" s="315" t="n"/>
      <c r="F74" s="122">
        <f>F73</f>
        <v/>
      </c>
      <c r="G74" s="130" t="inlineStr">
        <is>
          <t>r02</t>
        </is>
      </c>
      <c r="H74" s="317">
        <f>0.001*INDIRECT($B74&amp;"!AC6")</f>
        <v/>
      </c>
      <c r="I74" s="9" t="n"/>
      <c r="J74" s="318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315" t="n"/>
      <c r="P74" s="3" t="n"/>
      <c r="Q74" s="315" t="n"/>
      <c r="R74" s="9" t="n"/>
      <c r="S74" s="9" t="n"/>
      <c r="T74" s="9" t="n"/>
      <c r="U74" s="9" t="n"/>
      <c r="V74" s="319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317">
        <f>0.001*INDIRECT($B75&amp;"!E7")</f>
        <v/>
      </c>
      <c r="E75" s="315" t="n"/>
      <c r="F75" s="122">
        <f>F74</f>
        <v/>
      </c>
      <c r="G75" s="130" t="inlineStr">
        <is>
          <t>r03</t>
        </is>
      </c>
      <c r="H75" s="317">
        <f>0.001*INDIRECT($B75&amp;"!AC7")</f>
        <v/>
      </c>
      <c r="I75" s="9" t="n"/>
      <c r="J75" s="318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315" t="n"/>
      <c r="P75" s="3" t="n"/>
      <c r="Q75" s="315" t="n"/>
      <c r="R75" s="9" t="n"/>
      <c r="S75" s="9" t="n"/>
      <c r="T75" s="9" t="n"/>
      <c r="U75" s="9" t="n"/>
      <c r="V75" s="319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317">
        <f>0.001*INDIRECT($B76&amp;"!E8")</f>
        <v/>
      </c>
      <c r="E76" s="315" t="n"/>
      <c r="F76" s="122">
        <f>F75</f>
        <v/>
      </c>
      <c r="G76" s="130" t="inlineStr">
        <is>
          <t>r04</t>
        </is>
      </c>
      <c r="H76" s="317">
        <f>0.001*INDIRECT($B76&amp;"!AC8")</f>
        <v/>
      </c>
      <c r="I76" s="9" t="n"/>
      <c r="J76" s="318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315" t="n"/>
      <c r="P76" s="318" t="n"/>
      <c r="Q76" s="315" t="n"/>
      <c r="R76" s="9" t="n"/>
      <c r="S76" s="9" t="n"/>
      <c r="T76" s="9" t="n"/>
      <c r="U76" s="9" t="n"/>
      <c r="V76" s="319" t="n"/>
      <c r="X76" s="6" t="n"/>
      <c r="Y76" s="6" t="n"/>
      <c r="Z76" s="81" t="n"/>
    </row>
    <row r="77" ht="16.5" customHeight="1" s="270" thickBot="1">
      <c r="B77" s="122">
        <f>B76</f>
        <v/>
      </c>
      <c r="C77" s="130" t="inlineStr">
        <is>
          <t>r05</t>
        </is>
      </c>
      <c r="D77" s="317">
        <f>0.001*INDIRECT($B77&amp;"!E9")</f>
        <v/>
      </c>
      <c r="E77" s="315" t="n"/>
      <c r="F77" s="122">
        <f>F76</f>
        <v/>
      </c>
      <c r="G77" s="130" t="inlineStr">
        <is>
          <t>r05</t>
        </is>
      </c>
      <c r="H77" s="317">
        <f>0.001*INDIRECT($B77&amp;"!AC9")</f>
        <v/>
      </c>
      <c r="I77" s="9" t="n"/>
      <c r="J77" s="318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315" t="n"/>
      <c r="P77" s="321" t="n"/>
      <c r="Q77" s="315" t="n"/>
      <c r="R77" s="9" t="n"/>
      <c r="S77" s="9" t="n"/>
      <c r="T77" s="9" t="n"/>
      <c r="U77" s="9" t="n"/>
      <c r="V77" s="319" t="n"/>
      <c r="X77" s="6" t="n"/>
      <c r="Y77" s="6" t="n"/>
      <c r="Z77" s="81" t="n"/>
      <c r="AB77" s="320" t="n"/>
    </row>
    <row r="78" ht="16.5" customHeight="1" s="270">
      <c r="B78" s="109" t="n"/>
      <c r="C78" s="110" t="n"/>
      <c r="D78" s="322" t="n"/>
      <c r="F78" s="109" t="n"/>
      <c r="G78" s="110" t="n"/>
      <c r="H78" s="322" t="n"/>
      <c r="J78" s="98">
        <f>MIN(D73:D77,H73:H77)</f>
        <v/>
      </c>
      <c r="L78" s="99" t="n"/>
      <c r="M78" s="100" t="n"/>
      <c r="N78" s="101" t="n"/>
      <c r="O78" s="315" t="n"/>
      <c r="P78" s="265" t="n"/>
      <c r="Q78" s="315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70" thickBot="1">
      <c r="B79" s="89" t="n"/>
      <c r="C79" s="92" t="n"/>
      <c r="D79" s="323" t="n"/>
      <c r="E79" s="315" t="n"/>
      <c r="F79" s="89" t="n"/>
      <c r="G79" s="92" t="n"/>
      <c r="H79" s="323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315" t="n"/>
      <c r="P79" s="5" t="n"/>
      <c r="Q79" s="315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2" customHeight="1" s="270" thickBot="1"/>
    <row r="81">
      <c r="B81" s="312" t="inlineStr">
        <is>
          <t>Tennis_Player</t>
        </is>
      </c>
      <c r="C81" s="313" t="n"/>
      <c r="D81" s="314" t="n"/>
      <c r="E81" s="2" t="n"/>
      <c r="F81" s="312">
        <f>B81</f>
        <v/>
      </c>
      <c r="G81" s="313" t="n"/>
      <c r="H81" s="314" t="n"/>
      <c r="I81" s="2" t="n"/>
      <c r="J81" s="265" t="n"/>
      <c r="L81" s="265">
        <f>F81</f>
        <v/>
      </c>
      <c r="M81" s="313" t="n"/>
      <c r="N81" s="314" t="n"/>
      <c r="O81" s="195" t="n"/>
      <c r="P81" s="265" t="n"/>
      <c r="U81" s="268" t="n"/>
      <c r="V81" s="268" t="n"/>
      <c r="X81" s="268" t="n"/>
    </row>
    <row r="82">
      <c r="B82" s="263" t="inlineStr">
        <is>
          <t>Test</t>
        </is>
      </c>
      <c r="D82" s="87" t="inlineStr">
        <is>
          <t>Bitrate [Mbps]</t>
        </is>
      </c>
      <c r="E82" s="315" t="n"/>
      <c r="F82" s="263" t="inlineStr">
        <is>
          <t>Test</t>
        </is>
      </c>
      <c r="H82" s="87" t="inlineStr">
        <is>
          <t>Bitrate [Mbps]</t>
        </is>
      </c>
      <c r="I82" s="9" t="n"/>
      <c r="J82" s="267" t="inlineStr">
        <is>
          <t>%</t>
        </is>
      </c>
      <c r="L82" s="267" t="inlineStr">
        <is>
          <t>RGB-PSNR</t>
        </is>
      </c>
      <c r="N82" s="316" t="n"/>
      <c r="O82" s="85" t="n"/>
      <c r="P82" s="3" t="n"/>
      <c r="R82" s="261" t="n"/>
      <c r="U82" s="261" t="n"/>
      <c r="V82" s="261" t="n"/>
      <c r="X82" s="261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315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317">
        <f>0.001*INDIRECT($B84&amp;"!E5")</f>
        <v/>
      </c>
      <c r="E84" s="315" t="n"/>
      <c r="F84" s="122">
        <f>F81</f>
        <v/>
      </c>
      <c r="G84" s="130" t="inlineStr">
        <is>
          <t>r01</t>
        </is>
      </c>
      <c r="H84" s="317">
        <f>0.001*INDIRECT($B84&amp;"!AC5")</f>
        <v/>
      </c>
      <c r="I84" s="9" t="n"/>
      <c r="J84" s="318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315" t="n"/>
      <c r="P84" s="318">
        <f>bdRateExtend(D84:D88,L84:L88,H84:H88,M84:M88)</f>
        <v/>
      </c>
      <c r="Q84" s="315" t="n"/>
      <c r="R84" s="9" t="n"/>
      <c r="S84" s="9" t="n"/>
      <c r="T84" s="9" t="n"/>
      <c r="U84" s="9" t="n"/>
      <c r="V84" s="319" t="n"/>
      <c r="X84" s="6" t="n"/>
      <c r="Y84" s="6" t="n"/>
      <c r="Z84" s="81" t="n"/>
      <c r="AB84" s="320" t="n"/>
    </row>
    <row r="85">
      <c r="B85" s="122">
        <f>B84</f>
        <v/>
      </c>
      <c r="C85" s="130" t="inlineStr">
        <is>
          <t>r02</t>
        </is>
      </c>
      <c r="D85" s="317">
        <f>0.001*INDIRECT($B85&amp;"!E6")</f>
        <v/>
      </c>
      <c r="E85" s="315" t="n"/>
      <c r="F85" s="122">
        <f>F84</f>
        <v/>
      </c>
      <c r="G85" s="130" t="inlineStr">
        <is>
          <t>r02</t>
        </is>
      </c>
      <c r="H85" s="317">
        <f>0.001*INDIRECT($B85&amp;"!AC6")</f>
        <v/>
      </c>
      <c r="I85" s="9" t="n"/>
      <c r="J85" s="318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315" t="n"/>
      <c r="P85" s="3" t="n"/>
      <c r="Q85" s="315" t="n"/>
      <c r="R85" s="9" t="n"/>
      <c r="S85" s="9" t="n"/>
      <c r="T85" s="9" t="n"/>
      <c r="U85" s="9" t="n"/>
      <c r="V85" s="319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317">
        <f>0.001*INDIRECT($B86&amp;"!E7")</f>
        <v/>
      </c>
      <c r="E86" s="315" t="n"/>
      <c r="F86" s="122">
        <f>F85</f>
        <v/>
      </c>
      <c r="G86" s="130" t="inlineStr">
        <is>
          <t>r03</t>
        </is>
      </c>
      <c r="H86" s="317">
        <f>0.001*INDIRECT($B86&amp;"!AC7")</f>
        <v/>
      </c>
      <c r="I86" s="9" t="n"/>
      <c r="J86" s="318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315" t="n"/>
      <c r="P86" s="3" t="n"/>
      <c r="Q86" s="315" t="n"/>
      <c r="R86" s="9" t="n"/>
      <c r="S86" s="9" t="n"/>
      <c r="T86" s="9" t="n"/>
      <c r="U86" s="9" t="n"/>
      <c r="V86" s="319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317">
        <f>0.001*INDIRECT($B87&amp;"!E8")</f>
        <v/>
      </c>
      <c r="E87" s="315" t="n"/>
      <c r="F87" s="122">
        <f>F86</f>
        <v/>
      </c>
      <c r="G87" s="130" t="inlineStr">
        <is>
          <t>r04</t>
        </is>
      </c>
      <c r="H87" s="317">
        <f>0.001*INDIRECT($B87&amp;"!AC8")</f>
        <v/>
      </c>
      <c r="I87" s="9" t="n"/>
      <c r="J87" s="318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315" t="n"/>
      <c r="P87" s="318" t="n"/>
      <c r="Q87" s="315" t="n"/>
      <c r="R87" s="9" t="n"/>
      <c r="S87" s="9" t="n"/>
      <c r="T87" s="9" t="n"/>
      <c r="U87" s="9" t="n"/>
      <c r="V87" s="319" t="n"/>
      <c r="X87" s="6" t="n"/>
      <c r="Y87" s="6" t="n"/>
      <c r="Z87" s="81" t="n"/>
    </row>
    <row r="88" ht="16.5" customHeight="1" s="270" thickBot="1">
      <c r="B88" s="122">
        <f>B87</f>
        <v/>
      </c>
      <c r="C88" s="130" t="inlineStr">
        <is>
          <t>r05</t>
        </is>
      </c>
      <c r="D88" s="317">
        <f>0.001*INDIRECT($B88&amp;"!E9")</f>
        <v/>
      </c>
      <c r="E88" s="315" t="n"/>
      <c r="F88" s="122">
        <f>F87</f>
        <v/>
      </c>
      <c r="G88" s="130" t="inlineStr">
        <is>
          <t>r05</t>
        </is>
      </c>
      <c r="H88" s="317">
        <f>0.001*INDIRECT($B88&amp;"!AC9")</f>
        <v/>
      </c>
      <c r="I88" s="9" t="n"/>
      <c r="J88" s="318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315" t="n"/>
      <c r="P88" s="321" t="n"/>
      <c r="Q88" s="315" t="n"/>
      <c r="R88" s="9" t="n"/>
      <c r="S88" s="9" t="n"/>
      <c r="T88" s="9" t="n"/>
      <c r="U88" s="9" t="n"/>
      <c r="V88" s="319" t="n"/>
      <c r="X88" s="6" t="n"/>
      <c r="Y88" s="6" t="n"/>
      <c r="Z88" s="81" t="n"/>
      <c r="AB88" s="320" t="n"/>
    </row>
    <row r="89" ht="16.5" customHeight="1" s="270">
      <c r="B89" s="109" t="n"/>
      <c r="C89" s="110" t="n"/>
      <c r="D89" s="322" t="n"/>
      <c r="F89" s="109" t="n"/>
      <c r="G89" s="110" t="n"/>
      <c r="H89" s="322" t="n"/>
      <c r="J89" s="98">
        <f>MIN(D84:D88,H84:H88)</f>
        <v/>
      </c>
      <c r="L89" s="99" t="n"/>
      <c r="M89" s="100" t="n"/>
      <c r="N89" s="101" t="n"/>
      <c r="O89" s="315" t="n"/>
      <c r="P89" s="265" t="n"/>
      <c r="Q89" s="315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70" thickBot="1">
      <c r="B90" s="89" t="n"/>
      <c r="C90" s="92" t="n"/>
      <c r="D90" s="323" t="n"/>
      <c r="E90" s="315" t="n"/>
      <c r="F90" s="89" t="n"/>
      <c r="G90" s="92" t="n"/>
      <c r="H90" s="323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315" t="n"/>
      <c r="P90" s="5" t="n"/>
      <c r="Q90" s="315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6.2" customHeight="1" s="270" thickBot="1"/>
    <row r="92">
      <c r="B92" s="312" t="inlineStr">
        <is>
          <t>Cricket_Player</t>
        </is>
      </c>
      <c r="C92" s="313" t="n"/>
      <c r="D92" s="314" t="n"/>
      <c r="E92" s="2" t="n"/>
      <c r="F92" s="312">
        <f>B92</f>
        <v/>
      </c>
      <c r="G92" s="313" t="n"/>
      <c r="H92" s="314" t="n"/>
      <c r="I92" s="2" t="n"/>
      <c r="J92" s="265" t="n"/>
      <c r="L92" s="265">
        <f>F92</f>
        <v/>
      </c>
      <c r="M92" s="313" t="n"/>
      <c r="N92" s="314" t="n"/>
      <c r="O92" s="195" t="n"/>
      <c r="P92" s="265" t="n"/>
      <c r="U92" s="268" t="n"/>
      <c r="V92" s="268" t="n"/>
      <c r="X92" s="268" t="n"/>
    </row>
    <row r="93">
      <c r="B93" s="263" t="inlineStr">
        <is>
          <t>Test</t>
        </is>
      </c>
      <c r="D93" s="87" t="inlineStr">
        <is>
          <t>Bitrate [Mbps]</t>
        </is>
      </c>
      <c r="E93" s="315" t="n"/>
      <c r="F93" s="263" t="inlineStr">
        <is>
          <t>Test</t>
        </is>
      </c>
      <c r="H93" s="87" t="inlineStr">
        <is>
          <t>Bitrate [Mbps]</t>
        </is>
      </c>
      <c r="I93" s="9" t="n"/>
      <c r="J93" s="267" t="inlineStr">
        <is>
          <t>%</t>
        </is>
      </c>
      <c r="L93" s="267" t="inlineStr">
        <is>
          <t>RGB-PSNR</t>
        </is>
      </c>
      <c r="N93" s="316" t="n"/>
      <c r="O93" s="85" t="n"/>
      <c r="P93" s="3" t="n"/>
      <c r="R93" s="261" t="n"/>
      <c r="U93" s="261" t="n"/>
      <c r="V93" s="261" t="n"/>
      <c r="X93" s="261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315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317">
        <f>0.001*INDIRECT($B95&amp;"!E5")</f>
        <v/>
      </c>
      <c r="E95" s="315" t="n"/>
      <c r="F95" s="122">
        <f>F92</f>
        <v/>
      </c>
      <c r="G95" s="130" t="inlineStr">
        <is>
          <t>r01</t>
        </is>
      </c>
      <c r="H95" s="317">
        <f>0.001*INDIRECT($B95&amp;"!AC5")</f>
        <v/>
      </c>
      <c r="I95" s="9" t="n"/>
      <c r="J95" s="318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315" t="n"/>
      <c r="P95" s="318">
        <f>bdRateExtend(D95:D99,L95:L99,H95:H99,M95:M99)</f>
        <v/>
      </c>
      <c r="Q95" s="315" t="n"/>
      <c r="R95" s="9" t="n"/>
      <c r="S95" s="9" t="n"/>
      <c r="T95" s="9" t="n"/>
      <c r="U95" s="9" t="n"/>
      <c r="V95" s="319" t="n"/>
      <c r="X95" s="6" t="n"/>
      <c r="Y95" s="6" t="n"/>
      <c r="Z95" s="81" t="n"/>
      <c r="AB95" s="320" t="n"/>
    </row>
    <row r="96">
      <c r="B96" s="122">
        <f>B95</f>
        <v/>
      </c>
      <c r="C96" s="130" t="inlineStr">
        <is>
          <t>r02</t>
        </is>
      </c>
      <c r="D96" s="317">
        <f>0.001*INDIRECT($B96&amp;"!E6")</f>
        <v/>
      </c>
      <c r="E96" s="315" t="n"/>
      <c r="F96" s="122">
        <f>F95</f>
        <v/>
      </c>
      <c r="G96" s="130" t="inlineStr">
        <is>
          <t>r02</t>
        </is>
      </c>
      <c r="H96" s="317">
        <f>0.001*INDIRECT($B96&amp;"!AC6")</f>
        <v/>
      </c>
      <c r="I96" s="9" t="n"/>
      <c r="J96" s="318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315" t="n"/>
      <c r="P96" s="3" t="n"/>
      <c r="Q96" s="315" t="n"/>
      <c r="R96" s="9" t="n"/>
      <c r="S96" s="9" t="n"/>
      <c r="T96" s="9" t="n"/>
      <c r="U96" s="9" t="n"/>
      <c r="V96" s="319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317">
        <f>0.001*INDIRECT($B97&amp;"!E7")</f>
        <v/>
      </c>
      <c r="E97" s="315" t="n"/>
      <c r="F97" s="122">
        <f>F96</f>
        <v/>
      </c>
      <c r="G97" s="130" t="inlineStr">
        <is>
          <t>r03</t>
        </is>
      </c>
      <c r="H97" s="317">
        <f>0.001*INDIRECT($B97&amp;"!AC7")</f>
        <v/>
      </c>
      <c r="I97" s="9" t="n"/>
      <c r="J97" s="318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315" t="n"/>
      <c r="P97" s="3" t="n"/>
      <c r="Q97" s="315" t="n"/>
      <c r="R97" s="9" t="n"/>
      <c r="S97" s="9" t="n"/>
      <c r="T97" s="9" t="n"/>
      <c r="U97" s="9" t="n"/>
      <c r="V97" s="319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317">
        <f>0.001*INDIRECT($B98&amp;"!E8")</f>
        <v/>
      </c>
      <c r="E98" s="315" t="n"/>
      <c r="F98" s="122">
        <f>F97</f>
        <v/>
      </c>
      <c r="G98" s="130" t="inlineStr">
        <is>
          <t>r04</t>
        </is>
      </c>
      <c r="H98" s="317">
        <f>0.001*INDIRECT($B98&amp;"!AC8")</f>
        <v/>
      </c>
      <c r="I98" s="9" t="n"/>
      <c r="J98" s="318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315" t="n"/>
      <c r="P98" s="318" t="n"/>
      <c r="Q98" s="315" t="n"/>
      <c r="R98" s="9" t="n"/>
      <c r="S98" s="9" t="n"/>
      <c r="T98" s="9" t="n"/>
      <c r="U98" s="9" t="n"/>
      <c r="V98" s="319" t="n"/>
      <c r="X98" s="6" t="n"/>
      <c r="Y98" s="6" t="n"/>
      <c r="Z98" s="81" t="n"/>
    </row>
    <row r="99" ht="16.5" customHeight="1" s="270" thickBot="1">
      <c r="B99" s="122">
        <f>B98</f>
        <v/>
      </c>
      <c r="C99" s="130" t="inlineStr">
        <is>
          <t>r05</t>
        </is>
      </c>
      <c r="D99" s="317">
        <f>0.001*INDIRECT($B99&amp;"!E9")</f>
        <v/>
      </c>
      <c r="E99" s="315" t="n"/>
      <c r="F99" s="122">
        <f>F98</f>
        <v/>
      </c>
      <c r="G99" s="130" t="inlineStr">
        <is>
          <t>r05</t>
        </is>
      </c>
      <c r="H99" s="317">
        <f>0.001*INDIRECT($B99&amp;"!AC9")</f>
        <v/>
      </c>
      <c r="I99" s="9" t="n"/>
      <c r="J99" s="318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315" t="n"/>
      <c r="P99" s="321" t="n"/>
      <c r="Q99" s="315" t="n"/>
      <c r="R99" s="9" t="n"/>
      <c r="S99" s="9" t="n"/>
      <c r="T99" s="9" t="n"/>
      <c r="U99" s="9" t="n"/>
      <c r="V99" s="319" t="n"/>
      <c r="X99" s="6" t="n"/>
      <c r="Y99" s="6" t="n"/>
      <c r="Z99" s="81" t="n"/>
      <c r="AB99" s="320" t="n"/>
    </row>
    <row r="100" ht="16.5" customHeight="1" s="270">
      <c r="B100" s="109" t="n"/>
      <c r="C100" s="110" t="n"/>
      <c r="D100" s="322" t="n"/>
      <c r="F100" s="109" t="n"/>
      <c r="G100" s="110" t="n"/>
      <c r="H100" s="322" t="n"/>
      <c r="J100" s="98">
        <f>MIN(D95:D99,H95:H99)</f>
        <v/>
      </c>
      <c r="L100" s="99" t="n"/>
      <c r="M100" s="100" t="n"/>
      <c r="N100" s="101" t="n"/>
      <c r="O100" s="315" t="n"/>
      <c r="P100" s="265" t="n"/>
      <c r="Q100" s="315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70" thickBot="1">
      <c r="B101" s="89" t="n"/>
      <c r="C101" s="92" t="n"/>
      <c r="D101" s="323" t="n"/>
      <c r="E101" s="315" t="n"/>
      <c r="F101" s="89" t="n"/>
      <c r="G101" s="92" t="n"/>
      <c r="H101" s="323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315" t="n"/>
      <c r="P101" s="5" t="n"/>
      <c r="Q101" s="315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6.2" customHeight="1" s="270" thickBot="1"/>
    <row r="103">
      <c r="B103" s="312" t="inlineStr">
        <is>
          <t>Tango_Duo</t>
        </is>
      </c>
      <c r="C103" s="313" t="n"/>
      <c r="D103" s="314" t="n"/>
      <c r="E103" s="2" t="n"/>
      <c r="F103" s="312">
        <f>B103</f>
        <v/>
      </c>
      <c r="G103" s="313" t="n"/>
      <c r="H103" s="314" t="n"/>
      <c r="I103" s="2" t="n"/>
      <c r="J103" s="265" t="n"/>
      <c r="L103" s="265">
        <f>F103</f>
        <v/>
      </c>
      <c r="M103" s="313" t="n"/>
      <c r="N103" s="314" t="n"/>
      <c r="O103" s="195" t="n"/>
      <c r="P103" s="265" t="n"/>
      <c r="U103" s="268" t="n"/>
      <c r="V103" s="268" t="n"/>
      <c r="X103" s="268" t="n"/>
    </row>
    <row r="104">
      <c r="B104" s="263" t="inlineStr">
        <is>
          <t>Test</t>
        </is>
      </c>
      <c r="D104" s="87" t="inlineStr">
        <is>
          <t>Bitrate [Mbps]</t>
        </is>
      </c>
      <c r="E104" s="315" t="n"/>
      <c r="F104" s="263" t="inlineStr">
        <is>
          <t>Test</t>
        </is>
      </c>
      <c r="H104" s="87" t="inlineStr">
        <is>
          <t>Bitrate [Mbps]</t>
        </is>
      </c>
      <c r="I104" s="9" t="n"/>
      <c r="J104" s="267" t="inlineStr">
        <is>
          <t>%</t>
        </is>
      </c>
      <c r="L104" s="267" t="inlineStr">
        <is>
          <t>RGB-PSNR</t>
        </is>
      </c>
      <c r="N104" s="316" t="n"/>
      <c r="O104" s="85" t="n"/>
      <c r="P104" s="3" t="n"/>
      <c r="R104" s="261" t="n"/>
      <c r="U104" s="261" t="n"/>
      <c r="V104" s="261" t="n"/>
      <c r="X104" s="261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315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317">
        <f>0.001*INDIRECT($B106&amp;"!E5")</f>
        <v/>
      </c>
      <c r="E106" s="315" t="n"/>
      <c r="F106" s="122">
        <f>F103</f>
        <v/>
      </c>
      <c r="G106" s="130" t="inlineStr">
        <is>
          <t>r01</t>
        </is>
      </c>
      <c r="H106" s="317">
        <f>0.001*INDIRECT($B106&amp;"!AC5")</f>
        <v/>
      </c>
      <c r="I106" s="9" t="n"/>
      <c r="J106" s="318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315" t="n"/>
      <c r="P106" s="318">
        <f>bdRateExtend(D106:D110,L106:L110,H106:H110,M106:M110)</f>
        <v/>
      </c>
      <c r="Q106" s="315" t="n"/>
      <c r="R106" s="9" t="n"/>
      <c r="S106" s="9" t="n"/>
      <c r="T106" s="9" t="n"/>
      <c r="U106" s="9" t="n"/>
      <c r="V106" s="319" t="n"/>
      <c r="X106" s="6" t="n"/>
      <c r="Y106" s="6" t="n"/>
      <c r="Z106" s="81" t="n"/>
      <c r="AB106" s="320" t="n"/>
    </row>
    <row r="107">
      <c r="B107" s="122">
        <f>B106</f>
        <v/>
      </c>
      <c r="C107" s="130" t="inlineStr">
        <is>
          <t>r02</t>
        </is>
      </c>
      <c r="D107" s="317">
        <f>0.001*INDIRECT($B107&amp;"!E6")</f>
        <v/>
      </c>
      <c r="E107" s="315" t="n"/>
      <c r="F107" s="122">
        <f>F106</f>
        <v/>
      </c>
      <c r="G107" s="130" t="inlineStr">
        <is>
          <t>r02</t>
        </is>
      </c>
      <c r="H107" s="317">
        <f>0.001*INDIRECT($B107&amp;"!AC6")</f>
        <v/>
      </c>
      <c r="I107" s="9" t="n"/>
      <c r="J107" s="318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315" t="n"/>
      <c r="P107" s="3" t="n"/>
      <c r="Q107" s="315" t="n"/>
      <c r="R107" s="9" t="n"/>
      <c r="S107" s="9" t="n"/>
      <c r="T107" s="9" t="n"/>
      <c r="U107" s="9" t="n"/>
      <c r="V107" s="319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317">
        <f>0.001*INDIRECT($B108&amp;"!E7")</f>
        <v/>
      </c>
      <c r="E108" s="315" t="n"/>
      <c r="F108" s="122">
        <f>F107</f>
        <v/>
      </c>
      <c r="G108" s="130" t="inlineStr">
        <is>
          <t>r03</t>
        </is>
      </c>
      <c r="H108" s="317">
        <f>0.001*INDIRECT($B108&amp;"!AC7")</f>
        <v/>
      </c>
      <c r="I108" s="9" t="n"/>
      <c r="J108" s="318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315" t="n"/>
      <c r="P108" s="3" t="n"/>
      <c r="Q108" s="315" t="n"/>
      <c r="R108" s="9" t="n"/>
      <c r="S108" s="9" t="n"/>
      <c r="T108" s="9" t="n"/>
      <c r="U108" s="9" t="n"/>
      <c r="V108" s="319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317">
        <f>0.001*INDIRECT($B109&amp;"!E8")</f>
        <v/>
      </c>
      <c r="E109" s="315" t="n"/>
      <c r="F109" s="122">
        <f>F108</f>
        <v/>
      </c>
      <c r="G109" s="130" t="inlineStr">
        <is>
          <t>r04</t>
        </is>
      </c>
      <c r="H109" s="317">
        <f>0.001*INDIRECT($B109&amp;"!AC8")</f>
        <v/>
      </c>
      <c r="I109" s="9" t="n"/>
      <c r="J109" s="318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315" t="n"/>
      <c r="P109" s="318" t="n"/>
      <c r="Q109" s="315" t="n"/>
      <c r="R109" s="9" t="n"/>
      <c r="S109" s="9" t="n"/>
      <c r="T109" s="9" t="n"/>
      <c r="U109" s="9" t="n"/>
      <c r="V109" s="319" t="n"/>
      <c r="X109" s="6" t="n"/>
      <c r="Y109" s="6" t="n"/>
      <c r="Z109" s="81" t="n"/>
    </row>
    <row r="110" ht="16.5" customHeight="1" s="270" thickBot="1">
      <c r="B110" s="122">
        <f>B109</f>
        <v/>
      </c>
      <c r="C110" s="130" t="inlineStr">
        <is>
          <t>r05</t>
        </is>
      </c>
      <c r="D110" s="317">
        <f>0.001*INDIRECT($B110&amp;"!E9")</f>
        <v/>
      </c>
      <c r="E110" s="315" t="n"/>
      <c r="F110" s="122">
        <f>F109</f>
        <v/>
      </c>
      <c r="G110" s="130" t="inlineStr">
        <is>
          <t>r05</t>
        </is>
      </c>
      <c r="H110" s="317">
        <f>0.001*INDIRECT($B110&amp;"!AC9")</f>
        <v/>
      </c>
      <c r="I110" s="9" t="n"/>
      <c r="J110" s="318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315" t="n"/>
      <c r="P110" s="321" t="n"/>
      <c r="Q110" s="315" t="n"/>
      <c r="R110" s="9" t="n"/>
      <c r="S110" s="9" t="n"/>
      <c r="T110" s="9" t="n"/>
      <c r="U110" s="9" t="n"/>
      <c r="V110" s="319" t="n"/>
      <c r="X110" s="6" t="n"/>
      <c r="Y110" s="6" t="n"/>
      <c r="Z110" s="81" t="n"/>
      <c r="AB110" s="320" t="n"/>
    </row>
    <row r="111" ht="16.5" customHeight="1" s="270">
      <c r="B111" s="109" t="n"/>
      <c r="C111" s="110" t="n"/>
      <c r="D111" s="322" t="n"/>
      <c r="F111" s="109" t="n"/>
      <c r="G111" s="110" t="n"/>
      <c r="H111" s="322" t="n"/>
      <c r="J111" s="98">
        <f>MIN(D106:D110,H106:H110)</f>
        <v/>
      </c>
      <c r="L111" s="99" t="n"/>
      <c r="M111" s="100" t="n"/>
      <c r="N111" s="101" t="n"/>
      <c r="O111" s="315" t="n"/>
      <c r="P111" s="265" t="n"/>
      <c r="Q111" s="315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70" thickBot="1">
      <c r="B112" s="89" t="n"/>
      <c r="C112" s="92" t="n"/>
      <c r="D112" s="323" t="n"/>
      <c r="E112" s="315" t="n"/>
      <c r="F112" s="89" t="n"/>
      <c r="G112" s="92" t="n"/>
      <c r="H112" s="323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315" t="n"/>
      <c r="P112" s="5" t="n"/>
      <c r="Q112" s="315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6.2" customHeight="1" s="270" thickBot="1">
      <c r="AB113" s="320" t="n"/>
    </row>
    <row r="114">
      <c r="B114" s="312" t="inlineStr">
        <is>
          <t>Solo_Tango_Female</t>
        </is>
      </c>
      <c r="C114" s="313" t="n"/>
      <c r="D114" s="314" t="n"/>
      <c r="E114" s="2" t="n"/>
      <c r="F114" s="312">
        <f>B114</f>
        <v/>
      </c>
      <c r="G114" s="313" t="n"/>
      <c r="H114" s="314" t="n"/>
      <c r="I114" s="2" t="n"/>
      <c r="J114" s="265" t="n"/>
      <c r="L114" s="265">
        <f>F114</f>
        <v/>
      </c>
      <c r="M114" s="313" t="n"/>
      <c r="N114" s="314" t="n"/>
      <c r="O114" s="195" t="n"/>
      <c r="P114" s="265" t="n"/>
    </row>
    <row r="115">
      <c r="B115" s="263" t="inlineStr">
        <is>
          <t>Test</t>
        </is>
      </c>
      <c r="D115" s="87" t="inlineStr">
        <is>
          <t>Bitrate [Mbps]</t>
        </is>
      </c>
      <c r="E115" s="315" t="n"/>
      <c r="F115" s="263" t="inlineStr">
        <is>
          <t>Test</t>
        </is>
      </c>
      <c r="H115" s="87" t="inlineStr">
        <is>
          <t>Bitrate [Mbps]</t>
        </is>
      </c>
      <c r="I115" s="9" t="n"/>
      <c r="J115" s="267" t="inlineStr">
        <is>
          <t>%</t>
        </is>
      </c>
      <c r="L115" s="267" t="inlineStr">
        <is>
          <t>RGB-PSNR</t>
        </is>
      </c>
      <c r="N115" s="316" t="n"/>
      <c r="O115" s="85" t="n"/>
      <c r="P115" s="3" t="n"/>
    </row>
    <row r="116" ht="16.5" customHeight="1" s="270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315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I116" s="9" t="n"/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320" t="n"/>
    </row>
    <row r="117">
      <c r="B117" s="122">
        <f>B114</f>
        <v/>
      </c>
      <c r="C117" s="130" t="inlineStr">
        <is>
          <t>r01</t>
        </is>
      </c>
      <c r="D117" s="317">
        <f>0.001*INDIRECT($B117&amp;"!E5")</f>
        <v/>
      </c>
      <c r="E117" s="315" t="n"/>
      <c r="F117" s="122">
        <f>F114</f>
        <v/>
      </c>
      <c r="G117" s="130" t="inlineStr">
        <is>
          <t>r01</t>
        </is>
      </c>
      <c r="H117" s="317">
        <f>0.001*INDIRECT($B117&amp;"!AC5")</f>
        <v/>
      </c>
      <c r="I117" s="9" t="n"/>
      <c r="J117" s="318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315" t="n"/>
      <c r="P117" s="318">
        <f>bdRateExtend(D117:D121,L117:L121,H117:H121,M117:M121)</f>
        <v/>
      </c>
    </row>
    <row r="118" ht="16.5" customHeight="1" s="270">
      <c r="B118" s="122">
        <f>B117</f>
        <v/>
      </c>
      <c r="C118" s="130" t="inlineStr">
        <is>
          <t>r02</t>
        </is>
      </c>
      <c r="D118" s="317">
        <f>0.001*INDIRECT($B118&amp;"!E6")</f>
        <v/>
      </c>
      <c r="E118" s="315" t="n"/>
      <c r="F118" s="122">
        <f>F117</f>
        <v/>
      </c>
      <c r="G118" s="130" t="inlineStr">
        <is>
          <t>r02</t>
        </is>
      </c>
      <c r="H118" s="317">
        <f>0.001*INDIRECT($B118&amp;"!AC6")</f>
        <v/>
      </c>
      <c r="I118" s="9" t="n"/>
      <c r="J118" s="318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315" t="n"/>
      <c r="P118" s="3" t="n"/>
    </row>
    <row r="119" ht="16.5" customHeight="1" s="270">
      <c r="B119" s="122">
        <f>B118</f>
        <v/>
      </c>
      <c r="C119" s="130" t="inlineStr">
        <is>
          <t>r03</t>
        </is>
      </c>
      <c r="D119" s="317">
        <f>0.001*INDIRECT($B119&amp;"!E7")</f>
        <v/>
      </c>
      <c r="E119" s="315" t="n"/>
      <c r="F119" s="122">
        <f>F118</f>
        <v/>
      </c>
      <c r="G119" s="130" t="inlineStr">
        <is>
          <t>r03</t>
        </is>
      </c>
      <c r="H119" s="317">
        <f>0.001*INDIRECT($B119&amp;"!AC7")</f>
        <v/>
      </c>
      <c r="I119" s="9" t="n"/>
      <c r="J119" s="318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315" t="n"/>
      <c r="P119" s="3" t="n"/>
    </row>
    <row r="120">
      <c r="B120" s="122">
        <f>B119</f>
        <v/>
      </c>
      <c r="C120" s="130" t="inlineStr">
        <is>
          <t>r04</t>
        </is>
      </c>
      <c r="D120" s="317">
        <f>0.001*INDIRECT($B120&amp;"!E8")</f>
        <v/>
      </c>
      <c r="E120" s="315" t="n"/>
      <c r="F120" s="122">
        <f>F119</f>
        <v/>
      </c>
      <c r="G120" s="130" t="inlineStr">
        <is>
          <t>r04</t>
        </is>
      </c>
      <c r="H120" s="317">
        <f>0.001*INDIRECT($B120&amp;"!AC8")</f>
        <v/>
      </c>
      <c r="I120" s="9" t="n"/>
      <c r="J120" s="318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315" t="n"/>
      <c r="P120" s="318" t="n"/>
    </row>
    <row r="121" ht="16.2" customHeight="1" s="270" thickBot="1">
      <c r="B121" s="122">
        <f>B120</f>
        <v/>
      </c>
      <c r="C121" s="130" t="inlineStr">
        <is>
          <t>r05</t>
        </is>
      </c>
      <c r="D121" s="317">
        <f>0.001*INDIRECT($B121&amp;"!E9")</f>
        <v/>
      </c>
      <c r="E121" s="315" t="n"/>
      <c r="F121" s="122">
        <f>F120</f>
        <v/>
      </c>
      <c r="G121" s="130" t="inlineStr">
        <is>
          <t>r05</t>
        </is>
      </c>
      <c r="H121" s="317">
        <f>0.001*INDIRECT($B121&amp;"!AC9")</f>
        <v/>
      </c>
      <c r="I121" s="9" t="n"/>
      <c r="J121" s="318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315" t="n"/>
      <c r="P121" s="321" t="n"/>
    </row>
    <row r="122">
      <c r="B122" s="109" t="n"/>
      <c r="C122" s="110" t="n"/>
      <c r="D122" s="322" t="n"/>
      <c r="F122" s="109" t="n"/>
      <c r="G122" s="110" t="n"/>
      <c r="H122" s="322" t="n"/>
      <c r="J122" s="98">
        <f>MIN(D117:D121,H117:H121)</f>
        <v/>
      </c>
      <c r="L122" s="99" t="n"/>
      <c r="M122" s="100" t="n"/>
      <c r="N122" s="101" t="n"/>
      <c r="O122" s="315" t="n"/>
      <c r="P122" s="265" t="n"/>
    </row>
    <row r="123" ht="16.2" customHeight="1" s="270" thickBot="1">
      <c r="B123" s="89" t="n"/>
      <c r="C123" s="92" t="n"/>
      <c r="D123" s="323" t="n"/>
      <c r="E123" s="315" t="n"/>
      <c r="F123" s="89" t="n"/>
      <c r="G123" s="92" t="n"/>
      <c r="H123" s="323" t="n"/>
      <c r="I123" s="9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315" t="n"/>
      <c r="P123" s="5" t="n"/>
      <c r="AB123" s="320" t="n"/>
    </row>
    <row r="124" ht="16.2" customHeight="1" s="270" thickBot="1"/>
    <row r="125">
      <c r="B125" s="312" t="inlineStr">
        <is>
          <t>Solo_Tango_Male</t>
        </is>
      </c>
      <c r="C125" s="313" t="n"/>
      <c r="D125" s="314" t="n"/>
      <c r="E125" s="2" t="n"/>
      <c r="F125" s="312">
        <f>B125</f>
        <v/>
      </c>
      <c r="G125" s="313" t="n"/>
      <c r="H125" s="314" t="n"/>
      <c r="I125" s="2" t="n"/>
      <c r="J125" s="265" t="n"/>
      <c r="L125" s="265">
        <f>F125</f>
        <v/>
      </c>
      <c r="M125" s="313" t="n"/>
      <c r="N125" s="314" t="n"/>
      <c r="O125" s="195" t="n"/>
      <c r="P125" s="265" t="n"/>
    </row>
    <row r="126" ht="16.5" customHeight="1" s="270">
      <c r="B126" s="263" t="inlineStr">
        <is>
          <t>Test</t>
        </is>
      </c>
      <c r="D126" s="87" t="inlineStr">
        <is>
          <t>Bitrate [Mbps]</t>
        </is>
      </c>
      <c r="E126" s="315" t="n"/>
      <c r="F126" s="263" t="inlineStr">
        <is>
          <t>Test</t>
        </is>
      </c>
      <c r="H126" s="87" t="inlineStr">
        <is>
          <t>Bitrate [Mbps]</t>
        </is>
      </c>
      <c r="I126" s="9" t="n"/>
      <c r="J126" s="267" t="inlineStr">
        <is>
          <t>%</t>
        </is>
      </c>
      <c r="L126" s="267" t="inlineStr">
        <is>
          <t>RGB-PSNR</t>
        </is>
      </c>
      <c r="N126" s="316" t="n"/>
      <c r="O126" s="85" t="n"/>
      <c r="P126" s="3" t="n"/>
      <c r="AB126" s="320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315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I127" s="9" t="n"/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 ht="16.5" customHeight="1" s="270">
      <c r="B128" s="122">
        <f>B125</f>
        <v/>
      </c>
      <c r="C128" s="130" t="inlineStr">
        <is>
          <t>r01</t>
        </is>
      </c>
      <c r="D128" s="317">
        <f>0.001*INDIRECT($B128&amp;"!E5")</f>
        <v/>
      </c>
      <c r="E128" s="315" t="n"/>
      <c r="F128" s="122">
        <f>F125</f>
        <v/>
      </c>
      <c r="G128" s="130" t="inlineStr">
        <is>
          <t>r01</t>
        </is>
      </c>
      <c r="H128" s="317">
        <f>0.001*INDIRECT($B128&amp;"!AC5")</f>
        <v/>
      </c>
      <c r="I128" s="9" t="n"/>
      <c r="J128" s="318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315" t="n"/>
      <c r="P128" s="318">
        <f>bdRateExtend(D128:D132,L128:L132,H128:H132,M128:M132)</f>
        <v/>
      </c>
    </row>
    <row r="129" ht="16.5" customHeight="1" s="270">
      <c r="B129" s="122">
        <f>B128</f>
        <v/>
      </c>
      <c r="C129" s="130" t="inlineStr">
        <is>
          <t>r02</t>
        </is>
      </c>
      <c r="D129" s="317">
        <f>0.001*INDIRECT($B129&amp;"!E6")</f>
        <v/>
      </c>
      <c r="E129" s="315" t="n"/>
      <c r="F129" s="122">
        <f>F128</f>
        <v/>
      </c>
      <c r="G129" s="130" t="inlineStr">
        <is>
          <t>r02</t>
        </is>
      </c>
      <c r="H129" s="317">
        <f>0.001*INDIRECT($B129&amp;"!AC6")</f>
        <v/>
      </c>
      <c r="I129" s="9" t="n"/>
      <c r="J129" s="318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315" t="n"/>
      <c r="P129" s="3" t="n"/>
    </row>
    <row r="130">
      <c r="B130" s="122">
        <f>B129</f>
        <v/>
      </c>
      <c r="C130" s="130" t="inlineStr">
        <is>
          <t>r03</t>
        </is>
      </c>
      <c r="D130" s="317">
        <f>0.001*INDIRECT($B130&amp;"!E7")</f>
        <v/>
      </c>
      <c r="E130" s="315" t="n"/>
      <c r="F130" s="122">
        <f>F129</f>
        <v/>
      </c>
      <c r="G130" s="130" t="inlineStr">
        <is>
          <t>r03</t>
        </is>
      </c>
      <c r="H130" s="317">
        <f>0.001*INDIRECT($B130&amp;"!AC7")</f>
        <v/>
      </c>
      <c r="I130" s="9" t="n"/>
      <c r="J130" s="318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315" t="n"/>
      <c r="P130" s="3" t="n"/>
    </row>
    <row r="131">
      <c r="B131" s="122">
        <f>B130</f>
        <v/>
      </c>
      <c r="C131" s="130" t="inlineStr">
        <is>
          <t>r04</t>
        </is>
      </c>
      <c r="D131" s="317">
        <f>0.001*INDIRECT($B131&amp;"!E8")</f>
        <v/>
      </c>
      <c r="E131" s="315" t="n"/>
      <c r="F131" s="122">
        <f>F130</f>
        <v/>
      </c>
      <c r="G131" s="130" t="inlineStr">
        <is>
          <t>r04</t>
        </is>
      </c>
      <c r="H131" s="317">
        <f>0.001*INDIRECT($B131&amp;"!AC8")</f>
        <v/>
      </c>
      <c r="I131" s="9" t="n"/>
      <c r="J131" s="318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315" t="n"/>
      <c r="P131" s="318" t="n"/>
    </row>
    <row r="132" ht="16.2" customHeight="1" s="270" thickBot="1">
      <c r="B132" s="122">
        <f>B131</f>
        <v/>
      </c>
      <c r="C132" s="130" t="inlineStr">
        <is>
          <t>r05</t>
        </is>
      </c>
      <c r="D132" s="317">
        <f>0.001*INDIRECT($B132&amp;"!E9")</f>
        <v/>
      </c>
      <c r="E132" s="315" t="n"/>
      <c r="F132" s="122">
        <f>F131</f>
        <v/>
      </c>
      <c r="G132" s="130" t="inlineStr">
        <is>
          <t>r05</t>
        </is>
      </c>
      <c r="H132" s="317">
        <f>0.001*INDIRECT($B132&amp;"!AC9")</f>
        <v/>
      </c>
      <c r="I132" s="9" t="n"/>
      <c r="J132" s="318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315" t="n"/>
      <c r="P132" s="321" t="n"/>
    </row>
    <row r="133">
      <c r="B133" s="109" t="n"/>
      <c r="C133" s="110" t="n"/>
      <c r="D133" s="322" t="n"/>
      <c r="F133" s="109" t="n"/>
      <c r="G133" s="110" t="n"/>
      <c r="H133" s="322" t="n"/>
      <c r="J133" s="98">
        <f>MIN(D128:D132,H128:H132)</f>
        <v/>
      </c>
      <c r="L133" s="99" t="n"/>
      <c r="M133" s="100" t="n"/>
      <c r="N133" s="101" t="n"/>
      <c r="O133" s="315" t="n"/>
      <c r="P133" s="265" t="n"/>
      <c r="AB133" s="320" t="n"/>
    </row>
    <row r="134" ht="16.2" customHeight="1" s="270" thickBot="1">
      <c r="B134" s="89" t="n"/>
      <c r="C134" s="92" t="n"/>
      <c r="D134" s="323" t="n"/>
      <c r="E134" s="315" t="n"/>
      <c r="F134" s="89" t="n"/>
      <c r="G134" s="92" t="n"/>
      <c r="H134" s="323" t="n"/>
      <c r="I134" s="9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315" t="n"/>
      <c r="P134" s="5" t="n"/>
    </row>
    <row r="135" ht="16.2" customHeight="1" s="270" thickBot="1"/>
    <row r="136" ht="16.5" customHeight="1" s="270">
      <c r="B136" s="312" t="inlineStr">
        <is>
          <t>BlueBackpack_UVGgs_0100</t>
        </is>
      </c>
      <c r="C136" s="313" t="n"/>
      <c r="D136" s="314" t="n"/>
      <c r="E136" s="2" t="n"/>
      <c r="F136" s="312">
        <f>B136</f>
        <v/>
      </c>
      <c r="G136" s="313" t="n"/>
      <c r="H136" s="314" t="n"/>
      <c r="I136" s="2" t="n"/>
      <c r="J136" s="265" t="n"/>
      <c r="L136" s="265">
        <f>F136</f>
        <v/>
      </c>
      <c r="M136" s="313" t="n"/>
      <c r="N136" s="314" t="n"/>
      <c r="O136" s="195" t="n"/>
      <c r="P136" s="265" t="n"/>
      <c r="AB136" s="320" t="n"/>
    </row>
    <row r="137">
      <c r="B137" s="263" t="inlineStr">
        <is>
          <t>Test</t>
        </is>
      </c>
      <c r="D137" s="87" t="inlineStr">
        <is>
          <t>Bitrate [Mbps]</t>
        </is>
      </c>
      <c r="E137" s="315" t="n"/>
      <c r="F137" s="263" t="inlineStr">
        <is>
          <t>Test</t>
        </is>
      </c>
      <c r="H137" s="87" t="inlineStr">
        <is>
          <t>Bitrate [Mbps]</t>
        </is>
      </c>
      <c r="I137" s="9" t="n"/>
      <c r="J137" s="267" t="inlineStr">
        <is>
          <t>%</t>
        </is>
      </c>
      <c r="L137" s="267" t="inlineStr">
        <is>
          <t>RGB-PSNR</t>
        </is>
      </c>
      <c r="N137" s="316" t="n"/>
      <c r="O137" s="85" t="n"/>
      <c r="P137" s="3" t="n"/>
    </row>
    <row r="138" ht="16.5" customHeight="1" s="270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315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I138" s="9" t="n"/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70">
      <c r="B139" s="122">
        <f>B136</f>
        <v/>
      </c>
      <c r="C139" s="130" t="inlineStr">
        <is>
          <t>r01</t>
        </is>
      </c>
      <c r="D139" s="317">
        <f>0.001*INDIRECT($B139&amp;"!E5")</f>
        <v/>
      </c>
      <c r="E139" s="315" t="n"/>
      <c r="F139" s="122">
        <f>F136</f>
        <v/>
      </c>
      <c r="G139" s="130" t="inlineStr">
        <is>
          <t>r01</t>
        </is>
      </c>
      <c r="H139" s="317">
        <f>0.001*INDIRECT($B139&amp;"!AC5")</f>
        <v/>
      </c>
      <c r="I139" s="9" t="n"/>
      <c r="J139" s="318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315" t="n"/>
      <c r="P139" s="318">
        <f>bdRateExtend(D139:D143,L139:L143,H139:H143,M139:M143)</f>
        <v/>
      </c>
    </row>
    <row r="140">
      <c r="B140" s="122">
        <f>B139</f>
        <v/>
      </c>
      <c r="C140" s="130" t="inlineStr">
        <is>
          <t>r02</t>
        </is>
      </c>
      <c r="D140" s="317">
        <f>0.001*INDIRECT($B140&amp;"!E6")</f>
        <v/>
      </c>
      <c r="E140" s="315" t="n"/>
      <c r="F140" s="122">
        <f>F139</f>
        <v/>
      </c>
      <c r="G140" s="130" t="inlineStr">
        <is>
          <t>r02</t>
        </is>
      </c>
      <c r="H140" s="317">
        <f>0.001*INDIRECT($B140&amp;"!AC6")</f>
        <v/>
      </c>
      <c r="I140" s="9" t="n"/>
      <c r="J140" s="318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315" t="n"/>
      <c r="P140" s="3" t="n"/>
    </row>
    <row r="141">
      <c r="B141" s="122">
        <f>B140</f>
        <v/>
      </c>
      <c r="C141" s="130" t="inlineStr">
        <is>
          <t>r03</t>
        </is>
      </c>
      <c r="D141" s="317">
        <f>0.001*INDIRECT($B141&amp;"!E7")</f>
        <v/>
      </c>
      <c r="E141" s="315" t="n"/>
      <c r="F141" s="122">
        <f>F140</f>
        <v/>
      </c>
      <c r="G141" s="130" t="inlineStr">
        <is>
          <t>r03</t>
        </is>
      </c>
      <c r="H141" s="317">
        <f>0.001*INDIRECT($B141&amp;"!AC7")</f>
        <v/>
      </c>
      <c r="I141" s="9" t="n"/>
      <c r="J141" s="318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315" t="n"/>
      <c r="P141" s="3" t="n"/>
    </row>
    <row r="142">
      <c r="B142" s="122">
        <f>B141</f>
        <v/>
      </c>
      <c r="C142" s="130" t="inlineStr">
        <is>
          <t>r04</t>
        </is>
      </c>
      <c r="D142" s="317">
        <f>0.001*INDIRECT($B142&amp;"!E8")</f>
        <v/>
      </c>
      <c r="E142" s="315" t="n"/>
      <c r="F142" s="122">
        <f>F141</f>
        <v/>
      </c>
      <c r="G142" s="130" t="inlineStr">
        <is>
          <t>r04</t>
        </is>
      </c>
      <c r="H142" s="317">
        <f>0.001*INDIRECT($B142&amp;"!AC8")</f>
        <v/>
      </c>
      <c r="I142" s="9" t="n"/>
      <c r="J142" s="318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315" t="n"/>
      <c r="P142" s="318" t="n"/>
    </row>
    <row r="143" ht="16.2" customHeight="1" s="270" thickBot="1">
      <c r="B143" s="122">
        <f>B142</f>
        <v/>
      </c>
      <c r="C143" s="130" t="inlineStr">
        <is>
          <t>r05</t>
        </is>
      </c>
      <c r="D143" s="317">
        <f>0.001*INDIRECT($B143&amp;"!E9")</f>
        <v/>
      </c>
      <c r="E143" s="315" t="n"/>
      <c r="F143" s="122">
        <f>F142</f>
        <v/>
      </c>
      <c r="G143" s="130" t="inlineStr">
        <is>
          <t>r05</t>
        </is>
      </c>
      <c r="H143" s="317">
        <f>0.001*INDIRECT($B143&amp;"!AC9")</f>
        <v/>
      </c>
      <c r="I143" s="9" t="n"/>
      <c r="J143" s="318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315" t="n"/>
      <c r="P143" s="321" t="n"/>
      <c r="AB143" s="320" t="n"/>
    </row>
    <row r="144">
      <c r="B144" s="109" t="n"/>
      <c r="C144" s="110" t="n"/>
      <c r="D144" s="322" t="n"/>
      <c r="F144" s="109" t="n"/>
      <c r="G144" s="110" t="n"/>
      <c r="H144" s="322" t="n"/>
      <c r="J144" s="98">
        <f>MIN(D139:D143,H139:H143)</f>
        <v/>
      </c>
      <c r="L144" s="99" t="n"/>
      <c r="M144" s="100" t="n"/>
      <c r="N144" s="101" t="n"/>
      <c r="O144" s="315" t="n"/>
      <c r="P144" s="265" t="n"/>
    </row>
    <row r="145" ht="16.2" customHeight="1" s="270" thickBot="1">
      <c r="B145" s="89" t="n"/>
      <c r="C145" s="92" t="n"/>
      <c r="D145" s="323" t="n"/>
      <c r="E145" s="315" t="n"/>
      <c r="F145" s="89" t="n"/>
      <c r="G145" s="92" t="n"/>
      <c r="H145" s="323" t="n"/>
      <c r="I145" s="9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315" t="n"/>
      <c r="P145" s="5" t="n"/>
    </row>
    <row r="146" ht="16.5" customHeight="1" s="270" thickBot="1">
      <c r="B146" s="266" t="n"/>
      <c r="C146" s="266" t="n"/>
      <c r="D146" s="324" t="n"/>
      <c r="E146" s="315" t="n"/>
      <c r="F146" s="266" t="n"/>
      <c r="G146" s="266" t="n"/>
      <c r="H146" s="324" t="n"/>
      <c r="I146" s="9" t="n"/>
      <c r="J146" s="212" t="n"/>
      <c r="L146" s="213" t="n"/>
      <c r="M146" s="213" t="n"/>
      <c r="N146" s="214" t="n"/>
      <c r="O146" s="315" t="n"/>
      <c r="P146" s="268" t="n"/>
      <c r="AB146" s="320" t="n"/>
    </row>
    <row r="147">
      <c r="B147" s="312" t="inlineStr">
        <is>
          <t>BlueBackpack_UVGgs_0200</t>
        </is>
      </c>
      <c r="C147" s="313" t="n"/>
      <c r="D147" s="314" t="n"/>
      <c r="E147" s="2" t="n"/>
      <c r="F147" s="312">
        <f>B147</f>
        <v/>
      </c>
      <c r="G147" s="313" t="n"/>
      <c r="H147" s="314" t="n"/>
      <c r="I147" s="2" t="n"/>
      <c r="J147" s="265" t="n"/>
      <c r="L147" s="265">
        <f>F147</f>
        <v/>
      </c>
      <c r="M147" s="313" t="n"/>
      <c r="N147" s="314" t="n"/>
      <c r="O147" s="195" t="n"/>
      <c r="P147" s="265" t="n"/>
    </row>
    <row r="148" ht="16.5" customHeight="1" s="270">
      <c r="B148" s="263" t="inlineStr">
        <is>
          <t>Test</t>
        </is>
      </c>
      <c r="D148" s="87" t="inlineStr">
        <is>
          <t>Bitrate [Mbps]</t>
        </is>
      </c>
      <c r="E148" s="315" t="n"/>
      <c r="F148" s="263" t="inlineStr">
        <is>
          <t>Test</t>
        </is>
      </c>
      <c r="H148" s="87" t="inlineStr">
        <is>
          <t>Bitrate [Mbps]</t>
        </is>
      </c>
      <c r="I148" s="9" t="n"/>
      <c r="J148" s="267" t="inlineStr">
        <is>
          <t>%</t>
        </is>
      </c>
      <c r="L148" s="267" t="inlineStr">
        <is>
          <t>RGB-PSNR</t>
        </is>
      </c>
      <c r="N148" s="316" t="n"/>
      <c r="O148" s="85" t="n"/>
      <c r="P148" s="3" t="n"/>
    </row>
    <row r="149" ht="16.5" customHeight="1" s="270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315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I149" s="9" t="n"/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</row>
    <row r="150">
      <c r="B150" s="122">
        <f>B147</f>
        <v/>
      </c>
      <c r="C150" s="130" t="inlineStr">
        <is>
          <t>r01</t>
        </is>
      </c>
      <c r="D150" s="317">
        <f>0.001*INDIRECT($B150&amp;"!E5")</f>
        <v/>
      </c>
      <c r="E150" s="315" t="n"/>
      <c r="F150" s="122">
        <f>F147</f>
        <v/>
      </c>
      <c r="G150" s="130" t="inlineStr">
        <is>
          <t>r01</t>
        </is>
      </c>
      <c r="H150" s="317">
        <f>0.001*INDIRECT($B150&amp;"!AC5")</f>
        <v/>
      </c>
      <c r="I150" s="9" t="n"/>
      <c r="J150" s="318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315" t="n"/>
      <c r="P150" s="318">
        <f>bdRateExtend(D150:D154,L150:L154,H150:H154,M150:M154)</f>
        <v/>
      </c>
    </row>
    <row r="151">
      <c r="B151" s="122">
        <f>B150</f>
        <v/>
      </c>
      <c r="C151" s="130" t="inlineStr">
        <is>
          <t>r02</t>
        </is>
      </c>
      <c r="D151" s="317">
        <f>0.001*INDIRECT($B151&amp;"!E6")</f>
        <v/>
      </c>
      <c r="E151" s="315" t="n"/>
      <c r="F151" s="122">
        <f>F150</f>
        <v/>
      </c>
      <c r="G151" s="130" t="inlineStr">
        <is>
          <t>r02</t>
        </is>
      </c>
      <c r="H151" s="317">
        <f>0.001*INDIRECT($B151&amp;"!AC6")</f>
        <v/>
      </c>
      <c r="I151" s="9" t="n"/>
      <c r="J151" s="318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315" t="n"/>
      <c r="P151" s="3" t="n"/>
    </row>
    <row r="152">
      <c r="B152" s="122">
        <f>B151</f>
        <v/>
      </c>
      <c r="C152" s="130" t="inlineStr">
        <is>
          <t>r03</t>
        </is>
      </c>
      <c r="D152" s="317">
        <f>0.001*INDIRECT($B152&amp;"!E7")</f>
        <v/>
      </c>
      <c r="E152" s="315" t="n"/>
      <c r="F152" s="122">
        <f>F151</f>
        <v/>
      </c>
      <c r="G152" s="130" t="inlineStr">
        <is>
          <t>r03</t>
        </is>
      </c>
      <c r="H152" s="317">
        <f>0.001*INDIRECT($B152&amp;"!AC7")</f>
        <v/>
      </c>
      <c r="I152" s="9" t="n"/>
      <c r="J152" s="318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315" t="n"/>
      <c r="P152" s="3" t="n"/>
    </row>
    <row r="153">
      <c r="B153" s="122">
        <f>B152</f>
        <v/>
      </c>
      <c r="C153" s="130" t="inlineStr">
        <is>
          <t>r04</t>
        </is>
      </c>
      <c r="D153" s="317">
        <f>0.001*INDIRECT($B153&amp;"!E8")</f>
        <v/>
      </c>
      <c r="E153" s="315" t="n"/>
      <c r="F153" s="122">
        <f>F152</f>
        <v/>
      </c>
      <c r="G153" s="130" t="inlineStr">
        <is>
          <t>r04</t>
        </is>
      </c>
      <c r="H153" s="317">
        <f>0.001*INDIRECT($B153&amp;"!AC8")</f>
        <v/>
      </c>
      <c r="I153" s="9" t="n"/>
      <c r="J153" s="318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315" t="n"/>
      <c r="P153" s="318" t="n"/>
      <c r="AB153" s="320" t="n"/>
    </row>
    <row r="154" ht="16.2" customHeight="1" s="270" thickBot="1">
      <c r="B154" s="122">
        <f>B153</f>
        <v/>
      </c>
      <c r="C154" s="130" t="inlineStr">
        <is>
          <t>r05</t>
        </is>
      </c>
      <c r="D154" s="317">
        <f>0.001*INDIRECT($B154&amp;"!E9")</f>
        <v/>
      </c>
      <c r="E154" s="315" t="n"/>
      <c r="F154" s="122">
        <f>F153</f>
        <v/>
      </c>
      <c r="G154" s="130" t="inlineStr">
        <is>
          <t>r05</t>
        </is>
      </c>
      <c r="H154" s="317">
        <f>0.001*INDIRECT($B154&amp;"!AC9")</f>
        <v/>
      </c>
      <c r="I154" s="9" t="n"/>
      <c r="J154" s="318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315" t="n"/>
      <c r="P154" s="321" t="n"/>
    </row>
    <row r="155">
      <c r="B155" s="109" t="n"/>
      <c r="C155" s="110" t="n"/>
      <c r="D155" s="322" t="n"/>
      <c r="F155" s="109" t="n"/>
      <c r="G155" s="110" t="n"/>
      <c r="H155" s="322" t="n"/>
      <c r="J155" s="98">
        <f>MIN(D150:D154,H150:H154)</f>
        <v/>
      </c>
      <c r="L155" s="99" t="n"/>
      <c r="M155" s="100" t="n"/>
      <c r="N155" s="101" t="n"/>
      <c r="O155" s="315" t="n"/>
      <c r="P155" s="265" t="n"/>
    </row>
    <row r="156" ht="16.5" customHeight="1" s="270" thickBot="1">
      <c r="B156" s="89" t="n"/>
      <c r="C156" s="92" t="n"/>
      <c r="D156" s="323" t="n"/>
      <c r="E156" s="315" t="n"/>
      <c r="F156" s="89" t="n"/>
      <c r="G156" s="92" t="n"/>
      <c r="H156" s="323" t="n"/>
      <c r="I156" s="9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315" t="n"/>
      <c r="P156" s="5" t="n"/>
      <c r="AB156" s="320" t="n"/>
    </row>
    <row r="157" ht="16.2" customHeight="1" s="270" thickBot="1"/>
    <row r="158" ht="16.5" customHeight="1" s="270">
      <c r="B158" s="312" t="inlineStr">
        <is>
          <t>FlowerDance_UVGgs_0000</t>
        </is>
      </c>
      <c r="C158" s="313" t="n"/>
      <c r="D158" s="314" t="n"/>
      <c r="E158" s="2" t="n"/>
      <c r="F158" s="312">
        <f>B158</f>
        <v/>
      </c>
      <c r="G158" s="313" t="n"/>
      <c r="H158" s="314" t="n"/>
      <c r="I158" s="2" t="n"/>
      <c r="J158" s="265" t="n"/>
      <c r="L158" s="265">
        <f>F158</f>
        <v/>
      </c>
      <c r="M158" s="313" t="n"/>
      <c r="N158" s="314" t="n"/>
      <c r="O158" s="195" t="n"/>
      <c r="P158" s="265" t="n"/>
    </row>
    <row r="159" ht="16.5" customHeight="1" s="270">
      <c r="B159" s="263" t="inlineStr">
        <is>
          <t>Test</t>
        </is>
      </c>
      <c r="D159" s="87" t="inlineStr">
        <is>
          <t>Bitrate [Mbps]</t>
        </is>
      </c>
      <c r="E159" s="315" t="n"/>
      <c r="F159" s="263" t="inlineStr">
        <is>
          <t>Test</t>
        </is>
      </c>
      <c r="H159" s="87" t="inlineStr">
        <is>
          <t>Bitrate [Mbps]</t>
        </is>
      </c>
      <c r="I159" s="9" t="n"/>
      <c r="J159" s="267" t="inlineStr">
        <is>
          <t>%</t>
        </is>
      </c>
      <c r="L159" s="267" t="inlineStr">
        <is>
          <t>RGB-PSNR</t>
        </is>
      </c>
      <c r="N159" s="316" t="n"/>
      <c r="O159" s="85" t="n"/>
      <c r="P159" s="3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315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I160" s="9" t="n"/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>
      <c r="B161" s="122">
        <f>B158</f>
        <v/>
      </c>
      <c r="C161" s="130" t="inlineStr">
        <is>
          <t>r01</t>
        </is>
      </c>
      <c r="D161" s="317">
        <f>0.001*INDIRECT($B161&amp;"!E5")</f>
        <v/>
      </c>
      <c r="E161" s="315" t="n"/>
      <c r="F161" s="122">
        <f>F158</f>
        <v/>
      </c>
      <c r="G161" s="130" t="inlineStr">
        <is>
          <t>r01</t>
        </is>
      </c>
      <c r="H161" s="317">
        <f>0.001*INDIRECT($B161&amp;"!AC5")</f>
        <v/>
      </c>
      <c r="I161" s="9" t="n"/>
      <c r="J161" s="318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315" t="n"/>
      <c r="P161" s="318">
        <f>bdRateExtend(D161:D165,L161:L165,H161:H165,M161:M165)</f>
        <v/>
      </c>
    </row>
    <row r="162">
      <c r="B162" s="122">
        <f>B161</f>
        <v/>
      </c>
      <c r="C162" s="130" t="inlineStr">
        <is>
          <t>r02</t>
        </is>
      </c>
      <c r="D162" s="317">
        <f>0.001*INDIRECT($B162&amp;"!E6")</f>
        <v/>
      </c>
      <c r="E162" s="315" t="n"/>
      <c r="F162" s="122">
        <f>F161</f>
        <v/>
      </c>
      <c r="G162" s="130" t="inlineStr">
        <is>
          <t>r02</t>
        </is>
      </c>
      <c r="H162" s="317">
        <f>0.001*INDIRECT($B162&amp;"!AC6")</f>
        <v/>
      </c>
      <c r="I162" s="9" t="n"/>
      <c r="J162" s="318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315" t="n"/>
      <c r="P162" s="3" t="n"/>
    </row>
    <row r="163">
      <c r="B163" s="122">
        <f>B162</f>
        <v/>
      </c>
      <c r="C163" s="130" t="inlineStr">
        <is>
          <t>r03</t>
        </is>
      </c>
      <c r="D163" s="317">
        <f>0.001*INDIRECT($B163&amp;"!E7")</f>
        <v/>
      </c>
      <c r="E163" s="315" t="n"/>
      <c r="F163" s="122">
        <f>F162</f>
        <v/>
      </c>
      <c r="G163" s="130" t="inlineStr">
        <is>
          <t>r03</t>
        </is>
      </c>
      <c r="H163" s="317">
        <f>0.001*INDIRECT($B163&amp;"!AC7")</f>
        <v/>
      </c>
      <c r="I163" s="9" t="n"/>
      <c r="J163" s="318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315" t="n"/>
      <c r="P163" s="3" t="n"/>
      <c r="AB163" s="320" t="n"/>
    </row>
    <row r="164">
      <c r="B164" s="122">
        <f>B163</f>
        <v/>
      </c>
      <c r="C164" s="130" t="inlineStr">
        <is>
          <t>r04</t>
        </is>
      </c>
      <c r="D164" s="317">
        <f>0.001*INDIRECT($B164&amp;"!E8")</f>
        <v/>
      </c>
      <c r="E164" s="315" t="n"/>
      <c r="F164" s="122">
        <f>F163</f>
        <v/>
      </c>
      <c r="G164" s="130" t="inlineStr">
        <is>
          <t>r04</t>
        </is>
      </c>
      <c r="H164" s="317">
        <f>0.001*INDIRECT($B164&amp;"!AC8")</f>
        <v/>
      </c>
      <c r="I164" s="9" t="n"/>
      <c r="J164" s="318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315" t="n"/>
      <c r="P164" s="318" t="n"/>
    </row>
    <row r="165" ht="16.2" customHeight="1" s="270" thickBot="1">
      <c r="B165" s="122">
        <f>B164</f>
        <v/>
      </c>
      <c r="C165" s="130" t="inlineStr">
        <is>
          <t>r05</t>
        </is>
      </c>
      <c r="D165" s="317">
        <f>0.001*INDIRECT($B165&amp;"!E9")</f>
        <v/>
      </c>
      <c r="E165" s="315" t="n"/>
      <c r="F165" s="122">
        <f>F164</f>
        <v/>
      </c>
      <c r="G165" s="130" t="inlineStr">
        <is>
          <t>r05</t>
        </is>
      </c>
      <c r="H165" s="317">
        <f>0.001*INDIRECT($B165&amp;"!AC9")</f>
        <v/>
      </c>
      <c r="I165" s="9" t="n"/>
      <c r="J165" s="318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315" t="n"/>
      <c r="P165" s="321" t="n"/>
    </row>
    <row r="166" ht="16.5" customHeight="1" s="270">
      <c r="B166" s="109" t="n"/>
      <c r="C166" s="110" t="n"/>
      <c r="D166" s="322" t="n"/>
      <c r="F166" s="109" t="n"/>
      <c r="G166" s="110" t="n"/>
      <c r="H166" s="322" t="n"/>
      <c r="J166" s="98">
        <f>MIN(D161:D165,H161:H165)</f>
        <v/>
      </c>
      <c r="L166" s="99" t="n"/>
      <c r="M166" s="100" t="n"/>
      <c r="N166" s="101" t="n"/>
      <c r="O166" s="315" t="n"/>
      <c r="P166" s="265" t="n"/>
      <c r="AB166" s="320" t="n"/>
    </row>
    <row r="167" ht="16.2" customHeight="1" s="270" thickBot="1">
      <c r="B167" s="89" t="n"/>
      <c r="C167" s="92" t="n"/>
      <c r="D167" s="323" t="n"/>
      <c r="E167" s="315" t="n"/>
      <c r="F167" s="89" t="n"/>
      <c r="G167" s="92" t="n"/>
      <c r="H167" s="323" t="n"/>
      <c r="I167" s="9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315" t="n"/>
      <c r="P167" s="5" t="n"/>
    </row>
    <row r="168" ht="16.5" customHeight="1" s="270" thickBot="1"/>
    <row r="169" ht="16.5" customHeight="1" s="270">
      <c r="B169" s="312" t="inlineStr">
        <is>
          <t>FlowerDance_UVGgs_0200</t>
        </is>
      </c>
      <c r="C169" s="313" t="n"/>
      <c r="D169" s="314" t="n"/>
      <c r="E169" s="2" t="n"/>
      <c r="F169" s="312">
        <f>B169</f>
        <v/>
      </c>
      <c r="G169" s="313" t="n"/>
      <c r="H169" s="314" t="n"/>
      <c r="I169" s="2" t="n"/>
      <c r="J169" s="265" t="n"/>
      <c r="L169" s="265">
        <f>F169</f>
        <v/>
      </c>
      <c r="M169" s="313" t="n"/>
      <c r="N169" s="314" t="n"/>
      <c r="O169" s="195" t="n"/>
      <c r="P169" s="265" t="n"/>
    </row>
    <row r="170">
      <c r="B170" s="263" t="inlineStr">
        <is>
          <t>Test</t>
        </is>
      </c>
      <c r="D170" s="87" t="inlineStr">
        <is>
          <t>Bitrate [Mbps]</t>
        </is>
      </c>
      <c r="E170" s="315" t="n"/>
      <c r="F170" s="263" t="inlineStr">
        <is>
          <t>Test</t>
        </is>
      </c>
      <c r="H170" s="87" t="inlineStr">
        <is>
          <t>Bitrate [Mbps]</t>
        </is>
      </c>
      <c r="I170" s="9" t="n"/>
      <c r="J170" s="267" t="inlineStr">
        <is>
          <t>%</t>
        </is>
      </c>
      <c r="L170" s="267" t="inlineStr">
        <is>
          <t>RGB-PSNR</t>
        </is>
      </c>
      <c r="N170" s="316" t="n"/>
      <c r="O170" s="85" t="n"/>
      <c r="P170" s="3" t="n"/>
    </row>
    <row r="171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315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I171" s="9" t="n"/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>
      <c r="B172" s="122">
        <f>B169</f>
        <v/>
      </c>
      <c r="C172" s="130" t="inlineStr">
        <is>
          <t>r01</t>
        </is>
      </c>
      <c r="D172" s="317">
        <f>0.001*INDIRECT($B172&amp;"!E5")</f>
        <v/>
      </c>
      <c r="E172" s="315" t="n"/>
      <c r="F172" s="122">
        <f>F169</f>
        <v/>
      </c>
      <c r="G172" s="130" t="inlineStr">
        <is>
          <t>r01</t>
        </is>
      </c>
      <c r="H172" s="317">
        <f>0.001*INDIRECT($B172&amp;"!AC5")</f>
        <v/>
      </c>
      <c r="I172" s="9" t="n"/>
      <c r="J172" s="318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315" t="n"/>
      <c r="P172" s="318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317">
        <f>0.001*INDIRECT($B173&amp;"!E6")</f>
        <v/>
      </c>
      <c r="E173" s="315" t="n"/>
      <c r="F173" s="122">
        <f>F172</f>
        <v/>
      </c>
      <c r="G173" s="130" t="inlineStr">
        <is>
          <t>r02</t>
        </is>
      </c>
      <c r="H173" s="317">
        <f>0.001*INDIRECT($B173&amp;"!AC6")</f>
        <v/>
      </c>
      <c r="I173" s="9" t="n"/>
      <c r="J173" s="318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315" t="n"/>
      <c r="P173" s="3" t="n"/>
      <c r="AB173" s="320" t="n"/>
    </row>
    <row r="174">
      <c r="B174" s="122">
        <f>B173</f>
        <v/>
      </c>
      <c r="C174" s="130" t="inlineStr">
        <is>
          <t>r03</t>
        </is>
      </c>
      <c r="D174" s="317">
        <f>0.001*INDIRECT($B174&amp;"!E7")</f>
        <v/>
      </c>
      <c r="E174" s="315" t="n"/>
      <c r="F174" s="122">
        <f>F173</f>
        <v/>
      </c>
      <c r="G174" s="130" t="inlineStr">
        <is>
          <t>r03</t>
        </is>
      </c>
      <c r="H174" s="317">
        <f>0.001*INDIRECT($B174&amp;"!AC7")</f>
        <v/>
      </c>
      <c r="I174" s="9" t="n"/>
      <c r="J174" s="318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315" t="n"/>
      <c r="P174" s="3" t="n"/>
    </row>
    <row r="175">
      <c r="B175" s="122">
        <f>B174</f>
        <v/>
      </c>
      <c r="C175" s="130" t="inlineStr">
        <is>
          <t>r04</t>
        </is>
      </c>
      <c r="D175" s="317">
        <f>0.001*INDIRECT($B175&amp;"!E8")</f>
        <v/>
      </c>
      <c r="E175" s="315" t="n"/>
      <c r="F175" s="122">
        <f>F174</f>
        <v/>
      </c>
      <c r="G175" s="130" t="inlineStr">
        <is>
          <t>r04</t>
        </is>
      </c>
      <c r="H175" s="317">
        <f>0.001*INDIRECT($B175&amp;"!AC8")</f>
        <v/>
      </c>
      <c r="I175" s="9" t="n"/>
      <c r="J175" s="318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315" t="n"/>
      <c r="P175" s="318" t="n"/>
    </row>
    <row r="176" ht="16.5" customHeight="1" s="270" thickBot="1">
      <c r="B176" s="122">
        <f>B175</f>
        <v/>
      </c>
      <c r="C176" s="130" t="inlineStr">
        <is>
          <t>r05</t>
        </is>
      </c>
      <c r="D176" s="317">
        <f>0.001*INDIRECT($B176&amp;"!E9")</f>
        <v/>
      </c>
      <c r="E176" s="315" t="n"/>
      <c r="F176" s="122">
        <f>F175</f>
        <v/>
      </c>
      <c r="G176" s="130" t="inlineStr">
        <is>
          <t>r05</t>
        </is>
      </c>
      <c r="H176" s="317">
        <f>0.001*INDIRECT($B176&amp;"!AC9")</f>
        <v/>
      </c>
      <c r="I176" s="9" t="n"/>
      <c r="J176" s="318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315" t="n"/>
      <c r="P176" s="321" t="n"/>
      <c r="AB176" s="320" t="n"/>
    </row>
    <row r="177">
      <c r="B177" s="109" t="n"/>
      <c r="C177" s="110" t="n"/>
      <c r="D177" s="322" t="n"/>
      <c r="F177" s="109" t="n"/>
      <c r="G177" s="110" t="n"/>
      <c r="H177" s="322" t="n"/>
      <c r="J177" s="98">
        <f>MIN(D172:D176,H172:H176)</f>
        <v/>
      </c>
      <c r="L177" s="99" t="n"/>
      <c r="M177" s="100" t="n"/>
      <c r="N177" s="101" t="n"/>
      <c r="O177" s="315" t="n"/>
      <c r="P177" s="265" t="n"/>
    </row>
    <row r="178" ht="16.5" customHeight="1" s="270" thickBot="1">
      <c r="B178" s="89" t="n"/>
      <c r="C178" s="92" t="n"/>
      <c r="D178" s="323" t="n"/>
      <c r="E178" s="315" t="n"/>
      <c r="F178" s="89" t="n"/>
      <c r="G178" s="92" t="n"/>
      <c r="H178" s="323" t="n"/>
      <c r="I178" s="9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315" t="n"/>
      <c r="P178" s="5" t="n"/>
    </row>
    <row r="179" ht="16.5" customHeight="1" s="270" thickBot="1"/>
    <row r="180">
      <c r="B180" s="312" t="inlineStr">
        <is>
          <t>Gymnast_UVGgs_0100</t>
        </is>
      </c>
      <c r="C180" s="313" t="n"/>
      <c r="D180" s="314" t="n"/>
      <c r="E180" s="2" t="n"/>
      <c r="F180" s="312">
        <f>B180</f>
        <v/>
      </c>
      <c r="G180" s="313" t="n"/>
      <c r="H180" s="314" t="n"/>
      <c r="I180" s="2" t="n"/>
      <c r="J180" s="265" t="n"/>
      <c r="L180" s="265">
        <f>F180</f>
        <v/>
      </c>
      <c r="M180" s="313" t="n"/>
      <c r="N180" s="314" t="n"/>
      <c r="O180" s="195" t="n"/>
      <c r="P180" s="265" t="n"/>
    </row>
    <row r="181">
      <c r="B181" s="263" t="inlineStr">
        <is>
          <t>Test</t>
        </is>
      </c>
      <c r="D181" s="87" t="inlineStr">
        <is>
          <t>Bitrate [Mbps]</t>
        </is>
      </c>
      <c r="E181" s="315" t="n"/>
      <c r="F181" s="263" t="inlineStr">
        <is>
          <t>Test</t>
        </is>
      </c>
      <c r="H181" s="87" t="inlineStr">
        <is>
          <t>Bitrate [Mbps]</t>
        </is>
      </c>
      <c r="I181" s="9" t="n"/>
      <c r="J181" s="267" t="inlineStr">
        <is>
          <t>%</t>
        </is>
      </c>
      <c r="L181" s="267" t="inlineStr">
        <is>
          <t>RGB-PSNR</t>
        </is>
      </c>
      <c r="N181" s="316" t="n"/>
      <c r="O181" s="85" t="n"/>
      <c r="P181" s="3" t="n"/>
    </row>
    <row r="182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315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I182" s="9" t="n"/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  <c r="Q182" s="2" t="n"/>
      <c r="R182" s="2" t="n"/>
      <c r="S182" s="2" t="n"/>
      <c r="T182" s="2" t="n"/>
      <c r="U182" s="2" t="n"/>
      <c r="V182" s="2" t="n"/>
      <c r="X182" s="195" t="n"/>
      <c r="Y182" s="195" t="n"/>
      <c r="Z182" s="195" t="n"/>
    </row>
    <row r="183">
      <c r="B183" s="122">
        <f>B180</f>
        <v/>
      </c>
      <c r="C183" s="130" t="inlineStr">
        <is>
          <t>r01</t>
        </is>
      </c>
      <c r="D183" s="317">
        <f>0.001*INDIRECT($B183&amp;"!E5")</f>
        <v/>
      </c>
      <c r="E183" s="315" t="n"/>
      <c r="F183" s="122">
        <f>F180</f>
        <v/>
      </c>
      <c r="G183" s="130" t="inlineStr">
        <is>
          <t>r01</t>
        </is>
      </c>
      <c r="H183" s="317">
        <f>0.001*INDIRECT($B183&amp;"!AC5")</f>
        <v/>
      </c>
      <c r="I183" s="9" t="n"/>
      <c r="J183" s="318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315" t="n"/>
      <c r="P183" s="318">
        <f>bdRateExtend(D183:D187,L183:L187,H183:H187,M183:M187)</f>
        <v/>
      </c>
      <c r="Q183" s="315" t="n"/>
      <c r="R183" s="9" t="n"/>
      <c r="S183" s="9" t="n"/>
      <c r="T183" s="9" t="n"/>
      <c r="U183" s="9" t="n"/>
      <c r="V183" s="319" t="n"/>
      <c r="X183" s="6" t="n"/>
      <c r="Y183" s="6" t="n"/>
      <c r="Z183" s="81" t="n"/>
      <c r="AB183" s="320" t="n"/>
    </row>
    <row r="184">
      <c r="B184" s="122">
        <f>B183</f>
        <v/>
      </c>
      <c r="C184" s="130" t="inlineStr">
        <is>
          <t>r02</t>
        </is>
      </c>
      <c r="D184" s="317">
        <f>0.001*INDIRECT($B184&amp;"!E6")</f>
        <v/>
      </c>
      <c r="E184" s="315" t="n"/>
      <c r="F184" s="122">
        <f>F183</f>
        <v/>
      </c>
      <c r="G184" s="130" t="inlineStr">
        <is>
          <t>r02</t>
        </is>
      </c>
      <c r="H184" s="317">
        <f>0.001*INDIRECT($B184&amp;"!AC6")</f>
        <v/>
      </c>
      <c r="I184" s="9" t="n"/>
      <c r="J184" s="318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315" t="n"/>
      <c r="P184" s="3" t="n"/>
      <c r="Q184" s="315" t="n"/>
      <c r="R184" s="9" t="n"/>
      <c r="S184" s="9" t="n"/>
      <c r="T184" s="9" t="n"/>
      <c r="U184" s="9" t="n"/>
      <c r="V184" s="319" t="n"/>
      <c r="X184" s="6" t="n"/>
      <c r="Y184" s="6" t="n"/>
      <c r="Z184" s="81" t="n"/>
    </row>
    <row r="185">
      <c r="B185" s="122">
        <f>B184</f>
        <v/>
      </c>
      <c r="C185" s="130" t="inlineStr">
        <is>
          <t>r03</t>
        </is>
      </c>
      <c r="D185" s="317">
        <f>0.001*INDIRECT($B185&amp;"!E7")</f>
        <v/>
      </c>
      <c r="E185" s="315" t="n"/>
      <c r="F185" s="122">
        <f>F184</f>
        <v/>
      </c>
      <c r="G185" s="130" t="inlineStr">
        <is>
          <t>r03</t>
        </is>
      </c>
      <c r="H185" s="317">
        <f>0.001*INDIRECT($B185&amp;"!AC7")</f>
        <v/>
      </c>
      <c r="I185" s="9" t="n"/>
      <c r="J185" s="318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315" t="n"/>
      <c r="P185" s="3" t="n"/>
      <c r="Q185" s="315" t="n"/>
      <c r="R185" s="9" t="n"/>
      <c r="S185" s="9" t="n"/>
      <c r="T185" s="9" t="n"/>
      <c r="U185" s="9" t="n"/>
      <c r="V185" s="319" t="n"/>
      <c r="X185" s="6" t="n"/>
      <c r="Y185" s="6" t="n"/>
      <c r="Z185" s="81" t="n"/>
    </row>
    <row r="186" ht="16.5" customHeight="1" s="270">
      <c r="B186" s="122">
        <f>B185</f>
        <v/>
      </c>
      <c r="C186" s="130" t="inlineStr">
        <is>
          <t>r04</t>
        </is>
      </c>
      <c r="D186" s="317">
        <f>0.001*INDIRECT($B186&amp;"!E8")</f>
        <v/>
      </c>
      <c r="E186" s="315" t="n"/>
      <c r="F186" s="122">
        <f>F185</f>
        <v/>
      </c>
      <c r="G186" s="130" t="inlineStr">
        <is>
          <t>r04</t>
        </is>
      </c>
      <c r="H186" s="317">
        <f>0.001*INDIRECT($B186&amp;"!AC8")</f>
        <v/>
      </c>
      <c r="I186" s="9" t="n"/>
      <c r="J186" s="318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315" t="n"/>
      <c r="P186" s="318" t="n"/>
      <c r="Q186" s="315" t="n"/>
      <c r="R186" s="9" t="n"/>
      <c r="S186" s="9" t="n"/>
      <c r="T186" s="9" t="n"/>
      <c r="U186" s="9" t="n"/>
      <c r="V186" s="319" t="n"/>
      <c r="X186" s="6" t="n"/>
      <c r="Y186" s="6" t="n"/>
      <c r="Z186" s="81" t="n"/>
      <c r="AB186" s="320" t="n"/>
    </row>
    <row r="187" ht="16.2" customHeight="1" s="270" thickBot="1">
      <c r="B187" s="122">
        <f>B186</f>
        <v/>
      </c>
      <c r="C187" s="130" t="inlineStr">
        <is>
          <t>r05</t>
        </is>
      </c>
      <c r="D187" s="317">
        <f>0.001*INDIRECT($B187&amp;"!E9")</f>
        <v/>
      </c>
      <c r="E187" s="315" t="n"/>
      <c r="F187" s="122">
        <f>F186</f>
        <v/>
      </c>
      <c r="G187" s="130" t="inlineStr">
        <is>
          <t>r05</t>
        </is>
      </c>
      <c r="H187" s="317">
        <f>0.001*INDIRECT($B187&amp;"!AC9")</f>
        <v/>
      </c>
      <c r="I187" s="9" t="n"/>
      <c r="J187" s="318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315" t="n"/>
      <c r="P187" s="321" t="n"/>
      <c r="Q187" s="315" t="n"/>
      <c r="R187" s="9" t="n"/>
      <c r="S187" s="9" t="n"/>
      <c r="T187" s="9" t="n"/>
      <c r="U187" s="9" t="n"/>
      <c r="V187" s="83" t="n"/>
      <c r="X187" s="6" t="n"/>
      <c r="Y187" s="6" t="n"/>
      <c r="Z187" s="81" t="n"/>
    </row>
    <row r="188" ht="16.5" customHeight="1" s="270">
      <c r="B188" s="109" t="n"/>
      <c r="C188" s="110" t="n"/>
      <c r="D188" s="322" t="n"/>
      <c r="F188" s="109" t="n"/>
      <c r="G188" s="110" t="n"/>
      <c r="H188" s="322" t="n"/>
      <c r="J188" s="98">
        <f>MIN(D183:D187,H183:H187)</f>
        <v/>
      </c>
      <c r="L188" s="99" t="n"/>
      <c r="M188" s="100" t="n"/>
      <c r="N188" s="101" t="n"/>
      <c r="O188" s="315" t="n"/>
      <c r="P188" s="265" t="n"/>
      <c r="Q188" s="315" t="n"/>
      <c r="R188" s="9" t="n"/>
      <c r="S188" s="9" t="n"/>
      <c r="T188" s="9" t="n"/>
      <c r="U188" s="9" t="n"/>
      <c r="V188" s="83" t="n"/>
      <c r="X188" s="84" t="n"/>
      <c r="Y188" s="84" t="n"/>
      <c r="Z188" s="81" t="n"/>
    </row>
    <row r="189" ht="16.2" customHeight="1" s="270" thickBot="1">
      <c r="B189" s="89" t="n"/>
      <c r="C189" s="92" t="n"/>
      <c r="D189" s="323" t="n"/>
      <c r="E189" s="315" t="n"/>
      <c r="F189" s="89" t="n"/>
      <c r="G189" s="92" t="n"/>
      <c r="H189" s="323" t="n"/>
      <c r="I189" s="9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315" t="n"/>
      <c r="P189" s="5" t="n"/>
    </row>
    <row r="190" ht="16.2" customHeight="1" s="270" thickBot="1"/>
    <row r="191">
      <c r="B191" s="312" t="inlineStr">
        <is>
          <t>Gymnast_UVGgs_0200</t>
        </is>
      </c>
      <c r="C191" s="313" t="n"/>
      <c r="D191" s="314" t="n"/>
      <c r="E191" s="2" t="n"/>
      <c r="F191" s="312">
        <f>B191</f>
        <v/>
      </c>
      <c r="G191" s="313" t="n"/>
      <c r="H191" s="314" t="n"/>
      <c r="I191" s="2" t="n"/>
      <c r="J191" s="265" t="n"/>
      <c r="L191" s="265">
        <f>F191</f>
        <v/>
      </c>
      <c r="M191" s="313" t="n"/>
      <c r="N191" s="314" t="n"/>
      <c r="O191" s="195" t="n"/>
      <c r="P191" s="265" t="n"/>
    </row>
    <row r="192">
      <c r="B192" s="263" t="inlineStr">
        <is>
          <t>Test</t>
        </is>
      </c>
      <c r="D192" s="87" t="inlineStr">
        <is>
          <t>Bitrate [Mbps]</t>
        </is>
      </c>
      <c r="E192" s="315" t="n"/>
      <c r="F192" s="263" t="inlineStr">
        <is>
          <t>Test</t>
        </is>
      </c>
      <c r="H192" s="87" t="inlineStr">
        <is>
          <t>Bitrate [Mbps]</t>
        </is>
      </c>
      <c r="I192" s="9" t="n"/>
      <c r="J192" s="267" t="inlineStr">
        <is>
          <t>%</t>
        </is>
      </c>
      <c r="L192" s="267" t="inlineStr">
        <is>
          <t>RGB-PSNR</t>
        </is>
      </c>
      <c r="N192" s="316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315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I193" s="9" t="n"/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317">
        <f>0.001*INDIRECT($B194&amp;"!E5")</f>
        <v/>
      </c>
      <c r="E194" s="315" t="n"/>
      <c r="F194" s="122">
        <f>F191</f>
        <v/>
      </c>
      <c r="G194" s="130" t="inlineStr">
        <is>
          <t>r01</t>
        </is>
      </c>
      <c r="H194" s="317">
        <f>0.001*INDIRECT($B194&amp;"!AC5")</f>
        <v/>
      </c>
      <c r="I194" s="9" t="n"/>
      <c r="J194" s="318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315" t="n"/>
      <c r="P194" s="318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317">
        <f>0.001*INDIRECT($B195&amp;"!E6")</f>
        <v/>
      </c>
      <c r="E195" s="315" t="n"/>
      <c r="F195" s="122">
        <f>F194</f>
        <v/>
      </c>
      <c r="G195" s="130" t="inlineStr">
        <is>
          <t>r02</t>
        </is>
      </c>
      <c r="H195" s="317">
        <f>0.001*INDIRECT($B195&amp;"!AC6")</f>
        <v/>
      </c>
      <c r="I195" s="9" t="n"/>
      <c r="J195" s="318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315" t="n"/>
      <c r="P195" s="3" t="n"/>
    </row>
    <row r="196">
      <c r="B196" s="122">
        <f>B195</f>
        <v/>
      </c>
      <c r="C196" s="130" t="inlineStr">
        <is>
          <t>r03</t>
        </is>
      </c>
      <c r="D196" s="317">
        <f>0.001*INDIRECT($B196&amp;"!E7")</f>
        <v/>
      </c>
      <c r="E196" s="315" t="n"/>
      <c r="F196" s="122">
        <f>F195</f>
        <v/>
      </c>
      <c r="G196" s="130" t="inlineStr">
        <is>
          <t>r03</t>
        </is>
      </c>
      <c r="H196" s="317">
        <f>0.001*INDIRECT($B196&amp;"!AC7")</f>
        <v/>
      </c>
      <c r="I196" s="9" t="n"/>
      <c r="J196" s="318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315" t="n"/>
      <c r="P196" s="3" t="n"/>
    </row>
    <row r="197">
      <c r="B197" s="122">
        <f>B196</f>
        <v/>
      </c>
      <c r="C197" s="130" t="inlineStr">
        <is>
          <t>r04</t>
        </is>
      </c>
      <c r="D197" s="317">
        <f>0.001*INDIRECT($B197&amp;"!E8")</f>
        <v/>
      </c>
      <c r="E197" s="315" t="n"/>
      <c r="F197" s="122">
        <f>F196</f>
        <v/>
      </c>
      <c r="G197" s="130" t="inlineStr">
        <is>
          <t>r04</t>
        </is>
      </c>
      <c r="H197" s="317">
        <f>0.001*INDIRECT($B197&amp;"!AC8")</f>
        <v/>
      </c>
      <c r="I197" s="9" t="n"/>
      <c r="J197" s="318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315" t="n"/>
      <c r="P197" s="318" t="n"/>
    </row>
    <row r="198" ht="16.2" customHeight="1" s="270" thickBot="1">
      <c r="B198" s="122">
        <f>B197</f>
        <v/>
      </c>
      <c r="C198" s="130" t="inlineStr">
        <is>
          <t>r05</t>
        </is>
      </c>
      <c r="D198" s="317">
        <f>0.001*INDIRECT($B198&amp;"!E9")</f>
        <v/>
      </c>
      <c r="E198" s="315" t="n"/>
      <c r="F198" s="122">
        <f>F197</f>
        <v/>
      </c>
      <c r="G198" s="130" t="inlineStr">
        <is>
          <t>r05</t>
        </is>
      </c>
      <c r="H198" s="317">
        <f>0.001*INDIRECT($B198&amp;"!AC9")</f>
        <v/>
      </c>
      <c r="I198" s="9" t="n"/>
      <c r="J198" s="318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315" t="n"/>
      <c r="P198" s="321" t="n"/>
    </row>
    <row r="199">
      <c r="B199" s="109" t="n"/>
      <c r="C199" s="110" t="n"/>
      <c r="D199" s="322" t="n"/>
      <c r="F199" s="109" t="n"/>
      <c r="G199" s="110" t="n"/>
      <c r="H199" s="322" t="n"/>
      <c r="J199" s="98">
        <f>MIN(D194:D198,H194:H198)</f>
        <v/>
      </c>
      <c r="L199" s="99" t="n"/>
      <c r="M199" s="100" t="n"/>
      <c r="N199" s="101" t="n"/>
      <c r="O199" s="315" t="n"/>
      <c r="P199" s="265" t="n"/>
    </row>
    <row r="200" ht="16.2" customHeight="1" s="270" thickBot="1">
      <c r="B200" s="89" t="n"/>
      <c r="C200" s="92" t="n"/>
      <c r="D200" s="323" t="n"/>
      <c r="E200" s="315" t="n"/>
      <c r="F200" s="89" t="n"/>
      <c r="G200" s="92" t="n"/>
      <c r="H200" s="323" t="n"/>
      <c r="I200" s="9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315" t="n"/>
      <c r="P200" s="5" t="n"/>
    </row>
    <row r="201" ht="16.2" customHeight="1" s="270" thickBot="1"/>
    <row r="202">
      <c r="B202" s="312" t="inlineStr">
        <is>
          <t>artwork</t>
        </is>
      </c>
      <c r="C202" s="313" t="n"/>
      <c r="D202" s="314" t="n"/>
      <c r="E202" s="2" t="n"/>
      <c r="F202" s="312">
        <f>B202</f>
        <v/>
      </c>
      <c r="G202" s="313" t="n"/>
      <c r="H202" s="314" t="n"/>
      <c r="I202" s="2" t="n"/>
      <c r="J202" s="265" t="n"/>
      <c r="L202" s="265">
        <f>F202</f>
        <v/>
      </c>
      <c r="M202" s="313" t="n"/>
      <c r="N202" s="314" t="n"/>
      <c r="O202" s="195" t="n"/>
      <c r="P202" s="265" t="n"/>
    </row>
    <row r="203">
      <c r="B203" s="263" t="inlineStr">
        <is>
          <t>Test</t>
        </is>
      </c>
      <c r="D203" s="87" t="inlineStr">
        <is>
          <t>Bitrate [Mbps]</t>
        </is>
      </c>
      <c r="E203" s="315" t="n"/>
      <c r="F203" s="263" t="inlineStr">
        <is>
          <t>Test</t>
        </is>
      </c>
      <c r="H203" s="87" t="inlineStr">
        <is>
          <t>Bitrate [Mbps]</t>
        </is>
      </c>
      <c r="I203" s="9" t="n"/>
      <c r="J203" s="267" t="inlineStr">
        <is>
          <t>%</t>
        </is>
      </c>
      <c r="L203" s="267" t="inlineStr">
        <is>
          <t>RGB-PSNR</t>
        </is>
      </c>
      <c r="N203" s="316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315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I204" s="9" t="n"/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317">
        <f>0.001*INDIRECT($B205&amp;"!E5")</f>
        <v/>
      </c>
      <c r="E205" s="315" t="n"/>
      <c r="F205" s="122">
        <f>F202</f>
        <v/>
      </c>
      <c r="G205" s="130" t="inlineStr">
        <is>
          <t>r01</t>
        </is>
      </c>
      <c r="H205" s="317">
        <f>0.001*INDIRECT($B205&amp;"!AC5")</f>
        <v/>
      </c>
      <c r="I205" s="9" t="n"/>
      <c r="J205" s="318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315" t="n"/>
      <c r="P205" s="318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317">
        <f>0.001*INDIRECT($B206&amp;"!E6")</f>
        <v/>
      </c>
      <c r="E206" s="315" t="n"/>
      <c r="F206" s="122">
        <f>F205</f>
        <v/>
      </c>
      <c r="G206" s="130" t="inlineStr">
        <is>
          <t>r02</t>
        </is>
      </c>
      <c r="H206" s="317">
        <f>0.001*INDIRECT($B206&amp;"!AC6")</f>
        <v/>
      </c>
      <c r="I206" s="9" t="n"/>
      <c r="J206" s="318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315" t="n"/>
      <c r="P206" s="3" t="n"/>
    </row>
    <row r="207">
      <c r="B207" s="122">
        <f>B206</f>
        <v/>
      </c>
      <c r="C207" s="130" t="inlineStr">
        <is>
          <t>r03</t>
        </is>
      </c>
      <c r="D207" s="317">
        <f>0.001*INDIRECT($B207&amp;"!E7")</f>
        <v/>
      </c>
      <c r="E207" s="315" t="n"/>
      <c r="F207" s="122">
        <f>F206</f>
        <v/>
      </c>
      <c r="G207" s="130" t="inlineStr">
        <is>
          <t>r03</t>
        </is>
      </c>
      <c r="H207" s="317">
        <f>0.001*INDIRECT($B207&amp;"!AC7")</f>
        <v/>
      </c>
      <c r="I207" s="9" t="n"/>
      <c r="J207" s="318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315" t="n"/>
      <c r="P207" s="3" t="n"/>
    </row>
    <row r="208">
      <c r="B208" s="122">
        <f>B207</f>
        <v/>
      </c>
      <c r="C208" s="130" t="inlineStr">
        <is>
          <t>r04</t>
        </is>
      </c>
      <c r="D208" s="317">
        <f>0.001*INDIRECT($B208&amp;"!E8")</f>
        <v/>
      </c>
      <c r="E208" s="315" t="n"/>
      <c r="F208" s="122">
        <f>F207</f>
        <v/>
      </c>
      <c r="G208" s="130" t="inlineStr">
        <is>
          <t>r04</t>
        </is>
      </c>
      <c r="H208" s="317">
        <f>0.001*INDIRECT($B208&amp;"!AC8")</f>
        <v/>
      </c>
      <c r="I208" s="9" t="n"/>
      <c r="J208" s="318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315" t="n"/>
      <c r="P208" s="318" t="n"/>
    </row>
    <row r="209" ht="16.2" customHeight="1" s="270" thickBot="1">
      <c r="B209" s="122">
        <f>B208</f>
        <v/>
      </c>
      <c r="C209" s="130" t="inlineStr">
        <is>
          <t>r05</t>
        </is>
      </c>
      <c r="D209" s="317">
        <f>0.001*INDIRECT($B209&amp;"!E9")</f>
        <v/>
      </c>
      <c r="E209" s="315" t="n"/>
      <c r="F209" s="122">
        <f>F208</f>
        <v/>
      </c>
      <c r="G209" s="130" t="inlineStr">
        <is>
          <t>r05</t>
        </is>
      </c>
      <c r="H209" s="317">
        <f>0.001*INDIRECT($B209&amp;"!AC9")</f>
        <v/>
      </c>
      <c r="I209" s="9" t="n"/>
      <c r="J209" s="318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315" t="n"/>
      <c r="P209" s="321" t="n"/>
    </row>
    <row r="210">
      <c r="B210" s="109" t="n"/>
      <c r="C210" s="110" t="n"/>
      <c r="D210" s="322" t="n"/>
      <c r="F210" s="109" t="n"/>
      <c r="G210" s="110" t="n"/>
      <c r="H210" s="322" t="n"/>
      <c r="J210" s="98">
        <f>MIN(D205:D209,H205:H209)</f>
        <v/>
      </c>
      <c r="L210" s="99" t="n"/>
      <c r="M210" s="100" t="n"/>
      <c r="N210" s="101" t="n"/>
      <c r="O210" s="315" t="n"/>
      <c r="P210" s="265" t="n"/>
    </row>
    <row r="211" ht="16.2" customHeight="1" s="270" thickBot="1">
      <c r="B211" s="89" t="n"/>
      <c r="C211" s="92" t="n"/>
      <c r="D211" s="323" t="n"/>
      <c r="E211" s="315" t="n"/>
      <c r="F211" s="89" t="n"/>
      <c r="G211" s="92" t="n"/>
      <c r="H211" s="323" t="n"/>
      <c r="I211" s="9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315" t="n"/>
      <c r="P211" s="5" t="n"/>
    </row>
    <row r="212" ht="16.2" customHeight="1" s="270" thickBot="1"/>
    <row r="213">
      <c r="B213" s="312" t="inlineStr">
        <is>
          <t>panda</t>
        </is>
      </c>
      <c r="C213" s="313" t="n"/>
      <c r="D213" s="314" t="n"/>
      <c r="E213" s="2" t="n"/>
      <c r="F213" s="312">
        <f>B213</f>
        <v/>
      </c>
      <c r="G213" s="313" t="n"/>
      <c r="H213" s="314" t="n"/>
      <c r="I213" s="2" t="n"/>
      <c r="J213" s="265" t="n"/>
      <c r="L213" s="265">
        <f>F213</f>
        <v/>
      </c>
      <c r="M213" s="313" t="n"/>
      <c r="N213" s="314" t="n"/>
      <c r="O213" s="195" t="n"/>
      <c r="P213" s="265" t="n"/>
    </row>
    <row r="214">
      <c r="B214" s="263" t="inlineStr">
        <is>
          <t>Test</t>
        </is>
      </c>
      <c r="D214" s="87" t="inlineStr">
        <is>
          <t>Bitrate [Mbps]</t>
        </is>
      </c>
      <c r="E214" s="315" t="n"/>
      <c r="F214" s="263" t="inlineStr">
        <is>
          <t>Test</t>
        </is>
      </c>
      <c r="H214" s="87" t="inlineStr">
        <is>
          <t>Bitrate [Mbps]</t>
        </is>
      </c>
      <c r="I214" s="9" t="n"/>
      <c r="J214" s="267" t="inlineStr">
        <is>
          <t>%</t>
        </is>
      </c>
      <c r="L214" s="267" t="inlineStr">
        <is>
          <t>RGB-PSNR</t>
        </is>
      </c>
      <c r="N214" s="316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315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9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</row>
    <row r="216">
      <c r="B216" s="122">
        <f>B213</f>
        <v/>
      </c>
      <c r="C216" s="130" t="inlineStr">
        <is>
          <t>r01</t>
        </is>
      </c>
      <c r="D216" s="317">
        <f>0.001*INDIRECT($B216&amp;"!E5")</f>
        <v/>
      </c>
      <c r="E216" s="315" t="n"/>
      <c r="F216" s="122">
        <f>F213</f>
        <v/>
      </c>
      <c r="G216" s="130" t="inlineStr">
        <is>
          <t>r01</t>
        </is>
      </c>
      <c r="H216" s="317">
        <f>0.001*INDIRECT($B216&amp;"!AC5")</f>
        <v/>
      </c>
      <c r="I216" s="9" t="n"/>
      <c r="J216" s="318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315" t="n"/>
      <c r="P216" s="318">
        <f>bdRateExtend(D216:D220,L216:L220,H216:H220,M216:M220)</f>
        <v/>
      </c>
    </row>
    <row r="217">
      <c r="B217" s="122">
        <f>B216</f>
        <v/>
      </c>
      <c r="C217" s="130" t="inlineStr">
        <is>
          <t>r02</t>
        </is>
      </c>
      <c r="D217" s="317">
        <f>0.001*INDIRECT($B217&amp;"!E6")</f>
        <v/>
      </c>
      <c r="E217" s="315" t="n"/>
      <c r="F217" s="122">
        <f>F216</f>
        <v/>
      </c>
      <c r="G217" s="130" t="inlineStr">
        <is>
          <t>r02</t>
        </is>
      </c>
      <c r="H217" s="317">
        <f>0.001*INDIRECT($B217&amp;"!AC6")</f>
        <v/>
      </c>
      <c r="I217" s="9" t="n"/>
      <c r="J217" s="318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315" t="n"/>
      <c r="P217" s="3" t="n"/>
    </row>
    <row r="218">
      <c r="B218" s="122">
        <f>B217</f>
        <v/>
      </c>
      <c r="C218" s="130" t="inlineStr">
        <is>
          <t>r03</t>
        </is>
      </c>
      <c r="D218" s="317">
        <f>0.001*INDIRECT($B218&amp;"!E7")</f>
        <v/>
      </c>
      <c r="E218" s="315" t="n"/>
      <c r="F218" s="122">
        <f>F217</f>
        <v/>
      </c>
      <c r="G218" s="130" t="inlineStr">
        <is>
          <t>r03</t>
        </is>
      </c>
      <c r="H218" s="317">
        <f>0.001*INDIRECT($B218&amp;"!AC7")</f>
        <v/>
      </c>
      <c r="I218" s="9" t="n"/>
      <c r="J218" s="318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315" t="n"/>
      <c r="P218" s="3" t="n"/>
    </row>
    <row r="219">
      <c r="B219" s="122">
        <f>B218</f>
        <v/>
      </c>
      <c r="C219" s="130" t="inlineStr">
        <is>
          <t>r04</t>
        </is>
      </c>
      <c r="D219" s="317">
        <f>0.001*INDIRECT($B219&amp;"!E8")</f>
        <v/>
      </c>
      <c r="E219" s="315" t="n"/>
      <c r="F219" s="122">
        <f>F218</f>
        <v/>
      </c>
      <c r="G219" s="130" t="inlineStr">
        <is>
          <t>r04</t>
        </is>
      </c>
      <c r="H219" s="317">
        <f>0.001*INDIRECT($B219&amp;"!AC8")</f>
        <v/>
      </c>
      <c r="I219" s="9" t="n"/>
      <c r="J219" s="318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315" t="n"/>
      <c r="P219" s="318" t="n"/>
    </row>
    <row r="220" ht="16.2" customHeight="1" s="270" thickBot="1">
      <c r="B220" s="122">
        <f>B219</f>
        <v/>
      </c>
      <c r="C220" s="130" t="inlineStr">
        <is>
          <t>r05</t>
        </is>
      </c>
      <c r="D220" s="317">
        <f>0.001*INDIRECT($B220&amp;"!E9")</f>
        <v/>
      </c>
      <c r="E220" s="315" t="n"/>
      <c r="F220" s="122">
        <f>F219</f>
        <v/>
      </c>
      <c r="G220" s="130" t="inlineStr">
        <is>
          <t>r05</t>
        </is>
      </c>
      <c r="H220" s="317">
        <f>0.001*INDIRECT($B220&amp;"!AC9")</f>
        <v/>
      </c>
      <c r="I220" s="9" t="n"/>
      <c r="J220" s="318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315" t="n"/>
      <c r="P220" s="321" t="n"/>
    </row>
    <row r="221">
      <c r="B221" s="109" t="n"/>
      <c r="C221" s="110" t="n"/>
      <c r="D221" s="322" t="n"/>
      <c r="F221" s="109" t="n"/>
      <c r="G221" s="110" t="n"/>
      <c r="H221" s="322" t="n"/>
      <c r="J221" s="98">
        <f>MIN(D216:D220,H216:H220)</f>
        <v/>
      </c>
      <c r="L221" s="99" t="n"/>
      <c r="M221" s="100" t="n"/>
      <c r="N221" s="101" t="n"/>
      <c r="O221" s="315" t="n"/>
      <c r="P221" s="265" t="n"/>
    </row>
    <row r="222" ht="16.2" customHeight="1" s="270" thickBot="1">
      <c r="B222" s="89" t="n"/>
      <c r="C222" s="92" t="n"/>
      <c r="D222" s="323" t="n"/>
      <c r="E222" s="315" t="n"/>
      <c r="F222" s="89" t="n"/>
      <c r="G222" s="92" t="n"/>
      <c r="H222" s="323" t="n"/>
      <c r="I222" s="9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315" t="n"/>
      <c r="P222" s="5" t="n"/>
    </row>
    <row r="223" ht="16.2" customHeight="1" s="270" thickBot="1"/>
    <row r="224">
      <c r="B224" s="312" t="inlineStr">
        <is>
          <t>wukong</t>
        </is>
      </c>
      <c r="C224" s="313" t="n"/>
      <c r="D224" s="314" t="n"/>
      <c r="E224" s="2" t="n"/>
      <c r="F224" s="312">
        <f>B224</f>
        <v/>
      </c>
      <c r="G224" s="313" t="n"/>
      <c r="H224" s="314" t="n"/>
      <c r="I224" s="2" t="n"/>
      <c r="J224" s="265" t="n"/>
      <c r="L224" s="265">
        <f>F224</f>
        <v/>
      </c>
      <c r="M224" s="313" t="n"/>
      <c r="N224" s="314" t="n"/>
      <c r="O224" s="195" t="n"/>
      <c r="P224" s="265" t="n"/>
    </row>
    <row r="225">
      <c r="B225" s="263" t="inlineStr">
        <is>
          <t>Test</t>
        </is>
      </c>
      <c r="D225" s="87" t="inlineStr">
        <is>
          <t>Bitrate [Mbps]</t>
        </is>
      </c>
      <c r="E225" s="315" t="n"/>
      <c r="F225" s="263" t="inlineStr">
        <is>
          <t>Test</t>
        </is>
      </c>
      <c r="H225" s="87" t="inlineStr">
        <is>
          <t>Bitrate [Mbps]</t>
        </is>
      </c>
      <c r="I225" s="9" t="n"/>
      <c r="J225" s="267" t="inlineStr">
        <is>
          <t>%</t>
        </is>
      </c>
      <c r="L225" s="267" t="inlineStr">
        <is>
          <t>RGB-PSNR</t>
        </is>
      </c>
      <c r="N225" s="316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315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I226" s="9" t="n"/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317">
        <f>0.001*INDIRECT($B227&amp;"!E5")</f>
        <v/>
      </c>
      <c r="E227" s="315" t="n"/>
      <c r="F227" s="122">
        <f>F224</f>
        <v/>
      </c>
      <c r="G227" s="130" t="inlineStr">
        <is>
          <t>r01</t>
        </is>
      </c>
      <c r="H227" s="317">
        <f>0.001*INDIRECT($B227&amp;"!AC5")</f>
        <v/>
      </c>
      <c r="I227" s="9" t="n"/>
      <c r="J227" s="318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315" t="n"/>
      <c r="P227" s="318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317">
        <f>0.001*INDIRECT($B228&amp;"!E6")</f>
        <v/>
      </c>
      <c r="E228" s="315" t="n"/>
      <c r="F228" s="122">
        <f>F227</f>
        <v/>
      </c>
      <c r="G228" s="130" t="inlineStr">
        <is>
          <t>r02</t>
        </is>
      </c>
      <c r="H228" s="317">
        <f>0.001*INDIRECT($B228&amp;"!AC6")</f>
        <v/>
      </c>
      <c r="I228" s="9" t="n"/>
      <c r="J228" s="318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315" t="n"/>
      <c r="P228" s="3" t="n"/>
    </row>
    <row r="229">
      <c r="B229" s="122">
        <f>B228</f>
        <v/>
      </c>
      <c r="C229" s="130" t="inlineStr">
        <is>
          <t>r03</t>
        </is>
      </c>
      <c r="D229" s="317">
        <f>0.001*INDIRECT($B229&amp;"!E7")</f>
        <v/>
      </c>
      <c r="E229" s="315" t="n"/>
      <c r="F229" s="122">
        <f>F228</f>
        <v/>
      </c>
      <c r="G229" s="130" t="inlineStr">
        <is>
          <t>r03</t>
        </is>
      </c>
      <c r="H229" s="317">
        <f>0.001*INDIRECT($B229&amp;"!AC7")</f>
        <v/>
      </c>
      <c r="I229" s="9" t="n"/>
      <c r="J229" s="318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315" t="n"/>
      <c r="P229" s="3" t="n"/>
    </row>
    <row r="230">
      <c r="B230" s="122">
        <f>B229</f>
        <v/>
      </c>
      <c r="C230" s="130" t="inlineStr">
        <is>
          <t>r04</t>
        </is>
      </c>
      <c r="D230" s="317">
        <f>0.001*INDIRECT($B230&amp;"!E8")</f>
        <v/>
      </c>
      <c r="E230" s="315" t="n"/>
      <c r="F230" s="122">
        <f>F229</f>
        <v/>
      </c>
      <c r="G230" s="130" t="inlineStr">
        <is>
          <t>r04</t>
        </is>
      </c>
      <c r="H230" s="317">
        <f>0.001*INDIRECT($B230&amp;"!AC8")</f>
        <v/>
      </c>
      <c r="I230" s="9" t="n"/>
      <c r="J230" s="318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315" t="n"/>
      <c r="P230" s="318" t="n"/>
    </row>
    <row r="231" ht="16.2" customHeight="1" s="270" thickBot="1">
      <c r="B231" s="122">
        <f>B230</f>
        <v/>
      </c>
      <c r="C231" s="130" t="inlineStr">
        <is>
          <t>r05</t>
        </is>
      </c>
      <c r="D231" s="317">
        <f>0.001*INDIRECT($B231&amp;"!E9")</f>
        <v/>
      </c>
      <c r="E231" s="315" t="n"/>
      <c r="F231" s="122">
        <f>F230</f>
        <v/>
      </c>
      <c r="G231" s="130" t="inlineStr">
        <is>
          <t>r05</t>
        </is>
      </c>
      <c r="H231" s="317">
        <f>0.001*INDIRECT($B231&amp;"!AC9")</f>
        <v/>
      </c>
      <c r="I231" s="9" t="n"/>
      <c r="J231" s="318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315" t="n"/>
      <c r="P231" s="321" t="n"/>
    </row>
    <row r="232">
      <c r="B232" s="109" t="n"/>
      <c r="C232" s="110" t="n"/>
      <c r="D232" s="322" t="n"/>
      <c r="F232" s="109" t="n"/>
      <c r="G232" s="110" t="n"/>
      <c r="H232" s="322" t="n"/>
      <c r="J232" s="98">
        <f>MIN(D227:D231,H227:H231)</f>
        <v/>
      </c>
      <c r="L232" s="99" t="n"/>
      <c r="M232" s="100" t="n"/>
      <c r="N232" s="101" t="n"/>
      <c r="O232" s="315" t="n"/>
      <c r="P232" s="265" t="n"/>
    </row>
    <row r="233" ht="16.2" customHeight="1" s="270" thickBot="1">
      <c r="B233" s="89" t="n"/>
      <c r="C233" s="92" t="n"/>
      <c r="D233" s="323" t="n"/>
      <c r="E233" s="315" t="n"/>
      <c r="F233" s="89" t="n"/>
      <c r="G233" s="92" t="n"/>
      <c r="H233" s="323" t="n"/>
      <c r="I233" s="9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315" t="n"/>
      <c r="P233" s="5" t="n"/>
    </row>
    <row r="234" ht="16.2" customHeight="1" s="270" thickBot="1"/>
    <row r="235">
      <c r="B235" s="312" t="n"/>
      <c r="C235" s="313" t="n"/>
      <c r="D235" s="314" t="n"/>
      <c r="E235" s="2" t="n"/>
      <c r="F235" s="312" t="n"/>
      <c r="G235" s="313" t="n"/>
      <c r="H235" s="314" t="n"/>
      <c r="I235" s="2" t="n"/>
      <c r="J235" s="265" t="n"/>
      <c r="L235" s="265" t="n"/>
      <c r="M235" s="313" t="n"/>
      <c r="N235" s="314" t="n"/>
      <c r="O235" s="195" t="n"/>
      <c r="P235" s="265" t="n"/>
    </row>
    <row r="236">
      <c r="B236" s="263" t="n"/>
      <c r="D236" s="87" t="n"/>
      <c r="E236" s="315" t="n"/>
      <c r="F236" s="263" t="n"/>
      <c r="H236" s="87" t="n"/>
      <c r="I236" s="9" t="n"/>
      <c r="J236" s="267" t="n"/>
      <c r="L236" s="267" t="n"/>
      <c r="N236" s="316" t="n"/>
      <c r="O236" s="85" t="n"/>
      <c r="P236" s="3" t="n"/>
    </row>
    <row r="237">
      <c r="B237" s="191" t="n"/>
      <c r="C237" s="130" t="n"/>
      <c r="D237" s="86" t="n"/>
      <c r="E237" s="315" t="n"/>
      <c r="F237" s="191" t="n"/>
      <c r="G237" s="130" t="n"/>
      <c r="H237" s="86" t="n"/>
      <c r="I237" s="9" t="n"/>
      <c r="J237" s="93" t="n"/>
      <c r="L237" s="192" t="n"/>
      <c r="M237" s="193" t="n"/>
      <c r="N237" s="194" t="n"/>
      <c r="O237" s="2" t="n"/>
      <c r="P237" s="3" t="n"/>
    </row>
    <row r="238">
      <c r="B238" s="122" t="n"/>
      <c r="C238" s="130" t="n"/>
      <c r="D238" s="317" t="n"/>
      <c r="E238" s="315" t="n"/>
      <c r="F238" s="122" t="n"/>
      <c r="G238" s="130" t="n"/>
      <c r="H238" s="317" t="n"/>
      <c r="I238" s="9" t="n"/>
      <c r="J238" s="318" t="n"/>
      <c r="L238" s="94" t="n"/>
      <c r="M238" s="95" t="n"/>
      <c r="N238" s="96" t="n"/>
      <c r="O238" s="315" t="n"/>
      <c r="P238" s="318" t="n"/>
    </row>
    <row r="239">
      <c r="B239" s="122" t="n"/>
      <c r="C239" s="130" t="n"/>
      <c r="D239" s="317" t="n"/>
      <c r="E239" s="315" t="n"/>
      <c r="F239" s="122" t="n"/>
      <c r="G239" s="130" t="n"/>
      <c r="H239" s="317" t="n"/>
      <c r="I239" s="9" t="n"/>
      <c r="J239" s="318" t="n"/>
      <c r="L239" s="94" t="n"/>
      <c r="M239" s="95" t="n"/>
      <c r="N239" s="96" t="n"/>
      <c r="O239" s="315" t="n"/>
      <c r="P239" s="3" t="n"/>
    </row>
    <row r="240">
      <c r="B240" s="122" t="n"/>
      <c r="C240" s="130" t="n"/>
      <c r="D240" s="317" t="n"/>
      <c r="E240" s="315" t="n"/>
      <c r="F240" s="122" t="n"/>
      <c r="G240" s="130" t="n"/>
      <c r="H240" s="317" t="n"/>
      <c r="I240" s="9" t="n"/>
      <c r="J240" s="318" t="n"/>
      <c r="L240" s="94" t="n"/>
      <c r="M240" s="95" t="n"/>
      <c r="N240" s="96" t="n"/>
      <c r="O240" s="315" t="n"/>
      <c r="P240" s="3" t="n"/>
    </row>
    <row r="241">
      <c r="B241" s="122" t="n"/>
      <c r="C241" s="130" t="n"/>
      <c r="D241" s="317" t="n"/>
      <c r="E241" s="315" t="n"/>
      <c r="F241" s="122" t="n"/>
      <c r="G241" s="130" t="n"/>
      <c r="H241" s="317" t="n"/>
      <c r="I241" s="9" t="n"/>
      <c r="J241" s="318" t="n"/>
      <c r="L241" s="94" t="n"/>
      <c r="M241" s="95" t="n"/>
      <c r="N241" s="96" t="n"/>
      <c r="O241" s="315" t="n"/>
      <c r="P241" s="318" t="n"/>
    </row>
    <row r="242" ht="16.2" customHeight="1" s="270" thickBot="1">
      <c r="B242" s="122" t="n"/>
      <c r="C242" s="130" t="n"/>
      <c r="D242" s="317" t="n"/>
      <c r="E242" s="315" t="n"/>
      <c r="F242" s="122" t="n"/>
      <c r="G242" s="130" t="n"/>
      <c r="H242" s="317" t="n"/>
      <c r="I242" s="9" t="n"/>
      <c r="J242" s="318" t="n"/>
      <c r="L242" s="94" t="n"/>
      <c r="M242" s="95" t="n"/>
      <c r="N242" s="96" t="n"/>
      <c r="O242" s="315" t="n"/>
      <c r="P242" s="321" t="n"/>
    </row>
    <row r="243">
      <c r="B243" s="109" t="n"/>
      <c r="C243" s="110" t="n"/>
      <c r="D243" s="322" t="n"/>
      <c r="F243" s="109" t="n"/>
      <c r="G243" s="110" t="n"/>
      <c r="H243" s="322" t="n"/>
      <c r="J243" s="98" t="n"/>
      <c r="L243" s="99" t="n"/>
      <c r="M243" s="100" t="n"/>
      <c r="N243" s="101" t="n"/>
      <c r="O243" s="315" t="n"/>
      <c r="P243" s="265" t="n"/>
    </row>
    <row r="244" ht="16.2" customHeight="1" s="270" thickBot="1">
      <c r="B244" s="89" t="n"/>
      <c r="C244" s="92" t="n"/>
      <c r="D244" s="323" t="n"/>
      <c r="E244" s="315" t="n"/>
      <c r="F244" s="89" t="n"/>
      <c r="G244" s="92" t="n"/>
      <c r="H244" s="323" t="n"/>
      <c r="I244" s="9" t="n"/>
      <c r="J244" s="102" t="n"/>
      <c r="L244" s="103" t="n"/>
      <c r="M244" s="104" t="n"/>
      <c r="N244" s="97" t="n"/>
      <c r="O244" s="315" t="n"/>
      <c r="P244" s="5" t="n"/>
    </row>
    <row r="245" ht="16.2" customHeight="1" s="270" thickBot="1"/>
    <row r="246">
      <c r="B246" s="312" t="n"/>
      <c r="C246" s="313" t="n"/>
      <c r="D246" s="314" t="n"/>
      <c r="E246" s="2" t="n"/>
      <c r="F246" s="312" t="n"/>
      <c r="G246" s="313" t="n"/>
      <c r="H246" s="314" t="n"/>
      <c r="I246" s="2" t="n"/>
      <c r="J246" s="265" t="n"/>
      <c r="L246" s="265" t="n"/>
      <c r="M246" s="313" t="n"/>
      <c r="N246" s="314" t="n"/>
      <c r="O246" s="195" t="n"/>
      <c r="P246" s="265" t="n"/>
    </row>
    <row r="247">
      <c r="B247" s="263" t="n"/>
      <c r="D247" s="87" t="n"/>
      <c r="E247" s="315" t="n"/>
      <c r="F247" s="263" t="n"/>
      <c r="H247" s="87" t="n"/>
      <c r="I247" s="9" t="n"/>
      <c r="J247" s="267" t="n"/>
      <c r="L247" s="267" t="n"/>
      <c r="N247" s="316" t="n"/>
      <c r="O247" s="85" t="n"/>
      <c r="P247" s="3" t="n"/>
    </row>
    <row r="248">
      <c r="B248" s="191" t="n"/>
      <c r="C248" s="130" t="n"/>
      <c r="D248" s="86" t="n"/>
      <c r="E248" s="315" t="n"/>
      <c r="F248" s="191" t="n"/>
      <c r="G248" s="130" t="n"/>
      <c r="H248" s="86" t="n"/>
      <c r="I248" s="9" t="n"/>
      <c r="J248" s="93" t="n"/>
      <c r="L248" s="192" t="n"/>
      <c r="M248" s="193" t="n"/>
      <c r="N248" s="194" t="n"/>
      <c r="O248" s="2" t="n"/>
      <c r="P248" s="3" t="n"/>
    </row>
    <row r="249">
      <c r="B249" s="122" t="n"/>
      <c r="C249" s="130" t="n"/>
      <c r="D249" s="317" t="n"/>
      <c r="E249" s="315" t="n"/>
      <c r="F249" s="122" t="n"/>
      <c r="G249" s="130" t="n"/>
      <c r="H249" s="317" t="n"/>
      <c r="I249" s="9" t="n"/>
      <c r="J249" s="318" t="n"/>
      <c r="L249" s="94" t="n"/>
      <c r="M249" s="95" t="n"/>
      <c r="N249" s="96" t="n"/>
      <c r="O249" s="315" t="n"/>
      <c r="P249" s="318" t="n"/>
    </row>
    <row r="250">
      <c r="B250" s="122" t="n"/>
      <c r="C250" s="130" t="n"/>
      <c r="D250" s="317" t="n"/>
      <c r="E250" s="315" t="n"/>
      <c r="F250" s="122" t="n"/>
      <c r="G250" s="130" t="n"/>
      <c r="H250" s="317" t="n"/>
      <c r="I250" s="9" t="n"/>
      <c r="J250" s="318" t="n"/>
      <c r="L250" s="94" t="n"/>
      <c r="M250" s="95" t="n"/>
      <c r="N250" s="96" t="n"/>
      <c r="O250" s="315" t="n"/>
      <c r="P250" s="3" t="n"/>
    </row>
    <row r="251">
      <c r="B251" s="122" t="n"/>
      <c r="C251" s="130" t="n"/>
      <c r="D251" s="317" t="n"/>
      <c r="E251" s="315" t="n"/>
      <c r="F251" s="122" t="n"/>
      <c r="G251" s="130" t="n"/>
      <c r="H251" s="317" t="n"/>
      <c r="I251" s="9" t="n"/>
      <c r="J251" s="318" t="n"/>
      <c r="L251" s="94" t="n"/>
      <c r="M251" s="95" t="n"/>
      <c r="N251" s="96" t="n"/>
      <c r="O251" s="315" t="n"/>
      <c r="P251" s="3" t="n"/>
    </row>
    <row r="252">
      <c r="B252" s="122" t="n"/>
      <c r="C252" s="130" t="n"/>
      <c r="D252" s="317" t="n"/>
      <c r="E252" s="315" t="n"/>
      <c r="F252" s="122" t="n"/>
      <c r="G252" s="130" t="n"/>
      <c r="H252" s="317" t="n"/>
      <c r="I252" s="9" t="n"/>
      <c r="J252" s="318" t="n"/>
      <c r="L252" s="94" t="n"/>
      <c r="M252" s="95" t="n"/>
      <c r="N252" s="96" t="n"/>
      <c r="O252" s="315" t="n"/>
      <c r="P252" s="318" t="n"/>
    </row>
    <row r="253" ht="16.2" customHeight="1" s="270" thickBot="1">
      <c r="B253" s="122" t="n"/>
      <c r="C253" s="130" t="n"/>
      <c r="D253" s="317" t="n"/>
      <c r="E253" s="315" t="n"/>
      <c r="F253" s="122" t="n"/>
      <c r="G253" s="130" t="n"/>
      <c r="H253" s="317" t="n"/>
      <c r="I253" s="9" t="n"/>
      <c r="J253" s="318" t="n"/>
      <c r="L253" s="94" t="n"/>
      <c r="M253" s="95" t="n"/>
      <c r="N253" s="96" t="n"/>
      <c r="O253" s="315" t="n"/>
      <c r="P253" s="321" t="n"/>
    </row>
    <row r="254">
      <c r="B254" s="109" t="n"/>
      <c r="C254" s="110" t="n"/>
      <c r="D254" s="322" t="n"/>
      <c r="F254" s="109" t="n"/>
      <c r="G254" s="110" t="n"/>
      <c r="H254" s="322" t="n"/>
      <c r="J254" s="98" t="n"/>
      <c r="L254" s="99" t="n"/>
      <c r="M254" s="100" t="n"/>
      <c r="N254" s="101" t="n"/>
      <c r="O254" s="315" t="n"/>
      <c r="P254" s="265" t="n"/>
    </row>
    <row r="255" ht="16.2" customHeight="1" s="270" thickBot="1">
      <c r="B255" s="89" t="n"/>
      <c r="C255" s="92" t="n"/>
      <c r="D255" s="323" t="n"/>
      <c r="E255" s="315" t="n"/>
      <c r="F255" s="89" t="n"/>
      <c r="G255" s="92" t="n"/>
      <c r="H255" s="323" t="n"/>
      <c r="I255" s="9" t="n"/>
      <c r="J255" s="102" t="n"/>
      <c r="L255" s="103" t="n"/>
      <c r="M255" s="104" t="n"/>
      <c r="N255" s="97" t="n"/>
      <c r="O255" s="315" t="n"/>
      <c r="P255" s="5" t="n"/>
    </row>
    <row r="256" ht="16.2" customHeight="1" s="270" thickBot="1"/>
    <row r="257">
      <c r="B257" s="312" t="n"/>
      <c r="C257" s="313" t="n"/>
      <c r="D257" s="314" t="n"/>
      <c r="E257" s="2" t="n"/>
      <c r="F257" s="312" t="n"/>
      <c r="G257" s="313" t="n"/>
      <c r="H257" s="314" t="n"/>
      <c r="I257" s="2" t="n"/>
      <c r="J257" s="265" t="n"/>
      <c r="L257" s="265" t="n"/>
      <c r="M257" s="313" t="n"/>
      <c r="N257" s="314" t="n"/>
      <c r="O257" s="195" t="n"/>
      <c r="P257" s="265" t="n"/>
    </row>
    <row r="258">
      <c r="B258" s="263" t="n"/>
      <c r="D258" s="87" t="n"/>
      <c r="E258" s="315" t="n"/>
      <c r="F258" s="263" t="n"/>
      <c r="H258" s="87" t="n"/>
      <c r="I258" s="9" t="n"/>
      <c r="J258" s="267" t="n"/>
      <c r="L258" s="267" t="n"/>
      <c r="N258" s="316" t="n"/>
      <c r="O258" s="85" t="n"/>
      <c r="P258" s="3" t="n"/>
    </row>
    <row r="259">
      <c r="B259" s="191" t="n"/>
      <c r="C259" s="130" t="n"/>
      <c r="D259" s="86" t="n"/>
      <c r="E259" s="315" t="n"/>
      <c r="F259" s="191" t="n"/>
      <c r="G259" s="130" t="n"/>
      <c r="H259" s="86" t="n"/>
      <c r="I259" s="9" t="n"/>
      <c r="J259" s="93" t="n"/>
      <c r="L259" s="192" t="n"/>
      <c r="M259" s="193" t="n"/>
      <c r="N259" s="194" t="n"/>
      <c r="O259" s="2" t="n"/>
      <c r="P259" s="3" t="n"/>
    </row>
    <row r="260">
      <c r="B260" s="122" t="n"/>
      <c r="C260" s="130" t="n"/>
      <c r="D260" s="317" t="n"/>
      <c r="E260" s="315" t="n"/>
      <c r="F260" s="122" t="n"/>
      <c r="G260" s="130" t="n"/>
      <c r="H260" s="317" t="n"/>
      <c r="I260" s="9" t="n"/>
      <c r="J260" s="318" t="n"/>
      <c r="L260" s="94" t="n"/>
      <c r="M260" s="95" t="n"/>
      <c r="N260" s="96" t="n"/>
      <c r="O260" s="315" t="n"/>
      <c r="P260" s="318" t="n"/>
    </row>
    <row r="261">
      <c r="B261" s="122" t="n"/>
      <c r="C261" s="130" t="n"/>
      <c r="D261" s="317" t="n"/>
      <c r="E261" s="315" t="n"/>
      <c r="F261" s="122" t="n"/>
      <c r="G261" s="130" t="n"/>
      <c r="H261" s="317" t="n"/>
      <c r="I261" s="9" t="n"/>
      <c r="J261" s="318" t="n"/>
      <c r="L261" s="94" t="n"/>
      <c r="M261" s="95" t="n"/>
      <c r="N261" s="96" t="n"/>
      <c r="O261" s="315" t="n"/>
      <c r="P261" s="3" t="n"/>
    </row>
    <row r="262">
      <c r="B262" s="122" t="n"/>
      <c r="C262" s="130" t="n"/>
      <c r="D262" s="317" t="n"/>
      <c r="E262" s="315" t="n"/>
      <c r="F262" s="122" t="n"/>
      <c r="G262" s="130" t="n"/>
      <c r="H262" s="317" t="n"/>
      <c r="I262" s="9" t="n"/>
      <c r="J262" s="318" t="n"/>
      <c r="L262" s="94" t="n"/>
      <c r="M262" s="95" t="n"/>
      <c r="N262" s="96" t="n"/>
      <c r="O262" s="315" t="n"/>
      <c r="P262" s="3" t="n"/>
    </row>
    <row r="263">
      <c r="B263" s="122" t="n"/>
      <c r="C263" s="130" t="n"/>
      <c r="D263" s="317" t="n"/>
      <c r="E263" s="315" t="n"/>
      <c r="F263" s="122" t="n"/>
      <c r="G263" s="130" t="n"/>
      <c r="H263" s="317" t="n"/>
      <c r="I263" s="9" t="n"/>
      <c r="J263" s="318" t="n"/>
      <c r="L263" s="94" t="n"/>
      <c r="M263" s="95" t="n"/>
      <c r="N263" s="96" t="n"/>
      <c r="O263" s="315" t="n"/>
      <c r="P263" s="318" t="n"/>
    </row>
    <row r="264" ht="16.2" customHeight="1" s="270" thickBot="1">
      <c r="B264" s="122" t="n"/>
      <c r="C264" s="130" t="n"/>
      <c r="D264" s="317" t="n"/>
      <c r="E264" s="315" t="n"/>
      <c r="F264" s="122" t="n"/>
      <c r="G264" s="130" t="n"/>
      <c r="H264" s="317" t="n"/>
      <c r="I264" s="9" t="n"/>
      <c r="J264" s="318" t="n"/>
      <c r="L264" s="94" t="n"/>
      <c r="M264" s="95" t="n"/>
      <c r="N264" s="96" t="n"/>
      <c r="O264" s="315" t="n"/>
      <c r="P264" s="321" t="n"/>
    </row>
    <row r="265">
      <c r="B265" s="109" t="n"/>
      <c r="C265" s="110" t="n"/>
      <c r="D265" s="322" t="n"/>
      <c r="F265" s="109" t="n"/>
      <c r="G265" s="110" t="n"/>
      <c r="H265" s="322" t="n"/>
      <c r="J265" s="98" t="n"/>
      <c r="L265" s="99" t="n"/>
      <c r="M265" s="100" t="n"/>
      <c r="N265" s="101" t="n"/>
      <c r="O265" s="315" t="n"/>
      <c r="P265" s="265" t="n"/>
    </row>
    <row r="266" ht="16.2" customHeight="1" s="270" thickBot="1">
      <c r="B266" s="89" t="n"/>
      <c r="C266" s="92" t="n"/>
      <c r="D266" s="323" t="n"/>
      <c r="E266" s="315" t="n"/>
      <c r="F266" s="89" t="n"/>
      <c r="G266" s="92" t="n"/>
      <c r="H266" s="323" t="n"/>
      <c r="I266" s="9" t="n"/>
      <c r="J266" s="102" t="n"/>
      <c r="L266" s="103" t="n"/>
      <c r="M266" s="104" t="n"/>
      <c r="N266" s="97" t="n"/>
      <c r="O266" s="315" t="n"/>
      <c r="P266" s="5" t="n"/>
    </row>
    <row r="267" ht="16.2" customHeight="1" s="270" thickBot="1"/>
    <row r="268">
      <c r="B268" s="257" t="n"/>
      <c r="C268" s="258" t="n"/>
      <c r="D268" s="259" t="n"/>
      <c r="E268" s="2" t="n"/>
      <c r="F268" s="257" t="n"/>
      <c r="G268" s="258" t="n"/>
      <c r="H268" s="259" t="n"/>
      <c r="I268" s="2" t="n"/>
      <c r="J268" s="265" t="n"/>
      <c r="L268" s="265" t="n"/>
      <c r="M268" s="255" t="n"/>
      <c r="N268" s="256" t="n"/>
      <c r="O268" s="195" t="n"/>
      <c r="P268" s="265" t="n"/>
    </row>
    <row r="269">
      <c r="B269" s="263" t="n"/>
      <c r="C269" s="266" t="n"/>
      <c r="D269" s="87" t="n"/>
      <c r="E269" s="315" t="n"/>
      <c r="F269" s="263" t="n"/>
      <c r="G269" s="266" t="n"/>
      <c r="H269" s="87" t="n"/>
      <c r="I269" s="9" t="n"/>
      <c r="J269" s="267" t="n"/>
      <c r="L269" s="267" t="n"/>
      <c r="M269" s="268" t="n"/>
      <c r="N269" s="269" t="n"/>
      <c r="O269" s="85" t="n"/>
      <c r="P269" s="3" t="n"/>
    </row>
    <row r="270">
      <c r="B270" s="191" t="n"/>
      <c r="C270" s="130" t="n"/>
      <c r="D270" s="86" t="n"/>
      <c r="E270" s="315" t="n"/>
      <c r="F270" s="191" t="n"/>
      <c r="G270" s="130" t="n"/>
      <c r="H270" s="86" t="n"/>
      <c r="I270" s="9" t="n"/>
      <c r="J270" s="93" t="n"/>
      <c r="L270" s="192" t="n"/>
      <c r="M270" s="193" t="n"/>
      <c r="N270" s="194" t="n"/>
      <c r="O270" s="2" t="n"/>
      <c r="P270" s="3" t="n"/>
    </row>
    <row r="271">
      <c r="B271" s="122" t="n"/>
      <c r="C271" s="130" t="n"/>
      <c r="D271" s="317" t="n"/>
      <c r="E271" s="315" t="n"/>
      <c r="F271" s="122" t="n"/>
      <c r="G271" s="130" t="n"/>
      <c r="H271" s="317" t="n"/>
      <c r="I271" s="9" t="n"/>
      <c r="J271" s="318" t="n"/>
      <c r="L271" s="94" t="n"/>
      <c r="M271" s="95" t="n"/>
      <c r="N271" s="96" t="n"/>
      <c r="O271" s="315" t="n"/>
      <c r="P271" s="318" t="n"/>
    </row>
    <row r="272">
      <c r="B272" s="122" t="n"/>
      <c r="C272" s="130" t="n"/>
      <c r="D272" s="317" t="n"/>
      <c r="E272" s="315" t="n"/>
      <c r="F272" s="122" t="n"/>
      <c r="G272" s="130" t="n"/>
      <c r="H272" s="317" t="n"/>
      <c r="I272" s="9" t="n"/>
      <c r="J272" s="318" t="n"/>
      <c r="L272" s="94" t="n"/>
      <c r="M272" s="95" t="n"/>
      <c r="N272" s="96" t="n"/>
      <c r="O272" s="315" t="n"/>
      <c r="P272" s="3" t="n"/>
    </row>
    <row r="273">
      <c r="B273" s="122" t="n"/>
      <c r="C273" s="130" t="n"/>
      <c r="D273" s="317" t="n"/>
      <c r="E273" s="315" t="n"/>
      <c r="F273" s="122" t="n"/>
      <c r="G273" s="130" t="n"/>
      <c r="H273" s="317" t="n"/>
      <c r="I273" s="9" t="n"/>
      <c r="J273" s="318" t="n"/>
      <c r="L273" s="94" t="n"/>
      <c r="M273" s="95" t="n"/>
      <c r="N273" s="96" t="n"/>
      <c r="O273" s="315" t="n"/>
      <c r="P273" s="3" t="n"/>
    </row>
    <row r="274">
      <c r="B274" s="122" t="n"/>
      <c r="C274" s="130" t="n"/>
      <c r="D274" s="317" t="n"/>
      <c r="E274" s="315" t="n"/>
      <c r="F274" s="122" t="n"/>
      <c r="G274" s="130" t="n"/>
      <c r="H274" s="317" t="n"/>
      <c r="I274" s="9" t="n"/>
      <c r="J274" s="318" t="n"/>
      <c r="L274" s="94" t="n"/>
      <c r="M274" s="95" t="n"/>
      <c r="N274" s="96" t="n"/>
      <c r="O274" s="315" t="n"/>
      <c r="P274" s="318" t="n"/>
    </row>
    <row r="275" ht="16.2" customHeight="1" s="270" thickBot="1">
      <c r="B275" s="122" t="n"/>
      <c r="C275" s="130" t="n"/>
      <c r="D275" s="317" t="n"/>
      <c r="E275" s="315" t="n"/>
      <c r="F275" s="122" t="n"/>
      <c r="G275" s="130" t="n"/>
      <c r="H275" s="317" t="n"/>
      <c r="I275" s="9" t="n"/>
      <c r="J275" s="318" t="n"/>
      <c r="L275" s="94" t="n"/>
      <c r="M275" s="95" t="n"/>
      <c r="N275" s="96" t="n"/>
      <c r="O275" s="315" t="n"/>
      <c r="P275" s="321" t="n"/>
    </row>
    <row r="276">
      <c r="B276" s="109" t="n"/>
      <c r="C276" s="110" t="n"/>
      <c r="D276" s="322" t="n"/>
      <c r="F276" s="109" t="n"/>
      <c r="G276" s="110" t="n"/>
      <c r="H276" s="322" t="n"/>
      <c r="J276" s="98" t="n"/>
      <c r="L276" s="99" t="n"/>
      <c r="M276" s="100" t="n"/>
      <c r="N276" s="101" t="n"/>
      <c r="O276" s="315" t="n"/>
      <c r="P276" s="265" t="n"/>
    </row>
    <row r="277" ht="16.2" customHeight="1" s="270" thickBot="1">
      <c r="B277" s="89" t="n"/>
      <c r="C277" s="92" t="n"/>
      <c r="D277" s="323" t="n"/>
      <c r="E277" s="315" t="n"/>
      <c r="F277" s="89" t="n"/>
      <c r="G277" s="92" t="n"/>
      <c r="H277" s="323" t="n"/>
      <c r="I277" s="9" t="n"/>
      <c r="J277" s="102" t="n"/>
      <c r="L277" s="103" t="n"/>
      <c r="M277" s="104" t="n"/>
      <c r="N277" s="97" t="n"/>
      <c r="O277" s="315" t="n"/>
      <c r="P277" s="5" t="n"/>
    </row>
  </sheetData>
  <mergeCells count="177">
    <mergeCell ref="L93:N93"/>
    <mergeCell ref="L213:N213"/>
    <mergeCell ref="F16:G16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B4:D4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L247:N247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15:H15"/>
    <mergeCell ref="F59:H59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26:H26"/>
    <mergeCell ref="F137:G137"/>
    <mergeCell ref="F224:H224"/>
    <mergeCell ref="L4:N4"/>
    <mergeCell ref="B71:C71"/>
    <mergeCell ref="B191:D191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F203:G203"/>
    <mergeCell ref="L81:N81"/>
    <mergeCell ref="F37:H37"/>
    <mergeCell ref="B82:C82"/>
    <mergeCell ref="F181:G181"/>
    <mergeCell ref="B170:C170"/>
    <mergeCell ref="L148:N148"/>
    <mergeCell ref="B148:C148"/>
    <mergeCell ref="X81:Z81"/>
    <mergeCell ref="B114:D114"/>
    <mergeCell ref="R93:T93"/>
    <mergeCell ref="L27:N27"/>
    <mergeCell ref="X71:Z71"/>
    <mergeCell ref="L203:N203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B246:D246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F258:G25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R16:T16"/>
  </mergeCells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priority="1871" operator="lessThan" dxfId="1" stopIfTrue="1">
      <formula>-0.01</formula>
    </cfRule>
    <cfRule type="cellIs" priority="1872" operator="greaterThan" dxfId="0" stopIfTrue="1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priority="1866" operator="greaterThan" dxfId="1">
      <formula>0.03</formula>
    </cfRule>
    <cfRule type="cellIs" priority="1867" operator="lessThan" dxfId="0" stopIfTrue="1">
      <formula>-0.03</formula>
    </cfRule>
  </conditionalFormatting>
  <conditionalFormatting sqref="AB22">
    <cfRule type="cellIs" priority="1864" operator="lessThan" dxfId="1">
      <formula>-0.03</formula>
    </cfRule>
    <cfRule type="cellIs" priority="1865" operator="greaterThan" dxfId="0" stopIfTrue="1">
      <formula>0.03</formula>
    </cfRule>
  </conditionalFormatting>
  <conditionalFormatting sqref="Z18">
    <cfRule type="cellIs" priority="1861" operator="lessThan" dxfId="1" stopIfTrue="1">
      <formula>-0.01</formula>
    </cfRule>
    <cfRule type="cellIs" priority="1862" operator="greaterThan" dxfId="0" stopIfTrue="1">
      <formula>0.01</formula>
    </cfRule>
  </conditionalFormatting>
  <conditionalFormatting sqref="Z19">
    <cfRule type="cellIs" priority="1859" operator="lessThan" dxfId="1" stopIfTrue="1">
      <formula>-0.01</formula>
    </cfRule>
    <cfRule type="cellIs" priority="1860" operator="greaterThan" dxfId="0" stopIfTrue="1">
      <formula>0.01</formula>
    </cfRule>
  </conditionalFormatting>
  <conditionalFormatting sqref="Z20:Z21">
    <cfRule type="cellIs" priority="1857" operator="lessThan" dxfId="1" stopIfTrue="1">
      <formula>-0.01</formula>
    </cfRule>
    <cfRule type="cellIs" priority="1858" operator="greaterThan" dxfId="0" stopIfTrue="1">
      <formula>0.01</formula>
    </cfRule>
  </conditionalFormatting>
  <conditionalFormatting sqref="Z22">
    <cfRule type="cellIs" priority="1855" operator="lessThan" dxfId="1" stopIfTrue="1">
      <formula>-0.01</formula>
    </cfRule>
    <cfRule type="cellIs" priority="1856" operator="greaterThan" dxfId="0" stopIfTrue="1">
      <formula>0.01</formula>
    </cfRule>
  </conditionalFormatting>
  <conditionalFormatting sqref="V18:V22">
    <cfRule type="cellIs" priority="1853" operator="greaterThan" dxfId="1">
      <formula>0.03</formula>
    </cfRule>
    <cfRule type="cellIs" priority="1854" operator="lessThan" dxfId="0" stopIfTrue="1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priority="1844" operator="lessThan" dxfId="1" stopIfTrue="1">
      <formula>-0.01</formula>
    </cfRule>
    <cfRule type="cellIs" priority="1845" operator="greaterThan" dxfId="0" stopIfTrue="1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priority="1840" operator="greaterThan" dxfId="1">
      <formula>0.03</formula>
    </cfRule>
    <cfRule type="cellIs" priority="1841" operator="lessThan" dxfId="0" stopIfTrue="1">
      <formula>-0.03</formula>
    </cfRule>
  </conditionalFormatting>
  <conditionalFormatting sqref="AB33">
    <cfRule type="cellIs" priority="1838" operator="lessThan" dxfId="1">
      <formula>-0.03</formula>
    </cfRule>
    <cfRule type="cellIs" priority="1839" operator="greaterThan" dxfId="0" stopIfTrue="1">
      <formula>0.03</formula>
    </cfRule>
  </conditionalFormatting>
  <conditionalFormatting sqref="Z29">
    <cfRule type="cellIs" priority="1836" operator="lessThan" dxfId="1" stopIfTrue="1">
      <formula>-0.01</formula>
    </cfRule>
    <cfRule type="cellIs" priority="1837" operator="greaterThan" dxfId="0" stopIfTrue="1">
      <formula>0.01</formula>
    </cfRule>
  </conditionalFormatting>
  <conditionalFormatting sqref="Z30">
    <cfRule type="cellIs" priority="1834" operator="lessThan" dxfId="1" stopIfTrue="1">
      <formula>-0.01</formula>
    </cfRule>
    <cfRule type="cellIs" priority="1835" operator="greaterThan" dxfId="0" stopIfTrue="1">
      <formula>0.01</formula>
    </cfRule>
  </conditionalFormatting>
  <conditionalFormatting sqref="Z31:Z32">
    <cfRule type="cellIs" priority="1832" operator="lessThan" dxfId="1" stopIfTrue="1">
      <formula>-0.01</formula>
    </cfRule>
    <cfRule type="cellIs" priority="1833" operator="greaterThan" dxfId="0" stopIfTrue="1">
      <formula>0.01</formula>
    </cfRule>
  </conditionalFormatting>
  <conditionalFormatting sqref="Z33">
    <cfRule type="cellIs" priority="1830" operator="lessThan" dxfId="1" stopIfTrue="1">
      <formula>-0.01</formula>
    </cfRule>
    <cfRule type="cellIs" priority="1831" operator="greaterThan" dxfId="0" stopIfTrue="1">
      <formula>0.01</formula>
    </cfRule>
  </conditionalFormatting>
  <conditionalFormatting sqref="V29:V33">
    <cfRule type="cellIs" priority="1828" operator="greaterThan" dxfId="1">
      <formula>0.03</formula>
    </cfRule>
    <cfRule type="cellIs" priority="1829" operator="lessThan" dxfId="0" stopIfTrue="1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priority="1822" operator="lessThan" dxfId="1" stopIfTrue="1">
      <formula>-0.01</formula>
    </cfRule>
    <cfRule type="cellIs" priority="1823" operator="greaterThan" dxfId="0" stopIfTrue="1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priority="1818" operator="greaterThan" dxfId="1">
      <formula>0.03</formula>
    </cfRule>
    <cfRule type="cellIs" priority="1819" operator="lessThan" dxfId="0" stopIfTrue="1">
      <formula>-0.03</formula>
    </cfRule>
  </conditionalFormatting>
  <conditionalFormatting sqref="AB44">
    <cfRule type="cellIs" priority="1816" operator="lessThan" dxfId="1">
      <formula>-0.03</formula>
    </cfRule>
    <cfRule type="cellIs" priority="1817" operator="greaterThan" dxfId="0" stopIfTrue="1">
      <formula>0.03</formula>
    </cfRule>
  </conditionalFormatting>
  <conditionalFormatting sqref="Z40">
    <cfRule type="cellIs" priority="1814" operator="lessThan" dxfId="1" stopIfTrue="1">
      <formula>-0.01</formula>
    </cfRule>
    <cfRule type="cellIs" priority="1815" operator="greaterThan" dxfId="0" stopIfTrue="1">
      <formula>0.01</formula>
    </cfRule>
  </conditionalFormatting>
  <conditionalFormatting sqref="Z41">
    <cfRule type="cellIs" priority="1812" operator="lessThan" dxfId="1" stopIfTrue="1">
      <formula>-0.01</formula>
    </cfRule>
    <cfRule type="cellIs" priority="1813" operator="greaterThan" dxfId="0" stopIfTrue="1">
      <formula>0.01</formula>
    </cfRule>
  </conditionalFormatting>
  <conditionalFormatting sqref="Z42:Z43">
    <cfRule type="cellIs" priority="1810" operator="lessThan" dxfId="1" stopIfTrue="1">
      <formula>-0.01</formula>
    </cfRule>
    <cfRule type="cellIs" priority="1811" operator="greaterThan" dxfId="0" stopIfTrue="1">
      <formula>0.01</formula>
    </cfRule>
  </conditionalFormatting>
  <conditionalFormatting sqref="Z44">
    <cfRule type="cellIs" priority="1808" operator="lessThan" dxfId="1" stopIfTrue="1">
      <formula>-0.01</formula>
    </cfRule>
    <cfRule type="cellIs" priority="1809" operator="greaterThan" dxfId="0" stopIfTrue="1">
      <formula>0.01</formula>
    </cfRule>
  </conditionalFormatting>
  <conditionalFormatting sqref="V40:V44">
    <cfRule type="cellIs" priority="1806" operator="greaterThan" dxfId="1">
      <formula>0.03</formula>
    </cfRule>
    <cfRule type="cellIs" priority="1807" operator="lessThan" dxfId="0" stopIfTrue="1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priority="1800" operator="lessThan" dxfId="1" stopIfTrue="1">
      <formula>-0.01</formula>
    </cfRule>
    <cfRule type="cellIs" priority="1801" operator="greaterThan" dxfId="0" stopIfTrue="1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priority="1796" operator="greaterThan" dxfId="1">
      <formula>0.03</formula>
    </cfRule>
    <cfRule type="cellIs" priority="1797" operator="lessThan" dxfId="0" stopIfTrue="1">
      <formula>-0.03</formula>
    </cfRule>
  </conditionalFormatting>
  <conditionalFormatting sqref="AB55">
    <cfRule type="cellIs" priority="1794" operator="lessThan" dxfId="1">
      <formula>-0.03</formula>
    </cfRule>
    <cfRule type="cellIs" priority="1795" operator="greaterThan" dxfId="0" stopIfTrue="1">
      <formula>0.03</formula>
    </cfRule>
  </conditionalFormatting>
  <conditionalFormatting sqref="Z51">
    <cfRule type="cellIs" priority="1792" operator="lessThan" dxfId="1" stopIfTrue="1">
      <formula>-0.01</formula>
    </cfRule>
    <cfRule type="cellIs" priority="1793" operator="greaterThan" dxfId="0" stopIfTrue="1">
      <formula>0.01</formula>
    </cfRule>
  </conditionalFormatting>
  <conditionalFormatting sqref="Z52">
    <cfRule type="cellIs" priority="1790" operator="lessThan" dxfId="1" stopIfTrue="1">
      <formula>-0.01</formula>
    </cfRule>
    <cfRule type="cellIs" priority="1791" operator="greaterThan" dxfId="0" stopIfTrue="1">
      <formula>0.01</formula>
    </cfRule>
  </conditionalFormatting>
  <conditionalFormatting sqref="Z53:Z54">
    <cfRule type="cellIs" priority="1788" operator="lessThan" dxfId="1" stopIfTrue="1">
      <formula>-0.01</formula>
    </cfRule>
    <cfRule type="cellIs" priority="1789" operator="greaterThan" dxfId="0" stopIfTrue="1">
      <formula>0.01</formula>
    </cfRule>
  </conditionalFormatting>
  <conditionalFormatting sqref="Z55">
    <cfRule type="cellIs" priority="1786" operator="lessThan" dxfId="1" stopIfTrue="1">
      <formula>-0.01</formula>
    </cfRule>
    <cfRule type="cellIs" priority="1787" operator="greaterThan" dxfId="0" stopIfTrue="1">
      <formula>0.01</formula>
    </cfRule>
  </conditionalFormatting>
  <conditionalFormatting sqref="V51:V55">
    <cfRule type="cellIs" priority="1784" operator="greaterThan" dxfId="1">
      <formula>0.03</formula>
    </cfRule>
    <cfRule type="cellIs" priority="1785" operator="lessThan" dxfId="0" stopIfTrue="1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priority="1778" operator="lessThan" dxfId="1" stopIfTrue="1">
      <formula>-0.01</formula>
    </cfRule>
    <cfRule type="cellIs" priority="1779" operator="greaterThan" dxfId="0" stopIfTrue="1">
      <formula>0.01</formula>
    </cfRule>
  </conditionalFormatting>
  <conditionalFormatting sqref="AB62">
    <cfRule type="cellIs" priority="1774" operator="greaterThan" dxfId="1">
      <formula>0.03</formula>
    </cfRule>
    <cfRule type="cellIs" priority="1775" operator="lessThan" dxfId="0" stopIfTrue="1">
      <formula>-0.03</formula>
    </cfRule>
  </conditionalFormatting>
  <conditionalFormatting sqref="AB66">
    <cfRule type="cellIs" priority="1772" operator="lessThan" dxfId="1">
      <formula>-0.03</formula>
    </cfRule>
    <cfRule type="cellIs" priority="1773" operator="greaterThan" dxfId="0" stopIfTrue="1">
      <formula>0.03</formula>
    </cfRule>
  </conditionalFormatting>
  <conditionalFormatting sqref="Z62">
    <cfRule type="cellIs" priority="1770" operator="lessThan" dxfId="1" stopIfTrue="1">
      <formula>-0.01</formula>
    </cfRule>
    <cfRule type="cellIs" priority="1771" operator="greaterThan" dxfId="0" stopIfTrue="1">
      <formula>0.01</formula>
    </cfRule>
  </conditionalFormatting>
  <conditionalFormatting sqref="Z63">
    <cfRule type="cellIs" priority="1768" operator="lessThan" dxfId="1" stopIfTrue="1">
      <formula>-0.01</formula>
    </cfRule>
    <cfRule type="cellIs" priority="1769" operator="greaterThan" dxfId="0" stopIfTrue="1">
      <formula>0.01</formula>
    </cfRule>
  </conditionalFormatting>
  <conditionalFormatting sqref="Z64:Z65">
    <cfRule type="cellIs" priority="1766" operator="lessThan" dxfId="1" stopIfTrue="1">
      <formula>-0.01</formula>
    </cfRule>
    <cfRule type="cellIs" priority="1767" operator="greaterThan" dxfId="0" stopIfTrue="1">
      <formula>0.01</formula>
    </cfRule>
  </conditionalFormatting>
  <conditionalFormatting sqref="Z66">
    <cfRule type="cellIs" priority="1764" operator="lessThan" dxfId="1" stopIfTrue="1">
      <formula>-0.01</formula>
    </cfRule>
    <cfRule type="cellIs" priority="1765" operator="greaterThan" dxfId="0" stopIfTrue="1">
      <formula>0.01</formula>
    </cfRule>
  </conditionalFormatting>
  <conditionalFormatting sqref="V62:V66">
    <cfRule type="cellIs" priority="1762" operator="greaterThan" dxfId="1">
      <formula>0.03</formula>
    </cfRule>
    <cfRule type="cellIs" priority="1763" operator="lessThan" dxfId="0" stopIfTrue="1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priority="1657" operator="greaterThan" dxfId="1">
      <formula>0.03</formula>
    </cfRule>
    <cfRule type="cellIs" priority="1658" operator="lessThan" dxfId="0" stopIfTrue="1">
      <formula>-0.03</formula>
    </cfRule>
  </conditionalFormatting>
  <conditionalFormatting sqref="AB116">
    <cfRule type="cellIs" priority="1655" operator="lessThan" dxfId="1">
      <formula>-0.03</formula>
    </cfRule>
    <cfRule type="cellIs" priority="1656" operator="greaterThan" dxfId="0" stopIfTrue="1">
      <formula>0.03</formula>
    </cfRule>
  </conditionalFormatting>
  <conditionalFormatting sqref="AB123">
    <cfRule type="cellIs" priority="1653" operator="greaterThan" dxfId="1">
      <formula>0.03</formula>
    </cfRule>
    <cfRule type="cellIs" priority="1654" operator="lessThan" dxfId="0" stopIfTrue="1">
      <formula>-0.03</formula>
    </cfRule>
  </conditionalFormatting>
  <conditionalFormatting sqref="AB126">
    <cfRule type="cellIs" priority="1651" operator="lessThan" dxfId="1">
      <formula>-0.03</formula>
    </cfRule>
    <cfRule type="cellIs" priority="1652" operator="greaterThan" dxfId="0" stopIfTrue="1">
      <formula>0.03</formula>
    </cfRule>
  </conditionalFormatting>
  <conditionalFormatting sqref="AB133">
    <cfRule type="cellIs" priority="1649" operator="greaterThan" dxfId="1">
      <formula>0.03</formula>
    </cfRule>
    <cfRule type="cellIs" priority="1650" operator="lessThan" dxfId="0" stopIfTrue="1">
      <formula>-0.03</formula>
    </cfRule>
  </conditionalFormatting>
  <conditionalFormatting sqref="AB136">
    <cfRule type="cellIs" priority="1647" operator="lessThan" dxfId="1">
      <formula>-0.03</formula>
    </cfRule>
    <cfRule type="cellIs" priority="1648" operator="greaterThan" dxfId="0" stopIfTrue="1">
      <formula>0.03</formula>
    </cfRule>
  </conditionalFormatting>
  <conditionalFormatting sqref="AB143">
    <cfRule type="cellIs" priority="1645" operator="greaterThan" dxfId="1">
      <formula>0.03</formula>
    </cfRule>
    <cfRule type="cellIs" priority="1646" operator="lessThan" dxfId="0" stopIfTrue="1">
      <formula>-0.03</formula>
    </cfRule>
  </conditionalFormatting>
  <conditionalFormatting sqref="AB146">
    <cfRule type="cellIs" priority="1643" operator="lessThan" dxfId="1">
      <formula>-0.03</formula>
    </cfRule>
    <cfRule type="cellIs" priority="1644" operator="greaterThan" dxfId="0" stopIfTrue="1">
      <formula>0.03</formula>
    </cfRule>
  </conditionalFormatting>
  <conditionalFormatting sqref="AB153">
    <cfRule type="cellIs" priority="1641" operator="greaterThan" dxfId="1">
      <formula>0.03</formula>
    </cfRule>
    <cfRule type="cellIs" priority="1642" operator="lessThan" dxfId="0" stopIfTrue="1">
      <formula>-0.03</formula>
    </cfRule>
  </conditionalFormatting>
  <conditionalFormatting sqref="AB156">
    <cfRule type="cellIs" priority="1639" operator="lessThan" dxfId="1">
      <formula>-0.03</formula>
    </cfRule>
    <cfRule type="cellIs" priority="1640" operator="greaterThan" dxfId="0" stopIfTrue="1">
      <formula>0.03</formula>
    </cfRule>
  </conditionalFormatting>
  <conditionalFormatting sqref="AB163">
    <cfRule type="cellIs" priority="1637" operator="greaterThan" dxfId="1">
      <formula>0.03</formula>
    </cfRule>
    <cfRule type="cellIs" priority="1638" operator="lessThan" dxfId="0" stopIfTrue="1">
      <formula>-0.03</formula>
    </cfRule>
  </conditionalFormatting>
  <conditionalFormatting sqref="AB166">
    <cfRule type="cellIs" priority="1635" operator="lessThan" dxfId="1">
      <formula>-0.03</formula>
    </cfRule>
    <cfRule type="cellIs" priority="1636" operator="greaterThan" dxfId="0" stopIfTrue="1">
      <formula>0.03</formula>
    </cfRule>
  </conditionalFormatting>
  <conditionalFormatting sqref="AB173">
    <cfRule type="cellIs" priority="1633" operator="greaterThan" dxfId="1">
      <formula>0.03</formula>
    </cfRule>
    <cfRule type="cellIs" priority="1634" operator="lessThan" dxfId="0" stopIfTrue="1">
      <formula>-0.03</formula>
    </cfRule>
  </conditionalFormatting>
  <conditionalFormatting sqref="AB176">
    <cfRule type="cellIs" priority="1631" operator="lessThan" dxfId="1">
      <formula>-0.03</formula>
    </cfRule>
    <cfRule type="cellIs" priority="1632" operator="greaterThan" dxfId="0" stopIfTrue="1">
      <formula>0.03</formula>
    </cfRule>
  </conditionalFormatting>
  <conditionalFormatting sqref="Z187:Z188">
    <cfRule type="cellIs" priority="1628" operator="lessThan" dxfId="1" stopIfTrue="1">
      <formula>-0.01</formula>
    </cfRule>
    <cfRule type="cellIs" priority="1629" operator="greaterThan" dxfId="0" stopIfTrue="1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priority="1623" operator="greaterThan" dxfId="1">
      <formula>0.03</formula>
    </cfRule>
    <cfRule type="cellIs" priority="1624" operator="lessThan" dxfId="0" stopIfTrue="1">
      <formula>-0.03</formula>
    </cfRule>
  </conditionalFormatting>
  <conditionalFormatting sqref="AB186">
    <cfRule type="cellIs" priority="1621" operator="lessThan" dxfId="1">
      <formula>-0.03</formula>
    </cfRule>
    <cfRule type="cellIs" priority="1622" operator="greaterThan" dxfId="0" stopIfTrue="1">
      <formula>0.03</formula>
    </cfRule>
  </conditionalFormatting>
  <conditionalFormatting sqref="Z183">
    <cfRule type="cellIs" priority="1618" operator="lessThan" dxfId="1" stopIfTrue="1">
      <formula>-0.01</formula>
    </cfRule>
    <cfRule type="cellIs" priority="1619" operator="greaterThan" dxfId="0" stopIfTrue="1">
      <formula>0.01</formula>
    </cfRule>
  </conditionalFormatting>
  <conditionalFormatting sqref="Z184">
    <cfRule type="cellIs" priority="1616" operator="lessThan" dxfId="1" stopIfTrue="1">
      <formula>-0.01</formula>
    </cfRule>
    <cfRule type="cellIs" priority="1617" operator="greaterThan" dxfId="0" stopIfTrue="1">
      <formula>0.01</formula>
    </cfRule>
  </conditionalFormatting>
  <conditionalFormatting sqref="Z185">
    <cfRule type="cellIs" priority="1614" operator="lessThan" dxfId="1" stopIfTrue="1">
      <formula>-0.01</formula>
    </cfRule>
    <cfRule type="cellIs" priority="1615" operator="greaterThan" dxfId="0" stopIfTrue="1">
      <formula>0.01</formula>
    </cfRule>
  </conditionalFormatting>
  <conditionalFormatting sqref="Z186">
    <cfRule type="cellIs" priority="1612" operator="lessThan" dxfId="1" stopIfTrue="1">
      <formula>-0.01</formula>
    </cfRule>
    <cfRule type="cellIs" priority="1613" operator="greaterThan" dxfId="0" stopIfTrue="1">
      <formula>0.01</formula>
    </cfRule>
  </conditionalFormatting>
  <conditionalFormatting sqref="V183:V186">
    <cfRule type="cellIs" priority="1610" operator="greaterThan" dxfId="1">
      <formula>0.03</formula>
    </cfRule>
    <cfRule type="cellIs" priority="1611" operator="lessThan" dxfId="0" stopIfTrue="1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priority="1040" operator="lessThan" dxfId="1" stopIfTrue="1">
      <formula>-0.01</formula>
    </cfRule>
    <cfRule type="cellIs" priority="1041" operator="greaterThan" dxfId="0" stopIfTrue="1">
      <formula>0.01</formula>
    </cfRule>
  </conditionalFormatting>
  <conditionalFormatting sqref="AB73">
    <cfRule type="cellIs" priority="1037" operator="greaterThan" dxfId="1">
      <formula>0.03</formula>
    </cfRule>
    <cfRule type="cellIs" priority="1038" operator="lessThan" dxfId="0" stopIfTrue="1">
      <formula>-0.03</formula>
    </cfRule>
  </conditionalFormatting>
  <conditionalFormatting sqref="AB77">
    <cfRule type="cellIs" priority="1035" operator="lessThan" dxfId="1">
      <formula>-0.03</formula>
    </cfRule>
    <cfRule type="cellIs" priority="1036" operator="greaterThan" dxfId="0" stopIfTrue="1">
      <formula>0.03</formula>
    </cfRule>
  </conditionalFormatting>
  <conditionalFormatting sqref="Z73">
    <cfRule type="cellIs" priority="1033" operator="lessThan" dxfId="1" stopIfTrue="1">
      <formula>-0.01</formula>
    </cfRule>
    <cfRule type="cellIs" priority="1034" operator="greaterThan" dxfId="0" stopIfTrue="1">
      <formula>0.01</formula>
    </cfRule>
  </conditionalFormatting>
  <conditionalFormatting sqref="Z74">
    <cfRule type="cellIs" priority="1031" operator="lessThan" dxfId="1" stopIfTrue="1">
      <formula>-0.01</formula>
    </cfRule>
    <cfRule type="cellIs" priority="1032" operator="greaterThan" dxfId="0" stopIfTrue="1">
      <formula>0.01</formula>
    </cfRule>
  </conditionalFormatting>
  <conditionalFormatting sqref="Z75:Z76">
    <cfRule type="cellIs" priority="1029" operator="lessThan" dxfId="1" stopIfTrue="1">
      <formula>-0.01</formula>
    </cfRule>
    <cfRule type="cellIs" priority="1030" operator="greaterThan" dxfId="0" stopIfTrue="1">
      <formula>0.01</formula>
    </cfRule>
  </conditionalFormatting>
  <conditionalFormatting sqref="Z77">
    <cfRule type="cellIs" priority="1027" operator="lessThan" dxfId="1" stopIfTrue="1">
      <formula>-0.01</formula>
    </cfRule>
    <cfRule type="cellIs" priority="1028" operator="greaterThan" dxfId="0" stopIfTrue="1">
      <formula>0.01</formula>
    </cfRule>
  </conditionalFormatting>
  <conditionalFormatting sqref="V73:V77">
    <cfRule type="cellIs" priority="1025" operator="greaterThan" dxfId="1">
      <formula>0.03</formula>
    </cfRule>
    <cfRule type="cellIs" priority="1026" operator="lessThan" dxfId="0" stopIfTrue="1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priority="989" operator="lessThan" dxfId="1" stopIfTrue="1">
      <formula>-0.01</formula>
    </cfRule>
    <cfRule type="cellIs" priority="990" operator="greaterThan" dxfId="0" stopIfTrue="1">
      <formula>0.01</formula>
    </cfRule>
  </conditionalFormatting>
  <conditionalFormatting sqref="AB84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88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84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85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86:Z87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88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84:V88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priority="938" operator="lessThan" dxfId="1" stopIfTrue="1">
      <formula>-0.01</formula>
    </cfRule>
    <cfRule type="cellIs" priority="939" operator="greaterThan" dxfId="0" stopIfTrue="1">
      <formula>0.01</formula>
    </cfRule>
  </conditionalFormatting>
  <conditionalFormatting sqref="AB95">
    <cfRule type="cellIs" priority="935" operator="greaterThan" dxfId="1">
      <formula>0.03</formula>
    </cfRule>
    <cfRule type="cellIs" priority="936" operator="lessThan" dxfId="0" stopIfTrue="1">
      <formula>-0.03</formula>
    </cfRule>
  </conditionalFormatting>
  <conditionalFormatting sqref="AB99">
    <cfRule type="cellIs" priority="933" operator="lessThan" dxfId="1">
      <formula>-0.03</formula>
    </cfRule>
    <cfRule type="cellIs" priority="934" operator="greaterThan" dxfId="0" stopIfTrue="1">
      <formula>0.03</formula>
    </cfRule>
  </conditionalFormatting>
  <conditionalFormatting sqref="Z95">
    <cfRule type="cellIs" priority="931" operator="lessThan" dxfId="1" stopIfTrue="1">
      <formula>-0.01</formula>
    </cfRule>
    <cfRule type="cellIs" priority="932" operator="greaterThan" dxfId="0" stopIfTrue="1">
      <formula>0.01</formula>
    </cfRule>
  </conditionalFormatting>
  <conditionalFormatting sqref="Z96">
    <cfRule type="cellIs" priority="929" operator="lessThan" dxfId="1" stopIfTrue="1">
      <formula>-0.01</formula>
    </cfRule>
    <cfRule type="cellIs" priority="930" operator="greaterThan" dxfId="0" stopIfTrue="1">
      <formula>0.01</formula>
    </cfRule>
  </conditionalFormatting>
  <conditionalFormatting sqref="Z97:Z98">
    <cfRule type="cellIs" priority="927" operator="lessThan" dxfId="1" stopIfTrue="1">
      <formula>-0.01</formula>
    </cfRule>
    <cfRule type="cellIs" priority="928" operator="greaterThan" dxfId="0" stopIfTrue="1">
      <formula>0.01</formula>
    </cfRule>
  </conditionalFormatting>
  <conditionalFormatting sqref="Z99">
    <cfRule type="cellIs" priority="925" operator="lessThan" dxfId="1" stopIfTrue="1">
      <formula>-0.01</formula>
    </cfRule>
    <cfRule type="cellIs" priority="926" operator="greaterThan" dxfId="0" stopIfTrue="1">
      <formula>0.01</formula>
    </cfRule>
  </conditionalFormatting>
  <conditionalFormatting sqref="V95:V99">
    <cfRule type="cellIs" priority="923" operator="greaterThan" dxfId="1">
      <formula>0.03</formula>
    </cfRule>
    <cfRule type="cellIs" priority="924" operator="lessThan" dxfId="0" stopIfTrue="1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priority="887" operator="lessThan" dxfId="1" stopIfTrue="1">
      <formula>-0.01</formula>
    </cfRule>
    <cfRule type="cellIs" priority="888" operator="greaterThan" dxfId="0" stopIfTrue="1">
      <formula>0.01</formula>
    </cfRule>
  </conditionalFormatting>
  <conditionalFormatting sqref="AB106">
    <cfRule type="cellIs" priority="884" operator="greaterThan" dxfId="1">
      <formula>0.03</formula>
    </cfRule>
    <cfRule type="cellIs" priority="885" operator="lessThan" dxfId="0" stopIfTrue="1">
      <formula>-0.03</formula>
    </cfRule>
  </conditionalFormatting>
  <conditionalFormatting sqref="AB110">
    <cfRule type="cellIs" priority="882" operator="lessThan" dxfId="1">
      <formula>-0.03</formula>
    </cfRule>
    <cfRule type="cellIs" priority="883" operator="greaterThan" dxfId="0" stopIfTrue="1">
      <formula>0.03</formula>
    </cfRule>
  </conditionalFormatting>
  <conditionalFormatting sqref="Z106">
    <cfRule type="cellIs" priority="880" operator="lessThan" dxfId="1" stopIfTrue="1">
      <formula>-0.01</formula>
    </cfRule>
    <cfRule type="cellIs" priority="881" operator="greaterThan" dxfId="0" stopIfTrue="1">
      <formula>0.01</formula>
    </cfRule>
  </conditionalFormatting>
  <conditionalFormatting sqref="Z107">
    <cfRule type="cellIs" priority="878" operator="lessThan" dxfId="1" stopIfTrue="1">
      <formula>-0.01</formula>
    </cfRule>
    <cfRule type="cellIs" priority="879" operator="greaterThan" dxfId="0" stopIfTrue="1">
      <formula>0.01</formula>
    </cfRule>
  </conditionalFormatting>
  <conditionalFormatting sqref="Z108:Z109">
    <cfRule type="cellIs" priority="876" operator="lessThan" dxfId="1" stopIfTrue="1">
      <formula>-0.01</formula>
    </cfRule>
    <cfRule type="cellIs" priority="877" operator="greaterThan" dxfId="0" stopIfTrue="1">
      <formula>0.01</formula>
    </cfRule>
  </conditionalFormatting>
  <conditionalFormatting sqref="Z110">
    <cfRule type="cellIs" priority="874" operator="lessThan" dxfId="1" stopIfTrue="1">
      <formula>-0.01</formula>
    </cfRule>
    <cfRule type="cellIs" priority="875" operator="greaterThan" dxfId="0" stopIfTrue="1">
      <formula>0.01</formula>
    </cfRule>
  </conditionalFormatting>
  <conditionalFormatting sqref="V106:V110">
    <cfRule type="cellIs" priority="872" operator="greaterThan" dxfId="1">
      <formula>0.03</formula>
    </cfRule>
    <cfRule type="cellIs" priority="873" operator="lessThan" dxfId="0" stopIfTrue="1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priority="837" operator="lessThan" dxfId="1" stopIfTrue="1">
      <formula>-0.01</formula>
    </cfRule>
    <cfRule type="cellIs" priority="838" operator="greaterThan" dxfId="0" stopIfTrue="1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priority="832" operator="greaterThan" dxfId="1">
      <formula>0.03</formula>
    </cfRule>
    <cfRule type="cellIs" priority="833" operator="lessThan" dxfId="0" stopIfTrue="1">
      <formula>-0.03</formula>
    </cfRule>
  </conditionalFormatting>
  <conditionalFormatting sqref="AB11">
    <cfRule type="cellIs" priority="830" operator="lessThan" dxfId="1">
      <formula>-0.03</formula>
    </cfRule>
    <cfRule type="cellIs" priority="831" operator="greaterThan" dxfId="0" stopIfTrue="1">
      <formula>0.03</formula>
    </cfRule>
  </conditionalFormatting>
  <conditionalFormatting sqref="Z7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8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9:Z10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Z11">
    <cfRule type="cellIs" priority="822" operator="lessThan" dxfId="1" stopIfTrue="1">
      <formula>-0.01</formula>
    </cfRule>
    <cfRule type="cellIs" priority="823" operator="greaterThan" dxfId="0" stopIfTrue="1">
      <formula>0.01</formula>
    </cfRule>
  </conditionalFormatting>
  <conditionalFormatting sqref="V7:V11">
    <cfRule type="cellIs" priority="820" operator="greaterThan" dxfId="1">
      <formula>0.03</formula>
    </cfRule>
    <cfRule type="cellIs" priority="821" operator="lessThan" dxfId="0" stopIfTrue="1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priority="813" operator="lessThan" dxfId="1" stopIfTrue="1">
      <formula>-0.01</formula>
    </cfRule>
    <cfRule type="cellIs" priority="814" operator="greaterThan" dxfId="0" stopIfTrue="1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priority="774" operator="greaterThan" dxfId="1">
      <formula>0.03</formula>
    </cfRule>
    <cfRule type="cellIs" priority="775" operator="lessThan" dxfId="0" stopIfTrue="1">
      <formula>-0.03</formula>
    </cfRule>
  </conditionalFormatting>
  <conditionalFormatting sqref="N12">
    <cfRule type="cellIs" priority="772" operator="lessThan" dxfId="1" stopIfTrue="1">
      <formula>-0.01</formula>
    </cfRule>
    <cfRule type="cellIs" priority="773" operator="greaterThan" dxfId="0" stopIfTrue="1">
      <formula>0.01</formula>
    </cfRule>
  </conditionalFormatting>
  <conditionalFormatting sqref="N7">
    <cfRule type="cellIs" priority="770" operator="lessThan" dxfId="1" stopIfTrue="1">
      <formula>-0.01</formula>
    </cfRule>
    <cfRule type="cellIs" priority="771" operator="greaterThan" dxfId="0" stopIfTrue="1">
      <formula>0.01</formula>
    </cfRule>
  </conditionalFormatting>
  <conditionalFormatting sqref="N8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N9:N11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P7">
    <cfRule type="cellIs" priority="762" operator="greaterThan" dxfId="1">
      <formula>0.03</formula>
    </cfRule>
    <cfRule type="cellIs" priority="763" operator="lessThan" dxfId="0" stopIfTrue="1">
      <formula>-0.03</formula>
    </cfRule>
  </conditionalFormatting>
  <conditionalFormatting sqref="P11">
    <cfRule type="cellIs" priority="760" operator="lessThan" dxfId="1">
      <formula>-0.03</formula>
    </cfRule>
    <cfRule type="cellIs" priority="761" operator="greaterThan" dxfId="0" stopIfTrue="1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priority="729" operator="greaterThan" dxfId="1">
      <formula>0.03</formula>
    </cfRule>
    <cfRule type="cellIs" priority="730" operator="lessThan" dxfId="0" stopIfTrue="1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N23">
    <cfRule type="cellIs" priority="712" operator="lessThan" dxfId="1" stopIfTrue="1">
      <formula>-0.01</formula>
    </cfRule>
    <cfRule type="cellIs" priority="713" operator="greaterThan" dxfId="0" stopIfTrue="1">
      <formula>0.01</formula>
    </cfRule>
  </conditionalFormatting>
  <conditionalFormatting sqref="N1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N19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N20:N22">
    <cfRule type="cellIs" priority="706" operator="lessThan" dxfId="1" stopIfTrue="1">
      <formula>-0.01</formula>
    </cfRule>
    <cfRule type="cellIs" priority="707" operator="greaterThan" dxfId="0" stopIfTrue="1">
      <formula>0.01</formula>
    </cfRule>
  </conditionalFormatting>
  <conditionalFormatting sqref="P18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P22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priority="700" operator="greaterThan" dxfId="1">
      <formula>0.03</formula>
    </cfRule>
    <cfRule type="cellIs" priority="701" operator="lessThan" dxfId="0" stopIfTrue="1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priority="685" operator="greaterThan" dxfId="1">
      <formula>0.03</formula>
    </cfRule>
    <cfRule type="cellIs" priority="686" operator="lessThan" dxfId="0" stopIfTrue="1">
      <formula>-0.03</formula>
    </cfRule>
  </conditionalFormatting>
  <conditionalFormatting sqref="N34">
    <cfRule type="cellIs" priority="683" operator="lessThan" dxfId="1" stopIfTrue="1">
      <formula>-0.01</formula>
    </cfRule>
    <cfRule type="cellIs" priority="684" operator="greaterThan" dxfId="0" stopIfTrue="1">
      <formula>0.01</formula>
    </cfRule>
  </conditionalFormatting>
  <conditionalFormatting sqref="N29">
    <cfRule type="cellIs" priority="681" operator="lessThan" dxfId="1" stopIfTrue="1">
      <formula>-0.01</formula>
    </cfRule>
    <cfRule type="cellIs" priority="682" operator="greaterThan" dxfId="0" stopIfTrue="1">
      <formula>0.01</formula>
    </cfRule>
  </conditionalFormatting>
  <conditionalFormatting sqref="N30">
    <cfRule type="cellIs" priority="679" operator="lessThan" dxfId="1" stopIfTrue="1">
      <formula>-0.01</formula>
    </cfRule>
    <cfRule type="cellIs" priority="680" operator="greaterThan" dxfId="0" stopIfTrue="1">
      <formula>0.01</formula>
    </cfRule>
  </conditionalFormatting>
  <conditionalFormatting sqref="N31:N33">
    <cfRule type="cellIs" priority="677" operator="lessThan" dxfId="1" stopIfTrue="1">
      <formula>-0.01</formula>
    </cfRule>
    <cfRule type="cellIs" priority="678" operator="greaterThan" dxfId="0" stopIfTrue="1">
      <formula>0.01</formula>
    </cfRule>
  </conditionalFormatting>
  <conditionalFormatting sqref="P29">
    <cfRule type="cellIs" priority="675" operator="greaterThan" dxfId="1">
      <formula>0.03</formula>
    </cfRule>
    <cfRule type="cellIs" priority="676" operator="lessThan" dxfId="0" stopIfTrue="1">
      <formula>-0.03</formula>
    </cfRule>
  </conditionalFormatting>
  <conditionalFormatting sqref="P33">
    <cfRule type="cellIs" priority="673" operator="lessThan" dxfId="1">
      <formula>-0.03</formula>
    </cfRule>
    <cfRule type="cellIs" priority="674" operator="greaterThan" dxfId="0" stopIfTrue="1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priority="671" operator="greaterThan" dxfId="1">
      <formula>0.03</formula>
    </cfRule>
    <cfRule type="cellIs" priority="672" operator="lessThan" dxfId="0" stopIfTrue="1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priority="656" operator="greaterThan" dxfId="1">
      <formula>0.03</formula>
    </cfRule>
    <cfRule type="cellIs" priority="657" operator="lessThan" dxfId="0" stopIfTrue="1">
      <formula>-0.03</formula>
    </cfRule>
  </conditionalFormatting>
  <conditionalFormatting sqref="N45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N40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N41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N42:N44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P40">
    <cfRule type="cellIs" priority="646" operator="greaterThan" dxfId="1">
      <formula>0.03</formula>
    </cfRule>
    <cfRule type="cellIs" priority="647" operator="lessThan" dxfId="0" stopIfTrue="1">
      <formula>-0.03</formula>
    </cfRule>
  </conditionalFormatting>
  <conditionalFormatting sqref="P44">
    <cfRule type="cellIs" priority="644" operator="lessThan" dxfId="1">
      <formula>-0.03</formula>
    </cfRule>
    <cfRule type="cellIs" priority="645" operator="greaterThan" dxfId="0" stopIfTrue="1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priority="637" operator="lessThan" dxfId="1" stopIfTrue="1">
      <formula>-0.01</formula>
    </cfRule>
    <cfRule type="cellIs" priority="638" operator="greaterThan" dxfId="0" stopIfTrue="1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priority="627" operator="greaterThan" dxfId="1">
      <formula>0.03</formula>
    </cfRule>
    <cfRule type="cellIs" priority="628" operator="lessThan" dxfId="0" stopIfTrue="1">
      <formula>-0.03</formula>
    </cfRule>
  </conditionalFormatting>
  <conditionalFormatting sqref="N56">
    <cfRule type="cellIs" priority="625" operator="lessThan" dxfId="1" stopIfTrue="1">
      <formula>-0.01</formula>
    </cfRule>
    <cfRule type="cellIs" priority="626" operator="greaterThan" dxfId="0" stopIfTrue="1">
      <formula>0.01</formula>
    </cfRule>
  </conditionalFormatting>
  <conditionalFormatting sqref="N51">
    <cfRule type="cellIs" priority="623" operator="lessThan" dxfId="1" stopIfTrue="1">
      <formula>-0.01</formula>
    </cfRule>
    <cfRule type="cellIs" priority="624" operator="greaterThan" dxfId="0" stopIfTrue="1">
      <formula>0.01</formula>
    </cfRule>
  </conditionalFormatting>
  <conditionalFormatting sqref="N52">
    <cfRule type="cellIs" priority="621" operator="lessThan" dxfId="1" stopIfTrue="1">
      <formula>-0.01</formula>
    </cfRule>
    <cfRule type="cellIs" priority="622" operator="greaterThan" dxfId="0" stopIfTrue="1">
      <formula>0.01</formula>
    </cfRule>
  </conditionalFormatting>
  <conditionalFormatting sqref="N53:N55">
    <cfRule type="cellIs" priority="619" operator="lessThan" dxfId="1" stopIfTrue="1">
      <formula>-0.01</formula>
    </cfRule>
    <cfRule type="cellIs" priority="620" operator="greaterThan" dxfId="0" stopIfTrue="1">
      <formula>0.01</formula>
    </cfRule>
  </conditionalFormatting>
  <conditionalFormatting sqref="P51">
    <cfRule type="cellIs" priority="617" operator="greaterThan" dxfId="1">
      <formula>0.03</formula>
    </cfRule>
    <cfRule type="cellIs" priority="618" operator="lessThan" dxfId="0" stopIfTrue="1">
      <formula>-0.03</formula>
    </cfRule>
  </conditionalFormatting>
  <conditionalFormatting sqref="P55">
    <cfRule type="cellIs" priority="615" operator="lessThan" dxfId="1">
      <formula>-0.03</formula>
    </cfRule>
    <cfRule type="cellIs" priority="616" operator="greaterThan" dxfId="0" stopIfTrue="1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priority="613" operator="greaterThan" dxfId="1">
      <formula>0.03</formula>
    </cfRule>
    <cfRule type="cellIs" priority="614" operator="lessThan" dxfId="0" stopIfTrue="1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priority="608" operator="lessThan" dxfId="1" stopIfTrue="1">
      <formula>-0.01</formula>
    </cfRule>
    <cfRule type="cellIs" priority="609" operator="greaterThan" dxfId="0" stopIfTrue="1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N67">
    <cfRule type="cellIs" priority="596" operator="lessThan" dxfId="1" stopIfTrue="1">
      <formula>-0.01</formula>
    </cfRule>
    <cfRule type="cellIs" priority="597" operator="greaterThan" dxfId="0" stopIfTrue="1">
      <formula>0.01</formula>
    </cfRule>
  </conditionalFormatting>
  <conditionalFormatting sqref="N62">
    <cfRule type="cellIs" priority="594" operator="lessThan" dxfId="1" stopIfTrue="1">
      <formula>-0.01</formula>
    </cfRule>
    <cfRule type="cellIs" priority="595" operator="greaterThan" dxfId="0" stopIfTrue="1">
      <formula>0.01</formula>
    </cfRule>
  </conditionalFormatting>
  <conditionalFormatting sqref="N63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N64:N66">
    <cfRule type="cellIs" priority="590" operator="lessThan" dxfId="1" stopIfTrue="1">
      <formula>-0.01</formula>
    </cfRule>
    <cfRule type="cellIs" priority="591" operator="greaterThan" dxfId="0" stopIfTrue="1">
      <formula>0.01</formula>
    </cfRule>
  </conditionalFormatting>
  <conditionalFormatting sqref="P62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P66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priority="584" operator="greaterThan" dxfId="1">
      <formula>0.03</formula>
    </cfRule>
    <cfRule type="cellIs" priority="585" operator="lessThan" dxfId="0" stopIfTrue="1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priority="579" operator="lessThan" dxfId="1" stopIfTrue="1">
      <formula>-0.01</formula>
    </cfRule>
    <cfRule type="cellIs" priority="580" operator="greaterThan" dxfId="0" stopIfTrue="1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78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73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7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75:N77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73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77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priority="550" operator="lessThan" dxfId="1" stopIfTrue="1">
      <formula>-0.01</formula>
    </cfRule>
    <cfRule type="cellIs" priority="551" operator="greaterThan" dxfId="0" stopIfTrue="1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priority="540" operator="greaterThan" dxfId="1">
      <formula>0.03</formula>
    </cfRule>
    <cfRule type="cellIs" priority="541" operator="lessThan" dxfId="0" stopIfTrue="1">
      <formula>-0.03</formula>
    </cfRule>
  </conditionalFormatting>
  <conditionalFormatting sqref="N89">
    <cfRule type="cellIs" priority="538" operator="lessThan" dxfId="1" stopIfTrue="1">
      <formula>-0.01</formula>
    </cfRule>
    <cfRule type="cellIs" priority="539" operator="greaterThan" dxfId="0" stopIfTrue="1">
      <formula>0.01</formula>
    </cfRule>
  </conditionalFormatting>
  <conditionalFormatting sqref="N84">
    <cfRule type="cellIs" priority="536" operator="lessThan" dxfId="1" stopIfTrue="1">
      <formula>-0.01</formula>
    </cfRule>
    <cfRule type="cellIs" priority="537" operator="greaterThan" dxfId="0" stopIfTrue="1">
      <formula>0.01</formula>
    </cfRule>
  </conditionalFormatting>
  <conditionalFormatting sqref="N85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N86:N88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P84">
    <cfRule type="cellIs" priority="530" operator="greaterThan" dxfId="1">
      <formula>0.03</formula>
    </cfRule>
    <cfRule type="cellIs" priority="531" operator="lessThan" dxfId="0" stopIfTrue="1">
      <formula>-0.03</formula>
    </cfRule>
  </conditionalFormatting>
  <conditionalFormatting sqref="P88">
    <cfRule type="cellIs" priority="528" operator="lessThan" dxfId="1">
      <formula>-0.03</formula>
    </cfRule>
    <cfRule type="cellIs" priority="529" operator="greaterThan" dxfId="0" stopIfTrue="1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priority="521" operator="lessThan" dxfId="1" stopIfTrue="1">
      <formula>-0.01</formula>
    </cfRule>
    <cfRule type="cellIs" priority="522" operator="greaterThan" dxfId="0" stopIfTrue="1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N100">
    <cfRule type="cellIs" priority="509" operator="lessThan" dxfId="1" stopIfTrue="1">
      <formula>-0.01</formula>
    </cfRule>
    <cfRule type="cellIs" priority="510" operator="greaterThan" dxfId="0" stopIfTrue="1">
      <formula>0.01</formula>
    </cfRule>
  </conditionalFormatting>
  <conditionalFormatting sqref="N95">
    <cfRule type="cellIs" priority="507" operator="lessThan" dxfId="1" stopIfTrue="1">
      <formula>-0.01</formula>
    </cfRule>
    <cfRule type="cellIs" priority="508" operator="greaterThan" dxfId="0" stopIfTrue="1">
      <formula>0.01</formula>
    </cfRule>
  </conditionalFormatting>
  <conditionalFormatting sqref="N96">
    <cfRule type="cellIs" priority="505" operator="lessThan" dxfId="1" stopIfTrue="1">
      <formula>-0.01</formula>
    </cfRule>
    <cfRule type="cellIs" priority="506" operator="greaterThan" dxfId="0" stopIfTrue="1">
      <formula>0.01</formula>
    </cfRule>
  </conditionalFormatting>
  <conditionalFormatting sqref="N97:N99">
    <cfRule type="cellIs" priority="503" operator="lessThan" dxfId="1" stopIfTrue="1">
      <formula>-0.01</formula>
    </cfRule>
    <cfRule type="cellIs" priority="504" operator="greaterThan" dxfId="0" stopIfTrue="1">
      <formula>0.01</formula>
    </cfRule>
  </conditionalFormatting>
  <conditionalFormatting sqref="P9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P9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priority="492" operator="lessThan" dxfId="1" stopIfTrue="1">
      <formula>-0.01</formula>
    </cfRule>
    <cfRule type="cellIs" priority="493" operator="greaterThan" dxfId="0" stopIfTrue="1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priority="482" operator="greaterThan" dxfId="1">
      <formula>0.03</formula>
    </cfRule>
    <cfRule type="cellIs" priority="483" operator="lessThan" dxfId="0" stopIfTrue="1">
      <formula>-0.03</formula>
    </cfRule>
  </conditionalFormatting>
  <conditionalFormatting sqref="N111">
    <cfRule type="cellIs" priority="480" operator="lessThan" dxfId="1" stopIfTrue="1">
      <formula>-0.01</formula>
    </cfRule>
    <cfRule type="cellIs" priority="481" operator="greaterThan" dxfId="0" stopIfTrue="1">
      <formula>0.01</formula>
    </cfRule>
  </conditionalFormatting>
  <conditionalFormatting sqref="N106">
    <cfRule type="cellIs" priority="478" operator="lessThan" dxfId="1" stopIfTrue="1">
      <formula>-0.01</formula>
    </cfRule>
    <cfRule type="cellIs" priority="479" operator="greaterThan" dxfId="0" stopIfTrue="1">
      <formula>0.01</formula>
    </cfRule>
  </conditionalFormatting>
  <conditionalFormatting sqref="N107">
    <cfRule type="cellIs" priority="476" operator="lessThan" dxfId="1" stopIfTrue="1">
      <formula>-0.01</formula>
    </cfRule>
    <cfRule type="cellIs" priority="477" operator="greaterThan" dxfId="0" stopIfTrue="1">
      <formula>0.01</formula>
    </cfRule>
  </conditionalFormatting>
  <conditionalFormatting sqref="N108:N110">
    <cfRule type="cellIs" priority="474" operator="lessThan" dxfId="1" stopIfTrue="1">
      <formula>-0.01</formula>
    </cfRule>
    <cfRule type="cellIs" priority="475" operator="greaterThan" dxfId="0" stopIfTrue="1">
      <formula>0.01</formula>
    </cfRule>
  </conditionalFormatting>
  <conditionalFormatting sqref="P106">
    <cfRule type="cellIs" priority="472" operator="greaterThan" dxfId="1">
      <formula>0.03</formula>
    </cfRule>
    <cfRule type="cellIs" priority="473" operator="lessThan" dxfId="0" stopIfTrue="1">
      <formula>-0.03</formula>
    </cfRule>
  </conditionalFormatting>
  <conditionalFormatting sqref="P110">
    <cfRule type="cellIs" priority="470" operator="lessThan" dxfId="1">
      <formula>-0.03</formula>
    </cfRule>
    <cfRule type="cellIs" priority="471" operator="greaterThan" dxfId="0" stopIfTrue="1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priority="468" operator="greaterThan" dxfId="1">
      <formula>0.03</formula>
    </cfRule>
    <cfRule type="cellIs" priority="469" operator="lessThan" dxfId="0" stopIfTrue="1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priority="463" operator="lessThan" dxfId="1" stopIfTrue="1">
      <formula>-0.01</formula>
    </cfRule>
    <cfRule type="cellIs" priority="464" operator="greaterThan" dxfId="0" stopIfTrue="1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priority="453" operator="greaterThan" dxfId="1">
      <formula>0.03</formula>
    </cfRule>
    <cfRule type="cellIs" priority="454" operator="lessThan" dxfId="0" stopIfTrue="1">
      <formula>-0.03</formula>
    </cfRule>
  </conditionalFormatting>
  <conditionalFormatting sqref="N122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117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118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N119:N121">
    <cfRule type="cellIs" priority="445" operator="lessThan" dxfId="1" stopIfTrue="1">
      <formula>-0.01</formula>
    </cfRule>
    <cfRule type="cellIs" priority="446" operator="greaterThan" dxfId="0" stopIfTrue="1">
      <formula>0.01</formula>
    </cfRule>
  </conditionalFormatting>
  <conditionalFormatting sqref="P117">
    <cfRule type="cellIs" priority="443" operator="greaterThan" dxfId="1">
      <formula>0.03</formula>
    </cfRule>
    <cfRule type="cellIs" priority="444" operator="lessThan" dxfId="0" stopIfTrue="1">
      <formula>-0.03</formula>
    </cfRule>
  </conditionalFormatting>
  <conditionalFormatting sqref="P121">
    <cfRule type="cellIs" priority="441" operator="lessThan" dxfId="1">
      <formula>-0.03</formula>
    </cfRule>
    <cfRule type="cellIs" priority="442" operator="greaterThan" dxfId="0" stopIfTrue="1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priority="439" operator="greaterThan" dxfId="1">
      <formula>0.03</formula>
    </cfRule>
    <cfRule type="cellIs" priority="440" operator="lessThan" dxfId="0" stopIfTrue="1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priority="424" operator="greaterThan" dxfId="1">
      <formula>0.03</formula>
    </cfRule>
    <cfRule type="cellIs" priority="425" operator="lessThan" dxfId="0" stopIfTrue="1">
      <formula>-0.03</formula>
    </cfRule>
  </conditionalFormatting>
  <conditionalFormatting sqref="N133">
    <cfRule type="cellIs" priority="422" operator="lessThan" dxfId="1" stopIfTrue="1">
      <formula>-0.01</formula>
    </cfRule>
    <cfRule type="cellIs" priority="423" operator="greaterThan" dxfId="0" stopIfTrue="1">
      <formula>0.01</formula>
    </cfRule>
  </conditionalFormatting>
  <conditionalFormatting sqref="N128">
    <cfRule type="cellIs" priority="420" operator="lessThan" dxfId="1" stopIfTrue="1">
      <formula>-0.01</formula>
    </cfRule>
    <cfRule type="cellIs" priority="421" operator="greaterThan" dxfId="0" stopIfTrue="1">
      <formula>0.01</formula>
    </cfRule>
  </conditionalFormatting>
  <conditionalFormatting sqref="N129">
    <cfRule type="cellIs" priority="418" operator="lessThan" dxfId="1" stopIfTrue="1">
      <formula>-0.01</formula>
    </cfRule>
    <cfRule type="cellIs" priority="419" operator="greaterThan" dxfId="0" stopIfTrue="1">
      <formula>0.01</formula>
    </cfRule>
  </conditionalFormatting>
  <conditionalFormatting sqref="N130:N132">
    <cfRule type="cellIs" priority="416" operator="lessThan" dxfId="1" stopIfTrue="1">
      <formula>-0.01</formula>
    </cfRule>
    <cfRule type="cellIs" priority="417" operator="greaterThan" dxfId="0" stopIfTrue="1">
      <formula>0.01</formula>
    </cfRule>
  </conditionalFormatting>
  <conditionalFormatting sqref="P128">
    <cfRule type="cellIs" priority="414" operator="greaterThan" dxfId="1">
      <formula>0.03</formula>
    </cfRule>
    <cfRule type="cellIs" priority="415" operator="lessThan" dxfId="0" stopIfTrue="1">
      <formula>-0.03</formula>
    </cfRule>
  </conditionalFormatting>
  <conditionalFormatting sqref="P132">
    <cfRule type="cellIs" priority="412" operator="lessThan" dxfId="1">
      <formula>-0.03</formula>
    </cfRule>
    <cfRule type="cellIs" priority="413" operator="greaterThan" dxfId="0" stopIfTrue="1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priority="405" operator="lessThan" dxfId="1" stopIfTrue="1">
      <formula>-0.01</formula>
    </cfRule>
    <cfRule type="cellIs" priority="406" operator="greaterThan" dxfId="0" stopIfTrue="1">
      <formula>0.01</formula>
    </cfRule>
    <cfRule type="cellIs" priority="374" operator="lessThan" dxfId="1" stopIfTrue="1">
      <formula>-0.01</formula>
    </cfRule>
    <cfRule type="cellIs" priority="374" operator="greaterThan" dxfId="0" stopIfTrue="1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priority="395" operator="greaterThan" dxfId="1">
      <formula>0.03</formula>
    </cfRule>
    <cfRule type="cellIs" priority="396" operator="lessThan" dxfId="0" stopIfTrue="1">
      <formula>-0.03</formula>
    </cfRule>
    <cfRule type="cellIs" priority="364" operator="greaterThan" dxfId="1">
      <formula>0.03</formula>
    </cfRule>
    <cfRule type="cellIs" priority="364" operator="lessThan" dxfId="0" stopIfTrue="1">
      <formula>-0.03</formula>
    </cfRule>
  </conditionalFormatting>
  <conditionalFormatting sqref="N144">
    <cfRule type="cellIs" priority="393" operator="lessThan" dxfId="1" stopIfTrue="1">
      <formula>-0.01</formula>
    </cfRule>
    <cfRule type="cellIs" priority="394" operator="greaterThan" dxfId="0" stopIfTrue="1">
      <formula>0.01</formula>
    </cfRule>
    <cfRule type="cellIs" priority="362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N139">
    <cfRule type="cellIs" priority="391" operator="lessThan" dxfId="1" stopIfTrue="1">
      <formula>-0.01</formula>
    </cfRule>
    <cfRule type="cellIs" priority="392" operator="greaterThan" dxfId="0" stopIfTrue="1">
      <formula>0.01</formula>
    </cfRule>
    <cfRule type="cellIs" priority="360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140">
    <cfRule type="cellIs" priority="389" operator="lessThan" dxfId="1" stopIfTrue="1">
      <formula>-0.01</formula>
    </cfRule>
    <cfRule type="cellIs" priority="390" operator="greaterThan" dxfId="0" stopIfTrue="1">
      <formula>0.01</formula>
    </cfRule>
    <cfRule type="cellIs" priority="358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141:N143">
    <cfRule type="cellIs" priority="387" operator="lessThan" dxfId="1" stopIfTrue="1">
      <formula>-0.01</formula>
    </cfRule>
    <cfRule type="cellIs" priority="388" operator="greaterThan" dxfId="0" stopIfTrue="1">
      <formula>0.01</formula>
    </cfRule>
    <cfRule type="cellIs" priority="356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P139">
    <cfRule type="cellIs" priority="385" operator="greaterThan" dxfId="1">
      <formula>0.03</formula>
    </cfRule>
    <cfRule type="cellIs" priority="386" operator="lessThan" dxfId="0" stopIfTrue="1">
      <formula>-0.03</formula>
    </cfRule>
    <cfRule type="cellIs" priority="354" operator="greaterThan" dxfId="1">
      <formula>0.03</formula>
    </cfRule>
    <cfRule type="cellIs" priority="354" operator="lessThan" dxfId="0" stopIfTrue="1">
      <formula>-0.03</formula>
    </cfRule>
  </conditionalFormatting>
  <conditionalFormatting sqref="P143">
    <cfRule type="cellIs" priority="383" operator="lessThan" dxfId="1">
      <formula>-0.03</formula>
    </cfRule>
    <cfRule type="cellIs" priority="384" operator="greaterThan" dxfId="0" stopIfTrue="1">
      <formula>0.03</formula>
    </cfRule>
    <cfRule type="cellIs" priority="352" operator="lessThan" dxfId="1">
      <formula>-0.03</formula>
    </cfRule>
    <cfRule type="cellIs" priority="352" operator="greaterThan" dxfId="0" stopIfTrue="1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priority="381" operator="greaterThan" dxfId="1">
      <formula>0.03</formula>
    </cfRule>
    <cfRule type="cellIs" priority="382" operator="lessThan" dxfId="0" stopIfTrue="1">
      <formula>-0.03</formula>
    </cfRule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priority="378" operator="lessThan" dxfId="1" stopIfTrue="1">
      <formula>-0.01</formula>
    </cfRule>
    <cfRule type="cellIs" priority="379" operator="greaterThan" dxfId="0" stopIfTrue="1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priority="345" operator="lessThan" dxfId="1" stopIfTrue="1">
      <formula>-0.01</formula>
    </cfRule>
    <cfRule type="cellIs" priority="345" operator="greaterThan" dxfId="0" stopIfTrue="1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priority="335" operator="greaterThan" dxfId="1">
      <formula>0.03</formula>
    </cfRule>
    <cfRule type="cellIs" priority="335" operator="lessThan" dxfId="0" stopIfTrue="1">
      <formula>-0.03</formula>
    </cfRule>
  </conditionalFormatting>
  <conditionalFormatting sqref="N155">
    <cfRule type="cellIs" priority="333" operator="lessThan" dxfId="1" stopIfTrue="1">
      <formula>-0.01</formula>
    </cfRule>
    <cfRule type="cellIs" priority="333" operator="greaterThan" dxfId="0" stopIfTrue="1">
      <formula>0.01</formula>
    </cfRule>
  </conditionalFormatting>
  <conditionalFormatting sqref="N150">
    <cfRule type="cellIs" priority="331" operator="lessThan" dxfId="1" stopIfTrue="1">
      <formula>-0.01</formula>
    </cfRule>
    <cfRule type="cellIs" priority="331" operator="greaterThan" dxfId="0" stopIfTrue="1">
      <formula>0.01</formula>
    </cfRule>
  </conditionalFormatting>
  <conditionalFormatting sqref="N151">
    <cfRule type="cellIs" priority="329" operator="lessThan" dxfId="1" stopIfTrue="1">
      <formula>-0.01</formula>
    </cfRule>
    <cfRule type="cellIs" priority="329" operator="greaterThan" dxfId="0" stopIfTrue="1">
      <formula>0.01</formula>
    </cfRule>
  </conditionalFormatting>
  <conditionalFormatting sqref="N152:N154">
    <cfRule type="cellIs" priority="327" operator="lessThan" dxfId="1" stopIfTrue="1">
      <formula>-0.01</formula>
    </cfRule>
    <cfRule type="cellIs" priority="327" operator="greaterThan" dxfId="0" stopIfTrue="1">
      <formula>0.01</formula>
    </cfRule>
  </conditionalFormatting>
  <conditionalFormatting sqref="P150">
    <cfRule type="cellIs" priority="325" operator="greaterThan" dxfId="1">
      <formula>0.03</formula>
    </cfRule>
    <cfRule type="cellIs" priority="325" operator="lessThan" dxfId="0" stopIfTrue="1">
      <formula>-0.03</formula>
    </cfRule>
  </conditionalFormatting>
  <conditionalFormatting sqref="P154">
    <cfRule type="cellIs" priority="323" operator="lessThan" dxfId="1">
      <formula>-0.03</formula>
    </cfRule>
    <cfRule type="cellIs" priority="323" operator="greaterThan" dxfId="0" stopIfTrue="1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priority="320" operator="greaterThan" dxfId="1">
      <formula>0.03</formula>
    </cfRule>
    <cfRule type="cellIs" priority="321" operator="lessThan" dxfId="0" stopIfTrue="1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priority="316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priority="306" operator="greaterThan" dxfId="1">
      <formula>0.03</formula>
    </cfRule>
    <cfRule type="cellIs" priority="306" operator="lessThan" dxfId="0" stopIfTrue="1">
      <formula>-0.03</formula>
    </cfRule>
  </conditionalFormatting>
  <conditionalFormatting sqref="N166">
    <cfRule type="cellIs" priority="304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N161">
    <cfRule type="cellIs" priority="302" operator="lessThan" dxfId="1" stopIfTrue="1">
      <formula>-0.01</formula>
    </cfRule>
    <cfRule type="cellIs" priority="302" operator="greaterThan" dxfId="0" stopIfTrue="1">
      <formula>0.01</formula>
    </cfRule>
  </conditionalFormatting>
  <conditionalFormatting sqref="N162">
    <cfRule type="cellIs" priority="300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163:N165">
    <cfRule type="cellIs" priority="298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P161">
    <cfRule type="cellIs" priority="296" operator="greaterThan" dxfId="1">
      <formula>0.03</formula>
    </cfRule>
    <cfRule type="cellIs" priority="296" operator="lessThan" dxfId="0" stopIfTrue="1">
      <formula>-0.03</formula>
    </cfRule>
  </conditionalFormatting>
  <conditionalFormatting sqref="P165">
    <cfRule type="cellIs" priority="294" operator="lessThan" dxfId="1">
      <formula>-0.03</formula>
    </cfRule>
    <cfRule type="cellIs" priority="294" operator="greaterThan" dxfId="0" stopIfTrue="1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priority="291" operator="greaterThan" dxfId="1">
      <formula>0.03</formula>
    </cfRule>
    <cfRule type="cellIs" priority="292" operator="lessThan" dxfId="0" stopIfTrue="1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priority="287" operator="lessThan" dxfId="1" stopIfTrue="1">
      <formula>-0.01</formula>
    </cfRule>
    <cfRule type="cellIs" priority="287" operator="greaterThan" dxfId="0" stopIfTrue="1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priority="277" operator="greaterThan" dxfId="1">
      <formula>0.03</formula>
    </cfRule>
    <cfRule type="cellIs" priority="277" operator="lessThan" dxfId="0" stopIfTrue="1">
      <formula>-0.03</formula>
    </cfRule>
  </conditionalFormatting>
  <conditionalFormatting sqref="N177">
    <cfRule type="cellIs" priority="275" operator="lessThan" dxfId="1" stopIfTrue="1">
      <formula>-0.01</formula>
    </cfRule>
    <cfRule type="cellIs" priority="275" operator="greaterThan" dxfId="0" stopIfTrue="1">
      <formula>0.01</formula>
    </cfRule>
  </conditionalFormatting>
  <conditionalFormatting sqref="N172">
    <cfRule type="cellIs" priority="273" operator="lessThan" dxfId="1" stopIfTrue="1">
      <formula>-0.01</formula>
    </cfRule>
    <cfRule type="cellIs" priority="273" operator="greaterThan" dxfId="0" stopIfTrue="1">
      <formula>0.01</formula>
    </cfRule>
  </conditionalFormatting>
  <conditionalFormatting sqref="N173">
    <cfRule type="cellIs" priority="271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N174:N176">
    <cfRule type="cellIs" priority="269" operator="lessThan" dxfId="1" stopIfTrue="1">
      <formula>-0.01</formula>
    </cfRule>
    <cfRule type="cellIs" priority="269" operator="greaterThan" dxfId="0" stopIfTrue="1">
      <formula>0.01</formula>
    </cfRule>
  </conditionalFormatting>
  <conditionalFormatting sqref="P172">
    <cfRule type="cellIs" priority="267" operator="greaterThan" dxfId="1">
      <formula>0.03</formula>
    </cfRule>
    <cfRule type="cellIs" priority="267" operator="lessThan" dxfId="0" stopIfTrue="1">
      <formula>-0.03</formula>
    </cfRule>
  </conditionalFormatting>
  <conditionalFormatting sqref="P176">
    <cfRule type="cellIs" priority="265" operator="lessThan" dxfId="1">
      <formula>-0.03</formula>
    </cfRule>
    <cfRule type="cellIs" priority="265" operator="greaterThan" dxfId="0" stopIfTrue="1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priority="262" operator="greaterThan" dxfId="1">
      <formula>0.03</formula>
    </cfRule>
    <cfRule type="cellIs" priority="263" operator="lessThan" dxfId="0" stopIfTrue="1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priority="258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188">
    <cfRule type="cellIs" priority="246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N183">
    <cfRule type="cellIs" priority="244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N184">
    <cfRule type="cellIs" priority="242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N185:N187">
    <cfRule type="cellIs" priority="240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P183">
    <cfRule type="cellIs" priority="238" operator="greaterThan" dxfId="1">
      <formula>0.03</formula>
    </cfRule>
    <cfRule type="cellIs" priority="238" operator="lessThan" dxfId="0" stopIfTrue="1">
      <formula>-0.03</formula>
    </cfRule>
  </conditionalFormatting>
  <conditionalFormatting sqref="P187">
    <cfRule type="cellIs" priority="236" operator="lessThan" dxfId="1">
      <formula>-0.03</formula>
    </cfRule>
    <cfRule type="cellIs" priority="236" operator="greaterThan" dxfId="0" stopIfTrue="1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priority="233" operator="greaterThan" dxfId="1">
      <formula>0.03</formula>
    </cfRule>
    <cfRule type="cellIs" priority="234" operator="lessThan" dxfId="0" stopIfTrue="1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priority="229" operator="lessThan" dxfId="1" stopIfTrue="1">
      <formula>-0.01</formula>
    </cfRule>
    <cfRule type="cellIs" priority="229" operator="greaterThan" dxfId="0" stopIfTrue="1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priority="219" operator="greaterThan" dxfId="1">
      <formula>0.03</formula>
    </cfRule>
    <cfRule type="cellIs" priority="219" operator="lessThan" dxfId="0" stopIfTrue="1">
      <formula>-0.03</formula>
    </cfRule>
  </conditionalFormatting>
  <conditionalFormatting sqref="N199">
    <cfRule type="cellIs" priority="217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194">
    <cfRule type="cellIs" priority="215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195">
    <cfRule type="cellIs" priority="213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196:N198">
    <cfRule type="cellIs" priority="211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194">
    <cfRule type="cellIs" priority="209" operator="greaterThan" dxfId="1">
      <formula>0.03</formula>
    </cfRule>
    <cfRule type="cellIs" priority="209" operator="lessThan" dxfId="0" stopIfTrue="1">
      <formula>-0.03</formula>
    </cfRule>
  </conditionalFormatting>
  <conditionalFormatting sqref="P198">
    <cfRule type="cellIs" priority="207" operator="lessThan" dxfId="1">
      <formula>-0.03</formula>
    </cfRule>
    <cfRule type="cellIs" priority="207" operator="greaterThan" dxfId="0" stopIfTrue="1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priority="200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priority="190" operator="greaterThan" dxfId="1">
      <formula>0.03</formula>
    </cfRule>
    <cfRule type="cellIs" priority="190" operator="lessThan" dxfId="0" stopIfTrue="1">
      <formula>-0.03</formula>
    </cfRule>
  </conditionalFormatting>
  <conditionalFormatting sqref="N210">
    <cfRule type="cellIs" priority="188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205">
    <cfRule type="cellIs" priority="186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206">
    <cfRule type="cellIs" priority="184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N207:N209">
    <cfRule type="cellIs" priority="182" operator="lessThan" dxfId="1" stopIfTrue="1">
      <formula>-0.01</formula>
    </cfRule>
    <cfRule type="cellIs" priority="182" operator="greaterThan" dxfId="0" stopIfTrue="1">
      <formula>0.01</formula>
    </cfRule>
  </conditionalFormatting>
  <conditionalFormatting sqref="P205">
    <cfRule type="cellIs" priority="180" operator="greaterThan" dxfId="1">
      <formula>0.03</formula>
    </cfRule>
    <cfRule type="cellIs" priority="180" operator="lessThan" dxfId="0" stopIfTrue="1">
      <formula>-0.03</formula>
    </cfRule>
  </conditionalFormatting>
  <conditionalFormatting sqref="P209">
    <cfRule type="cellIs" priority="178" operator="lessThan" dxfId="1">
      <formula>-0.03</formula>
    </cfRule>
    <cfRule type="cellIs" priority="178" operator="greaterThan" dxfId="0" stopIfTrue="1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priority="171" operator="lessThan" dxfId="1" stopIfTrue="1">
      <formula>-0.01</formula>
    </cfRule>
    <cfRule type="cellIs" priority="171" operator="greaterThan" dxfId="0" stopIfTrue="1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priority="161" operator="greaterThan" dxfId="1">
      <formula>0.03</formula>
    </cfRule>
    <cfRule type="cellIs" priority="161" operator="lessThan" dxfId="0" stopIfTrue="1">
      <formula>-0.03</formula>
    </cfRule>
  </conditionalFormatting>
  <conditionalFormatting sqref="N221">
    <cfRule type="cellIs" priority="159" operator="lessThan" dxfId="1" stopIfTrue="1">
      <formula>-0.01</formula>
    </cfRule>
    <cfRule type="cellIs" priority="159" operator="greaterThan" dxfId="0" stopIfTrue="1">
      <formula>0.01</formula>
    </cfRule>
  </conditionalFormatting>
  <conditionalFormatting sqref="N216">
    <cfRule type="cellIs" priority="157" operator="lessThan" dxfId="1" stopIfTrue="1">
      <formula>-0.01</formula>
    </cfRule>
    <cfRule type="cellIs" priority="157" operator="greaterThan" dxfId="0" stopIfTrue="1">
      <formula>0.01</formula>
    </cfRule>
  </conditionalFormatting>
  <conditionalFormatting sqref="N217">
    <cfRule type="cellIs" priority="155" operator="lessThan" dxfId="1" stopIfTrue="1">
      <formula>-0.01</formula>
    </cfRule>
    <cfRule type="cellIs" priority="155" operator="greaterThan" dxfId="0" stopIfTrue="1">
      <formula>0.01</formula>
    </cfRule>
  </conditionalFormatting>
  <conditionalFormatting sqref="N218:N220">
    <cfRule type="cellIs" priority="153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P216">
    <cfRule type="cellIs" priority="151" operator="greaterThan" dxfId="1">
      <formula>0.03</formula>
    </cfRule>
    <cfRule type="cellIs" priority="151" operator="lessThan" dxfId="0" stopIfTrue="1">
      <formula>-0.03</formula>
    </cfRule>
  </conditionalFormatting>
  <conditionalFormatting sqref="P220">
    <cfRule type="cellIs" priority="149" operator="lessThan" dxfId="1">
      <formula>-0.03</formula>
    </cfRule>
    <cfRule type="cellIs" priority="149" operator="greaterThan" dxfId="0" stopIfTrue="1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priority="146" operator="greaterThan" dxfId="1">
      <formula>0.03</formula>
    </cfRule>
    <cfRule type="cellIs" priority="147" operator="lessThan" dxfId="0" stopIfTrue="1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priority="142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priority="132" operator="greaterThan" dxfId="1">
      <formula>0.03</formula>
    </cfRule>
    <cfRule type="cellIs" priority="132" operator="lessThan" dxfId="0" stopIfTrue="1">
      <formula>-0.03</formula>
    </cfRule>
  </conditionalFormatting>
  <conditionalFormatting sqref="N232">
    <cfRule type="cellIs" priority="130" operator="lessThan" dxfId="1" stopIfTrue="1">
      <formula>-0.01</formula>
    </cfRule>
    <cfRule type="cellIs" priority="130" operator="greaterThan" dxfId="0" stopIfTrue="1">
      <formula>0.01</formula>
    </cfRule>
  </conditionalFormatting>
  <conditionalFormatting sqref="N227">
    <cfRule type="cellIs" priority="128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228">
    <cfRule type="cellIs" priority="126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N229:N231">
    <cfRule type="cellIs" priority="124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P227">
    <cfRule type="cellIs" priority="122" operator="greaterThan" dxfId="1">
      <formula>0.03</formula>
    </cfRule>
    <cfRule type="cellIs" priority="122" operator="lessThan" dxfId="0" stopIfTrue="1">
      <formula>-0.03</formula>
    </cfRule>
  </conditionalFormatting>
  <conditionalFormatting sqref="P231">
    <cfRule type="cellIs" priority="120" operator="lessThan" dxfId="1">
      <formula>-0.03</formula>
    </cfRule>
    <cfRule type="cellIs" priority="120" operator="greaterThan" dxfId="0" stopIfTrue="1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priority="113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priority="103" operator="greaterThan" dxfId="1">
      <formula>0.03</formula>
    </cfRule>
    <cfRule type="cellIs" priority="103" operator="lessThan" dxfId="0" stopIfTrue="1">
      <formula>-0.03</formula>
    </cfRule>
  </conditionalFormatting>
  <conditionalFormatting sqref="N243">
    <cfRule type="cellIs" priority="101" operator="lessThan" dxfId="1" stopIfTrue="1">
      <formula>-0.01</formula>
    </cfRule>
    <cfRule type="cellIs" priority="101" operator="greaterThan" dxfId="0" stopIfTrue="1">
      <formula>0.01</formula>
    </cfRule>
  </conditionalFormatting>
  <conditionalFormatting sqref="N238">
    <cfRule type="cellIs" priority="99" operator="lessThan" dxfId="1" stopIfTrue="1">
      <formula>-0.01</formula>
    </cfRule>
    <cfRule type="cellIs" priority="99" operator="greaterThan" dxfId="0" stopIfTrue="1">
      <formula>0.01</formula>
    </cfRule>
  </conditionalFormatting>
  <conditionalFormatting sqref="N239">
    <cfRule type="cellIs" priority="97" operator="lessThan" dxfId="1" stopIfTrue="1">
      <formula>-0.01</formula>
    </cfRule>
    <cfRule type="cellIs" priority="97" operator="greaterThan" dxfId="0" stopIfTrue="1">
      <formula>0.01</formula>
    </cfRule>
  </conditionalFormatting>
  <conditionalFormatting sqref="N240:N242">
    <cfRule type="cellIs" priority="95" operator="lessThan" dxfId="1" stopIfTrue="1">
      <formula>-0.01</formula>
    </cfRule>
    <cfRule type="cellIs" priority="95" operator="greaterThan" dxfId="0" stopIfTrue="1">
      <formula>0.01</formula>
    </cfRule>
  </conditionalFormatting>
  <conditionalFormatting sqref="P238">
    <cfRule type="cellIs" priority="93" operator="greaterThan" dxfId="1">
      <formula>0.03</formula>
    </cfRule>
    <cfRule type="cellIs" priority="93" operator="lessThan" dxfId="0" stopIfTrue="1">
      <formula>-0.03</formula>
    </cfRule>
  </conditionalFormatting>
  <conditionalFormatting sqref="P242">
    <cfRule type="cellIs" priority="91" operator="lessThan" dxfId="1">
      <formula>-0.03</formula>
    </cfRule>
    <cfRule type="cellIs" priority="91" operator="greaterThan" dxfId="0" stopIfTrue="1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priority="84" operator="lessThan" dxfId="1" stopIfTrue="1">
      <formula>-0.01</formula>
    </cfRule>
    <cfRule type="cellIs" priority="84" operator="greaterThan" dxfId="0" stopIfTrue="1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priority="74" operator="greaterThan" dxfId="1">
      <formula>0.03</formula>
    </cfRule>
    <cfRule type="cellIs" priority="74" operator="lessThan" dxfId="0" stopIfTrue="1">
      <formula>-0.03</formula>
    </cfRule>
  </conditionalFormatting>
  <conditionalFormatting sqref="N254">
    <cfRule type="cellIs" priority="72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N249">
    <cfRule type="cellIs" priority="70" operator="lessThan" dxfId="1" stopIfTrue="1">
      <formula>-0.01</formula>
    </cfRule>
    <cfRule type="cellIs" priority="70" operator="greaterThan" dxfId="0" stopIfTrue="1">
      <formula>0.01</formula>
    </cfRule>
  </conditionalFormatting>
  <conditionalFormatting sqref="N250">
    <cfRule type="cellIs" priority="68" operator="lessThan" dxfId="1" stopIfTrue="1">
      <formula>-0.01</formula>
    </cfRule>
    <cfRule type="cellIs" priority="68" operator="greaterThan" dxfId="0" stopIfTrue="1">
      <formula>0.01</formula>
    </cfRule>
  </conditionalFormatting>
  <conditionalFormatting sqref="N251:N253">
    <cfRule type="cellIs" priority="66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P249">
    <cfRule type="cellIs" priority="64" operator="greaterThan" dxfId="1">
      <formula>0.03</formula>
    </cfRule>
    <cfRule type="cellIs" priority="64" operator="lessThan" dxfId="0" stopIfTrue="1">
      <formula>-0.03</formula>
    </cfRule>
  </conditionalFormatting>
  <conditionalFormatting sqref="P253">
    <cfRule type="cellIs" priority="62" operator="lessThan" dxfId="1">
      <formula>-0.03</formula>
    </cfRule>
    <cfRule type="cellIs" priority="62" operator="greaterThan" dxfId="0" stopIfTrue="1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priority="55" operator="lessThan" dxfId="1" stopIfTrue="1">
      <formula>-0.01</formula>
    </cfRule>
    <cfRule type="cellIs" priority="55" operator="greaterThan" dxfId="0" stopIfTrue="1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priority="45" operator="greaterThan" dxfId="1">
      <formula>0.03</formula>
    </cfRule>
    <cfRule type="cellIs" priority="45" operator="lessThan" dxfId="0" stopIfTrue="1">
      <formula>-0.03</formula>
    </cfRule>
  </conditionalFormatting>
  <conditionalFormatting sqref="N265">
    <cfRule type="cellIs" priority="43" operator="lessThan" dxfId="1" stopIfTrue="1">
      <formula>-0.01</formula>
    </cfRule>
    <cfRule type="cellIs" priority="43" operator="greaterThan" dxfId="0" stopIfTrue="1">
      <formula>0.01</formula>
    </cfRule>
  </conditionalFormatting>
  <conditionalFormatting sqref="N260">
    <cfRule type="cellIs" priority="41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N261">
    <cfRule type="cellIs" priority="39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N262:N264">
    <cfRule type="cellIs" priority="37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P260">
    <cfRule type="cellIs" priority="35" operator="greaterThan" dxfId="1">
      <formula>0.03</formula>
    </cfRule>
    <cfRule type="cellIs" priority="35" operator="lessThan" dxfId="0" stopIfTrue="1">
      <formula>-0.03</formula>
    </cfRule>
  </conditionalFormatting>
  <conditionalFormatting sqref="P264">
    <cfRule type="cellIs" priority="33" operator="lessThan" dxfId="1">
      <formula>-0.03</formula>
    </cfRule>
    <cfRule type="cellIs" priority="33" operator="greaterThan" dxfId="0" stopIfTrue="1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priority="30" operator="greaterThan" dxfId="1">
      <formula>0.03</formula>
    </cfRule>
    <cfRule type="cellIs" priority="31" operator="lessThan" dxfId="0" stopIfTrue="1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priority="26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priority="16" operator="greaterThan" dxfId="1">
      <formula>0.03</formula>
    </cfRule>
    <cfRule type="cellIs" priority="16" operator="lessThan" dxfId="0" stopIfTrue="1">
      <formula>-0.03</formula>
    </cfRule>
  </conditionalFormatting>
  <conditionalFormatting sqref="N276">
    <cfRule type="cellIs" priority="14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271">
    <cfRule type="cellIs" priority="12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272">
    <cfRule type="cellIs" priority="10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273:N275">
    <cfRule type="cellIs" priority="8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P271">
    <cfRule type="cellIs" priority="6" operator="greaterThan" dxfId="1">
      <formula>0.03</formula>
    </cfRule>
    <cfRule type="cellIs" priority="6" operator="lessThan" dxfId="0" stopIfTrue="1">
      <formula>-0.03</formula>
    </cfRule>
  </conditionalFormatting>
  <conditionalFormatting sqref="P275">
    <cfRule type="cellIs" priority="4" operator="lessThan" dxfId="1">
      <formula>-0.03</formula>
    </cfRule>
    <cfRule type="cellIs" priority="4" operator="greaterThan" dxfId="0" stopIfTrue="1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21">
    <outlinePr summaryBelow="1" summaryRight="1"/>
    <pageSetUpPr/>
  </sheetPr>
  <dimension ref="A1:AF233"/>
  <sheetViews>
    <sheetView workbookViewId="0">
      <selection activeCell="BE10" sqref="BE10"/>
    </sheetView>
  </sheetViews>
  <sheetFormatPr baseColWidth="8" defaultColWidth="9" defaultRowHeight="15.6" outlineLevelCol="0"/>
  <cols>
    <col width="1.59765625" bestFit="1" customWidth="1" style="270" min="1" max="1"/>
    <col width="6.59765625" customWidth="1" style="270" min="2" max="2"/>
    <col width="9.3984375" customWidth="1" style="270" min="3" max="3"/>
    <col width="14.3984375" customWidth="1" style="270" min="4" max="4"/>
    <col width="4.59765625" customWidth="1" style="270" min="5" max="5"/>
    <col width="6.59765625" customWidth="1" style="270" min="6" max="6"/>
    <col width="9.3984375" customWidth="1" style="270" min="7" max="7"/>
    <col width="14.3984375" customWidth="1" style="270" min="8" max="8"/>
    <col width="4.59765625" customWidth="1" style="270" min="9" max="9"/>
    <col width="9.59765625" customWidth="1" style="270" min="10" max="10"/>
    <col width="4.59765625" customWidth="1" style="270" min="11" max="11"/>
    <col width="14.3984375" bestFit="1" customWidth="1" style="270" min="12" max="12"/>
    <col width="16.09765625" bestFit="1" customWidth="1" style="270" min="13" max="13"/>
    <col width="7.59765625" bestFit="1" customWidth="1" style="270" min="14" max="14"/>
    <col width="4.59765625" customWidth="1" style="270" min="15" max="15"/>
    <col width="9.59765625" bestFit="1" customWidth="1" style="270" min="16" max="16"/>
    <col width="4.59765625" customWidth="1" style="270" min="17" max="17"/>
    <col width="84.59765625" customWidth="1" style="270" min="18" max="18"/>
    <col width="6.5" bestFit="1" customWidth="1" style="270" min="19" max="19"/>
    <col width="9.59765625" bestFit="1" customWidth="1" style="270" min="20" max="20"/>
    <col width="1.59765625" bestFit="1" customWidth="1" style="270" min="21" max="21"/>
    <col width="7.59765625" bestFit="1" customWidth="1" style="270" min="22" max="22"/>
    <col width="1.59765625" bestFit="1" customWidth="1" style="270" min="23" max="23"/>
    <col width="14.3984375" bestFit="1" customWidth="1" style="270" min="24" max="24"/>
    <col width="16.09765625" bestFit="1" customWidth="1" style="270" min="25" max="25"/>
    <col width="5.09765625" bestFit="1" customWidth="1" style="270" min="26" max="26"/>
    <col width="1.59765625" bestFit="1" customWidth="1" style="270" min="27" max="27"/>
    <col width="8.09765625" bestFit="1" customWidth="1" style="268" min="28" max="28"/>
    <col width="9" customWidth="1" style="270" min="29" max="29"/>
    <col width="1.3984375" bestFit="1" customWidth="1" style="270" min="30" max="30"/>
    <col width="80.59765625" customWidth="1" style="270" min="31" max="31"/>
    <col width="1.3984375" bestFit="1" customWidth="1" style="270" min="32" max="32"/>
    <col width="9" customWidth="1" style="270" min="33" max="38"/>
  </cols>
  <sheetData>
    <row r="1">
      <c r="AD1" s="10" t="inlineStr">
        <is>
          <t> </t>
        </is>
      </c>
      <c r="AF1" s="10" t="inlineStr">
        <is>
          <t> </t>
        </is>
      </c>
    </row>
    <row r="2">
      <c r="B2" s="271">
        <f>'Summary (auto)'!C3</f>
        <v/>
      </c>
      <c r="E2" s="266" t="n"/>
      <c r="F2" s="271">
        <f>'Summary (auto)'!C4</f>
        <v/>
      </c>
      <c r="I2" s="268" t="n"/>
      <c r="J2" s="261" t="inlineStr">
        <is>
          <t>Rate</t>
        </is>
      </c>
      <c r="K2" s="268" t="n"/>
      <c r="L2" s="261" t="inlineStr">
        <is>
          <t>Distortion</t>
        </is>
      </c>
      <c r="O2" s="268" t="n"/>
      <c r="P2" s="261" t="inlineStr">
        <is>
          <t>BD-rate</t>
        </is>
      </c>
      <c r="U2" s="261" t="n"/>
      <c r="V2" s="261" t="n"/>
    </row>
    <row r="3" ht="16.5" customHeight="1" s="270" thickBot="1">
      <c r="A3" s="189" t="inlineStr">
        <is>
          <t>  </t>
        </is>
      </c>
      <c r="B3" s="266" t="n"/>
      <c r="C3" s="266" t="n"/>
      <c r="D3" s="266" t="n"/>
      <c r="E3" s="266" t="n"/>
      <c r="F3" s="266" t="n"/>
      <c r="G3" s="266" t="n"/>
      <c r="H3" s="266" t="n"/>
      <c r="I3" s="268" t="n"/>
      <c r="J3" s="268" t="n"/>
      <c r="K3" s="190" t="inlineStr">
        <is>
          <t>  </t>
        </is>
      </c>
      <c r="L3" s="105" t="inlineStr">
        <is>
          <t>G</t>
        </is>
      </c>
      <c r="M3" s="105" t="inlineStr">
        <is>
          <t>AE</t>
        </is>
      </c>
      <c r="N3" s="268" t="n"/>
      <c r="O3" s="190" t="inlineStr">
        <is>
          <t>  </t>
        </is>
      </c>
      <c r="P3" s="268" t="n"/>
      <c r="U3" s="189" t="inlineStr">
        <is>
          <t>  </t>
        </is>
      </c>
      <c r="W3" s="189" t="inlineStr">
        <is>
          <t>  </t>
        </is>
      </c>
    </row>
    <row r="4">
      <c r="B4" s="312" t="inlineStr">
        <is>
          <t>bartender_track</t>
        </is>
      </c>
      <c r="C4" s="313" t="n"/>
      <c r="D4" s="314" t="n"/>
      <c r="E4" s="2" t="n"/>
      <c r="F4" s="312">
        <f>B4</f>
        <v/>
      </c>
      <c r="G4" s="313" t="n"/>
      <c r="H4" s="314" t="n"/>
      <c r="I4" s="2" t="n"/>
      <c r="J4" s="265" t="n"/>
      <c r="L4" s="265">
        <f>F4</f>
        <v/>
      </c>
      <c r="M4" s="313" t="n"/>
      <c r="N4" s="314" t="n"/>
      <c r="O4" s="195" t="n"/>
      <c r="P4" s="265" t="n"/>
      <c r="Q4" s="195" t="n"/>
      <c r="R4" s="195" t="n"/>
      <c r="S4" s="195" t="n"/>
      <c r="T4" s="195" t="n"/>
      <c r="U4" s="268" t="n"/>
      <c r="V4" s="268" t="n"/>
      <c r="X4" s="268" t="n"/>
    </row>
    <row r="5">
      <c r="B5" s="263" t="inlineStr">
        <is>
          <t>Test</t>
        </is>
      </c>
      <c r="D5" s="87" t="inlineStr">
        <is>
          <t>Bitrate [Mbps]</t>
        </is>
      </c>
      <c r="E5" s="315" t="n"/>
      <c r="F5" s="263" t="inlineStr">
        <is>
          <t>Test</t>
        </is>
      </c>
      <c r="H5" s="87" t="inlineStr">
        <is>
          <t>Bitrate [Mbps]</t>
        </is>
      </c>
      <c r="I5" s="9" t="n"/>
      <c r="J5" s="267" t="inlineStr">
        <is>
          <t>%</t>
        </is>
      </c>
      <c r="L5" s="267" t="inlineStr">
        <is>
          <t>YUV-PSNR</t>
        </is>
      </c>
      <c r="N5" s="316" t="n"/>
      <c r="O5" s="85" t="n"/>
      <c r="P5" s="3" t="n"/>
      <c r="Q5" s="85" t="n"/>
      <c r="R5" s="261" t="n"/>
      <c r="U5" s="261" t="n"/>
      <c r="V5" s="261" t="n"/>
      <c r="X5" s="261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315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317">
        <f>0.001*INDIRECT($B7&amp;"!E5")</f>
        <v/>
      </c>
      <c r="E7" s="315" t="n"/>
      <c r="F7" s="122">
        <f>F4</f>
        <v/>
      </c>
      <c r="G7" s="130" t="inlineStr">
        <is>
          <t>r01</t>
        </is>
      </c>
      <c r="H7" s="317">
        <f>0.001*INDIRECT($B7&amp;"!AC5")</f>
        <v/>
      </c>
      <c r="I7" s="9" t="n"/>
      <c r="J7" s="318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315" t="n"/>
      <c r="P7" s="318">
        <f>bdRateExtend(D7:D11,L7:L11,H7:H11,M7:M11)</f>
        <v/>
      </c>
      <c r="Q7" s="315" t="n"/>
      <c r="R7" s="9" t="n"/>
      <c r="S7" s="9" t="n"/>
      <c r="T7" s="9" t="n"/>
      <c r="U7" s="9" t="n"/>
      <c r="V7" s="319" t="n"/>
      <c r="X7" s="6" t="n"/>
      <c r="Y7" s="6" t="n"/>
      <c r="Z7" s="81" t="n"/>
      <c r="AB7" s="320" t="n"/>
    </row>
    <row r="8">
      <c r="B8" s="122">
        <f>B7</f>
        <v/>
      </c>
      <c r="C8" s="130" t="inlineStr">
        <is>
          <t>r02</t>
        </is>
      </c>
      <c r="D8" s="317">
        <f>0.001*INDIRECT($B8&amp;"!E6")</f>
        <v/>
      </c>
      <c r="E8" s="315" t="n"/>
      <c r="F8" s="122">
        <f>F7</f>
        <v/>
      </c>
      <c r="G8" s="130" t="inlineStr">
        <is>
          <t>r02</t>
        </is>
      </c>
      <c r="H8" s="317">
        <f>0.001*INDIRECT($B8&amp;"!AC6")</f>
        <v/>
      </c>
      <c r="I8" s="9" t="n"/>
      <c r="J8" s="318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315" t="n"/>
      <c r="P8" s="3" t="n"/>
      <c r="Q8" s="315" t="n"/>
      <c r="R8" s="9" t="n"/>
      <c r="S8" s="9" t="n"/>
      <c r="T8" s="9" t="n"/>
      <c r="U8" s="9" t="n"/>
      <c r="V8" s="319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317">
        <f>0.001*INDIRECT($B9&amp;"!E7")</f>
        <v/>
      </c>
      <c r="E9" s="315" t="n"/>
      <c r="F9" s="122">
        <f>F8</f>
        <v/>
      </c>
      <c r="G9" s="130" t="inlineStr">
        <is>
          <t>r03</t>
        </is>
      </c>
      <c r="H9" s="317">
        <f>0.001*INDIRECT($B9&amp;"!AC7")</f>
        <v/>
      </c>
      <c r="I9" s="9" t="n"/>
      <c r="J9" s="318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315" t="n"/>
      <c r="P9" s="3" t="n"/>
      <c r="Q9" s="315" t="n"/>
      <c r="R9" s="9" t="n"/>
      <c r="S9" s="9" t="n"/>
      <c r="T9" s="9" t="n"/>
      <c r="U9" s="9" t="n"/>
      <c r="V9" s="319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317">
        <f>0.001*INDIRECT($B10&amp;"!E8")</f>
        <v/>
      </c>
      <c r="E10" s="315" t="n"/>
      <c r="F10" s="122">
        <f>F9</f>
        <v/>
      </c>
      <c r="G10" s="130" t="inlineStr">
        <is>
          <t>r04</t>
        </is>
      </c>
      <c r="H10" s="317">
        <f>0.001*INDIRECT($B10&amp;"!AC8")</f>
        <v/>
      </c>
      <c r="I10" s="9" t="n"/>
      <c r="J10" s="318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315" t="n"/>
      <c r="P10" s="325" t="n"/>
      <c r="Q10" s="315" t="n"/>
      <c r="R10" s="9" t="n"/>
      <c r="S10" s="9" t="n"/>
      <c r="T10" s="9" t="n"/>
      <c r="U10" s="9" t="n"/>
      <c r="V10" s="319" t="n"/>
      <c r="X10" s="6" t="n"/>
      <c r="Y10" s="6" t="n"/>
      <c r="Z10" s="81" t="n"/>
    </row>
    <row r="11" ht="16.5" customHeight="1" s="270" thickBot="1">
      <c r="B11" s="122">
        <f>B10</f>
        <v/>
      </c>
      <c r="C11" s="130" t="inlineStr">
        <is>
          <t>r05</t>
        </is>
      </c>
      <c r="D11" s="317">
        <f>0.001*INDIRECT($B11&amp;"!E9")</f>
        <v/>
      </c>
      <c r="E11" s="315" t="n"/>
      <c r="F11" s="122">
        <f>F10</f>
        <v/>
      </c>
      <c r="G11" s="130" t="inlineStr">
        <is>
          <t>r05</t>
        </is>
      </c>
      <c r="H11" s="317">
        <f>0.001*INDIRECT($B11&amp;"!AC9")</f>
        <v/>
      </c>
      <c r="I11" s="9" t="n"/>
      <c r="J11" s="318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315" t="n"/>
      <c r="P11" s="321" t="n"/>
      <c r="Q11" s="315" t="n"/>
      <c r="R11" s="9" t="n"/>
      <c r="S11" s="9" t="n"/>
      <c r="T11" s="9" t="n"/>
      <c r="U11" s="9" t="n"/>
      <c r="V11" s="319" t="n"/>
      <c r="X11" s="6" t="n"/>
      <c r="Y11" s="6" t="n"/>
      <c r="Z11" s="81" t="n"/>
      <c r="AB11" s="320" t="n"/>
    </row>
    <row r="12" ht="16.5" customHeight="1" s="270">
      <c r="B12" s="109" t="n"/>
      <c r="C12" s="110" t="n"/>
      <c r="D12" s="322" t="n"/>
      <c r="F12" s="109" t="n"/>
      <c r="G12" s="110" t="n"/>
      <c r="H12" s="322" t="n"/>
      <c r="J12" s="98">
        <f>MIN(D7:D11,H7:H11)</f>
        <v/>
      </c>
      <c r="L12" s="99" t="n"/>
      <c r="M12" s="100" t="n"/>
      <c r="N12" s="101" t="n"/>
      <c r="O12" s="315" t="n"/>
      <c r="P12" s="265" t="n"/>
      <c r="Q12" s="315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70" thickBot="1">
      <c r="B13" s="89" t="n"/>
      <c r="C13" s="92" t="n"/>
      <c r="D13" s="323" t="n"/>
      <c r="E13" s="315" t="n"/>
      <c r="F13" s="89" t="n"/>
      <c r="G13" s="92" t="n"/>
      <c r="H13" s="323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315" t="n"/>
      <c r="P13" s="5" t="n"/>
      <c r="Q13" s="315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70" thickBot="1">
      <c r="B14" s="266" t="n"/>
      <c r="C14" s="266" t="n"/>
      <c r="D14" s="324" t="n"/>
      <c r="E14" s="315" t="n"/>
      <c r="F14" s="266" t="n"/>
      <c r="G14" s="266" t="n"/>
      <c r="H14" s="324" t="n"/>
    </row>
    <row r="15">
      <c r="B15" s="312" t="inlineStr">
        <is>
          <t>breakfast_track</t>
        </is>
      </c>
      <c r="C15" s="313" t="n"/>
      <c r="D15" s="314" t="n"/>
      <c r="E15" s="2" t="n"/>
      <c r="F15" s="312">
        <f>B15</f>
        <v/>
      </c>
      <c r="G15" s="313" t="n"/>
      <c r="H15" s="314" t="n"/>
      <c r="I15" s="2" t="n"/>
      <c r="J15" s="265" t="n"/>
      <c r="L15" s="265">
        <f>F15</f>
        <v/>
      </c>
      <c r="M15" s="313" t="n"/>
      <c r="N15" s="314" t="n"/>
      <c r="O15" s="195" t="n"/>
      <c r="P15" s="265" t="n"/>
      <c r="Q15" s="195" t="n"/>
      <c r="R15" s="195" t="n"/>
      <c r="S15" s="195" t="n"/>
      <c r="T15" s="195" t="n"/>
      <c r="U15" s="268" t="n"/>
      <c r="V15" s="268" t="n"/>
      <c r="X15" s="268" t="n"/>
    </row>
    <row r="16">
      <c r="B16" s="263" t="inlineStr">
        <is>
          <t>Test</t>
        </is>
      </c>
      <c r="D16" s="87" t="inlineStr">
        <is>
          <t>Bitrate [Mbps]</t>
        </is>
      </c>
      <c r="E16" s="315" t="n"/>
      <c r="F16" s="263" t="inlineStr">
        <is>
          <t>Test</t>
        </is>
      </c>
      <c r="H16" s="87" t="inlineStr">
        <is>
          <t>Bitrate [Mbps]</t>
        </is>
      </c>
      <c r="I16" s="9" t="n"/>
      <c r="J16" s="267" t="inlineStr">
        <is>
          <t>%</t>
        </is>
      </c>
      <c r="L16" s="267" t="inlineStr">
        <is>
          <t>YUV-PSNR</t>
        </is>
      </c>
      <c r="N16" s="316" t="n"/>
      <c r="O16" s="85" t="n"/>
      <c r="P16" s="3" t="n"/>
      <c r="Q16" s="85" t="n"/>
      <c r="R16" s="261" t="n"/>
      <c r="U16" s="261" t="n"/>
      <c r="V16" s="261" t="n"/>
      <c r="X16" s="261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315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317">
        <f>0.001*INDIRECT($B18&amp;"!E5")</f>
        <v/>
      </c>
      <c r="E18" s="315" t="n"/>
      <c r="F18" s="122">
        <f>F15</f>
        <v/>
      </c>
      <c r="G18" s="130" t="inlineStr">
        <is>
          <t>r01</t>
        </is>
      </c>
      <c r="H18" s="317">
        <f>0.001*INDIRECT($B18&amp;"!AC5")</f>
        <v/>
      </c>
      <c r="I18" s="9" t="n"/>
      <c r="J18" s="318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315" t="n"/>
      <c r="P18" s="318">
        <f>bdRateExtend(D18:D22,L18:L22,H18:H22,M18:M22)</f>
        <v/>
      </c>
      <c r="Q18" s="315" t="n"/>
      <c r="R18" s="9" t="n"/>
      <c r="S18" s="9" t="n"/>
      <c r="T18" s="9" t="n"/>
      <c r="U18" s="9" t="n"/>
      <c r="V18" s="319" t="n"/>
      <c r="X18" s="6" t="n"/>
      <c r="Y18" s="6" t="n"/>
      <c r="Z18" s="81" t="n"/>
      <c r="AB18" s="320" t="n"/>
    </row>
    <row r="19">
      <c r="B19" s="122">
        <f>B18</f>
        <v/>
      </c>
      <c r="C19" s="130" t="inlineStr">
        <is>
          <t>r02</t>
        </is>
      </c>
      <c r="D19" s="317">
        <f>0.001*INDIRECT($B19&amp;"!E6")</f>
        <v/>
      </c>
      <c r="E19" s="315" t="n"/>
      <c r="F19" s="122">
        <f>F18</f>
        <v/>
      </c>
      <c r="G19" s="130" t="inlineStr">
        <is>
          <t>r02</t>
        </is>
      </c>
      <c r="H19" s="317">
        <f>0.001*INDIRECT($B19&amp;"!AC6")</f>
        <v/>
      </c>
      <c r="I19" s="9" t="n"/>
      <c r="J19" s="318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315" t="n"/>
      <c r="P19" s="3" t="n"/>
      <c r="Q19" s="315" t="n"/>
      <c r="R19" s="9" t="n"/>
      <c r="S19" s="9" t="n"/>
      <c r="T19" s="9" t="n"/>
      <c r="U19" s="9" t="n"/>
      <c r="V19" s="319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317">
        <f>0.001*INDIRECT($B20&amp;"!E7")</f>
        <v/>
      </c>
      <c r="E20" s="315" t="n"/>
      <c r="F20" s="122">
        <f>F19</f>
        <v/>
      </c>
      <c r="G20" s="130" t="inlineStr">
        <is>
          <t>r03</t>
        </is>
      </c>
      <c r="H20" s="317">
        <f>0.001*INDIRECT($B20&amp;"!AC7")</f>
        <v/>
      </c>
      <c r="I20" s="9" t="n"/>
      <c r="J20" s="318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315" t="n"/>
      <c r="P20" s="3" t="n"/>
      <c r="Q20" s="315" t="n"/>
      <c r="R20" s="9" t="n"/>
      <c r="S20" s="9" t="n"/>
      <c r="T20" s="9" t="n"/>
      <c r="U20" s="9" t="n"/>
      <c r="V20" s="319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317">
        <f>0.001*INDIRECT($B21&amp;"!E8")</f>
        <v/>
      </c>
      <c r="E21" s="315" t="n"/>
      <c r="F21" s="122">
        <f>F20</f>
        <v/>
      </c>
      <c r="G21" s="130" t="inlineStr">
        <is>
          <t>r04</t>
        </is>
      </c>
      <c r="H21" s="317">
        <f>0.001*INDIRECT($B21&amp;"!AC8")</f>
        <v/>
      </c>
      <c r="I21" s="9" t="n"/>
      <c r="J21" s="318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315" t="n"/>
      <c r="P21" s="325" t="n"/>
      <c r="Q21" s="315" t="n"/>
      <c r="R21" s="9" t="n"/>
      <c r="S21" s="9" t="n"/>
      <c r="T21" s="9" t="n"/>
      <c r="U21" s="9" t="n"/>
      <c r="V21" s="319" t="n"/>
      <c r="X21" s="6" t="n"/>
      <c r="Y21" s="6" t="n"/>
      <c r="Z21" s="81" t="n"/>
    </row>
    <row r="22" ht="16.5" customHeight="1" s="270" thickBot="1">
      <c r="B22" s="122">
        <f>B21</f>
        <v/>
      </c>
      <c r="C22" s="130" t="inlineStr">
        <is>
          <t>r05</t>
        </is>
      </c>
      <c r="D22" s="317">
        <f>0.001*INDIRECT($B22&amp;"!E9")</f>
        <v/>
      </c>
      <c r="E22" s="315" t="n"/>
      <c r="F22" s="122">
        <f>F21</f>
        <v/>
      </c>
      <c r="G22" s="130" t="inlineStr">
        <is>
          <t>r05</t>
        </is>
      </c>
      <c r="H22" s="317">
        <f>0.001*INDIRECT($B22&amp;"!AC9")</f>
        <v/>
      </c>
      <c r="I22" s="9" t="n"/>
      <c r="J22" s="318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315" t="n"/>
      <c r="P22" s="321" t="n"/>
      <c r="Q22" s="315" t="n"/>
      <c r="R22" s="9" t="n"/>
      <c r="S22" s="9" t="n"/>
      <c r="T22" s="9" t="n"/>
      <c r="U22" s="9" t="n"/>
      <c r="V22" s="319" t="n"/>
      <c r="X22" s="6" t="n"/>
      <c r="Y22" s="6" t="n"/>
      <c r="Z22" s="81" t="n"/>
      <c r="AB22" s="320" t="n"/>
    </row>
    <row r="23" ht="16.5" customHeight="1" s="270">
      <c r="B23" s="109" t="n"/>
      <c r="C23" s="110" t="n"/>
      <c r="D23" s="322" t="n"/>
      <c r="F23" s="109" t="n"/>
      <c r="G23" s="110" t="n"/>
      <c r="H23" s="322" t="n"/>
      <c r="J23" s="98">
        <f>MIN(D18:D22,H18:H22)</f>
        <v/>
      </c>
      <c r="L23" s="99" t="n"/>
      <c r="M23" s="100" t="n"/>
      <c r="N23" s="101" t="n"/>
      <c r="O23" s="315" t="n"/>
      <c r="P23" s="265" t="n"/>
      <c r="Q23" s="315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70" thickBot="1">
      <c r="B24" s="89" t="n"/>
      <c r="C24" s="92" t="n"/>
      <c r="D24" s="323" t="n"/>
      <c r="E24" s="315" t="n"/>
      <c r="F24" s="89" t="n"/>
      <c r="G24" s="92" t="n"/>
      <c r="H24" s="323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315" t="n"/>
      <c r="P24" s="5" t="n"/>
      <c r="Q24" s="315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70" thickBot="1"/>
    <row r="26">
      <c r="B26" s="312" t="inlineStr">
        <is>
          <t>cinema_track</t>
        </is>
      </c>
      <c r="C26" s="313" t="n"/>
      <c r="D26" s="314" t="n"/>
      <c r="E26" s="2" t="n"/>
      <c r="F26" s="312">
        <f>B26</f>
        <v/>
      </c>
      <c r="G26" s="313" t="n"/>
      <c r="H26" s="314" t="n"/>
      <c r="I26" s="2" t="n"/>
      <c r="J26" s="265" t="n"/>
      <c r="L26" s="265">
        <f>F26</f>
        <v/>
      </c>
      <c r="M26" s="313" t="n"/>
      <c r="N26" s="314" t="n"/>
      <c r="O26" s="195" t="n"/>
      <c r="P26" s="265" t="n"/>
      <c r="U26" s="268" t="n"/>
      <c r="V26" s="268" t="n"/>
      <c r="X26" s="268" t="n"/>
    </row>
    <row r="27">
      <c r="B27" s="263" t="inlineStr">
        <is>
          <t>Test</t>
        </is>
      </c>
      <c r="D27" s="87" t="inlineStr">
        <is>
          <t>Bitrate [Mbps]</t>
        </is>
      </c>
      <c r="E27" s="315" t="n"/>
      <c r="F27" s="263" t="inlineStr">
        <is>
          <t>Test</t>
        </is>
      </c>
      <c r="H27" s="87" t="inlineStr">
        <is>
          <t>Bitrate [Mbps]</t>
        </is>
      </c>
      <c r="I27" s="9" t="n"/>
      <c r="J27" s="267" t="inlineStr">
        <is>
          <t>%</t>
        </is>
      </c>
      <c r="L27" s="267" t="inlineStr">
        <is>
          <t>YUV-PSNR</t>
        </is>
      </c>
      <c r="N27" s="316" t="n"/>
      <c r="O27" s="85" t="n"/>
      <c r="P27" s="3" t="n"/>
      <c r="R27" s="261" t="n"/>
      <c r="U27" s="261" t="n"/>
      <c r="V27" s="261" t="n"/>
      <c r="X27" s="261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315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317">
        <f>0.001*INDIRECT($B29&amp;"!E5")</f>
        <v/>
      </c>
      <c r="E29" s="315" t="n"/>
      <c r="F29" s="122">
        <f>F26</f>
        <v/>
      </c>
      <c r="G29" s="130" t="inlineStr">
        <is>
          <t>r01</t>
        </is>
      </c>
      <c r="H29" s="317">
        <f>0.001*INDIRECT($B29&amp;"!AC5")</f>
        <v/>
      </c>
      <c r="I29" s="9" t="n"/>
      <c r="J29" s="318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315" t="n"/>
      <c r="P29" s="318">
        <f>bdRateExtend(D29:D33,L29:L33,H29:H33,M29:M33)</f>
        <v/>
      </c>
      <c r="Q29" s="315" t="n"/>
      <c r="R29" s="9" t="n"/>
      <c r="S29" s="9" t="n"/>
      <c r="T29" s="9" t="n"/>
      <c r="U29" s="9" t="n"/>
      <c r="V29" s="319" t="n"/>
      <c r="X29" s="6" t="n"/>
      <c r="Y29" s="6" t="n"/>
      <c r="Z29" s="81" t="n"/>
      <c r="AB29" s="320" t="n"/>
    </row>
    <row r="30">
      <c r="B30" s="122">
        <f>B29</f>
        <v/>
      </c>
      <c r="C30" s="130" t="inlineStr">
        <is>
          <t>r02</t>
        </is>
      </c>
      <c r="D30" s="317">
        <f>0.001*INDIRECT($B30&amp;"!E6")</f>
        <v/>
      </c>
      <c r="E30" s="315" t="n"/>
      <c r="F30" s="122">
        <f>F29</f>
        <v/>
      </c>
      <c r="G30" s="130" t="inlineStr">
        <is>
          <t>r02</t>
        </is>
      </c>
      <c r="H30" s="317">
        <f>0.001*INDIRECT($B30&amp;"!AC6")</f>
        <v/>
      </c>
      <c r="I30" s="9" t="n"/>
      <c r="J30" s="318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315" t="n"/>
      <c r="P30" s="3" t="n"/>
      <c r="Q30" s="315" t="n"/>
      <c r="R30" s="9" t="n"/>
      <c r="S30" s="9" t="n"/>
      <c r="T30" s="9" t="n"/>
      <c r="U30" s="9" t="n"/>
      <c r="V30" s="319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317">
        <f>0.001*INDIRECT($B31&amp;"!E7")</f>
        <v/>
      </c>
      <c r="E31" s="315" t="n"/>
      <c r="F31" s="122">
        <f>F30</f>
        <v/>
      </c>
      <c r="G31" s="130" t="inlineStr">
        <is>
          <t>r03</t>
        </is>
      </c>
      <c r="H31" s="317">
        <f>0.001*INDIRECT($B31&amp;"!AC7")</f>
        <v/>
      </c>
      <c r="I31" s="9" t="n"/>
      <c r="J31" s="318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315" t="n"/>
      <c r="P31" s="3" t="n"/>
      <c r="Q31" s="315" t="n"/>
      <c r="R31" s="9" t="n"/>
      <c r="S31" s="9" t="n"/>
      <c r="T31" s="9" t="n"/>
      <c r="U31" s="9" t="n"/>
      <c r="V31" s="319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317">
        <f>0.001*INDIRECT($B32&amp;"!E8")</f>
        <v/>
      </c>
      <c r="E32" s="315" t="n"/>
      <c r="F32" s="122">
        <f>F31</f>
        <v/>
      </c>
      <c r="G32" s="130" t="inlineStr">
        <is>
          <t>r04</t>
        </is>
      </c>
      <c r="H32" s="317">
        <f>0.001*INDIRECT($B32&amp;"!AC8")</f>
        <v/>
      </c>
      <c r="I32" s="9" t="n"/>
      <c r="J32" s="318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315" t="n"/>
      <c r="P32" s="325" t="n"/>
      <c r="Q32" s="315" t="n"/>
      <c r="R32" s="9" t="n"/>
      <c r="S32" s="9" t="n"/>
      <c r="T32" s="9" t="n"/>
      <c r="U32" s="9" t="n"/>
      <c r="V32" s="319" t="n"/>
      <c r="X32" s="6" t="n"/>
      <c r="Y32" s="6" t="n"/>
      <c r="Z32" s="81" t="n"/>
    </row>
    <row r="33" ht="16.5" customHeight="1" s="270" thickBot="1">
      <c r="B33" s="122">
        <f>B32</f>
        <v/>
      </c>
      <c r="C33" s="130" t="inlineStr">
        <is>
          <t>r05</t>
        </is>
      </c>
      <c r="D33" s="317">
        <f>0.001*INDIRECT($B33&amp;"!E9")</f>
        <v/>
      </c>
      <c r="E33" s="315" t="n"/>
      <c r="F33" s="122">
        <f>F32</f>
        <v/>
      </c>
      <c r="G33" s="130" t="inlineStr">
        <is>
          <t>r05</t>
        </is>
      </c>
      <c r="H33" s="317">
        <f>0.001*INDIRECT($B33&amp;"!AC9")</f>
        <v/>
      </c>
      <c r="I33" s="9" t="n"/>
      <c r="J33" s="318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315" t="n"/>
      <c r="P33" s="321" t="n"/>
      <c r="Q33" s="315" t="n"/>
      <c r="R33" s="9" t="n"/>
      <c r="S33" s="9" t="n"/>
      <c r="T33" s="9" t="n"/>
      <c r="U33" s="9" t="n"/>
      <c r="V33" s="319" t="n"/>
      <c r="X33" s="6" t="n"/>
      <c r="Y33" s="6" t="n"/>
      <c r="Z33" s="81" t="n"/>
      <c r="AB33" s="320" t="n"/>
    </row>
    <row r="34" ht="16.5" customHeight="1" s="270">
      <c r="B34" s="109" t="n"/>
      <c r="C34" s="110" t="n"/>
      <c r="D34" s="322" t="n"/>
      <c r="F34" s="109" t="n"/>
      <c r="G34" s="110" t="n"/>
      <c r="H34" s="322" t="n"/>
      <c r="J34" s="98">
        <f>MIN(D29:D33,H29:H33)</f>
        <v/>
      </c>
      <c r="L34" s="99" t="n"/>
      <c r="M34" s="100" t="n"/>
      <c r="N34" s="101" t="n"/>
      <c r="O34" s="315" t="n"/>
      <c r="P34" s="265" t="n"/>
      <c r="Q34" s="315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70" thickBot="1">
      <c r="B35" s="89" t="n"/>
      <c r="C35" s="92" t="n"/>
      <c r="D35" s="323" t="n"/>
      <c r="E35" s="315" t="n"/>
      <c r="F35" s="89" t="n"/>
      <c r="G35" s="92" t="n"/>
      <c r="H35" s="323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315" t="n"/>
      <c r="P35" s="5" t="n"/>
      <c r="Q35" s="315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70" thickBot="1"/>
    <row r="37">
      <c r="B37" s="312" t="inlineStr">
        <is>
          <t>ManWithFruit</t>
        </is>
      </c>
      <c r="C37" s="313" t="n"/>
      <c r="D37" s="314" t="n"/>
      <c r="E37" s="2" t="n"/>
      <c r="F37" s="312">
        <f>B37</f>
        <v/>
      </c>
      <c r="G37" s="313" t="n"/>
      <c r="H37" s="314" t="n"/>
      <c r="I37" s="2" t="n"/>
      <c r="J37" s="265" t="n"/>
      <c r="L37" s="265">
        <f>F37</f>
        <v/>
      </c>
      <c r="M37" s="313" t="n"/>
      <c r="N37" s="314" t="n"/>
      <c r="O37" s="195" t="n"/>
      <c r="P37" s="265" t="n"/>
      <c r="U37" s="268" t="n"/>
      <c r="V37" s="268" t="n"/>
      <c r="X37" s="268" t="n"/>
    </row>
    <row r="38">
      <c r="B38" s="263" t="inlineStr">
        <is>
          <t>Test</t>
        </is>
      </c>
      <c r="D38" s="87" t="inlineStr">
        <is>
          <t>Bitrate [Mbps]</t>
        </is>
      </c>
      <c r="E38" s="315" t="n"/>
      <c r="F38" s="263" t="inlineStr">
        <is>
          <t>Test</t>
        </is>
      </c>
      <c r="H38" s="87" t="inlineStr">
        <is>
          <t>Bitrate [Mbps]</t>
        </is>
      </c>
      <c r="I38" s="9" t="n"/>
      <c r="J38" s="267" t="inlineStr">
        <is>
          <t>%</t>
        </is>
      </c>
      <c r="L38" s="267" t="inlineStr">
        <is>
          <t>YUV-PSNR</t>
        </is>
      </c>
      <c r="N38" s="316" t="n"/>
      <c r="O38" s="85" t="n"/>
      <c r="P38" s="3" t="n"/>
      <c r="R38" s="261" t="n"/>
      <c r="U38" s="261" t="n"/>
      <c r="V38" s="261" t="n"/>
      <c r="X38" s="261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315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317">
        <f>0.001*INDIRECT($B40&amp;"!E5")</f>
        <v/>
      </c>
      <c r="E40" s="315" t="n"/>
      <c r="F40" s="122">
        <f>F37</f>
        <v/>
      </c>
      <c r="G40" s="130" t="inlineStr">
        <is>
          <t>r01</t>
        </is>
      </c>
      <c r="H40" s="317">
        <f>0.001*INDIRECT($B40&amp;"!AC5")</f>
        <v/>
      </c>
      <c r="I40" s="9" t="n"/>
      <c r="J40" s="318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315" t="n"/>
      <c r="P40" s="318">
        <f>bdRateExtend(D40:D44,L40:L44,H40:H44,M40:M44)</f>
        <v/>
      </c>
      <c r="Q40" s="315" t="n"/>
      <c r="R40" s="9" t="n"/>
      <c r="S40" s="9" t="n"/>
      <c r="T40" s="9" t="n"/>
      <c r="U40" s="9" t="n"/>
      <c r="V40" s="319" t="n"/>
      <c r="X40" s="6" t="n"/>
      <c r="Y40" s="6" t="n"/>
      <c r="Z40" s="81" t="n"/>
      <c r="AB40" s="320" t="n"/>
    </row>
    <row r="41">
      <c r="B41" s="122">
        <f>B40</f>
        <v/>
      </c>
      <c r="C41" s="130" t="inlineStr">
        <is>
          <t>r02</t>
        </is>
      </c>
      <c r="D41" s="317">
        <f>0.001*INDIRECT($B41&amp;"!E6")</f>
        <v/>
      </c>
      <c r="E41" s="315" t="n"/>
      <c r="F41" s="122">
        <f>F40</f>
        <v/>
      </c>
      <c r="G41" s="130" t="inlineStr">
        <is>
          <t>r02</t>
        </is>
      </c>
      <c r="H41" s="317">
        <f>0.001*INDIRECT($B41&amp;"!AC6")</f>
        <v/>
      </c>
      <c r="I41" s="9" t="n"/>
      <c r="J41" s="318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315" t="n"/>
      <c r="P41" s="3" t="n"/>
      <c r="Q41" s="315" t="n"/>
      <c r="R41" s="9" t="n"/>
      <c r="S41" s="9" t="n"/>
      <c r="T41" s="9" t="n"/>
      <c r="U41" s="9" t="n"/>
      <c r="V41" s="319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317">
        <f>0.001*INDIRECT($B42&amp;"!E7")</f>
        <v/>
      </c>
      <c r="E42" s="315" t="n"/>
      <c r="F42" s="122">
        <f>F41</f>
        <v/>
      </c>
      <c r="G42" s="130" t="inlineStr">
        <is>
          <t>r03</t>
        </is>
      </c>
      <c r="H42" s="317">
        <f>0.001*INDIRECT($B42&amp;"!AC7")</f>
        <v/>
      </c>
      <c r="I42" s="9" t="n"/>
      <c r="J42" s="318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315" t="n"/>
      <c r="P42" s="3" t="n"/>
      <c r="Q42" s="315" t="n"/>
      <c r="R42" s="9" t="n"/>
      <c r="S42" s="9" t="n"/>
      <c r="T42" s="9" t="n"/>
      <c r="U42" s="9" t="n"/>
      <c r="V42" s="319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317">
        <f>0.001*INDIRECT($B43&amp;"!E8")</f>
        <v/>
      </c>
      <c r="E43" s="315" t="n"/>
      <c r="F43" s="122">
        <f>F42</f>
        <v/>
      </c>
      <c r="G43" s="130" t="inlineStr">
        <is>
          <t>r04</t>
        </is>
      </c>
      <c r="H43" s="317">
        <f>0.001*INDIRECT($B43&amp;"!AC8")</f>
        <v/>
      </c>
      <c r="I43" s="9" t="n"/>
      <c r="J43" s="318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315" t="n"/>
      <c r="P43" s="325" t="n"/>
      <c r="Q43" s="315" t="n"/>
      <c r="R43" s="9" t="n"/>
      <c r="S43" s="9" t="n"/>
      <c r="T43" s="9" t="n"/>
      <c r="U43" s="9" t="n"/>
      <c r="V43" s="319" t="n"/>
      <c r="X43" s="6" t="n"/>
      <c r="Y43" s="6" t="n"/>
      <c r="Z43" s="81" t="n"/>
    </row>
    <row r="44" ht="16.5" customHeight="1" s="270" thickBot="1">
      <c r="B44" s="122">
        <f>B43</f>
        <v/>
      </c>
      <c r="C44" s="130" t="inlineStr">
        <is>
          <t>r05</t>
        </is>
      </c>
      <c r="D44" s="317">
        <f>0.001*INDIRECT($B44&amp;"!E9")</f>
        <v/>
      </c>
      <c r="E44" s="315" t="n"/>
      <c r="F44" s="122">
        <f>F43</f>
        <v/>
      </c>
      <c r="G44" s="130" t="inlineStr">
        <is>
          <t>r05</t>
        </is>
      </c>
      <c r="H44" s="317">
        <f>0.001*INDIRECT($B44&amp;"!AC9")</f>
        <v/>
      </c>
      <c r="I44" s="9" t="n"/>
      <c r="J44" s="318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315" t="n"/>
      <c r="P44" s="321" t="n"/>
      <c r="Q44" s="315" t="n"/>
      <c r="R44" s="9" t="n"/>
      <c r="S44" s="9" t="n"/>
      <c r="T44" s="9" t="n"/>
      <c r="U44" s="9" t="n"/>
      <c r="V44" s="319" t="n"/>
      <c r="X44" s="6" t="n"/>
      <c r="Y44" s="6" t="n"/>
      <c r="Z44" s="81" t="n"/>
      <c r="AB44" s="320" t="n"/>
    </row>
    <row r="45" ht="16.5" customHeight="1" s="270">
      <c r="B45" s="109" t="n"/>
      <c r="C45" s="110" t="n"/>
      <c r="D45" s="322" t="n"/>
      <c r="F45" s="109" t="n"/>
      <c r="G45" s="110" t="n"/>
      <c r="H45" s="322" t="n"/>
      <c r="J45" s="98">
        <f>MIN(D40:D44,H40:H44)</f>
        <v/>
      </c>
      <c r="L45" s="99" t="n"/>
      <c r="M45" s="100" t="n"/>
      <c r="N45" s="101" t="n"/>
      <c r="O45" s="315" t="n"/>
      <c r="P45" s="265" t="n"/>
      <c r="Q45" s="315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70" thickBot="1">
      <c r="B46" s="89" t="n"/>
      <c r="C46" s="92" t="n"/>
      <c r="D46" s="323" t="n"/>
      <c r="E46" s="315" t="n"/>
      <c r="F46" s="89" t="n"/>
      <c r="G46" s="92" t="n"/>
      <c r="H46" s="323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315" t="n"/>
      <c r="P46" s="5" t="n"/>
      <c r="Q46" s="315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70" thickBot="1"/>
    <row r="48">
      <c r="B48" s="312" t="inlineStr">
        <is>
          <t>LEGO_Ferrari</t>
        </is>
      </c>
      <c r="C48" s="313" t="n"/>
      <c r="D48" s="314" t="n"/>
      <c r="E48" s="2" t="n"/>
      <c r="F48" s="312">
        <f>B48</f>
        <v/>
      </c>
      <c r="G48" s="313" t="n"/>
      <c r="H48" s="314" t="n"/>
      <c r="I48" s="2" t="n"/>
      <c r="J48" s="265" t="n"/>
      <c r="L48" s="265">
        <f>F48</f>
        <v/>
      </c>
      <c r="M48" s="313" t="n"/>
      <c r="N48" s="314" t="n"/>
      <c r="O48" s="195" t="n"/>
      <c r="P48" s="265" t="n"/>
      <c r="U48" s="268" t="n"/>
      <c r="V48" s="268" t="n"/>
      <c r="X48" s="268" t="n"/>
    </row>
    <row r="49">
      <c r="B49" s="263" t="inlineStr">
        <is>
          <t>Test</t>
        </is>
      </c>
      <c r="D49" s="87" t="inlineStr">
        <is>
          <t>Bitrate [Mbps]</t>
        </is>
      </c>
      <c r="E49" s="315" t="n"/>
      <c r="F49" s="263" t="inlineStr">
        <is>
          <t>Test</t>
        </is>
      </c>
      <c r="H49" s="87" t="inlineStr">
        <is>
          <t>Bitrate [Mbps]</t>
        </is>
      </c>
      <c r="I49" s="9" t="n"/>
      <c r="J49" s="267" t="inlineStr">
        <is>
          <t>%</t>
        </is>
      </c>
      <c r="L49" s="267" t="inlineStr">
        <is>
          <t>YUV-PSNR</t>
        </is>
      </c>
      <c r="N49" s="316" t="n"/>
      <c r="O49" s="85" t="n"/>
      <c r="P49" s="3" t="n"/>
      <c r="R49" s="261" t="n"/>
      <c r="U49" s="261" t="n"/>
      <c r="V49" s="261" t="n"/>
      <c r="X49" s="261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315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317">
        <f>0.001*INDIRECT($B51&amp;"!E5")</f>
        <v/>
      </c>
      <c r="E51" s="315" t="n"/>
      <c r="F51" s="122">
        <f>F48</f>
        <v/>
      </c>
      <c r="G51" s="130" t="inlineStr">
        <is>
          <t>r01</t>
        </is>
      </c>
      <c r="H51" s="317">
        <f>0.001*INDIRECT($B51&amp;"!AC5")</f>
        <v/>
      </c>
      <c r="I51" s="9" t="n"/>
      <c r="J51" s="318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315" t="n"/>
      <c r="P51" s="318">
        <f>bdRateExtend(D51:D55,L51:L55,H51:H55,M51:M55)</f>
        <v/>
      </c>
      <c r="Q51" s="315" t="n"/>
      <c r="R51" s="9" t="n"/>
      <c r="S51" s="9" t="n"/>
      <c r="T51" s="9" t="n"/>
      <c r="U51" s="9" t="n"/>
      <c r="V51" s="319" t="n"/>
      <c r="X51" s="6" t="n"/>
      <c r="Y51" s="6" t="n"/>
      <c r="Z51" s="81" t="n"/>
      <c r="AB51" s="320" t="n"/>
    </row>
    <row r="52">
      <c r="B52" s="122">
        <f>B51</f>
        <v/>
      </c>
      <c r="C52" s="130" t="inlineStr">
        <is>
          <t>r02</t>
        </is>
      </c>
      <c r="D52" s="317">
        <f>0.001*INDIRECT($B52&amp;"!E6")</f>
        <v/>
      </c>
      <c r="E52" s="315" t="n"/>
      <c r="F52" s="122">
        <f>F51</f>
        <v/>
      </c>
      <c r="G52" s="130" t="inlineStr">
        <is>
          <t>r02</t>
        </is>
      </c>
      <c r="H52" s="317">
        <f>0.001*INDIRECT($B52&amp;"!AC6")</f>
        <v/>
      </c>
      <c r="I52" s="9" t="n"/>
      <c r="J52" s="318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315" t="n"/>
      <c r="P52" s="3" t="n"/>
      <c r="Q52" s="315" t="n"/>
      <c r="R52" s="9" t="n"/>
      <c r="S52" s="9" t="n"/>
      <c r="T52" s="9" t="n"/>
      <c r="U52" s="9" t="n"/>
      <c r="V52" s="319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317">
        <f>0.001*INDIRECT($B53&amp;"!E7")</f>
        <v/>
      </c>
      <c r="E53" s="315" t="n"/>
      <c r="F53" s="122">
        <f>F52</f>
        <v/>
      </c>
      <c r="G53" s="130" t="inlineStr">
        <is>
          <t>r03</t>
        </is>
      </c>
      <c r="H53" s="317">
        <f>0.001*INDIRECT($B53&amp;"!AC7")</f>
        <v/>
      </c>
      <c r="I53" s="9" t="n"/>
      <c r="J53" s="318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315" t="n"/>
      <c r="P53" s="3" t="n"/>
      <c r="Q53" s="315" t="n"/>
      <c r="R53" s="9" t="n"/>
      <c r="S53" s="9" t="n"/>
      <c r="T53" s="9" t="n"/>
      <c r="U53" s="9" t="n"/>
      <c r="V53" s="319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317">
        <f>0.001*INDIRECT($B54&amp;"!E8")</f>
        <v/>
      </c>
      <c r="E54" s="315" t="n"/>
      <c r="F54" s="122">
        <f>F53</f>
        <v/>
      </c>
      <c r="G54" s="130" t="inlineStr">
        <is>
          <t>r04</t>
        </is>
      </c>
      <c r="H54" s="317">
        <f>0.001*INDIRECT($B54&amp;"!AC8")</f>
        <v/>
      </c>
      <c r="I54" s="9" t="n"/>
      <c r="J54" s="318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315" t="n"/>
      <c r="P54" s="325" t="n"/>
      <c r="Q54" s="315" t="n"/>
      <c r="R54" s="9" t="n"/>
      <c r="S54" s="9" t="n"/>
      <c r="T54" s="9" t="n"/>
      <c r="U54" s="9" t="n"/>
      <c r="V54" s="319" t="n"/>
      <c r="X54" s="6" t="n"/>
      <c r="Y54" s="6" t="n"/>
      <c r="Z54" s="81" t="n"/>
    </row>
    <row r="55" ht="16.5" customHeight="1" s="270" thickBot="1">
      <c r="B55" s="122">
        <f>B54</f>
        <v/>
      </c>
      <c r="C55" s="130" t="inlineStr">
        <is>
          <t>r05</t>
        </is>
      </c>
      <c r="D55" s="317">
        <f>0.001*INDIRECT($B55&amp;"!E9")</f>
        <v/>
      </c>
      <c r="E55" s="315" t="n"/>
      <c r="F55" s="122">
        <f>F54</f>
        <v/>
      </c>
      <c r="G55" s="130" t="inlineStr">
        <is>
          <t>r05</t>
        </is>
      </c>
      <c r="H55" s="317">
        <f>0.001*INDIRECT($B55&amp;"!AC9")</f>
        <v/>
      </c>
      <c r="I55" s="9" t="n"/>
      <c r="J55" s="318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315" t="n"/>
      <c r="P55" s="321" t="n"/>
      <c r="Q55" s="315" t="n"/>
      <c r="R55" s="9" t="n"/>
      <c r="S55" s="9" t="n"/>
      <c r="T55" s="9" t="n"/>
      <c r="U55" s="9" t="n"/>
      <c r="V55" s="319" t="n"/>
      <c r="X55" s="6" t="n"/>
      <c r="Y55" s="6" t="n"/>
      <c r="Z55" s="81" t="n"/>
      <c r="AB55" s="320" t="n"/>
    </row>
    <row r="56" ht="16.5" customHeight="1" s="270">
      <c r="B56" s="109" t="n"/>
      <c r="C56" s="110" t="n"/>
      <c r="D56" s="322" t="n"/>
      <c r="F56" s="109" t="n"/>
      <c r="G56" s="110" t="n"/>
      <c r="H56" s="322" t="n"/>
      <c r="J56" s="98">
        <f>MIN(D51:D55,H51:H55)</f>
        <v/>
      </c>
      <c r="L56" s="99" t="n"/>
      <c r="M56" s="100" t="n"/>
      <c r="N56" s="101" t="n"/>
      <c r="O56" s="315" t="n"/>
      <c r="P56" s="265" t="n"/>
      <c r="Q56" s="315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70" thickBot="1">
      <c r="B57" s="89" t="n"/>
      <c r="C57" s="92" t="n"/>
      <c r="D57" s="323" t="n"/>
      <c r="E57" s="315" t="n"/>
      <c r="F57" s="89" t="n"/>
      <c r="G57" s="92" t="n"/>
      <c r="H57" s="323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315" t="n"/>
      <c r="P57" s="5" t="n"/>
      <c r="Q57" s="315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70" thickBot="1"/>
    <row r="59">
      <c r="B59" s="312" t="inlineStr">
        <is>
          <t>LEGO_Bugatti</t>
        </is>
      </c>
      <c r="C59" s="313" t="n"/>
      <c r="D59" s="314" t="n"/>
      <c r="E59" s="2" t="n"/>
      <c r="F59" s="312">
        <f>B59</f>
        <v/>
      </c>
      <c r="G59" s="313" t="n"/>
      <c r="H59" s="314" t="n"/>
      <c r="I59" s="2" t="n"/>
      <c r="J59" s="265" t="n"/>
      <c r="L59" s="265">
        <f>F59</f>
        <v/>
      </c>
      <c r="M59" s="313" t="n"/>
      <c r="N59" s="314" t="n"/>
      <c r="O59" s="195" t="n"/>
      <c r="P59" s="265" t="n"/>
      <c r="U59" s="268" t="n"/>
      <c r="V59" s="268" t="n"/>
      <c r="X59" s="268" t="n"/>
    </row>
    <row r="60">
      <c r="B60" s="263" t="inlineStr">
        <is>
          <t>Test</t>
        </is>
      </c>
      <c r="D60" s="87" t="inlineStr">
        <is>
          <t>Bitrate [Mbps]</t>
        </is>
      </c>
      <c r="E60" s="315" t="n"/>
      <c r="F60" s="263" t="inlineStr">
        <is>
          <t>Test</t>
        </is>
      </c>
      <c r="H60" s="87" t="inlineStr">
        <is>
          <t>Bitrate [Mbps]</t>
        </is>
      </c>
      <c r="I60" s="9" t="n"/>
      <c r="J60" s="267" t="inlineStr">
        <is>
          <t>%</t>
        </is>
      </c>
      <c r="L60" s="267" t="inlineStr">
        <is>
          <t>YUV-PSNR</t>
        </is>
      </c>
      <c r="N60" s="316" t="n"/>
      <c r="O60" s="85" t="n"/>
      <c r="P60" s="3" t="n"/>
      <c r="R60" s="261" t="n"/>
      <c r="U60" s="261" t="n"/>
      <c r="V60" s="261" t="n"/>
      <c r="X60" s="261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315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317">
        <f>0.001*INDIRECT($B62&amp;"!E5")</f>
        <v/>
      </c>
      <c r="E62" s="315" t="n"/>
      <c r="F62" s="122">
        <f>F59</f>
        <v/>
      </c>
      <c r="G62" s="130" t="inlineStr">
        <is>
          <t>r01</t>
        </is>
      </c>
      <c r="H62" s="317">
        <f>0.001*INDIRECT($B62&amp;"!AC5")</f>
        <v/>
      </c>
      <c r="I62" s="9" t="n"/>
      <c r="J62" s="318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315" t="n"/>
      <c r="P62" s="318">
        <f>bdRateExtend(D62:D66,L62:L66,H62:H66,M62:M66)</f>
        <v/>
      </c>
      <c r="Q62" s="315" t="n"/>
      <c r="R62" s="9" t="n"/>
      <c r="S62" s="9" t="n"/>
      <c r="T62" s="9" t="n"/>
      <c r="U62" s="9" t="n"/>
      <c r="V62" s="319" t="n"/>
      <c r="X62" s="6" t="n"/>
      <c r="Y62" s="6" t="n"/>
      <c r="Z62" s="81" t="n"/>
      <c r="AB62" s="320" t="n"/>
    </row>
    <row r="63">
      <c r="B63" s="122">
        <f>B62</f>
        <v/>
      </c>
      <c r="C63" s="130" t="inlineStr">
        <is>
          <t>r02</t>
        </is>
      </c>
      <c r="D63" s="317">
        <f>0.001*INDIRECT($B63&amp;"!E6")</f>
        <v/>
      </c>
      <c r="E63" s="315" t="n"/>
      <c r="F63" s="122">
        <f>F62</f>
        <v/>
      </c>
      <c r="G63" s="130" t="inlineStr">
        <is>
          <t>r02</t>
        </is>
      </c>
      <c r="H63" s="317">
        <f>0.001*INDIRECT($B63&amp;"!AC6")</f>
        <v/>
      </c>
      <c r="I63" s="9" t="n"/>
      <c r="J63" s="318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315" t="n"/>
      <c r="P63" s="3" t="n"/>
      <c r="Q63" s="315" t="n"/>
      <c r="R63" s="9" t="n"/>
      <c r="S63" s="9" t="n"/>
      <c r="T63" s="9" t="n"/>
      <c r="U63" s="9" t="n"/>
      <c r="V63" s="319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317">
        <f>0.001*INDIRECT($B64&amp;"!E7")</f>
        <v/>
      </c>
      <c r="E64" s="315" t="n"/>
      <c r="F64" s="122">
        <f>F63</f>
        <v/>
      </c>
      <c r="G64" s="130" t="inlineStr">
        <is>
          <t>r03</t>
        </is>
      </c>
      <c r="H64" s="317">
        <f>0.001*INDIRECT($B64&amp;"!AC7")</f>
        <v/>
      </c>
      <c r="I64" s="9" t="n"/>
      <c r="J64" s="318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315" t="n"/>
      <c r="P64" s="3" t="n"/>
      <c r="Q64" s="315" t="n"/>
      <c r="R64" s="9" t="n"/>
      <c r="S64" s="9" t="n"/>
      <c r="T64" s="9" t="n"/>
      <c r="U64" s="9" t="n"/>
      <c r="V64" s="319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317">
        <f>0.001*INDIRECT($B65&amp;"!E8")</f>
        <v/>
      </c>
      <c r="E65" s="315" t="n"/>
      <c r="F65" s="122">
        <f>F64</f>
        <v/>
      </c>
      <c r="G65" s="130" t="inlineStr">
        <is>
          <t>r04</t>
        </is>
      </c>
      <c r="H65" s="317">
        <f>0.001*INDIRECT($B65&amp;"!AC8")</f>
        <v/>
      </c>
      <c r="I65" s="9" t="n"/>
      <c r="J65" s="318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315" t="n"/>
      <c r="P65" s="325" t="n"/>
      <c r="Q65" s="315" t="n"/>
      <c r="R65" s="9" t="n"/>
      <c r="S65" s="9" t="n"/>
      <c r="T65" s="9" t="n"/>
      <c r="U65" s="9" t="n"/>
      <c r="V65" s="319" t="n"/>
      <c r="X65" s="6" t="n"/>
      <c r="Y65" s="6" t="n"/>
      <c r="Z65" s="81" t="n"/>
    </row>
    <row r="66" ht="16.5" customHeight="1" s="270" thickBot="1">
      <c r="B66" s="122">
        <f>B65</f>
        <v/>
      </c>
      <c r="C66" s="130" t="inlineStr">
        <is>
          <t>r05</t>
        </is>
      </c>
      <c r="D66" s="317">
        <f>0.001*INDIRECT($B66&amp;"!E9")</f>
        <v/>
      </c>
      <c r="E66" s="315" t="n"/>
      <c r="F66" s="122">
        <f>F65</f>
        <v/>
      </c>
      <c r="G66" s="130" t="inlineStr">
        <is>
          <t>r05</t>
        </is>
      </c>
      <c r="H66" s="317">
        <f>0.001*INDIRECT($B66&amp;"!AC9")</f>
        <v/>
      </c>
      <c r="I66" s="9" t="n"/>
      <c r="J66" s="318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315" t="n"/>
      <c r="P66" s="321" t="n"/>
      <c r="Q66" s="315" t="n"/>
      <c r="R66" s="9" t="n"/>
      <c r="S66" s="9" t="n"/>
      <c r="T66" s="9" t="n"/>
      <c r="U66" s="9" t="n"/>
      <c r="V66" s="319" t="n"/>
      <c r="X66" s="6" t="n"/>
      <c r="Y66" s="6" t="n"/>
      <c r="Z66" s="81" t="n"/>
      <c r="AB66" s="320" t="n"/>
    </row>
    <row r="67" ht="16.5" customHeight="1" s="270">
      <c r="B67" s="109" t="n"/>
      <c r="C67" s="110" t="n"/>
      <c r="D67" s="322" t="n"/>
      <c r="F67" s="109" t="n"/>
      <c r="G67" s="110" t="n"/>
      <c r="H67" s="322" t="n"/>
      <c r="J67" s="98">
        <f>MIN(D62:D66,H62:H66)</f>
        <v/>
      </c>
      <c r="L67" s="99" t="n"/>
      <c r="M67" s="100" t="n"/>
      <c r="N67" s="101" t="n"/>
      <c r="O67" s="315" t="n"/>
      <c r="P67" s="265" t="n"/>
      <c r="Q67" s="315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70" thickBot="1">
      <c r="B68" s="89" t="n"/>
      <c r="C68" s="92" t="n"/>
      <c r="D68" s="323" t="n"/>
      <c r="E68" s="315" t="n"/>
      <c r="F68" s="89" t="n"/>
      <c r="G68" s="92" t="n"/>
      <c r="H68" s="323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315" t="n"/>
      <c r="P68" s="5" t="n"/>
      <c r="Q68" s="315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70" thickBot="1"/>
    <row r="70">
      <c r="B70" s="312" t="inlineStr">
        <is>
          <t>Plant</t>
        </is>
      </c>
      <c r="C70" s="313" t="n"/>
      <c r="D70" s="314" t="n"/>
      <c r="E70" s="2" t="n"/>
      <c r="F70" s="312">
        <f>B70</f>
        <v/>
      </c>
      <c r="G70" s="313" t="n"/>
      <c r="H70" s="314" t="n"/>
      <c r="I70" s="2" t="n"/>
      <c r="J70" s="265" t="n"/>
      <c r="L70" s="265">
        <f>F70</f>
        <v/>
      </c>
      <c r="M70" s="313" t="n"/>
      <c r="N70" s="314" t="n"/>
      <c r="O70" s="195" t="n"/>
      <c r="P70" s="265" t="n"/>
      <c r="U70" s="268" t="n"/>
      <c r="V70" s="268" t="n"/>
      <c r="X70" s="268" t="n"/>
    </row>
    <row r="71">
      <c r="B71" s="263" t="inlineStr">
        <is>
          <t>Test</t>
        </is>
      </c>
      <c r="D71" s="87" t="inlineStr">
        <is>
          <t>Bitrate [Mbps]</t>
        </is>
      </c>
      <c r="E71" s="315" t="n"/>
      <c r="F71" s="263" t="inlineStr">
        <is>
          <t>Test</t>
        </is>
      </c>
      <c r="H71" s="87" t="inlineStr">
        <is>
          <t>Bitrate [Mbps]</t>
        </is>
      </c>
      <c r="I71" s="9" t="n"/>
      <c r="J71" s="267" t="inlineStr">
        <is>
          <t>%</t>
        </is>
      </c>
      <c r="L71" s="267" t="inlineStr">
        <is>
          <t>YUV-PSNR</t>
        </is>
      </c>
      <c r="N71" s="316" t="n"/>
      <c r="O71" s="85" t="n"/>
      <c r="P71" s="3" t="n"/>
      <c r="R71" s="261" t="n"/>
      <c r="U71" s="261" t="n"/>
      <c r="V71" s="261" t="n"/>
      <c r="X71" s="261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315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317">
        <f>0.001*INDIRECT($B73&amp;"!E5")</f>
        <v/>
      </c>
      <c r="E73" s="315" t="n"/>
      <c r="F73" s="122">
        <f>F70</f>
        <v/>
      </c>
      <c r="G73" s="130" t="inlineStr">
        <is>
          <t>r01</t>
        </is>
      </c>
      <c r="H73" s="317">
        <f>0.001*INDIRECT($B73&amp;"!AC5")</f>
        <v/>
      </c>
      <c r="I73" s="9" t="n"/>
      <c r="J73" s="318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315" t="n"/>
      <c r="P73" s="318">
        <f>bdRateExtend(D73:D77,L73:L77,H73:H77,M73:M77)</f>
        <v/>
      </c>
      <c r="Q73" s="315" t="n"/>
      <c r="R73" s="9" t="n"/>
      <c r="S73" s="9" t="n"/>
      <c r="T73" s="9" t="n"/>
      <c r="U73" s="9" t="n"/>
      <c r="V73" s="319" t="n"/>
      <c r="X73" s="6" t="n"/>
      <c r="Y73" s="6" t="n"/>
      <c r="Z73" s="81" t="n"/>
      <c r="AB73" s="320" t="n"/>
    </row>
    <row r="74">
      <c r="B74" s="122">
        <f>B73</f>
        <v/>
      </c>
      <c r="C74" s="130" t="inlineStr">
        <is>
          <t>r02</t>
        </is>
      </c>
      <c r="D74" s="317">
        <f>0.001*INDIRECT($B74&amp;"!E6")</f>
        <v/>
      </c>
      <c r="E74" s="315" t="n"/>
      <c r="F74" s="122">
        <f>F73</f>
        <v/>
      </c>
      <c r="G74" s="130" t="inlineStr">
        <is>
          <t>r02</t>
        </is>
      </c>
      <c r="H74" s="317">
        <f>0.001*INDIRECT($B74&amp;"!AC6")</f>
        <v/>
      </c>
      <c r="I74" s="9" t="n"/>
      <c r="J74" s="318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315" t="n"/>
      <c r="P74" s="3" t="n"/>
      <c r="Q74" s="315" t="n"/>
      <c r="R74" s="9" t="n"/>
      <c r="S74" s="9" t="n"/>
      <c r="T74" s="9" t="n"/>
      <c r="U74" s="9" t="n"/>
      <c r="V74" s="319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317">
        <f>0.001*INDIRECT($B75&amp;"!E7")</f>
        <v/>
      </c>
      <c r="E75" s="315" t="n"/>
      <c r="F75" s="122">
        <f>F74</f>
        <v/>
      </c>
      <c r="G75" s="130" t="inlineStr">
        <is>
          <t>r03</t>
        </is>
      </c>
      <c r="H75" s="317">
        <f>0.001*INDIRECT($B75&amp;"!AC7")</f>
        <v/>
      </c>
      <c r="I75" s="9" t="n"/>
      <c r="J75" s="318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315" t="n"/>
      <c r="P75" s="3" t="n"/>
      <c r="Q75" s="315" t="n"/>
      <c r="R75" s="9" t="n"/>
      <c r="S75" s="9" t="n"/>
      <c r="T75" s="9" t="n"/>
      <c r="U75" s="9" t="n"/>
      <c r="V75" s="319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317">
        <f>0.001*INDIRECT($B76&amp;"!E8")</f>
        <v/>
      </c>
      <c r="E76" s="315" t="n"/>
      <c r="F76" s="122">
        <f>F75</f>
        <v/>
      </c>
      <c r="G76" s="130" t="inlineStr">
        <is>
          <t>r04</t>
        </is>
      </c>
      <c r="H76" s="317">
        <f>0.001*INDIRECT($B76&amp;"!AC8")</f>
        <v/>
      </c>
      <c r="I76" s="9" t="n"/>
      <c r="J76" s="318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315" t="n"/>
      <c r="P76" s="325" t="n"/>
      <c r="Q76" s="315" t="n"/>
      <c r="R76" s="9" t="n"/>
      <c r="S76" s="9" t="n"/>
      <c r="T76" s="9" t="n"/>
      <c r="U76" s="9" t="n"/>
      <c r="V76" s="319" t="n"/>
      <c r="X76" s="6" t="n"/>
      <c r="Y76" s="6" t="n"/>
      <c r="Z76" s="81" t="n"/>
    </row>
    <row r="77" ht="16.5" customHeight="1" s="270" thickBot="1">
      <c r="B77" s="122">
        <f>B76</f>
        <v/>
      </c>
      <c r="C77" s="130" t="inlineStr">
        <is>
          <t>r05</t>
        </is>
      </c>
      <c r="D77" s="317">
        <f>0.001*INDIRECT($B77&amp;"!E9")</f>
        <v/>
      </c>
      <c r="E77" s="315" t="n"/>
      <c r="F77" s="122">
        <f>F76</f>
        <v/>
      </c>
      <c r="G77" s="130" t="inlineStr">
        <is>
          <t>r05</t>
        </is>
      </c>
      <c r="H77" s="317">
        <f>0.001*INDIRECT($B77&amp;"!AC9")</f>
        <v/>
      </c>
      <c r="I77" s="9" t="n"/>
      <c r="J77" s="318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315" t="n"/>
      <c r="P77" s="321" t="n"/>
      <c r="Q77" s="315" t="n"/>
      <c r="R77" s="9" t="n"/>
      <c r="S77" s="9" t="n"/>
      <c r="T77" s="9" t="n"/>
      <c r="U77" s="9" t="n"/>
      <c r="V77" s="319" t="n"/>
      <c r="X77" s="6" t="n"/>
      <c r="Y77" s="6" t="n"/>
      <c r="Z77" s="81" t="n"/>
      <c r="AB77" s="320" t="n"/>
    </row>
    <row r="78" ht="16.5" customHeight="1" s="270">
      <c r="B78" s="109" t="n"/>
      <c r="C78" s="110" t="n"/>
      <c r="D78" s="322" t="n"/>
      <c r="F78" s="109" t="n"/>
      <c r="G78" s="110" t="n"/>
      <c r="H78" s="322" t="n"/>
      <c r="J78" s="98">
        <f>MIN(D73:D77,H73:H77)</f>
        <v/>
      </c>
      <c r="L78" s="99" t="n"/>
      <c r="M78" s="100" t="n"/>
      <c r="N78" s="101" t="n"/>
      <c r="O78" s="315" t="n"/>
      <c r="P78" s="265" t="n"/>
      <c r="Q78" s="315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70" thickBot="1">
      <c r="B79" s="89" t="n"/>
      <c r="C79" s="92" t="n"/>
      <c r="D79" s="323" t="n"/>
      <c r="E79" s="315" t="n"/>
      <c r="F79" s="89" t="n"/>
      <c r="G79" s="92" t="n"/>
      <c r="H79" s="323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315" t="n"/>
      <c r="P79" s="5" t="n"/>
      <c r="Q79" s="315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5" customHeight="1" s="270" thickBot="1"/>
    <row r="81">
      <c r="B81" s="312" t="inlineStr">
        <is>
          <t>Tennis_Player</t>
        </is>
      </c>
      <c r="C81" s="313" t="n"/>
      <c r="D81" s="314" t="n"/>
      <c r="E81" s="2" t="n"/>
      <c r="F81" s="312">
        <f>B81</f>
        <v/>
      </c>
      <c r="G81" s="313" t="n"/>
      <c r="H81" s="314" t="n"/>
      <c r="I81" s="2" t="n"/>
      <c r="J81" s="265" t="n"/>
      <c r="L81" s="265">
        <f>F81</f>
        <v/>
      </c>
      <c r="M81" s="313" t="n"/>
      <c r="N81" s="314" t="n"/>
      <c r="O81" s="195" t="n"/>
      <c r="P81" s="265" t="n"/>
      <c r="U81" s="268" t="n"/>
      <c r="V81" s="268" t="n"/>
      <c r="X81" s="268" t="n"/>
    </row>
    <row r="82">
      <c r="B82" s="263" t="inlineStr">
        <is>
          <t>Test</t>
        </is>
      </c>
      <c r="D82" s="87" t="inlineStr">
        <is>
          <t>Bitrate [Mbps]</t>
        </is>
      </c>
      <c r="E82" s="315" t="n"/>
      <c r="F82" s="263" t="inlineStr">
        <is>
          <t>Test</t>
        </is>
      </c>
      <c r="H82" s="87" t="inlineStr">
        <is>
          <t>Bitrate [Mbps]</t>
        </is>
      </c>
      <c r="I82" s="9" t="n"/>
      <c r="J82" s="267" t="inlineStr">
        <is>
          <t>%</t>
        </is>
      </c>
      <c r="L82" s="267" t="inlineStr">
        <is>
          <t>YUV-PSNR</t>
        </is>
      </c>
      <c r="N82" s="316" t="n"/>
      <c r="O82" s="85" t="n"/>
      <c r="P82" s="3" t="n"/>
      <c r="R82" s="261" t="n"/>
      <c r="U82" s="261" t="n"/>
      <c r="V82" s="261" t="n"/>
      <c r="X82" s="261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315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317">
        <f>0.001*INDIRECT($B84&amp;"!E5")</f>
        <v/>
      </c>
      <c r="E84" s="315" t="n"/>
      <c r="F84" s="122">
        <f>F81</f>
        <v/>
      </c>
      <c r="G84" s="130" t="inlineStr">
        <is>
          <t>r01</t>
        </is>
      </c>
      <c r="H84" s="317">
        <f>0.001*INDIRECT($B84&amp;"!AC5")</f>
        <v/>
      </c>
      <c r="I84" s="9" t="n"/>
      <c r="J84" s="318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315" t="n"/>
      <c r="P84" s="318">
        <f>bdRateExtend(D84:D88,L84:L88,H84:H88,M84:M88)</f>
        <v/>
      </c>
      <c r="Q84" s="315" t="n"/>
      <c r="R84" s="9" t="n"/>
      <c r="S84" s="9" t="n"/>
      <c r="T84" s="9" t="n"/>
      <c r="U84" s="9" t="n"/>
      <c r="V84" s="319" t="n"/>
      <c r="X84" s="6" t="n"/>
      <c r="Y84" s="6" t="n"/>
      <c r="Z84" s="81" t="n"/>
      <c r="AB84" s="320" t="n"/>
    </row>
    <row r="85">
      <c r="B85" s="122">
        <f>B84</f>
        <v/>
      </c>
      <c r="C85" s="130" t="inlineStr">
        <is>
          <t>r02</t>
        </is>
      </c>
      <c r="D85" s="317">
        <f>0.001*INDIRECT($B85&amp;"!E6")</f>
        <v/>
      </c>
      <c r="E85" s="315" t="n"/>
      <c r="F85" s="122">
        <f>F84</f>
        <v/>
      </c>
      <c r="G85" s="130" t="inlineStr">
        <is>
          <t>r02</t>
        </is>
      </c>
      <c r="H85" s="317">
        <f>0.001*INDIRECT($B85&amp;"!AC6")</f>
        <v/>
      </c>
      <c r="I85" s="9" t="n"/>
      <c r="J85" s="318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315" t="n"/>
      <c r="P85" s="3" t="n"/>
      <c r="Q85" s="315" t="n"/>
      <c r="R85" s="9" t="n"/>
      <c r="S85" s="9" t="n"/>
      <c r="T85" s="9" t="n"/>
      <c r="U85" s="9" t="n"/>
      <c r="V85" s="319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317">
        <f>0.001*INDIRECT($B86&amp;"!E7")</f>
        <v/>
      </c>
      <c r="E86" s="315" t="n"/>
      <c r="F86" s="122">
        <f>F85</f>
        <v/>
      </c>
      <c r="G86" s="130" t="inlineStr">
        <is>
          <t>r03</t>
        </is>
      </c>
      <c r="H86" s="317">
        <f>0.001*INDIRECT($B86&amp;"!AC7")</f>
        <v/>
      </c>
      <c r="I86" s="9" t="n"/>
      <c r="J86" s="318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315" t="n"/>
      <c r="P86" s="3" t="n"/>
      <c r="Q86" s="315" t="n"/>
      <c r="R86" s="9" t="n"/>
      <c r="S86" s="9" t="n"/>
      <c r="T86" s="9" t="n"/>
      <c r="U86" s="9" t="n"/>
      <c r="V86" s="319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317">
        <f>0.001*INDIRECT($B87&amp;"!E8")</f>
        <v/>
      </c>
      <c r="E87" s="315" t="n"/>
      <c r="F87" s="122">
        <f>F86</f>
        <v/>
      </c>
      <c r="G87" s="130" t="inlineStr">
        <is>
          <t>r04</t>
        </is>
      </c>
      <c r="H87" s="317">
        <f>0.001*INDIRECT($B87&amp;"!AC8")</f>
        <v/>
      </c>
      <c r="I87" s="9" t="n"/>
      <c r="J87" s="318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315" t="n"/>
      <c r="P87" s="325" t="n"/>
      <c r="Q87" s="315" t="n"/>
      <c r="R87" s="9" t="n"/>
      <c r="S87" s="9" t="n"/>
      <c r="T87" s="9" t="n"/>
      <c r="U87" s="9" t="n"/>
      <c r="V87" s="319" t="n"/>
      <c r="X87" s="6" t="n"/>
      <c r="Y87" s="6" t="n"/>
      <c r="Z87" s="81" t="n"/>
    </row>
    <row r="88" ht="16.5" customHeight="1" s="270" thickBot="1">
      <c r="B88" s="122">
        <f>B87</f>
        <v/>
      </c>
      <c r="C88" s="130" t="inlineStr">
        <is>
          <t>r05</t>
        </is>
      </c>
      <c r="D88" s="317">
        <f>0.001*INDIRECT($B88&amp;"!E9")</f>
        <v/>
      </c>
      <c r="E88" s="315" t="n"/>
      <c r="F88" s="122">
        <f>F87</f>
        <v/>
      </c>
      <c r="G88" s="130" t="inlineStr">
        <is>
          <t>r05</t>
        </is>
      </c>
      <c r="H88" s="317">
        <f>0.001*INDIRECT($B88&amp;"!AC9")</f>
        <v/>
      </c>
      <c r="I88" s="9" t="n"/>
      <c r="J88" s="318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315" t="n"/>
      <c r="P88" s="321" t="n"/>
      <c r="Q88" s="315" t="n"/>
      <c r="R88" s="9" t="n"/>
      <c r="S88" s="9" t="n"/>
      <c r="T88" s="9" t="n"/>
      <c r="U88" s="9" t="n"/>
      <c r="V88" s="319" t="n"/>
      <c r="X88" s="6" t="n"/>
      <c r="Y88" s="6" t="n"/>
      <c r="Z88" s="81" t="n"/>
      <c r="AB88" s="320" t="n"/>
    </row>
    <row r="89" ht="16.5" customHeight="1" s="270">
      <c r="B89" s="109" t="n"/>
      <c r="C89" s="110" t="n"/>
      <c r="D89" s="322" t="n"/>
      <c r="F89" s="109" t="n"/>
      <c r="G89" s="110" t="n"/>
      <c r="H89" s="322" t="n"/>
      <c r="J89" s="98">
        <f>MIN(D84:D88,H84:H88)</f>
        <v/>
      </c>
      <c r="L89" s="99" t="n"/>
      <c r="M89" s="100" t="n"/>
      <c r="N89" s="101" t="n"/>
      <c r="O89" s="315" t="n"/>
      <c r="P89" s="265" t="n"/>
      <c r="Q89" s="315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70" thickBot="1">
      <c r="B90" s="89" t="n"/>
      <c r="C90" s="92" t="n"/>
      <c r="D90" s="323" t="n"/>
      <c r="E90" s="315" t="n"/>
      <c r="F90" s="89" t="n"/>
      <c r="G90" s="92" t="n"/>
      <c r="H90" s="323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315" t="n"/>
      <c r="P90" s="5" t="n"/>
      <c r="Q90" s="315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6.5" customHeight="1" s="270" thickBot="1"/>
    <row r="92">
      <c r="B92" s="312" t="inlineStr">
        <is>
          <t>Cricket_Player</t>
        </is>
      </c>
      <c r="C92" s="313" t="n"/>
      <c r="D92" s="314" t="n"/>
      <c r="E92" s="2" t="n"/>
      <c r="F92" s="312">
        <f>B92</f>
        <v/>
      </c>
      <c r="G92" s="313" t="n"/>
      <c r="H92" s="314" t="n"/>
      <c r="I92" s="2" t="n"/>
      <c r="J92" s="265" t="n"/>
      <c r="L92" s="265">
        <f>F92</f>
        <v/>
      </c>
      <c r="M92" s="313" t="n"/>
      <c r="N92" s="314" t="n"/>
      <c r="O92" s="195" t="n"/>
      <c r="P92" s="265" t="n"/>
      <c r="U92" s="268" t="n"/>
      <c r="V92" s="268" t="n"/>
      <c r="X92" s="268" t="n"/>
    </row>
    <row r="93">
      <c r="B93" s="263" t="inlineStr">
        <is>
          <t>Test</t>
        </is>
      </c>
      <c r="D93" s="87" t="inlineStr">
        <is>
          <t>Bitrate [Mbps]</t>
        </is>
      </c>
      <c r="E93" s="315" t="n"/>
      <c r="F93" s="263" t="inlineStr">
        <is>
          <t>Test</t>
        </is>
      </c>
      <c r="H93" s="87" t="inlineStr">
        <is>
          <t>Bitrate [Mbps]</t>
        </is>
      </c>
      <c r="I93" s="9" t="n"/>
      <c r="J93" s="267" t="inlineStr">
        <is>
          <t>%</t>
        </is>
      </c>
      <c r="L93" s="267" t="inlineStr">
        <is>
          <t>YUV-PSNR</t>
        </is>
      </c>
      <c r="N93" s="316" t="n"/>
      <c r="O93" s="85" t="n"/>
      <c r="P93" s="3" t="n"/>
      <c r="R93" s="261" t="n"/>
      <c r="U93" s="261" t="n"/>
      <c r="V93" s="261" t="n"/>
      <c r="X93" s="261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315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317">
        <f>0.001*INDIRECT($B95&amp;"!E5")</f>
        <v/>
      </c>
      <c r="E95" s="315" t="n"/>
      <c r="F95" s="122">
        <f>F92</f>
        <v/>
      </c>
      <c r="G95" s="130" t="inlineStr">
        <is>
          <t>r01</t>
        </is>
      </c>
      <c r="H95" s="317">
        <f>0.001*INDIRECT($B95&amp;"!AC5")</f>
        <v/>
      </c>
      <c r="I95" s="9" t="n"/>
      <c r="J95" s="318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315" t="n"/>
      <c r="P95" s="318">
        <f>bdRateExtend(D95:D99,L95:L99,H95:H99,M95:M99)</f>
        <v/>
      </c>
      <c r="Q95" s="315" t="n"/>
      <c r="R95" s="9" t="n"/>
      <c r="S95" s="9" t="n"/>
      <c r="T95" s="9" t="n"/>
      <c r="U95" s="9" t="n"/>
      <c r="V95" s="319" t="n"/>
      <c r="X95" s="6" t="n"/>
      <c r="Y95" s="6" t="n"/>
      <c r="Z95" s="81" t="n"/>
      <c r="AB95" s="320" t="n"/>
    </row>
    <row r="96">
      <c r="B96" s="122">
        <f>B95</f>
        <v/>
      </c>
      <c r="C96" s="130" t="inlineStr">
        <is>
          <t>r02</t>
        </is>
      </c>
      <c r="D96" s="317">
        <f>0.001*INDIRECT($B96&amp;"!E6")</f>
        <v/>
      </c>
      <c r="E96" s="315" t="n"/>
      <c r="F96" s="122">
        <f>F95</f>
        <v/>
      </c>
      <c r="G96" s="130" t="inlineStr">
        <is>
          <t>r02</t>
        </is>
      </c>
      <c r="H96" s="317">
        <f>0.001*INDIRECT($B96&amp;"!AC6")</f>
        <v/>
      </c>
      <c r="I96" s="9" t="n"/>
      <c r="J96" s="318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315" t="n"/>
      <c r="P96" s="3" t="n"/>
      <c r="Q96" s="315" t="n"/>
      <c r="R96" s="9" t="n"/>
      <c r="S96" s="9" t="n"/>
      <c r="T96" s="9" t="n"/>
      <c r="U96" s="9" t="n"/>
      <c r="V96" s="319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317">
        <f>0.001*INDIRECT($B97&amp;"!E7")</f>
        <v/>
      </c>
      <c r="E97" s="315" t="n"/>
      <c r="F97" s="122">
        <f>F96</f>
        <v/>
      </c>
      <c r="G97" s="130" t="inlineStr">
        <is>
          <t>r03</t>
        </is>
      </c>
      <c r="H97" s="317">
        <f>0.001*INDIRECT($B97&amp;"!AC7")</f>
        <v/>
      </c>
      <c r="I97" s="9" t="n"/>
      <c r="J97" s="318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315" t="n"/>
      <c r="P97" s="3" t="n"/>
      <c r="Q97" s="315" t="n"/>
      <c r="R97" s="9" t="n"/>
      <c r="S97" s="9" t="n"/>
      <c r="T97" s="9" t="n"/>
      <c r="U97" s="9" t="n"/>
      <c r="V97" s="319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317">
        <f>0.001*INDIRECT($B98&amp;"!E8")</f>
        <v/>
      </c>
      <c r="E98" s="315" t="n"/>
      <c r="F98" s="122">
        <f>F97</f>
        <v/>
      </c>
      <c r="G98" s="130" t="inlineStr">
        <is>
          <t>r04</t>
        </is>
      </c>
      <c r="H98" s="317">
        <f>0.001*INDIRECT($B98&amp;"!AC8")</f>
        <v/>
      </c>
      <c r="I98" s="9" t="n"/>
      <c r="J98" s="318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315" t="n"/>
      <c r="P98" s="325" t="n"/>
      <c r="Q98" s="315" t="n"/>
      <c r="R98" s="9" t="n"/>
      <c r="S98" s="9" t="n"/>
      <c r="T98" s="9" t="n"/>
      <c r="U98" s="9" t="n"/>
      <c r="V98" s="319" t="n"/>
      <c r="X98" s="6" t="n"/>
      <c r="Y98" s="6" t="n"/>
      <c r="Z98" s="81" t="n"/>
    </row>
    <row r="99" ht="16.5" customHeight="1" s="270" thickBot="1">
      <c r="B99" s="122">
        <f>B98</f>
        <v/>
      </c>
      <c r="C99" s="130" t="inlineStr">
        <is>
          <t>r05</t>
        </is>
      </c>
      <c r="D99" s="317">
        <f>0.001*INDIRECT($B99&amp;"!E9")</f>
        <v/>
      </c>
      <c r="E99" s="315" t="n"/>
      <c r="F99" s="122">
        <f>F98</f>
        <v/>
      </c>
      <c r="G99" s="130" t="inlineStr">
        <is>
          <t>r05</t>
        </is>
      </c>
      <c r="H99" s="317">
        <f>0.001*INDIRECT($B99&amp;"!AC9")</f>
        <v/>
      </c>
      <c r="I99" s="9" t="n"/>
      <c r="J99" s="318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315" t="n"/>
      <c r="P99" s="321" t="n"/>
      <c r="Q99" s="315" t="n"/>
      <c r="R99" s="9" t="n"/>
      <c r="S99" s="9" t="n"/>
      <c r="T99" s="9" t="n"/>
      <c r="U99" s="9" t="n"/>
      <c r="V99" s="319" t="n"/>
      <c r="X99" s="6" t="n"/>
      <c r="Y99" s="6" t="n"/>
      <c r="Z99" s="81" t="n"/>
      <c r="AB99" s="320" t="n"/>
    </row>
    <row r="100" ht="16.5" customHeight="1" s="270">
      <c r="B100" s="109" t="n"/>
      <c r="C100" s="110" t="n"/>
      <c r="D100" s="322" t="n"/>
      <c r="F100" s="109" t="n"/>
      <c r="G100" s="110" t="n"/>
      <c r="H100" s="322" t="n"/>
      <c r="J100" s="98">
        <f>MIN(D95:D99,H95:H99)</f>
        <v/>
      </c>
      <c r="L100" s="99" t="n"/>
      <c r="M100" s="100" t="n"/>
      <c r="N100" s="101" t="n"/>
      <c r="O100" s="315" t="n"/>
      <c r="P100" s="265" t="n"/>
      <c r="Q100" s="315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70" thickBot="1">
      <c r="B101" s="89" t="n"/>
      <c r="C101" s="92" t="n"/>
      <c r="D101" s="323" t="n"/>
      <c r="E101" s="315" t="n"/>
      <c r="F101" s="89" t="n"/>
      <c r="G101" s="92" t="n"/>
      <c r="H101" s="323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315" t="n"/>
      <c r="P101" s="5" t="n"/>
      <c r="Q101" s="315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6.5" customHeight="1" s="270" thickBot="1"/>
    <row r="103">
      <c r="B103" s="312" t="inlineStr">
        <is>
          <t>Tango_Duo</t>
        </is>
      </c>
      <c r="C103" s="313" t="n"/>
      <c r="D103" s="314" t="n"/>
      <c r="E103" s="2" t="n"/>
      <c r="F103" s="312">
        <f>B103</f>
        <v/>
      </c>
      <c r="G103" s="313" t="n"/>
      <c r="H103" s="314" t="n"/>
      <c r="I103" s="2" t="n"/>
      <c r="J103" s="265" t="n"/>
      <c r="L103" s="265">
        <f>F103</f>
        <v/>
      </c>
      <c r="M103" s="313" t="n"/>
      <c r="N103" s="314" t="n"/>
      <c r="O103" s="195" t="n"/>
      <c r="P103" s="265" t="n"/>
      <c r="U103" s="268" t="n"/>
      <c r="V103" s="268" t="n"/>
      <c r="X103" s="268" t="n"/>
    </row>
    <row r="104">
      <c r="B104" s="263" t="inlineStr">
        <is>
          <t>Test</t>
        </is>
      </c>
      <c r="D104" s="87" t="inlineStr">
        <is>
          <t>Bitrate [Mbps]</t>
        </is>
      </c>
      <c r="E104" s="315" t="n"/>
      <c r="F104" s="263" t="inlineStr">
        <is>
          <t>Test</t>
        </is>
      </c>
      <c r="H104" s="87" t="inlineStr">
        <is>
          <t>Bitrate [Mbps]</t>
        </is>
      </c>
      <c r="I104" s="9" t="n"/>
      <c r="J104" s="267" t="inlineStr">
        <is>
          <t>%</t>
        </is>
      </c>
      <c r="L104" s="267" t="inlineStr">
        <is>
          <t>YUV-PSNR</t>
        </is>
      </c>
      <c r="N104" s="316" t="n"/>
      <c r="O104" s="85" t="n"/>
      <c r="P104" s="3" t="n"/>
      <c r="R104" s="261" t="n"/>
      <c r="U104" s="261" t="n"/>
      <c r="V104" s="261" t="n"/>
      <c r="X104" s="261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315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317">
        <f>0.001*INDIRECT($B106&amp;"!E5")</f>
        <v/>
      </c>
      <c r="E106" s="315" t="n"/>
      <c r="F106" s="122">
        <f>F103</f>
        <v/>
      </c>
      <c r="G106" s="130" t="inlineStr">
        <is>
          <t>r01</t>
        </is>
      </c>
      <c r="H106" s="317">
        <f>0.001*INDIRECT($B106&amp;"!AC5")</f>
        <v/>
      </c>
      <c r="I106" s="9" t="n"/>
      <c r="J106" s="318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315" t="n"/>
      <c r="P106" s="318">
        <f>bdRateExtend(D106:D110,L106:L110,H106:H110,M106:M110)</f>
        <v/>
      </c>
      <c r="Q106" s="315" t="n"/>
      <c r="R106" s="9" t="n"/>
      <c r="S106" s="9" t="n"/>
      <c r="T106" s="9" t="n"/>
      <c r="U106" s="9" t="n"/>
      <c r="V106" s="319" t="n"/>
      <c r="X106" s="6" t="n"/>
      <c r="Y106" s="6" t="n"/>
      <c r="Z106" s="81" t="n"/>
      <c r="AB106" s="320" t="n"/>
    </row>
    <row r="107">
      <c r="B107" s="122">
        <f>B106</f>
        <v/>
      </c>
      <c r="C107" s="130" t="inlineStr">
        <is>
          <t>r02</t>
        </is>
      </c>
      <c r="D107" s="317">
        <f>0.001*INDIRECT($B107&amp;"!E6")</f>
        <v/>
      </c>
      <c r="E107" s="315" t="n"/>
      <c r="F107" s="122">
        <f>F106</f>
        <v/>
      </c>
      <c r="G107" s="130" t="inlineStr">
        <is>
          <t>r02</t>
        </is>
      </c>
      <c r="H107" s="317">
        <f>0.001*INDIRECT($B107&amp;"!AC6")</f>
        <v/>
      </c>
      <c r="I107" s="9" t="n"/>
      <c r="J107" s="318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315" t="n"/>
      <c r="P107" s="3" t="n"/>
      <c r="Q107" s="315" t="n"/>
      <c r="R107" s="9" t="n"/>
      <c r="S107" s="9" t="n"/>
      <c r="T107" s="9" t="n"/>
      <c r="U107" s="9" t="n"/>
      <c r="V107" s="319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317">
        <f>0.001*INDIRECT($B108&amp;"!E7")</f>
        <v/>
      </c>
      <c r="E108" s="315" t="n"/>
      <c r="F108" s="122">
        <f>F107</f>
        <v/>
      </c>
      <c r="G108" s="130" t="inlineStr">
        <is>
          <t>r03</t>
        </is>
      </c>
      <c r="H108" s="317">
        <f>0.001*INDIRECT($B108&amp;"!AC7")</f>
        <v/>
      </c>
      <c r="I108" s="9" t="n"/>
      <c r="J108" s="318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315" t="n"/>
      <c r="P108" s="3" t="n"/>
      <c r="Q108" s="315" t="n"/>
      <c r="R108" s="9" t="n"/>
      <c r="S108" s="9" t="n"/>
      <c r="T108" s="9" t="n"/>
      <c r="U108" s="9" t="n"/>
      <c r="V108" s="319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317">
        <f>0.001*INDIRECT($B109&amp;"!E8")</f>
        <v/>
      </c>
      <c r="E109" s="315" t="n"/>
      <c r="F109" s="122">
        <f>F108</f>
        <v/>
      </c>
      <c r="G109" s="130" t="inlineStr">
        <is>
          <t>r04</t>
        </is>
      </c>
      <c r="H109" s="317">
        <f>0.001*INDIRECT($B109&amp;"!AC8")</f>
        <v/>
      </c>
      <c r="I109" s="9" t="n"/>
      <c r="J109" s="318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315" t="n"/>
      <c r="P109" s="325" t="n"/>
      <c r="Q109" s="315" t="n"/>
      <c r="R109" s="9" t="n"/>
      <c r="S109" s="9" t="n"/>
      <c r="T109" s="9" t="n"/>
      <c r="U109" s="9" t="n"/>
      <c r="V109" s="319" t="n"/>
      <c r="X109" s="6" t="n"/>
      <c r="Y109" s="6" t="n"/>
      <c r="Z109" s="81" t="n"/>
    </row>
    <row r="110" ht="16.5" customHeight="1" s="270" thickBot="1">
      <c r="B110" s="122">
        <f>B109</f>
        <v/>
      </c>
      <c r="C110" s="130" t="inlineStr">
        <is>
          <t>r05</t>
        </is>
      </c>
      <c r="D110" s="317">
        <f>0.001*INDIRECT($B110&amp;"!E9")</f>
        <v/>
      </c>
      <c r="E110" s="315" t="n"/>
      <c r="F110" s="122">
        <f>F109</f>
        <v/>
      </c>
      <c r="G110" s="130" t="inlineStr">
        <is>
          <t>r05</t>
        </is>
      </c>
      <c r="H110" s="317">
        <f>0.001*INDIRECT($B110&amp;"!AC9")</f>
        <v/>
      </c>
      <c r="I110" s="9" t="n"/>
      <c r="J110" s="318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315" t="n"/>
      <c r="P110" s="321" t="n"/>
      <c r="Q110" s="315" t="n"/>
      <c r="R110" s="9" t="n"/>
      <c r="S110" s="9" t="n"/>
      <c r="T110" s="9" t="n"/>
      <c r="U110" s="9" t="n"/>
      <c r="V110" s="319" t="n"/>
      <c r="X110" s="6" t="n"/>
      <c r="Y110" s="6" t="n"/>
      <c r="Z110" s="81" t="n"/>
      <c r="AB110" s="320" t="n"/>
    </row>
    <row r="111" ht="16.5" customHeight="1" s="270">
      <c r="B111" s="109" t="n"/>
      <c r="C111" s="110" t="n"/>
      <c r="D111" s="322" t="n"/>
      <c r="F111" s="109" t="n"/>
      <c r="G111" s="110" t="n"/>
      <c r="H111" s="322" t="n"/>
      <c r="J111" s="98">
        <f>MIN(D106:D110,H106:H110)</f>
        <v/>
      </c>
      <c r="L111" s="99" t="n"/>
      <c r="M111" s="100" t="n"/>
      <c r="N111" s="101" t="n"/>
      <c r="O111" s="315" t="n"/>
      <c r="P111" s="265" t="n"/>
      <c r="Q111" s="315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70" thickBot="1">
      <c r="B112" s="89" t="n"/>
      <c r="C112" s="92" t="n"/>
      <c r="D112" s="323" t="n"/>
      <c r="E112" s="315" t="n"/>
      <c r="F112" s="89" t="n"/>
      <c r="G112" s="92" t="n"/>
      <c r="H112" s="323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315" t="n"/>
      <c r="P112" s="5" t="n"/>
      <c r="Q112" s="315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6.2" customHeight="1" s="270" thickBot="1"/>
    <row r="114">
      <c r="B114" s="312" t="inlineStr">
        <is>
          <t>Solo_Tango_Female</t>
        </is>
      </c>
      <c r="C114" s="313" t="n"/>
      <c r="D114" s="314" t="n"/>
      <c r="E114" s="2" t="n"/>
      <c r="F114" s="312">
        <f>B114</f>
        <v/>
      </c>
      <c r="G114" s="313" t="n"/>
      <c r="H114" s="314" t="n"/>
      <c r="J114" s="265" t="n"/>
      <c r="L114" s="265">
        <f>F114</f>
        <v/>
      </c>
      <c r="M114" s="313" t="n"/>
      <c r="N114" s="314" t="n"/>
      <c r="O114" s="195" t="n"/>
      <c r="P114" s="265" t="n"/>
    </row>
    <row r="115">
      <c r="B115" s="263" t="inlineStr">
        <is>
          <t>Test</t>
        </is>
      </c>
      <c r="D115" s="87" t="inlineStr">
        <is>
          <t>Bitrate [Mbps]</t>
        </is>
      </c>
      <c r="E115" s="315" t="n"/>
      <c r="F115" s="263" t="inlineStr">
        <is>
          <t>Test</t>
        </is>
      </c>
      <c r="H115" s="87" t="inlineStr">
        <is>
          <t>Bitrate [Mbps]</t>
        </is>
      </c>
      <c r="J115" s="267" t="inlineStr">
        <is>
          <t>%</t>
        </is>
      </c>
      <c r="L115" s="267" t="inlineStr">
        <is>
          <t>YUV-PSNR</t>
        </is>
      </c>
      <c r="N115" s="316" t="n"/>
      <c r="O115" s="85" t="n"/>
      <c r="P115" s="3" t="n"/>
    </row>
    <row r="116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315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320" t="n"/>
    </row>
    <row r="117">
      <c r="B117" s="122">
        <f>B114</f>
        <v/>
      </c>
      <c r="C117" s="130" t="inlineStr">
        <is>
          <t>r01</t>
        </is>
      </c>
      <c r="D117" s="317">
        <f>0.001*INDIRECT($B117&amp;"!E5")</f>
        <v/>
      </c>
      <c r="E117" s="315" t="n"/>
      <c r="F117" s="122">
        <f>F114</f>
        <v/>
      </c>
      <c r="G117" s="130" t="inlineStr">
        <is>
          <t>r01</t>
        </is>
      </c>
      <c r="H117" s="317">
        <f>0.001*INDIRECT($B117&amp;"!AC5")</f>
        <v/>
      </c>
      <c r="J117" s="318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315" t="n"/>
      <c r="P117" s="318">
        <f>bdRateExtend(D117:D121,L117:L121,H117:H121,M117:M121)</f>
        <v/>
      </c>
    </row>
    <row r="118">
      <c r="B118" s="122">
        <f>B117</f>
        <v/>
      </c>
      <c r="C118" s="130" t="inlineStr">
        <is>
          <t>r02</t>
        </is>
      </c>
      <c r="D118" s="317">
        <f>0.001*INDIRECT($B118&amp;"!E6")</f>
        <v/>
      </c>
      <c r="E118" s="315" t="n"/>
      <c r="F118" s="122">
        <f>F117</f>
        <v/>
      </c>
      <c r="G118" s="130" t="inlineStr">
        <is>
          <t>r02</t>
        </is>
      </c>
      <c r="H118" s="317">
        <f>0.001*INDIRECT($B118&amp;"!AC6")</f>
        <v/>
      </c>
      <c r="J118" s="318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315" t="n"/>
      <c r="P118" s="3" t="n"/>
    </row>
    <row r="119" ht="16.5" customHeight="1" s="270">
      <c r="B119" s="122">
        <f>B118</f>
        <v/>
      </c>
      <c r="C119" s="130" t="inlineStr">
        <is>
          <t>r03</t>
        </is>
      </c>
      <c r="D119" s="317">
        <f>0.001*INDIRECT($B119&amp;"!E7")</f>
        <v/>
      </c>
      <c r="E119" s="315" t="n"/>
      <c r="F119" s="122">
        <f>F118</f>
        <v/>
      </c>
      <c r="G119" s="130" t="inlineStr">
        <is>
          <t>r03</t>
        </is>
      </c>
      <c r="H119" s="317">
        <f>0.001*INDIRECT($B119&amp;"!AC7")</f>
        <v/>
      </c>
      <c r="J119" s="318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315" t="n"/>
      <c r="P119" s="3" t="n"/>
      <c r="AB119" s="320" t="n"/>
    </row>
    <row r="120">
      <c r="B120" s="122">
        <f>B119</f>
        <v/>
      </c>
      <c r="C120" s="130" t="inlineStr">
        <is>
          <t>r04</t>
        </is>
      </c>
      <c r="D120" s="317">
        <f>0.001*INDIRECT($B120&amp;"!E8")</f>
        <v/>
      </c>
      <c r="E120" s="315" t="n"/>
      <c r="F120" s="122">
        <f>F119</f>
        <v/>
      </c>
      <c r="G120" s="130" t="inlineStr">
        <is>
          <t>r04</t>
        </is>
      </c>
      <c r="H120" s="317">
        <f>0.001*INDIRECT($B120&amp;"!AC8")</f>
        <v/>
      </c>
      <c r="J120" s="318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315" t="n"/>
      <c r="P120" s="325" t="n"/>
    </row>
    <row r="121" ht="16.5" customHeight="1" s="270" thickBot="1">
      <c r="B121" s="122">
        <f>B120</f>
        <v/>
      </c>
      <c r="C121" s="130" t="inlineStr">
        <is>
          <t>r05</t>
        </is>
      </c>
      <c r="D121" s="317">
        <f>0.001*INDIRECT($B121&amp;"!E9")</f>
        <v/>
      </c>
      <c r="E121" s="315" t="n"/>
      <c r="F121" s="122">
        <f>F120</f>
        <v/>
      </c>
      <c r="G121" s="130" t="inlineStr">
        <is>
          <t>r05</t>
        </is>
      </c>
      <c r="H121" s="317">
        <f>0.001*INDIRECT($B121&amp;"!AC9")</f>
        <v/>
      </c>
      <c r="J121" s="318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315" t="n"/>
      <c r="P121" s="321" t="n"/>
    </row>
    <row r="122" ht="16.5" customHeight="1" s="270">
      <c r="B122" s="109" t="n"/>
      <c r="C122" s="110" t="n"/>
      <c r="D122" s="322" t="n"/>
      <c r="F122" s="109" t="n"/>
      <c r="G122" s="110" t="n"/>
      <c r="H122" s="322" t="n"/>
      <c r="J122" s="98">
        <f>MIN(D117:D121,H117:H121)</f>
        <v/>
      </c>
      <c r="L122" s="99" t="n"/>
      <c r="M122" s="100" t="n"/>
      <c r="N122" s="101" t="n"/>
      <c r="O122" s="315" t="n"/>
      <c r="P122" s="265" t="n"/>
    </row>
    <row r="123" ht="16.2" customHeight="1" s="270" thickBot="1">
      <c r="B123" s="89" t="n"/>
      <c r="C123" s="92" t="n"/>
      <c r="D123" s="323" t="n"/>
      <c r="E123" s="315" t="n"/>
      <c r="F123" s="89" t="n"/>
      <c r="G123" s="92" t="n"/>
      <c r="H123" s="323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315" t="n"/>
      <c r="P123" s="5" t="n"/>
    </row>
    <row r="124" ht="16.2" customHeight="1" s="270" thickBot="1"/>
    <row r="125">
      <c r="B125" s="312" t="inlineStr">
        <is>
          <t>Solo_Tango_Male</t>
        </is>
      </c>
      <c r="C125" s="313" t="n"/>
      <c r="D125" s="314" t="n"/>
      <c r="E125" s="2" t="n"/>
      <c r="F125" s="312">
        <f>B125</f>
        <v/>
      </c>
      <c r="G125" s="313" t="n"/>
      <c r="H125" s="314" t="n"/>
      <c r="J125" s="265" t="n"/>
      <c r="L125" s="265">
        <f>F125</f>
        <v/>
      </c>
      <c r="M125" s="313" t="n"/>
      <c r="N125" s="314" t="n"/>
      <c r="O125" s="195" t="n"/>
      <c r="P125" s="265" t="n"/>
    </row>
    <row r="126">
      <c r="B126" s="263" t="inlineStr">
        <is>
          <t>Test</t>
        </is>
      </c>
      <c r="D126" s="87" t="inlineStr">
        <is>
          <t>Bitrate [Mbps]</t>
        </is>
      </c>
      <c r="E126" s="315" t="n"/>
      <c r="F126" s="263" t="inlineStr">
        <is>
          <t>Test</t>
        </is>
      </c>
      <c r="H126" s="87" t="inlineStr">
        <is>
          <t>Bitrate [Mbps]</t>
        </is>
      </c>
      <c r="J126" s="267" t="inlineStr">
        <is>
          <t>%</t>
        </is>
      </c>
      <c r="L126" s="267" t="inlineStr">
        <is>
          <t>YUV-PSNR</t>
        </is>
      </c>
      <c r="N126" s="316" t="n"/>
      <c r="O126" s="85" t="n"/>
      <c r="P126" s="3" t="n"/>
      <c r="AB126" s="320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315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>
      <c r="B128" s="122">
        <f>B125</f>
        <v/>
      </c>
      <c r="C128" s="130" t="inlineStr">
        <is>
          <t>r01</t>
        </is>
      </c>
      <c r="D128" s="317">
        <f>0.001*INDIRECT($B128&amp;"!E5")</f>
        <v/>
      </c>
      <c r="E128" s="315" t="n"/>
      <c r="F128" s="122">
        <f>F125</f>
        <v/>
      </c>
      <c r="G128" s="130" t="inlineStr">
        <is>
          <t>r01</t>
        </is>
      </c>
      <c r="H128" s="317">
        <f>0.001*INDIRECT($B128&amp;"!AC5")</f>
        <v/>
      </c>
      <c r="J128" s="318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315" t="n"/>
      <c r="P128" s="318">
        <f>bdRateExtend(D128:D132,L128:L132,H128:H132,M128:M132)</f>
        <v/>
      </c>
    </row>
    <row r="129" ht="16.5" customHeight="1" s="270">
      <c r="B129" s="122">
        <f>B128</f>
        <v/>
      </c>
      <c r="C129" s="130" t="inlineStr">
        <is>
          <t>r02</t>
        </is>
      </c>
      <c r="D129" s="317">
        <f>0.001*INDIRECT($B129&amp;"!E6")</f>
        <v/>
      </c>
      <c r="E129" s="315" t="n"/>
      <c r="F129" s="122">
        <f>F128</f>
        <v/>
      </c>
      <c r="G129" s="130" t="inlineStr">
        <is>
          <t>r02</t>
        </is>
      </c>
      <c r="H129" s="317">
        <f>0.001*INDIRECT($B129&amp;"!AC6")</f>
        <v/>
      </c>
      <c r="J129" s="318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315" t="n"/>
      <c r="P129" s="3" t="n"/>
      <c r="AB129" s="320" t="n"/>
    </row>
    <row r="130">
      <c r="B130" s="122">
        <f>B129</f>
        <v/>
      </c>
      <c r="C130" s="130" t="inlineStr">
        <is>
          <t>r03</t>
        </is>
      </c>
      <c r="D130" s="317">
        <f>0.001*INDIRECT($B130&amp;"!E7")</f>
        <v/>
      </c>
      <c r="E130" s="315" t="n"/>
      <c r="F130" s="122">
        <f>F129</f>
        <v/>
      </c>
      <c r="G130" s="130" t="inlineStr">
        <is>
          <t>r03</t>
        </is>
      </c>
      <c r="H130" s="317">
        <f>0.001*INDIRECT($B130&amp;"!AC7")</f>
        <v/>
      </c>
      <c r="J130" s="318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315" t="n"/>
      <c r="P130" s="3" t="n"/>
    </row>
    <row r="131" ht="16.5" customHeight="1" s="270">
      <c r="B131" s="122">
        <f>B130</f>
        <v/>
      </c>
      <c r="C131" s="130" t="inlineStr">
        <is>
          <t>r04</t>
        </is>
      </c>
      <c r="D131" s="317">
        <f>0.001*INDIRECT($B131&amp;"!E8")</f>
        <v/>
      </c>
      <c r="E131" s="315" t="n"/>
      <c r="F131" s="122">
        <f>F130</f>
        <v/>
      </c>
      <c r="G131" s="130" t="inlineStr">
        <is>
          <t>r04</t>
        </is>
      </c>
      <c r="H131" s="317">
        <f>0.001*INDIRECT($B131&amp;"!AC8")</f>
        <v/>
      </c>
      <c r="J131" s="318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315" t="n"/>
      <c r="P131" s="325" t="n"/>
    </row>
    <row r="132" ht="16.5" customHeight="1" s="270" thickBot="1">
      <c r="B132" s="122">
        <f>B131</f>
        <v/>
      </c>
      <c r="C132" s="130" t="inlineStr">
        <is>
          <t>r05</t>
        </is>
      </c>
      <c r="D132" s="317">
        <f>0.001*INDIRECT($B132&amp;"!E9")</f>
        <v/>
      </c>
      <c r="E132" s="315" t="n"/>
      <c r="F132" s="122">
        <f>F131</f>
        <v/>
      </c>
      <c r="G132" s="130" t="inlineStr">
        <is>
          <t>r05</t>
        </is>
      </c>
      <c r="H132" s="317">
        <f>0.001*INDIRECT($B132&amp;"!AC9")</f>
        <v/>
      </c>
      <c r="J132" s="318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315" t="n"/>
      <c r="P132" s="321" t="n"/>
    </row>
    <row r="133">
      <c r="B133" s="109" t="n"/>
      <c r="C133" s="110" t="n"/>
      <c r="D133" s="322" t="n"/>
      <c r="F133" s="109" t="n"/>
      <c r="G133" s="110" t="n"/>
      <c r="H133" s="322" t="n"/>
      <c r="J133" s="98">
        <f>MIN(D128:D132,H128:H132)</f>
        <v/>
      </c>
      <c r="L133" s="99" t="n"/>
      <c r="M133" s="100" t="n"/>
      <c r="N133" s="101" t="n"/>
      <c r="O133" s="315" t="n"/>
      <c r="P133" s="265" t="n"/>
    </row>
    <row r="134" ht="16.2" customHeight="1" s="270" thickBot="1">
      <c r="B134" s="89" t="n"/>
      <c r="C134" s="92" t="n"/>
      <c r="D134" s="323" t="n"/>
      <c r="E134" s="315" t="n"/>
      <c r="F134" s="89" t="n"/>
      <c r="G134" s="92" t="n"/>
      <c r="H134" s="323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315" t="n"/>
      <c r="P134" s="5" t="n"/>
    </row>
    <row r="135" ht="16.2" customHeight="1" s="270" thickBot="1">
      <c r="J135" s="102">
        <f>MAX(D129:D133,H129:H133)</f>
        <v/>
      </c>
      <c r="L135" s="103">
        <f>L134</f>
        <v/>
      </c>
      <c r="M135" s="104">
        <f>M134</f>
        <v/>
      </c>
      <c r="N135" s="97" t="n"/>
      <c r="O135" s="315" t="n"/>
      <c r="P135" s="5" t="n"/>
    </row>
    <row r="136">
      <c r="B136" s="312" t="inlineStr">
        <is>
          <t>BlueBackpack_UVGgs_0100</t>
        </is>
      </c>
      <c r="C136" s="313" t="n"/>
      <c r="D136" s="314" t="n"/>
      <c r="E136" s="2" t="n"/>
      <c r="F136" s="312">
        <f>B136</f>
        <v/>
      </c>
      <c r="G136" s="313" t="n"/>
      <c r="H136" s="314" t="n"/>
      <c r="J136" s="265" t="n"/>
      <c r="L136" s="265">
        <f>F136</f>
        <v/>
      </c>
      <c r="M136" s="313" t="n"/>
      <c r="N136" s="314" t="n"/>
      <c r="O136" s="195" t="n"/>
      <c r="P136" s="265" t="n"/>
      <c r="AB136" s="320" t="n"/>
    </row>
    <row r="137">
      <c r="B137" s="263" t="inlineStr">
        <is>
          <t>Test</t>
        </is>
      </c>
      <c r="D137" s="87" t="inlineStr">
        <is>
          <t>Bitrate [Mbps]</t>
        </is>
      </c>
      <c r="E137" s="315" t="n"/>
      <c r="F137" s="263" t="inlineStr">
        <is>
          <t>Test</t>
        </is>
      </c>
      <c r="H137" s="87" t="inlineStr">
        <is>
          <t>Bitrate [Mbps]</t>
        </is>
      </c>
      <c r="J137" s="267" t="inlineStr">
        <is>
          <t>%</t>
        </is>
      </c>
      <c r="L137" s="267" t="inlineStr">
        <is>
          <t>YUV-PSNR</t>
        </is>
      </c>
      <c r="N137" s="316" t="n"/>
      <c r="O137" s="85" t="n"/>
      <c r="P137" s="3" t="n"/>
    </row>
    <row r="138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315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70">
      <c r="B139" s="122">
        <f>B136</f>
        <v/>
      </c>
      <c r="C139" s="130" t="inlineStr">
        <is>
          <t>r01</t>
        </is>
      </c>
      <c r="D139" s="317">
        <f>0.001*INDIRECT($B139&amp;"!E5")</f>
        <v/>
      </c>
      <c r="E139" s="315" t="n"/>
      <c r="F139" s="122">
        <f>F136</f>
        <v/>
      </c>
      <c r="G139" s="130" t="inlineStr">
        <is>
          <t>r01</t>
        </is>
      </c>
      <c r="H139" s="317">
        <f>0.001*INDIRECT($B139&amp;"!AC5")</f>
        <v/>
      </c>
      <c r="J139" s="318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315" t="n"/>
      <c r="P139" s="318">
        <f>bdRateExtend(D139:D143,L139:L143,H139:H143,M139:M143)</f>
        <v/>
      </c>
      <c r="AB139" s="320" t="n"/>
    </row>
    <row r="140">
      <c r="B140" s="122">
        <f>B139</f>
        <v/>
      </c>
      <c r="C140" s="130" t="inlineStr">
        <is>
          <t>r02</t>
        </is>
      </c>
      <c r="D140" s="317">
        <f>0.001*INDIRECT($B140&amp;"!E6")</f>
        <v/>
      </c>
      <c r="E140" s="315" t="n"/>
      <c r="F140" s="122">
        <f>F139</f>
        <v/>
      </c>
      <c r="G140" s="130" t="inlineStr">
        <is>
          <t>r02</t>
        </is>
      </c>
      <c r="H140" s="317">
        <f>0.001*INDIRECT($B140&amp;"!AC6")</f>
        <v/>
      </c>
      <c r="J140" s="318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315" t="n"/>
      <c r="P140" s="3" t="n"/>
    </row>
    <row r="141" ht="16.5" customHeight="1" s="270">
      <c r="B141" s="122">
        <f>B140</f>
        <v/>
      </c>
      <c r="C141" s="130" t="inlineStr">
        <is>
          <t>r03</t>
        </is>
      </c>
      <c r="D141" s="317">
        <f>0.001*INDIRECT($B141&amp;"!E7")</f>
        <v/>
      </c>
      <c r="E141" s="315" t="n"/>
      <c r="F141" s="122">
        <f>F140</f>
        <v/>
      </c>
      <c r="G141" s="130" t="inlineStr">
        <is>
          <t>r03</t>
        </is>
      </c>
      <c r="H141" s="317">
        <f>0.001*INDIRECT($B141&amp;"!AC7")</f>
        <v/>
      </c>
      <c r="J141" s="318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315" t="n"/>
      <c r="P141" s="3" t="n"/>
    </row>
    <row r="142" ht="16.5" customHeight="1" s="270">
      <c r="B142" s="122">
        <f>B141</f>
        <v/>
      </c>
      <c r="C142" s="130" t="inlineStr">
        <is>
          <t>r04</t>
        </is>
      </c>
      <c r="D142" s="317">
        <f>0.001*INDIRECT($B142&amp;"!E8")</f>
        <v/>
      </c>
      <c r="E142" s="315" t="n"/>
      <c r="F142" s="122">
        <f>F141</f>
        <v/>
      </c>
      <c r="G142" s="130" t="inlineStr">
        <is>
          <t>r04</t>
        </is>
      </c>
      <c r="H142" s="317">
        <f>0.001*INDIRECT($B142&amp;"!AC8")</f>
        <v/>
      </c>
      <c r="J142" s="318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315" t="n"/>
      <c r="P142" s="325" t="n"/>
    </row>
    <row r="143" ht="16.2" customHeight="1" s="270" thickBot="1">
      <c r="B143" s="122">
        <f>B142</f>
        <v/>
      </c>
      <c r="C143" s="130" t="inlineStr">
        <is>
          <t>r05</t>
        </is>
      </c>
      <c r="D143" s="317">
        <f>0.001*INDIRECT($B143&amp;"!E9")</f>
        <v/>
      </c>
      <c r="E143" s="315" t="n"/>
      <c r="F143" s="122">
        <f>F142</f>
        <v/>
      </c>
      <c r="G143" s="130" t="inlineStr">
        <is>
          <t>r05</t>
        </is>
      </c>
      <c r="H143" s="317">
        <f>0.001*INDIRECT($B143&amp;"!AC9")</f>
        <v/>
      </c>
      <c r="J143" s="318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315" t="n"/>
      <c r="P143" s="321" t="n"/>
    </row>
    <row r="144">
      <c r="B144" s="109" t="n"/>
      <c r="C144" s="110" t="n"/>
      <c r="D144" s="322" t="n"/>
      <c r="F144" s="109" t="n"/>
      <c r="G144" s="110" t="n"/>
      <c r="H144" s="322" t="n"/>
      <c r="J144" s="98">
        <f>MIN(D139:D143,H139:H143)</f>
        <v/>
      </c>
      <c r="L144" s="99" t="n"/>
      <c r="M144" s="100" t="n"/>
      <c r="N144" s="101" t="n"/>
      <c r="O144" s="315" t="n"/>
      <c r="P144" s="265" t="n"/>
    </row>
    <row r="145" ht="16.2" customHeight="1" s="270" thickBot="1">
      <c r="B145" s="89" t="n"/>
      <c r="C145" s="92" t="n"/>
      <c r="D145" s="323" t="n"/>
      <c r="E145" s="315" t="n"/>
      <c r="F145" s="89" t="n"/>
      <c r="G145" s="92" t="n"/>
      <c r="H145" s="323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315" t="n"/>
      <c r="P145" s="5" t="n"/>
    </row>
    <row r="146" ht="16.2" customHeight="1" s="270" thickBot="1">
      <c r="B146" s="266" t="n"/>
      <c r="C146" s="266" t="n"/>
      <c r="D146" s="324" t="n"/>
      <c r="E146" s="315" t="n"/>
      <c r="F146" s="266" t="n"/>
      <c r="G146" s="266" t="n"/>
      <c r="H146" s="324" t="n"/>
      <c r="AB146" s="320" t="n"/>
    </row>
    <row r="147">
      <c r="B147" s="312" t="inlineStr">
        <is>
          <t>BlueBackpack_UVGgs_0200</t>
        </is>
      </c>
      <c r="C147" s="313" t="n"/>
      <c r="D147" s="314" t="n"/>
      <c r="E147" s="2" t="n"/>
      <c r="F147" s="312">
        <f>B147</f>
        <v/>
      </c>
      <c r="G147" s="313" t="n"/>
      <c r="H147" s="314" t="n"/>
      <c r="J147" s="265" t="n"/>
      <c r="L147" s="265">
        <f>F147</f>
        <v/>
      </c>
      <c r="M147" s="313" t="n"/>
      <c r="N147" s="314" t="n"/>
      <c r="O147" s="195" t="n"/>
      <c r="P147" s="265" t="n"/>
    </row>
    <row r="148">
      <c r="B148" s="263" t="inlineStr">
        <is>
          <t>Test</t>
        </is>
      </c>
      <c r="D148" s="87" t="inlineStr">
        <is>
          <t>Bitrate [Mbps]</t>
        </is>
      </c>
      <c r="E148" s="315" t="n"/>
      <c r="F148" s="263" t="inlineStr">
        <is>
          <t>Test</t>
        </is>
      </c>
      <c r="H148" s="87" t="inlineStr">
        <is>
          <t>Bitrate [Mbps]</t>
        </is>
      </c>
      <c r="J148" s="267" t="inlineStr">
        <is>
          <t>%</t>
        </is>
      </c>
      <c r="L148" s="267" t="inlineStr">
        <is>
          <t>YUV-PSNR</t>
        </is>
      </c>
      <c r="N148" s="316" t="n"/>
      <c r="O148" s="85" t="n"/>
      <c r="P148" s="3" t="n"/>
    </row>
    <row r="149" ht="16.5" customHeight="1" s="270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315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  <c r="AB149" s="320" t="n"/>
    </row>
    <row r="150">
      <c r="B150" s="122">
        <f>B147</f>
        <v/>
      </c>
      <c r="C150" s="130" t="inlineStr">
        <is>
          <t>r01</t>
        </is>
      </c>
      <c r="D150" s="317">
        <f>0.001*INDIRECT($B150&amp;"!E5")</f>
        <v/>
      </c>
      <c r="E150" s="315" t="n"/>
      <c r="F150" s="122">
        <f>F147</f>
        <v/>
      </c>
      <c r="G150" s="130" t="inlineStr">
        <is>
          <t>r01</t>
        </is>
      </c>
      <c r="H150" s="317">
        <f>0.001*INDIRECT($B150&amp;"!AC5")</f>
        <v/>
      </c>
      <c r="J150" s="318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315" t="n"/>
      <c r="P150" s="318">
        <f>bdRateExtend(D150:D154,L150:L154,H150:H154,M150:M154)</f>
        <v/>
      </c>
    </row>
    <row r="151" ht="16.5" customHeight="1" s="270">
      <c r="B151" s="122">
        <f>B150</f>
        <v/>
      </c>
      <c r="C151" s="130" t="inlineStr">
        <is>
          <t>r02</t>
        </is>
      </c>
      <c r="D151" s="317">
        <f>0.001*INDIRECT($B151&amp;"!E6")</f>
        <v/>
      </c>
      <c r="E151" s="315" t="n"/>
      <c r="F151" s="122">
        <f>F150</f>
        <v/>
      </c>
      <c r="G151" s="130" t="inlineStr">
        <is>
          <t>r02</t>
        </is>
      </c>
      <c r="H151" s="317">
        <f>0.001*INDIRECT($B151&amp;"!AC6")</f>
        <v/>
      </c>
      <c r="J151" s="318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315" t="n"/>
      <c r="P151" s="3" t="n"/>
    </row>
    <row r="152" ht="16.5" customHeight="1" s="270">
      <c r="B152" s="122">
        <f>B151</f>
        <v/>
      </c>
      <c r="C152" s="130" t="inlineStr">
        <is>
          <t>r03</t>
        </is>
      </c>
      <c r="D152" s="317">
        <f>0.001*INDIRECT($B152&amp;"!E7")</f>
        <v/>
      </c>
      <c r="E152" s="315" t="n"/>
      <c r="F152" s="122">
        <f>F151</f>
        <v/>
      </c>
      <c r="G152" s="130" t="inlineStr">
        <is>
          <t>r03</t>
        </is>
      </c>
      <c r="H152" s="317">
        <f>0.001*INDIRECT($B152&amp;"!AC7")</f>
        <v/>
      </c>
      <c r="J152" s="318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315" t="n"/>
      <c r="P152" s="3" t="n"/>
    </row>
    <row r="153">
      <c r="B153" s="122">
        <f>B152</f>
        <v/>
      </c>
      <c r="C153" s="130" t="inlineStr">
        <is>
          <t>r04</t>
        </is>
      </c>
      <c r="D153" s="317">
        <f>0.001*INDIRECT($B153&amp;"!E8")</f>
        <v/>
      </c>
      <c r="E153" s="315" t="n"/>
      <c r="F153" s="122">
        <f>F152</f>
        <v/>
      </c>
      <c r="G153" s="130" t="inlineStr">
        <is>
          <t>r04</t>
        </is>
      </c>
      <c r="H153" s="317">
        <f>0.001*INDIRECT($B153&amp;"!AC8")</f>
        <v/>
      </c>
      <c r="J153" s="318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315" t="n"/>
      <c r="P153" s="325" t="n"/>
    </row>
    <row r="154" ht="16.2" customHeight="1" s="270" thickBot="1">
      <c r="B154" s="122">
        <f>B153</f>
        <v/>
      </c>
      <c r="C154" s="130" t="inlineStr">
        <is>
          <t>r05</t>
        </is>
      </c>
      <c r="D154" s="317">
        <f>0.001*INDIRECT($B154&amp;"!E9")</f>
        <v/>
      </c>
      <c r="E154" s="315" t="n"/>
      <c r="F154" s="122">
        <f>F153</f>
        <v/>
      </c>
      <c r="G154" s="130" t="inlineStr">
        <is>
          <t>r05</t>
        </is>
      </c>
      <c r="H154" s="317">
        <f>0.001*INDIRECT($B154&amp;"!AC9")</f>
        <v/>
      </c>
      <c r="J154" s="318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315" t="n"/>
      <c r="P154" s="321" t="n"/>
    </row>
    <row r="155">
      <c r="B155" s="109" t="n"/>
      <c r="C155" s="110" t="n"/>
      <c r="D155" s="322" t="n"/>
      <c r="F155" s="109" t="n"/>
      <c r="G155" s="110" t="n"/>
      <c r="H155" s="322" t="n"/>
      <c r="J155" s="98">
        <f>MIN(D150:D154,H150:H154)</f>
        <v/>
      </c>
      <c r="L155" s="99" t="n"/>
      <c r="M155" s="100" t="n"/>
      <c r="N155" s="101" t="n"/>
      <c r="O155" s="315" t="n"/>
      <c r="P155" s="265" t="n"/>
    </row>
    <row r="156" ht="16.2" customHeight="1" s="270" thickBot="1">
      <c r="B156" s="89" t="n"/>
      <c r="C156" s="92" t="n"/>
      <c r="D156" s="323" t="n"/>
      <c r="E156" s="315" t="n"/>
      <c r="F156" s="89" t="n"/>
      <c r="G156" s="92" t="n"/>
      <c r="H156" s="323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315" t="n"/>
      <c r="P156" s="5" t="n"/>
      <c r="AB156" s="320" t="n"/>
    </row>
    <row r="157" ht="16.2" customHeight="1" s="270" thickBot="1"/>
    <row r="158">
      <c r="B158" s="312" t="inlineStr">
        <is>
          <t>FlowerDance_UVGgs_0000</t>
        </is>
      </c>
      <c r="C158" s="313" t="n"/>
      <c r="D158" s="314" t="n"/>
      <c r="E158" s="2" t="n"/>
      <c r="F158" s="312">
        <f>B158</f>
        <v/>
      </c>
      <c r="G158" s="313" t="n"/>
      <c r="H158" s="314" t="n"/>
      <c r="J158" s="265" t="n"/>
      <c r="L158" s="265">
        <f>F158</f>
        <v/>
      </c>
      <c r="M158" s="313" t="n"/>
      <c r="N158" s="314" t="n"/>
      <c r="O158" s="195" t="n"/>
      <c r="P158" s="265" t="n"/>
    </row>
    <row r="159" ht="16.5" customHeight="1" s="270">
      <c r="B159" s="263" t="inlineStr">
        <is>
          <t>Test</t>
        </is>
      </c>
      <c r="D159" s="87" t="inlineStr">
        <is>
          <t>Bitrate [Mbps]</t>
        </is>
      </c>
      <c r="E159" s="315" t="n"/>
      <c r="F159" s="263" t="inlineStr">
        <is>
          <t>Test</t>
        </is>
      </c>
      <c r="H159" s="87" t="inlineStr">
        <is>
          <t>Bitrate [Mbps]</t>
        </is>
      </c>
      <c r="J159" s="267" t="inlineStr">
        <is>
          <t>%</t>
        </is>
      </c>
      <c r="L159" s="267" t="inlineStr">
        <is>
          <t>YUV-PSNR</t>
        </is>
      </c>
      <c r="N159" s="316" t="n"/>
      <c r="O159" s="85" t="n"/>
      <c r="P159" s="3" t="n"/>
      <c r="AB159" s="320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315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 ht="16.5" customHeight="1" s="270">
      <c r="B161" s="122">
        <f>B158</f>
        <v/>
      </c>
      <c r="C161" s="130" t="inlineStr">
        <is>
          <t>r01</t>
        </is>
      </c>
      <c r="D161" s="317">
        <f>0.001*INDIRECT($B161&amp;"!E5")</f>
        <v/>
      </c>
      <c r="E161" s="315" t="n"/>
      <c r="F161" s="122">
        <f>F158</f>
        <v/>
      </c>
      <c r="G161" s="130" t="inlineStr">
        <is>
          <t>r01</t>
        </is>
      </c>
      <c r="H161" s="317">
        <f>0.001*INDIRECT($B161&amp;"!AC5")</f>
        <v/>
      </c>
      <c r="J161" s="318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315" t="n"/>
      <c r="P161" s="318">
        <f>bdRateExtend(D161:D165,L161:L165,H161:H165,M161:M165)</f>
        <v/>
      </c>
    </row>
    <row r="162" ht="16.5" customHeight="1" s="270">
      <c r="B162" s="122">
        <f>B161</f>
        <v/>
      </c>
      <c r="C162" s="130" t="inlineStr">
        <is>
          <t>r02</t>
        </is>
      </c>
      <c r="D162" s="317">
        <f>0.001*INDIRECT($B162&amp;"!E6")</f>
        <v/>
      </c>
      <c r="E162" s="315" t="n"/>
      <c r="F162" s="122">
        <f>F161</f>
        <v/>
      </c>
      <c r="G162" s="130" t="inlineStr">
        <is>
          <t>r02</t>
        </is>
      </c>
      <c r="H162" s="317">
        <f>0.001*INDIRECT($B162&amp;"!AC6")</f>
        <v/>
      </c>
      <c r="J162" s="318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315" t="n"/>
      <c r="P162" s="3" t="n"/>
    </row>
    <row r="163">
      <c r="B163" s="122">
        <f>B162</f>
        <v/>
      </c>
      <c r="C163" s="130" t="inlineStr">
        <is>
          <t>r03</t>
        </is>
      </c>
      <c r="D163" s="317">
        <f>0.001*INDIRECT($B163&amp;"!E7")</f>
        <v/>
      </c>
      <c r="E163" s="315" t="n"/>
      <c r="F163" s="122">
        <f>F162</f>
        <v/>
      </c>
      <c r="G163" s="130" t="inlineStr">
        <is>
          <t>r03</t>
        </is>
      </c>
      <c r="H163" s="317">
        <f>0.001*INDIRECT($B163&amp;"!AC7")</f>
        <v/>
      </c>
      <c r="J163" s="318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315" t="n"/>
      <c r="P163" s="3" t="n"/>
    </row>
    <row r="164">
      <c r="B164" s="122">
        <f>B163</f>
        <v/>
      </c>
      <c r="C164" s="130" t="inlineStr">
        <is>
          <t>r04</t>
        </is>
      </c>
      <c r="D164" s="317">
        <f>0.001*INDIRECT($B164&amp;"!E8")</f>
        <v/>
      </c>
      <c r="E164" s="315" t="n"/>
      <c r="F164" s="122">
        <f>F163</f>
        <v/>
      </c>
      <c r="G164" s="130" t="inlineStr">
        <is>
          <t>r04</t>
        </is>
      </c>
      <c r="H164" s="317">
        <f>0.001*INDIRECT($B164&amp;"!AC8")</f>
        <v/>
      </c>
      <c r="J164" s="318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315" t="n"/>
      <c r="P164" s="325" t="n"/>
    </row>
    <row r="165" ht="16.2" customHeight="1" s="270" thickBot="1">
      <c r="B165" s="122">
        <f>B164</f>
        <v/>
      </c>
      <c r="C165" s="130" t="inlineStr">
        <is>
          <t>r05</t>
        </is>
      </c>
      <c r="D165" s="317">
        <f>0.001*INDIRECT($B165&amp;"!E9")</f>
        <v/>
      </c>
      <c r="E165" s="315" t="n"/>
      <c r="F165" s="122">
        <f>F164</f>
        <v/>
      </c>
      <c r="G165" s="130" t="inlineStr">
        <is>
          <t>r05</t>
        </is>
      </c>
      <c r="H165" s="317">
        <f>0.001*INDIRECT($B165&amp;"!AC9")</f>
        <v/>
      </c>
      <c r="J165" s="318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315" t="n"/>
      <c r="P165" s="321" t="n"/>
    </row>
    <row r="166">
      <c r="B166" s="109" t="n"/>
      <c r="C166" s="110" t="n"/>
      <c r="D166" s="322" t="n"/>
      <c r="F166" s="109" t="n"/>
      <c r="G166" s="110" t="n"/>
      <c r="H166" s="322" t="n"/>
      <c r="J166" s="98">
        <f>MIN(D161:D165,H161:H165)</f>
        <v/>
      </c>
      <c r="L166" s="99" t="n"/>
      <c r="M166" s="100" t="n"/>
      <c r="N166" s="101" t="n"/>
      <c r="O166" s="315" t="n"/>
      <c r="P166" s="265" t="n"/>
      <c r="AB166" s="320" t="n"/>
    </row>
    <row r="167" ht="16.2" customHeight="1" s="270" thickBot="1">
      <c r="B167" s="89" t="n"/>
      <c r="C167" s="92" t="n"/>
      <c r="D167" s="323" t="n"/>
      <c r="E167" s="315" t="n"/>
      <c r="F167" s="89" t="n"/>
      <c r="G167" s="92" t="n"/>
      <c r="H167" s="323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315" t="n"/>
      <c r="P167" s="5" t="n"/>
    </row>
    <row r="168" ht="16.2" customHeight="1" s="270" thickBot="1"/>
    <row r="169" ht="16.5" customHeight="1" s="270">
      <c r="B169" s="312" t="inlineStr">
        <is>
          <t>FlowerDance_UVGgs_0200</t>
        </is>
      </c>
      <c r="C169" s="313" t="n"/>
      <c r="D169" s="314" t="n"/>
      <c r="E169" s="2" t="n"/>
      <c r="F169" s="312">
        <f>B169</f>
        <v/>
      </c>
      <c r="G169" s="313" t="n"/>
      <c r="H169" s="314" t="n"/>
      <c r="J169" s="265" t="n"/>
      <c r="L169" s="265">
        <f>F169</f>
        <v/>
      </c>
      <c r="M169" s="313" t="n"/>
      <c r="N169" s="314" t="n"/>
      <c r="O169" s="195" t="n"/>
      <c r="P169" s="265" t="n"/>
      <c r="AB169" s="320" t="n"/>
    </row>
    <row r="170">
      <c r="B170" s="263" t="inlineStr">
        <is>
          <t>Test</t>
        </is>
      </c>
      <c r="D170" s="87" t="inlineStr">
        <is>
          <t>Bitrate [Mbps]</t>
        </is>
      </c>
      <c r="E170" s="315" t="n"/>
      <c r="F170" s="263" t="inlineStr">
        <is>
          <t>Test</t>
        </is>
      </c>
      <c r="H170" s="87" t="inlineStr">
        <is>
          <t>Bitrate [Mbps]</t>
        </is>
      </c>
      <c r="J170" s="267" t="inlineStr">
        <is>
          <t>%</t>
        </is>
      </c>
      <c r="L170" s="267" t="inlineStr">
        <is>
          <t>YUV-PSNR</t>
        </is>
      </c>
      <c r="N170" s="316" t="n"/>
      <c r="O170" s="85" t="n"/>
      <c r="P170" s="3" t="n"/>
    </row>
    <row r="171" ht="16.5" customHeight="1" s="270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315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 ht="16.5" customHeight="1" s="270">
      <c r="B172" s="122">
        <f>B169</f>
        <v/>
      </c>
      <c r="C172" s="130" t="inlineStr">
        <is>
          <t>r01</t>
        </is>
      </c>
      <c r="D172" s="317">
        <f>0.001*INDIRECT($B172&amp;"!E5")</f>
        <v/>
      </c>
      <c r="E172" s="315" t="n"/>
      <c r="F172" s="122">
        <f>F169</f>
        <v/>
      </c>
      <c r="G172" s="130" t="inlineStr">
        <is>
          <t>r01</t>
        </is>
      </c>
      <c r="H172" s="317">
        <f>0.001*INDIRECT($B172&amp;"!AC5")</f>
        <v/>
      </c>
      <c r="J172" s="318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315" t="n"/>
      <c r="P172" s="318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317">
        <f>0.001*INDIRECT($B173&amp;"!E6")</f>
        <v/>
      </c>
      <c r="E173" s="315" t="n"/>
      <c r="F173" s="122">
        <f>F172</f>
        <v/>
      </c>
      <c r="G173" s="130" t="inlineStr">
        <is>
          <t>r02</t>
        </is>
      </c>
      <c r="H173" s="317">
        <f>0.001*INDIRECT($B173&amp;"!AC6")</f>
        <v/>
      </c>
      <c r="J173" s="318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315" t="n"/>
      <c r="P173" s="3" t="n"/>
    </row>
    <row r="174">
      <c r="B174" s="122">
        <f>B173</f>
        <v/>
      </c>
      <c r="C174" s="130" t="inlineStr">
        <is>
          <t>r03</t>
        </is>
      </c>
      <c r="D174" s="317">
        <f>0.001*INDIRECT($B174&amp;"!E7")</f>
        <v/>
      </c>
      <c r="E174" s="315" t="n"/>
      <c r="F174" s="122">
        <f>F173</f>
        <v/>
      </c>
      <c r="G174" s="130" t="inlineStr">
        <is>
          <t>r03</t>
        </is>
      </c>
      <c r="H174" s="317">
        <f>0.001*INDIRECT($B174&amp;"!AC7")</f>
        <v/>
      </c>
      <c r="J174" s="318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315" t="n"/>
      <c r="P174" s="3" t="n"/>
    </row>
    <row r="175">
      <c r="B175" s="122">
        <f>B174</f>
        <v/>
      </c>
      <c r="C175" s="130" t="inlineStr">
        <is>
          <t>r04</t>
        </is>
      </c>
      <c r="D175" s="317">
        <f>0.001*INDIRECT($B175&amp;"!E8")</f>
        <v/>
      </c>
      <c r="E175" s="315" t="n"/>
      <c r="F175" s="122">
        <f>F174</f>
        <v/>
      </c>
      <c r="G175" s="130" t="inlineStr">
        <is>
          <t>r04</t>
        </is>
      </c>
      <c r="H175" s="317">
        <f>0.001*INDIRECT($B175&amp;"!AC8")</f>
        <v/>
      </c>
      <c r="J175" s="318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315" t="n"/>
      <c r="P175" s="325" t="n"/>
    </row>
    <row r="176" ht="16.2" customHeight="1" s="270" thickBot="1">
      <c r="B176" s="122">
        <f>B175</f>
        <v/>
      </c>
      <c r="C176" s="130" t="inlineStr">
        <is>
          <t>r05</t>
        </is>
      </c>
      <c r="D176" s="317">
        <f>0.001*INDIRECT($B176&amp;"!E9")</f>
        <v/>
      </c>
      <c r="E176" s="315" t="n"/>
      <c r="F176" s="122">
        <f>F175</f>
        <v/>
      </c>
      <c r="G176" s="130" t="inlineStr">
        <is>
          <t>r05</t>
        </is>
      </c>
      <c r="H176" s="317">
        <f>0.001*INDIRECT($B176&amp;"!AC9")</f>
        <v/>
      </c>
      <c r="J176" s="318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315" t="n"/>
      <c r="P176" s="321" t="n"/>
      <c r="AB176" s="320" t="n"/>
    </row>
    <row r="177">
      <c r="B177" s="109" t="n"/>
      <c r="C177" s="110" t="n"/>
      <c r="D177" s="322" t="n"/>
      <c r="F177" s="109" t="n"/>
      <c r="G177" s="110" t="n"/>
      <c r="H177" s="322" t="n"/>
      <c r="J177" s="98">
        <f>MIN(D172:D176,H172:H176)</f>
        <v/>
      </c>
      <c r="L177" s="99" t="n"/>
      <c r="M177" s="100" t="n"/>
      <c r="N177" s="101" t="n"/>
      <c r="O177" s="315" t="n"/>
      <c r="P177" s="265" t="n"/>
    </row>
    <row r="178" ht="16.2" customHeight="1" s="270" thickBot="1">
      <c r="B178" s="89" t="n"/>
      <c r="C178" s="92" t="n"/>
      <c r="D178" s="323" t="n"/>
      <c r="E178" s="315" t="n"/>
      <c r="F178" s="89" t="n"/>
      <c r="G178" s="92" t="n"/>
      <c r="H178" s="323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315" t="n"/>
      <c r="P178" s="5" t="n"/>
    </row>
    <row r="179" ht="16.5" customHeight="1" s="270" thickBot="1">
      <c r="AB179" s="320" t="n"/>
    </row>
    <row r="180">
      <c r="B180" s="312" t="inlineStr">
        <is>
          <t>Gymnast_UVGgs_0100</t>
        </is>
      </c>
      <c r="C180" s="313" t="n"/>
      <c r="D180" s="314" t="n"/>
      <c r="E180" s="2" t="n"/>
      <c r="F180" s="312">
        <f>B180</f>
        <v/>
      </c>
      <c r="G180" s="313" t="n"/>
      <c r="H180" s="314" t="n"/>
      <c r="J180" s="265" t="n"/>
      <c r="L180" s="265">
        <f>F180</f>
        <v/>
      </c>
      <c r="M180" s="313" t="n"/>
      <c r="N180" s="314" t="n"/>
      <c r="O180" s="195" t="n"/>
      <c r="P180" s="265" t="n"/>
    </row>
    <row r="181" ht="16.5" customHeight="1" s="270">
      <c r="B181" s="263" t="inlineStr">
        <is>
          <t>Test</t>
        </is>
      </c>
      <c r="D181" s="87" t="inlineStr">
        <is>
          <t>Bitrate [Mbps]</t>
        </is>
      </c>
      <c r="E181" s="315" t="n"/>
      <c r="F181" s="263" t="inlineStr">
        <is>
          <t>Test</t>
        </is>
      </c>
      <c r="H181" s="87" t="inlineStr">
        <is>
          <t>Bitrate [Mbps]</t>
        </is>
      </c>
      <c r="J181" s="267" t="inlineStr">
        <is>
          <t>%</t>
        </is>
      </c>
      <c r="L181" s="267" t="inlineStr">
        <is>
          <t>YUV-PSNR</t>
        </is>
      </c>
      <c r="N181" s="316" t="n"/>
      <c r="O181" s="85" t="n"/>
      <c r="P181" s="3" t="n"/>
    </row>
    <row r="182" ht="16.5" customHeight="1" s="270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315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</row>
    <row r="183">
      <c r="B183" s="122">
        <f>B180</f>
        <v/>
      </c>
      <c r="C183" s="130" t="inlineStr">
        <is>
          <t>r01</t>
        </is>
      </c>
      <c r="D183" s="317">
        <f>0.001*INDIRECT($B183&amp;"!E5")</f>
        <v/>
      </c>
      <c r="E183" s="315" t="n"/>
      <c r="F183" s="122">
        <f>F180</f>
        <v/>
      </c>
      <c r="G183" s="130" t="inlineStr">
        <is>
          <t>r01</t>
        </is>
      </c>
      <c r="H183" s="317">
        <f>0.001*INDIRECT($B183&amp;"!AC5")</f>
        <v/>
      </c>
      <c r="J183" s="318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315" t="n"/>
      <c r="P183" s="318">
        <f>bdRateExtend(D183:D187,L183:L187,H183:H187,M183:M187)</f>
        <v/>
      </c>
    </row>
    <row r="184">
      <c r="B184" s="122">
        <f>B183</f>
        <v/>
      </c>
      <c r="C184" s="130" t="inlineStr">
        <is>
          <t>r02</t>
        </is>
      </c>
      <c r="D184" s="317">
        <f>0.001*INDIRECT($B184&amp;"!E6")</f>
        <v/>
      </c>
      <c r="E184" s="315" t="n"/>
      <c r="F184" s="122">
        <f>F183</f>
        <v/>
      </c>
      <c r="G184" s="130" t="inlineStr">
        <is>
          <t>r02</t>
        </is>
      </c>
      <c r="H184" s="317">
        <f>0.001*INDIRECT($B184&amp;"!AC6")</f>
        <v/>
      </c>
      <c r="J184" s="318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315" t="n"/>
      <c r="P184" s="3" t="n"/>
    </row>
    <row r="185">
      <c r="B185" s="122">
        <f>B184</f>
        <v/>
      </c>
      <c r="C185" s="130" t="inlineStr">
        <is>
          <t>r03</t>
        </is>
      </c>
      <c r="D185" s="317">
        <f>0.001*INDIRECT($B185&amp;"!E7")</f>
        <v/>
      </c>
      <c r="E185" s="315" t="n"/>
      <c r="F185" s="122">
        <f>F184</f>
        <v/>
      </c>
      <c r="G185" s="130" t="inlineStr">
        <is>
          <t>r03</t>
        </is>
      </c>
      <c r="H185" s="317">
        <f>0.001*INDIRECT($B185&amp;"!AC7")</f>
        <v/>
      </c>
      <c r="J185" s="318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315" t="n"/>
      <c r="P185" s="3" t="n"/>
    </row>
    <row r="186">
      <c r="B186" s="122">
        <f>B185</f>
        <v/>
      </c>
      <c r="C186" s="130" t="inlineStr">
        <is>
          <t>r04</t>
        </is>
      </c>
      <c r="D186" s="317">
        <f>0.001*INDIRECT($B186&amp;"!E8")</f>
        <v/>
      </c>
      <c r="E186" s="315" t="n"/>
      <c r="F186" s="122">
        <f>F185</f>
        <v/>
      </c>
      <c r="G186" s="130" t="inlineStr">
        <is>
          <t>r04</t>
        </is>
      </c>
      <c r="H186" s="317">
        <f>0.001*INDIRECT($B186&amp;"!AC8")</f>
        <v/>
      </c>
      <c r="J186" s="318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315" t="n"/>
      <c r="P186" s="325" t="n"/>
      <c r="AB186" s="320" t="n"/>
    </row>
    <row r="187" ht="16.2" customHeight="1" s="270" thickBot="1">
      <c r="B187" s="122">
        <f>B186</f>
        <v/>
      </c>
      <c r="C187" s="130" t="inlineStr">
        <is>
          <t>r05</t>
        </is>
      </c>
      <c r="D187" s="317">
        <f>0.001*INDIRECT($B187&amp;"!E9")</f>
        <v/>
      </c>
      <c r="E187" s="315" t="n"/>
      <c r="F187" s="122">
        <f>F186</f>
        <v/>
      </c>
      <c r="G187" s="130" t="inlineStr">
        <is>
          <t>r05</t>
        </is>
      </c>
      <c r="H187" s="317">
        <f>0.001*INDIRECT($B187&amp;"!AC9")</f>
        <v/>
      </c>
      <c r="J187" s="318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315" t="n"/>
      <c r="P187" s="321" t="n"/>
    </row>
    <row r="188">
      <c r="B188" s="109" t="n"/>
      <c r="C188" s="110" t="n"/>
      <c r="D188" s="322" t="n"/>
      <c r="F188" s="109" t="n"/>
      <c r="G188" s="110" t="n"/>
      <c r="H188" s="322" t="n"/>
      <c r="J188" s="98">
        <f>MIN(D183:D187,H183:H187)</f>
        <v/>
      </c>
      <c r="L188" s="99" t="n"/>
      <c r="M188" s="100" t="n"/>
      <c r="N188" s="101" t="n"/>
      <c r="O188" s="315" t="n"/>
      <c r="P188" s="265" t="n"/>
    </row>
    <row r="189" ht="16.5" customHeight="1" s="270" thickBot="1">
      <c r="B189" s="89" t="n"/>
      <c r="C189" s="92" t="n"/>
      <c r="D189" s="323" t="n"/>
      <c r="E189" s="315" t="n"/>
      <c r="F189" s="89" t="n"/>
      <c r="G189" s="92" t="n"/>
      <c r="H189" s="323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315" t="n"/>
      <c r="P189" s="5" t="n"/>
      <c r="AB189" s="320" t="n"/>
    </row>
    <row r="190" ht="16.2" customHeight="1" s="270" thickBot="1"/>
    <row r="191" ht="16.5" customHeight="1" s="270">
      <c r="B191" s="312" t="inlineStr">
        <is>
          <t>Gymnast_UVGgs_0200</t>
        </is>
      </c>
      <c r="C191" s="313" t="n"/>
      <c r="D191" s="314" t="n"/>
      <c r="E191" s="2" t="n"/>
      <c r="F191" s="312">
        <f>B191</f>
        <v/>
      </c>
      <c r="G191" s="313" t="n"/>
      <c r="H191" s="314" t="n"/>
      <c r="J191" s="265" t="n"/>
      <c r="L191" s="265">
        <f>F191</f>
        <v/>
      </c>
      <c r="M191" s="313" t="n"/>
      <c r="N191" s="314" t="n"/>
      <c r="O191" s="195" t="n"/>
      <c r="P191" s="265" t="n"/>
    </row>
    <row r="192" ht="16.5" customHeight="1" s="270">
      <c r="B192" s="263" t="inlineStr">
        <is>
          <t>Test</t>
        </is>
      </c>
      <c r="D192" s="87" t="inlineStr">
        <is>
          <t>Bitrate [Mbps]</t>
        </is>
      </c>
      <c r="E192" s="315" t="n"/>
      <c r="F192" s="263" t="inlineStr">
        <is>
          <t>Test</t>
        </is>
      </c>
      <c r="H192" s="87" t="inlineStr">
        <is>
          <t>Bitrate [Mbps]</t>
        </is>
      </c>
      <c r="J192" s="267" t="inlineStr">
        <is>
          <t>%</t>
        </is>
      </c>
      <c r="L192" s="267" t="inlineStr">
        <is>
          <t>YUV-PSNR</t>
        </is>
      </c>
      <c r="N192" s="316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315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317">
        <f>0.001*INDIRECT($B194&amp;"!E5")</f>
        <v/>
      </c>
      <c r="E194" s="315" t="n"/>
      <c r="F194" s="122">
        <f>F191</f>
        <v/>
      </c>
      <c r="G194" s="130" t="inlineStr">
        <is>
          <t>r01</t>
        </is>
      </c>
      <c r="H194" s="317">
        <f>0.001*INDIRECT($B194&amp;"!AC5")</f>
        <v/>
      </c>
      <c r="J194" s="318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315" t="n"/>
      <c r="P194" s="318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317">
        <f>0.001*INDIRECT($B195&amp;"!E6")</f>
        <v/>
      </c>
      <c r="E195" s="315" t="n"/>
      <c r="F195" s="122">
        <f>F194</f>
        <v/>
      </c>
      <c r="G195" s="130" t="inlineStr">
        <is>
          <t>r02</t>
        </is>
      </c>
      <c r="H195" s="317">
        <f>0.001*INDIRECT($B195&amp;"!AC6")</f>
        <v/>
      </c>
      <c r="J195" s="318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315" t="n"/>
      <c r="P195" s="3" t="n"/>
    </row>
    <row r="196">
      <c r="B196" s="122">
        <f>B195</f>
        <v/>
      </c>
      <c r="C196" s="130" t="inlineStr">
        <is>
          <t>r03</t>
        </is>
      </c>
      <c r="D196" s="317">
        <f>0.001*INDIRECT($B196&amp;"!E7")</f>
        <v/>
      </c>
      <c r="E196" s="315" t="n"/>
      <c r="F196" s="122">
        <f>F195</f>
        <v/>
      </c>
      <c r="G196" s="130" t="inlineStr">
        <is>
          <t>r03</t>
        </is>
      </c>
      <c r="H196" s="317">
        <f>0.001*INDIRECT($B196&amp;"!AC7")</f>
        <v/>
      </c>
      <c r="J196" s="318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315" t="n"/>
      <c r="P196" s="3" t="n"/>
      <c r="AB196" s="320" t="n"/>
    </row>
    <row r="197">
      <c r="B197" s="122">
        <f>B196</f>
        <v/>
      </c>
      <c r="C197" s="130" t="inlineStr">
        <is>
          <t>r04</t>
        </is>
      </c>
      <c r="D197" s="317">
        <f>0.001*INDIRECT($B197&amp;"!E8")</f>
        <v/>
      </c>
      <c r="E197" s="315" t="n"/>
      <c r="F197" s="122">
        <f>F196</f>
        <v/>
      </c>
      <c r="G197" s="130" t="inlineStr">
        <is>
          <t>r04</t>
        </is>
      </c>
      <c r="H197" s="317">
        <f>0.001*INDIRECT($B197&amp;"!AC8")</f>
        <v/>
      </c>
      <c r="J197" s="318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315" t="n"/>
      <c r="P197" s="325" t="n"/>
    </row>
    <row r="198" ht="16.2" customHeight="1" s="270" thickBot="1">
      <c r="B198" s="122">
        <f>B197</f>
        <v/>
      </c>
      <c r="C198" s="130" t="inlineStr">
        <is>
          <t>r05</t>
        </is>
      </c>
      <c r="D198" s="317">
        <f>0.001*INDIRECT($B198&amp;"!E9")</f>
        <v/>
      </c>
      <c r="E198" s="315" t="n"/>
      <c r="F198" s="122">
        <f>F197</f>
        <v/>
      </c>
      <c r="G198" s="130" t="inlineStr">
        <is>
          <t>r05</t>
        </is>
      </c>
      <c r="H198" s="317">
        <f>0.001*INDIRECT($B198&amp;"!AC9")</f>
        <v/>
      </c>
      <c r="J198" s="318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315" t="n"/>
      <c r="P198" s="321" t="n"/>
    </row>
    <row r="199" ht="16.5" customHeight="1" s="270">
      <c r="B199" s="109" t="n"/>
      <c r="C199" s="110" t="n"/>
      <c r="D199" s="322" t="n"/>
      <c r="F199" s="109" t="n"/>
      <c r="G199" s="110" t="n"/>
      <c r="H199" s="322" t="n"/>
      <c r="J199" s="98">
        <f>MIN(D194:D198,H194:H198)</f>
        <v/>
      </c>
      <c r="L199" s="99" t="n"/>
      <c r="M199" s="100" t="n"/>
      <c r="N199" s="101" t="n"/>
      <c r="O199" s="315" t="n"/>
      <c r="P199" s="265" t="n"/>
      <c r="AB199" s="320" t="n"/>
    </row>
    <row r="200" ht="16.2" customHeight="1" s="270" thickBot="1">
      <c r="B200" s="89" t="n"/>
      <c r="C200" s="92" t="n"/>
      <c r="D200" s="323" t="n"/>
      <c r="E200" s="315" t="n"/>
      <c r="F200" s="89" t="n"/>
      <c r="G200" s="92" t="n"/>
      <c r="H200" s="323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315" t="n"/>
      <c r="P200" s="5" t="n"/>
    </row>
    <row r="201" ht="16.5" customHeight="1" s="270" thickBot="1"/>
    <row r="202" ht="16.5" customHeight="1" s="270">
      <c r="B202" s="312" t="inlineStr">
        <is>
          <t>artwork</t>
        </is>
      </c>
      <c r="C202" s="313" t="n"/>
      <c r="D202" s="314" t="n"/>
      <c r="E202" s="2" t="n"/>
      <c r="F202" s="312">
        <f>B202</f>
        <v/>
      </c>
      <c r="G202" s="313" t="n"/>
      <c r="H202" s="314" t="n"/>
      <c r="J202" s="265" t="n"/>
      <c r="L202" s="265">
        <f>F202</f>
        <v/>
      </c>
      <c r="M202" s="313" t="n"/>
      <c r="N202" s="314" t="n"/>
      <c r="O202" s="195" t="n"/>
      <c r="P202" s="265" t="n"/>
    </row>
    <row r="203">
      <c r="B203" s="263" t="inlineStr">
        <is>
          <t>Test</t>
        </is>
      </c>
      <c r="D203" s="87" t="inlineStr">
        <is>
          <t>Bitrate [Mbps]</t>
        </is>
      </c>
      <c r="E203" s="315" t="n"/>
      <c r="F203" s="263" t="inlineStr">
        <is>
          <t>Test</t>
        </is>
      </c>
      <c r="H203" s="87" t="inlineStr">
        <is>
          <t>Bitrate [Mbps]</t>
        </is>
      </c>
      <c r="J203" s="267" t="inlineStr">
        <is>
          <t>%</t>
        </is>
      </c>
      <c r="L203" s="267" t="inlineStr">
        <is>
          <t>YUV-PSNR</t>
        </is>
      </c>
      <c r="N203" s="316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315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317">
        <f>0.001*INDIRECT($B205&amp;"!E5")</f>
        <v/>
      </c>
      <c r="E205" s="315" t="n"/>
      <c r="F205" s="122">
        <f>F202</f>
        <v/>
      </c>
      <c r="G205" s="130" t="inlineStr">
        <is>
          <t>r01</t>
        </is>
      </c>
      <c r="H205" s="317">
        <f>0.001*INDIRECT($B205&amp;"!AC5")</f>
        <v/>
      </c>
      <c r="J205" s="318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315" t="n"/>
      <c r="P205" s="318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317">
        <f>0.001*INDIRECT($B206&amp;"!E6")</f>
        <v/>
      </c>
      <c r="E206" s="315" t="n"/>
      <c r="F206" s="122">
        <f>F205</f>
        <v/>
      </c>
      <c r="G206" s="130" t="inlineStr">
        <is>
          <t>r02</t>
        </is>
      </c>
      <c r="H206" s="317">
        <f>0.001*INDIRECT($B206&amp;"!AC6")</f>
        <v/>
      </c>
      <c r="J206" s="318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315" t="n"/>
      <c r="P206" s="3" t="n"/>
      <c r="AB206" s="320" t="n"/>
    </row>
    <row r="207">
      <c r="B207" s="122">
        <f>B206</f>
        <v/>
      </c>
      <c r="C207" s="130" t="inlineStr">
        <is>
          <t>r03</t>
        </is>
      </c>
      <c r="D207" s="317">
        <f>0.001*INDIRECT($B207&amp;"!E7")</f>
        <v/>
      </c>
      <c r="E207" s="315" t="n"/>
      <c r="F207" s="122">
        <f>F206</f>
        <v/>
      </c>
      <c r="G207" s="130" t="inlineStr">
        <is>
          <t>r03</t>
        </is>
      </c>
      <c r="H207" s="317">
        <f>0.001*INDIRECT($B207&amp;"!AC7")</f>
        <v/>
      </c>
      <c r="J207" s="318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315" t="n"/>
      <c r="P207" s="3" t="n"/>
    </row>
    <row r="208">
      <c r="B208" s="122">
        <f>B207</f>
        <v/>
      </c>
      <c r="C208" s="130" t="inlineStr">
        <is>
          <t>r04</t>
        </is>
      </c>
      <c r="D208" s="317">
        <f>0.001*INDIRECT($B208&amp;"!E8")</f>
        <v/>
      </c>
      <c r="E208" s="315" t="n"/>
      <c r="F208" s="122">
        <f>F207</f>
        <v/>
      </c>
      <c r="G208" s="130" t="inlineStr">
        <is>
          <t>r04</t>
        </is>
      </c>
      <c r="H208" s="317">
        <f>0.001*INDIRECT($B208&amp;"!AC8")</f>
        <v/>
      </c>
      <c r="J208" s="318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315" t="n"/>
      <c r="P208" s="325" t="n"/>
    </row>
    <row r="209" ht="16.5" customHeight="1" s="270" thickBot="1">
      <c r="B209" s="122">
        <f>B208</f>
        <v/>
      </c>
      <c r="C209" s="130" t="inlineStr">
        <is>
          <t>r05</t>
        </is>
      </c>
      <c r="D209" s="317">
        <f>0.001*INDIRECT($B209&amp;"!E9")</f>
        <v/>
      </c>
      <c r="E209" s="315" t="n"/>
      <c r="F209" s="122">
        <f>F208</f>
        <v/>
      </c>
      <c r="G209" s="130" t="inlineStr">
        <is>
          <t>r05</t>
        </is>
      </c>
      <c r="H209" s="317">
        <f>0.001*INDIRECT($B209&amp;"!AC9")</f>
        <v/>
      </c>
      <c r="J209" s="318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315" t="n"/>
      <c r="P209" s="321" t="n"/>
      <c r="AB209" s="320" t="n"/>
    </row>
    <row r="210">
      <c r="B210" s="109" t="n"/>
      <c r="C210" s="110" t="n"/>
      <c r="D210" s="322" t="n"/>
      <c r="F210" s="109" t="n"/>
      <c r="G210" s="110" t="n"/>
      <c r="H210" s="322" t="n"/>
      <c r="J210" s="98">
        <f>MIN(D205:D209,H205:H209)</f>
        <v/>
      </c>
      <c r="L210" s="99" t="n"/>
      <c r="M210" s="100" t="n"/>
      <c r="N210" s="101" t="n"/>
      <c r="O210" s="315" t="n"/>
      <c r="P210" s="265" t="n"/>
    </row>
    <row r="211" ht="16.5" customHeight="1" s="270" thickBot="1">
      <c r="B211" s="89" t="n"/>
      <c r="C211" s="92" t="n"/>
      <c r="D211" s="323" t="n"/>
      <c r="E211" s="315" t="n"/>
      <c r="F211" s="89" t="n"/>
      <c r="G211" s="92" t="n"/>
      <c r="H211" s="323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315" t="n"/>
      <c r="P211" s="5" t="n"/>
    </row>
    <row r="212" ht="16.5" customHeight="1" s="270" thickBot="1"/>
    <row r="213">
      <c r="B213" s="312" t="inlineStr">
        <is>
          <t>panda</t>
        </is>
      </c>
      <c r="C213" s="313" t="n"/>
      <c r="D213" s="314" t="n"/>
      <c r="E213" s="2" t="n"/>
      <c r="F213" s="312">
        <f>B213</f>
        <v/>
      </c>
      <c r="G213" s="313" t="n"/>
      <c r="H213" s="314" t="n"/>
      <c r="J213" s="265" t="n"/>
      <c r="L213" s="265">
        <f>F213</f>
        <v/>
      </c>
      <c r="M213" s="313" t="n"/>
      <c r="N213" s="314" t="n"/>
      <c r="O213" s="195" t="n"/>
      <c r="P213" s="265" t="n"/>
    </row>
    <row r="214">
      <c r="B214" s="263" t="inlineStr">
        <is>
          <t>Test</t>
        </is>
      </c>
      <c r="D214" s="87" t="inlineStr">
        <is>
          <t>Bitrate [Mbps]</t>
        </is>
      </c>
      <c r="E214" s="315" t="n"/>
      <c r="F214" s="263" t="inlineStr">
        <is>
          <t>Test</t>
        </is>
      </c>
      <c r="H214" s="87" t="inlineStr">
        <is>
          <t>Bitrate [Mbps]</t>
        </is>
      </c>
      <c r="J214" s="267" t="inlineStr">
        <is>
          <t>%</t>
        </is>
      </c>
      <c r="L214" s="267" t="inlineStr">
        <is>
          <t>YUV-PSNR</t>
        </is>
      </c>
      <c r="N214" s="316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315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2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  <c r="Q215" s="2" t="n"/>
      <c r="R215" s="2" t="n"/>
      <c r="S215" s="2" t="n"/>
      <c r="T215" s="2" t="n"/>
      <c r="U215" s="2" t="n"/>
      <c r="V215" s="2" t="n"/>
      <c r="X215" s="195" t="n"/>
      <c r="Y215" s="195" t="n"/>
      <c r="Z215" s="195" t="n"/>
    </row>
    <row r="216">
      <c r="B216" s="122">
        <f>B213</f>
        <v/>
      </c>
      <c r="C216" s="130" t="inlineStr">
        <is>
          <t>r01</t>
        </is>
      </c>
      <c r="D216" s="317">
        <f>0.001*INDIRECT($B216&amp;"!E5")</f>
        <v/>
      </c>
      <c r="E216" s="315" t="n"/>
      <c r="F216" s="122">
        <f>F213</f>
        <v/>
      </c>
      <c r="G216" s="130" t="inlineStr">
        <is>
          <t>r01</t>
        </is>
      </c>
      <c r="H216" s="317">
        <f>0.001*INDIRECT($B216&amp;"!AC5")</f>
        <v/>
      </c>
      <c r="I216" s="9" t="n"/>
      <c r="J216" s="318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315" t="n"/>
      <c r="P216" s="318">
        <f>bdRateExtend(D216:D220,L216:L220,H216:H220,M216:M220)</f>
        <v/>
      </c>
      <c r="Q216" s="315" t="n"/>
      <c r="R216" s="9" t="n"/>
      <c r="S216" s="9" t="n"/>
      <c r="T216" s="9" t="n"/>
      <c r="U216" s="9" t="n"/>
      <c r="V216" s="319" t="n"/>
      <c r="X216" s="6" t="n"/>
      <c r="Y216" s="6" t="n"/>
      <c r="Z216" s="81" t="n"/>
      <c r="AB216" s="320" t="n"/>
    </row>
    <row r="217">
      <c r="B217" s="122">
        <f>B216</f>
        <v/>
      </c>
      <c r="C217" s="130" t="inlineStr">
        <is>
          <t>r02</t>
        </is>
      </c>
      <c r="D217" s="317">
        <f>0.001*INDIRECT($B217&amp;"!E6")</f>
        <v/>
      </c>
      <c r="E217" s="315" t="n"/>
      <c r="F217" s="122">
        <f>F216</f>
        <v/>
      </c>
      <c r="G217" s="130" t="inlineStr">
        <is>
          <t>r02</t>
        </is>
      </c>
      <c r="H217" s="317">
        <f>0.001*INDIRECT($B217&amp;"!AC6")</f>
        <v/>
      </c>
      <c r="I217" s="9" t="n"/>
      <c r="J217" s="318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315" t="n"/>
      <c r="P217" s="3" t="n"/>
      <c r="Q217" s="315" t="n"/>
      <c r="R217" s="9" t="n"/>
      <c r="S217" s="9" t="n"/>
      <c r="T217" s="9" t="n"/>
      <c r="U217" s="9" t="n"/>
      <c r="V217" s="319" t="n"/>
      <c r="X217" s="6" t="n"/>
      <c r="Y217" s="6" t="n"/>
      <c r="Z217" s="81" t="n"/>
    </row>
    <row r="218">
      <c r="B218" s="122">
        <f>B217</f>
        <v/>
      </c>
      <c r="C218" s="130" t="inlineStr">
        <is>
          <t>r03</t>
        </is>
      </c>
      <c r="D218" s="317">
        <f>0.001*INDIRECT($B218&amp;"!E7")</f>
        <v/>
      </c>
      <c r="E218" s="315" t="n"/>
      <c r="F218" s="122">
        <f>F217</f>
        <v/>
      </c>
      <c r="G218" s="130" t="inlineStr">
        <is>
          <t>r03</t>
        </is>
      </c>
      <c r="H218" s="317">
        <f>0.001*INDIRECT($B218&amp;"!AC7")</f>
        <v/>
      </c>
      <c r="I218" s="9" t="n"/>
      <c r="J218" s="318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315" t="n"/>
      <c r="P218" s="3" t="n"/>
      <c r="Q218" s="315" t="n"/>
      <c r="R218" s="9" t="n"/>
      <c r="S218" s="9" t="n"/>
      <c r="T218" s="9" t="n"/>
      <c r="U218" s="9" t="n"/>
      <c r="V218" s="319" t="n"/>
      <c r="X218" s="6" t="n"/>
      <c r="Y218" s="6" t="n"/>
      <c r="Z218" s="81" t="n"/>
    </row>
    <row r="219" ht="16.5" customHeight="1" s="270">
      <c r="B219" s="122">
        <f>B218</f>
        <v/>
      </c>
      <c r="C219" s="130" t="inlineStr">
        <is>
          <t>r04</t>
        </is>
      </c>
      <c r="D219" s="317">
        <f>0.001*INDIRECT($B219&amp;"!E8")</f>
        <v/>
      </c>
      <c r="E219" s="315" t="n"/>
      <c r="F219" s="122">
        <f>F218</f>
        <v/>
      </c>
      <c r="G219" s="130" t="inlineStr">
        <is>
          <t>r04</t>
        </is>
      </c>
      <c r="H219" s="317">
        <f>0.001*INDIRECT($B219&amp;"!AC8")</f>
        <v/>
      </c>
      <c r="I219" s="9" t="n"/>
      <c r="J219" s="318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315" t="n"/>
      <c r="P219" s="325" t="n"/>
      <c r="Q219" s="315" t="n"/>
      <c r="R219" s="9" t="n"/>
      <c r="S219" s="9" t="n"/>
      <c r="T219" s="9" t="n"/>
      <c r="U219" s="9" t="n"/>
      <c r="V219" s="319" t="n"/>
      <c r="X219" s="6" t="n"/>
      <c r="Y219" s="6" t="n"/>
      <c r="Z219" s="81" t="n"/>
      <c r="AB219" s="320" t="n"/>
    </row>
    <row r="220" ht="16.2" customHeight="1" s="270" thickBot="1">
      <c r="B220" s="122">
        <f>B219</f>
        <v/>
      </c>
      <c r="C220" s="130" t="inlineStr">
        <is>
          <t>r05</t>
        </is>
      </c>
      <c r="D220" s="317">
        <f>0.001*INDIRECT($B220&amp;"!E9")</f>
        <v/>
      </c>
      <c r="E220" s="315" t="n"/>
      <c r="F220" s="122">
        <f>F219</f>
        <v/>
      </c>
      <c r="G220" s="130" t="inlineStr">
        <is>
          <t>r05</t>
        </is>
      </c>
      <c r="H220" s="317">
        <f>0.001*INDIRECT($B220&amp;"!AC9")</f>
        <v/>
      </c>
      <c r="I220" s="9" t="n"/>
      <c r="J220" s="318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315" t="n"/>
      <c r="P220" s="321" t="n"/>
      <c r="Q220" s="315" t="n"/>
      <c r="R220" s="9" t="n"/>
      <c r="S220" s="9" t="n"/>
      <c r="T220" s="9" t="n"/>
      <c r="U220" s="9" t="n"/>
      <c r="V220" s="83" t="n"/>
      <c r="X220" s="6" t="n"/>
      <c r="Y220" s="6" t="n"/>
      <c r="Z220" s="81" t="n"/>
    </row>
    <row r="221" ht="16.5" customHeight="1" s="270">
      <c r="B221" s="109" t="n"/>
      <c r="C221" s="110" t="n"/>
      <c r="D221" s="322" t="n"/>
      <c r="F221" s="109" t="n"/>
      <c r="G221" s="110" t="n"/>
      <c r="H221" s="322" t="n"/>
      <c r="I221" s="9" t="n"/>
      <c r="J221" s="98">
        <f>MIN(D216:D220,H216:H220)</f>
        <v/>
      </c>
      <c r="L221" s="99" t="n"/>
      <c r="M221" s="100" t="n"/>
      <c r="N221" s="101" t="n"/>
      <c r="O221" s="315" t="n"/>
      <c r="P221" s="265" t="n"/>
      <c r="Q221" s="315" t="n"/>
      <c r="R221" s="9" t="n"/>
      <c r="S221" s="9" t="n"/>
      <c r="T221" s="9" t="n"/>
      <c r="U221" s="9" t="n"/>
      <c r="V221" s="83" t="n"/>
      <c r="X221" s="84" t="n"/>
      <c r="Y221" s="84" t="n"/>
      <c r="Z221" s="81" t="n"/>
    </row>
    <row r="222" ht="16.2" customHeight="1" s="270" thickBot="1">
      <c r="B222" s="89" t="n"/>
      <c r="C222" s="92" t="n"/>
      <c r="D222" s="323" t="n"/>
      <c r="E222" s="315" t="n"/>
      <c r="F222" s="89" t="n"/>
      <c r="G222" s="92" t="n"/>
      <c r="H222" s="323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315" t="n"/>
      <c r="P222" s="5" t="n"/>
    </row>
    <row r="223" ht="16.2" customHeight="1" s="270" thickBot="1"/>
    <row r="224">
      <c r="B224" s="312" t="inlineStr">
        <is>
          <t>wukong</t>
        </is>
      </c>
      <c r="C224" s="313" t="n"/>
      <c r="D224" s="314" t="n"/>
      <c r="E224" s="2" t="n"/>
      <c r="F224" s="312">
        <f>B224</f>
        <v/>
      </c>
      <c r="G224" s="313" t="n"/>
      <c r="H224" s="314" t="n"/>
      <c r="J224" s="265" t="n"/>
      <c r="L224" s="265">
        <f>F224</f>
        <v/>
      </c>
      <c r="M224" s="313" t="n"/>
      <c r="N224" s="314" t="n"/>
      <c r="O224" s="195" t="n"/>
      <c r="P224" s="265" t="n"/>
    </row>
    <row r="225">
      <c r="B225" s="263" t="inlineStr">
        <is>
          <t>Test</t>
        </is>
      </c>
      <c r="D225" s="87" t="inlineStr">
        <is>
          <t>Bitrate [Mbps]</t>
        </is>
      </c>
      <c r="E225" s="315" t="n"/>
      <c r="F225" s="263" t="inlineStr">
        <is>
          <t>Test</t>
        </is>
      </c>
      <c r="H225" s="87" t="inlineStr">
        <is>
          <t>Bitrate [Mbps]</t>
        </is>
      </c>
      <c r="J225" s="267" t="inlineStr">
        <is>
          <t>%</t>
        </is>
      </c>
      <c r="L225" s="267" t="inlineStr">
        <is>
          <t>YUV-PSNR</t>
        </is>
      </c>
      <c r="N225" s="316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315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317">
        <f>0.001*INDIRECT($B227&amp;"!E5")</f>
        <v/>
      </c>
      <c r="E227" s="315" t="n"/>
      <c r="F227" s="122">
        <f>F224</f>
        <v/>
      </c>
      <c r="G227" s="130" t="inlineStr">
        <is>
          <t>r01</t>
        </is>
      </c>
      <c r="H227" s="317">
        <f>0.001*INDIRECT($B227&amp;"!AC5")</f>
        <v/>
      </c>
      <c r="J227" s="318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315" t="n"/>
      <c r="P227" s="318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317">
        <f>0.001*INDIRECT($B228&amp;"!E6")</f>
        <v/>
      </c>
      <c r="E228" s="315" t="n"/>
      <c r="F228" s="122">
        <f>F227</f>
        <v/>
      </c>
      <c r="G228" s="130" t="inlineStr">
        <is>
          <t>r02</t>
        </is>
      </c>
      <c r="H228" s="317">
        <f>0.001*INDIRECT($B228&amp;"!AC6")</f>
        <v/>
      </c>
      <c r="J228" s="318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315" t="n"/>
      <c r="P228" s="3" t="n"/>
    </row>
    <row r="229">
      <c r="B229" s="122">
        <f>B228</f>
        <v/>
      </c>
      <c r="C229" s="130" t="inlineStr">
        <is>
          <t>r03</t>
        </is>
      </c>
      <c r="D229" s="317">
        <f>0.001*INDIRECT($B229&amp;"!E7")</f>
        <v/>
      </c>
      <c r="E229" s="315" t="n"/>
      <c r="F229" s="122">
        <f>F228</f>
        <v/>
      </c>
      <c r="G229" s="130" t="inlineStr">
        <is>
          <t>r03</t>
        </is>
      </c>
      <c r="H229" s="317">
        <f>0.001*INDIRECT($B229&amp;"!AC7")</f>
        <v/>
      </c>
      <c r="J229" s="318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315" t="n"/>
      <c r="P229" s="3" t="n"/>
    </row>
    <row r="230">
      <c r="B230" s="122">
        <f>B229</f>
        <v/>
      </c>
      <c r="C230" s="130" t="inlineStr">
        <is>
          <t>r04</t>
        </is>
      </c>
      <c r="D230" s="317">
        <f>0.001*INDIRECT($B230&amp;"!E8")</f>
        <v/>
      </c>
      <c r="E230" s="315" t="n"/>
      <c r="F230" s="122">
        <f>F229</f>
        <v/>
      </c>
      <c r="G230" s="130" t="inlineStr">
        <is>
          <t>r04</t>
        </is>
      </c>
      <c r="H230" s="317">
        <f>0.001*INDIRECT($B230&amp;"!AC8")</f>
        <v/>
      </c>
      <c r="J230" s="318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315" t="n"/>
      <c r="P230" s="325" t="n"/>
    </row>
    <row r="231" ht="16.2" customHeight="1" s="270" thickBot="1">
      <c r="B231" s="122">
        <f>B230</f>
        <v/>
      </c>
      <c r="C231" s="130" t="inlineStr">
        <is>
          <t>r05</t>
        </is>
      </c>
      <c r="D231" s="317">
        <f>0.001*INDIRECT($B231&amp;"!E9")</f>
        <v/>
      </c>
      <c r="E231" s="315" t="n"/>
      <c r="F231" s="122">
        <f>F230</f>
        <v/>
      </c>
      <c r="G231" s="130" t="inlineStr">
        <is>
          <t>r05</t>
        </is>
      </c>
      <c r="H231" s="317">
        <f>0.001*INDIRECT($B231&amp;"!AC9")</f>
        <v/>
      </c>
      <c r="J231" s="318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315" t="n"/>
      <c r="P231" s="321" t="n"/>
    </row>
    <row r="232">
      <c r="B232" s="109" t="n"/>
      <c r="C232" s="110" t="n"/>
      <c r="D232" s="322" t="n"/>
      <c r="F232" s="109" t="n"/>
      <c r="G232" s="110" t="n"/>
      <c r="H232" s="322" t="n"/>
      <c r="J232" s="98">
        <f>MIN(D227:D231,H227:H231)</f>
        <v/>
      </c>
      <c r="L232" s="99" t="n"/>
      <c r="M232" s="100" t="n"/>
      <c r="N232" s="101" t="n"/>
      <c r="O232" s="315" t="n"/>
      <c r="P232" s="265" t="n"/>
    </row>
    <row r="233" ht="16.2" customHeight="1" s="270" thickBot="1">
      <c r="B233" s="89" t="n"/>
      <c r="C233" s="92" t="n"/>
      <c r="D233" s="323" t="n"/>
      <c r="E233" s="315" t="n"/>
      <c r="F233" s="89" t="n"/>
      <c r="G233" s="92" t="n"/>
      <c r="H233" s="323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315" t="n"/>
      <c r="P233" s="5" t="n"/>
    </row>
  </sheetData>
  <mergeCells count="159"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B4:D4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R49:T49"/>
    <mergeCell ref="F148:G148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B59:D59"/>
    <mergeCell ref="B202:D202"/>
    <mergeCell ref="L37:N37"/>
    <mergeCell ref="F158:H158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L4:N4"/>
    <mergeCell ref="B71:C71"/>
    <mergeCell ref="F224:H224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B170:C170"/>
    <mergeCell ref="L81:N81"/>
    <mergeCell ref="F37:H37"/>
    <mergeCell ref="B82:C82"/>
    <mergeCell ref="B148:C148"/>
    <mergeCell ref="F203:G203"/>
    <mergeCell ref="F181:G181"/>
    <mergeCell ref="L148:N148"/>
    <mergeCell ref="X81:Z81"/>
    <mergeCell ref="B114:D114"/>
    <mergeCell ref="R93:T93"/>
    <mergeCell ref="L27:N27"/>
    <mergeCell ref="X71:Z71"/>
    <mergeCell ref="L203:N203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B2:D2"/>
  </mergeCells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priority="1097" operator="lessThan" dxfId="1" stopIfTrue="1">
      <formula>-0.01</formula>
    </cfRule>
    <cfRule type="cellIs" priority="1098" operator="greaterThan" dxfId="0" stopIfTrue="1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priority="1092" operator="greaterThan" dxfId="1">
      <formula>0.03</formula>
    </cfRule>
    <cfRule type="cellIs" priority="1093" operator="lessThan" dxfId="0" stopIfTrue="1">
      <formula>-0.03</formula>
    </cfRule>
  </conditionalFormatting>
  <conditionalFormatting sqref="AB22">
    <cfRule type="cellIs" priority="1090" operator="lessThan" dxfId="1">
      <formula>-0.03</formula>
    </cfRule>
    <cfRule type="cellIs" priority="1091" operator="greaterThan" dxfId="0" stopIfTrue="1">
      <formula>0.03</formula>
    </cfRule>
  </conditionalFormatting>
  <conditionalFormatting sqref="Z18">
    <cfRule type="cellIs" priority="1088" operator="lessThan" dxfId="1" stopIfTrue="1">
      <formula>-0.01</formula>
    </cfRule>
    <cfRule type="cellIs" priority="1089" operator="greaterThan" dxfId="0" stopIfTrue="1">
      <formula>0.01</formula>
    </cfRule>
  </conditionalFormatting>
  <conditionalFormatting sqref="Z19">
    <cfRule type="cellIs" priority="1086" operator="lessThan" dxfId="1" stopIfTrue="1">
      <formula>-0.01</formula>
    </cfRule>
    <cfRule type="cellIs" priority="1087" operator="greaterThan" dxfId="0" stopIfTrue="1">
      <formula>0.01</formula>
    </cfRule>
  </conditionalFormatting>
  <conditionalFormatting sqref="Z20:Z21">
    <cfRule type="cellIs" priority="1084" operator="lessThan" dxfId="1" stopIfTrue="1">
      <formula>-0.01</formula>
    </cfRule>
    <cfRule type="cellIs" priority="1085" operator="greaterThan" dxfId="0" stopIfTrue="1">
      <formula>0.01</formula>
    </cfRule>
  </conditionalFormatting>
  <conditionalFormatting sqref="Z22">
    <cfRule type="cellIs" priority="1082" operator="lessThan" dxfId="1" stopIfTrue="1">
      <formula>-0.01</formula>
    </cfRule>
    <cfRule type="cellIs" priority="1083" operator="greaterThan" dxfId="0" stopIfTrue="1">
      <formula>0.01</formula>
    </cfRule>
  </conditionalFormatting>
  <conditionalFormatting sqref="V18:V22">
    <cfRule type="cellIs" priority="1080" operator="greaterThan" dxfId="1">
      <formula>0.03</formula>
    </cfRule>
    <cfRule type="cellIs" priority="1081" operator="lessThan" dxfId="0" stopIfTrue="1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priority="1074" operator="lessThan" dxfId="1" stopIfTrue="1">
      <formula>-0.01</formula>
    </cfRule>
    <cfRule type="cellIs" priority="1075" operator="greaterThan" dxfId="0" stopIfTrue="1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priority="1070" operator="greaterThan" dxfId="1">
      <formula>0.03</formula>
    </cfRule>
    <cfRule type="cellIs" priority="1071" operator="lessThan" dxfId="0" stopIfTrue="1">
      <formula>-0.03</formula>
    </cfRule>
  </conditionalFormatting>
  <conditionalFormatting sqref="AB33">
    <cfRule type="cellIs" priority="1068" operator="lessThan" dxfId="1">
      <formula>-0.03</formula>
    </cfRule>
    <cfRule type="cellIs" priority="1069" operator="greaterThan" dxfId="0" stopIfTrue="1">
      <formula>0.03</formula>
    </cfRule>
  </conditionalFormatting>
  <conditionalFormatting sqref="Z29">
    <cfRule type="cellIs" priority="1066" operator="lessThan" dxfId="1" stopIfTrue="1">
      <formula>-0.01</formula>
    </cfRule>
    <cfRule type="cellIs" priority="1067" operator="greaterThan" dxfId="0" stopIfTrue="1">
      <formula>0.01</formula>
    </cfRule>
  </conditionalFormatting>
  <conditionalFormatting sqref="Z30">
    <cfRule type="cellIs" priority="1064" operator="lessThan" dxfId="1" stopIfTrue="1">
      <formula>-0.01</formula>
    </cfRule>
    <cfRule type="cellIs" priority="1065" operator="greaterThan" dxfId="0" stopIfTrue="1">
      <formula>0.01</formula>
    </cfRule>
  </conditionalFormatting>
  <conditionalFormatting sqref="Z31:Z32">
    <cfRule type="cellIs" priority="1062" operator="lessThan" dxfId="1" stopIfTrue="1">
      <formula>-0.01</formula>
    </cfRule>
    <cfRule type="cellIs" priority="1063" operator="greaterThan" dxfId="0" stopIfTrue="1">
      <formula>0.01</formula>
    </cfRule>
  </conditionalFormatting>
  <conditionalFormatting sqref="Z33">
    <cfRule type="cellIs" priority="1060" operator="lessThan" dxfId="1" stopIfTrue="1">
      <formula>-0.01</formula>
    </cfRule>
    <cfRule type="cellIs" priority="1061" operator="greaterThan" dxfId="0" stopIfTrue="1">
      <formula>0.01</formula>
    </cfRule>
  </conditionalFormatting>
  <conditionalFormatting sqref="V29:V33">
    <cfRule type="cellIs" priority="1058" operator="greaterThan" dxfId="1">
      <formula>0.03</formula>
    </cfRule>
    <cfRule type="cellIs" priority="1059" operator="lessThan" dxfId="0" stopIfTrue="1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priority="1052" operator="lessThan" dxfId="1" stopIfTrue="1">
      <formula>-0.01</formula>
    </cfRule>
    <cfRule type="cellIs" priority="1053" operator="greaterThan" dxfId="0" stopIfTrue="1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priority="1048" operator="greaterThan" dxfId="1">
      <formula>0.03</formula>
    </cfRule>
    <cfRule type="cellIs" priority="1049" operator="lessThan" dxfId="0" stopIfTrue="1">
      <formula>-0.03</formula>
    </cfRule>
  </conditionalFormatting>
  <conditionalFormatting sqref="AB44">
    <cfRule type="cellIs" priority="1046" operator="lessThan" dxfId="1">
      <formula>-0.03</formula>
    </cfRule>
    <cfRule type="cellIs" priority="1047" operator="greaterThan" dxfId="0" stopIfTrue="1">
      <formula>0.03</formula>
    </cfRule>
  </conditionalFormatting>
  <conditionalFormatting sqref="Z40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41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Z42:Z43">
    <cfRule type="cellIs" priority="1040" operator="lessThan" dxfId="1" stopIfTrue="1">
      <formula>-0.01</formula>
    </cfRule>
    <cfRule type="cellIs" priority="1041" operator="greaterThan" dxfId="0" stopIfTrue="1">
      <formula>0.01</formula>
    </cfRule>
  </conditionalFormatting>
  <conditionalFormatting sqref="Z44">
    <cfRule type="cellIs" priority="1038" operator="lessThan" dxfId="1" stopIfTrue="1">
      <formula>-0.01</formula>
    </cfRule>
    <cfRule type="cellIs" priority="1039" operator="greaterThan" dxfId="0" stopIfTrue="1">
      <formula>0.01</formula>
    </cfRule>
  </conditionalFormatting>
  <conditionalFormatting sqref="V40:V44">
    <cfRule type="cellIs" priority="1036" operator="greaterThan" dxfId="1">
      <formula>0.03</formula>
    </cfRule>
    <cfRule type="cellIs" priority="1037" operator="lessThan" dxfId="0" stopIfTrue="1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priority="1030" operator="lessThan" dxfId="1" stopIfTrue="1">
      <formula>-0.01</formula>
    </cfRule>
    <cfRule type="cellIs" priority="1031" operator="greaterThan" dxfId="0" stopIfTrue="1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priority="1026" operator="greaterThan" dxfId="1">
      <formula>0.03</formula>
    </cfRule>
    <cfRule type="cellIs" priority="1027" operator="lessThan" dxfId="0" stopIfTrue="1">
      <formula>-0.03</formula>
    </cfRule>
  </conditionalFormatting>
  <conditionalFormatting sqref="AB55">
    <cfRule type="cellIs" priority="1024" operator="lessThan" dxfId="1">
      <formula>-0.03</formula>
    </cfRule>
    <cfRule type="cellIs" priority="1025" operator="greaterThan" dxfId="0" stopIfTrue="1">
      <formula>0.03</formula>
    </cfRule>
  </conditionalFormatting>
  <conditionalFormatting sqref="Z51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52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Z53:Z54">
    <cfRule type="cellIs" priority="1018" operator="lessThan" dxfId="1" stopIfTrue="1">
      <formula>-0.01</formula>
    </cfRule>
    <cfRule type="cellIs" priority="1019" operator="greaterThan" dxfId="0" stopIfTrue="1">
      <formula>0.01</formula>
    </cfRule>
  </conditionalFormatting>
  <conditionalFormatting sqref="Z55">
    <cfRule type="cellIs" priority="1016" operator="lessThan" dxfId="1" stopIfTrue="1">
      <formula>-0.01</formula>
    </cfRule>
    <cfRule type="cellIs" priority="1017" operator="greaterThan" dxfId="0" stopIfTrue="1">
      <formula>0.01</formula>
    </cfRule>
  </conditionalFormatting>
  <conditionalFormatting sqref="V51:V55">
    <cfRule type="cellIs" priority="1014" operator="greaterThan" dxfId="1">
      <formula>0.03</formula>
    </cfRule>
    <cfRule type="cellIs" priority="1015" operator="lessThan" dxfId="0" stopIfTrue="1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priority="1008" operator="lessThan" dxfId="1" stopIfTrue="1">
      <formula>-0.01</formula>
    </cfRule>
    <cfRule type="cellIs" priority="1009" operator="greaterThan" dxfId="0" stopIfTrue="1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priority="1004" operator="greaterThan" dxfId="1">
      <formula>0.03</formula>
    </cfRule>
    <cfRule type="cellIs" priority="1005" operator="lessThan" dxfId="0" stopIfTrue="1">
      <formula>-0.03</formula>
    </cfRule>
  </conditionalFormatting>
  <conditionalFormatting sqref="AB66">
    <cfRule type="cellIs" priority="1002" operator="lessThan" dxfId="1">
      <formula>-0.03</formula>
    </cfRule>
    <cfRule type="cellIs" priority="1003" operator="greaterThan" dxfId="0" stopIfTrue="1">
      <formula>0.03</formula>
    </cfRule>
  </conditionalFormatting>
  <conditionalFormatting sqref="Z62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63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Z64:Z65">
    <cfRule type="cellIs" priority="996" operator="lessThan" dxfId="1" stopIfTrue="1">
      <formula>-0.01</formula>
    </cfRule>
    <cfRule type="cellIs" priority="997" operator="greaterThan" dxfId="0" stopIfTrue="1">
      <formula>0.01</formula>
    </cfRule>
  </conditionalFormatting>
  <conditionalFormatting sqref="Z66">
    <cfRule type="cellIs" priority="994" operator="lessThan" dxfId="1" stopIfTrue="1">
      <formula>-0.01</formula>
    </cfRule>
    <cfRule type="cellIs" priority="995" operator="greaterThan" dxfId="0" stopIfTrue="1">
      <formula>0.01</formula>
    </cfRule>
  </conditionalFormatting>
  <conditionalFormatting sqref="V62:V66">
    <cfRule type="cellIs" priority="992" operator="greaterThan" dxfId="1">
      <formula>0.03</formula>
    </cfRule>
    <cfRule type="cellIs" priority="993" operator="lessThan" dxfId="0" stopIfTrue="1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priority="986" operator="lessThan" dxfId="1" stopIfTrue="1">
      <formula>-0.01</formula>
    </cfRule>
    <cfRule type="cellIs" priority="987" operator="greaterThan" dxfId="0" stopIfTrue="1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priority="982" operator="greaterThan" dxfId="1">
      <formula>0.03</formula>
    </cfRule>
    <cfRule type="cellIs" priority="983" operator="lessThan" dxfId="0" stopIfTrue="1">
      <formula>-0.03</formula>
    </cfRule>
  </conditionalFormatting>
  <conditionalFormatting sqref="AB77">
    <cfRule type="cellIs" priority="980" operator="lessThan" dxfId="1">
      <formula>-0.03</formula>
    </cfRule>
    <cfRule type="cellIs" priority="981" operator="greaterThan" dxfId="0" stopIfTrue="1">
      <formula>0.03</formula>
    </cfRule>
  </conditionalFormatting>
  <conditionalFormatting sqref="Z73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74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Z75:Z76">
    <cfRule type="cellIs" priority="974" operator="lessThan" dxfId="1" stopIfTrue="1">
      <formula>-0.01</formula>
    </cfRule>
    <cfRule type="cellIs" priority="975" operator="greaterThan" dxfId="0" stopIfTrue="1">
      <formula>0.01</formula>
    </cfRule>
  </conditionalFormatting>
  <conditionalFormatting sqref="Z77">
    <cfRule type="cellIs" priority="972" operator="lessThan" dxfId="1" stopIfTrue="1">
      <formula>-0.01</formula>
    </cfRule>
    <cfRule type="cellIs" priority="973" operator="greaterThan" dxfId="0" stopIfTrue="1">
      <formula>0.01</formula>
    </cfRule>
  </conditionalFormatting>
  <conditionalFormatting sqref="V73:V77">
    <cfRule type="cellIs" priority="970" operator="greaterThan" dxfId="1">
      <formula>0.03</formula>
    </cfRule>
    <cfRule type="cellIs" priority="971" operator="lessThan" dxfId="0" stopIfTrue="1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priority="964" operator="lessThan" dxfId="1" stopIfTrue="1">
      <formula>-0.01</formula>
    </cfRule>
    <cfRule type="cellIs" priority="965" operator="greaterThan" dxfId="0" stopIfTrue="1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priority="961" operator="greaterThan" dxfId="1">
      <formula>0.03</formula>
    </cfRule>
    <cfRule type="cellIs" priority="962" operator="lessThan" dxfId="0" stopIfTrue="1">
      <formula>-0.03</formula>
    </cfRule>
  </conditionalFormatting>
  <conditionalFormatting sqref="AB88">
    <cfRule type="cellIs" priority="959" operator="lessThan" dxfId="1">
      <formula>-0.03</formula>
    </cfRule>
    <cfRule type="cellIs" priority="960" operator="greaterThan" dxfId="0" stopIfTrue="1">
      <formula>0.03</formula>
    </cfRule>
  </conditionalFormatting>
  <conditionalFormatting sqref="Z84">
    <cfRule type="cellIs" priority="957" operator="lessThan" dxfId="1" stopIfTrue="1">
      <formula>-0.01</formula>
    </cfRule>
    <cfRule type="cellIs" priority="958" operator="greaterThan" dxfId="0" stopIfTrue="1">
      <formula>0.01</formula>
    </cfRule>
  </conditionalFormatting>
  <conditionalFormatting sqref="Z85">
    <cfRule type="cellIs" priority="955" operator="lessThan" dxfId="1" stopIfTrue="1">
      <formula>-0.01</formula>
    </cfRule>
    <cfRule type="cellIs" priority="956" operator="greaterThan" dxfId="0" stopIfTrue="1">
      <formula>0.01</formula>
    </cfRule>
  </conditionalFormatting>
  <conditionalFormatting sqref="Z86:Z87">
    <cfRule type="cellIs" priority="953" operator="lessThan" dxfId="1" stopIfTrue="1">
      <formula>-0.01</formula>
    </cfRule>
    <cfRule type="cellIs" priority="954" operator="greaterThan" dxfId="0" stopIfTrue="1">
      <formula>0.01</formula>
    </cfRule>
  </conditionalFormatting>
  <conditionalFormatting sqref="Z88">
    <cfRule type="cellIs" priority="951" operator="lessThan" dxfId="1" stopIfTrue="1">
      <formula>-0.01</formula>
    </cfRule>
    <cfRule type="cellIs" priority="952" operator="greaterThan" dxfId="0" stopIfTrue="1">
      <formula>0.01</formula>
    </cfRule>
  </conditionalFormatting>
  <conditionalFormatting sqref="V84:V88">
    <cfRule type="cellIs" priority="949" operator="greaterThan" dxfId="1">
      <formula>0.03</formula>
    </cfRule>
    <cfRule type="cellIs" priority="950" operator="lessThan" dxfId="0" stopIfTrue="1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priority="946" operator="lessThan" dxfId="1" stopIfTrue="1">
      <formula>-0.01</formula>
    </cfRule>
    <cfRule type="cellIs" priority="947" operator="greaterThan" dxfId="0" stopIfTrue="1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priority="943" operator="greaterThan" dxfId="1">
      <formula>0.03</formula>
    </cfRule>
    <cfRule type="cellIs" priority="944" operator="lessThan" dxfId="0" stopIfTrue="1">
      <formula>-0.03</formula>
    </cfRule>
  </conditionalFormatting>
  <conditionalFormatting sqref="AB99">
    <cfRule type="cellIs" priority="941" operator="lessThan" dxfId="1">
      <formula>-0.03</formula>
    </cfRule>
    <cfRule type="cellIs" priority="942" operator="greaterThan" dxfId="0" stopIfTrue="1">
      <formula>0.03</formula>
    </cfRule>
  </conditionalFormatting>
  <conditionalFormatting sqref="Z95">
    <cfRule type="cellIs" priority="939" operator="lessThan" dxfId="1" stopIfTrue="1">
      <formula>-0.01</formula>
    </cfRule>
    <cfRule type="cellIs" priority="940" operator="greaterThan" dxfId="0" stopIfTrue="1">
      <formula>0.01</formula>
    </cfRule>
  </conditionalFormatting>
  <conditionalFormatting sqref="Z96">
    <cfRule type="cellIs" priority="937" operator="lessThan" dxfId="1" stopIfTrue="1">
      <formula>-0.01</formula>
    </cfRule>
    <cfRule type="cellIs" priority="938" operator="greaterThan" dxfId="0" stopIfTrue="1">
      <formula>0.01</formula>
    </cfRule>
  </conditionalFormatting>
  <conditionalFormatting sqref="Z97:Z98">
    <cfRule type="cellIs" priority="935" operator="lessThan" dxfId="1" stopIfTrue="1">
      <formula>-0.01</formula>
    </cfRule>
    <cfRule type="cellIs" priority="936" operator="greaterThan" dxfId="0" stopIfTrue="1">
      <formula>0.01</formula>
    </cfRule>
  </conditionalFormatting>
  <conditionalFormatting sqref="Z99">
    <cfRule type="cellIs" priority="933" operator="lessThan" dxfId="1" stopIfTrue="1">
      <formula>-0.01</formula>
    </cfRule>
    <cfRule type="cellIs" priority="934" operator="greaterThan" dxfId="0" stopIfTrue="1">
      <formula>0.01</formula>
    </cfRule>
  </conditionalFormatting>
  <conditionalFormatting sqref="V95:V99">
    <cfRule type="cellIs" priority="931" operator="greaterThan" dxfId="1">
      <formula>0.03</formula>
    </cfRule>
    <cfRule type="cellIs" priority="932" operator="lessThan" dxfId="0" stopIfTrue="1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priority="907" operator="greaterThan" dxfId="1">
      <formula>0.03</formula>
    </cfRule>
    <cfRule type="cellIs" priority="908" operator="lessThan" dxfId="0" stopIfTrue="1">
      <formula>-0.03</formula>
    </cfRule>
  </conditionalFormatting>
  <conditionalFormatting sqref="AB119">
    <cfRule type="cellIs" priority="905" operator="lessThan" dxfId="1">
      <formula>-0.03</formula>
    </cfRule>
    <cfRule type="cellIs" priority="906" operator="greaterThan" dxfId="0" stopIfTrue="1">
      <formula>0.03</formula>
    </cfRule>
  </conditionalFormatting>
  <conditionalFormatting sqref="AB126">
    <cfRule type="cellIs" priority="903" operator="greaterThan" dxfId="1">
      <formula>0.03</formula>
    </cfRule>
    <cfRule type="cellIs" priority="904" operator="lessThan" dxfId="0" stopIfTrue="1">
      <formula>-0.03</formula>
    </cfRule>
  </conditionalFormatting>
  <conditionalFormatting sqref="AB129">
    <cfRule type="cellIs" priority="901" operator="lessThan" dxfId="1">
      <formula>-0.03</formula>
    </cfRule>
    <cfRule type="cellIs" priority="902" operator="greaterThan" dxfId="0" stopIfTrue="1">
      <formula>0.03</formula>
    </cfRule>
  </conditionalFormatting>
  <conditionalFormatting sqref="AB136">
    <cfRule type="cellIs" priority="899" operator="greaterThan" dxfId="1">
      <formula>0.03</formula>
    </cfRule>
    <cfRule type="cellIs" priority="900" operator="lessThan" dxfId="0" stopIfTrue="1">
      <formula>-0.03</formula>
    </cfRule>
  </conditionalFormatting>
  <conditionalFormatting sqref="AB139">
    <cfRule type="cellIs" priority="897" operator="lessThan" dxfId="1">
      <formula>-0.03</formula>
    </cfRule>
    <cfRule type="cellIs" priority="898" operator="greaterThan" dxfId="0" stopIfTrue="1">
      <formula>0.03</formula>
    </cfRule>
  </conditionalFormatting>
  <conditionalFormatting sqref="AB146">
    <cfRule type="cellIs" priority="895" operator="greaterThan" dxfId="1">
      <formula>0.03</formula>
    </cfRule>
    <cfRule type="cellIs" priority="896" operator="lessThan" dxfId="0" stopIfTrue="1">
      <formula>-0.03</formula>
    </cfRule>
  </conditionalFormatting>
  <conditionalFormatting sqref="AB149">
    <cfRule type="cellIs" priority="893" operator="lessThan" dxfId="1">
      <formula>-0.03</formula>
    </cfRule>
    <cfRule type="cellIs" priority="894" operator="greaterThan" dxfId="0" stopIfTrue="1">
      <formula>0.03</formula>
    </cfRule>
  </conditionalFormatting>
  <conditionalFormatting sqref="AB156">
    <cfRule type="cellIs" priority="891" operator="greaterThan" dxfId="1">
      <formula>0.03</formula>
    </cfRule>
    <cfRule type="cellIs" priority="892" operator="lessThan" dxfId="0" stopIfTrue="1">
      <formula>-0.03</formula>
    </cfRule>
  </conditionalFormatting>
  <conditionalFormatting sqref="AB159">
    <cfRule type="cellIs" priority="889" operator="lessThan" dxfId="1">
      <formula>-0.03</formula>
    </cfRule>
    <cfRule type="cellIs" priority="890" operator="greaterThan" dxfId="0" stopIfTrue="1">
      <formula>0.03</formula>
    </cfRule>
  </conditionalFormatting>
  <conditionalFormatting sqref="AB166">
    <cfRule type="cellIs" priority="887" operator="greaterThan" dxfId="1">
      <formula>0.03</formula>
    </cfRule>
    <cfRule type="cellIs" priority="888" operator="lessThan" dxfId="0" stopIfTrue="1">
      <formula>-0.03</formula>
    </cfRule>
  </conditionalFormatting>
  <conditionalFormatting sqref="AB169">
    <cfRule type="cellIs" priority="885" operator="lessThan" dxfId="1">
      <formula>-0.03</formula>
    </cfRule>
    <cfRule type="cellIs" priority="886" operator="greaterThan" dxfId="0" stopIfTrue="1">
      <formula>0.03</formula>
    </cfRule>
  </conditionalFormatting>
  <conditionalFormatting sqref="AB176">
    <cfRule type="cellIs" priority="883" operator="greaterThan" dxfId="1">
      <formula>0.03</formula>
    </cfRule>
    <cfRule type="cellIs" priority="884" operator="lessThan" dxfId="0" stopIfTrue="1">
      <formula>-0.03</formula>
    </cfRule>
  </conditionalFormatting>
  <conditionalFormatting sqref="AB179">
    <cfRule type="cellIs" priority="881" operator="lessThan" dxfId="1">
      <formula>-0.03</formula>
    </cfRule>
    <cfRule type="cellIs" priority="882" operator="greaterThan" dxfId="0" stopIfTrue="1">
      <formula>0.03</formula>
    </cfRule>
  </conditionalFormatting>
  <conditionalFormatting sqref="AB186">
    <cfRule type="cellIs" priority="879" operator="greaterThan" dxfId="1">
      <formula>0.03</formula>
    </cfRule>
    <cfRule type="cellIs" priority="880" operator="lessThan" dxfId="0" stopIfTrue="1">
      <formula>-0.03</formula>
    </cfRule>
  </conditionalFormatting>
  <conditionalFormatting sqref="AB189">
    <cfRule type="cellIs" priority="877" operator="lessThan" dxfId="1">
      <formula>-0.03</formula>
    </cfRule>
    <cfRule type="cellIs" priority="878" operator="greaterThan" dxfId="0" stopIfTrue="1">
      <formula>0.03</formula>
    </cfRule>
  </conditionalFormatting>
  <conditionalFormatting sqref="AB196">
    <cfRule type="cellIs" priority="875" operator="greaterThan" dxfId="1">
      <formula>0.03</formula>
    </cfRule>
    <cfRule type="cellIs" priority="876" operator="lessThan" dxfId="0" stopIfTrue="1">
      <formula>-0.03</formula>
    </cfRule>
  </conditionalFormatting>
  <conditionalFormatting sqref="AB199">
    <cfRule type="cellIs" priority="873" operator="lessThan" dxfId="1">
      <formula>-0.03</formula>
    </cfRule>
    <cfRule type="cellIs" priority="874" operator="greaterThan" dxfId="0" stopIfTrue="1">
      <formula>0.03</formula>
    </cfRule>
  </conditionalFormatting>
  <conditionalFormatting sqref="AB206">
    <cfRule type="cellIs" priority="871" operator="greaterThan" dxfId="1">
      <formula>0.03</formula>
    </cfRule>
    <cfRule type="cellIs" priority="872" operator="lessThan" dxfId="0" stopIfTrue="1">
      <formula>-0.03</formula>
    </cfRule>
  </conditionalFormatting>
  <conditionalFormatting sqref="AB209">
    <cfRule type="cellIs" priority="869" operator="lessThan" dxfId="1">
      <formula>-0.03</formula>
    </cfRule>
    <cfRule type="cellIs" priority="870" operator="greaterThan" dxfId="0" stopIfTrue="1">
      <formula>0.03</formula>
    </cfRule>
  </conditionalFormatting>
  <conditionalFormatting sqref="Z220:Z221">
    <cfRule type="cellIs" priority="866" operator="lessThan" dxfId="1" stopIfTrue="1">
      <formula>-0.01</formula>
    </cfRule>
    <cfRule type="cellIs" priority="867" operator="greaterThan" dxfId="0" stopIfTrue="1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219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priority="856" operator="lessThan" dxfId="1" stopIfTrue="1">
      <formula>-0.01</formula>
    </cfRule>
    <cfRule type="cellIs" priority="857" operator="greaterThan" dxfId="0" stopIfTrue="1">
      <formula>0.01</formula>
    </cfRule>
  </conditionalFormatting>
  <conditionalFormatting sqref="Z217">
    <cfRule type="cellIs" priority="854" operator="lessThan" dxfId="1" stopIfTrue="1">
      <formula>-0.01</formula>
    </cfRule>
    <cfRule type="cellIs" priority="855" operator="greaterThan" dxfId="0" stopIfTrue="1">
      <formula>0.01</formula>
    </cfRule>
  </conditionalFormatting>
  <conditionalFormatting sqref="Z218">
    <cfRule type="cellIs" priority="852" operator="lessThan" dxfId="1" stopIfTrue="1">
      <formula>-0.01</formula>
    </cfRule>
    <cfRule type="cellIs" priority="853" operator="greaterThan" dxfId="0" stopIfTrue="1">
      <formula>0.01</formula>
    </cfRule>
  </conditionalFormatting>
  <conditionalFormatting sqref="Z219">
    <cfRule type="cellIs" priority="850" operator="lessThan" dxfId="1" stopIfTrue="1">
      <formula>-0.01</formula>
    </cfRule>
    <cfRule type="cellIs" priority="851" operator="greaterThan" dxfId="0" stopIfTrue="1">
      <formula>0.01</formula>
    </cfRule>
  </conditionalFormatting>
  <conditionalFormatting sqref="V216:V219">
    <cfRule type="cellIs" priority="848" operator="greaterThan" dxfId="1">
      <formula>0.03</formula>
    </cfRule>
    <cfRule type="cellIs" priority="849" operator="lessThan" dxfId="0" stopIfTrue="1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AB10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10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Z106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10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108:Z109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Z110">
    <cfRule type="cellIs" priority="555" operator="lessThan" dxfId="1" stopIfTrue="1">
      <formula>-0.01</formula>
    </cfRule>
    <cfRule type="cellIs" priority="556" operator="greaterThan" dxfId="0" stopIfTrue="1">
      <formula>0.01</formula>
    </cfRule>
  </conditionalFormatting>
  <conditionalFormatting sqref="V106:V110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priority="443" operator="lessThan" dxfId="1" stopIfTrue="1">
      <formula>-0.01</formula>
    </cfRule>
    <cfRule type="cellIs" priority="444" operator="greaterThan" dxfId="0" stopIfTrue="1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priority="438" operator="greaterThan" dxfId="1">
      <formula>0.03</formula>
    </cfRule>
    <cfRule type="cellIs" priority="439" operator="lessThan" dxfId="0" stopIfTrue="1">
      <formula>-0.03</formula>
    </cfRule>
  </conditionalFormatting>
  <conditionalFormatting sqref="AB11">
    <cfRule type="cellIs" priority="436" operator="lessThan" dxfId="1">
      <formula>-0.03</formula>
    </cfRule>
    <cfRule type="cellIs" priority="437" operator="greaterThan" dxfId="0" stopIfTrue="1">
      <formula>0.03</formula>
    </cfRule>
  </conditionalFormatting>
  <conditionalFormatting sqref="Z7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Z8">
    <cfRule type="cellIs" priority="432" operator="lessThan" dxfId="1" stopIfTrue="1">
      <formula>-0.01</formula>
    </cfRule>
    <cfRule type="cellIs" priority="433" operator="greaterThan" dxfId="0" stopIfTrue="1">
      <formula>0.01</formula>
    </cfRule>
  </conditionalFormatting>
  <conditionalFormatting sqref="Z9:Z10">
    <cfRule type="cellIs" priority="430" operator="lessThan" dxfId="1" stopIfTrue="1">
      <formula>-0.01</formula>
    </cfRule>
    <cfRule type="cellIs" priority="431" operator="greaterThan" dxfId="0" stopIfTrue="1">
      <formula>0.01</formula>
    </cfRule>
  </conditionalFormatting>
  <conditionalFormatting sqref="Z11">
    <cfRule type="cellIs" priority="428" operator="lessThan" dxfId="1" stopIfTrue="1">
      <formula>-0.01</formula>
    </cfRule>
    <cfRule type="cellIs" priority="429" operator="greaterThan" dxfId="0" stopIfTrue="1">
      <formula>0.01</formula>
    </cfRule>
  </conditionalFormatting>
  <conditionalFormatting sqref="V7:V11">
    <cfRule type="cellIs" priority="426" operator="greaterThan" dxfId="1">
      <formula>0.03</formula>
    </cfRule>
    <cfRule type="cellIs" priority="427" operator="lessThan" dxfId="0" stopIfTrue="1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priority="390" operator="lessThan" dxfId="1" stopIfTrue="1">
      <formula>-0.01</formula>
    </cfRule>
    <cfRule type="cellIs" priority="391" operator="greaterThan" dxfId="0" stopIfTrue="1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priority="380" operator="greaterThan" dxfId="1">
      <formula>0.03</formula>
    </cfRule>
    <cfRule type="cellIs" priority="381" operator="lessThan" dxfId="0" stopIfTrue="1">
      <formula>-0.03</formula>
    </cfRule>
  </conditionalFormatting>
  <conditionalFormatting sqref="N12">
    <cfRule type="cellIs" priority="378" operator="lessThan" dxfId="1" stopIfTrue="1">
      <formula>-0.01</formula>
    </cfRule>
    <cfRule type="cellIs" priority="379" operator="greaterThan" dxfId="0" stopIfTrue="1">
      <formula>0.01</formula>
    </cfRule>
  </conditionalFormatting>
  <conditionalFormatting sqref="N7">
    <cfRule type="cellIs" priority="376" operator="lessThan" dxfId="1" stopIfTrue="1">
      <formula>-0.01</formula>
    </cfRule>
    <cfRule type="cellIs" priority="377" operator="greaterThan" dxfId="0" stopIfTrue="1">
      <formula>0.01</formula>
    </cfRule>
  </conditionalFormatting>
  <conditionalFormatting sqref="N8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N9:N11">
    <cfRule type="cellIs" priority="372" operator="lessThan" dxfId="1" stopIfTrue="1">
      <formula>-0.01</formula>
    </cfRule>
    <cfRule type="cellIs" priority="373" operator="greaterThan" dxfId="0" stopIfTrue="1">
      <formula>0.01</formula>
    </cfRule>
  </conditionalFormatting>
  <conditionalFormatting sqref="P7">
    <cfRule type="cellIs" priority="368" operator="greaterThan" dxfId="1">
      <formula>0.03</formula>
    </cfRule>
    <cfRule type="cellIs" priority="369" operator="lessThan" dxfId="0" stopIfTrue="1">
      <formula>-0.03</formula>
    </cfRule>
  </conditionalFormatting>
  <conditionalFormatting sqref="P11">
    <cfRule type="cellIs" priority="366" operator="lessThan" dxfId="1">
      <formula>-0.03</formula>
    </cfRule>
    <cfRule type="cellIs" priority="367" operator="greaterThan" dxfId="0" stopIfTrue="1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2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18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19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20:N22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18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22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J18:J22">
    <cfRule type="cellIs" priority="321" operator="greaterThan" dxfId="1">
      <formula>0.03</formula>
    </cfRule>
    <cfRule type="cellIs" priority="322" operator="lessThan" dxfId="0" stopIfTrue="1">
      <formula>-0.03</formula>
    </cfRule>
  </conditionalFormatting>
  <conditionalFormatting sqref="N35">
    <cfRule type="cellIs" priority="319" operator="lessThan" dxfId="1" stopIfTrue="1">
      <formula>-0.01</formula>
    </cfRule>
    <cfRule type="cellIs" priority="320" operator="greaterThan" dxfId="0" stopIfTrue="1">
      <formula>0.01</formula>
    </cfRule>
  </conditionalFormatting>
  <conditionalFormatting sqref="N34">
    <cfRule type="cellIs" priority="317" operator="lessThan" dxfId="1" stopIfTrue="1">
      <formula>-0.01</formula>
    </cfRule>
    <cfRule type="cellIs" priority="318" operator="greaterThan" dxfId="0" stopIfTrue="1">
      <formula>0.01</formula>
    </cfRule>
  </conditionalFormatting>
  <conditionalFormatting sqref="N29">
    <cfRule type="cellIs" priority="315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N30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N31:N33">
    <cfRule type="cellIs" priority="311" operator="lessThan" dxfId="1" stopIfTrue="1">
      <formula>-0.01</formula>
    </cfRule>
    <cfRule type="cellIs" priority="312" operator="greaterThan" dxfId="0" stopIfTrue="1">
      <formula>0.01</formula>
    </cfRule>
  </conditionalFormatting>
  <conditionalFormatting sqref="P29">
    <cfRule type="cellIs" priority="309" operator="greaterThan" dxfId="1">
      <formula>0.03</formula>
    </cfRule>
    <cfRule type="cellIs" priority="310" operator="lessThan" dxfId="0" stopIfTrue="1">
      <formula>-0.03</formula>
    </cfRule>
  </conditionalFormatting>
  <conditionalFormatting sqref="P33">
    <cfRule type="cellIs" priority="307" operator="lessThan" dxfId="1">
      <formula>-0.03</formula>
    </cfRule>
    <cfRule type="cellIs" priority="308" operator="greaterThan" dxfId="0" stopIfTrue="1">
      <formula>0.03</formula>
    </cfRule>
  </conditionalFormatting>
  <conditionalFormatting sqref="J29:J33">
    <cfRule type="cellIs" priority="305" operator="greaterThan" dxfId="1">
      <formula>0.03</formula>
    </cfRule>
    <cfRule type="cellIs" priority="306" operator="lessThan" dxfId="0" stopIfTrue="1">
      <formula>-0.03</formula>
    </cfRule>
  </conditionalFormatting>
  <conditionalFormatting sqref="N46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N45">
    <cfRule type="cellIs" priority="301" operator="lessThan" dxfId="1" stopIfTrue="1">
      <formula>-0.01</formula>
    </cfRule>
    <cfRule type="cellIs" priority="302" operator="greaterThan" dxfId="0" stopIfTrue="1">
      <formula>0.01</formula>
    </cfRule>
  </conditionalFormatting>
  <conditionalFormatting sqref="N40">
    <cfRule type="cellIs" priority="299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41">
    <cfRule type="cellIs" priority="297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N42:N44">
    <cfRule type="cellIs" priority="295" operator="lessThan" dxfId="1" stopIfTrue="1">
      <formula>-0.01</formula>
    </cfRule>
    <cfRule type="cellIs" priority="296" operator="greaterThan" dxfId="0" stopIfTrue="1">
      <formula>0.01</formula>
    </cfRule>
  </conditionalFormatting>
  <conditionalFormatting sqref="P40">
    <cfRule type="cellIs" priority="293" operator="greaterThan" dxfId="1">
      <formula>0.03</formula>
    </cfRule>
    <cfRule type="cellIs" priority="294" operator="lessThan" dxfId="0" stopIfTrue="1">
      <formula>-0.03</formula>
    </cfRule>
  </conditionalFormatting>
  <conditionalFormatting sqref="P44">
    <cfRule type="cellIs" priority="291" operator="lessThan" dxfId="1">
      <formula>-0.03</formula>
    </cfRule>
    <cfRule type="cellIs" priority="292" operator="greaterThan" dxfId="0" stopIfTrue="1">
      <formula>0.03</formula>
    </cfRule>
  </conditionalFormatting>
  <conditionalFormatting sqref="J40:J44">
    <cfRule type="cellIs" priority="289" operator="greaterThan" dxfId="1">
      <formula>0.03</formula>
    </cfRule>
    <cfRule type="cellIs" priority="290" operator="lessThan" dxfId="0" stopIfTrue="1">
      <formula>-0.03</formula>
    </cfRule>
  </conditionalFormatting>
  <conditionalFormatting sqref="N57">
    <cfRule type="cellIs" priority="287" operator="lessThan" dxfId="1" stopIfTrue="1">
      <formula>-0.01</formula>
    </cfRule>
    <cfRule type="cellIs" priority="288" operator="greaterThan" dxfId="0" stopIfTrue="1">
      <formula>0.01</formula>
    </cfRule>
  </conditionalFormatting>
  <conditionalFormatting sqref="N56">
    <cfRule type="cellIs" priority="285" operator="lessThan" dxfId="1" stopIfTrue="1">
      <formula>-0.01</formula>
    </cfRule>
    <cfRule type="cellIs" priority="286" operator="greaterThan" dxfId="0" stopIfTrue="1">
      <formula>0.01</formula>
    </cfRule>
  </conditionalFormatting>
  <conditionalFormatting sqref="N51">
    <cfRule type="cellIs" priority="283" operator="lessThan" dxfId="1" stopIfTrue="1">
      <formula>-0.01</formula>
    </cfRule>
    <cfRule type="cellIs" priority="284" operator="greaterThan" dxfId="0" stopIfTrue="1">
      <formula>0.01</formula>
    </cfRule>
  </conditionalFormatting>
  <conditionalFormatting sqref="N52">
    <cfRule type="cellIs" priority="281" operator="lessThan" dxfId="1" stopIfTrue="1">
      <formula>-0.01</formula>
    </cfRule>
    <cfRule type="cellIs" priority="282" operator="greaterThan" dxfId="0" stopIfTrue="1">
      <formula>0.01</formula>
    </cfRule>
  </conditionalFormatting>
  <conditionalFormatting sqref="N53:N55">
    <cfRule type="cellIs" priority="279" operator="lessThan" dxfId="1" stopIfTrue="1">
      <formula>-0.01</formula>
    </cfRule>
    <cfRule type="cellIs" priority="280" operator="greaterThan" dxfId="0" stopIfTrue="1">
      <formula>0.01</formula>
    </cfRule>
  </conditionalFormatting>
  <conditionalFormatting sqref="P51">
    <cfRule type="cellIs" priority="277" operator="greaterThan" dxfId="1">
      <formula>0.03</formula>
    </cfRule>
    <cfRule type="cellIs" priority="278" operator="lessThan" dxfId="0" stopIfTrue="1">
      <formula>-0.03</formula>
    </cfRule>
  </conditionalFormatting>
  <conditionalFormatting sqref="P55">
    <cfRule type="cellIs" priority="275" operator="lessThan" dxfId="1">
      <formula>-0.03</formula>
    </cfRule>
    <cfRule type="cellIs" priority="276" operator="greaterThan" dxfId="0" stopIfTrue="1">
      <formula>0.03</formula>
    </cfRule>
  </conditionalFormatting>
  <conditionalFormatting sqref="J51:J55">
    <cfRule type="cellIs" priority="273" operator="greaterThan" dxfId="1">
      <formula>0.03</formula>
    </cfRule>
    <cfRule type="cellIs" priority="274" operator="lessThan" dxfId="0" stopIfTrue="1">
      <formula>-0.03</formula>
    </cfRule>
  </conditionalFormatting>
  <conditionalFormatting sqref="N68">
    <cfRule type="cellIs" priority="271" operator="lessThan" dxfId="1" stopIfTrue="1">
      <formula>-0.01</formula>
    </cfRule>
    <cfRule type="cellIs" priority="272" operator="greaterThan" dxfId="0" stopIfTrue="1">
      <formula>0.01</formula>
    </cfRule>
  </conditionalFormatting>
  <conditionalFormatting sqref="N67">
    <cfRule type="cellIs" priority="269" operator="lessThan" dxfId="1" stopIfTrue="1">
      <formula>-0.01</formula>
    </cfRule>
    <cfRule type="cellIs" priority="270" operator="greaterThan" dxfId="0" stopIfTrue="1">
      <formula>0.01</formula>
    </cfRule>
  </conditionalFormatting>
  <conditionalFormatting sqref="N62">
    <cfRule type="cellIs" priority="267" operator="lessThan" dxfId="1" stopIfTrue="1">
      <formula>-0.01</formula>
    </cfRule>
    <cfRule type="cellIs" priority="268" operator="greaterThan" dxfId="0" stopIfTrue="1">
      <formula>0.01</formula>
    </cfRule>
  </conditionalFormatting>
  <conditionalFormatting sqref="N63">
    <cfRule type="cellIs" priority="265" operator="lessThan" dxfId="1" stopIfTrue="1">
      <formula>-0.01</formula>
    </cfRule>
    <cfRule type="cellIs" priority="266" operator="greaterThan" dxfId="0" stopIfTrue="1">
      <formula>0.01</formula>
    </cfRule>
  </conditionalFormatting>
  <conditionalFormatting sqref="N64:N66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P62">
    <cfRule type="cellIs" priority="261" operator="greaterThan" dxfId="1">
      <formula>0.03</formula>
    </cfRule>
    <cfRule type="cellIs" priority="262" operator="lessThan" dxfId="0" stopIfTrue="1">
      <formula>-0.03</formula>
    </cfRule>
  </conditionalFormatting>
  <conditionalFormatting sqref="P66">
    <cfRule type="cellIs" priority="259" operator="lessThan" dxfId="1">
      <formula>-0.03</formula>
    </cfRule>
    <cfRule type="cellIs" priority="260" operator="greaterThan" dxfId="0" stopIfTrue="1">
      <formula>0.03</formula>
    </cfRule>
  </conditionalFormatting>
  <conditionalFormatting sqref="J62:J66">
    <cfRule type="cellIs" priority="257" operator="greaterThan" dxfId="1">
      <formula>0.03</formula>
    </cfRule>
    <cfRule type="cellIs" priority="258" operator="lessThan" dxfId="0" stopIfTrue="1">
      <formula>-0.03</formula>
    </cfRule>
  </conditionalFormatting>
  <conditionalFormatting sqref="N79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N78">
    <cfRule type="cellIs" priority="253" operator="lessThan" dxfId="1" stopIfTrue="1">
      <formula>-0.01</formula>
    </cfRule>
    <cfRule type="cellIs" priority="254" operator="greaterThan" dxfId="0" stopIfTrue="1">
      <formula>0.01</formula>
    </cfRule>
  </conditionalFormatting>
  <conditionalFormatting sqref="N73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N74">
    <cfRule type="cellIs" priority="249" operator="lessThan" dxfId="1" stopIfTrue="1">
      <formula>-0.01</formula>
    </cfRule>
    <cfRule type="cellIs" priority="250" operator="greaterThan" dxfId="0" stopIfTrue="1">
      <formula>0.01</formula>
    </cfRule>
  </conditionalFormatting>
  <conditionalFormatting sqref="N75:N77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P73">
    <cfRule type="cellIs" priority="245" operator="greaterThan" dxfId="1">
      <formula>0.03</formula>
    </cfRule>
    <cfRule type="cellIs" priority="246" operator="lessThan" dxfId="0" stopIfTrue="1">
      <formula>-0.03</formula>
    </cfRule>
  </conditionalFormatting>
  <conditionalFormatting sqref="P77">
    <cfRule type="cellIs" priority="243" operator="lessThan" dxfId="1">
      <formula>-0.03</formula>
    </cfRule>
    <cfRule type="cellIs" priority="244" operator="greaterThan" dxfId="0" stopIfTrue="1">
      <formula>0.03</formula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90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89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8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85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86:N8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84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88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J84:J88">
    <cfRule type="cellIs" priority="225" operator="greaterThan" dxfId="1">
      <formula>0.03</formula>
    </cfRule>
    <cfRule type="cellIs" priority="226" operator="lessThan" dxfId="0" stopIfTrue="1">
      <formula>-0.03</formula>
    </cfRule>
  </conditionalFormatting>
  <conditionalFormatting sqref="N101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N100">
    <cfRule type="cellIs" priority="221" operator="lessThan" dxfId="1" stopIfTrue="1">
      <formula>-0.01</formula>
    </cfRule>
    <cfRule type="cellIs" priority="222" operator="greaterThan" dxfId="0" stopIfTrue="1">
      <formula>0.01</formula>
    </cfRule>
  </conditionalFormatting>
  <conditionalFormatting sqref="N95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96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N97:N9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P95">
    <cfRule type="cellIs" priority="213" operator="greaterThan" dxfId="1">
      <formula>0.03</formula>
    </cfRule>
    <cfRule type="cellIs" priority="214" operator="lessThan" dxfId="0" stopIfTrue="1">
      <formula>-0.03</formula>
    </cfRule>
  </conditionalFormatting>
  <conditionalFormatting sqref="P99">
    <cfRule type="cellIs" priority="211" operator="lessThan" dxfId="1">
      <formula>-0.03</formula>
    </cfRule>
    <cfRule type="cellIs" priority="212" operator="greaterThan" dxfId="0" stopIfTrue="1">
      <formula>0.03</formula>
    </cfRule>
  </conditionalFormatting>
  <conditionalFormatting sqref="J95:J99">
    <cfRule type="cellIs" priority="209" operator="greaterThan" dxfId="1">
      <formula>0.03</formula>
    </cfRule>
    <cfRule type="cellIs" priority="210" operator="lessThan" dxfId="0" stopIfTrue="1">
      <formula>-0.03</formula>
    </cfRule>
  </conditionalFormatting>
  <conditionalFormatting sqref="N112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N111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N106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N107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N108:N110">
    <cfRule type="cellIs" priority="199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P106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P110">
    <cfRule type="cellIs" priority="195" operator="lessThan" dxfId="1">
      <formula>-0.03</formula>
    </cfRule>
    <cfRule type="cellIs" priority="196" operator="greaterThan" dxfId="0" stopIfTrue="1">
      <formula>0.03</formula>
    </cfRule>
  </conditionalFormatting>
  <conditionalFormatting sqref="J106:J110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23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122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117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11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119:N121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117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121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J117:J121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N135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N145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N144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N139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140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141:N143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P139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P143">
    <cfRule type="cellIs" priority="147" operator="lessThan" dxfId="1">
      <formula>-0.03</formula>
    </cfRule>
    <cfRule type="cellIs" priority="148" operator="greaterThan" dxfId="0" stopIfTrue="1">
      <formula>0.03</formula>
    </cfRule>
  </conditionalFormatting>
  <conditionalFormatting sqref="J139:J143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N156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N155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N150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N151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N152:N154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P150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P154">
    <cfRule type="cellIs" priority="131" operator="lessThan" dxfId="1">
      <formula>-0.03</formula>
    </cfRule>
    <cfRule type="cellIs" priority="132" operator="greaterThan" dxfId="0" stopIfTrue="1">
      <formula>0.03</formula>
    </cfRule>
  </conditionalFormatting>
  <conditionalFormatting sqref="J150:J154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N167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166">
    <cfRule type="cellIs" priority="125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N161">
    <cfRule type="cellIs" priority="123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N162">
    <cfRule type="cellIs" priority="121" operator="lessThan" dxfId="1" stopIfTrue="1">
      <formula>-0.01</formula>
    </cfRule>
    <cfRule type="cellIs" priority="122" operator="greaterThan" dxfId="0" stopIfTrue="1">
      <formula>0.01</formula>
    </cfRule>
  </conditionalFormatting>
  <conditionalFormatting sqref="N163:N165">
    <cfRule type="cellIs" priority="119" operator="lessThan" dxfId="1" stopIfTrue="1">
      <formula>-0.01</formula>
    </cfRule>
    <cfRule type="cellIs" priority="120" operator="greaterThan" dxfId="0" stopIfTrue="1">
      <formula>0.01</formula>
    </cfRule>
  </conditionalFormatting>
  <conditionalFormatting sqref="P161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P165">
    <cfRule type="cellIs" priority="115" operator="lessThan" dxfId="1">
      <formula>-0.03</formula>
    </cfRule>
    <cfRule type="cellIs" priority="116" operator="greaterThan" dxfId="0" stopIfTrue="1">
      <formula>0.03</formula>
    </cfRule>
  </conditionalFormatting>
  <conditionalFormatting sqref="J161:J165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N178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77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172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173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174:N176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172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176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J172:J176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N189">
    <cfRule type="cellIs" priority="95" operator="lessThan" dxfId="1" stopIfTrue="1">
      <formula>-0.01</formula>
    </cfRule>
    <cfRule type="cellIs" priority="96" operator="greaterThan" dxfId="0" stopIfTrue="1">
      <formula>0.01</formula>
    </cfRule>
  </conditionalFormatting>
  <conditionalFormatting sqref="N188">
    <cfRule type="cellIs" priority="93" operator="lessThan" dxfId="1" stopIfTrue="1">
      <formula>-0.01</formula>
    </cfRule>
    <cfRule type="cellIs" priority="94" operator="greaterThan" dxfId="0" stopIfTrue="1">
      <formula>0.01</formula>
    </cfRule>
  </conditionalFormatting>
  <conditionalFormatting sqref="N183">
    <cfRule type="cellIs" priority="91" operator="lessThan" dxfId="1" stopIfTrue="1">
      <formula>-0.01</formula>
    </cfRule>
    <cfRule type="cellIs" priority="92" operator="greaterThan" dxfId="0" stopIfTrue="1">
      <formula>0.01</formula>
    </cfRule>
  </conditionalFormatting>
  <conditionalFormatting sqref="N184">
    <cfRule type="cellIs" priority="89" operator="lessThan" dxfId="1" stopIfTrue="1">
      <formula>-0.01</formula>
    </cfRule>
    <cfRule type="cellIs" priority="90" operator="greaterThan" dxfId="0" stopIfTrue="1">
      <formula>0.01</formula>
    </cfRule>
  </conditionalFormatting>
  <conditionalFormatting sqref="N185:N187">
    <cfRule type="cellIs" priority="87" operator="lessThan" dxfId="1" stopIfTrue="1">
      <formula>-0.01</formula>
    </cfRule>
    <cfRule type="cellIs" priority="88" operator="greaterThan" dxfId="0" stopIfTrue="1">
      <formula>0.01</formula>
    </cfRule>
  </conditionalFormatting>
  <conditionalFormatting sqref="P183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P187">
    <cfRule type="cellIs" priority="83" operator="lessThan" dxfId="1">
      <formula>-0.03</formula>
    </cfRule>
    <cfRule type="cellIs" priority="84" operator="greaterThan" dxfId="0" stopIfTrue="1">
      <formula>0.03</formula>
    </cfRule>
  </conditionalFormatting>
  <conditionalFormatting sqref="J183:J187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N200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N199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N194">
    <cfRule type="cellIs" priority="75" operator="lessThan" dxfId="1" stopIfTrue="1">
      <formula>-0.01</formula>
    </cfRule>
    <cfRule type="cellIs" priority="76" operator="greaterThan" dxfId="0" stopIfTrue="1">
      <formula>0.01</formula>
    </cfRule>
  </conditionalFormatting>
  <conditionalFormatting sqref="N195">
    <cfRule type="cellIs" priority="73" operator="lessThan" dxfId="1" stopIfTrue="1">
      <formula>-0.01</formula>
    </cfRule>
    <cfRule type="cellIs" priority="74" operator="greaterThan" dxfId="0" stopIfTrue="1">
      <formula>0.01</formula>
    </cfRule>
  </conditionalFormatting>
  <conditionalFormatting sqref="N196:N198">
    <cfRule type="cellIs" priority="71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P194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P198">
    <cfRule type="cellIs" priority="67" operator="lessThan" dxfId="1">
      <formula>-0.03</formula>
    </cfRule>
    <cfRule type="cellIs" priority="68" operator="greaterThan" dxfId="0" stopIfTrue="1">
      <formula>0.03</formula>
    </cfRule>
  </conditionalFormatting>
  <conditionalFormatting sqref="J194:J198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211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210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205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206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207:N209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P205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P209">
    <cfRule type="cellIs" priority="51" operator="lessThan" dxfId="1">
      <formula>-0.03</formula>
    </cfRule>
    <cfRule type="cellIs" priority="52" operator="greaterThan" dxfId="0" stopIfTrue="1">
      <formula>0.03</formula>
    </cfRule>
  </conditionalFormatting>
  <conditionalFormatting sqref="J205:J209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N222">
    <cfRule type="cellIs" priority="47" operator="lessThan" dxfId="1" stopIfTrue="1">
      <formula>-0.01</formula>
    </cfRule>
    <cfRule type="cellIs" priority="48" operator="greaterThan" dxfId="0" stopIfTrue="1">
      <formula>0.01</formula>
    </cfRule>
  </conditionalFormatting>
  <conditionalFormatting sqref="N221">
    <cfRule type="cellIs" priority="45" operator="lessThan" dxfId="1" stopIfTrue="1">
      <formula>-0.01</formula>
    </cfRule>
    <cfRule type="cellIs" priority="46" operator="greaterThan" dxfId="0" stopIfTrue="1">
      <formula>0.01</formula>
    </cfRule>
  </conditionalFormatting>
  <conditionalFormatting sqref="N216">
    <cfRule type="cellIs" priority="43" operator="lessThan" dxfId="1" stopIfTrue="1">
      <formula>-0.01</formula>
    </cfRule>
    <cfRule type="cellIs" priority="44" operator="greaterThan" dxfId="0" stopIfTrue="1">
      <formula>0.01</formula>
    </cfRule>
  </conditionalFormatting>
  <conditionalFormatting sqref="N217">
    <cfRule type="cellIs" priority="41" operator="lessThan" dxfId="1" stopIfTrue="1">
      <formula>-0.01</formula>
    </cfRule>
    <cfRule type="cellIs" priority="42" operator="greaterThan" dxfId="0" stopIfTrue="1">
      <formula>0.01</formula>
    </cfRule>
  </conditionalFormatting>
  <conditionalFormatting sqref="N218:N220">
    <cfRule type="cellIs" priority="39" operator="lessThan" dxfId="1" stopIfTrue="1">
      <formula>-0.01</formula>
    </cfRule>
    <cfRule type="cellIs" priority="40" operator="greaterThan" dxfId="0" stopIfTrue="1">
      <formula>0.01</formula>
    </cfRule>
  </conditionalFormatting>
  <conditionalFormatting sqref="P216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P220">
    <cfRule type="cellIs" priority="35" operator="lessThan" dxfId="1">
      <formula>-0.03</formula>
    </cfRule>
    <cfRule type="cellIs" priority="36" operator="greaterThan" dxfId="0" stopIfTrue="1">
      <formula>0.03</formula>
    </cfRule>
  </conditionalFormatting>
  <conditionalFormatting sqref="J216:J220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N233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N232">
    <cfRule type="cellIs" priority="29" operator="lessThan" dxfId="1" stopIfTrue="1">
      <formula>-0.01</formula>
    </cfRule>
    <cfRule type="cellIs" priority="30" operator="greaterThan" dxfId="0" stopIfTrue="1">
      <formula>0.01</formula>
    </cfRule>
  </conditionalFormatting>
  <conditionalFormatting sqref="N227">
    <cfRule type="cellIs" priority="27" operator="lessThan" dxfId="1" stopIfTrue="1">
      <formula>-0.01</formula>
    </cfRule>
    <cfRule type="cellIs" priority="28" operator="greaterThan" dxfId="0" stopIfTrue="1">
      <formula>0.01</formula>
    </cfRule>
  </conditionalFormatting>
  <conditionalFormatting sqref="N228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N229:N231">
    <cfRule type="cellIs" priority="23" operator="lessThan" dxfId="1" stopIfTrue="1">
      <formula>-0.01</formula>
    </cfRule>
    <cfRule type="cellIs" priority="24" operator="greaterThan" dxfId="0" stopIfTrue="1">
      <formula>0.01</formula>
    </cfRule>
  </conditionalFormatting>
  <conditionalFormatting sqref="P227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P231">
    <cfRule type="cellIs" priority="19" operator="lessThan" dxfId="1">
      <formula>-0.03</formula>
    </cfRule>
    <cfRule type="cellIs" priority="20" operator="greaterThan" dxfId="0" stopIfTrue="1">
      <formula>0.03</formula>
    </cfRule>
  </conditionalFormatting>
  <conditionalFormatting sqref="J227:J231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N134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N133">
    <cfRule type="cellIs" priority="13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128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129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130:N132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P128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P132">
    <cfRule type="cellIs" priority="3" operator="lessThan" dxfId="1">
      <formula>-0.03</formula>
    </cfRule>
    <cfRule type="cellIs" priority="4" operator="greaterThan" dxfId="0" stopIfTrue="1">
      <formula>0.03</formula>
    </cfRule>
  </conditionalFormatting>
  <conditionalFormatting sqref="J128:J132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25">
    <outlinePr summaryBelow="1" summaryRight="1"/>
    <pageSetUpPr/>
  </sheetPr>
  <dimension ref="A1:AF233"/>
  <sheetViews>
    <sheetView workbookViewId="0">
      <selection activeCell="BE10" sqref="BE10"/>
    </sheetView>
  </sheetViews>
  <sheetFormatPr baseColWidth="8" defaultColWidth="9" defaultRowHeight="15.6" outlineLevelCol="0"/>
  <cols>
    <col width="1.59765625" bestFit="1" customWidth="1" style="270" min="1" max="1"/>
    <col width="6.59765625" customWidth="1" style="270" min="2" max="2"/>
    <col width="9.3984375" customWidth="1" style="270" min="3" max="3"/>
    <col width="14.3984375" customWidth="1" style="270" min="4" max="4"/>
    <col width="4.59765625" customWidth="1" style="270" min="5" max="5"/>
    <col width="6.59765625" customWidth="1" style="270" min="6" max="6"/>
    <col width="9.3984375" customWidth="1" style="270" min="7" max="7"/>
    <col width="14.3984375" customWidth="1" style="270" min="8" max="8"/>
    <col width="4.59765625" customWidth="1" style="270" min="9" max="9"/>
    <col width="9.59765625" customWidth="1" style="270" min="10" max="10"/>
    <col width="4.59765625" customWidth="1" style="270" min="11" max="11"/>
    <col width="14.3984375" bestFit="1" customWidth="1" style="270" min="12" max="12"/>
    <col width="16.09765625" bestFit="1" customWidth="1" style="270" min="13" max="13"/>
    <col width="8" bestFit="1" customWidth="1" style="270" min="14" max="14"/>
    <col width="4.59765625" customWidth="1" style="270" min="15" max="15"/>
    <col width="9.69921875" bestFit="1" customWidth="1" style="270" min="16" max="16"/>
    <col width="4.59765625" customWidth="1" style="270" min="17" max="17"/>
    <col width="84.59765625" customWidth="1" style="270" min="18" max="18"/>
    <col width="6.5" bestFit="1" customWidth="1" style="270" min="19" max="19"/>
    <col width="9.59765625" bestFit="1" customWidth="1" style="270" min="20" max="20"/>
    <col width="1.59765625" bestFit="1" customWidth="1" style="270" min="21" max="21"/>
    <col width="7.59765625" bestFit="1" customWidth="1" style="270" min="22" max="22"/>
    <col width="1.59765625" bestFit="1" customWidth="1" style="270" min="23" max="23"/>
    <col width="14.3984375" bestFit="1" customWidth="1" style="270" min="24" max="24"/>
    <col width="16.09765625" bestFit="1" customWidth="1" style="270" min="25" max="25"/>
    <col width="5.09765625" bestFit="1" customWidth="1" style="270" min="26" max="26"/>
    <col width="1.59765625" bestFit="1" customWidth="1" style="270" min="27" max="27"/>
    <col width="8.09765625" bestFit="1" customWidth="1" style="268" min="28" max="28"/>
    <col width="9" customWidth="1" style="270" min="29" max="29"/>
    <col width="1.3984375" bestFit="1" customWidth="1" style="270" min="30" max="30"/>
    <col width="80.59765625" customWidth="1" style="270" min="31" max="31"/>
    <col width="1.3984375" bestFit="1" customWidth="1" style="270" min="32" max="32"/>
    <col width="9" customWidth="1" style="270" min="33" max="38"/>
  </cols>
  <sheetData>
    <row r="1">
      <c r="AD1" s="10" t="inlineStr">
        <is>
          <t> </t>
        </is>
      </c>
      <c r="AF1" s="10" t="inlineStr">
        <is>
          <t> </t>
        </is>
      </c>
    </row>
    <row r="2">
      <c r="B2" s="271">
        <f>'Summary (auto)'!C3</f>
        <v/>
      </c>
      <c r="E2" s="266" t="n"/>
      <c r="F2" s="271">
        <f>'Summary (auto)'!C4</f>
        <v/>
      </c>
      <c r="I2" s="268" t="n"/>
      <c r="J2" s="261" t="inlineStr">
        <is>
          <t>Rate</t>
        </is>
      </c>
      <c r="K2" s="268" t="n"/>
      <c r="L2" s="261" t="inlineStr">
        <is>
          <t>Distortion</t>
        </is>
      </c>
      <c r="O2" s="268" t="n"/>
      <c r="P2" s="261" t="inlineStr">
        <is>
          <t>BD-rate</t>
        </is>
      </c>
      <c r="U2" s="261" t="n"/>
      <c r="V2" s="261" t="n"/>
    </row>
    <row r="3" ht="16.5" customHeight="1" s="270" thickBot="1">
      <c r="A3" s="189" t="inlineStr">
        <is>
          <t>  </t>
        </is>
      </c>
      <c r="B3" s="266" t="n"/>
      <c r="C3" s="266" t="n"/>
      <c r="D3" s="266" t="n"/>
      <c r="E3" s="266" t="n"/>
      <c r="F3" s="266" t="n"/>
      <c r="G3" s="266" t="n"/>
      <c r="H3" s="266" t="n"/>
      <c r="I3" s="268" t="n"/>
      <c r="J3" s="268" t="n"/>
      <c r="K3" s="190" t="inlineStr">
        <is>
          <t>  </t>
        </is>
      </c>
      <c r="L3" s="105" t="inlineStr">
        <is>
          <t>H</t>
        </is>
      </c>
      <c r="M3" s="105" t="inlineStr">
        <is>
          <t>AF</t>
        </is>
      </c>
      <c r="N3" s="268" t="n"/>
      <c r="O3" s="190" t="inlineStr">
        <is>
          <t>  </t>
        </is>
      </c>
      <c r="P3" s="268" t="n"/>
      <c r="U3" s="189" t="inlineStr">
        <is>
          <t>  </t>
        </is>
      </c>
      <c r="W3" s="189" t="inlineStr">
        <is>
          <t>  </t>
        </is>
      </c>
    </row>
    <row r="4">
      <c r="B4" s="312" t="inlineStr">
        <is>
          <t>bartender_track</t>
        </is>
      </c>
      <c r="C4" s="313" t="n"/>
      <c r="D4" s="314" t="n"/>
      <c r="E4" s="2" t="n"/>
      <c r="F4" s="312">
        <f>B4</f>
        <v/>
      </c>
      <c r="G4" s="313" t="n"/>
      <c r="H4" s="314" t="n"/>
      <c r="I4" s="2" t="n"/>
      <c r="J4" s="265" t="n"/>
      <c r="L4" s="265">
        <f>F4</f>
        <v/>
      </c>
      <c r="M4" s="313" t="n"/>
      <c r="N4" s="314" t="n"/>
      <c r="O4" s="195" t="n"/>
      <c r="P4" s="265" t="n"/>
      <c r="Q4" s="195" t="n"/>
      <c r="R4" s="195" t="n"/>
      <c r="S4" s="195" t="n"/>
      <c r="T4" s="195" t="n"/>
      <c r="U4" s="268" t="n"/>
      <c r="V4" s="268" t="n"/>
      <c r="X4" s="268" t="n"/>
    </row>
    <row r="5">
      <c r="B5" s="263" t="inlineStr">
        <is>
          <t>Test</t>
        </is>
      </c>
      <c r="D5" s="87" t="inlineStr">
        <is>
          <t>Bitrate [Mbps]</t>
        </is>
      </c>
      <c r="E5" s="315" t="n"/>
      <c r="F5" s="263" t="inlineStr">
        <is>
          <t>Test</t>
        </is>
      </c>
      <c r="H5" s="87" t="inlineStr">
        <is>
          <t>Bitrate [Mbps]</t>
        </is>
      </c>
      <c r="I5" s="9" t="n"/>
      <c r="J5" s="267" t="inlineStr">
        <is>
          <t>%</t>
        </is>
      </c>
      <c r="L5" s="267" t="inlineStr">
        <is>
          <t>YUV-SSIM</t>
        </is>
      </c>
      <c r="N5" s="316" t="n"/>
      <c r="O5" s="85" t="n"/>
      <c r="P5" s="3" t="n"/>
      <c r="Q5" s="85" t="n"/>
      <c r="R5" s="261" t="n"/>
      <c r="U5" s="261" t="n"/>
      <c r="V5" s="261" t="n"/>
      <c r="X5" s="261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315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317">
        <f>0.001*INDIRECT($B7&amp;"!E5")</f>
        <v/>
      </c>
      <c r="E7" s="315" t="n"/>
      <c r="F7" s="122">
        <f>F4</f>
        <v/>
      </c>
      <c r="G7" s="130" t="inlineStr">
        <is>
          <t>r01</t>
        </is>
      </c>
      <c r="H7" s="317">
        <f>0.001*INDIRECT($B7&amp;"!AC5")</f>
        <v/>
      </c>
      <c r="I7" s="9" t="n"/>
      <c r="J7" s="318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315" t="n"/>
      <c r="P7" s="318">
        <f>bdRateExtend(D7:D11,L7:L11,H7:H11,M7:M11)</f>
        <v/>
      </c>
      <c r="Q7" s="315" t="n"/>
      <c r="R7" s="9" t="n"/>
      <c r="S7" s="9" t="n"/>
      <c r="T7" s="9" t="n"/>
      <c r="U7" s="9" t="n"/>
      <c r="V7" s="319" t="n"/>
      <c r="X7" s="6" t="n"/>
      <c r="Y7" s="6" t="n"/>
      <c r="Z7" s="81" t="n"/>
      <c r="AB7" s="320" t="n"/>
    </row>
    <row r="8">
      <c r="B8" s="122">
        <f>B7</f>
        <v/>
      </c>
      <c r="C8" s="130" t="inlineStr">
        <is>
          <t>r02</t>
        </is>
      </c>
      <c r="D8" s="317">
        <f>0.001*INDIRECT($B8&amp;"!E6")</f>
        <v/>
      </c>
      <c r="E8" s="315" t="n"/>
      <c r="F8" s="122">
        <f>F7</f>
        <v/>
      </c>
      <c r="G8" s="130" t="inlineStr">
        <is>
          <t>r02</t>
        </is>
      </c>
      <c r="H8" s="317">
        <f>0.001*INDIRECT($B8&amp;"!AC6")</f>
        <v/>
      </c>
      <c r="I8" s="9" t="n"/>
      <c r="J8" s="318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315" t="n"/>
      <c r="P8" s="3" t="n"/>
      <c r="Q8" s="315" t="n"/>
      <c r="R8" s="9" t="n"/>
      <c r="S8" s="9" t="n"/>
      <c r="T8" s="9" t="n"/>
      <c r="U8" s="9" t="n"/>
      <c r="V8" s="319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317">
        <f>0.001*INDIRECT($B9&amp;"!E7")</f>
        <v/>
      </c>
      <c r="E9" s="315" t="n"/>
      <c r="F9" s="122">
        <f>F8</f>
        <v/>
      </c>
      <c r="G9" s="130" t="inlineStr">
        <is>
          <t>r03</t>
        </is>
      </c>
      <c r="H9" s="317">
        <f>0.001*INDIRECT($B9&amp;"!AC7")</f>
        <v/>
      </c>
      <c r="I9" s="9" t="n"/>
      <c r="J9" s="318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315" t="n"/>
      <c r="P9" s="217" t="n"/>
      <c r="Q9" s="315" t="n"/>
      <c r="R9" s="9" t="n"/>
      <c r="S9" s="9" t="n"/>
      <c r="T9" s="9" t="n"/>
      <c r="U9" s="9" t="n"/>
      <c r="V9" s="319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317">
        <f>0.001*INDIRECT($B10&amp;"!E8")</f>
        <v/>
      </c>
      <c r="E10" s="315" t="n"/>
      <c r="F10" s="122">
        <f>F9</f>
        <v/>
      </c>
      <c r="G10" s="130" t="inlineStr">
        <is>
          <t>r04</t>
        </is>
      </c>
      <c r="H10" s="317">
        <f>0.001*INDIRECT($B10&amp;"!AC8")</f>
        <v/>
      </c>
      <c r="I10" s="9" t="n"/>
      <c r="J10" s="318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315" t="n"/>
      <c r="P10" s="325" t="n"/>
      <c r="Q10" s="315" t="n"/>
      <c r="R10" s="9" t="n"/>
      <c r="S10" s="9" t="n"/>
      <c r="T10" s="9" t="n"/>
      <c r="U10" s="9" t="n"/>
      <c r="V10" s="319" t="n"/>
      <c r="X10" s="6" t="n"/>
      <c r="Y10" s="6" t="n"/>
      <c r="Z10" s="81" t="n"/>
    </row>
    <row r="11" ht="16.5" customHeight="1" s="270" thickBot="1">
      <c r="B11" s="122">
        <f>B10</f>
        <v/>
      </c>
      <c r="C11" s="130" t="inlineStr">
        <is>
          <t>r05</t>
        </is>
      </c>
      <c r="D11" s="317">
        <f>0.001*INDIRECT($B11&amp;"!E9")</f>
        <v/>
      </c>
      <c r="E11" s="315" t="n"/>
      <c r="F11" s="122">
        <f>F10</f>
        <v/>
      </c>
      <c r="G11" s="130" t="inlineStr">
        <is>
          <t>r05</t>
        </is>
      </c>
      <c r="H11" s="317">
        <f>0.001*INDIRECT($B11&amp;"!AC9")</f>
        <v/>
      </c>
      <c r="I11" s="9" t="n"/>
      <c r="J11" s="318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315" t="n"/>
      <c r="P11" s="321" t="n"/>
      <c r="Q11" s="315" t="n"/>
      <c r="R11" s="9" t="n"/>
      <c r="S11" s="9" t="n"/>
      <c r="T11" s="9" t="n"/>
      <c r="U11" s="9" t="n"/>
      <c r="V11" s="319" t="n"/>
      <c r="X11" s="6" t="n"/>
      <c r="Y11" s="6" t="n"/>
      <c r="Z11" s="81" t="n"/>
      <c r="AB11" s="320" t="n"/>
    </row>
    <row r="12" ht="16.5" customHeight="1" s="270">
      <c r="B12" s="109" t="n"/>
      <c r="C12" s="110" t="n"/>
      <c r="D12" s="322" t="n"/>
      <c r="F12" s="109" t="n"/>
      <c r="G12" s="110" t="n"/>
      <c r="H12" s="322" t="n"/>
      <c r="J12" s="98">
        <f>MIN(D7:D11,H7:H11)</f>
        <v/>
      </c>
      <c r="L12" s="99" t="n"/>
      <c r="M12" s="100" t="n"/>
      <c r="N12" s="101" t="n"/>
      <c r="O12" s="315" t="n"/>
      <c r="P12" s="265" t="n"/>
      <c r="Q12" s="315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70" thickBot="1">
      <c r="B13" s="89" t="n"/>
      <c r="C13" s="92" t="n"/>
      <c r="D13" s="323" t="n"/>
      <c r="E13" s="315" t="n"/>
      <c r="F13" s="89" t="n"/>
      <c r="G13" s="92" t="n"/>
      <c r="H13" s="323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315" t="n"/>
      <c r="P13" s="5" t="n"/>
      <c r="Q13" s="315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70" thickBot="1">
      <c r="B14" s="266" t="n"/>
      <c r="C14" s="266" t="n"/>
      <c r="D14" s="324" t="n"/>
      <c r="E14" s="315" t="n"/>
      <c r="F14" s="266" t="n"/>
      <c r="G14" s="266" t="n"/>
      <c r="H14" s="324" t="n"/>
    </row>
    <row r="15">
      <c r="B15" s="312" t="inlineStr">
        <is>
          <t>breakfast_track</t>
        </is>
      </c>
      <c r="C15" s="313" t="n"/>
      <c r="D15" s="314" t="n"/>
      <c r="E15" s="2" t="n"/>
      <c r="F15" s="312">
        <f>B15</f>
        <v/>
      </c>
      <c r="G15" s="313" t="n"/>
      <c r="H15" s="314" t="n"/>
      <c r="I15" s="2" t="n"/>
      <c r="J15" s="265" t="n"/>
      <c r="L15" s="265">
        <f>F15</f>
        <v/>
      </c>
      <c r="M15" s="313" t="n"/>
      <c r="N15" s="314" t="n"/>
      <c r="O15" s="195" t="n"/>
      <c r="P15" s="265" t="n"/>
      <c r="Q15" s="195" t="n"/>
      <c r="R15" s="195" t="n"/>
      <c r="S15" s="195" t="n"/>
      <c r="T15" s="195" t="n"/>
      <c r="U15" s="268" t="n"/>
      <c r="V15" s="268" t="n"/>
      <c r="X15" s="268" t="n"/>
    </row>
    <row r="16">
      <c r="B16" s="263" t="inlineStr">
        <is>
          <t>Test</t>
        </is>
      </c>
      <c r="D16" s="87" t="inlineStr">
        <is>
          <t>Bitrate [Mbps]</t>
        </is>
      </c>
      <c r="E16" s="315" t="n"/>
      <c r="F16" s="263" t="inlineStr">
        <is>
          <t>Test</t>
        </is>
      </c>
      <c r="H16" s="87" t="inlineStr">
        <is>
          <t>Bitrate [Mbps]</t>
        </is>
      </c>
      <c r="I16" s="9" t="n"/>
      <c r="J16" s="267" t="inlineStr">
        <is>
          <t>%</t>
        </is>
      </c>
      <c r="L16" s="267" t="inlineStr">
        <is>
          <t>YUV-SSIM</t>
        </is>
      </c>
      <c r="N16" s="316" t="n"/>
      <c r="O16" s="85" t="n"/>
      <c r="P16" s="3" t="n"/>
      <c r="Q16" s="85" t="n"/>
      <c r="R16" s="261" t="n"/>
      <c r="U16" s="261" t="n"/>
      <c r="V16" s="261" t="n"/>
      <c r="X16" s="261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315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317">
        <f>0.001*INDIRECT($B18&amp;"!E5")</f>
        <v/>
      </c>
      <c r="E18" s="315" t="n"/>
      <c r="F18" s="122">
        <f>F15</f>
        <v/>
      </c>
      <c r="G18" s="130" t="inlineStr">
        <is>
          <t>r01</t>
        </is>
      </c>
      <c r="H18" s="317">
        <f>0.001*INDIRECT($B18&amp;"!AC5")</f>
        <v/>
      </c>
      <c r="I18" s="9" t="n"/>
      <c r="J18" s="318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315" t="n"/>
      <c r="P18" s="318">
        <f>bdRateExtend(D18:D22,L18:L22,H18:H22,M18:M22)</f>
        <v/>
      </c>
      <c r="Q18" s="315" t="n"/>
      <c r="R18" s="9" t="n"/>
      <c r="S18" s="9" t="n"/>
      <c r="T18" s="9" t="n"/>
      <c r="U18" s="9" t="n"/>
      <c r="V18" s="319" t="n"/>
      <c r="X18" s="6" t="n"/>
      <c r="Y18" s="6" t="n"/>
      <c r="Z18" s="81" t="n"/>
      <c r="AB18" s="320" t="n"/>
    </row>
    <row r="19">
      <c r="B19" s="122">
        <f>B18</f>
        <v/>
      </c>
      <c r="C19" s="130" t="inlineStr">
        <is>
          <t>r02</t>
        </is>
      </c>
      <c r="D19" s="317">
        <f>0.001*INDIRECT($B19&amp;"!E6")</f>
        <v/>
      </c>
      <c r="E19" s="315" t="n"/>
      <c r="F19" s="122">
        <f>F18</f>
        <v/>
      </c>
      <c r="G19" s="130" t="inlineStr">
        <is>
          <t>r02</t>
        </is>
      </c>
      <c r="H19" s="317">
        <f>0.001*INDIRECT($B19&amp;"!AC6")</f>
        <v/>
      </c>
      <c r="I19" s="9" t="n"/>
      <c r="J19" s="318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315" t="n"/>
      <c r="P19" s="3" t="n"/>
      <c r="Q19" s="315" t="n"/>
      <c r="R19" s="9" t="n"/>
      <c r="S19" s="9" t="n"/>
      <c r="T19" s="9" t="n"/>
      <c r="U19" s="9" t="n"/>
      <c r="V19" s="319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317">
        <f>0.001*INDIRECT($B20&amp;"!E7")</f>
        <v/>
      </c>
      <c r="E20" s="315" t="n"/>
      <c r="F20" s="122">
        <f>F19</f>
        <v/>
      </c>
      <c r="G20" s="130" t="inlineStr">
        <is>
          <t>r03</t>
        </is>
      </c>
      <c r="H20" s="317">
        <f>0.001*INDIRECT($B20&amp;"!AC7")</f>
        <v/>
      </c>
      <c r="I20" s="9" t="n"/>
      <c r="J20" s="318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315" t="n"/>
      <c r="P20" s="217" t="n"/>
      <c r="Q20" s="315" t="n"/>
      <c r="R20" s="9" t="n"/>
      <c r="S20" s="9" t="n"/>
      <c r="T20" s="9" t="n"/>
      <c r="U20" s="9" t="n"/>
      <c r="V20" s="319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317">
        <f>0.001*INDIRECT($B21&amp;"!E8")</f>
        <v/>
      </c>
      <c r="E21" s="315" t="n"/>
      <c r="F21" s="122">
        <f>F20</f>
        <v/>
      </c>
      <c r="G21" s="130" t="inlineStr">
        <is>
          <t>r04</t>
        </is>
      </c>
      <c r="H21" s="317">
        <f>0.001*INDIRECT($B21&amp;"!AC8")</f>
        <v/>
      </c>
      <c r="I21" s="9" t="n"/>
      <c r="J21" s="318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315" t="n"/>
      <c r="P21" s="325" t="n"/>
      <c r="Q21" s="315" t="n"/>
      <c r="R21" s="9" t="n"/>
      <c r="S21" s="9" t="n"/>
      <c r="T21" s="9" t="n"/>
      <c r="U21" s="9" t="n"/>
      <c r="V21" s="319" t="n"/>
      <c r="X21" s="6" t="n"/>
      <c r="Y21" s="6" t="n"/>
      <c r="Z21" s="81" t="n"/>
    </row>
    <row r="22" ht="16.5" customHeight="1" s="270" thickBot="1">
      <c r="B22" s="122">
        <f>B21</f>
        <v/>
      </c>
      <c r="C22" s="130" t="inlineStr">
        <is>
          <t>r05</t>
        </is>
      </c>
      <c r="D22" s="317">
        <f>0.001*INDIRECT($B22&amp;"!E9")</f>
        <v/>
      </c>
      <c r="E22" s="315" t="n"/>
      <c r="F22" s="122">
        <f>F21</f>
        <v/>
      </c>
      <c r="G22" s="130" t="inlineStr">
        <is>
          <t>r05</t>
        </is>
      </c>
      <c r="H22" s="317">
        <f>0.001*INDIRECT($B22&amp;"!AC9")</f>
        <v/>
      </c>
      <c r="I22" s="9" t="n"/>
      <c r="J22" s="318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315" t="n"/>
      <c r="P22" s="321" t="n"/>
      <c r="Q22" s="315" t="n"/>
      <c r="R22" s="9" t="n"/>
      <c r="S22" s="9" t="n"/>
      <c r="T22" s="9" t="n"/>
      <c r="U22" s="9" t="n"/>
      <c r="V22" s="319" t="n"/>
      <c r="X22" s="6" t="n"/>
      <c r="Y22" s="6" t="n"/>
      <c r="Z22" s="81" t="n"/>
      <c r="AB22" s="320" t="n"/>
    </row>
    <row r="23" ht="16.5" customHeight="1" s="270">
      <c r="B23" s="109" t="n"/>
      <c r="C23" s="110" t="n"/>
      <c r="D23" s="322" t="n"/>
      <c r="F23" s="109" t="n"/>
      <c r="G23" s="110" t="n"/>
      <c r="H23" s="322" t="n"/>
      <c r="J23" s="98">
        <f>MIN(D18:D22,H18:H22)</f>
        <v/>
      </c>
      <c r="L23" s="99" t="n"/>
      <c r="M23" s="100" t="n"/>
      <c r="N23" s="101" t="n"/>
      <c r="O23" s="315" t="n"/>
      <c r="P23" s="265" t="n"/>
      <c r="Q23" s="315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70" thickBot="1">
      <c r="B24" s="89" t="n"/>
      <c r="C24" s="92" t="n"/>
      <c r="D24" s="323" t="n"/>
      <c r="E24" s="315" t="n"/>
      <c r="F24" s="89" t="n"/>
      <c r="G24" s="92" t="n"/>
      <c r="H24" s="323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315" t="n"/>
      <c r="P24" s="5" t="n"/>
      <c r="Q24" s="315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70" thickBot="1"/>
    <row r="26">
      <c r="B26" s="312" t="inlineStr">
        <is>
          <t>cinema_track</t>
        </is>
      </c>
      <c r="C26" s="313" t="n"/>
      <c r="D26" s="314" t="n"/>
      <c r="E26" s="2" t="n"/>
      <c r="F26" s="312">
        <f>B26</f>
        <v/>
      </c>
      <c r="G26" s="313" t="n"/>
      <c r="H26" s="314" t="n"/>
      <c r="I26" s="2" t="n"/>
      <c r="J26" s="265" t="n"/>
      <c r="L26" s="265">
        <f>F26</f>
        <v/>
      </c>
      <c r="M26" s="313" t="n"/>
      <c r="N26" s="314" t="n"/>
      <c r="O26" s="195" t="n"/>
      <c r="P26" s="265" t="n"/>
      <c r="U26" s="268" t="n"/>
      <c r="V26" s="268" t="n"/>
      <c r="X26" s="268" t="n"/>
    </row>
    <row r="27">
      <c r="B27" s="263" t="inlineStr">
        <is>
          <t>Test</t>
        </is>
      </c>
      <c r="D27" s="87" t="inlineStr">
        <is>
          <t>Bitrate [Mbps]</t>
        </is>
      </c>
      <c r="E27" s="315" t="n"/>
      <c r="F27" s="263" t="inlineStr">
        <is>
          <t>Test</t>
        </is>
      </c>
      <c r="H27" s="87" t="inlineStr">
        <is>
          <t>Bitrate [Mbps]</t>
        </is>
      </c>
      <c r="I27" s="9" t="n"/>
      <c r="J27" s="267" t="inlineStr">
        <is>
          <t>%</t>
        </is>
      </c>
      <c r="L27" s="267" t="inlineStr">
        <is>
          <t>YUV-SSIM</t>
        </is>
      </c>
      <c r="N27" s="316" t="n"/>
      <c r="O27" s="85" t="n"/>
      <c r="P27" s="3" t="n"/>
      <c r="R27" s="261" t="n"/>
      <c r="U27" s="261" t="n"/>
      <c r="V27" s="261" t="n"/>
      <c r="X27" s="261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315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317">
        <f>0.001*INDIRECT($B29&amp;"!E5")</f>
        <v/>
      </c>
      <c r="E29" s="315" t="n"/>
      <c r="F29" s="122">
        <f>F26</f>
        <v/>
      </c>
      <c r="G29" s="130" t="inlineStr">
        <is>
          <t>r01</t>
        </is>
      </c>
      <c r="H29" s="317">
        <f>0.001*INDIRECT($B29&amp;"!AC5")</f>
        <v/>
      </c>
      <c r="I29" s="9" t="n"/>
      <c r="J29" s="318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315" t="n"/>
      <c r="P29" s="318">
        <f>bdRateExtend(D29:D33,L29:L33,H29:H33,M29:M33)</f>
        <v/>
      </c>
      <c r="Q29" s="315" t="n"/>
      <c r="R29" s="9" t="n"/>
      <c r="S29" s="9" t="n"/>
      <c r="T29" s="9" t="n"/>
      <c r="U29" s="9" t="n"/>
      <c r="V29" s="319" t="n"/>
      <c r="X29" s="6" t="n"/>
      <c r="Y29" s="6" t="n"/>
      <c r="Z29" s="81" t="n"/>
      <c r="AB29" s="320" t="n"/>
    </row>
    <row r="30">
      <c r="B30" s="122">
        <f>B29</f>
        <v/>
      </c>
      <c r="C30" s="130" t="inlineStr">
        <is>
          <t>r02</t>
        </is>
      </c>
      <c r="D30" s="317">
        <f>0.001*INDIRECT($B30&amp;"!E6")</f>
        <v/>
      </c>
      <c r="E30" s="315" t="n"/>
      <c r="F30" s="122">
        <f>F29</f>
        <v/>
      </c>
      <c r="G30" s="130" t="inlineStr">
        <is>
          <t>r02</t>
        </is>
      </c>
      <c r="H30" s="317">
        <f>0.001*INDIRECT($B30&amp;"!AC6")</f>
        <v/>
      </c>
      <c r="I30" s="9" t="n"/>
      <c r="J30" s="318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315" t="n"/>
      <c r="P30" s="3" t="n"/>
      <c r="Q30" s="315" t="n"/>
      <c r="R30" s="9" t="n"/>
      <c r="S30" s="9" t="n"/>
      <c r="T30" s="9" t="n"/>
      <c r="U30" s="9" t="n"/>
      <c r="V30" s="319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317">
        <f>0.001*INDIRECT($B31&amp;"!E7")</f>
        <v/>
      </c>
      <c r="E31" s="315" t="n"/>
      <c r="F31" s="122">
        <f>F30</f>
        <v/>
      </c>
      <c r="G31" s="130" t="inlineStr">
        <is>
          <t>r03</t>
        </is>
      </c>
      <c r="H31" s="317">
        <f>0.001*INDIRECT($B31&amp;"!AC7")</f>
        <v/>
      </c>
      <c r="I31" s="9" t="n"/>
      <c r="J31" s="318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315" t="n"/>
      <c r="P31" s="217" t="n"/>
      <c r="Q31" s="315" t="n"/>
      <c r="R31" s="9" t="n"/>
      <c r="S31" s="9" t="n"/>
      <c r="T31" s="9" t="n"/>
      <c r="U31" s="9" t="n"/>
      <c r="V31" s="319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317">
        <f>0.001*INDIRECT($B32&amp;"!E8")</f>
        <v/>
      </c>
      <c r="E32" s="315" t="n"/>
      <c r="F32" s="122">
        <f>F31</f>
        <v/>
      </c>
      <c r="G32" s="130" t="inlineStr">
        <is>
          <t>r04</t>
        </is>
      </c>
      <c r="H32" s="317">
        <f>0.001*INDIRECT($B32&amp;"!AC8")</f>
        <v/>
      </c>
      <c r="I32" s="9" t="n"/>
      <c r="J32" s="318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315" t="n"/>
      <c r="P32" s="325" t="n"/>
      <c r="Q32" s="315" t="n"/>
      <c r="R32" s="9" t="n"/>
      <c r="S32" s="9" t="n"/>
      <c r="T32" s="9" t="n"/>
      <c r="U32" s="9" t="n"/>
      <c r="V32" s="319" t="n"/>
      <c r="X32" s="6" t="n"/>
      <c r="Y32" s="6" t="n"/>
      <c r="Z32" s="81" t="n"/>
    </row>
    <row r="33" ht="16.5" customHeight="1" s="270" thickBot="1">
      <c r="B33" s="122">
        <f>B32</f>
        <v/>
      </c>
      <c r="C33" s="130" t="inlineStr">
        <is>
          <t>r05</t>
        </is>
      </c>
      <c r="D33" s="317">
        <f>0.001*INDIRECT($B33&amp;"!E9")</f>
        <v/>
      </c>
      <c r="E33" s="315" t="n"/>
      <c r="F33" s="122">
        <f>F32</f>
        <v/>
      </c>
      <c r="G33" s="130" t="inlineStr">
        <is>
          <t>r05</t>
        </is>
      </c>
      <c r="H33" s="317">
        <f>0.001*INDIRECT($B33&amp;"!AC9")</f>
        <v/>
      </c>
      <c r="I33" s="9" t="n"/>
      <c r="J33" s="318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315" t="n"/>
      <c r="P33" s="321" t="n"/>
      <c r="Q33" s="315" t="n"/>
      <c r="R33" s="9" t="n"/>
      <c r="S33" s="9" t="n"/>
      <c r="T33" s="9" t="n"/>
      <c r="U33" s="9" t="n"/>
      <c r="V33" s="319" t="n"/>
      <c r="X33" s="6" t="n"/>
      <c r="Y33" s="6" t="n"/>
      <c r="Z33" s="81" t="n"/>
      <c r="AB33" s="320" t="n"/>
    </row>
    <row r="34" ht="16.5" customHeight="1" s="270">
      <c r="B34" s="109" t="n"/>
      <c r="C34" s="110" t="n"/>
      <c r="D34" s="322" t="n"/>
      <c r="F34" s="109" t="n"/>
      <c r="G34" s="110" t="n"/>
      <c r="H34" s="322" t="n"/>
      <c r="J34" s="98">
        <f>MIN(D29:D33,H29:H33)</f>
        <v/>
      </c>
      <c r="L34" s="99" t="n"/>
      <c r="M34" s="100" t="n"/>
      <c r="N34" s="101" t="n"/>
      <c r="O34" s="315" t="n"/>
      <c r="P34" s="265" t="n"/>
      <c r="Q34" s="315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70" thickBot="1">
      <c r="B35" s="89" t="n"/>
      <c r="C35" s="92" t="n"/>
      <c r="D35" s="323" t="n"/>
      <c r="E35" s="315" t="n"/>
      <c r="F35" s="89" t="n"/>
      <c r="G35" s="92" t="n"/>
      <c r="H35" s="323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315" t="n"/>
      <c r="P35" s="5" t="n"/>
      <c r="Q35" s="315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70" thickBot="1"/>
    <row r="37">
      <c r="B37" s="312" t="inlineStr">
        <is>
          <t>ManWithFruit</t>
        </is>
      </c>
      <c r="C37" s="313" t="n"/>
      <c r="D37" s="314" t="n"/>
      <c r="E37" s="2" t="n"/>
      <c r="F37" s="312">
        <f>B37</f>
        <v/>
      </c>
      <c r="G37" s="313" t="n"/>
      <c r="H37" s="314" t="n"/>
      <c r="I37" s="2" t="n"/>
      <c r="J37" s="265" t="n"/>
      <c r="L37" s="265">
        <f>F37</f>
        <v/>
      </c>
      <c r="M37" s="313" t="n"/>
      <c r="N37" s="314" t="n"/>
      <c r="O37" s="195" t="n"/>
      <c r="P37" s="265" t="n"/>
      <c r="U37" s="268" t="n"/>
      <c r="V37" s="268" t="n"/>
      <c r="X37" s="268" t="n"/>
    </row>
    <row r="38">
      <c r="B38" s="263" t="inlineStr">
        <is>
          <t>Test</t>
        </is>
      </c>
      <c r="D38" s="87" t="inlineStr">
        <is>
          <t>Bitrate [Mbps]</t>
        </is>
      </c>
      <c r="E38" s="315" t="n"/>
      <c r="F38" s="263" t="inlineStr">
        <is>
          <t>Test</t>
        </is>
      </c>
      <c r="H38" s="87" t="inlineStr">
        <is>
          <t>Bitrate [Mbps]</t>
        </is>
      </c>
      <c r="I38" s="9" t="n"/>
      <c r="J38" s="267" t="inlineStr">
        <is>
          <t>%</t>
        </is>
      </c>
      <c r="L38" s="267" t="inlineStr">
        <is>
          <t>YUV-SSIM</t>
        </is>
      </c>
      <c r="N38" s="316" t="n"/>
      <c r="O38" s="85" t="n"/>
      <c r="P38" s="3" t="n"/>
      <c r="R38" s="261" t="n"/>
      <c r="U38" s="261" t="n"/>
      <c r="V38" s="261" t="n"/>
      <c r="X38" s="261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315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317">
        <f>0.001*INDIRECT($B40&amp;"!E5")</f>
        <v/>
      </c>
      <c r="E40" s="315" t="n"/>
      <c r="F40" s="122">
        <f>F37</f>
        <v/>
      </c>
      <c r="G40" s="130" t="inlineStr">
        <is>
          <t>r01</t>
        </is>
      </c>
      <c r="H40" s="317">
        <f>0.001*INDIRECT($B40&amp;"!AC5")</f>
        <v/>
      </c>
      <c r="I40" s="9" t="n"/>
      <c r="J40" s="318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315" t="n"/>
      <c r="P40" s="318">
        <f>bdRateExtend(D40:D44,L40:L44,H40:H44,M40:M44)</f>
        <v/>
      </c>
      <c r="Q40" s="315" t="n"/>
      <c r="R40" s="9" t="n"/>
      <c r="S40" s="9" t="n"/>
      <c r="T40" s="9" t="n"/>
      <c r="U40" s="9" t="n"/>
      <c r="V40" s="319" t="n"/>
      <c r="X40" s="6" t="n"/>
      <c r="Y40" s="6" t="n"/>
      <c r="Z40" s="81" t="n"/>
      <c r="AB40" s="320" t="n"/>
    </row>
    <row r="41">
      <c r="B41" s="122">
        <f>B40</f>
        <v/>
      </c>
      <c r="C41" s="130" t="inlineStr">
        <is>
          <t>r02</t>
        </is>
      </c>
      <c r="D41" s="317">
        <f>0.001*INDIRECT($B41&amp;"!E6")</f>
        <v/>
      </c>
      <c r="E41" s="315" t="n"/>
      <c r="F41" s="122">
        <f>F40</f>
        <v/>
      </c>
      <c r="G41" s="130" t="inlineStr">
        <is>
          <t>r02</t>
        </is>
      </c>
      <c r="H41" s="317">
        <f>0.001*INDIRECT($B41&amp;"!AC6")</f>
        <v/>
      </c>
      <c r="I41" s="9" t="n"/>
      <c r="J41" s="318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315" t="n"/>
      <c r="P41" s="3" t="n"/>
      <c r="Q41" s="315" t="n"/>
      <c r="R41" s="9" t="n"/>
      <c r="S41" s="9" t="n"/>
      <c r="T41" s="9" t="n"/>
      <c r="U41" s="9" t="n"/>
      <c r="V41" s="319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317">
        <f>0.001*INDIRECT($B42&amp;"!E7")</f>
        <v/>
      </c>
      <c r="E42" s="315" t="n"/>
      <c r="F42" s="122">
        <f>F41</f>
        <v/>
      </c>
      <c r="G42" s="130" t="inlineStr">
        <is>
          <t>r03</t>
        </is>
      </c>
      <c r="H42" s="317">
        <f>0.001*INDIRECT($B42&amp;"!AC7")</f>
        <v/>
      </c>
      <c r="I42" s="9" t="n"/>
      <c r="J42" s="318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315" t="n"/>
      <c r="P42" s="217" t="n"/>
      <c r="Q42" s="315" t="n"/>
      <c r="R42" s="9" t="n"/>
      <c r="S42" s="9" t="n"/>
      <c r="T42" s="9" t="n"/>
      <c r="U42" s="9" t="n"/>
      <c r="V42" s="319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317">
        <f>0.001*INDIRECT($B43&amp;"!E8")</f>
        <v/>
      </c>
      <c r="E43" s="315" t="n"/>
      <c r="F43" s="122">
        <f>F42</f>
        <v/>
      </c>
      <c r="G43" s="130" t="inlineStr">
        <is>
          <t>r04</t>
        </is>
      </c>
      <c r="H43" s="317">
        <f>0.001*INDIRECT($B43&amp;"!AC8")</f>
        <v/>
      </c>
      <c r="I43" s="9" t="n"/>
      <c r="J43" s="318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315" t="n"/>
      <c r="P43" s="325" t="n"/>
      <c r="Q43" s="315" t="n"/>
      <c r="R43" s="9" t="n"/>
      <c r="S43" s="9" t="n"/>
      <c r="T43" s="9" t="n"/>
      <c r="U43" s="9" t="n"/>
      <c r="V43" s="319" t="n"/>
      <c r="X43" s="6" t="n"/>
      <c r="Y43" s="6" t="n"/>
      <c r="Z43" s="81" t="n"/>
    </row>
    <row r="44" ht="16.5" customHeight="1" s="270" thickBot="1">
      <c r="B44" s="122">
        <f>B43</f>
        <v/>
      </c>
      <c r="C44" s="130" t="inlineStr">
        <is>
          <t>r05</t>
        </is>
      </c>
      <c r="D44" s="317">
        <f>0.001*INDIRECT($B44&amp;"!E9")</f>
        <v/>
      </c>
      <c r="E44" s="315" t="n"/>
      <c r="F44" s="122">
        <f>F43</f>
        <v/>
      </c>
      <c r="G44" s="130" t="inlineStr">
        <is>
          <t>r05</t>
        </is>
      </c>
      <c r="H44" s="317">
        <f>0.001*INDIRECT($B44&amp;"!AC9")</f>
        <v/>
      </c>
      <c r="I44" s="9" t="n"/>
      <c r="J44" s="318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315" t="n"/>
      <c r="P44" s="321" t="n"/>
      <c r="Q44" s="315" t="n"/>
      <c r="R44" s="9" t="n"/>
      <c r="S44" s="9" t="n"/>
      <c r="T44" s="9" t="n"/>
      <c r="U44" s="9" t="n"/>
      <c r="V44" s="319" t="n"/>
      <c r="X44" s="6" t="n"/>
      <c r="Y44" s="6" t="n"/>
      <c r="Z44" s="81" t="n"/>
      <c r="AB44" s="320" t="n"/>
    </row>
    <row r="45" ht="16.5" customHeight="1" s="270">
      <c r="B45" s="109" t="n"/>
      <c r="C45" s="110" t="n"/>
      <c r="D45" s="322" t="n"/>
      <c r="F45" s="109" t="n"/>
      <c r="G45" s="110" t="n"/>
      <c r="H45" s="322" t="n"/>
      <c r="J45" s="98">
        <f>MIN(D40:D44,H40:H44)</f>
        <v/>
      </c>
      <c r="L45" s="99" t="n"/>
      <c r="M45" s="100" t="n"/>
      <c r="N45" s="101" t="n"/>
      <c r="O45" s="315" t="n"/>
      <c r="P45" s="265" t="n"/>
      <c r="Q45" s="315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70" thickBot="1">
      <c r="B46" s="89" t="n"/>
      <c r="C46" s="92" t="n"/>
      <c r="D46" s="323" t="n"/>
      <c r="E46" s="315" t="n"/>
      <c r="F46" s="89" t="n"/>
      <c r="G46" s="92" t="n"/>
      <c r="H46" s="323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315" t="n"/>
      <c r="P46" s="5" t="n"/>
      <c r="Q46" s="315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70" thickBot="1"/>
    <row r="48">
      <c r="B48" s="312" t="inlineStr">
        <is>
          <t>LEGO_Ferrari</t>
        </is>
      </c>
      <c r="C48" s="313" t="n"/>
      <c r="D48" s="314" t="n"/>
      <c r="E48" s="2" t="n"/>
      <c r="F48" s="312">
        <f>B48</f>
        <v/>
      </c>
      <c r="G48" s="313" t="n"/>
      <c r="H48" s="314" t="n"/>
      <c r="I48" s="2" t="n"/>
      <c r="J48" s="265" t="n"/>
      <c r="L48" s="265">
        <f>F48</f>
        <v/>
      </c>
      <c r="M48" s="313" t="n"/>
      <c r="N48" s="314" t="n"/>
      <c r="O48" s="195" t="n"/>
      <c r="P48" s="265" t="n"/>
      <c r="U48" s="268" t="n"/>
      <c r="V48" s="268" t="n"/>
      <c r="X48" s="268" t="n"/>
    </row>
    <row r="49">
      <c r="B49" s="263" t="inlineStr">
        <is>
          <t>Test</t>
        </is>
      </c>
      <c r="D49" s="87" t="inlineStr">
        <is>
          <t>Bitrate [Mbps]</t>
        </is>
      </c>
      <c r="E49" s="315" t="n"/>
      <c r="F49" s="263" t="inlineStr">
        <is>
          <t>Test</t>
        </is>
      </c>
      <c r="H49" s="87" t="inlineStr">
        <is>
          <t>Bitrate [Mbps]</t>
        </is>
      </c>
      <c r="I49" s="9" t="n"/>
      <c r="J49" s="267" t="inlineStr">
        <is>
          <t>%</t>
        </is>
      </c>
      <c r="L49" s="267" t="inlineStr">
        <is>
          <t>YUV-SSIM</t>
        </is>
      </c>
      <c r="N49" s="316" t="n"/>
      <c r="O49" s="85" t="n"/>
      <c r="P49" s="3" t="n"/>
      <c r="R49" s="261" t="n"/>
      <c r="U49" s="261" t="n"/>
      <c r="V49" s="261" t="n"/>
      <c r="X49" s="261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315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317">
        <f>0.001*INDIRECT($B51&amp;"!E5")</f>
        <v/>
      </c>
      <c r="E51" s="315" t="n"/>
      <c r="F51" s="122">
        <f>F48</f>
        <v/>
      </c>
      <c r="G51" s="130" t="inlineStr">
        <is>
          <t>r01</t>
        </is>
      </c>
      <c r="H51" s="317">
        <f>0.001*INDIRECT($B51&amp;"!AC5")</f>
        <v/>
      </c>
      <c r="I51" s="9" t="n"/>
      <c r="J51" s="318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315" t="n"/>
      <c r="P51" s="318">
        <f>bdRateExtend(D51:D55,L51:L55,H51:H55,M51:M55)</f>
        <v/>
      </c>
      <c r="Q51" s="315" t="n"/>
      <c r="R51" s="9" t="n"/>
      <c r="S51" s="9" t="n"/>
      <c r="T51" s="9" t="n"/>
      <c r="U51" s="9" t="n"/>
      <c r="V51" s="319" t="n"/>
      <c r="X51" s="6" t="n"/>
      <c r="Y51" s="6" t="n"/>
      <c r="Z51" s="81" t="n"/>
      <c r="AB51" s="320" t="n"/>
    </row>
    <row r="52">
      <c r="B52" s="122">
        <f>B51</f>
        <v/>
      </c>
      <c r="C52" s="130" t="inlineStr">
        <is>
          <t>r02</t>
        </is>
      </c>
      <c r="D52" s="317">
        <f>0.001*INDIRECT($B52&amp;"!E6")</f>
        <v/>
      </c>
      <c r="E52" s="315" t="n"/>
      <c r="F52" s="122">
        <f>F51</f>
        <v/>
      </c>
      <c r="G52" s="130" t="inlineStr">
        <is>
          <t>r02</t>
        </is>
      </c>
      <c r="H52" s="317">
        <f>0.001*INDIRECT($B52&amp;"!AC6")</f>
        <v/>
      </c>
      <c r="I52" s="9" t="n"/>
      <c r="J52" s="318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315" t="n"/>
      <c r="P52" s="3" t="n"/>
      <c r="Q52" s="315" t="n"/>
      <c r="R52" s="9" t="n"/>
      <c r="S52" s="9" t="n"/>
      <c r="T52" s="9" t="n"/>
      <c r="U52" s="9" t="n"/>
      <c r="V52" s="319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317">
        <f>0.001*INDIRECT($B53&amp;"!E7")</f>
        <v/>
      </c>
      <c r="E53" s="315" t="n"/>
      <c r="F53" s="122">
        <f>F52</f>
        <v/>
      </c>
      <c r="G53" s="130" t="inlineStr">
        <is>
          <t>r03</t>
        </is>
      </c>
      <c r="H53" s="317">
        <f>0.001*INDIRECT($B53&amp;"!AC7")</f>
        <v/>
      </c>
      <c r="I53" s="9" t="n"/>
      <c r="J53" s="318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315" t="n"/>
      <c r="P53" s="217" t="n"/>
      <c r="Q53" s="315" t="n"/>
      <c r="R53" s="9" t="n"/>
      <c r="S53" s="9" t="n"/>
      <c r="T53" s="9" t="n"/>
      <c r="U53" s="9" t="n"/>
      <c r="V53" s="319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317">
        <f>0.001*INDIRECT($B54&amp;"!E8")</f>
        <v/>
      </c>
      <c r="E54" s="315" t="n"/>
      <c r="F54" s="122">
        <f>F53</f>
        <v/>
      </c>
      <c r="G54" s="130" t="inlineStr">
        <is>
          <t>r04</t>
        </is>
      </c>
      <c r="H54" s="317">
        <f>0.001*INDIRECT($B54&amp;"!AC8")</f>
        <v/>
      </c>
      <c r="I54" s="9" t="n"/>
      <c r="J54" s="318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315" t="n"/>
      <c r="P54" s="325" t="n"/>
      <c r="Q54" s="315" t="n"/>
      <c r="R54" s="9" t="n"/>
      <c r="S54" s="9" t="n"/>
      <c r="T54" s="9" t="n"/>
      <c r="U54" s="9" t="n"/>
      <c r="V54" s="319" t="n"/>
      <c r="X54" s="6" t="n"/>
      <c r="Y54" s="6" t="n"/>
      <c r="Z54" s="81" t="n"/>
    </row>
    <row r="55" ht="16.5" customHeight="1" s="270" thickBot="1">
      <c r="B55" s="122">
        <f>B54</f>
        <v/>
      </c>
      <c r="C55" s="130" t="inlineStr">
        <is>
          <t>r05</t>
        </is>
      </c>
      <c r="D55" s="317">
        <f>0.001*INDIRECT($B55&amp;"!E9")</f>
        <v/>
      </c>
      <c r="E55" s="315" t="n"/>
      <c r="F55" s="122">
        <f>F54</f>
        <v/>
      </c>
      <c r="G55" s="130" t="inlineStr">
        <is>
          <t>r05</t>
        </is>
      </c>
      <c r="H55" s="317">
        <f>0.001*INDIRECT($B55&amp;"!AC9")</f>
        <v/>
      </c>
      <c r="I55" s="9" t="n"/>
      <c r="J55" s="318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315" t="n"/>
      <c r="P55" s="321" t="n"/>
      <c r="Q55" s="315" t="n"/>
      <c r="R55" s="9" t="n"/>
      <c r="S55" s="9" t="n"/>
      <c r="T55" s="9" t="n"/>
      <c r="U55" s="9" t="n"/>
      <c r="V55" s="319" t="n"/>
      <c r="X55" s="6" t="n"/>
      <c r="Y55" s="6" t="n"/>
      <c r="Z55" s="81" t="n"/>
      <c r="AB55" s="320" t="n"/>
    </row>
    <row r="56" ht="16.5" customHeight="1" s="270">
      <c r="B56" s="109" t="n"/>
      <c r="C56" s="110" t="n"/>
      <c r="D56" s="322" t="n"/>
      <c r="F56" s="109" t="n"/>
      <c r="G56" s="110" t="n"/>
      <c r="H56" s="322" t="n"/>
      <c r="J56" s="98">
        <f>MIN(D51:D55,H51:H55)</f>
        <v/>
      </c>
      <c r="L56" s="99" t="n"/>
      <c r="M56" s="100" t="n"/>
      <c r="N56" s="101" t="n"/>
      <c r="O56" s="315" t="n"/>
      <c r="P56" s="265" t="n"/>
      <c r="Q56" s="315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70" thickBot="1">
      <c r="B57" s="89" t="n"/>
      <c r="C57" s="92" t="n"/>
      <c r="D57" s="323" t="n"/>
      <c r="E57" s="315" t="n"/>
      <c r="F57" s="89" t="n"/>
      <c r="G57" s="92" t="n"/>
      <c r="H57" s="323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315" t="n"/>
      <c r="P57" s="5" t="n"/>
      <c r="Q57" s="315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70" thickBot="1"/>
    <row r="59">
      <c r="B59" s="312" t="inlineStr">
        <is>
          <t>LEGO_Bugatti</t>
        </is>
      </c>
      <c r="C59" s="313" t="n"/>
      <c r="D59" s="314" t="n"/>
      <c r="E59" s="2" t="n"/>
      <c r="F59" s="312">
        <f>B59</f>
        <v/>
      </c>
      <c r="G59" s="313" t="n"/>
      <c r="H59" s="314" t="n"/>
      <c r="I59" s="2" t="n"/>
      <c r="J59" s="265" t="n"/>
      <c r="L59" s="265">
        <f>F59</f>
        <v/>
      </c>
      <c r="M59" s="313" t="n"/>
      <c r="N59" s="314" t="n"/>
      <c r="O59" s="195" t="n"/>
      <c r="P59" s="265" t="n"/>
      <c r="U59" s="268" t="n"/>
      <c r="V59" s="268" t="n"/>
      <c r="X59" s="268" t="n"/>
    </row>
    <row r="60">
      <c r="B60" s="263" t="inlineStr">
        <is>
          <t>Test</t>
        </is>
      </c>
      <c r="D60" s="87" t="inlineStr">
        <is>
          <t>Bitrate [Mbps]</t>
        </is>
      </c>
      <c r="E60" s="315" t="n"/>
      <c r="F60" s="263" t="inlineStr">
        <is>
          <t>Test</t>
        </is>
      </c>
      <c r="H60" s="87" t="inlineStr">
        <is>
          <t>Bitrate [Mbps]</t>
        </is>
      </c>
      <c r="I60" s="9" t="n"/>
      <c r="J60" s="267" t="inlineStr">
        <is>
          <t>%</t>
        </is>
      </c>
      <c r="L60" s="267" t="inlineStr">
        <is>
          <t>YUV-SSIM</t>
        </is>
      </c>
      <c r="N60" s="316" t="n"/>
      <c r="O60" s="85" t="n"/>
      <c r="P60" s="3" t="n"/>
      <c r="R60" s="261" t="n"/>
      <c r="U60" s="261" t="n"/>
      <c r="V60" s="261" t="n"/>
      <c r="X60" s="261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315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317">
        <f>0.001*INDIRECT($B62&amp;"!E5")</f>
        <v/>
      </c>
      <c r="E62" s="315" t="n"/>
      <c r="F62" s="122">
        <f>F59</f>
        <v/>
      </c>
      <c r="G62" s="130" t="inlineStr">
        <is>
          <t>r01</t>
        </is>
      </c>
      <c r="H62" s="317">
        <f>0.001*INDIRECT($B62&amp;"!AC5")</f>
        <v/>
      </c>
      <c r="I62" s="9" t="n"/>
      <c r="J62" s="318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315" t="n"/>
      <c r="P62" s="318">
        <f>bdRateExtend(D62:D66,L62:L66,H62:H66,M62:M66)</f>
        <v/>
      </c>
      <c r="Q62" s="315" t="n"/>
      <c r="R62" s="9" t="n"/>
      <c r="S62" s="9" t="n"/>
      <c r="T62" s="9" t="n"/>
      <c r="U62" s="9" t="n"/>
      <c r="V62" s="319" t="n"/>
      <c r="X62" s="6" t="n"/>
      <c r="Y62" s="6" t="n"/>
      <c r="Z62" s="81" t="n"/>
      <c r="AB62" s="320" t="n"/>
    </row>
    <row r="63">
      <c r="B63" s="122">
        <f>B62</f>
        <v/>
      </c>
      <c r="C63" s="130" t="inlineStr">
        <is>
          <t>r02</t>
        </is>
      </c>
      <c r="D63" s="317">
        <f>0.001*INDIRECT($B63&amp;"!E6")</f>
        <v/>
      </c>
      <c r="E63" s="315" t="n"/>
      <c r="F63" s="122">
        <f>F62</f>
        <v/>
      </c>
      <c r="G63" s="130" t="inlineStr">
        <is>
          <t>r02</t>
        </is>
      </c>
      <c r="H63" s="317">
        <f>0.001*INDIRECT($B63&amp;"!AC6")</f>
        <v/>
      </c>
      <c r="I63" s="9" t="n"/>
      <c r="J63" s="318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315" t="n"/>
      <c r="P63" s="3" t="n"/>
      <c r="Q63" s="315" t="n"/>
      <c r="R63" s="9" t="n"/>
      <c r="S63" s="9" t="n"/>
      <c r="T63" s="9" t="n"/>
      <c r="U63" s="9" t="n"/>
      <c r="V63" s="319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317">
        <f>0.001*INDIRECT($B64&amp;"!E7")</f>
        <v/>
      </c>
      <c r="E64" s="315" t="n"/>
      <c r="F64" s="122">
        <f>F63</f>
        <v/>
      </c>
      <c r="G64" s="130" t="inlineStr">
        <is>
          <t>r03</t>
        </is>
      </c>
      <c r="H64" s="317">
        <f>0.001*INDIRECT($B64&amp;"!AC7")</f>
        <v/>
      </c>
      <c r="I64" s="9" t="n"/>
      <c r="J64" s="318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315" t="n"/>
      <c r="P64" s="217" t="n"/>
      <c r="Q64" s="315" t="n"/>
      <c r="R64" s="9" t="n"/>
      <c r="S64" s="9" t="n"/>
      <c r="T64" s="9" t="n"/>
      <c r="U64" s="9" t="n"/>
      <c r="V64" s="319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317">
        <f>0.001*INDIRECT($B65&amp;"!E8")</f>
        <v/>
      </c>
      <c r="E65" s="315" t="n"/>
      <c r="F65" s="122">
        <f>F64</f>
        <v/>
      </c>
      <c r="G65" s="130" t="inlineStr">
        <is>
          <t>r04</t>
        </is>
      </c>
      <c r="H65" s="317">
        <f>0.001*INDIRECT($B65&amp;"!AC8")</f>
        <v/>
      </c>
      <c r="I65" s="9" t="n"/>
      <c r="J65" s="318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315" t="n"/>
      <c r="P65" s="325" t="n"/>
      <c r="Q65" s="315" t="n"/>
      <c r="R65" s="9" t="n"/>
      <c r="S65" s="9" t="n"/>
      <c r="T65" s="9" t="n"/>
      <c r="U65" s="9" t="n"/>
      <c r="V65" s="319" t="n"/>
      <c r="X65" s="6" t="n"/>
      <c r="Y65" s="6" t="n"/>
      <c r="Z65" s="81" t="n"/>
    </row>
    <row r="66" ht="16.5" customHeight="1" s="270" thickBot="1">
      <c r="B66" s="122">
        <f>B65</f>
        <v/>
      </c>
      <c r="C66" s="130" t="inlineStr">
        <is>
          <t>r05</t>
        </is>
      </c>
      <c r="D66" s="317">
        <f>0.001*INDIRECT($B66&amp;"!E9")</f>
        <v/>
      </c>
      <c r="E66" s="315" t="n"/>
      <c r="F66" s="122">
        <f>F65</f>
        <v/>
      </c>
      <c r="G66" s="130" t="inlineStr">
        <is>
          <t>r05</t>
        </is>
      </c>
      <c r="H66" s="317">
        <f>0.001*INDIRECT($B66&amp;"!AC9")</f>
        <v/>
      </c>
      <c r="I66" s="9" t="n"/>
      <c r="J66" s="318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315" t="n"/>
      <c r="P66" s="321" t="n"/>
      <c r="Q66" s="315" t="n"/>
      <c r="R66" s="9" t="n"/>
      <c r="S66" s="9" t="n"/>
      <c r="T66" s="9" t="n"/>
      <c r="U66" s="9" t="n"/>
      <c r="V66" s="319" t="n"/>
      <c r="X66" s="6" t="n"/>
      <c r="Y66" s="6" t="n"/>
      <c r="Z66" s="81" t="n"/>
      <c r="AB66" s="320" t="n"/>
    </row>
    <row r="67" ht="16.5" customHeight="1" s="270">
      <c r="B67" s="109" t="n"/>
      <c r="C67" s="110" t="n"/>
      <c r="D67" s="322" t="n"/>
      <c r="F67" s="109" t="n"/>
      <c r="G67" s="110" t="n"/>
      <c r="H67" s="322" t="n"/>
      <c r="J67" s="98">
        <f>MIN(D62:D66,H62:H66)</f>
        <v/>
      </c>
      <c r="L67" s="99" t="n"/>
      <c r="M67" s="100" t="n"/>
      <c r="N67" s="101" t="n"/>
      <c r="O67" s="315" t="n"/>
      <c r="P67" s="265" t="n"/>
      <c r="Q67" s="315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70" thickBot="1">
      <c r="B68" s="89" t="n"/>
      <c r="C68" s="92" t="n"/>
      <c r="D68" s="323" t="n"/>
      <c r="E68" s="315" t="n"/>
      <c r="F68" s="89" t="n"/>
      <c r="G68" s="92" t="n"/>
      <c r="H68" s="323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315" t="n"/>
      <c r="P68" s="5" t="n"/>
      <c r="Q68" s="315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70" thickBot="1"/>
    <row r="70">
      <c r="B70" s="312" t="inlineStr">
        <is>
          <t>Plant</t>
        </is>
      </c>
      <c r="C70" s="313" t="n"/>
      <c r="D70" s="314" t="n"/>
      <c r="E70" s="2" t="n"/>
      <c r="F70" s="312">
        <f>B70</f>
        <v/>
      </c>
      <c r="G70" s="313" t="n"/>
      <c r="H70" s="314" t="n"/>
      <c r="I70" s="2" t="n"/>
      <c r="J70" s="265" t="n"/>
      <c r="L70" s="265">
        <f>F70</f>
        <v/>
      </c>
      <c r="M70" s="313" t="n"/>
      <c r="N70" s="314" t="n"/>
      <c r="O70" s="195" t="n"/>
      <c r="P70" s="265" t="n"/>
      <c r="U70" s="268" t="n"/>
      <c r="V70" s="268" t="n"/>
      <c r="X70" s="268" t="n"/>
    </row>
    <row r="71">
      <c r="B71" s="263" t="inlineStr">
        <is>
          <t>Test</t>
        </is>
      </c>
      <c r="D71" s="87" t="inlineStr">
        <is>
          <t>Bitrate [Mbps]</t>
        </is>
      </c>
      <c r="E71" s="315" t="n"/>
      <c r="F71" s="263" t="inlineStr">
        <is>
          <t>Test</t>
        </is>
      </c>
      <c r="H71" s="87" t="inlineStr">
        <is>
          <t>Bitrate [Mbps]</t>
        </is>
      </c>
      <c r="I71" s="9" t="n"/>
      <c r="J71" s="267" t="inlineStr">
        <is>
          <t>%</t>
        </is>
      </c>
      <c r="L71" s="267" t="inlineStr">
        <is>
          <t>YUV-SSIM</t>
        </is>
      </c>
      <c r="N71" s="316" t="n"/>
      <c r="O71" s="85" t="n"/>
      <c r="P71" s="3" t="n"/>
      <c r="R71" s="261" t="n"/>
      <c r="U71" s="261" t="n"/>
      <c r="V71" s="261" t="n"/>
      <c r="X71" s="261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315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317">
        <f>0.001*INDIRECT($B73&amp;"!E5")</f>
        <v/>
      </c>
      <c r="E73" s="315" t="n"/>
      <c r="F73" s="122">
        <f>F70</f>
        <v/>
      </c>
      <c r="G73" s="130" t="inlineStr">
        <is>
          <t>r01</t>
        </is>
      </c>
      <c r="H73" s="317">
        <f>0.001*INDIRECT($B73&amp;"!AC5")</f>
        <v/>
      </c>
      <c r="I73" s="9" t="n"/>
      <c r="J73" s="318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315" t="n"/>
      <c r="P73" s="318">
        <f>bdRateExtend(D73:D77,L73:L77,H73:H77,M73:M77)</f>
        <v/>
      </c>
      <c r="Q73" s="315" t="n"/>
      <c r="R73" s="9" t="n"/>
      <c r="S73" s="9" t="n"/>
      <c r="T73" s="9" t="n"/>
      <c r="U73" s="9" t="n"/>
      <c r="V73" s="319" t="n"/>
      <c r="X73" s="6" t="n"/>
      <c r="Y73" s="6" t="n"/>
      <c r="Z73" s="81" t="n"/>
      <c r="AB73" s="320" t="n"/>
    </row>
    <row r="74">
      <c r="B74" s="122">
        <f>B73</f>
        <v/>
      </c>
      <c r="C74" s="130" t="inlineStr">
        <is>
          <t>r02</t>
        </is>
      </c>
      <c r="D74" s="317">
        <f>0.001*INDIRECT($B74&amp;"!E6")</f>
        <v/>
      </c>
      <c r="E74" s="315" t="n"/>
      <c r="F74" s="122">
        <f>F73</f>
        <v/>
      </c>
      <c r="G74" s="130" t="inlineStr">
        <is>
          <t>r02</t>
        </is>
      </c>
      <c r="H74" s="317">
        <f>0.001*INDIRECT($B74&amp;"!AC6")</f>
        <v/>
      </c>
      <c r="I74" s="9" t="n"/>
      <c r="J74" s="318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315" t="n"/>
      <c r="P74" s="3" t="n"/>
      <c r="Q74" s="315" t="n"/>
      <c r="R74" s="9" t="n"/>
      <c r="S74" s="9" t="n"/>
      <c r="T74" s="9" t="n"/>
      <c r="U74" s="9" t="n"/>
      <c r="V74" s="319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317">
        <f>0.001*INDIRECT($B75&amp;"!E7")</f>
        <v/>
      </c>
      <c r="E75" s="315" t="n"/>
      <c r="F75" s="122">
        <f>F74</f>
        <v/>
      </c>
      <c r="G75" s="130" t="inlineStr">
        <is>
          <t>r03</t>
        </is>
      </c>
      <c r="H75" s="317">
        <f>0.001*INDIRECT($B75&amp;"!AC7")</f>
        <v/>
      </c>
      <c r="I75" s="9" t="n"/>
      <c r="J75" s="318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315" t="n"/>
      <c r="P75" s="217" t="n"/>
      <c r="Q75" s="315" t="n"/>
      <c r="R75" s="9" t="n"/>
      <c r="S75" s="9" t="n"/>
      <c r="T75" s="9" t="n"/>
      <c r="U75" s="9" t="n"/>
      <c r="V75" s="319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317">
        <f>0.001*INDIRECT($B76&amp;"!E8")</f>
        <v/>
      </c>
      <c r="E76" s="315" t="n"/>
      <c r="F76" s="122">
        <f>F75</f>
        <v/>
      </c>
      <c r="G76" s="130" t="inlineStr">
        <is>
          <t>r04</t>
        </is>
      </c>
      <c r="H76" s="317">
        <f>0.001*INDIRECT($B76&amp;"!AC8")</f>
        <v/>
      </c>
      <c r="I76" s="9" t="n"/>
      <c r="J76" s="318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315" t="n"/>
      <c r="P76" s="325" t="n"/>
      <c r="Q76" s="315" t="n"/>
      <c r="R76" s="9" t="n"/>
      <c r="S76" s="9" t="n"/>
      <c r="T76" s="9" t="n"/>
      <c r="U76" s="9" t="n"/>
      <c r="V76" s="319" t="n"/>
      <c r="X76" s="6" t="n"/>
      <c r="Y76" s="6" t="n"/>
      <c r="Z76" s="81" t="n"/>
    </row>
    <row r="77" ht="16.5" customHeight="1" s="270" thickBot="1">
      <c r="B77" s="122">
        <f>B76</f>
        <v/>
      </c>
      <c r="C77" s="130" t="inlineStr">
        <is>
          <t>r05</t>
        </is>
      </c>
      <c r="D77" s="317">
        <f>0.001*INDIRECT($B77&amp;"!E9")</f>
        <v/>
      </c>
      <c r="E77" s="315" t="n"/>
      <c r="F77" s="122">
        <f>F76</f>
        <v/>
      </c>
      <c r="G77" s="130" t="inlineStr">
        <is>
          <t>r05</t>
        </is>
      </c>
      <c r="H77" s="317">
        <f>0.001*INDIRECT($B77&amp;"!AC9")</f>
        <v/>
      </c>
      <c r="I77" s="9" t="n"/>
      <c r="J77" s="318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315" t="n"/>
      <c r="P77" s="321" t="n"/>
      <c r="Q77" s="315" t="n"/>
      <c r="R77" s="9" t="n"/>
      <c r="S77" s="9" t="n"/>
      <c r="T77" s="9" t="n"/>
      <c r="U77" s="9" t="n"/>
      <c r="V77" s="319" t="n"/>
      <c r="X77" s="6" t="n"/>
      <c r="Y77" s="6" t="n"/>
      <c r="Z77" s="81" t="n"/>
      <c r="AB77" s="320" t="n"/>
    </row>
    <row r="78" ht="16.5" customHeight="1" s="270">
      <c r="B78" s="109" t="n"/>
      <c r="C78" s="110" t="n"/>
      <c r="D78" s="322" t="n"/>
      <c r="F78" s="109" t="n"/>
      <c r="G78" s="110" t="n"/>
      <c r="H78" s="322" t="n"/>
      <c r="J78" s="98">
        <f>MIN(D73:D77,H73:H77)</f>
        <v/>
      </c>
      <c r="L78" s="99" t="n"/>
      <c r="M78" s="100" t="n"/>
      <c r="N78" s="101" t="n"/>
      <c r="O78" s="315" t="n"/>
      <c r="P78" s="265" t="n"/>
      <c r="Q78" s="315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70" thickBot="1">
      <c r="B79" s="89" t="n"/>
      <c r="C79" s="92" t="n"/>
      <c r="D79" s="323" t="n"/>
      <c r="E79" s="315" t="n"/>
      <c r="F79" s="89" t="n"/>
      <c r="G79" s="92" t="n"/>
      <c r="H79" s="323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315" t="n"/>
      <c r="P79" s="5" t="n"/>
      <c r="Q79" s="315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5" customHeight="1" s="270" thickBot="1"/>
    <row r="81">
      <c r="B81" s="312" t="inlineStr">
        <is>
          <t>Tennis_Player</t>
        </is>
      </c>
      <c r="C81" s="313" t="n"/>
      <c r="D81" s="314" t="n"/>
      <c r="E81" s="2" t="n"/>
      <c r="F81" s="312">
        <f>B81</f>
        <v/>
      </c>
      <c r="G81" s="313" t="n"/>
      <c r="H81" s="314" t="n"/>
      <c r="I81" s="2" t="n"/>
      <c r="J81" s="265" t="n"/>
      <c r="L81" s="265">
        <f>F81</f>
        <v/>
      </c>
      <c r="M81" s="313" t="n"/>
      <c r="N81" s="314" t="n"/>
      <c r="O81" s="195" t="n"/>
      <c r="P81" s="265" t="n"/>
      <c r="U81" s="268" t="n"/>
      <c r="V81" s="268" t="n"/>
      <c r="X81" s="268" t="n"/>
    </row>
    <row r="82">
      <c r="B82" s="263" t="inlineStr">
        <is>
          <t>Test</t>
        </is>
      </c>
      <c r="D82" s="87" t="inlineStr">
        <is>
          <t>Bitrate [Mbps]</t>
        </is>
      </c>
      <c r="E82" s="315" t="n"/>
      <c r="F82" s="263" t="inlineStr">
        <is>
          <t>Test</t>
        </is>
      </c>
      <c r="H82" s="87" t="inlineStr">
        <is>
          <t>Bitrate [Mbps]</t>
        </is>
      </c>
      <c r="I82" s="9" t="n"/>
      <c r="J82" s="267" t="inlineStr">
        <is>
          <t>%</t>
        </is>
      </c>
      <c r="L82" s="267" t="inlineStr">
        <is>
          <t>YUV-SSIM</t>
        </is>
      </c>
      <c r="N82" s="316" t="n"/>
      <c r="O82" s="85" t="n"/>
      <c r="P82" s="3" t="n"/>
      <c r="R82" s="261" t="n"/>
      <c r="U82" s="261" t="n"/>
      <c r="V82" s="261" t="n"/>
      <c r="X82" s="261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315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317">
        <f>0.001*INDIRECT($B84&amp;"!E5")</f>
        <v/>
      </c>
      <c r="E84" s="315" t="n"/>
      <c r="F84" s="122">
        <f>F81</f>
        <v/>
      </c>
      <c r="G84" s="130" t="inlineStr">
        <is>
          <t>r01</t>
        </is>
      </c>
      <c r="H84" s="317">
        <f>0.001*INDIRECT($B84&amp;"!AC5")</f>
        <v/>
      </c>
      <c r="I84" s="9" t="n"/>
      <c r="J84" s="318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315" t="n"/>
      <c r="P84" s="318">
        <f>bdRateExtend(D84:D88,L84:L88,H84:H88,M84:M88)</f>
        <v/>
      </c>
      <c r="Q84" s="315" t="n"/>
      <c r="R84" s="9" t="n"/>
      <c r="S84" s="9" t="n"/>
      <c r="T84" s="9" t="n"/>
      <c r="U84" s="9" t="n"/>
      <c r="V84" s="319" t="n"/>
      <c r="X84" s="6" t="n"/>
      <c r="Y84" s="6" t="n"/>
      <c r="Z84" s="81" t="n"/>
      <c r="AB84" s="320" t="n"/>
    </row>
    <row r="85">
      <c r="B85" s="122">
        <f>B84</f>
        <v/>
      </c>
      <c r="C85" s="130" t="inlineStr">
        <is>
          <t>r02</t>
        </is>
      </c>
      <c r="D85" s="317">
        <f>0.001*INDIRECT($B85&amp;"!E6")</f>
        <v/>
      </c>
      <c r="E85" s="315" t="n"/>
      <c r="F85" s="122">
        <f>F84</f>
        <v/>
      </c>
      <c r="G85" s="130" t="inlineStr">
        <is>
          <t>r02</t>
        </is>
      </c>
      <c r="H85" s="317">
        <f>0.001*INDIRECT($B85&amp;"!AC6")</f>
        <v/>
      </c>
      <c r="I85" s="9" t="n"/>
      <c r="J85" s="318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315" t="n"/>
      <c r="P85" s="3" t="n"/>
      <c r="Q85" s="315" t="n"/>
      <c r="R85" s="9" t="n"/>
      <c r="S85" s="9" t="n"/>
      <c r="T85" s="9" t="n"/>
      <c r="U85" s="9" t="n"/>
      <c r="V85" s="319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317">
        <f>0.001*INDIRECT($B86&amp;"!E7")</f>
        <v/>
      </c>
      <c r="E86" s="315" t="n"/>
      <c r="F86" s="122">
        <f>F85</f>
        <v/>
      </c>
      <c r="G86" s="130" t="inlineStr">
        <is>
          <t>r03</t>
        </is>
      </c>
      <c r="H86" s="317">
        <f>0.001*INDIRECT($B86&amp;"!AC7")</f>
        <v/>
      </c>
      <c r="I86" s="9" t="n"/>
      <c r="J86" s="318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315" t="n"/>
      <c r="P86" s="217" t="n"/>
      <c r="Q86" s="315" t="n"/>
      <c r="R86" s="9" t="n"/>
      <c r="S86" s="9" t="n"/>
      <c r="T86" s="9" t="n"/>
      <c r="U86" s="9" t="n"/>
      <c r="V86" s="319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317">
        <f>0.001*INDIRECT($B87&amp;"!E8")</f>
        <v/>
      </c>
      <c r="E87" s="315" t="n"/>
      <c r="F87" s="122">
        <f>F86</f>
        <v/>
      </c>
      <c r="G87" s="130" t="inlineStr">
        <is>
          <t>r04</t>
        </is>
      </c>
      <c r="H87" s="317">
        <f>0.001*INDIRECT($B87&amp;"!AC8")</f>
        <v/>
      </c>
      <c r="I87" s="9" t="n"/>
      <c r="J87" s="318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315" t="n"/>
      <c r="P87" s="325" t="n"/>
      <c r="Q87" s="315" t="n"/>
      <c r="R87" s="9" t="n"/>
      <c r="S87" s="9" t="n"/>
      <c r="T87" s="9" t="n"/>
      <c r="U87" s="9" t="n"/>
      <c r="V87" s="319" t="n"/>
      <c r="X87" s="6" t="n"/>
      <c r="Y87" s="6" t="n"/>
      <c r="Z87" s="81" t="n"/>
    </row>
    <row r="88" ht="16.5" customHeight="1" s="270" thickBot="1">
      <c r="B88" s="122">
        <f>B87</f>
        <v/>
      </c>
      <c r="C88" s="130" t="inlineStr">
        <is>
          <t>r05</t>
        </is>
      </c>
      <c r="D88" s="317">
        <f>0.001*INDIRECT($B88&amp;"!E9")</f>
        <v/>
      </c>
      <c r="E88" s="315" t="n"/>
      <c r="F88" s="122">
        <f>F87</f>
        <v/>
      </c>
      <c r="G88" s="130" t="inlineStr">
        <is>
          <t>r05</t>
        </is>
      </c>
      <c r="H88" s="317">
        <f>0.001*INDIRECT($B88&amp;"!AC9")</f>
        <v/>
      </c>
      <c r="I88" s="9" t="n"/>
      <c r="J88" s="318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315" t="n"/>
      <c r="P88" s="321" t="n"/>
      <c r="Q88" s="315" t="n"/>
      <c r="R88" s="9" t="n"/>
      <c r="S88" s="9" t="n"/>
      <c r="T88" s="9" t="n"/>
      <c r="U88" s="9" t="n"/>
      <c r="V88" s="319" t="n"/>
      <c r="X88" s="6" t="n"/>
      <c r="Y88" s="6" t="n"/>
      <c r="Z88" s="81" t="n"/>
      <c r="AB88" s="320" t="n"/>
    </row>
    <row r="89" ht="16.5" customHeight="1" s="270">
      <c r="B89" s="109" t="n"/>
      <c r="C89" s="110" t="n"/>
      <c r="D89" s="322" t="n"/>
      <c r="F89" s="109" t="n"/>
      <c r="G89" s="110" t="n"/>
      <c r="H89" s="322" t="n"/>
      <c r="J89" s="98">
        <f>MIN(D84:D88,H84:H88)</f>
        <v/>
      </c>
      <c r="L89" s="99" t="n"/>
      <c r="M89" s="100" t="n"/>
      <c r="N89" s="101" t="n"/>
      <c r="O89" s="315" t="n"/>
      <c r="P89" s="265" t="n"/>
      <c r="Q89" s="315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70" thickBot="1">
      <c r="B90" s="89" t="n"/>
      <c r="C90" s="92" t="n"/>
      <c r="D90" s="323" t="n"/>
      <c r="E90" s="315" t="n"/>
      <c r="F90" s="89" t="n"/>
      <c r="G90" s="92" t="n"/>
      <c r="H90" s="323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315" t="n"/>
      <c r="P90" s="5" t="n"/>
      <c r="Q90" s="315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6.2" customHeight="1" s="270" thickBot="1"/>
    <row r="92">
      <c r="B92" s="312" t="inlineStr">
        <is>
          <t>Cricket_Player</t>
        </is>
      </c>
      <c r="C92" s="313" t="n"/>
      <c r="D92" s="314" t="n"/>
      <c r="E92" s="2" t="n"/>
      <c r="F92" s="312">
        <f>B92</f>
        <v/>
      </c>
      <c r="G92" s="313" t="n"/>
      <c r="H92" s="314" t="n"/>
      <c r="I92" s="2" t="n"/>
      <c r="J92" s="265" t="n"/>
      <c r="L92" s="265">
        <f>F92</f>
        <v/>
      </c>
      <c r="M92" s="313" t="n"/>
      <c r="N92" s="314" t="n"/>
      <c r="O92" s="195" t="n"/>
      <c r="P92" s="265" t="n"/>
      <c r="U92" s="268" t="n"/>
      <c r="V92" s="268" t="n"/>
      <c r="X92" s="268" t="n"/>
    </row>
    <row r="93">
      <c r="B93" s="263" t="inlineStr">
        <is>
          <t>Test</t>
        </is>
      </c>
      <c r="D93" s="87" t="inlineStr">
        <is>
          <t>Bitrate [Mbps]</t>
        </is>
      </c>
      <c r="E93" s="315" t="n"/>
      <c r="F93" s="263" t="inlineStr">
        <is>
          <t>Test</t>
        </is>
      </c>
      <c r="H93" s="87" t="inlineStr">
        <is>
          <t>Bitrate [Mbps]</t>
        </is>
      </c>
      <c r="I93" s="9" t="n"/>
      <c r="J93" s="267" t="inlineStr">
        <is>
          <t>%</t>
        </is>
      </c>
      <c r="L93" s="267" t="inlineStr">
        <is>
          <t>YUV-SSIM</t>
        </is>
      </c>
      <c r="N93" s="316" t="n"/>
      <c r="O93" s="85" t="n"/>
      <c r="P93" s="3" t="n"/>
      <c r="R93" s="261" t="n"/>
      <c r="U93" s="261" t="n"/>
      <c r="V93" s="261" t="n"/>
      <c r="X93" s="261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315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317">
        <f>0.001*INDIRECT($B95&amp;"!E5")</f>
        <v/>
      </c>
      <c r="E95" s="315" t="n"/>
      <c r="F95" s="122">
        <f>F92</f>
        <v/>
      </c>
      <c r="G95" s="130" t="inlineStr">
        <is>
          <t>r01</t>
        </is>
      </c>
      <c r="H95" s="317">
        <f>0.001*INDIRECT($B95&amp;"!AC5")</f>
        <v/>
      </c>
      <c r="I95" s="9" t="n"/>
      <c r="J95" s="318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315" t="n"/>
      <c r="P95" s="318">
        <f>bdRateExtend(D95:D99,L95:L99,H95:H99,M95:M99)</f>
        <v/>
      </c>
      <c r="Q95" s="315" t="n"/>
      <c r="R95" s="9" t="n"/>
      <c r="S95" s="9" t="n"/>
      <c r="T95" s="9" t="n"/>
      <c r="U95" s="9" t="n"/>
      <c r="V95" s="319" t="n"/>
      <c r="X95" s="6" t="n"/>
      <c r="Y95" s="6" t="n"/>
      <c r="Z95" s="81" t="n"/>
      <c r="AB95" s="320" t="n"/>
    </row>
    <row r="96">
      <c r="B96" s="122">
        <f>B95</f>
        <v/>
      </c>
      <c r="C96" s="130" t="inlineStr">
        <is>
          <t>r02</t>
        </is>
      </c>
      <c r="D96" s="317">
        <f>0.001*INDIRECT($B96&amp;"!E6")</f>
        <v/>
      </c>
      <c r="E96" s="315" t="n"/>
      <c r="F96" s="122">
        <f>F95</f>
        <v/>
      </c>
      <c r="G96" s="130" t="inlineStr">
        <is>
          <t>r02</t>
        </is>
      </c>
      <c r="H96" s="317">
        <f>0.001*INDIRECT($B96&amp;"!AC6")</f>
        <v/>
      </c>
      <c r="I96" s="9" t="n"/>
      <c r="J96" s="318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315" t="n"/>
      <c r="P96" s="3" t="n"/>
      <c r="Q96" s="315" t="n"/>
      <c r="R96" s="9" t="n"/>
      <c r="S96" s="9" t="n"/>
      <c r="T96" s="9" t="n"/>
      <c r="U96" s="9" t="n"/>
      <c r="V96" s="319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317">
        <f>0.001*INDIRECT($B97&amp;"!E7")</f>
        <v/>
      </c>
      <c r="E97" s="315" t="n"/>
      <c r="F97" s="122">
        <f>F96</f>
        <v/>
      </c>
      <c r="G97" s="130" t="inlineStr">
        <is>
          <t>r03</t>
        </is>
      </c>
      <c r="H97" s="317">
        <f>0.001*INDIRECT($B97&amp;"!AC7")</f>
        <v/>
      </c>
      <c r="I97" s="9" t="n"/>
      <c r="J97" s="318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315" t="n"/>
      <c r="P97" s="217" t="n"/>
      <c r="Q97" s="315" t="n"/>
      <c r="R97" s="9" t="n"/>
      <c r="S97" s="9" t="n"/>
      <c r="T97" s="9" t="n"/>
      <c r="U97" s="9" t="n"/>
      <c r="V97" s="319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317">
        <f>0.001*INDIRECT($B98&amp;"!E8")</f>
        <v/>
      </c>
      <c r="E98" s="315" t="n"/>
      <c r="F98" s="122">
        <f>F97</f>
        <v/>
      </c>
      <c r="G98" s="130" t="inlineStr">
        <is>
          <t>r04</t>
        </is>
      </c>
      <c r="H98" s="317">
        <f>0.001*INDIRECT($B98&amp;"!AC8")</f>
        <v/>
      </c>
      <c r="I98" s="9" t="n"/>
      <c r="J98" s="318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315" t="n"/>
      <c r="P98" s="325" t="n"/>
      <c r="Q98" s="315" t="n"/>
      <c r="R98" s="9" t="n"/>
      <c r="S98" s="9" t="n"/>
      <c r="T98" s="9" t="n"/>
      <c r="U98" s="9" t="n"/>
      <c r="V98" s="319" t="n"/>
      <c r="X98" s="6" t="n"/>
      <c r="Y98" s="6" t="n"/>
      <c r="Z98" s="81" t="n"/>
    </row>
    <row r="99" ht="16.5" customHeight="1" s="270" thickBot="1">
      <c r="B99" s="122">
        <f>B98</f>
        <v/>
      </c>
      <c r="C99" s="130" t="inlineStr">
        <is>
          <t>r05</t>
        </is>
      </c>
      <c r="D99" s="317">
        <f>0.001*INDIRECT($B99&amp;"!E9")</f>
        <v/>
      </c>
      <c r="E99" s="315" t="n"/>
      <c r="F99" s="122">
        <f>F98</f>
        <v/>
      </c>
      <c r="G99" s="130" t="inlineStr">
        <is>
          <t>r05</t>
        </is>
      </c>
      <c r="H99" s="317">
        <f>0.001*INDIRECT($B99&amp;"!AC9")</f>
        <v/>
      </c>
      <c r="I99" s="9" t="n"/>
      <c r="J99" s="318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315" t="n"/>
      <c r="P99" s="321" t="n"/>
      <c r="Q99" s="315" t="n"/>
      <c r="R99" s="9" t="n"/>
      <c r="S99" s="9" t="n"/>
      <c r="T99" s="9" t="n"/>
      <c r="U99" s="9" t="n"/>
      <c r="V99" s="319" t="n"/>
      <c r="X99" s="6" t="n"/>
      <c r="Y99" s="6" t="n"/>
      <c r="Z99" s="81" t="n"/>
      <c r="AB99" s="320" t="n"/>
    </row>
    <row r="100" ht="16.5" customHeight="1" s="270">
      <c r="B100" s="109" t="n"/>
      <c r="C100" s="110" t="n"/>
      <c r="D100" s="322" t="n"/>
      <c r="F100" s="109" t="n"/>
      <c r="G100" s="110" t="n"/>
      <c r="H100" s="322" t="n"/>
      <c r="J100" s="98">
        <f>MIN(D95:D99,H95:H99)</f>
        <v/>
      </c>
      <c r="L100" s="99" t="n"/>
      <c r="M100" s="100" t="n"/>
      <c r="N100" s="101" t="n"/>
      <c r="O100" s="315" t="n"/>
      <c r="P100" s="265" t="n"/>
      <c r="Q100" s="315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70" thickBot="1">
      <c r="B101" s="89" t="n"/>
      <c r="C101" s="92" t="n"/>
      <c r="D101" s="323" t="n"/>
      <c r="E101" s="315" t="n"/>
      <c r="F101" s="89" t="n"/>
      <c r="G101" s="92" t="n"/>
      <c r="H101" s="323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315" t="n"/>
      <c r="P101" s="5" t="n"/>
      <c r="Q101" s="315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6.2" customHeight="1" s="270" thickBot="1"/>
    <row r="103">
      <c r="B103" s="312" t="inlineStr">
        <is>
          <t>Tango_Duo</t>
        </is>
      </c>
      <c r="C103" s="313" t="n"/>
      <c r="D103" s="314" t="n"/>
      <c r="E103" s="2" t="n"/>
      <c r="F103" s="312">
        <f>B103</f>
        <v/>
      </c>
      <c r="G103" s="313" t="n"/>
      <c r="H103" s="314" t="n"/>
      <c r="I103" s="2" t="n"/>
      <c r="J103" s="265" t="n"/>
      <c r="L103" s="265">
        <f>F103</f>
        <v/>
      </c>
      <c r="M103" s="313" t="n"/>
      <c r="N103" s="314" t="n"/>
      <c r="O103" s="195" t="n"/>
      <c r="P103" s="265" t="n"/>
      <c r="U103" s="268" t="n"/>
      <c r="V103" s="268" t="n"/>
      <c r="X103" s="268" t="n"/>
    </row>
    <row r="104">
      <c r="B104" s="263" t="inlineStr">
        <is>
          <t>Test</t>
        </is>
      </c>
      <c r="D104" s="87" t="inlineStr">
        <is>
          <t>Bitrate [Mbps]</t>
        </is>
      </c>
      <c r="E104" s="315" t="n"/>
      <c r="F104" s="263" t="inlineStr">
        <is>
          <t>Test</t>
        </is>
      </c>
      <c r="H104" s="87" t="inlineStr">
        <is>
          <t>Bitrate [Mbps]</t>
        </is>
      </c>
      <c r="I104" s="9" t="n"/>
      <c r="J104" s="267" t="inlineStr">
        <is>
          <t>%</t>
        </is>
      </c>
      <c r="L104" s="267" t="inlineStr">
        <is>
          <t>YUV-SSIM</t>
        </is>
      </c>
      <c r="N104" s="316" t="n"/>
      <c r="O104" s="85" t="n"/>
      <c r="P104" s="3" t="n"/>
      <c r="R104" s="261" t="n"/>
      <c r="U104" s="261" t="n"/>
      <c r="V104" s="261" t="n"/>
      <c r="X104" s="261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315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317">
        <f>0.001*INDIRECT($B106&amp;"!E5")</f>
        <v/>
      </c>
      <c r="E106" s="315" t="n"/>
      <c r="F106" s="122">
        <f>F103</f>
        <v/>
      </c>
      <c r="G106" s="130" t="inlineStr">
        <is>
          <t>r01</t>
        </is>
      </c>
      <c r="H106" s="317">
        <f>0.001*INDIRECT($B106&amp;"!AC5")</f>
        <v/>
      </c>
      <c r="I106" s="9" t="n"/>
      <c r="J106" s="318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315" t="n"/>
      <c r="P106" s="318">
        <f>bdRateExtend(D106:D110,L106:L110,H106:H110,M106:M110)</f>
        <v/>
      </c>
      <c r="Q106" s="315" t="n"/>
      <c r="R106" s="9" t="n"/>
      <c r="S106" s="9" t="n"/>
      <c r="T106" s="9" t="n"/>
      <c r="U106" s="9" t="n"/>
      <c r="V106" s="319" t="n"/>
      <c r="X106" s="6" t="n"/>
      <c r="Y106" s="6" t="n"/>
      <c r="Z106" s="81" t="n"/>
      <c r="AB106" s="320" t="n"/>
    </row>
    <row r="107">
      <c r="B107" s="122">
        <f>B106</f>
        <v/>
      </c>
      <c r="C107" s="130" t="inlineStr">
        <is>
          <t>r02</t>
        </is>
      </c>
      <c r="D107" s="317">
        <f>0.001*INDIRECT($B107&amp;"!E6")</f>
        <v/>
      </c>
      <c r="E107" s="315" t="n"/>
      <c r="F107" s="122">
        <f>F106</f>
        <v/>
      </c>
      <c r="G107" s="130" t="inlineStr">
        <is>
          <t>r02</t>
        </is>
      </c>
      <c r="H107" s="317">
        <f>0.001*INDIRECT($B107&amp;"!AC6")</f>
        <v/>
      </c>
      <c r="I107" s="9" t="n"/>
      <c r="J107" s="318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315" t="n"/>
      <c r="P107" s="3" t="n"/>
      <c r="Q107" s="315" t="n"/>
      <c r="R107" s="9" t="n"/>
      <c r="S107" s="9" t="n"/>
      <c r="T107" s="9" t="n"/>
      <c r="U107" s="9" t="n"/>
      <c r="V107" s="319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317">
        <f>0.001*INDIRECT($B108&amp;"!E7")</f>
        <v/>
      </c>
      <c r="E108" s="315" t="n"/>
      <c r="F108" s="122">
        <f>F107</f>
        <v/>
      </c>
      <c r="G108" s="130" t="inlineStr">
        <is>
          <t>r03</t>
        </is>
      </c>
      <c r="H108" s="317">
        <f>0.001*INDIRECT($B108&amp;"!AC7")</f>
        <v/>
      </c>
      <c r="I108" s="9" t="n"/>
      <c r="J108" s="318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315" t="n"/>
      <c r="P108" s="217" t="n"/>
      <c r="Q108" s="315" t="n"/>
      <c r="R108" s="9" t="n"/>
      <c r="S108" s="9" t="n"/>
      <c r="T108" s="9" t="n"/>
      <c r="U108" s="9" t="n"/>
      <c r="V108" s="319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317">
        <f>0.001*INDIRECT($B109&amp;"!E8")</f>
        <v/>
      </c>
      <c r="E109" s="315" t="n"/>
      <c r="F109" s="122">
        <f>F108</f>
        <v/>
      </c>
      <c r="G109" s="130" t="inlineStr">
        <is>
          <t>r04</t>
        </is>
      </c>
      <c r="H109" s="317">
        <f>0.001*INDIRECT($B109&amp;"!AC8")</f>
        <v/>
      </c>
      <c r="I109" s="9" t="n"/>
      <c r="J109" s="318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315" t="n"/>
      <c r="P109" s="325" t="n"/>
      <c r="Q109" s="315" t="n"/>
      <c r="R109" s="9" t="n"/>
      <c r="S109" s="9" t="n"/>
      <c r="T109" s="9" t="n"/>
      <c r="U109" s="9" t="n"/>
      <c r="V109" s="319" t="n"/>
      <c r="X109" s="6" t="n"/>
      <c r="Y109" s="6" t="n"/>
      <c r="Z109" s="81" t="n"/>
    </row>
    <row r="110" ht="16.5" customHeight="1" s="270" thickBot="1">
      <c r="B110" s="122">
        <f>B109</f>
        <v/>
      </c>
      <c r="C110" s="130" t="inlineStr">
        <is>
          <t>r05</t>
        </is>
      </c>
      <c r="D110" s="317">
        <f>0.001*INDIRECT($B110&amp;"!E9")</f>
        <v/>
      </c>
      <c r="E110" s="315" t="n"/>
      <c r="F110" s="122">
        <f>F109</f>
        <v/>
      </c>
      <c r="G110" s="130" t="inlineStr">
        <is>
          <t>r05</t>
        </is>
      </c>
      <c r="H110" s="317">
        <f>0.001*INDIRECT($B110&amp;"!AC9")</f>
        <v/>
      </c>
      <c r="I110" s="9" t="n"/>
      <c r="J110" s="318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315" t="n"/>
      <c r="P110" s="321" t="n"/>
      <c r="Q110" s="315" t="n"/>
      <c r="R110" s="9" t="n"/>
      <c r="S110" s="9" t="n"/>
      <c r="T110" s="9" t="n"/>
      <c r="U110" s="9" t="n"/>
      <c r="V110" s="319" t="n"/>
      <c r="X110" s="6" t="n"/>
      <c r="Y110" s="6" t="n"/>
      <c r="Z110" s="81" t="n"/>
      <c r="AB110" s="320" t="n"/>
    </row>
    <row r="111" ht="16.5" customHeight="1" s="270">
      <c r="B111" s="109" t="n"/>
      <c r="C111" s="110" t="n"/>
      <c r="D111" s="322" t="n"/>
      <c r="F111" s="109" t="n"/>
      <c r="G111" s="110" t="n"/>
      <c r="H111" s="322" t="n"/>
      <c r="J111" s="98">
        <f>MIN(D106:D110,H106:H110)</f>
        <v/>
      </c>
      <c r="L111" s="99" t="n"/>
      <c r="M111" s="100" t="n"/>
      <c r="N111" s="101" t="n"/>
      <c r="O111" s="315" t="n"/>
      <c r="P111" s="265" t="n"/>
      <c r="Q111" s="315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70" thickBot="1">
      <c r="B112" s="89" t="n"/>
      <c r="C112" s="92" t="n"/>
      <c r="D112" s="323" t="n"/>
      <c r="E112" s="315" t="n"/>
      <c r="F112" s="89" t="n"/>
      <c r="G112" s="92" t="n"/>
      <c r="H112" s="323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315" t="n"/>
      <c r="P112" s="5" t="n"/>
      <c r="Q112" s="315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6.2" customHeight="1" s="270" thickBot="1"/>
    <row r="114">
      <c r="B114" s="312" t="inlineStr">
        <is>
          <t>Solo_Tango_Female</t>
        </is>
      </c>
      <c r="C114" s="313" t="n"/>
      <c r="D114" s="314" t="n"/>
      <c r="E114" s="2" t="n"/>
      <c r="F114" s="312">
        <f>B114</f>
        <v/>
      </c>
      <c r="G114" s="313" t="n"/>
      <c r="H114" s="314" t="n"/>
      <c r="J114" s="265" t="n"/>
      <c r="L114" s="265">
        <f>F114</f>
        <v/>
      </c>
      <c r="M114" s="313" t="n"/>
      <c r="N114" s="314" t="n"/>
      <c r="O114" s="195" t="n"/>
      <c r="P114" s="265" t="n"/>
    </row>
    <row r="115">
      <c r="B115" s="263" t="inlineStr">
        <is>
          <t>Test</t>
        </is>
      </c>
      <c r="D115" s="87" t="inlineStr">
        <is>
          <t>Bitrate [Mbps]</t>
        </is>
      </c>
      <c r="E115" s="315" t="n"/>
      <c r="F115" s="263" t="inlineStr">
        <is>
          <t>Test</t>
        </is>
      </c>
      <c r="H115" s="87" t="inlineStr">
        <is>
          <t>Bitrate [Mbps]</t>
        </is>
      </c>
      <c r="J115" s="267" t="inlineStr">
        <is>
          <t>%</t>
        </is>
      </c>
      <c r="L115" s="267" t="inlineStr">
        <is>
          <t>YUV-SSIM</t>
        </is>
      </c>
      <c r="N115" s="316" t="n"/>
      <c r="O115" s="85" t="n"/>
      <c r="P115" s="3" t="n"/>
    </row>
    <row r="116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315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320" t="n"/>
    </row>
    <row r="117">
      <c r="B117" s="122">
        <f>B114</f>
        <v/>
      </c>
      <c r="C117" s="130" t="inlineStr">
        <is>
          <t>r01</t>
        </is>
      </c>
      <c r="D117" s="317">
        <f>0.001*INDIRECT($B117&amp;"!E5")</f>
        <v/>
      </c>
      <c r="E117" s="315" t="n"/>
      <c r="F117" s="122">
        <f>F114</f>
        <v/>
      </c>
      <c r="G117" s="130" t="inlineStr">
        <is>
          <t>r01</t>
        </is>
      </c>
      <c r="H117" s="317">
        <f>0.001*INDIRECT($B117&amp;"!AC5")</f>
        <v/>
      </c>
      <c r="J117" s="318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315" t="n"/>
      <c r="P117" s="318">
        <f>bdRateExtend(D117:D121,L117:L121,H117:H121,M117:M121)</f>
        <v/>
      </c>
    </row>
    <row r="118">
      <c r="B118" s="122">
        <f>B117</f>
        <v/>
      </c>
      <c r="C118" s="130" t="inlineStr">
        <is>
          <t>r02</t>
        </is>
      </c>
      <c r="D118" s="317">
        <f>0.001*INDIRECT($B118&amp;"!E6")</f>
        <v/>
      </c>
      <c r="E118" s="315" t="n"/>
      <c r="F118" s="122">
        <f>F117</f>
        <v/>
      </c>
      <c r="G118" s="130" t="inlineStr">
        <is>
          <t>r02</t>
        </is>
      </c>
      <c r="H118" s="317">
        <f>0.001*INDIRECT($B118&amp;"!AC6")</f>
        <v/>
      </c>
      <c r="J118" s="318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315" t="n"/>
      <c r="P118" s="3" t="n"/>
    </row>
    <row r="119" ht="16.5" customHeight="1" s="270">
      <c r="B119" s="122">
        <f>B118</f>
        <v/>
      </c>
      <c r="C119" s="130" t="inlineStr">
        <is>
          <t>r03</t>
        </is>
      </c>
      <c r="D119" s="317">
        <f>0.001*INDIRECT($B119&amp;"!E7")</f>
        <v/>
      </c>
      <c r="E119" s="315" t="n"/>
      <c r="F119" s="122">
        <f>F118</f>
        <v/>
      </c>
      <c r="G119" s="130" t="inlineStr">
        <is>
          <t>r03</t>
        </is>
      </c>
      <c r="H119" s="317">
        <f>0.001*INDIRECT($B119&amp;"!AC7")</f>
        <v/>
      </c>
      <c r="J119" s="318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315" t="n"/>
      <c r="P119" s="217" t="n"/>
      <c r="AB119" s="320" t="n"/>
    </row>
    <row r="120">
      <c r="B120" s="122">
        <f>B119</f>
        <v/>
      </c>
      <c r="C120" s="130" t="inlineStr">
        <is>
          <t>r04</t>
        </is>
      </c>
      <c r="D120" s="317">
        <f>0.001*INDIRECT($B120&amp;"!E8")</f>
        <v/>
      </c>
      <c r="E120" s="315" t="n"/>
      <c r="F120" s="122">
        <f>F119</f>
        <v/>
      </c>
      <c r="G120" s="130" t="inlineStr">
        <is>
          <t>r04</t>
        </is>
      </c>
      <c r="H120" s="317">
        <f>0.001*INDIRECT($B120&amp;"!AC8")</f>
        <v/>
      </c>
      <c r="J120" s="318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315" t="n"/>
      <c r="P120" s="325" t="n"/>
    </row>
    <row r="121" ht="16.5" customHeight="1" s="270" thickBot="1">
      <c r="B121" s="122">
        <f>B120</f>
        <v/>
      </c>
      <c r="C121" s="130" t="inlineStr">
        <is>
          <t>r05</t>
        </is>
      </c>
      <c r="D121" s="317">
        <f>0.001*INDIRECT($B121&amp;"!E9")</f>
        <v/>
      </c>
      <c r="E121" s="315" t="n"/>
      <c r="F121" s="122">
        <f>F120</f>
        <v/>
      </c>
      <c r="G121" s="130" t="inlineStr">
        <is>
          <t>r05</t>
        </is>
      </c>
      <c r="H121" s="317">
        <f>0.001*INDIRECT($B121&amp;"!AC9")</f>
        <v/>
      </c>
      <c r="J121" s="318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315" t="n"/>
      <c r="P121" s="321" t="n"/>
    </row>
    <row r="122" ht="16.5" customHeight="1" s="270">
      <c r="B122" s="109" t="n"/>
      <c r="C122" s="110" t="n"/>
      <c r="D122" s="322" t="n"/>
      <c r="F122" s="109" t="n"/>
      <c r="G122" s="110" t="n"/>
      <c r="H122" s="322" t="n"/>
      <c r="J122" s="98">
        <f>MIN(D117:D121,H117:H121)</f>
        <v/>
      </c>
      <c r="L122" s="99" t="n"/>
      <c r="M122" s="100" t="n"/>
      <c r="N122" s="101" t="n"/>
      <c r="O122" s="315" t="n"/>
      <c r="P122" s="265" t="n"/>
    </row>
    <row r="123" ht="16.2" customHeight="1" s="270" thickBot="1">
      <c r="B123" s="89" t="n"/>
      <c r="C123" s="92" t="n"/>
      <c r="D123" s="323" t="n"/>
      <c r="E123" s="315" t="n"/>
      <c r="F123" s="89" t="n"/>
      <c r="G123" s="92" t="n"/>
      <c r="H123" s="323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315" t="n"/>
      <c r="P123" s="5" t="n"/>
    </row>
    <row r="124" ht="16.2" customHeight="1" s="270" thickBot="1"/>
    <row r="125">
      <c r="B125" s="312" t="inlineStr">
        <is>
          <t>Solo_Tango_Male</t>
        </is>
      </c>
      <c r="C125" s="313" t="n"/>
      <c r="D125" s="314" t="n"/>
      <c r="E125" s="2" t="n"/>
      <c r="F125" s="312">
        <f>B125</f>
        <v/>
      </c>
      <c r="G125" s="313" t="n"/>
      <c r="H125" s="314" t="n"/>
      <c r="J125" s="265" t="n"/>
      <c r="L125" s="265">
        <f>F125</f>
        <v/>
      </c>
      <c r="M125" s="313" t="n"/>
      <c r="N125" s="314" t="n"/>
      <c r="O125" s="195" t="n"/>
      <c r="P125" s="265" t="n"/>
    </row>
    <row r="126">
      <c r="B126" s="263" t="inlineStr">
        <is>
          <t>Test</t>
        </is>
      </c>
      <c r="D126" s="87" t="inlineStr">
        <is>
          <t>Bitrate [Mbps]</t>
        </is>
      </c>
      <c r="E126" s="315" t="n"/>
      <c r="F126" s="263" t="inlineStr">
        <is>
          <t>Test</t>
        </is>
      </c>
      <c r="H126" s="87" t="inlineStr">
        <is>
          <t>Bitrate [Mbps]</t>
        </is>
      </c>
      <c r="J126" s="267" t="inlineStr">
        <is>
          <t>%</t>
        </is>
      </c>
      <c r="L126" s="267" t="inlineStr">
        <is>
          <t>YUV-SSIM</t>
        </is>
      </c>
      <c r="N126" s="316" t="n"/>
      <c r="O126" s="85" t="n"/>
      <c r="P126" s="3" t="n"/>
      <c r="AB126" s="320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315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>
      <c r="B128" s="122">
        <f>B125</f>
        <v/>
      </c>
      <c r="C128" s="130" t="inlineStr">
        <is>
          <t>r01</t>
        </is>
      </c>
      <c r="D128" s="317">
        <f>0.001*INDIRECT($B128&amp;"!E5")</f>
        <v/>
      </c>
      <c r="E128" s="315" t="n"/>
      <c r="F128" s="122">
        <f>F125</f>
        <v/>
      </c>
      <c r="G128" s="130" t="inlineStr">
        <is>
          <t>r01</t>
        </is>
      </c>
      <c r="H128" s="317">
        <f>0.001*INDIRECT($B128&amp;"!AC5")</f>
        <v/>
      </c>
      <c r="J128" s="318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315" t="n"/>
      <c r="P128" s="318">
        <f>bdRateExtend(D128:D132,L128:L132,H128:H132,M128:M132)</f>
        <v/>
      </c>
    </row>
    <row r="129" ht="16.5" customHeight="1" s="270">
      <c r="B129" s="122">
        <f>B128</f>
        <v/>
      </c>
      <c r="C129" s="130" t="inlineStr">
        <is>
          <t>r02</t>
        </is>
      </c>
      <c r="D129" s="317">
        <f>0.001*INDIRECT($B129&amp;"!E6")</f>
        <v/>
      </c>
      <c r="E129" s="315" t="n"/>
      <c r="F129" s="122">
        <f>F128</f>
        <v/>
      </c>
      <c r="G129" s="130" t="inlineStr">
        <is>
          <t>r02</t>
        </is>
      </c>
      <c r="H129" s="317">
        <f>0.001*INDIRECT($B129&amp;"!AC6")</f>
        <v/>
      </c>
      <c r="J129" s="318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315" t="n"/>
      <c r="P129" s="3" t="n"/>
      <c r="AB129" s="320" t="n"/>
    </row>
    <row r="130">
      <c r="B130" s="122">
        <f>B129</f>
        <v/>
      </c>
      <c r="C130" s="130" t="inlineStr">
        <is>
          <t>r03</t>
        </is>
      </c>
      <c r="D130" s="317">
        <f>0.001*INDIRECT($B130&amp;"!E7")</f>
        <v/>
      </c>
      <c r="E130" s="315" t="n"/>
      <c r="F130" s="122">
        <f>F129</f>
        <v/>
      </c>
      <c r="G130" s="130" t="inlineStr">
        <is>
          <t>r03</t>
        </is>
      </c>
      <c r="H130" s="317">
        <f>0.001*INDIRECT($B130&amp;"!AC7")</f>
        <v/>
      </c>
      <c r="J130" s="318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315" t="n"/>
      <c r="P130" s="217" t="n"/>
    </row>
    <row r="131" ht="16.5" customHeight="1" s="270">
      <c r="B131" s="122">
        <f>B130</f>
        <v/>
      </c>
      <c r="C131" s="130" t="inlineStr">
        <is>
          <t>r04</t>
        </is>
      </c>
      <c r="D131" s="317">
        <f>0.001*INDIRECT($B131&amp;"!E8")</f>
        <v/>
      </c>
      <c r="E131" s="315" t="n"/>
      <c r="F131" s="122">
        <f>F130</f>
        <v/>
      </c>
      <c r="G131" s="130" t="inlineStr">
        <is>
          <t>r04</t>
        </is>
      </c>
      <c r="H131" s="317">
        <f>0.001*INDIRECT($B131&amp;"!AC8")</f>
        <v/>
      </c>
      <c r="J131" s="318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315" t="n"/>
      <c r="P131" s="325" t="n"/>
    </row>
    <row r="132" ht="16.5" customHeight="1" s="270" thickBot="1">
      <c r="B132" s="122">
        <f>B131</f>
        <v/>
      </c>
      <c r="C132" s="130" t="inlineStr">
        <is>
          <t>r05</t>
        </is>
      </c>
      <c r="D132" s="317">
        <f>0.001*INDIRECT($B132&amp;"!E9")</f>
        <v/>
      </c>
      <c r="E132" s="315" t="n"/>
      <c r="F132" s="122">
        <f>F131</f>
        <v/>
      </c>
      <c r="G132" s="130" t="inlineStr">
        <is>
          <t>r05</t>
        </is>
      </c>
      <c r="H132" s="317">
        <f>0.001*INDIRECT($B132&amp;"!AC9")</f>
        <v/>
      </c>
      <c r="J132" s="318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315" t="n"/>
      <c r="P132" s="321" t="n"/>
    </row>
    <row r="133">
      <c r="B133" s="109" t="n"/>
      <c r="C133" s="110" t="n"/>
      <c r="D133" s="322" t="n"/>
      <c r="F133" s="109" t="n"/>
      <c r="G133" s="110" t="n"/>
      <c r="H133" s="322" t="n"/>
      <c r="J133" s="98">
        <f>MIN(D128:D132,H128:H132)</f>
        <v/>
      </c>
      <c r="L133" s="99" t="n"/>
      <c r="M133" s="100" t="n"/>
      <c r="N133" s="101" t="n"/>
      <c r="O133" s="315" t="n"/>
      <c r="P133" s="265" t="n"/>
    </row>
    <row r="134" ht="16.2" customHeight="1" s="270" thickBot="1">
      <c r="B134" s="89" t="n"/>
      <c r="C134" s="92" t="n"/>
      <c r="D134" s="323" t="n"/>
      <c r="E134" s="315" t="n"/>
      <c r="F134" s="89" t="n"/>
      <c r="G134" s="92" t="n"/>
      <c r="H134" s="323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315" t="n"/>
      <c r="P134" s="5" t="n"/>
    </row>
    <row r="135" ht="16.2" customHeight="1" s="270" thickBot="1"/>
    <row r="136">
      <c r="B136" s="312" t="inlineStr">
        <is>
          <t>BlueBackpack_UVGgs_0100</t>
        </is>
      </c>
      <c r="C136" s="313" t="n"/>
      <c r="D136" s="314" t="n"/>
      <c r="E136" s="2" t="n"/>
      <c r="F136" s="312">
        <f>B136</f>
        <v/>
      </c>
      <c r="G136" s="313" t="n"/>
      <c r="H136" s="314" t="n"/>
      <c r="J136" s="265" t="n"/>
      <c r="L136" s="265">
        <f>F136</f>
        <v/>
      </c>
      <c r="M136" s="313" t="n"/>
      <c r="N136" s="314" t="n"/>
      <c r="O136" s="195" t="n"/>
      <c r="P136" s="265" t="n"/>
      <c r="AB136" s="320" t="n"/>
    </row>
    <row r="137">
      <c r="B137" s="263" t="inlineStr">
        <is>
          <t>Test</t>
        </is>
      </c>
      <c r="D137" s="87" t="inlineStr">
        <is>
          <t>Bitrate [Mbps]</t>
        </is>
      </c>
      <c r="E137" s="315" t="n"/>
      <c r="F137" s="263" t="inlineStr">
        <is>
          <t>Test</t>
        </is>
      </c>
      <c r="H137" s="87" t="inlineStr">
        <is>
          <t>Bitrate [Mbps]</t>
        </is>
      </c>
      <c r="J137" s="267" t="inlineStr">
        <is>
          <t>%</t>
        </is>
      </c>
      <c r="L137" s="267" t="inlineStr">
        <is>
          <t>YUV-SSIM</t>
        </is>
      </c>
      <c r="N137" s="316" t="n"/>
      <c r="O137" s="85" t="n"/>
      <c r="P137" s="3" t="n"/>
    </row>
    <row r="138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315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70">
      <c r="B139" s="122">
        <f>B136</f>
        <v/>
      </c>
      <c r="C139" s="130" t="inlineStr">
        <is>
          <t>r01</t>
        </is>
      </c>
      <c r="D139" s="317">
        <f>0.001*INDIRECT($B139&amp;"!E5")</f>
        <v/>
      </c>
      <c r="E139" s="315" t="n"/>
      <c r="F139" s="122">
        <f>F136</f>
        <v/>
      </c>
      <c r="G139" s="130" t="inlineStr">
        <is>
          <t>r01</t>
        </is>
      </c>
      <c r="H139" s="317">
        <f>0.001*INDIRECT($B139&amp;"!AC5")</f>
        <v/>
      </c>
      <c r="J139" s="318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315" t="n"/>
      <c r="P139" s="318">
        <f>bdRateExtend(D139:D143,L139:L143,H139:H143,M139:M143)</f>
        <v/>
      </c>
      <c r="AB139" s="320" t="n"/>
    </row>
    <row r="140">
      <c r="B140" s="122">
        <f>B139</f>
        <v/>
      </c>
      <c r="C140" s="130" t="inlineStr">
        <is>
          <t>r02</t>
        </is>
      </c>
      <c r="D140" s="317">
        <f>0.001*INDIRECT($B140&amp;"!E6")</f>
        <v/>
      </c>
      <c r="E140" s="315" t="n"/>
      <c r="F140" s="122">
        <f>F139</f>
        <v/>
      </c>
      <c r="G140" s="130" t="inlineStr">
        <is>
          <t>r02</t>
        </is>
      </c>
      <c r="H140" s="317">
        <f>0.001*INDIRECT($B140&amp;"!AC6")</f>
        <v/>
      </c>
      <c r="J140" s="318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315" t="n"/>
      <c r="P140" s="3" t="n"/>
    </row>
    <row r="141" ht="16.5" customHeight="1" s="270">
      <c r="B141" s="122">
        <f>B140</f>
        <v/>
      </c>
      <c r="C141" s="130" t="inlineStr">
        <is>
          <t>r03</t>
        </is>
      </c>
      <c r="D141" s="317">
        <f>0.001*INDIRECT($B141&amp;"!E7")</f>
        <v/>
      </c>
      <c r="E141" s="315" t="n"/>
      <c r="F141" s="122">
        <f>F140</f>
        <v/>
      </c>
      <c r="G141" s="130" t="inlineStr">
        <is>
          <t>r03</t>
        </is>
      </c>
      <c r="H141" s="317">
        <f>0.001*INDIRECT($B141&amp;"!AC7")</f>
        <v/>
      </c>
      <c r="J141" s="318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315" t="n"/>
      <c r="P141" s="217" t="n"/>
    </row>
    <row r="142" ht="16.5" customHeight="1" s="270">
      <c r="B142" s="122">
        <f>B141</f>
        <v/>
      </c>
      <c r="C142" s="130" t="inlineStr">
        <is>
          <t>r04</t>
        </is>
      </c>
      <c r="D142" s="317">
        <f>0.001*INDIRECT($B142&amp;"!E8")</f>
        <v/>
      </c>
      <c r="E142" s="315" t="n"/>
      <c r="F142" s="122">
        <f>F141</f>
        <v/>
      </c>
      <c r="G142" s="130" t="inlineStr">
        <is>
          <t>r04</t>
        </is>
      </c>
      <c r="H142" s="317">
        <f>0.001*INDIRECT($B142&amp;"!AC8")</f>
        <v/>
      </c>
      <c r="J142" s="318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315" t="n"/>
      <c r="P142" s="325" t="n"/>
    </row>
    <row r="143" ht="16.2" customHeight="1" s="270" thickBot="1">
      <c r="B143" s="122">
        <f>B142</f>
        <v/>
      </c>
      <c r="C143" s="130" t="inlineStr">
        <is>
          <t>r05</t>
        </is>
      </c>
      <c r="D143" s="317">
        <f>0.001*INDIRECT($B143&amp;"!E9")</f>
        <v/>
      </c>
      <c r="E143" s="315" t="n"/>
      <c r="F143" s="122">
        <f>F142</f>
        <v/>
      </c>
      <c r="G143" s="130" t="inlineStr">
        <is>
          <t>r05</t>
        </is>
      </c>
      <c r="H143" s="317">
        <f>0.001*INDIRECT($B143&amp;"!AC9")</f>
        <v/>
      </c>
      <c r="J143" s="318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315" t="n"/>
      <c r="P143" s="321" t="n"/>
    </row>
    <row r="144">
      <c r="B144" s="109" t="n"/>
      <c r="C144" s="110" t="n"/>
      <c r="D144" s="322" t="n"/>
      <c r="F144" s="109" t="n"/>
      <c r="G144" s="110" t="n"/>
      <c r="H144" s="322" t="n"/>
      <c r="J144" s="98">
        <f>MIN(D139:D143,H139:H143)</f>
        <v/>
      </c>
      <c r="L144" s="99" t="n"/>
      <c r="M144" s="100" t="n"/>
      <c r="N144" s="101" t="n"/>
      <c r="O144" s="315" t="n"/>
      <c r="P144" s="265" t="n"/>
    </row>
    <row r="145" ht="16.2" customHeight="1" s="270" thickBot="1">
      <c r="B145" s="89" t="n"/>
      <c r="C145" s="92" t="n"/>
      <c r="D145" s="323" t="n"/>
      <c r="E145" s="315" t="n"/>
      <c r="F145" s="89" t="n"/>
      <c r="G145" s="92" t="n"/>
      <c r="H145" s="323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315" t="n"/>
      <c r="P145" s="5" t="n"/>
    </row>
    <row r="146" ht="16.2" customHeight="1" s="270" thickBot="1">
      <c r="B146" s="266" t="n"/>
      <c r="C146" s="266" t="n"/>
      <c r="D146" s="324" t="n"/>
      <c r="E146" s="315" t="n"/>
      <c r="F146" s="266" t="n"/>
      <c r="G146" s="266" t="n"/>
      <c r="H146" s="324" t="n"/>
      <c r="AB146" s="320" t="n"/>
    </row>
    <row r="147">
      <c r="B147" s="312" t="inlineStr">
        <is>
          <t>BlueBackpack_UVGgs_0200</t>
        </is>
      </c>
      <c r="C147" s="313" t="n"/>
      <c r="D147" s="314" t="n"/>
      <c r="E147" s="2" t="n"/>
      <c r="F147" s="312">
        <f>B147</f>
        <v/>
      </c>
      <c r="G147" s="313" t="n"/>
      <c r="H147" s="314" t="n"/>
      <c r="J147" s="265" t="n"/>
      <c r="L147" s="265">
        <f>F147</f>
        <v/>
      </c>
      <c r="M147" s="313" t="n"/>
      <c r="N147" s="314" t="n"/>
      <c r="O147" s="195" t="n"/>
      <c r="P147" s="265" t="n"/>
    </row>
    <row r="148">
      <c r="B148" s="263" t="inlineStr">
        <is>
          <t>Test</t>
        </is>
      </c>
      <c r="D148" s="87" t="inlineStr">
        <is>
          <t>Bitrate [Mbps]</t>
        </is>
      </c>
      <c r="E148" s="315" t="n"/>
      <c r="F148" s="263" t="inlineStr">
        <is>
          <t>Test</t>
        </is>
      </c>
      <c r="H148" s="87" t="inlineStr">
        <is>
          <t>Bitrate [Mbps]</t>
        </is>
      </c>
      <c r="J148" s="267" t="inlineStr">
        <is>
          <t>%</t>
        </is>
      </c>
      <c r="L148" s="267" t="inlineStr">
        <is>
          <t>YUV-SSIM</t>
        </is>
      </c>
      <c r="N148" s="316" t="n"/>
      <c r="O148" s="85" t="n"/>
      <c r="P148" s="3" t="n"/>
    </row>
    <row r="149" ht="16.5" customHeight="1" s="270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315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  <c r="AB149" s="320" t="n"/>
    </row>
    <row r="150">
      <c r="B150" s="122">
        <f>B147</f>
        <v/>
      </c>
      <c r="C150" s="130" t="inlineStr">
        <is>
          <t>r01</t>
        </is>
      </c>
      <c r="D150" s="317">
        <f>0.001*INDIRECT($B150&amp;"!E5")</f>
        <v/>
      </c>
      <c r="E150" s="315" t="n"/>
      <c r="F150" s="122">
        <f>F147</f>
        <v/>
      </c>
      <c r="G150" s="130" t="inlineStr">
        <is>
          <t>r01</t>
        </is>
      </c>
      <c r="H150" s="317">
        <f>0.001*INDIRECT($B150&amp;"!AC5")</f>
        <v/>
      </c>
      <c r="J150" s="318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315" t="n"/>
      <c r="P150" s="318">
        <f>bdRateExtend(D150:D154,L150:L154,H150:H154,M150:M154)</f>
        <v/>
      </c>
    </row>
    <row r="151" ht="16.5" customHeight="1" s="270">
      <c r="B151" s="122">
        <f>B150</f>
        <v/>
      </c>
      <c r="C151" s="130" t="inlineStr">
        <is>
          <t>r02</t>
        </is>
      </c>
      <c r="D151" s="317">
        <f>0.001*INDIRECT($B151&amp;"!E6")</f>
        <v/>
      </c>
      <c r="E151" s="315" t="n"/>
      <c r="F151" s="122">
        <f>F150</f>
        <v/>
      </c>
      <c r="G151" s="130" t="inlineStr">
        <is>
          <t>r02</t>
        </is>
      </c>
      <c r="H151" s="317">
        <f>0.001*INDIRECT($B151&amp;"!AC6")</f>
        <v/>
      </c>
      <c r="J151" s="318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315" t="n"/>
      <c r="P151" s="3" t="n"/>
    </row>
    <row r="152" ht="16.5" customHeight="1" s="270">
      <c r="B152" s="122">
        <f>B151</f>
        <v/>
      </c>
      <c r="C152" s="130" t="inlineStr">
        <is>
          <t>r03</t>
        </is>
      </c>
      <c r="D152" s="317">
        <f>0.001*INDIRECT($B152&amp;"!E7")</f>
        <v/>
      </c>
      <c r="E152" s="315" t="n"/>
      <c r="F152" s="122">
        <f>F151</f>
        <v/>
      </c>
      <c r="G152" s="130" t="inlineStr">
        <is>
          <t>r03</t>
        </is>
      </c>
      <c r="H152" s="317">
        <f>0.001*INDIRECT($B152&amp;"!AC7")</f>
        <v/>
      </c>
      <c r="J152" s="318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315" t="n"/>
      <c r="P152" s="217" t="n"/>
    </row>
    <row r="153">
      <c r="B153" s="122">
        <f>B152</f>
        <v/>
      </c>
      <c r="C153" s="130" t="inlineStr">
        <is>
          <t>r04</t>
        </is>
      </c>
      <c r="D153" s="317">
        <f>0.001*INDIRECT($B153&amp;"!E8")</f>
        <v/>
      </c>
      <c r="E153" s="315" t="n"/>
      <c r="F153" s="122">
        <f>F152</f>
        <v/>
      </c>
      <c r="G153" s="130" t="inlineStr">
        <is>
          <t>r04</t>
        </is>
      </c>
      <c r="H153" s="317">
        <f>0.001*INDIRECT($B153&amp;"!AC8")</f>
        <v/>
      </c>
      <c r="J153" s="318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315" t="n"/>
      <c r="P153" s="325" t="n"/>
    </row>
    <row r="154" ht="16.2" customHeight="1" s="270" thickBot="1">
      <c r="B154" s="122">
        <f>B153</f>
        <v/>
      </c>
      <c r="C154" s="130" t="inlineStr">
        <is>
          <t>r05</t>
        </is>
      </c>
      <c r="D154" s="317">
        <f>0.001*INDIRECT($B154&amp;"!E9")</f>
        <v/>
      </c>
      <c r="E154" s="315" t="n"/>
      <c r="F154" s="122">
        <f>F153</f>
        <v/>
      </c>
      <c r="G154" s="130" t="inlineStr">
        <is>
          <t>r05</t>
        </is>
      </c>
      <c r="H154" s="317">
        <f>0.001*INDIRECT($B154&amp;"!AC9")</f>
        <v/>
      </c>
      <c r="J154" s="318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315" t="n"/>
      <c r="P154" s="321" t="n"/>
    </row>
    <row r="155">
      <c r="B155" s="109" t="n"/>
      <c r="C155" s="110" t="n"/>
      <c r="D155" s="322" t="n"/>
      <c r="F155" s="109" t="n"/>
      <c r="G155" s="110" t="n"/>
      <c r="H155" s="322" t="n"/>
      <c r="J155" s="98">
        <f>MIN(D150:D154,H150:H154)</f>
        <v/>
      </c>
      <c r="L155" s="99" t="n"/>
      <c r="M155" s="100" t="n"/>
      <c r="N155" s="101" t="n"/>
      <c r="O155" s="315" t="n"/>
      <c r="P155" s="265" t="n"/>
    </row>
    <row r="156" ht="16.2" customHeight="1" s="270" thickBot="1">
      <c r="B156" s="89" t="n"/>
      <c r="C156" s="92" t="n"/>
      <c r="D156" s="323" t="n"/>
      <c r="E156" s="315" t="n"/>
      <c r="F156" s="89" t="n"/>
      <c r="G156" s="92" t="n"/>
      <c r="H156" s="323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315" t="n"/>
      <c r="P156" s="5" t="n"/>
      <c r="AB156" s="320" t="n"/>
    </row>
    <row r="157" ht="16.2" customHeight="1" s="270" thickBot="1"/>
    <row r="158">
      <c r="B158" s="312" t="inlineStr">
        <is>
          <t>FlowerDance_UVGgs_0000</t>
        </is>
      </c>
      <c r="C158" s="313" t="n"/>
      <c r="D158" s="314" t="n"/>
      <c r="E158" s="2" t="n"/>
      <c r="F158" s="312">
        <f>B158</f>
        <v/>
      </c>
      <c r="G158" s="313" t="n"/>
      <c r="H158" s="314" t="n"/>
      <c r="J158" s="265" t="n"/>
      <c r="L158" s="265">
        <f>F158</f>
        <v/>
      </c>
      <c r="M158" s="313" t="n"/>
      <c r="N158" s="314" t="n"/>
      <c r="O158" s="195" t="n"/>
      <c r="P158" s="265" t="n"/>
    </row>
    <row r="159" ht="16.5" customHeight="1" s="270">
      <c r="B159" s="263" t="inlineStr">
        <is>
          <t>Test</t>
        </is>
      </c>
      <c r="D159" s="87" t="inlineStr">
        <is>
          <t>Bitrate [Mbps]</t>
        </is>
      </c>
      <c r="E159" s="315" t="n"/>
      <c r="F159" s="263" t="inlineStr">
        <is>
          <t>Test</t>
        </is>
      </c>
      <c r="H159" s="87" t="inlineStr">
        <is>
          <t>Bitrate [Mbps]</t>
        </is>
      </c>
      <c r="J159" s="267" t="inlineStr">
        <is>
          <t>%</t>
        </is>
      </c>
      <c r="L159" s="267" t="inlineStr">
        <is>
          <t>YUV-SSIM</t>
        </is>
      </c>
      <c r="N159" s="316" t="n"/>
      <c r="O159" s="85" t="n"/>
      <c r="P159" s="3" t="n"/>
      <c r="AB159" s="320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315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 ht="16.5" customHeight="1" s="270">
      <c r="B161" s="122">
        <f>B158</f>
        <v/>
      </c>
      <c r="C161" s="130" t="inlineStr">
        <is>
          <t>r01</t>
        </is>
      </c>
      <c r="D161" s="317">
        <f>0.001*INDIRECT($B161&amp;"!E5")</f>
        <v/>
      </c>
      <c r="E161" s="315" t="n"/>
      <c r="F161" s="122">
        <f>F158</f>
        <v/>
      </c>
      <c r="G161" s="130" t="inlineStr">
        <is>
          <t>r01</t>
        </is>
      </c>
      <c r="H161" s="317">
        <f>0.001*INDIRECT($B161&amp;"!AC5")</f>
        <v/>
      </c>
      <c r="J161" s="318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315" t="n"/>
      <c r="P161" s="318">
        <f>bdRateExtend(D161:D165,L161:L165,H161:H165,M161:M165)</f>
        <v/>
      </c>
    </row>
    <row r="162" ht="16.5" customHeight="1" s="270">
      <c r="B162" s="122">
        <f>B161</f>
        <v/>
      </c>
      <c r="C162" s="130" t="inlineStr">
        <is>
          <t>r02</t>
        </is>
      </c>
      <c r="D162" s="317">
        <f>0.001*INDIRECT($B162&amp;"!E6")</f>
        <v/>
      </c>
      <c r="E162" s="315" t="n"/>
      <c r="F162" s="122">
        <f>F161</f>
        <v/>
      </c>
      <c r="G162" s="130" t="inlineStr">
        <is>
          <t>r02</t>
        </is>
      </c>
      <c r="H162" s="317">
        <f>0.001*INDIRECT($B162&amp;"!AC6")</f>
        <v/>
      </c>
      <c r="J162" s="318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315" t="n"/>
      <c r="P162" s="3" t="n"/>
    </row>
    <row r="163">
      <c r="B163" s="122">
        <f>B162</f>
        <v/>
      </c>
      <c r="C163" s="130" t="inlineStr">
        <is>
          <t>r03</t>
        </is>
      </c>
      <c r="D163" s="317">
        <f>0.001*INDIRECT($B163&amp;"!E7")</f>
        <v/>
      </c>
      <c r="E163" s="315" t="n"/>
      <c r="F163" s="122">
        <f>F162</f>
        <v/>
      </c>
      <c r="G163" s="130" t="inlineStr">
        <is>
          <t>r03</t>
        </is>
      </c>
      <c r="H163" s="317">
        <f>0.001*INDIRECT($B163&amp;"!AC7")</f>
        <v/>
      </c>
      <c r="J163" s="318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315" t="n"/>
      <c r="P163" s="217" t="n"/>
    </row>
    <row r="164">
      <c r="B164" s="122">
        <f>B163</f>
        <v/>
      </c>
      <c r="C164" s="130" t="inlineStr">
        <is>
          <t>r04</t>
        </is>
      </c>
      <c r="D164" s="317">
        <f>0.001*INDIRECT($B164&amp;"!E8")</f>
        <v/>
      </c>
      <c r="E164" s="315" t="n"/>
      <c r="F164" s="122">
        <f>F163</f>
        <v/>
      </c>
      <c r="G164" s="130" t="inlineStr">
        <is>
          <t>r04</t>
        </is>
      </c>
      <c r="H164" s="317">
        <f>0.001*INDIRECT($B164&amp;"!AC8")</f>
        <v/>
      </c>
      <c r="J164" s="318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315" t="n"/>
      <c r="P164" s="325" t="n"/>
    </row>
    <row r="165" ht="16.2" customHeight="1" s="270" thickBot="1">
      <c r="B165" s="122">
        <f>B164</f>
        <v/>
      </c>
      <c r="C165" s="130" t="inlineStr">
        <is>
          <t>r05</t>
        </is>
      </c>
      <c r="D165" s="317">
        <f>0.001*INDIRECT($B165&amp;"!E9")</f>
        <v/>
      </c>
      <c r="E165" s="315" t="n"/>
      <c r="F165" s="122">
        <f>F164</f>
        <v/>
      </c>
      <c r="G165" s="130" t="inlineStr">
        <is>
          <t>r05</t>
        </is>
      </c>
      <c r="H165" s="317">
        <f>0.001*INDIRECT($B165&amp;"!AC9")</f>
        <v/>
      </c>
      <c r="J165" s="318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315" t="n"/>
      <c r="P165" s="321" t="n"/>
    </row>
    <row r="166">
      <c r="B166" s="109" t="n"/>
      <c r="C166" s="110" t="n"/>
      <c r="D166" s="322" t="n"/>
      <c r="F166" s="109" t="n"/>
      <c r="G166" s="110" t="n"/>
      <c r="H166" s="322" t="n"/>
      <c r="J166" s="98">
        <f>MIN(D161:D165,H161:H165)</f>
        <v/>
      </c>
      <c r="L166" s="99" t="n"/>
      <c r="M166" s="100" t="n"/>
      <c r="N166" s="101" t="n"/>
      <c r="O166" s="315" t="n"/>
      <c r="P166" s="265" t="n"/>
      <c r="AB166" s="320" t="n"/>
    </row>
    <row r="167" ht="16.2" customHeight="1" s="270" thickBot="1">
      <c r="B167" s="89" t="n"/>
      <c r="C167" s="92" t="n"/>
      <c r="D167" s="323" t="n"/>
      <c r="E167" s="315" t="n"/>
      <c r="F167" s="89" t="n"/>
      <c r="G167" s="92" t="n"/>
      <c r="H167" s="323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315" t="n"/>
      <c r="P167" s="5" t="n"/>
    </row>
    <row r="168" ht="16.2" customHeight="1" s="270" thickBot="1"/>
    <row r="169" ht="16.5" customHeight="1" s="270">
      <c r="B169" s="312" t="inlineStr">
        <is>
          <t>FlowerDance_UVGgs_0200</t>
        </is>
      </c>
      <c r="C169" s="313" t="n"/>
      <c r="D169" s="314" t="n"/>
      <c r="E169" s="2" t="n"/>
      <c r="F169" s="312">
        <f>B169</f>
        <v/>
      </c>
      <c r="G169" s="313" t="n"/>
      <c r="H169" s="314" t="n"/>
      <c r="J169" s="265" t="n"/>
      <c r="L169" s="265">
        <f>F169</f>
        <v/>
      </c>
      <c r="M169" s="313" t="n"/>
      <c r="N169" s="314" t="n"/>
      <c r="O169" s="195" t="n"/>
      <c r="P169" s="265" t="n"/>
      <c r="AB169" s="320" t="n"/>
    </row>
    <row r="170">
      <c r="B170" s="263" t="inlineStr">
        <is>
          <t>Test</t>
        </is>
      </c>
      <c r="D170" s="87" t="inlineStr">
        <is>
          <t>Bitrate [Mbps]</t>
        </is>
      </c>
      <c r="E170" s="315" t="n"/>
      <c r="F170" s="263" t="inlineStr">
        <is>
          <t>Test</t>
        </is>
      </c>
      <c r="H170" s="87" t="inlineStr">
        <is>
          <t>Bitrate [Mbps]</t>
        </is>
      </c>
      <c r="J170" s="267" t="inlineStr">
        <is>
          <t>%</t>
        </is>
      </c>
      <c r="L170" s="267" t="inlineStr">
        <is>
          <t>YUV-SSIM</t>
        </is>
      </c>
      <c r="N170" s="316" t="n"/>
      <c r="O170" s="85" t="n"/>
      <c r="P170" s="3" t="n"/>
    </row>
    <row r="171" ht="16.5" customHeight="1" s="270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315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 ht="16.5" customHeight="1" s="270">
      <c r="B172" s="122">
        <f>B169</f>
        <v/>
      </c>
      <c r="C172" s="130" t="inlineStr">
        <is>
          <t>r01</t>
        </is>
      </c>
      <c r="D172" s="317">
        <f>0.001*INDIRECT($B172&amp;"!E5")</f>
        <v/>
      </c>
      <c r="E172" s="315" t="n"/>
      <c r="F172" s="122">
        <f>F169</f>
        <v/>
      </c>
      <c r="G172" s="130" t="inlineStr">
        <is>
          <t>r01</t>
        </is>
      </c>
      <c r="H172" s="317">
        <f>0.001*INDIRECT($B172&amp;"!AC5")</f>
        <v/>
      </c>
      <c r="J172" s="318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315" t="n"/>
      <c r="P172" s="318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317">
        <f>0.001*INDIRECT($B173&amp;"!E6")</f>
        <v/>
      </c>
      <c r="E173" s="315" t="n"/>
      <c r="F173" s="122">
        <f>F172</f>
        <v/>
      </c>
      <c r="G173" s="130" t="inlineStr">
        <is>
          <t>r02</t>
        </is>
      </c>
      <c r="H173" s="317">
        <f>0.001*INDIRECT($B173&amp;"!AC6")</f>
        <v/>
      </c>
      <c r="J173" s="318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315" t="n"/>
      <c r="P173" s="3" t="n"/>
    </row>
    <row r="174">
      <c r="B174" s="122">
        <f>B173</f>
        <v/>
      </c>
      <c r="C174" s="130" t="inlineStr">
        <is>
          <t>r03</t>
        </is>
      </c>
      <c r="D174" s="317">
        <f>0.001*INDIRECT($B174&amp;"!E7")</f>
        <v/>
      </c>
      <c r="E174" s="315" t="n"/>
      <c r="F174" s="122">
        <f>F173</f>
        <v/>
      </c>
      <c r="G174" s="130" t="inlineStr">
        <is>
          <t>r03</t>
        </is>
      </c>
      <c r="H174" s="317">
        <f>0.001*INDIRECT($B174&amp;"!AC7")</f>
        <v/>
      </c>
      <c r="J174" s="318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315" t="n"/>
      <c r="P174" s="217" t="n"/>
    </row>
    <row r="175">
      <c r="B175" s="122">
        <f>B174</f>
        <v/>
      </c>
      <c r="C175" s="130" t="inlineStr">
        <is>
          <t>r04</t>
        </is>
      </c>
      <c r="D175" s="317">
        <f>0.001*INDIRECT($B175&amp;"!E8")</f>
        <v/>
      </c>
      <c r="E175" s="315" t="n"/>
      <c r="F175" s="122">
        <f>F174</f>
        <v/>
      </c>
      <c r="G175" s="130" t="inlineStr">
        <is>
          <t>r04</t>
        </is>
      </c>
      <c r="H175" s="317">
        <f>0.001*INDIRECT($B175&amp;"!AC8")</f>
        <v/>
      </c>
      <c r="J175" s="318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315" t="n"/>
      <c r="P175" s="325" t="n"/>
    </row>
    <row r="176" ht="16.2" customHeight="1" s="270" thickBot="1">
      <c r="B176" s="122">
        <f>B175</f>
        <v/>
      </c>
      <c r="C176" s="130" t="inlineStr">
        <is>
          <t>r05</t>
        </is>
      </c>
      <c r="D176" s="317">
        <f>0.001*INDIRECT($B176&amp;"!E9")</f>
        <v/>
      </c>
      <c r="E176" s="315" t="n"/>
      <c r="F176" s="122">
        <f>F175</f>
        <v/>
      </c>
      <c r="G176" s="130" t="inlineStr">
        <is>
          <t>r05</t>
        </is>
      </c>
      <c r="H176" s="317">
        <f>0.001*INDIRECT($B176&amp;"!AC9")</f>
        <v/>
      </c>
      <c r="J176" s="318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315" t="n"/>
      <c r="P176" s="321" t="n"/>
      <c r="AB176" s="320" t="n"/>
    </row>
    <row r="177">
      <c r="B177" s="109" t="n"/>
      <c r="C177" s="110" t="n"/>
      <c r="D177" s="322" t="n"/>
      <c r="F177" s="109" t="n"/>
      <c r="G177" s="110" t="n"/>
      <c r="H177" s="322" t="n"/>
      <c r="J177" s="98">
        <f>MIN(D172:D176,H172:H176)</f>
        <v/>
      </c>
      <c r="L177" s="99" t="n"/>
      <c r="M177" s="100" t="n"/>
      <c r="N177" s="101" t="n"/>
      <c r="O177" s="315" t="n"/>
      <c r="P177" s="265" t="n"/>
    </row>
    <row r="178" ht="16.2" customHeight="1" s="270" thickBot="1">
      <c r="B178" s="89" t="n"/>
      <c r="C178" s="92" t="n"/>
      <c r="D178" s="323" t="n"/>
      <c r="E178" s="315" t="n"/>
      <c r="F178" s="89" t="n"/>
      <c r="G178" s="92" t="n"/>
      <c r="H178" s="323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315" t="n"/>
      <c r="P178" s="5" t="n"/>
    </row>
    <row r="179" ht="16.5" customHeight="1" s="270" thickBot="1">
      <c r="AB179" s="320" t="n"/>
    </row>
    <row r="180">
      <c r="B180" s="312" t="inlineStr">
        <is>
          <t>Gymnast_UVGgs_0100</t>
        </is>
      </c>
      <c r="C180" s="313" t="n"/>
      <c r="D180" s="314" t="n"/>
      <c r="E180" s="2" t="n"/>
      <c r="F180" s="312">
        <f>B180</f>
        <v/>
      </c>
      <c r="G180" s="313" t="n"/>
      <c r="H180" s="314" t="n"/>
      <c r="J180" s="265" t="n"/>
      <c r="L180" s="265">
        <f>F180</f>
        <v/>
      </c>
      <c r="M180" s="313" t="n"/>
      <c r="N180" s="314" t="n"/>
      <c r="O180" s="195" t="n"/>
      <c r="P180" s="265" t="n"/>
    </row>
    <row r="181" ht="16.5" customHeight="1" s="270">
      <c r="B181" s="263" t="inlineStr">
        <is>
          <t>Test</t>
        </is>
      </c>
      <c r="D181" s="87" t="inlineStr">
        <is>
          <t>Bitrate [Mbps]</t>
        </is>
      </c>
      <c r="E181" s="315" t="n"/>
      <c r="F181" s="263" t="inlineStr">
        <is>
          <t>Test</t>
        </is>
      </c>
      <c r="H181" s="87" t="inlineStr">
        <is>
          <t>Bitrate [Mbps]</t>
        </is>
      </c>
      <c r="J181" s="267" t="inlineStr">
        <is>
          <t>%</t>
        </is>
      </c>
      <c r="L181" s="267" t="inlineStr">
        <is>
          <t>YUV-SSIM</t>
        </is>
      </c>
      <c r="N181" s="316" t="n"/>
      <c r="O181" s="85" t="n"/>
      <c r="P181" s="3" t="n"/>
    </row>
    <row r="182" ht="16.5" customHeight="1" s="270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315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</row>
    <row r="183">
      <c r="B183" s="122">
        <f>B180</f>
        <v/>
      </c>
      <c r="C183" s="130" t="inlineStr">
        <is>
          <t>r01</t>
        </is>
      </c>
      <c r="D183" s="317">
        <f>0.001*INDIRECT($B183&amp;"!E5")</f>
        <v/>
      </c>
      <c r="E183" s="315" t="n"/>
      <c r="F183" s="122">
        <f>F180</f>
        <v/>
      </c>
      <c r="G183" s="130" t="inlineStr">
        <is>
          <t>r01</t>
        </is>
      </c>
      <c r="H183" s="317">
        <f>0.001*INDIRECT($B183&amp;"!AC5")</f>
        <v/>
      </c>
      <c r="J183" s="318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315" t="n"/>
      <c r="P183" s="318">
        <f>bdRateExtend(D183:D187,L183:L187,H183:H187,M183:M187)</f>
        <v/>
      </c>
    </row>
    <row r="184">
      <c r="B184" s="122">
        <f>B183</f>
        <v/>
      </c>
      <c r="C184" s="130" t="inlineStr">
        <is>
          <t>r02</t>
        </is>
      </c>
      <c r="D184" s="317">
        <f>0.001*INDIRECT($B184&amp;"!E6")</f>
        <v/>
      </c>
      <c r="E184" s="315" t="n"/>
      <c r="F184" s="122">
        <f>F183</f>
        <v/>
      </c>
      <c r="G184" s="130" t="inlineStr">
        <is>
          <t>r02</t>
        </is>
      </c>
      <c r="H184" s="317">
        <f>0.001*INDIRECT($B184&amp;"!AC6")</f>
        <v/>
      </c>
      <c r="J184" s="318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315" t="n"/>
      <c r="P184" s="3" t="n"/>
    </row>
    <row r="185">
      <c r="B185" s="122">
        <f>B184</f>
        <v/>
      </c>
      <c r="C185" s="130" t="inlineStr">
        <is>
          <t>r03</t>
        </is>
      </c>
      <c r="D185" s="317">
        <f>0.001*INDIRECT($B185&amp;"!E7")</f>
        <v/>
      </c>
      <c r="E185" s="315" t="n"/>
      <c r="F185" s="122">
        <f>F184</f>
        <v/>
      </c>
      <c r="G185" s="130" t="inlineStr">
        <is>
          <t>r03</t>
        </is>
      </c>
      <c r="H185" s="317">
        <f>0.001*INDIRECT($B185&amp;"!AC7")</f>
        <v/>
      </c>
      <c r="J185" s="318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315" t="n"/>
      <c r="P185" s="217" t="n"/>
    </row>
    <row r="186">
      <c r="B186" s="122">
        <f>B185</f>
        <v/>
      </c>
      <c r="C186" s="130" t="inlineStr">
        <is>
          <t>r04</t>
        </is>
      </c>
      <c r="D186" s="317">
        <f>0.001*INDIRECT($B186&amp;"!E8")</f>
        <v/>
      </c>
      <c r="E186" s="315" t="n"/>
      <c r="F186" s="122">
        <f>F185</f>
        <v/>
      </c>
      <c r="G186" s="130" t="inlineStr">
        <is>
          <t>r04</t>
        </is>
      </c>
      <c r="H186" s="317">
        <f>0.001*INDIRECT($B186&amp;"!AC8")</f>
        <v/>
      </c>
      <c r="J186" s="318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315" t="n"/>
      <c r="P186" s="325" t="n"/>
      <c r="AB186" s="320" t="n"/>
    </row>
    <row r="187" ht="16.2" customHeight="1" s="270" thickBot="1">
      <c r="B187" s="122">
        <f>B186</f>
        <v/>
      </c>
      <c r="C187" s="130" t="inlineStr">
        <is>
          <t>r05</t>
        </is>
      </c>
      <c r="D187" s="317">
        <f>0.001*INDIRECT($B187&amp;"!E9")</f>
        <v/>
      </c>
      <c r="E187" s="315" t="n"/>
      <c r="F187" s="122">
        <f>F186</f>
        <v/>
      </c>
      <c r="G187" s="130" t="inlineStr">
        <is>
          <t>r05</t>
        </is>
      </c>
      <c r="H187" s="317">
        <f>0.001*INDIRECT($B187&amp;"!AC9")</f>
        <v/>
      </c>
      <c r="J187" s="318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315" t="n"/>
      <c r="P187" s="321" t="n"/>
    </row>
    <row r="188">
      <c r="B188" s="109" t="n"/>
      <c r="C188" s="110" t="n"/>
      <c r="D188" s="322" t="n"/>
      <c r="F188" s="109" t="n"/>
      <c r="G188" s="110" t="n"/>
      <c r="H188" s="322" t="n"/>
      <c r="J188" s="98">
        <f>MIN(D183:D187,H183:H187)</f>
        <v/>
      </c>
      <c r="L188" s="99" t="n"/>
      <c r="M188" s="100" t="n"/>
      <c r="N188" s="101" t="n"/>
      <c r="O188" s="315" t="n"/>
      <c r="P188" s="265" t="n"/>
    </row>
    <row r="189" ht="16.5" customHeight="1" s="270" thickBot="1">
      <c r="B189" s="89" t="n"/>
      <c r="C189" s="92" t="n"/>
      <c r="D189" s="323" t="n"/>
      <c r="E189" s="315" t="n"/>
      <c r="F189" s="89" t="n"/>
      <c r="G189" s="92" t="n"/>
      <c r="H189" s="323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315" t="n"/>
      <c r="P189" s="5" t="n"/>
      <c r="AB189" s="320" t="n"/>
    </row>
    <row r="190" ht="16.2" customHeight="1" s="270" thickBot="1"/>
    <row r="191" ht="16.5" customHeight="1" s="270">
      <c r="B191" s="312" t="inlineStr">
        <is>
          <t>Gymnast_UVGgs_0200</t>
        </is>
      </c>
      <c r="C191" s="313" t="n"/>
      <c r="D191" s="314" t="n"/>
      <c r="E191" s="2" t="n"/>
      <c r="F191" s="312">
        <f>B191</f>
        <v/>
      </c>
      <c r="G191" s="313" t="n"/>
      <c r="H191" s="314" t="n"/>
      <c r="J191" s="265" t="n"/>
      <c r="L191" s="265">
        <f>F191</f>
        <v/>
      </c>
      <c r="M191" s="313" t="n"/>
      <c r="N191" s="314" t="n"/>
      <c r="O191" s="195" t="n"/>
      <c r="P191" s="265" t="n"/>
    </row>
    <row r="192" ht="16.5" customHeight="1" s="270">
      <c r="B192" s="263" t="inlineStr">
        <is>
          <t>Test</t>
        </is>
      </c>
      <c r="D192" s="87" t="inlineStr">
        <is>
          <t>Bitrate [Mbps]</t>
        </is>
      </c>
      <c r="E192" s="315" t="n"/>
      <c r="F192" s="263" t="inlineStr">
        <is>
          <t>Test</t>
        </is>
      </c>
      <c r="H192" s="87" t="inlineStr">
        <is>
          <t>Bitrate [Mbps]</t>
        </is>
      </c>
      <c r="J192" s="267" t="inlineStr">
        <is>
          <t>%</t>
        </is>
      </c>
      <c r="L192" s="267" t="inlineStr">
        <is>
          <t>YUV-SSIM</t>
        </is>
      </c>
      <c r="N192" s="316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315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317">
        <f>0.001*INDIRECT($B194&amp;"!E5")</f>
        <v/>
      </c>
      <c r="E194" s="315" t="n"/>
      <c r="F194" s="122">
        <f>F191</f>
        <v/>
      </c>
      <c r="G194" s="130" t="inlineStr">
        <is>
          <t>r01</t>
        </is>
      </c>
      <c r="H194" s="317">
        <f>0.001*INDIRECT($B194&amp;"!AC5")</f>
        <v/>
      </c>
      <c r="J194" s="318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315" t="n"/>
      <c r="P194" s="318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317">
        <f>0.001*INDIRECT($B195&amp;"!E6")</f>
        <v/>
      </c>
      <c r="E195" s="315" t="n"/>
      <c r="F195" s="122">
        <f>F194</f>
        <v/>
      </c>
      <c r="G195" s="130" t="inlineStr">
        <is>
          <t>r02</t>
        </is>
      </c>
      <c r="H195" s="317">
        <f>0.001*INDIRECT($B195&amp;"!AC6")</f>
        <v/>
      </c>
      <c r="J195" s="318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315" t="n"/>
      <c r="P195" s="3" t="n"/>
    </row>
    <row r="196">
      <c r="B196" s="122">
        <f>B195</f>
        <v/>
      </c>
      <c r="C196" s="130" t="inlineStr">
        <is>
          <t>r03</t>
        </is>
      </c>
      <c r="D196" s="317">
        <f>0.001*INDIRECT($B196&amp;"!E7")</f>
        <v/>
      </c>
      <c r="E196" s="315" t="n"/>
      <c r="F196" s="122">
        <f>F195</f>
        <v/>
      </c>
      <c r="G196" s="130" t="inlineStr">
        <is>
          <t>r03</t>
        </is>
      </c>
      <c r="H196" s="317">
        <f>0.001*INDIRECT($B196&amp;"!AC7")</f>
        <v/>
      </c>
      <c r="J196" s="318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315" t="n"/>
      <c r="P196" s="217" t="n"/>
      <c r="AB196" s="320" t="n"/>
    </row>
    <row r="197">
      <c r="B197" s="122">
        <f>B196</f>
        <v/>
      </c>
      <c r="C197" s="130" t="inlineStr">
        <is>
          <t>r04</t>
        </is>
      </c>
      <c r="D197" s="317">
        <f>0.001*INDIRECT($B197&amp;"!E8")</f>
        <v/>
      </c>
      <c r="E197" s="315" t="n"/>
      <c r="F197" s="122">
        <f>F196</f>
        <v/>
      </c>
      <c r="G197" s="130" t="inlineStr">
        <is>
          <t>r04</t>
        </is>
      </c>
      <c r="H197" s="317">
        <f>0.001*INDIRECT($B197&amp;"!AC8")</f>
        <v/>
      </c>
      <c r="J197" s="318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315" t="n"/>
      <c r="P197" s="325" t="n"/>
    </row>
    <row r="198" ht="16.2" customHeight="1" s="270" thickBot="1">
      <c r="B198" s="122">
        <f>B197</f>
        <v/>
      </c>
      <c r="C198" s="130" t="inlineStr">
        <is>
          <t>r05</t>
        </is>
      </c>
      <c r="D198" s="317">
        <f>0.001*INDIRECT($B198&amp;"!E9")</f>
        <v/>
      </c>
      <c r="E198" s="315" t="n"/>
      <c r="F198" s="122">
        <f>F197</f>
        <v/>
      </c>
      <c r="G198" s="130" t="inlineStr">
        <is>
          <t>r05</t>
        </is>
      </c>
      <c r="H198" s="317">
        <f>0.001*INDIRECT($B198&amp;"!AC9")</f>
        <v/>
      </c>
      <c r="J198" s="318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315" t="n"/>
      <c r="P198" s="321" t="n"/>
    </row>
    <row r="199" ht="16.5" customHeight="1" s="270">
      <c r="B199" s="109" t="n"/>
      <c r="C199" s="110" t="n"/>
      <c r="D199" s="322" t="n"/>
      <c r="F199" s="109" t="n"/>
      <c r="G199" s="110" t="n"/>
      <c r="H199" s="322" t="n"/>
      <c r="J199" s="98">
        <f>MIN(D194:D198,H194:H198)</f>
        <v/>
      </c>
      <c r="L199" s="99" t="n"/>
      <c r="M199" s="100" t="n"/>
      <c r="N199" s="101" t="n"/>
      <c r="O199" s="315" t="n"/>
      <c r="P199" s="265" t="n"/>
      <c r="AB199" s="320" t="n"/>
    </row>
    <row r="200" ht="16.2" customHeight="1" s="270" thickBot="1">
      <c r="B200" s="89" t="n"/>
      <c r="C200" s="92" t="n"/>
      <c r="D200" s="323" t="n"/>
      <c r="E200" s="315" t="n"/>
      <c r="F200" s="89" t="n"/>
      <c r="G200" s="92" t="n"/>
      <c r="H200" s="323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315" t="n"/>
      <c r="P200" s="5" t="n"/>
    </row>
    <row r="201" ht="16.5" customHeight="1" s="270" thickBot="1"/>
    <row r="202" ht="16.5" customHeight="1" s="270">
      <c r="B202" s="312" t="inlineStr">
        <is>
          <t>artwork</t>
        </is>
      </c>
      <c r="C202" s="313" t="n"/>
      <c r="D202" s="314" t="n"/>
      <c r="E202" s="2" t="n"/>
      <c r="F202" s="312">
        <f>B202</f>
        <v/>
      </c>
      <c r="G202" s="313" t="n"/>
      <c r="H202" s="314" t="n"/>
      <c r="J202" s="265" t="n"/>
      <c r="L202" s="265">
        <f>F202</f>
        <v/>
      </c>
      <c r="M202" s="313" t="n"/>
      <c r="N202" s="314" t="n"/>
      <c r="O202" s="195" t="n"/>
      <c r="P202" s="265" t="n"/>
    </row>
    <row r="203">
      <c r="B203" s="263" t="inlineStr">
        <is>
          <t>Test</t>
        </is>
      </c>
      <c r="D203" s="87" t="inlineStr">
        <is>
          <t>Bitrate [Mbps]</t>
        </is>
      </c>
      <c r="E203" s="315" t="n"/>
      <c r="F203" s="263" t="inlineStr">
        <is>
          <t>Test</t>
        </is>
      </c>
      <c r="H203" s="87" t="inlineStr">
        <is>
          <t>Bitrate [Mbps]</t>
        </is>
      </c>
      <c r="J203" s="267" t="inlineStr">
        <is>
          <t>%</t>
        </is>
      </c>
      <c r="L203" s="267" t="inlineStr">
        <is>
          <t>YUV-SSIM</t>
        </is>
      </c>
      <c r="N203" s="316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315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317">
        <f>0.001*INDIRECT($B205&amp;"!E5")</f>
        <v/>
      </c>
      <c r="E205" s="315" t="n"/>
      <c r="F205" s="122">
        <f>F202</f>
        <v/>
      </c>
      <c r="G205" s="130" t="inlineStr">
        <is>
          <t>r01</t>
        </is>
      </c>
      <c r="H205" s="317">
        <f>0.001*INDIRECT($B205&amp;"!AC5")</f>
        <v/>
      </c>
      <c r="J205" s="318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315" t="n"/>
      <c r="P205" s="318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317">
        <f>0.001*INDIRECT($B206&amp;"!E6")</f>
        <v/>
      </c>
      <c r="E206" s="315" t="n"/>
      <c r="F206" s="122">
        <f>F205</f>
        <v/>
      </c>
      <c r="G206" s="130" t="inlineStr">
        <is>
          <t>r02</t>
        </is>
      </c>
      <c r="H206" s="317">
        <f>0.001*INDIRECT($B206&amp;"!AC6")</f>
        <v/>
      </c>
      <c r="J206" s="318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315" t="n"/>
      <c r="P206" s="3" t="n"/>
      <c r="AB206" s="320" t="n"/>
    </row>
    <row r="207">
      <c r="B207" s="122">
        <f>B206</f>
        <v/>
      </c>
      <c r="C207" s="130" t="inlineStr">
        <is>
          <t>r03</t>
        </is>
      </c>
      <c r="D207" s="317">
        <f>0.001*INDIRECT($B207&amp;"!E7")</f>
        <v/>
      </c>
      <c r="E207" s="315" t="n"/>
      <c r="F207" s="122">
        <f>F206</f>
        <v/>
      </c>
      <c r="G207" s="130" t="inlineStr">
        <is>
          <t>r03</t>
        </is>
      </c>
      <c r="H207" s="317">
        <f>0.001*INDIRECT($B207&amp;"!AC7")</f>
        <v/>
      </c>
      <c r="J207" s="318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315" t="n"/>
      <c r="P207" s="217" t="n"/>
    </row>
    <row r="208">
      <c r="B208" s="122">
        <f>B207</f>
        <v/>
      </c>
      <c r="C208" s="130" t="inlineStr">
        <is>
          <t>r04</t>
        </is>
      </c>
      <c r="D208" s="317">
        <f>0.001*INDIRECT($B208&amp;"!E8")</f>
        <v/>
      </c>
      <c r="E208" s="315" t="n"/>
      <c r="F208" s="122">
        <f>F207</f>
        <v/>
      </c>
      <c r="G208" s="130" t="inlineStr">
        <is>
          <t>r04</t>
        </is>
      </c>
      <c r="H208" s="317">
        <f>0.001*INDIRECT($B208&amp;"!AC8")</f>
        <v/>
      </c>
      <c r="J208" s="318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315" t="n"/>
      <c r="P208" s="325" t="n"/>
    </row>
    <row r="209" ht="16.5" customHeight="1" s="270" thickBot="1">
      <c r="B209" s="122">
        <f>B208</f>
        <v/>
      </c>
      <c r="C209" s="130" t="inlineStr">
        <is>
          <t>r05</t>
        </is>
      </c>
      <c r="D209" s="317">
        <f>0.001*INDIRECT($B209&amp;"!E9")</f>
        <v/>
      </c>
      <c r="E209" s="315" t="n"/>
      <c r="F209" s="122">
        <f>F208</f>
        <v/>
      </c>
      <c r="G209" s="130" t="inlineStr">
        <is>
          <t>r05</t>
        </is>
      </c>
      <c r="H209" s="317">
        <f>0.001*INDIRECT($B209&amp;"!AC9")</f>
        <v/>
      </c>
      <c r="J209" s="318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315" t="n"/>
      <c r="P209" s="321" t="n"/>
      <c r="AB209" s="320" t="n"/>
    </row>
    <row r="210">
      <c r="B210" s="109" t="n"/>
      <c r="C210" s="110" t="n"/>
      <c r="D210" s="322" t="n"/>
      <c r="F210" s="109" t="n"/>
      <c r="G210" s="110" t="n"/>
      <c r="H210" s="322" t="n"/>
      <c r="J210" s="98">
        <f>MIN(D205:D209,H205:H209)</f>
        <v/>
      </c>
      <c r="L210" s="99" t="n"/>
      <c r="M210" s="100" t="n"/>
      <c r="N210" s="101" t="n"/>
      <c r="O210" s="315" t="n"/>
      <c r="P210" s="265" t="n"/>
    </row>
    <row r="211" ht="16.5" customHeight="1" s="270" thickBot="1">
      <c r="B211" s="89" t="n"/>
      <c r="C211" s="92" t="n"/>
      <c r="D211" s="323" t="n"/>
      <c r="E211" s="315" t="n"/>
      <c r="F211" s="89" t="n"/>
      <c r="G211" s="92" t="n"/>
      <c r="H211" s="323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315" t="n"/>
      <c r="P211" s="5" t="n"/>
    </row>
    <row r="212" ht="16.5" customHeight="1" s="270" thickBot="1"/>
    <row r="213">
      <c r="B213" s="312" t="inlineStr">
        <is>
          <t>panda</t>
        </is>
      </c>
      <c r="C213" s="313" t="n"/>
      <c r="D213" s="314" t="n"/>
      <c r="E213" s="2" t="n"/>
      <c r="F213" s="312">
        <f>B213</f>
        <v/>
      </c>
      <c r="G213" s="313" t="n"/>
      <c r="H213" s="314" t="n"/>
      <c r="J213" s="265" t="n"/>
      <c r="L213" s="265">
        <f>F213</f>
        <v/>
      </c>
      <c r="M213" s="313" t="n"/>
      <c r="N213" s="314" t="n"/>
      <c r="O213" s="195" t="n"/>
      <c r="P213" s="265" t="n"/>
    </row>
    <row r="214">
      <c r="B214" s="263" t="inlineStr">
        <is>
          <t>Test</t>
        </is>
      </c>
      <c r="D214" s="87" t="inlineStr">
        <is>
          <t>Bitrate [Mbps]</t>
        </is>
      </c>
      <c r="E214" s="315" t="n"/>
      <c r="F214" s="263" t="inlineStr">
        <is>
          <t>Test</t>
        </is>
      </c>
      <c r="H214" s="87" t="inlineStr">
        <is>
          <t>Bitrate [Mbps]</t>
        </is>
      </c>
      <c r="J214" s="267" t="inlineStr">
        <is>
          <t>%</t>
        </is>
      </c>
      <c r="L214" s="267" t="inlineStr">
        <is>
          <t>YUV-SSIM</t>
        </is>
      </c>
      <c r="N214" s="316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315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2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  <c r="Q215" s="2" t="n"/>
      <c r="R215" s="2" t="n"/>
      <c r="S215" s="2" t="n"/>
      <c r="T215" s="2" t="n"/>
      <c r="U215" s="2" t="n"/>
      <c r="V215" s="2" t="n"/>
      <c r="X215" s="195" t="n"/>
      <c r="Y215" s="195" t="n"/>
      <c r="Z215" s="195" t="n"/>
    </row>
    <row r="216">
      <c r="B216" s="122">
        <f>B213</f>
        <v/>
      </c>
      <c r="C216" s="130" t="inlineStr">
        <is>
          <t>r01</t>
        </is>
      </c>
      <c r="D216" s="317">
        <f>0.001*INDIRECT($B216&amp;"!E5")</f>
        <v/>
      </c>
      <c r="E216" s="315" t="n"/>
      <c r="F216" s="122">
        <f>F213</f>
        <v/>
      </c>
      <c r="G216" s="130" t="inlineStr">
        <is>
          <t>r01</t>
        </is>
      </c>
      <c r="H216" s="317">
        <f>0.001*INDIRECT($B216&amp;"!AC5")</f>
        <v/>
      </c>
      <c r="I216" s="9" t="n"/>
      <c r="J216" s="318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315" t="n"/>
      <c r="P216" s="318">
        <f>bdRateExtend(D216:D220,L216:L220,H216:H220,M216:M220)</f>
        <v/>
      </c>
      <c r="Q216" s="315" t="n"/>
      <c r="R216" s="9" t="n"/>
      <c r="S216" s="9" t="n"/>
      <c r="T216" s="9" t="n"/>
      <c r="U216" s="9" t="n"/>
      <c r="V216" s="319" t="n"/>
      <c r="X216" s="6" t="n"/>
      <c r="Y216" s="6" t="n"/>
      <c r="Z216" s="81" t="n"/>
      <c r="AB216" s="320" t="n"/>
    </row>
    <row r="217">
      <c r="B217" s="122">
        <f>B216</f>
        <v/>
      </c>
      <c r="C217" s="130" t="inlineStr">
        <is>
          <t>r02</t>
        </is>
      </c>
      <c r="D217" s="317">
        <f>0.001*INDIRECT($B217&amp;"!E6")</f>
        <v/>
      </c>
      <c r="E217" s="315" t="n"/>
      <c r="F217" s="122">
        <f>F216</f>
        <v/>
      </c>
      <c r="G217" s="130" t="inlineStr">
        <is>
          <t>r02</t>
        </is>
      </c>
      <c r="H217" s="317">
        <f>0.001*INDIRECT($B217&amp;"!AC6")</f>
        <v/>
      </c>
      <c r="I217" s="9" t="n"/>
      <c r="J217" s="318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315" t="n"/>
      <c r="P217" s="3" t="n"/>
      <c r="Q217" s="315" t="n"/>
      <c r="R217" s="9" t="n"/>
      <c r="S217" s="9" t="n"/>
      <c r="T217" s="9" t="n"/>
      <c r="U217" s="9" t="n"/>
      <c r="V217" s="319" t="n"/>
      <c r="X217" s="6" t="n"/>
      <c r="Y217" s="6" t="n"/>
      <c r="Z217" s="81" t="n"/>
    </row>
    <row r="218">
      <c r="B218" s="122">
        <f>B217</f>
        <v/>
      </c>
      <c r="C218" s="130" t="inlineStr">
        <is>
          <t>r03</t>
        </is>
      </c>
      <c r="D218" s="317">
        <f>0.001*INDIRECT($B218&amp;"!E7")</f>
        <v/>
      </c>
      <c r="E218" s="315" t="n"/>
      <c r="F218" s="122">
        <f>F217</f>
        <v/>
      </c>
      <c r="G218" s="130" t="inlineStr">
        <is>
          <t>r03</t>
        </is>
      </c>
      <c r="H218" s="317">
        <f>0.001*INDIRECT($B218&amp;"!AC7")</f>
        <v/>
      </c>
      <c r="I218" s="9" t="n"/>
      <c r="J218" s="318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315" t="n"/>
      <c r="P218" s="217" t="n"/>
      <c r="Q218" s="315" t="n"/>
      <c r="R218" s="9" t="n"/>
      <c r="S218" s="9" t="n"/>
      <c r="T218" s="9" t="n"/>
      <c r="U218" s="9" t="n"/>
      <c r="V218" s="319" t="n"/>
      <c r="X218" s="6" t="n"/>
      <c r="Y218" s="6" t="n"/>
      <c r="Z218" s="81" t="n"/>
    </row>
    <row r="219" ht="16.5" customHeight="1" s="270">
      <c r="B219" s="122">
        <f>B218</f>
        <v/>
      </c>
      <c r="C219" s="130" t="inlineStr">
        <is>
          <t>r04</t>
        </is>
      </c>
      <c r="D219" s="317">
        <f>0.001*INDIRECT($B219&amp;"!E8")</f>
        <v/>
      </c>
      <c r="E219" s="315" t="n"/>
      <c r="F219" s="122">
        <f>F218</f>
        <v/>
      </c>
      <c r="G219" s="130" t="inlineStr">
        <is>
          <t>r04</t>
        </is>
      </c>
      <c r="H219" s="317">
        <f>0.001*INDIRECT($B219&amp;"!AC8")</f>
        <v/>
      </c>
      <c r="I219" s="9" t="n"/>
      <c r="J219" s="318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315" t="n"/>
      <c r="P219" s="325" t="n"/>
      <c r="Q219" s="315" t="n"/>
      <c r="R219" s="9" t="n"/>
      <c r="S219" s="9" t="n"/>
      <c r="T219" s="9" t="n"/>
      <c r="U219" s="9" t="n"/>
      <c r="V219" s="319" t="n"/>
      <c r="X219" s="6" t="n"/>
      <c r="Y219" s="6" t="n"/>
      <c r="Z219" s="81" t="n"/>
      <c r="AB219" s="320" t="n"/>
    </row>
    <row r="220" ht="16.2" customHeight="1" s="270" thickBot="1">
      <c r="B220" s="122">
        <f>B219</f>
        <v/>
      </c>
      <c r="C220" s="130" t="inlineStr">
        <is>
          <t>r05</t>
        </is>
      </c>
      <c r="D220" s="317">
        <f>0.001*INDIRECT($B220&amp;"!E9")</f>
        <v/>
      </c>
      <c r="E220" s="315" t="n"/>
      <c r="F220" s="122">
        <f>F219</f>
        <v/>
      </c>
      <c r="G220" s="130" t="inlineStr">
        <is>
          <t>r05</t>
        </is>
      </c>
      <c r="H220" s="317">
        <f>0.001*INDIRECT($B220&amp;"!AC9")</f>
        <v/>
      </c>
      <c r="I220" s="9" t="n"/>
      <c r="J220" s="318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315" t="n"/>
      <c r="P220" s="321" t="n"/>
      <c r="Q220" s="315" t="n"/>
      <c r="R220" s="9" t="n"/>
      <c r="S220" s="9" t="n"/>
      <c r="T220" s="9" t="n"/>
      <c r="U220" s="9" t="n"/>
      <c r="V220" s="83" t="n"/>
      <c r="X220" s="6" t="n"/>
      <c r="Y220" s="6" t="n"/>
      <c r="Z220" s="81" t="n"/>
    </row>
    <row r="221" ht="16.5" customHeight="1" s="270">
      <c r="B221" s="109" t="n"/>
      <c r="C221" s="110" t="n"/>
      <c r="D221" s="322" t="n"/>
      <c r="F221" s="109" t="n"/>
      <c r="G221" s="110" t="n"/>
      <c r="H221" s="322" t="n"/>
      <c r="I221" s="9" t="n"/>
      <c r="J221" s="98">
        <f>MIN(D216:D220,H216:H220)</f>
        <v/>
      </c>
      <c r="L221" s="99" t="n"/>
      <c r="M221" s="100" t="n"/>
      <c r="N221" s="101" t="n"/>
      <c r="O221" s="315" t="n"/>
      <c r="P221" s="265" t="n"/>
      <c r="Q221" s="315" t="n"/>
      <c r="R221" s="9" t="n"/>
      <c r="S221" s="9" t="n"/>
      <c r="T221" s="9" t="n"/>
      <c r="U221" s="9" t="n"/>
      <c r="V221" s="83" t="n"/>
      <c r="X221" s="84" t="n"/>
      <c r="Y221" s="84" t="n"/>
      <c r="Z221" s="81" t="n"/>
    </row>
    <row r="222" ht="16.2" customHeight="1" s="270" thickBot="1">
      <c r="B222" s="89" t="n"/>
      <c r="C222" s="92" t="n"/>
      <c r="D222" s="323" t="n"/>
      <c r="E222" s="315" t="n"/>
      <c r="F222" s="89" t="n"/>
      <c r="G222" s="92" t="n"/>
      <c r="H222" s="323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315" t="n"/>
      <c r="P222" s="5" t="n"/>
    </row>
    <row r="223" ht="16.2" customHeight="1" s="270" thickBot="1"/>
    <row r="224">
      <c r="B224" s="312" t="inlineStr">
        <is>
          <t>wukong</t>
        </is>
      </c>
      <c r="C224" s="313" t="n"/>
      <c r="D224" s="314" t="n"/>
      <c r="E224" s="2" t="n"/>
      <c r="F224" s="312">
        <f>B224</f>
        <v/>
      </c>
      <c r="G224" s="313" t="n"/>
      <c r="H224" s="314" t="n"/>
      <c r="J224" s="265" t="n"/>
      <c r="L224" s="265">
        <f>F224</f>
        <v/>
      </c>
      <c r="M224" s="313" t="n"/>
      <c r="N224" s="314" t="n"/>
      <c r="O224" s="195" t="n"/>
      <c r="P224" s="265" t="n"/>
    </row>
    <row r="225">
      <c r="B225" s="263" t="inlineStr">
        <is>
          <t>Test</t>
        </is>
      </c>
      <c r="D225" s="87" t="inlineStr">
        <is>
          <t>Bitrate [Mbps]</t>
        </is>
      </c>
      <c r="E225" s="315" t="n"/>
      <c r="F225" s="263" t="inlineStr">
        <is>
          <t>Test</t>
        </is>
      </c>
      <c r="H225" s="87" t="inlineStr">
        <is>
          <t>Bitrate [Mbps]</t>
        </is>
      </c>
      <c r="J225" s="267" t="inlineStr">
        <is>
          <t>%</t>
        </is>
      </c>
      <c r="L225" s="267" t="inlineStr">
        <is>
          <t>YUV-SSIM</t>
        </is>
      </c>
      <c r="N225" s="316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315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317">
        <f>0.001*INDIRECT($B227&amp;"!E5")</f>
        <v/>
      </c>
      <c r="E227" s="315" t="n"/>
      <c r="F227" s="122">
        <f>F224</f>
        <v/>
      </c>
      <c r="G227" s="130" t="inlineStr">
        <is>
          <t>r01</t>
        </is>
      </c>
      <c r="H227" s="317">
        <f>0.001*INDIRECT($B227&amp;"!AC5")</f>
        <v/>
      </c>
      <c r="J227" s="318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315" t="n"/>
      <c r="P227" s="318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317">
        <f>0.001*INDIRECT($B228&amp;"!E6")</f>
        <v/>
      </c>
      <c r="E228" s="315" t="n"/>
      <c r="F228" s="122">
        <f>F227</f>
        <v/>
      </c>
      <c r="G228" s="130" t="inlineStr">
        <is>
          <t>r02</t>
        </is>
      </c>
      <c r="H228" s="317">
        <f>0.001*INDIRECT($B228&amp;"!AC6")</f>
        <v/>
      </c>
      <c r="J228" s="318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315" t="n"/>
      <c r="P228" s="3" t="n"/>
    </row>
    <row r="229">
      <c r="B229" s="122">
        <f>B228</f>
        <v/>
      </c>
      <c r="C229" s="130" t="inlineStr">
        <is>
          <t>r03</t>
        </is>
      </c>
      <c r="D229" s="317">
        <f>0.001*INDIRECT($B229&amp;"!E7")</f>
        <v/>
      </c>
      <c r="E229" s="315" t="n"/>
      <c r="F229" s="122">
        <f>F228</f>
        <v/>
      </c>
      <c r="G229" s="130" t="inlineStr">
        <is>
          <t>r03</t>
        </is>
      </c>
      <c r="H229" s="317">
        <f>0.001*INDIRECT($B229&amp;"!AC7")</f>
        <v/>
      </c>
      <c r="J229" s="318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315" t="n"/>
      <c r="P229" s="217" t="n"/>
    </row>
    <row r="230">
      <c r="B230" s="122">
        <f>B229</f>
        <v/>
      </c>
      <c r="C230" s="130" t="inlineStr">
        <is>
          <t>r04</t>
        </is>
      </c>
      <c r="D230" s="317">
        <f>0.001*INDIRECT($B230&amp;"!E8")</f>
        <v/>
      </c>
      <c r="E230" s="315" t="n"/>
      <c r="F230" s="122">
        <f>F229</f>
        <v/>
      </c>
      <c r="G230" s="130" t="inlineStr">
        <is>
          <t>r04</t>
        </is>
      </c>
      <c r="H230" s="317">
        <f>0.001*INDIRECT($B230&amp;"!AC8")</f>
        <v/>
      </c>
      <c r="J230" s="318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315" t="n"/>
      <c r="P230" s="325" t="n"/>
    </row>
    <row r="231" ht="16.2" customHeight="1" s="270" thickBot="1">
      <c r="B231" s="122">
        <f>B230</f>
        <v/>
      </c>
      <c r="C231" s="130" t="inlineStr">
        <is>
          <t>r05</t>
        </is>
      </c>
      <c r="D231" s="317">
        <f>0.001*INDIRECT($B231&amp;"!E9")</f>
        <v/>
      </c>
      <c r="E231" s="315" t="n"/>
      <c r="F231" s="122">
        <f>F230</f>
        <v/>
      </c>
      <c r="G231" s="130" t="inlineStr">
        <is>
          <t>r05</t>
        </is>
      </c>
      <c r="H231" s="317">
        <f>0.001*INDIRECT($B231&amp;"!AC9")</f>
        <v/>
      </c>
      <c r="J231" s="318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315" t="n"/>
      <c r="P231" s="321" t="n"/>
    </row>
    <row r="232">
      <c r="B232" s="109" t="n"/>
      <c r="C232" s="110" t="n"/>
      <c r="D232" s="322" t="n"/>
      <c r="F232" s="109" t="n"/>
      <c r="G232" s="110" t="n"/>
      <c r="H232" s="322" t="n"/>
      <c r="J232" s="98">
        <f>MIN(D227:D231,H227:H231)</f>
        <v/>
      </c>
      <c r="L232" s="99" t="n"/>
      <c r="M232" s="100" t="n"/>
      <c r="N232" s="101" t="n"/>
      <c r="O232" s="315" t="n"/>
      <c r="P232" s="265" t="n"/>
    </row>
    <row r="233" ht="16.2" customHeight="1" s="270" thickBot="1">
      <c r="B233" s="89" t="n"/>
      <c r="C233" s="92" t="n"/>
      <c r="D233" s="323" t="n"/>
      <c r="E233" s="315" t="n"/>
      <c r="F233" s="89" t="n"/>
      <c r="G233" s="92" t="n"/>
      <c r="H233" s="323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315" t="n"/>
      <c r="P233" s="5" t="n"/>
    </row>
  </sheetData>
  <mergeCells count="159"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B4:D4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R49:T49"/>
    <mergeCell ref="F148:G148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B59:D59"/>
    <mergeCell ref="B202:D202"/>
    <mergeCell ref="L37:N37"/>
    <mergeCell ref="F158:H158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L4:N4"/>
    <mergeCell ref="B71:C71"/>
    <mergeCell ref="F224:H224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B170:C170"/>
    <mergeCell ref="L81:N81"/>
    <mergeCell ref="F37:H37"/>
    <mergeCell ref="B82:C82"/>
    <mergeCell ref="B148:C148"/>
    <mergeCell ref="F203:G203"/>
    <mergeCell ref="F181:G181"/>
    <mergeCell ref="L148:N148"/>
    <mergeCell ref="X81:Z81"/>
    <mergeCell ref="B114:D114"/>
    <mergeCell ref="R93:T93"/>
    <mergeCell ref="L27:N27"/>
    <mergeCell ref="X71:Z71"/>
    <mergeCell ref="L203:N203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B2:D2"/>
  </mergeCells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priority="1177" operator="lessThan" dxfId="1" stopIfTrue="1">
      <formula>-0.01</formula>
    </cfRule>
    <cfRule type="cellIs" priority="1178" operator="greaterThan" dxfId="0" stopIfTrue="1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priority="1172" operator="greaterThan" dxfId="1">
      <formula>0.03</formula>
    </cfRule>
    <cfRule type="cellIs" priority="1173" operator="lessThan" dxfId="0" stopIfTrue="1">
      <formula>-0.03</formula>
    </cfRule>
  </conditionalFormatting>
  <conditionalFormatting sqref="AB22">
    <cfRule type="cellIs" priority="1170" operator="lessThan" dxfId="1">
      <formula>-0.03</formula>
    </cfRule>
    <cfRule type="cellIs" priority="1171" operator="greaterThan" dxfId="0" stopIfTrue="1">
      <formula>0.03</formula>
    </cfRule>
  </conditionalFormatting>
  <conditionalFormatting sqref="Z18">
    <cfRule type="cellIs" priority="1168" operator="lessThan" dxfId="1" stopIfTrue="1">
      <formula>-0.01</formula>
    </cfRule>
    <cfRule type="cellIs" priority="1169" operator="greaterThan" dxfId="0" stopIfTrue="1">
      <formula>0.01</formula>
    </cfRule>
  </conditionalFormatting>
  <conditionalFormatting sqref="Z19">
    <cfRule type="cellIs" priority="1166" operator="lessThan" dxfId="1" stopIfTrue="1">
      <formula>-0.01</formula>
    </cfRule>
    <cfRule type="cellIs" priority="1167" operator="greaterThan" dxfId="0" stopIfTrue="1">
      <formula>0.01</formula>
    </cfRule>
  </conditionalFormatting>
  <conditionalFormatting sqref="Z20:Z21">
    <cfRule type="cellIs" priority="1164" operator="lessThan" dxfId="1" stopIfTrue="1">
      <formula>-0.01</formula>
    </cfRule>
    <cfRule type="cellIs" priority="1165" operator="greaterThan" dxfId="0" stopIfTrue="1">
      <formula>0.01</formula>
    </cfRule>
  </conditionalFormatting>
  <conditionalFormatting sqref="Z22">
    <cfRule type="cellIs" priority="1162" operator="lessThan" dxfId="1" stopIfTrue="1">
      <formula>-0.01</formula>
    </cfRule>
    <cfRule type="cellIs" priority="1163" operator="greaterThan" dxfId="0" stopIfTrue="1">
      <formula>0.01</formula>
    </cfRule>
  </conditionalFormatting>
  <conditionalFormatting sqref="V18:V22">
    <cfRule type="cellIs" priority="1160" operator="greaterThan" dxfId="1">
      <formula>0.03</formula>
    </cfRule>
    <cfRule type="cellIs" priority="1161" operator="lessThan" dxfId="0" stopIfTrue="1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priority="1154" operator="lessThan" dxfId="1" stopIfTrue="1">
      <formula>-0.01</formula>
    </cfRule>
    <cfRule type="cellIs" priority="1155" operator="greaterThan" dxfId="0" stopIfTrue="1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priority="1150" operator="greaterThan" dxfId="1">
      <formula>0.03</formula>
    </cfRule>
    <cfRule type="cellIs" priority="1151" operator="lessThan" dxfId="0" stopIfTrue="1">
      <formula>-0.03</formula>
    </cfRule>
  </conditionalFormatting>
  <conditionalFormatting sqref="AB33">
    <cfRule type="cellIs" priority="1148" operator="lessThan" dxfId="1">
      <formula>-0.03</formula>
    </cfRule>
    <cfRule type="cellIs" priority="1149" operator="greaterThan" dxfId="0" stopIfTrue="1">
      <formula>0.03</formula>
    </cfRule>
  </conditionalFormatting>
  <conditionalFormatting sqref="Z29">
    <cfRule type="cellIs" priority="1146" operator="lessThan" dxfId="1" stopIfTrue="1">
      <formula>-0.01</formula>
    </cfRule>
    <cfRule type="cellIs" priority="1147" operator="greaterThan" dxfId="0" stopIfTrue="1">
      <formula>0.01</formula>
    </cfRule>
  </conditionalFormatting>
  <conditionalFormatting sqref="Z30">
    <cfRule type="cellIs" priority="1144" operator="lessThan" dxfId="1" stopIfTrue="1">
      <formula>-0.01</formula>
    </cfRule>
    <cfRule type="cellIs" priority="1145" operator="greaterThan" dxfId="0" stopIfTrue="1">
      <formula>0.01</formula>
    </cfRule>
  </conditionalFormatting>
  <conditionalFormatting sqref="Z31:Z32">
    <cfRule type="cellIs" priority="1142" operator="lessThan" dxfId="1" stopIfTrue="1">
      <formula>-0.01</formula>
    </cfRule>
    <cfRule type="cellIs" priority="1143" operator="greaterThan" dxfId="0" stopIfTrue="1">
      <formula>0.01</formula>
    </cfRule>
  </conditionalFormatting>
  <conditionalFormatting sqref="Z33">
    <cfRule type="cellIs" priority="1140" operator="lessThan" dxfId="1" stopIfTrue="1">
      <formula>-0.01</formula>
    </cfRule>
    <cfRule type="cellIs" priority="1141" operator="greaterThan" dxfId="0" stopIfTrue="1">
      <formula>0.01</formula>
    </cfRule>
  </conditionalFormatting>
  <conditionalFormatting sqref="V29:V33">
    <cfRule type="cellIs" priority="1138" operator="greaterThan" dxfId="1">
      <formula>0.03</formula>
    </cfRule>
    <cfRule type="cellIs" priority="1139" operator="lessThan" dxfId="0" stopIfTrue="1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priority="1132" operator="lessThan" dxfId="1" stopIfTrue="1">
      <formula>-0.01</formula>
    </cfRule>
    <cfRule type="cellIs" priority="1133" operator="greaterThan" dxfId="0" stopIfTrue="1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priority="1128" operator="greaterThan" dxfId="1">
      <formula>0.03</formula>
    </cfRule>
    <cfRule type="cellIs" priority="1129" operator="lessThan" dxfId="0" stopIfTrue="1">
      <formula>-0.03</formula>
    </cfRule>
  </conditionalFormatting>
  <conditionalFormatting sqref="AB44">
    <cfRule type="cellIs" priority="1126" operator="lessThan" dxfId="1">
      <formula>-0.03</formula>
    </cfRule>
    <cfRule type="cellIs" priority="1127" operator="greaterThan" dxfId="0" stopIfTrue="1">
      <formula>0.03</formula>
    </cfRule>
  </conditionalFormatting>
  <conditionalFormatting sqref="Z40">
    <cfRule type="cellIs" priority="1124" operator="lessThan" dxfId="1" stopIfTrue="1">
      <formula>-0.01</formula>
    </cfRule>
    <cfRule type="cellIs" priority="1125" operator="greaterThan" dxfId="0" stopIfTrue="1">
      <formula>0.01</formula>
    </cfRule>
  </conditionalFormatting>
  <conditionalFormatting sqref="Z41">
    <cfRule type="cellIs" priority="1122" operator="lessThan" dxfId="1" stopIfTrue="1">
      <formula>-0.01</formula>
    </cfRule>
    <cfRule type="cellIs" priority="1123" operator="greaterThan" dxfId="0" stopIfTrue="1">
      <formula>0.01</formula>
    </cfRule>
  </conditionalFormatting>
  <conditionalFormatting sqref="Z42:Z43">
    <cfRule type="cellIs" priority="1120" operator="lessThan" dxfId="1" stopIfTrue="1">
      <formula>-0.01</formula>
    </cfRule>
    <cfRule type="cellIs" priority="1121" operator="greaterThan" dxfId="0" stopIfTrue="1">
      <formula>0.01</formula>
    </cfRule>
  </conditionalFormatting>
  <conditionalFormatting sqref="Z44">
    <cfRule type="cellIs" priority="1118" operator="lessThan" dxfId="1" stopIfTrue="1">
      <formula>-0.01</formula>
    </cfRule>
    <cfRule type="cellIs" priority="1119" operator="greaterThan" dxfId="0" stopIfTrue="1">
      <formula>0.01</formula>
    </cfRule>
  </conditionalFormatting>
  <conditionalFormatting sqref="V40:V44">
    <cfRule type="cellIs" priority="1116" operator="greaterThan" dxfId="1">
      <formula>0.03</formula>
    </cfRule>
    <cfRule type="cellIs" priority="1117" operator="lessThan" dxfId="0" stopIfTrue="1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priority="1110" operator="lessThan" dxfId="1" stopIfTrue="1">
      <formula>-0.01</formula>
    </cfRule>
    <cfRule type="cellIs" priority="1111" operator="greaterThan" dxfId="0" stopIfTrue="1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priority="1106" operator="greaterThan" dxfId="1">
      <formula>0.03</formula>
    </cfRule>
    <cfRule type="cellIs" priority="1107" operator="lessThan" dxfId="0" stopIfTrue="1">
      <formula>-0.03</formula>
    </cfRule>
  </conditionalFormatting>
  <conditionalFormatting sqref="AB55">
    <cfRule type="cellIs" priority="1104" operator="lessThan" dxfId="1">
      <formula>-0.03</formula>
    </cfRule>
    <cfRule type="cellIs" priority="1105" operator="greaterThan" dxfId="0" stopIfTrue="1">
      <formula>0.03</formula>
    </cfRule>
  </conditionalFormatting>
  <conditionalFormatting sqref="Z51">
    <cfRule type="cellIs" priority="1102" operator="lessThan" dxfId="1" stopIfTrue="1">
      <formula>-0.01</formula>
    </cfRule>
    <cfRule type="cellIs" priority="1103" operator="greaterThan" dxfId="0" stopIfTrue="1">
      <formula>0.01</formula>
    </cfRule>
  </conditionalFormatting>
  <conditionalFormatting sqref="Z52">
    <cfRule type="cellIs" priority="1100" operator="lessThan" dxfId="1" stopIfTrue="1">
      <formula>-0.01</formula>
    </cfRule>
    <cfRule type="cellIs" priority="1101" operator="greaterThan" dxfId="0" stopIfTrue="1">
      <formula>0.01</formula>
    </cfRule>
  </conditionalFormatting>
  <conditionalFormatting sqref="Z53:Z54">
    <cfRule type="cellIs" priority="1098" operator="lessThan" dxfId="1" stopIfTrue="1">
      <formula>-0.01</formula>
    </cfRule>
    <cfRule type="cellIs" priority="1099" operator="greaterThan" dxfId="0" stopIfTrue="1">
      <formula>0.01</formula>
    </cfRule>
  </conditionalFormatting>
  <conditionalFormatting sqref="Z55">
    <cfRule type="cellIs" priority="1096" operator="lessThan" dxfId="1" stopIfTrue="1">
      <formula>-0.01</formula>
    </cfRule>
    <cfRule type="cellIs" priority="1097" operator="greaterThan" dxfId="0" stopIfTrue="1">
      <formula>0.01</formula>
    </cfRule>
  </conditionalFormatting>
  <conditionalFormatting sqref="V51:V55">
    <cfRule type="cellIs" priority="1094" operator="greaterThan" dxfId="1">
      <formula>0.03</formula>
    </cfRule>
    <cfRule type="cellIs" priority="1095" operator="lessThan" dxfId="0" stopIfTrue="1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priority="1088" operator="lessThan" dxfId="1" stopIfTrue="1">
      <formula>-0.01</formula>
    </cfRule>
    <cfRule type="cellIs" priority="1089" operator="greaterThan" dxfId="0" stopIfTrue="1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priority="1084" operator="greaterThan" dxfId="1">
      <formula>0.03</formula>
    </cfRule>
    <cfRule type="cellIs" priority="1085" operator="lessThan" dxfId="0" stopIfTrue="1">
      <formula>-0.03</formula>
    </cfRule>
  </conditionalFormatting>
  <conditionalFormatting sqref="AB66">
    <cfRule type="cellIs" priority="1082" operator="lessThan" dxfId="1">
      <formula>-0.03</formula>
    </cfRule>
    <cfRule type="cellIs" priority="1083" operator="greaterThan" dxfId="0" stopIfTrue="1">
      <formula>0.03</formula>
    </cfRule>
  </conditionalFormatting>
  <conditionalFormatting sqref="Z62">
    <cfRule type="cellIs" priority="1080" operator="lessThan" dxfId="1" stopIfTrue="1">
      <formula>-0.01</formula>
    </cfRule>
    <cfRule type="cellIs" priority="1081" operator="greaterThan" dxfId="0" stopIfTrue="1">
      <formula>0.01</formula>
    </cfRule>
  </conditionalFormatting>
  <conditionalFormatting sqref="Z63">
    <cfRule type="cellIs" priority="1078" operator="lessThan" dxfId="1" stopIfTrue="1">
      <formula>-0.01</formula>
    </cfRule>
    <cfRule type="cellIs" priority="1079" operator="greaterThan" dxfId="0" stopIfTrue="1">
      <formula>0.01</formula>
    </cfRule>
  </conditionalFormatting>
  <conditionalFormatting sqref="Z64:Z65">
    <cfRule type="cellIs" priority="1076" operator="lessThan" dxfId="1" stopIfTrue="1">
      <formula>-0.01</formula>
    </cfRule>
    <cfRule type="cellIs" priority="1077" operator="greaterThan" dxfId="0" stopIfTrue="1">
      <formula>0.01</formula>
    </cfRule>
  </conditionalFormatting>
  <conditionalFormatting sqref="Z66">
    <cfRule type="cellIs" priority="1074" operator="lessThan" dxfId="1" stopIfTrue="1">
      <formula>-0.01</formula>
    </cfRule>
    <cfRule type="cellIs" priority="1075" operator="greaterThan" dxfId="0" stopIfTrue="1">
      <formula>0.01</formula>
    </cfRule>
  </conditionalFormatting>
  <conditionalFormatting sqref="V62:V66">
    <cfRule type="cellIs" priority="1072" operator="greaterThan" dxfId="1">
      <formula>0.03</formula>
    </cfRule>
    <cfRule type="cellIs" priority="1073" operator="lessThan" dxfId="0" stopIfTrue="1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priority="1066" operator="lessThan" dxfId="1" stopIfTrue="1">
      <formula>-0.01</formula>
    </cfRule>
    <cfRule type="cellIs" priority="1067" operator="greaterThan" dxfId="0" stopIfTrue="1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priority="1062" operator="greaterThan" dxfId="1">
      <formula>0.03</formula>
    </cfRule>
    <cfRule type="cellIs" priority="1063" operator="lessThan" dxfId="0" stopIfTrue="1">
      <formula>-0.03</formula>
    </cfRule>
  </conditionalFormatting>
  <conditionalFormatting sqref="AB77">
    <cfRule type="cellIs" priority="1060" operator="lessThan" dxfId="1">
      <formula>-0.03</formula>
    </cfRule>
    <cfRule type="cellIs" priority="1061" operator="greaterThan" dxfId="0" stopIfTrue="1">
      <formula>0.03</formula>
    </cfRule>
  </conditionalFormatting>
  <conditionalFormatting sqref="Z73">
    <cfRule type="cellIs" priority="1058" operator="lessThan" dxfId="1" stopIfTrue="1">
      <formula>-0.01</formula>
    </cfRule>
    <cfRule type="cellIs" priority="1059" operator="greaterThan" dxfId="0" stopIfTrue="1">
      <formula>0.01</formula>
    </cfRule>
  </conditionalFormatting>
  <conditionalFormatting sqref="Z74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Z75:Z76">
    <cfRule type="cellIs" priority="1054" operator="lessThan" dxfId="1" stopIfTrue="1">
      <formula>-0.01</formula>
    </cfRule>
    <cfRule type="cellIs" priority="1055" operator="greaterThan" dxfId="0" stopIfTrue="1">
      <formula>0.01</formula>
    </cfRule>
  </conditionalFormatting>
  <conditionalFormatting sqref="Z77">
    <cfRule type="cellIs" priority="1052" operator="lessThan" dxfId="1" stopIfTrue="1">
      <formula>-0.01</formula>
    </cfRule>
    <cfRule type="cellIs" priority="1053" operator="greaterThan" dxfId="0" stopIfTrue="1">
      <formula>0.01</formula>
    </cfRule>
  </conditionalFormatting>
  <conditionalFormatting sqref="V73:V77">
    <cfRule type="cellIs" priority="1050" operator="greaterThan" dxfId="1">
      <formula>0.03</formula>
    </cfRule>
    <cfRule type="cellIs" priority="1051" operator="lessThan" dxfId="0" stopIfTrue="1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priority="987" operator="greaterThan" dxfId="1">
      <formula>0.03</formula>
    </cfRule>
    <cfRule type="cellIs" priority="988" operator="lessThan" dxfId="0" stopIfTrue="1">
      <formula>-0.03</formula>
    </cfRule>
  </conditionalFormatting>
  <conditionalFormatting sqref="AB119">
    <cfRule type="cellIs" priority="985" operator="lessThan" dxfId="1">
      <formula>-0.03</formula>
    </cfRule>
    <cfRule type="cellIs" priority="986" operator="greaterThan" dxfId="0" stopIfTrue="1">
      <formula>0.03</formula>
    </cfRule>
  </conditionalFormatting>
  <conditionalFormatting sqref="AB126">
    <cfRule type="cellIs" priority="983" operator="greaterThan" dxfId="1">
      <formula>0.03</formula>
    </cfRule>
    <cfRule type="cellIs" priority="984" operator="lessThan" dxfId="0" stopIfTrue="1">
      <formula>-0.03</formula>
    </cfRule>
  </conditionalFormatting>
  <conditionalFormatting sqref="AB129">
    <cfRule type="cellIs" priority="981" operator="lessThan" dxfId="1">
      <formula>-0.03</formula>
    </cfRule>
    <cfRule type="cellIs" priority="982" operator="greaterThan" dxfId="0" stopIfTrue="1">
      <formula>0.03</formula>
    </cfRule>
  </conditionalFormatting>
  <conditionalFormatting sqref="AB136">
    <cfRule type="cellIs" priority="979" operator="greaterThan" dxfId="1">
      <formula>0.03</formula>
    </cfRule>
    <cfRule type="cellIs" priority="980" operator="lessThan" dxfId="0" stopIfTrue="1">
      <formula>-0.03</formula>
    </cfRule>
  </conditionalFormatting>
  <conditionalFormatting sqref="AB139">
    <cfRule type="cellIs" priority="977" operator="lessThan" dxfId="1">
      <formula>-0.03</formula>
    </cfRule>
    <cfRule type="cellIs" priority="978" operator="greaterThan" dxfId="0" stopIfTrue="1">
      <formula>0.03</formula>
    </cfRule>
  </conditionalFormatting>
  <conditionalFormatting sqref="AB146">
    <cfRule type="cellIs" priority="975" operator="greaterThan" dxfId="1">
      <formula>0.03</formula>
    </cfRule>
    <cfRule type="cellIs" priority="976" operator="lessThan" dxfId="0" stopIfTrue="1">
      <formula>-0.03</formula>
    </cfRule>
  </conditionalFormatting>
  <conditionalFormatting sqref="AB149">
    <cfRule type="cellIs" priority="973" operator="lessThan" dxfId="1">
      <formula>-0.03</formula>
    </cfRule>
    <cfRule type="cellIs" priority="974" operator="greaterThan" dxfId="0" stopIfTrue="1">
      <formula>0.03</formula>
    </cfRule>
  </conditionalFormatting>
  <conditionalFormatting sqref="AB156">
    <cfRule type="cellIs" priority="971" operator="greaterThan" dxfId="1">
      <formula>0.03</formula>
    </cfRule>
    <cfRule type="cellIs" priority="972" operator="lessThan" dxfId="0" stopIfTrue="1">
      <formula>-0.03</formula>
    </cfRule>
  </conditionalFormatting>
  <conditionalFormatting sqref="AB159">
    <cfRule type="cellIs" priority="969" operator="lessThan" dxfId="1">
      <formula>-0.03</formula>
    </cfRule>
    <cfRule type="cellIs" priority="970" operator="greaterThan" dxfId="0" stopIfTrue="1">
      <formula>0.03</formula>
    </cfRule>
  </conditionalFormatting>
  <conditionalFormatting sqref="AB166">
    <cfRule type="cellIs" priority="967" operator="greaterThan" dxfId="1">
      <formula>0.03</formula>
    </cfRule>
    <cfRule type="cellIs" priority="968" operator="lessThan" dxfId="0" stopIfTrue="1">
      <formula>-0.03</formula>
    </cfRule>
  </conditionalFormatting>
  <conditionalFormatting sqref="AB169">
    <cfRule type="cellIs" priority="965" operator="lessThan" dxfId="1">
      <formula>-0.03</formula>
    </cfRule>
    <cfRule type="cellIs" priority="966" operator="greaterThan" dxfId="0" stopIfTrue="1">
      <formula>0.03</formula>
    </cfRule>
  </conditionalFormatting>
  <conditionalFormatting sqref="AB176">
    <cfRule type="cellIs" priority="963" operator="greaterThan" dxfId="1">
      <formula>0.03</formula>
    </cfRule>
    <cfRule type="cellIs" priority="964" operator="lessThan" dxfId="0" stopIfTrue="1">
      <formula>-0.03</formula>
    </cfRule>
  </conditionalFormatting>
  <conditionalFormatting sqref="AB179">
    <cfRule type="cellIs" priority="961" operator="lessThan" dxfId="1">
      <formula>-0.03</formula>
    </cfRule>
    <cfRule type="cellIs" priority="962" operator="greaterThan" dxfId="0" stopIfTrue="1">
      <formula>0.03</formula>
    </cfRule>
  </conditionalFormatting>
  <conditionalFormatting sqref="AB186">
    <cfRule type="cellIs" priority="959" operator="greaterThan" dxfId="1">
      <formula>0.03</formula>
    </cfRule>
    <cfRule type="cellIs" priority="960" operator="lessThan" dxfId="0" stopIfTrue="1">
      <formula>-0.03</formula>
    </cfRule>
  </conditionalFormatting>
  <conditionalFormatting sqref="AB189">
    <cfRule type="cellIs" priority="957" operator="lessThan" dxfId="1">
      <formula>-0.03</formula>
    </cfRule>
    <cfRule type="cellIs" priority="958" operator="greaterThan" dxfId="0" stopIfTrue="1">
      <formula>0.03</formula>
    </cfRule>
  </conditionalFormatting>
  <conditionalFormatting sqref="AB196">
    <cfRule type="cellIs" priority="955" operator="greaterThan" dxfId="1">
      <formula>0.03</formula>
    </cfRule>
    <cfRule type="cellIs" priority="956" operator="lessThan" dxfId="0" stopIfTrue="1">
      <formula>-0.03</formula>
    </cfRule>
  </conditionalFormatting>
  <conditionalFormatting sqref="AB199">
    <cfRule type="cellIs" priority="953" operator="lessThan" dxfId="1">
      <formula>-0.03</formula>
    </cfRule>
    <cfRule type="cellIs" priority="954" operator="greaterThan" dxfId="0" stopIfTrue="1">
      <formula>0.03</formula>
    </cfRule>
  </conditionalFormatting>
  <conditionalFormatting sqref="AB206">
    <cfRule type="cellIs" priority="951" operator="greaterThan" dxfId="1">
      <formula>0.03</formula>
    </cfRule>
    <cfRule type="cellIs" priority="952" operator="lessThan" dxfId="0" stopIfTrue="1">
      <formula>-0.03</formula>
    </cfRule>
  </conditionalFormatting>
  <conditionalFormatting sqref="AB209">
    <cfRule type="cellIs" priority="949" operator="lessThan" dxfId="1">
      <formula>-0.03</formula>
    </cfRule>
    <cfRule type="cellIs" priority="950" operator="greaterThan" dxfId="0" stopIfTrue="1">
      <formula>0.03</formula>
    </cfRule>
  </conditionalFormatting>
  <conditionalFormatting sqref="Z220:Z221">
    <cfRule type="cellIs" priority="946" operator="lessThan" dxfId="1" stopIfTrue="1">
      <formula>-0.01</formula>
    </cfRule>
    <cfRule type="cellIs" priority="947" operator="greaterThan" dxfId="0" stopIfTrue="1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priority="941" operator="greaterThan" dxfId="1">
      <formula>0.03</formula>
    </cfRule>
    <cfRule type="cellIs" priority="942" operator="lessThan" dxfId="0" stopIfTrue="1">
      <formula>-0.03</formula>
    </cfRule>
  </conditionalFormatting>
  <conditionalFormatting sqref="AB219">
    <cfRule type="cellIs" priority="939" operator="lessThan" dxfId="1">
      <formula>-0.03</formula>
    </cfRule>
    <cfRule type="cellIs" priority="940" operator="greaterThan" dxfId="0" stopIfTrue="1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priority="936" operator="lessThan" dxfId="1" stopIfTrue="1">
      <formula>-0.01</formula>
    </cfRule>
    <cfRule type="cellIs" priority="937" operator="greaterThan" dxfId="0" stopIfTrue="1">
      <formula>0.01</formula>
    </cfRule>
  </conditionalFormatting>
  <conditionalFormatting sqref="Z217">
    <cfRule type="cellIs" priority="934" operator="lessThan" dxfId="1" stopIfTrue="1">
      <formula>-0.01</formula>
    </cfRule>
    <cfRule type="cellIs" priority="935" operator="greaterThan" dxfId="0" stopIfTrue="1">
      <formula>0.01</formula>
    </cfRule>
  </conditionalFormatting>
  <conditionalFormatting sqref="Z218">
    <cfRule type="cellIs" priority="932" operator="lessThan" dxfId="1" stopIfTrue="1">
      <formula>-0.01</formula>
    </cfRule>
    <cfRule type="cellIs" priority="933" operator="greaterThan" dxfId="0" stopIfTrue="1">
      <formula>0.01</formula>
    </cfRule>
  </conditionalFormatting>
  <conditionalFormatting sqref="Z219">
    <cfRule type="cellIs" priority="930" operator="lessThan" dxfId="1" stopIfTrue="1">
      <formula>-0.01</formula>
    </cfRule>
    <cfRule type="cellIs" priority="931" operator="greaterThan" dxfId="0" stopIfTrue="1">
      <formula>0.01</formula>
    </cfRule>
  </conditionalFormatting>
  <conditionalFormatting sqref="V216:V219">
    <cfRule type="cellIs" priority="928" operator="greaterThan" dxfId="1">
      <formula>0.03</formula>
    </cfRule>
    <cfRule type="cellIs" priority="929" operator="lessThan" dxfId="0" stopIfTrue="1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AB84">
    <cfRule type="cellIs" priority="645" operator="greaterThan" dxfId="1">
      <formula>0.03</formula>
    </cfRule>
    <cfRule type="cellIs" priority="646" operator="lessThan" dxfId="0" stopIfTrue="1">
      <formula>-0.03</formula>
    </cfRule>
  </conditionalFormatting>
  <conditionalFormatting sqref="AB88">
    <cfRule type="cellIs" priority="643" operator="lessThan" dxfId="1">
      <formula>-0.03</formula>
    </cfRule>
    <cfRule type="cellIs" priority="644" operator="greaterThan" dxfId="0" stopIfTrue="1">
      <formula>0.03</formula>
    </cfRule>
  </conditionalFormatting>
  <conditionalFormatting sqref="Z84">
    <cfRule type="cellIs" priority="641" operator="lessThan" dxfId="1" stopIfTrue="1">
      <formula>-0.01</formula>
    </cfRule>
    <cfRule type="cellIs" priority="642" operator="greaterThan" dxfId="0" stopIfTrue="1">
      <formula>0.01</formula>
    </cfRule>
  </conditionalFormatting>
  <conditionalFormatting sqref="Z85">
    <cfRule type="cellIs" priority="639" operator="lessThan" dxfId="1" stopIfTrue="1">
      <formula>-0.01</formula>
    </cfRule>
    <cfRule type="cellIs" priority="640" operator="greaterThan" dxfId="0" stopIfTrue="1">
      <formula>0.01</formula>
    </cfRule>
  </conditionalFormatting>
  <conditionalFormatting sqref="Z86:Z87">
    <cfRule type="cellIs" priority="637" operator="lessThan" dxfId="1" stopIfTrue="1">
      <formula>-0.01</formula>
    </cfRule>
    <cfRule type="cellIs" priority="638" operator="greaterThan" dxfId="0" stopIfTrue="1">
      <formula>0.01</formula>
    </cfRule>
  </conditionalFormatting>
  <conditionalFormatting sqref="Z88">
    <cfRule type="cellIs" priority="635" operator="lessThan" dxfId="1" stopIfTrue="1">
      <formula>-0.01</formula>
    </cfRule>
    <cfRule type="cellIs" priority="636" operator="greaterThan" dxfId="0" stopIfTrue="1">
      <formula>0.01</formula>
    </cfRule>
  </conditionalFormatting>
  <conditionalFormatting sqref="V84:V88">
    <cfRule type="cellIs" priority="633" operator="greaterThan" dxfId="1">
      <formula>0.03</formula>
    </cfRule>
    <cfRule type="cellIs" priority="634" operator="lessThan" dxfId="0" stopIfTrue="1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priority="597" operator="lessThan" dxfId="1" stopIfTrue="1">
      <formula>-0.01</formula>
    </cfRule>
    <cfRule type="cellIs" priority="598" operator="greaterThan" dxfId="0" stopIfTrue="1">
      <formula>0.01</formula>
    </cfRule>
  </conditionalFormatting>
  <conditionalFormatting sqref="AB95">
    <cfRule type="cellIs" priority="594" operator="greaterThan" dxfId="1">
      <formula>0.03</formula>
    </cfRule>
    <cfRule type="cellIs" priority="595" operator="lessThan" dxfId="0" stopIfTrue="1">
      <formula>-0.03</formula>
    </cfRule>
  </conditionalFormatting>
  <conditionalFormatting sqref="AB99">
    <cfRule type="cellIs" priority="592" operator="lessThan" dxfId="1">
      <formula>-0.03</formula>
    </cfRule>
    <cfRule type="cellIs" priority="593" operator="greaterThan" dxfId="0" stopIfTrue="1">
      <formula>0.03</formula>
    </cfRule>
  </conditionalFormatting>
  <conditionalFormatting sqref="Z95">
    <cfRule type="cellIs" priority="590" operator="lessThan" dxfId="1" stopIfTrue="1">
      <formula>-0.01</formula>
    </cfRule>
    <cfRule type="cellIs" priority="591" operator="greaterThan" dxfId="0" stopIfTrue="1">
      <formula>0.01</formula>
    </cfRule>
  </conditionalFormatting>
  <conditionalFormatting sqref="Z96">
    <cfRule type="cellIs" priority="588" operator="lessThan" dxfId="1" stopIfTrue="1">
      <formula>-0.01</formula>
    </cfRule>
    <cfRule type="cellIs" priority="589" operator="greaterThan" dxfId="0" stopIfTrue="1">
      <formula>0.01</formula>
    </cfRule>
  </conditionalFormatting>
  <conditionalFormatting sqref="Z97:Z98">
    <cfRule type="cellIs" priority="586" operator="lessThan" dxfId="1" stopIfTrue="1">
      <formula>-0.01</formula>
    </cfRule>
    <cfRule type="cellIs" priority="587" operator="greaterThan" dxfId="0" stopIfTrue="1">
      <formula>0.01</formula>
    </cfRule>
  </conditionalFormatting>
  <conditionalFormatting sqref="Z99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V95:V99">
    <cfRule type="cellIs" priority="582" operator="greaterThan" dxfId="1">
      <formula>0.03</formula>
    </cfRule>
    <cfRule type="cellIs" priority="583" operator="lessThan" dxfId="0" stopIfTrue="1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priority="546" operator="lessThan" dxfId="1" stopIfTrue="1">
      <formula>-0.01</formula>
    </cfRule>
    <cfRule type="cellIs" priority="547" operator="greaterThan" dxfId="0" stopIfTrue="1">
      <formula>0.01</formula>
    </cfRule>
  </conditionalFormatting>
  <conditionalFormatting sqref="AB106">
    <cfRule type="cellIs" priority="543" operator="greaterThan" dxfId="1">
      <formula>0.03</formula>
    </cfRule>
    <cfRule type="cellIs" priority="544" operator="lessThan" dxfId="0" stopIfTrue="1">
      <formula>-0.03</formula>
    </cfRule>
  </conditionalFormatting>
  <conditionalFormatting sqref="AB110">
    <cfRule type="cellIs" priority="541" operator="lessThan" dxfId="1">
      <formula>-0.03</formula>
    </cfRule>
    <cfRule type="cellIs" priority="542" operator="greaterThan" dxfId="0" stopIfTrue="1">
      <formula>0.03</formula>
    </cfRule>
  </conditionalFormatting>
  <conditionalFormatting sqref="Z106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Z107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Z108:Z109">
    <cfRule type="cellIs" priority="535" operator="lessThan" dxfId="1" stopIfTrue="1">
      <formula>-0.01</formula>
    </cfRule>
    <cfRule type="cellIs" priority="536" operator="greaterThan" dxfId="0" stopIfTrue="1">
      <formula>0.01</formula>
    </cfRule>
  </conditionalFormatting>
  <conditionalFormatting sqref="Z110">
    <cfRule type="cellIs" priority="533" operator="lessThan" dxfId="1" stopIfTrue="1">
      <formula>-0.01</formula>
    </cfRule>
    <cfRule type="cellIs" priority="534" operator="greaterThan" dxfId="0" stopIfTrue="1">
      <formula>0.01</formula>
    </cfRule>
  </conditionalFormatting>
  <conditionalFormatting sqref="V106:V110">
    <cfRule type="cellIs" priority="531" operator="greaterThan" dxfId="1">
      <formula>0.03</formula>
    </cfRule>
    <cfRule type="cellIs" priority="532" operator="lessThan" dxfId="0" stopIfTrue="1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priority="422" operator="greaterThan" dxfId="1">
      <formula>0.03</formula>
    </cfRule>
    <cfRule type="cellIs" priority="423" operator="lessThan" dxfId="0" stopIfTrue="1">
      <formula>-0.03</formula>
    </cfRule>
  </conditionalFormatting>
  <conditionalFormatting sqref="AB11">
    <cfRule type="cellIs" priority="420" operator="lessThan" dxfId="1">
      <formula>-0.03</formula>
    </cfRule>
    <cfRule type="cellIs" priority="421" operator="greaterThan" dxfId="0" stopIfTrue="1">
      <formula>0.03</formula>
    </cfRule>
  </conditionalFormatting>
  <conditionalFormatting sqref="Z7">
    <cfRule type="cellIs" priority="418" operator="lessThan" dxfId="1" stopIfTrue="1">
      <formula>-0.01</formula>
    </cfRule>
    <cfRule type="cellIs" priority="419" operator="greaterThan" dxfId="0" stopIfTrue="1">
      <formula>0.01</formula>
    </cfRule>
  </conditionalFormatting>
  <conditionalFormatting sqref="Z8">
    <cfRule type="cellIs" priority="416" operator="lessThan" dxfId="1" stopIfTrue="1">
      <formula>-0.01</formula>
    </cfRule>
    <cfRule type="cellIs" priority="417" operator="greaterThan" dxfId="0" stopIfTrue="1">
      <formula>0.01</formula>
    </cfRule>
  </conditionalFormatting>
  <conditionalFormatting sqref="Z9:Z10">
    <cfRule type="cellIs" priority="414" operator="lessThan" dxfId="1" stopIfTrue="1">
      <formula>-0.01</formula>
    </cfRule>
    <cfRule type="cellIs" priority="415" operator="greaterThan" dxfId="0" stopIfTrue="1">
      <formula>0.01</formula>
    </cfRule>
  </conditionalFormatting>
  <conditionalFormatting sqref="Z11">
    <cfRule type="cellIs" priority="412" operator="lessThan" dxfId="1" stopIfTrue="1">
      <formula>-0.01</formula>
    </cfRule>
    <cfRule type="cellIs" priority="413" operator="greaterThan" dxfId="0" stopIfTrue="1">
      <formula>0.01</formula>
    </cfRule>
  </conditionalFormatting>
  <conditionalFormatting sqref="V7:V11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priority="364" operator="greaterThan" dxfId="1">
      <formula>0.03</formula>
    </cfRule>
    <cfRule type="cellIs" priority="365" operator="lessThan" dxfId="0" stopIfTrue="1">
      <formula>-0.03</formula>
    </cfRule>
  </conditionalFormatting>
  <conditionalFormatting sqref="N12">
    <cfRule type="cellIs" priority="362" operator="lessThan" dxfId="1" stopIfTrue="1">
      <formula>-0.01</formula>
    </cfRule>
    <cfRule type="cellIs" priority="363" operator="greaterThan" dxfId="0" stopIfTrue="1">
      <formula>0.01</formula>
    </cfRule>
  </conditionalFormatting>
  <conditionalFormatting sqref="N7">
    <cfRule type="cellIs" priority="360" operator="lessThan" dxfId="1" stopIfTrue="1">
      <formula>-0.01</formula>
    </cfRule>
    <cfRule type="cellIs" priority="361" operator="greaterThan" dxfId="0" stopIfTrue="1">
      <formula>0.01</formula>
    </cfRule>
  </conditionalFormatting>
  <conditionalFormatting sqref="N8">
    <cfRule type="cellIs" priority="358" operator="lessThan" dxfId="1" stopIfTrue="1">
      <formula>-0.01</formula>
    </cfRule>
    <cfRule type="cellIs" priority="359" operator="greaterThan" dxfId="0" stopIfTrue="1">
      <formula>0.01</formula>
    </cfRule>
  </conditionalFormatting>
  <conditionalFormatting sqref="N9:N11">
    <cfRule type="cellIs" priority="356" operator="lessThan" dxfId="1" stopIfTrue="1">
      <formula>-0.01</formula>
    </cfRule>
    <cfRule type="cellIs" priority="357" operator="greaterThan" dxfId="0" stopIfTrue="1">
      <formula>0.01</formula>
    </cfRule>
  </conditionalFormatting>
  <conditionalFormatting sqref="P7">
    <cfRule type="cellIs" priority="352" operator="greaterThan" dxfId="1">
      <formula>0.03</formula>
    </cfRule>
    <cfRule type="cellIs" priority="353" operator="lessThan" dxfId="0" stopIfTrue="1">
      <formula>-0.03</formula>
    </cfRule>
  </conditionalFormatting>
  <conditionalFormatting sqref="P11">
    <cfRule type="cellIs" priority="350" operator="lessThan" dxfId="1">
      <formula>-0.03</formula>
    </cfRule>
    <cfRule type="cellIs" priority="351" operator="greaterThan" dxfId="0" stopIfTrue="1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priority="319" operator="lessThan" dxfId="1" stopIfTrue="1">
      <formula>-0.01</formula>
    </cfRule>
    <cfRule type="cellIs" priority="320" operator="greaterThan" dxfId="0" stopIfTrue="1">
      <formula>0.01</formula>
    </cfRule>
  </conditionalFormatting>
  <conditionalFormatting sqref="J18:J22">
    <cfRule type="cellIs" priority="317" operator="greaterThan" dxfId="1">
      <formula>0.03</formula>
    </cfRule>
    <cfRule type="cellIs" priority="318" operator="lessThan" dxfId="0" stopIfTrue="1">
      <formula>-0.03</formula>
    </cfRule>
  </conditionalFormatting>
  <conditionalFormatting sqref="N23">
    <cfRule type="cellIs" priority="315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N18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N19">
    <cfRule type="cellIs" priority="311" operator="lessThan" dxfId="1" stopIfTrue="1">
      <formula>-0.01</formula>
    </cfRule>
    <cfRule type="cellIs" priority="312" operator="greaterThan" dxfId="0" stopIfTrue="1">
      <formula>0.01</formula>
    </cfRule>
  </conditionalFormatting>
  <conditionalFormatting sqref="N20:N22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P18">
    <cfRule type="cellIs" priority="307" operator="greaterThan" dxfId="1">
      <formula>0.03</formula>
    </cfRule>
    <cfRule type="cellIs" priority="308" operator="lessThan" dxfId="0" stopIfTrue="1">
      <formula>-0.03</formula>
    </cfRule>
  </conditionalFormatting>
  <conditionalFormatting sqref="P22">
    <cfRule type="cellIs" priority="305" operator="lessThan" dxfId="1">
      <formula>-0.03</formula>
    </cfRule>
    <cfRule type="cellIs" priority="306" operator="greaterThan" dxfId="0" stopIfTrue="1">
      <formula>0.03</formula>
    </cfRule>
  </conditionalFormatting>
  <conditionalFormatting sqref="N35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J29:J33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N34">
    <cfRule type="cellIs" priority="299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29">
    <cfRule type="cellIs" priority="297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N30">
    <cfRule type="cellIs" priority="295" operator="lessThan" dxfId="1" stopIfTrue="1">
      <formula>-0.01</formula>
    </cfRule>
    <cfRule type="cellIs" priority="296" operator="greaterThan" dxfId="0" stopIfTrue="1">
      <formula>0.01</formula>
    </cfRule>
  </conditionalFormatting>
  <conditionalFormatting sqref="N31:N33">
    <cfRule type="cellIs" priority="293" operator="lessThan" dxfId="1" stopIfTrue="1">
      <formula>-0.01</formula>
    </cfRule>
    <cfRule type="cellIs" priority="294" operator="greaterThan" dxfId="0" stopIfTrue="1">
      <formula>0.01</formula>
    </cfRule>
  </conditionalFormatting>
  <conditionalFormatting sqref="P29">
    <cfRule type="cellIs" priority="291" operator="greaterThan" dxfId="1">
      <formula>0.03</formula>
    </cfRule>
    <cfRule type="cellIs" priority="292" operator="lessThan" dxfId="0" stopIfTrue="1">
      <formula>-0.03</formula>
    </cfRule>
  </conditionalFormatting>
  <conditionalFormatting sqref="P33">
    <cfRule type="cellIs" priority="289" operator="lessThan" dxfId="1">
      <formula>-0.03</formula>
    </cfRule>
    <cfRule type="cellIs" priority="290" operator="greaterThan" dxfId="0" stopIfTrue="1">
      <formula>0.03</formula>
    </cfRule>
  </conditionalFormatting>
  <conditionalFormatting sqref="N46">
    <cfRule type="cellIs" priority="287" operator="lessThan" dxfId="1" stopIfTrue="1">
      <formula>-0.01</formula>
    </cfRule>
    <cfRule type="cellIs" priority="288" operator="greaterThan" dxfId="0" stopIfTrue="1">
      <formula>0.01</formula>
    </cfRule>
  </conditionalFormatting>
  <conditionalFormatting sqref="J40:J44">
    <cfRule type="cellIs" priority="285" operator="greaterThan" dxfId="1">
      <formula>0.03</formula>
    </cfRule>
    <cfRule type="cellIs" priority="286" operator="lessThan" dxfId="0" stopIfTrue="1">
      <formula>-0.03</formula>
    </cfRule>
  </conditionalFormatting>
  <conditionalFormatting sqref="N45">
    <cfRule type="cellIs" priority="283" operator="lessThan" dxfId="1" stopIfTrue="1">
      <formula>-0.01</formula>
    </cfRule>
    <cfRule type="cellIs" priority="284" operator="greaterThan" dxfId="0" stopIfTrue="1">
      <formula>0.01</formula>
    </cfRule>
  </conditionalFormatting>
  <conditionalFormatting sqref="N40">
    <cfRule type="cellIs" priority="281" operator="lessThan" dxfId="1" stopIfTrue="1">
      <formula>-0.01</formula>
    </cfRule>
    <cfRule type="cellIs" priority="282" operator="greaterThan" dxfId="0" stopIfTrue="1">
      <formula>0.01</formula>
    </cfRule>
  </conditionalFormatting>
  <conditionalFormatting sqref="N41">
    <cfRule type="cellIs" priority="279" operator="lessThan" dxfId="1" stopIfTrue="1">
      <formula>-0.01</formula>
    </cfRule>
    <cfRule type="cellIs" priority="280" operator="greaterThan" dxfId="0" stopIfTrue="1">
      <formula>0.01</formula>
    </cfRule>
  </conditionalFormatting>
  <conditionalFormatting sqref="N42:N44">
    <cfRule type="cellIs" priority="277" operator="lessThan" dxfId="1" stopIfTrue="1">
      <formula>-0.01</formula>
    </cfRule>
    <cfRule type="cellIs" priority="278" operator="greaterThan" dxfId="0" stopIfTrue="1">
      <formula>0.01</formula>
    </cfRule>
  </conditionalFormatting>
  <conditionalFormatting sqref="P40">
    <cfRule type="cellIs" priority="275" operator="greaterThan" dxfId="1">
      <formula>0.03</formula>
    </cfRule>
    <cfRule type="cellIs" priority="276" operator="lessThan" dxfId="0" stopIfTrue="1">
      <formula>-0.03</formula>
    </cfRule>
  </conditionalFormatting>
  <conditionalFormatting sqref="P44">
    <cfRule type="cellIs" priority="273" operator="lessThan" dxfId="1">
      <formula>-0.03</formula>
    </cfRule>
    <cfRule type="cellIs" priority="274" operator="greaterThan" dxfId="0" stopIfTrue="1">
      <formula>0.03</formula>
    </cfRule>
  </conditionalFormatting>
  <conditionalFormatting sqref="N57">
    <cfRule type="cellIs" priority="271" operator="lessThan" dxfId="1" stopIfTrue="1">
      <formula>-0.01</formula>
    </cfRule>
    <cfRule type="cellIs" priority="272" operator="greaterThan" dxfId="0" stopIfTrue="1">
      <formula>0.01</formula>
    </cfRule>
  </conditionalFormatting>
  <conditionalFormatting sqref="J51:J55">
    <cfRule type="cellIs" priority="269" operator="greaterThan" dxfId="1">
      <formula>0.03</formula>
    </cfRule>
    <cfRule type="cellIs" priority="270" operator="lessThan" dxfId="0" stopIfTrue="1">
      <formula>-0.03</formula>
    </cfRule>
  </conditionalFormatting>
  <conditionalFormatting sqref="N56">
    <cfRule type="cellIs" priority="267" operator="lessThan" dxfId="1" stopIfTrue="1">
      <formula>-0.01</formula>
    </cfRule>
    <cfRule type="cellIs" priority="268" operator="greaterThan" dxfId="0" stopIfTrue="1">
      <formula>0.01</formula>
    </cfRule>
  </conditionalFormatting>
  <conditionalFormatting sqref="N51">
    <cfRule type="cellIs" priority="265" operator="lessThan" dxfId="1" stopIfTrue="1">
      <formula>-0.01</formula>
    </cfRule>
    <cfRule type="cellIs" priority="266" operator="greaterThan" dxfId="0" stopIfTrue="1">
      <formula>0.01</formula>
    </cfRule>
  </conditionalFormatting>
  <conditionalFormatting sqref="N52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53:N5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P51">
    <cfRule type="cellIs" priority="259" operator="greaterThan" dxfId="1">
      <formula>0.03</formula>
    </cfRule>
    <cfRule type="cellIs" priority="260" operator="lessThan" dxfId="0" stopIfTrue="1">
      <formula>-0.03</formula>
    </cfRule>
  </conditionalFormatting>
  <conditionalFormatting sqref="P55">
    <cfRule type="cellIs" priority="257" operator="lessThan" dxfId="1">
      <formula>-0.03</formula>
    </cfRule>
    <cfRule type="cellIs" priority="258" operator="greaterThan" dxfId="0" stopIfTrue="1">
      <formula>0.03</formula>
    </cfRule>
  </conditionalFormatting>
  <conditionalFormatting sqref="N68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J62:J66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N67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N62">
    <cfRule type="cellIs" priority="249" operator="lessThan" dxfId="1" stopIfTrue="1">
      <formula>-0.01</formula>
    </cfRule>
    <cfRule type="cellIs" priority="250" operator="greaterThan" dxfId="0" stopIfTrue="1">
      <formula>0.01</formula>
    </cfRule>
  </conditionalFormatting>
  <conditionalFormatting sqref="N63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N64:N66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P62">
    <cfRule type="cellIs" priority="243" operator="greaterThan" dxfId="1">
      <formula>0.03</formula>
    </cfRule>
    <cfRule type="cellIs" priority="244" operator="lessThan" dxfId="0" stopIfTrue="1">
      <formula>-0.03</formula>
    </cfRule>
  </conditionalFormatting>
  <conditionalFormatting sqref="P66">
    <cfRule type="cellIs" priority="241" operator="lessThan" dxfId="1">
      <formula>-0.03</formula>
    </cfRule>
    <cfRule type="cellIs" priority="242" operator="greaterThan" dxfId="0" stopIfTrue="1">
      <formula>0.03</formula>
    </cfRule>
  </conditionalFormatting>
  <conditionalFormatting sqref="N79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J73:J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N78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3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4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N75:N77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P73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P77">
    <cfRule type="cellIs" priority="225" operator="lessThan" dxfId="1">
      <formula>-0.03</formula>
    </cfRule>
    <cfRule type="cellIs" priority="226" operator="greaterThan" dxfId="0" stopIfTrue="1">
      <formula>0.03</formula>
    </cfRule>
  </conditionalFormatting>
  <conditionalFormatting sqref="N90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J84:J88">
    <cfRule type="cellIs" priority="221" operator="greaterThan" dxfId="1">
      <formula>0.03</formula>
    </cfRule>
    <cfRule type="cellIs" priority="222" operator="lessThan" dxfId="0" stopIfTrue="1">
      <formula>-0.03</formula>
    </cfRule>
  </conditionalFormatting>
  <conditionalFormatting sqref="N89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84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N85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6:N88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P84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P88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N101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J95:J99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N100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N95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N96">
    <cfRule type="cellIs" priority="199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N97:N99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P95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P99">
    <cfRule type="cellIs" priority="193" operator="lessThan" dxfId="1">
      <formula>-0.03</formula>
    </cfRule>
    <cfRule type="cellIs" priority="194" operator="greaterThan" dxfId="0" stopIfTrue="1">
      <formula>0.03</formula>
    </cfRule>
  </conditionalFormatting>
  <conditionalFormatting sqref="N112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J106:J110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N111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106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107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N108:N110">
    <cfRule type="cellIs" priority="181" operator="lessThan" dxfId="1" stopIfTrue="1">
      <formula>-0.01</formula>
    </cfRule>
    <cfRule type="cellIs" priority="182" operator="greaterThan" dxfId="0" stopIfTrue="1">
      <formula>0.01</formula>
    </cfRule>
  </conditionalFormatting>
  <conditionalFormatting sqref="P106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P110">
    <cfRule type="cellIs" priority="177" operator="lessThan" dxfId="1">
      <formula>-0.03</formula>
    </cfRule>
    <cfRule type="cellIs" priority="178" operator="greaterThan" dxfId="0" stopIfTrue="1">
      <formula>0.03</formula>
    </cfRule>
  </conditionalFormatting>
  <conditionalFormatting sqref="N123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J117:J121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N122">
    <cfRule type="cellIs" priority="171" operator="lessThan" dxfId="1" stopIfTrue="1">
      <formula>-0.01</formula>
    </cfRule>
    <cfRule type="cellIs" priority="172" operator="greaterThan" dxfId="0" stopIfTrue="1">
      <formula>0.01</formula>
    </cfRule>
  </conditionalFormatting>
  <conditionalFormatting sqref="N117">
    <cfRule type="cellIs" priority="169" operator="lessThan" dxfId="1" stopIfTrue="1">
      <formula>-0.01</formula>
    </cfRule>
    <cfRule type="cellIs" priority="170" operator="greaterThan" dxfId="0" stopIfTrue="1">
      <formula>0.01</formula>
    </cfRule>
  </conditionalFormatting>
  <conditionalFormatting sqref="N118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119:N121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P117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P121">
    <cfRule type="cellIs" priority="161" operator="lessThan" dxfId="1">
      <formula>-0.03</formula>
    </cfRule>
    <cfRule type="cellIs" priority="162" operator="greaterThan" dxfId="0" stopIfTrue="1">
      <formula>0.03</formula>
    </cfRule>
  </conditionalFormatting>
  <conditionalFormatting sqref="N134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J128:J132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N133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128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129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N130:N132">
    <cfRule type="cellIs" priority="149" operator="lessThan" dxfId="1" stopIfTrue="1">
      <formula>-0.01</formula>
    </cfRule>
    <cfRule type="cellIs" priority="150" operator="greaterThan" dxfId="0" stopIfTrue="1">
      <formula>0.01</formula>
    </cfRule>
  </conditionalFormatting>
  <conditionalFormatting sqref="P128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P132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N14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J139:J143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N144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N13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N140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N141:N143">
    <cfRule type="cellIs" priority="133" operator="lessThan" dxfId="1" stopIfTrue="1">
      <formula>-0.01</formula>
    </cfRule>
    <cfRule type="cellIs" priority="134" operator="greaterThan" dxfId="0" stopIfTrue="1">
      <formula>0.01</formula>
    </cfRule>
  </conditionalFormatting>
  <conditionalFormatting sqref="P139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P143">
    <cfRule type="cellIs" priority="129" operator="lessThan" dxfId="1">
      <formula>-0.03</formula>
    </cfRule>
    <cfRule type="cellIs" priority="130" operator="greaterThan" dxfId="0" stopIfTrue="1">
      <formula>0.03</formula>
    </cfRule>
  </conditionalFormatting>
  <conditionalFormatting sqref="N156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J150:J154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N155">
    <cfRule type="cellIs" priority="123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N150">
    <cfRule type="cellIs" priority="121" operator="lessThan" dxfId="1" stopIfTrue="1">
      <formula>-0.01</formula>
    </cfRule>
    <cfRule type="cellIs" priority="122" operator="greaterThan" dxfId="0" stopIfTrue="1">
      <formula>0.01</formula>
    </cfRule>
  </conditionalFormatting>
  <conditionalFormatting sqref="N151">
    <cfRule type="cellIs" priority="119" operator="lessThan" dxfId="1" stopIfTrue="1">
      <formula>-0.01</formula>
    </cfRule>
    <cfRule type="cellIs" priority="120" operator="greaterThan" dxfId="0" stopIfTrue="1">
      <formula>0.01</formula>
    </cfRule>
  </conditionalFormatting>
  <conditionalFormatting sqref="N152:N154">
    <cfRule type="cellIs" priority="117" operator="lessThan" dxfId="1" stopIfTrue="1">
      <formula>-0.01</formula>
    </cfRule>
    <cfRule type="cellIs" priority="118" operator="greaterThan" dxfId="0" stopIfTrue="1">
      <formula>0.01</formula>
    </cfRule>
  </conditionalFormatting>
  <conditionalFormatting sqref="P150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P154">
    <cfRule type="cellIs" priority="113" operator="lessThan" dxfId="1">
      <formula>-0.03</formula>
    </cfRule>
    <cfRule type="cellIs" priority="114" operator="greaterThan" dxfId="0" stopIfTrue="1">
      <formula>0.03</formula>
    </cfRule>
  </conditionalFormatting>
  <conditionalFormatting sqref="N167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J161:J165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N166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161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162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N163:N165">
    <cfRule type="cellIs" priority="101" operator="lessThan" dxfId="1" stopIfTrue="1">
      <formula>-0.01</formula>
    </cfRule>
    <cfRule type="cellIs" priority="102" operator="greaterThan" dxfId="0" stopIfTrue="1">
      <formula>0.01</formula>
    </cfRule>
  </conditionalFormatting>
  <conditionalFormatting sqref="P161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P165">
    <cfRule type="cellIs" priority="97" operator="lessThan" dxfId="1">
      <formula>-0.03</formula>
    </cfRule>
    <cfRule type="cellIs" priority="98" operator="greaterThan" dxfId="0" stopIfTrue="1">
      <formula>0.03</formula>
    </cfRule>
  </conditionalFormatting>
  <conditionalFormatting sqref="N178">
    <cfRule type="cellIs" priority="95" operator="lessThan" dxfId="1" stopIfTrue="1">
      <formula>-0.01</formula>
    </cfRule>
    <cfRule type="cellIs" priority="96" operator="greaterThan" dxfId="0" stopIfTrue="1">
      <formula>0.01</formula>
    </cfRule>
  </conditionalFormatting>
  <conditionalFormatting sqref="J172:J176">
    <cfRule type="cellIs" priority="93" operator="greaterThan" dxfId="1">
      <formula>0.03</formula>
    </cfRule>
    <cfRule type="cellIs" priority="94" operator="lessThan" dxfId="0" stopIfTrue="1">
      <formula>-0.03</formula>
    </cfRule>
  </conditionalFormatting>
  <conditionalFormatting sqref="N177">
    <cfRule type="cellIs" priority="91" operator="lessThan" dxfId="1" stopIfTrue="1">
      <formula>-0.01</formula>
    </cfRule>
    <cfRule type="cellIs" priority="92" operator="greaterThan" dxfId="0" stopIfTrue="1">
      <formula>0.01</formula>
    </cfRule>
  </conditionalFormatting>
  <conditionalFormatting sqref="N172">
    <cfRule type="cellIs" priority="89" operator="lessThan" dxfId="1" stopIfTrue="1">
      <formula>-0.01</formula>
    </cfRule>
    <cfRule type="cellIs" priority="90" operator="greaterThan" dxfId="0" stopIfTrue="1">
      <formula>0.01</formula>
    </cfRule>
  </conditionalFormatting>
  <conditionalFormatting sqref="N173">
    <cfRule type="cellIs" priority="87" operator="lessThan" dxfId="1" stopIfTrue="1">
      <formula>-0.01</formula>
    </cfRule>
    <cfRule type="cellIs" priority="88" operator="greaterThan" dxfId="0" stopIfTrue="1">
      <formula>0.01</formula>
    </cfRule>
  </conditionalFormatting>
  <conditionalFormatting sqref="N174:N176">
    <cfRule type="cellIs" priority="85" operator="lessThan" dxfId="1" stopIfTrue="1">
      <formula>-0.01</formula>
    </cfRule>
    <cfRule type="cellIs" priority="86" operator="greaterThan" dxfId="0" stopIfTrue="1">
      <formula>0.01</formula>
    </cfRule>
  </conditionalFormatting>
  <conditionalFormatting sqref="P172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P176">
    <cfRule type="cellIs" priority="81" operator="lessThan" dxfId="1">
      <formula>-0.03</formula>
    </cfRule>
    <cfRule type="cellIs" priority="82" operator="greaterThan" dxfId="0" stopIfTrue="1">
      <formula>0.03</formula>
    </cfRule>
  </conditionalFormatting>
  <conditionalFormatting sqref="N189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J183:J187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N188">
    <cfRule type="cellIs" priority="75" operator="lessThan" dxfId="1" stopIfTrue="1">
      <formula>-0.01</formula>
    </cfRule>
    <cfRule type="cellIs" priority="76" operator="greaterThan" dxfId="0" stopIfTrue="1">
      <formula>0.01</formula>
    </cfRule>
  </conditionalFormatting>
  <conditionalFormatting sqref="N183">
    <cfRule type="cellIs" priority="73" operator="lessThan" dxfId="1" stopIfTrue="1">
      <formula>-0.01</formula>
    </cfRule>
    <cfRule type="cellIs" priority="74" operator="greaterThan" dxfId="0" stopIfTrue="1">
      <formula>0.01</formula>
    </cfRule>
  </conditionalFormatting>
  <conditionalFormatting sqref="N184">
    <cfRule type="cellIs" priority="71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N185:N187">
    <cfRule type="cellIs" priority="69" operator="lessThan" dxfId="1" stopIfTrue="1">
      <formula>-0.01</formula>
    </cfRule>
    <cfRule type="cellIs" priority="70" operator="greaterThan" dxfId="0" stopIfTrue="1">
      <formula>0.01</formula>
    </cfRule>
  </conditionalFormatting>
  <conditionalFormatting sqref="P183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P187">
    <cfRule type="cellIs" priority="65" operator="lessThan" dxfId="1">
      <formula>-0.03</formula>
    </cfRule>
    <cfRule type="cellIs" priority="66" operator="greaterThan" dxfId="0" stopIfTrue="1">
      <formula>0.03</formula>
    </cfRule>
  </conditionalFormatting>
  <conditionalFormatting sqref="N200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J194:J198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N19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94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195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N196:N198">
    <cfRule type="cellIs" priority="53" operator="lessThan" dxfId="1" stopIfTrue="1">
      <formula>-0.01</formula>
    </cfRule>
    <cfRule type="cellIs" priority="54" operator="greaterThan" dxfId="0" stopIfTrue="1">
      <formula>0.01</formula>
    </cfRule>
  </conditionalFormatting>
  <conditionalFormatting sqref="P194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P198">
    <cfRule type="cellIs" priority="49" operator="lessThan" dxfId="1">
      <formula>-0.03</formula>
    </cfRule>
    <cfRule type="cellIs" priority="50" operator="greaterThan" dxfId="0" stopIfTrue="1">
      <formula>0.03</formula>
    </cfRule>
  </conditionalFormatting>
  <conditionalFormatting sqref="N211">
    <cfRule type="cellIs" priority="47" operator="lessThan" dxfId="1" stopIfTrue="1">
      <formula>-0.01</formula>
    </cfRule>
    <cfRule type="cellIs" priority="48" operator="greaterThan" dxfId="0" stopIfTrue="1">
      <formula>0.01</formula>
    </cfRule>
  </conditionalFormatting>
  <conditionalFormatting sqref="J205:J209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N210">
    <cfRule type="cellIs" priority="43" operator="lessThan" dxfId="1" stopIfTrue="1">
      <formula>-0.01</formula>
    </cfRule>
    <cfRule type="cellIs" priority="44" operator="greaterThan" dxfId="0" stopIfTrue="1">
      <formula>0.01</formula>
    </cfRule>
  </conditionalFormatting>
  <conditionalFormatting sqref="N205">
    <cfRule type="cellIs" priority="41" operator="lessThan" dxfId="1" stopIfTrue="1">
      <formula>-0.01</formula>
    </cfRule>
    <cfRule type="cellIs" priority="42" operator="greaterThan" dxfId="0" stopIfTrue="1">
      <formula>0.01</formula>
    </cfRule>
  </conditionalFormatting>
  <conditionalFormatting sqref="N206">
    <cfRule type="cellIs" priority="39" operator="lessThan" dxfId="1" stopIfTrue="1">
      <formula>-0.01</formula>
    </cfRule>
    <cfRule type="cellIs" priority="40" operator="greaterThan" dxfId="0" stopIfTrue="1">
      <formula>0.01</formula>
    </cfRule>
  </conditionalFormatting>
  <conditionalFormatting sqref="N207:N209">
    <cfRule type="cellIs" priority="37" operator="lessThan" dxfId="1" stopIfTrue="1">
      <formula>-0.01</formula>
    </cfRule>
    <cfRule type="cellIs" priority="38" operator="greaterThan" dxfId="0" stopIfTrue="1">
      <formula>0.01</formula>
    </cfRule>
  </conditionalFormatting>
  <conditionalFormatting sqref="P205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P209">
    <cfRule type="cellIs" priority="33" operator="lessThan" dxfId="1">
      <formula>-0.03</formula>
    </cfRule>
    <cfRule type="cellIs" priority="34" operator="greaterThan" dxfId="0" stopIfTrue="1">
      <formula>0.03</formula>
    </cfRule>
  </conditionalFormatting>
  <conditionalFormatting sqref="N222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J216:J220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N221">
    <cfRule type="cellIs" priority="27" operator="lessThan" dxfId="1" stopIfTrue="1">
      <formula>-0.01</formula>
    </cfRule>
    <cfRule type="cellIs" priority="28" operator="greaterThan" dxfId="0" stopIfTrue="1">
      <formula>0.01</formula>
    </cfRule>
  </conditionalFormatting>
  <conditionalFormatting sqref="N216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N217">
    <cfRule type="cellIs" priority="23" operator="lessThan" dxfId="1" stopIfTrue="1">
      <formula>-0.01</formula>
    </cfRule>
    <cfRule type="cellIs" priority="24" operator="greaterThan" dxfId="0" stopIfTrue="1">
      <formula>0.01</formula>
    </cfRule>
  </conditionalFormatting>
  <conditionalFormatting sqref="N218:N220">
    <cfRule type="cellIs" priority="21" operator="lessThan" dxfId="1" stopIfTrue="1">
      <formula>-0.01</formula>
    </cfRule>
    <cfRule type="cellIs" priority="22" operator="greaterThan" dxfId="0" stopIfTrue="1">
      <formula>0.01</formula>
    </cfRule>
  </conditionalFormatting>
  <conditionalFormatting sqref="P216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P220">
    <cfRule type="cellIs" priority="17" operator="lessThan" dxfId="1">
      <formula>-0.03</formula>
    </cfRule>
    <cfRule type="cellIs" priority="18" operator="greaterThan" dxfId="0" stopIfTrue="1">
      <formula>0.03</formula>
    </cfRule>
  </conditionalFormatting>
  <conditionalFormatting sqref="N233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227:J23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232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227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228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229:N23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22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23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>
  <sheetPr codeName="Sheet45">
    <outlinePr summaryBelow="1" summaryRight="1"/>
    <pageSetUpPr/>
  </sheetPr>
  <dimension ref="A1:BR71"/>
  <sheetViews>
    <sheetView topLeftCell="R1" workbookViewId="0">
      <selection activeCell="AE35" sqref="AE35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bartender_track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714628</v>
      </c>
      <c r="AD16" s="147" t="n">
        <v>953611</v>
      </c>
      <c r="AE16" s="183" t="n">
        <v>190778</v>
      </c>
      <c r="AF16" s="183" t="n">
        <v>123283</v>
      </c>
      <c r="AG16" s="183" t="n">
        <v>140908</v>
      </c>
      <c r="AH16" s="183" t="n">
        <v>1422114</v>
      </c>
      <c r="AI16" s="78" t="n">
        <v>897198</v>
      </c>
      <c r="AJ16" s="78" t="n">
        <v>305750</v>
      </c>
      <c r="AK16" s="78" t="n">
        <v>151</v>
      </c>
      <c r="AL16" s="70" t="n"/>
      <c r="AM16" s="353" t="n"/>
      <c r="AN16" s="199" t="n">
        <v>36.375</v>
      </c>
      <c r="AO16" s="199" t="n">
        <v>8.911</v>
      </c>
      <c r="AP16" s="199" t="n">
        <v>26.664</v>
      </c>
      <c r="AQ16" s="199" t="n">
        <v>0.85</v>
      </c>
      <c r="AR16" s="199" t="n">
        <v>5.295</v>
      </c>
      <c r="AS16" s="199" t="n">
        <v>7.986999999999998</v>
      </c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714628</v>
      </c>
      <c r="AD17" s="162" t="n">
        <v>1264161</v>
      </c>
      <c r="AE17" s="184" t="n">
        <v>526363</v>
      </c>
      <c r="AF17" s="184" t="n">
        <v>464731</v>
      </c>
      <c r="AG17" s="184" t="n">
        <v>569763</v>
      </c>
      <c r="AH17" s="184" t="n">
        <v>1848645</v>
      </c>
      <c r="AI17" s="79" t="n">
        <v>1212095</v>
      </c>
      <c r="AJ17" s="79" t="n">
        <v>407696</v>
      </c>
      <c r="AK17" s="79" t="n">
        <v>150</v>
      </c>
      <c r="AL17" s="72" t="n"/>
      <c r="AM17" s="339" t="n"/>
      <c r="AN17" s="200" t="n">
        <v>37.733</v>
      </c>
      <c r="AO17" s="200" t="n">
        <v>8.092000000000001</v>
      </c>
      <c r="AP17" s="200" t="n">
        <v>27.456</v>
      </c>
      <c r="AQ17" s="200" t="n">
        <v>0.732</v>
      </c>
      <c r="AR17" s="200" t="n">
        <v>5.948</v>
      </c>
      <c r="AS17" s="200" t="n">
        <v>7.297000000000001</v>
      </c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714628</v>
      </c>
      <c r="AD18" s="162" t="n">
        <v>1587211</v>
      </c>
      <c r="AE18" s="184" t="n">
        <v>1102872</v>
      </c>
      <c r="AF18" s="184" t="n">
        <v>1178778</v>
      </c>
      <c r="AG18" s="184" t="n">
        <v>1518205</v>
      </c>
      <c r="AH18" s="184" t="n">
        <v>2286615</v>
      </c>
      <c r="AI18" s="79" t="n">
        <v>1537351</v>
      </c>
      <c r="AJ18" s="79" t="n">
        <v>513443</v>
      </c>
      <c r="AK18" s="79" t="n">
        <v>148</v>
      </c>
      <c r="AL18" s="72" t="n"/>
      <c r="AM18" s="339" t="n"/>
      <c r="AN18" s="200" t="n">
        <v>35.896</v>
      </c>
      <c r="AO18" s="200" t="n">
        <v>9.066000000000001</v>
      </c>
      <c r="AP18" s="200" t="n">
        <v>26.201</v>
      </c>
      <c r="AQ18" s="200" t="n">
        <v>0.705</v>
      </c>
      <c r="AR18" s="200" t="n">
        <v>5.925</v>
      </c>
      <c r="AS18" s="200" t="n">
        <v>8.291</v>
      </c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714628</v>
      </c>
      <c r="AD19" s="162" t="n">
        <v>1810319</v>
      </c>
      <c r="AE19" s="184" t="n">
        <v>1874460</v>
      </c>
      <c r="AF19" s="184" t="n">
        <v>2284623</v>
      </c>
      <c r="AG19" s="184" t="n">
        <v>3082531</v>
      </c>
      <c r="AH19" s="184" t="n">
        <v>2740187</v>
      </c>
      <c r="AI19" s="79" t="n">
        <v>1877659</v>
      </c>
      <c r="AJ19" s="79" t="n">
        <v>624455</v>
      </c>
      <c r="AK19" s="79" t="n">
        <v>145</v>
      </c>
      <c r="AL19" s="72" t="n"/>
      <c r="AM19" s="339" t="n"/>
      <c r="AN19" s="200" t="n">
        <v>36.92</v>
      </c>
      <c r="AO19" s="200" t="n">
        <v>7.47</v>
      </c>
      <c r="AP19" s="200" t="n">
        <v>26.402</v>
      </c>
      <c r="AQ19" s="200" t="n">
        <v>0.743</v>
      </c>
      <c r="AR19" s="200" t="n">
        <v>6.079</v>
      </c>
      <c r="AS19" s="200" t="n">
        <v>6.668000000000001</v>
      </c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714628</v>
      </c>
      <c r="AD20" s="220" t="n">
        <v>1896180</v>
      </c>
      <c r="AE20" s="184" t="n">
        <v>2435808</v>
      </c>
      <c r="AF20" s="184" t="n">
        <v>3414991</v>
      </c>
      <c r="AG20" s="184" t="n">
        <v>4693030</v>
      </c>
      <c r="AH20" s="184" t="n">
        <v>3204140</v>
      </c>
      <c r="AI20" s="79" t="n">
        <v>2228031</v>
      </c>
      <c r="AJ20" s="79" t="n">
        <v>738883</v>
      </c>
      <c r="AK20" s="79" t="n">
        <v>144</v>
      </c>
      <c r="AL20" s="72" t="n"/>
      <c r="AM20" s="339" t="n"/>
      <c r="AN20" s="200" t="n">
        <v>38.267</v>
      </c>
      <c r="AO20" s="200" t="n">
        <v>9.622999999999999</v>
      </c>
      <c r="AP20" s="200" t="n">
        <v>27.405</v>
      </c>
      <c r="AQ20" s="200" t="n">
        <v>0.901</v>
      </c>
      <c r="AR20" s="200" t="n">
        <v>6.714999999999999</v>
      </c>
      <c r="AS20" s="200" t="n">
        <v>8.661</v>
      </c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30.82582329</v>
      </c>
      <c r="AE33" s="239" t="n">
        <v>32.58721189</v>
      </c>
      <c r="AF33" s="239" t="n">
        <v>0.95880946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33.35957371</v>
      </c>
      <c r="AE34" s="197" t="n">
        <v>36.37102796</v>
      </c>
      <c r="AF34" s="197" t="n">
        <v>0.97755349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35.91082252</v>
      </c>
      <c r="AE35" s="197" t="n">
        <v>40.76598032</v>
      </c>
      <c r="AF35" s="197" t="n">
        <v>0.99003714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37.75421708</v>
      </c>
      <c r="AE36" s="197" t="n">
        <v>43.85310842</v>
      </c>
      <c r="AF36" s="197" t="n">
        <v>0.9949171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38.75261723</v>
      </c>
      <c r="AE37" s="244" t="n">
        <v>45.01629284</v>
      </c>
      <c r="AF37" s="244" t="n">
        <v>0.99612983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C2:X2"/>
    <mergeCell ref="BP3:BR3"/>
    <mergeCell ref="Z5:Z9"/>
    <mergeCell ref="AA31:AV31"/>
    <mergeCell ref="Z33:Z37"/>
    <mergeCell ref="X3:X4"/>
    <mergeCell ref="AO3:AO4"/>
    <mergeCell ref="AY31:BB31"/>
    <mergeCell ref="BH14:BJ14"/>
    <mergeCell ref="AQ3:AQ4"/>
    <mergeCell ref="Z21:Z22"/>
    <mergeCell ref="B5:B9"/>
    <mergeCell ref="Z23:Z27"/>
    <mergeCell ref="AA2:AV2"/>
    <mergeCell ref="C13:X13"/>
    <mergeCell ref="B33:B37"/>
    <mergeCell ref="U3:U4"/>
    <mergeCell ref="W3:W4"/>
    <mergeCell ref="BB14:BC14"/>
    <mergeCell ref="AX33:AX37"/>
    <mergeCell ref="BD14:BE14"/>
    <mergeCell ref="B16:B20"/>
    <mergeCell ref="B62:B66"/>
    <mergeCell ref="P3:P4"/>
    <mergeCell ref="AA13:AV13"/>
    <mergeCell ref="R3:R4"/>
    <mergeCell ref="T3:T4"/>
    <mergeCell ref="AR3:AR4"/>
    <mergeCell ref="BH3:BN3"/>
    <mergeCell ref="AS3:AS4"/>
    <mergeCell ref="AY2:BC2"/>
    <mergeCell ref="AU3:AU4"/>
    <mergeCell ref="B67:B71"/>
    <mergeCell ref="Z16:Z20"/>
    <mergeCell ref="B57:B61"/>
    <mergeCell ref="V3:V4"/>
    <mergeCell ref="C31:X31"/>
    <mergeCell ref="Q3:Q4"/>
    <mergeCell ref="AN3:AN4"/>
    <mergeCell ref="S3:S4"/>
    <mergeCell ref="AP3:AP4"/>
    <mergeCell ref="AX14:AY14"/>
    <mergeCell ref="AZ14:BA1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>
  <sheetPr codeName="Sheet46">
    <outlinePr summaryBelow="1" summaryRight="1"/>
    <pageSetUpPr/>
  </sheetPr>
  <dimension ref="A1:BR71"/>
  <sheetViews>
    <sheetView topLeftCell="O1" workbookViewId="0">
      <selection activeCell="AE25" sqref="AE25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breakfast_track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725616</v>
      </c>
      <c r="AD16" s="147" t="n">
        <v>863794</v>
      </c>
      <c r="AE16" s="183" t="n">
        <v>181764</v>
      </c>
      <c r="AF16" s="183" t="n">
        <v>120536</v>
      </c>
      <c r="AG16" s="183" t="n">
        <v>147270</v>
      </c>
      <c r="AH16" s="183" t="n">
        <v>1382440</v>
      </c>
      <c r="AI16" s="78" t="n">
        <v>893626</v>
      </c>
      <c r="AJ16" s="78" t="n">
        <v>295875</v>
      </c>
      <c r="AK16" s="78" t="n">
        <v>151</v>
      </c>
      <c r="AL16" s="70" t="n"/>
      <c r="AM16" s="353" t="n"/>
      <c r="AN16" s="199" t="n">
        <v>28.768</v>
      </c>
      <c r="AO16" s="199" t="n">
        <v>7.817</v>
      </c>
      <c r="AP16" s="199" t="n">
        <v>19.602</v>
      </c>
      <c r="AQ16" s="199" t="n">
        <v>0.677</v>
      </c>
      <c r="AR16" s="199" t="n">
        <v>5.259</v>
      </c>
      <c r="AS16" s="199" t="n">
        <v>6.992999999999999</v>
      </c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725616</v>
      </c>
      <c r="AD17" s="162" t="n">
        <v>1144137</v>
      </c>
      <c r="AE17" s="184" t="n">
        <v>462335</v>
      </c>
      <c r="AF17" s="184" t="n">
        <v>407058</v>
      </c>
      <c r="AG17" s="184" t="n">
        <v>512594</v>
      </c>
      <c r="AH17" s="184" t="n">
        <v>1785104</v>
      </c>
      <c r="AI17" s="79" t="n">
        <v>1186491</v>
      </c>
      <c r="AJ17" s="79" t="n">
        <v>390225</v>
      </c>
      <c r="AK17" s="79" t="n">
        <v>150</v>
      </c>
      <c r="AL17" s="72" t="n"/>
      <c r="AM17" s="339" t="n"/>
      <c r="AN17" s="200" t="n">
        <v>31.83</v>
      </c>
      <c r="AO17" s="200" t="n">
        <v>7.516</v>
      </c>
      <c r="AP17" s="200" t="n">
        <v>22.063</v>
      </c>
      <c r="AQ17" s="200" t="n">
        <v>0.696</v>
      </c>
      <c r="AR17" s="200" t="n">
        <v>5.677</v>
      </c>
      <c r="AS17" s="200" t="n">
        <v>6.733000000000001</v>
      </c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725616</v>
      </c>
      <c r="AD18" s="162" t="n">
        <v>1432387</v>
      </c>
      <c r="AE18" s="184" t="n">
        <v>940621</v>
      </c>
      <c r="AF18" s="184" t="n">
        <v>974991</v>
      </c>
      <c r="AG18" s="184" t="n">
        <v>1264130</v>
      </c>
      <c r="AH18" s="184" t="n">
        <v>2200044</v>
      </c>
      <c r="AI18" s="79" t="n">
        <v>1491316</v>
      </c>
      <c r="AJ18" s="79" t="n">
        <v>486942</v>
      </c>
      <c r="AK18" s="79" t="n">
        <v>148</v>
      </c>
      <c r="AL18" s="72" t="n"/>
      <c r="AM18" s="339" t="n"/>
      <c r="AN18" s="200" t="n">
        <v>31.784</v>
      </c>
      <c r="AO18" s="200" t="n">
        <v>8.771000000000001</v>
      </c>
      <c r="AP18" s="200" t="n">
        <v>22.309</v>
      </c>
      <c r="AQ18" s="200" t="n">
        <v>0.849</v>
      </c>
      <c r="AR18" s="200" t="n">
        <v>5.783</v>
      </c>
      <c r="AS18" s="200" t="n">
        <v>7.853</v>
      </c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725616</v>
      </c>
      <c r="AD19" s="162" t="n">
        <v>1628909</v>
      </c>
      <c r="AE19" s="184" t="n">
        <v>1599759</v>
      </c>
      <c r="AF19" s="184" t="n">
        <v>1884500</v>
      </c>
      <c r="AG19" s="184" t="n">
        <v>2536230</v>
      </c>
      <c r="AH19" s="184" t="n">
        <v>2627147</v>
      </c>
      <c r="AI19" s="79" t="n">
        <v>1809861</v>
      </c>
      <c r="AJ19" s="79" t="n">
        <v>588043</v>
      </c>
      <c r="AK19" s="79" t="n">
        <v>145</v>
      </c>
      <c r="AL19" s="72" t="n"/>
      <c r="AM19" s="339" t="n"/>
      <c r="AN19" s="200" t="n">
        <v>34.026</v>
      </c>
      <c r="AO19" s="200" t="n">
        <v>9.709</v>
      </c>
      <c r="AP19" s="200" t="n">
        <v>23.667</v>
      </c>
      <c r="AQ19" s="200" t="n">
        <v>0.845</v>
      </c>
      <c r="AR19" s="200" t="n">
        <v>6.258000000000001</v>
      </c>
      <c r="AS19" s="200" t="n">
        <v>8.794</v>
      </c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725616</v>
      </c>
      <c r="AD20" s="220" t="n">
        <v>1705388</v>
      </c>
      <c r="AE20" s="184" t="n">
        <v>2093959</v>
      </c>
      <c r="AF20" s="184" t="n">
        <v>2851440</v>
      </c>
      <c r="AG20" s="184" t="n">
        <v>3896593</v>
      </c>
      <c r="AH20" s="184" t="n">
        <v>3060969</v>
      </c>
      <c r="AI20" s="79" t="n">
        <v>2136120</v>
      </c>
      <c r="AJ20" s="79" t="n">
        <v>691714</v>
      </c>
      <c r="AK20" s="79" t="n">
        <v>144</v>
      </c>
      <c r="AL20" s="72" t="n"/>
      <c r="AM20" s="339" t="n"/>
      <c r="AN20" s="200" t="n">
        <v>34.057</v>
      </c>
      <c r="AO20" s="200" t="n">
        <v>10.087</v>
      </c>
      <c r="AP20" s="200" t="n">
        <v>22.981</v>
      </c>
      <c r="AQ20" s="200" t="n">
        <v>0.852</v>
      </c>
      <c r="AR20" s="200" t="n">
        <v>6.943000000000001</v>
      </c>
      <c r="AS20" s="200" t="n">
        <v>9.172000000000001</v>
      </c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27.3355805</v>
      </c>
      <c r="AE33" s="239" t="n">
        <v>29.1271665</v>
      </c>
      <c r="AF33" s="239" t="n">
        <v>0.94596177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30.5351761</v>
      </c>
      <c r="AE34" s="197" t="n">
        <v>32.93098906</v>
      </c>
      <c r="AF34" s="197" t="n">
        <v>0.97063266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34.51633998</v>
      </c>
      <c r="AE35" s="197" t="n">
        <v>38.29847129</v>
      </c>
      <c r="AF35" s="197" t="n">
        <v>0.98660278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36.64345847</v>
      </c>
      <c r="AE36" s="197" t="n">
        <v>41.44239711</v>
      </c>
      <c r="AF36" s="197" t="n">
        <v>0.99272425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37.31049854</v>
      </c>
      <c r="AE37" s="244" t="n">
        <v>42.22231538</v>
      </c>
      <c r="AF37" s="244" t="n">
        <v>0.99438707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>
  <sheetPr codeName="Sheet47">
    <outlinePr summaryBelow="1" summaryRight="1"/>
    <pageSetUpPr/>
  </sheetPr>
  <dimension ref="A1:BR71"/>
  <sheetViews>
    <sheetView workbookViewId="0">
      <selection activeCell="H18" sqref="H18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cinema_track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565005</v>
      </c>
      <c r="AD16" s="147" t="n">
        <v>727123</v>
      </c>
      <c r="AE16" s="183" t="n">
        <v>97078</v>
      </c>
      <c r="AF16" s="183" t="n">
        <v>50845</v>
      </c>
      <c r="AG16" s="183" t="n">
        <v>64994</v>
      </c>
      <c r="AH16" s="183" t="n">
        <v>1067132</v>
      </c>
      <c r="AI16" s="78" t="n">
        <v>626346</v>
      </c>
      <c r="AJ16" s="78" t="n">
        <v>231954</v>
      </c>
      <c r="AK16" s="78" t="n">
        <v>151</v>
      </c>
      <c r="AL16" s="70" t="n"/>
      <c r="AM16" s="353" t="n"/>
      <c r="AN16" s="199" t="n">
        <v>28.655</v>
      </c>
      <c r="AO16" s="199" t="n">
        <v>7.723</v>
      </c>
      <c r="AP16" s="199" t="n">
        <v>21.04</v>
      </c>
      <c r="AQ16" s="199" t="n">
        <v>0.6909999999999999</v>
      </c>
      <c r="AR16" s="199" t="n">
        <v>4.147</v>
      </c>
      <c r="AS16" s="199" t="n">
        <v>6.922</v>
      </c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565005</v>
      </c>
      <c r="AD17" s="162" t="n">
        <v>960294</v>
      </c>
      <c r="AE17" s="184" t="n">
        <v>327451</v>
      </c>
      <c r="AF17" s="184" t="n">
        <v>248135</v>
      </c>
      <c r="AG17" s="184" t="n">
        <v>314220</v>
      </c>
      <c r="AH17" s="184" t="n">
        <v>1385695</v>
      </c>
      <c r="AI17" s="79" t="n">
        <v>857620</v>
      </c>
      <c r="AJ17" s="79" t="n">
        <v>307397</v>
      </c>
      <c r="AK17" s="79" t="n">
        <v>150</v>
      </c>
      <c r="AL17" s="72" t="n"/>
      <c r="AM17" s="339" t="n"/>
      <c r="AN17" s="200" t="n">
        <v>31.927</v>
      </c>
      <c r="AO17" s="200" t="n">
        <v>4.471</v>
      </c>
      <c r="AP17" s="200" t="n">
        <v>22.511</v>
      </c>
      <c r="AQ17" s="200" t="n">
        <v>0.547</v>
      </c>
      <c r="AR17" s="200" t="n">
        <v>5.808999999999999</v>
      </c>
      <c r="AS17" s="200" t="n">
        <v>3.85</v>
      </c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565005</v>
      </c>
      <c r="AD18" s="162" t="n">
        <v>1202315</v>
      </c>
      <c r="AE18" s="184" t="n">
        <v>747220</v>
      </c>
      <c r="AF18" s="184" t="n">
        <v>735692</v>
      </c>
      <c r="AG18" s="184" t="n">
        <v>957307</v>
      </c>
      <c r="AH18" s="184" t="n">
        <v>1712026</v>
      </c>
      <c r="AI18" s="79" t="n">
        <v>1098548</v>
      </c>
      <c r="AJ18" s="79" t="n">
        <v>385186</v>
      </c>
      <c r="AK18" s="79" t="n">
        <v>148</v>
      </c>
      <c r="AL18" s="72" t="n"/>
      <c r="AM18" s="339" t="n"/>
      <c r="AN18" s="200" t="n">
        <v>25.299</v>
      </c>
      <c r="AO18" s="200" t="n">
        <v>8.385</v>
      </c>
      <c r="AP18" s="200" t="n">
        <v>17.64</v>
      </c>
      <c r="AQ18" s="200" t="n">
        <v>0.626</v>
      </c>
      <c r="AR18" s="200" t="n">
        <v>4.741000000000001</v>
      </c>
      <c r="AS18" s="200" t="n">
        <v>7.657999999999999</v>
      </c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565005</v>
      </c>
      <c r="AD19" s="162" t="n">
        <v>1369147</v>
      </c>
      <c r="AE19" s="184" t="n">
        <v>1314319</v>
      </c>
      <c r="AF19" s="184" t="n">
        <v>1535911</v>
      </c>
      <c r="AG19" s="184" t="n">
        <v>2089003</v>
      </c>
      <c r="AH19" s="184" t="n">
        <v>2051303</v>
      </c>
      <c r="AI19" s="79" t="n">
        <v>1351699</v>
      </c>
      <c r="AJ19" s="79" t="n">
        <v>465993</v>
      </c>
      <c r="AK19" s="79" t="n">
        <v>145</v>
      </c>
      <c r="AL19" s="72" t="n"/>
      <c r="AM19" s="339" t="n"/>
      <c r="AN19" s="200" t="n">
        <v>30.119</v>
      </c>
      <c r="AO19" s="200" t="n">
        <v>5.044</v>
      </c>
      <c r="AP19" s="200" t="n">
        <v>21.341</v>
      </c>
      <c r="AQ19" s="200" t="n">
        <v>0.539</v>
      </c>
      <c r="AR19" s="200" t="n">
        <v>5.260999999999999</v>
      </c>
      <c r="AS19" s="200" t="n">
        <v>4.377999999999999</v>
      </c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565005</v>
      </c>
      <c r="AD20" s="220" t="n">
        <v>1433070</v>
      </c>
      <c r="AE20" s="184" t="n">
        <v>1729750</v>
      </c>
      <c r="AF20" s="184" t="n">
        <v>2364390</v>
      </c>
      <c r="AG20" s="184" t="n">
        <v>3266580</v>
      </c>
      <c r="AH20" s="184" t="n">
        <v>2398958</v>
      </c>
      <c r="AI20" s="79" t="n">
        <v>1612243</v>
      </c>
      <c r="AJ20" s="79" t="n">
        <v>549422</v>
      </c>
      <c r="AK20" s="79" t="n">
        <v>144</v>
      </c>
      <c r="AL20" s="72" t="n"/>
      <c r="AM20" s="339" t="n"/>
      <c r="AN20" s="200" t="n">
        <v>30.091</v>
      </c>
      <c r="AO20" s="200" t="n">
        <v>6.435</v>
      </c>
      <c r="AP20" s="200" t="n">
        <v>21.288</v>
      </c>
      <c r="AQ20" s="200" t="n">
        <v>0.748</v>
      </c>
      <c r="AR20" s="200" t="n">
        <v>5.856</v>
      </c>
      <c r="AS20" s="200" t="n">
        <v>5.608</v>
      </c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32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29.90995465</v>
      </c>
      <c r="AE33" s="239" t="n">
        <v>31.74711652</v>
      </c>
      <c r="AF33" s="239" t="n">
        <v>0.96496245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32.72782409</v>
      </c>
      <c r="AE34" s="197" t="n">
        <v>35.46736641</v>
      </c>
      <c r="AF34" s="197" t="n">
        <v>0.98101784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35.42998616</v>
      </c>
      <c r="AE35" s="197" t="n">
        <v>39.82559056</v>
      </c>
      <c r="AF35" s="197" t="n">
        <v>0.9909795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37.65848382</v>
      </c>
      <c r="AE36" s="197" t="n">
        <v>43.27340788</v>
      </c>
      <c r="AF36" s="197" t="n">
        <v>0.99533991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38.51938517</v>
      </c>
      <c r="AE37" s="244" t="n">
        <v>44.31083084</v>
      </c>
      <c r="AF37" s="244" t="n">
        <v>0.99637246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50">
    <outlinePr summaryBelow="1" summaryRight="1"/>
    <pageSetUpPr/>
  </sheetPr>
  <dimension ref="A1:BR71"/>
  <sheetViews>
    <sheetView topLeftCell="X1" workbookViewId="0">
      <selection activeCell="AD33" sqref="AD33:AN3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ManWithFruit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88468</v>
      </c>
      <c r="AD16" s="147" t="n">
        <v>73969</v>
      </c>
      <c r="AE16" s="183" t="n">
        <v>129</v>
      </c>
      <c r="AF16" s="183" t="n">
        <v>72</v>
      </c>
      <c r="AG16" s="183" t="n">
        <v>69</v>
      </c>
      <c r="AH16" s="183" t="n">
        <v>106128</v>
      </c>
      <c r="AI16" s="78" t="n">
        <v>66486</v>
      </c>
      <c r="AJ16" s="78" t="n">
        <v>20368</v>
      </c>
      <c r="AK16" s="78" t="n">
        <v>151</v>
      </c>
      <c r="AL16" s="70" t="n"/>
      <c r="AM16" s="353" t="n"/>
      <c r="AN16" s="199" t="n">
        <v>2.188</v>
      </c>
      <c r="AO16" s="199" t="n">
        <v>0.504</v>
      </c>
      <c r="AP16" s="199" t="n">
        <v>1.349</v>
      </c>
      <c r="AQ16" s="199" t="n">
        <v>0.067</v>
      </c>
      <c r="AR16" s="199" t="n">
        <v>0.518</v>
      </c>
      <c r="AS16" s="199" t="n">
        <v>0.4269999999999999</v>
      </c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88468</v>
      </c>
      <c r="AD17" s="162" t="n">
        <v>99114</v>
      </c>
      <c r="AE17" s="184" t="n">
        <v>3026</v>
      </c>
      <c r="AF17" s="184" t="n">
        <v>319</v>
      </c>
      <c r="AG17" s="184" t="n">
        <v>214</v>
      </c>
      <c r="AH17" s="184" t="n">
        <v>139639</v>
      </c>
      <c r="AI17" s="79" t="n">
        <v>90778</v>
      </c>
      <c r="AJ17" s="79" t="n">
        <v>28532</v>
      </c>
      <c r="AK17" s="79" t="n">
        <v>150</v>
      </c>
      <c r="AL17" s="72" t="n"/>
      <c r="AM17" s="339" t="n"/>
      <c r="AN17" s="200" t="n">
        <v>2.613</v>
      </c>
      <c r="AO17" s="200" t="n">
        <v>0.475</v>
      </c>
      <c r="AP17" s="200" t="n">
        <v>1.557</v>
      </c>
      <c r="AQ17" s="200" t="n">
        <v>0.09</v>
      </c>
      <c r="AR17" s="200" t="n">
        <v>0.73</v>
      </c>
      <c r="AS17" s="200" t="n">
        <v>0.379</v>
      </c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88468</v>
      </c>
      <c r="AD18" s="162" t="n">
        <v>125260</v>
      </c>
      <c r="AE18" s="184" t="n">
        <v>24443</v>
      </c>
      <c r="AF18" s="184" t="n">
        <v>7359</v>
      </c>
      <c r="AG18" s="184" t="n">
        <v>3341</v>
      </c>
      <c r="AH18" s="184" t="n">
        <v>174880</v>
      </c>
      <c r="AI18" s="79" t="n">
        <v>115717</v>
      </c>
      <c r="AJ18" s="79" t="n">
        <v>37280</v>
      </c>
      <c r="AK18" s="79" t="n">
        <v>148</v>
      </c>
      <c r="AL18" s="72" t="n"/>
      <c r="AM18" s="339" t="n"/>
      <c r="AN18" s="200" t="n">
        <v>2.208</v>
      </c>
      <c r="AO18" s="200" t="n">
        <v>0.615</v>
      </c>
      <c r="AP18" s="200" t="n">
        <v>1.339</v>
      </c>
      <c r="AQ18" s="200" t="n">
        <v>0.078</v>
      </c>
      <c r="AR18" s="200" t="n">
        <v>0.541</v>
      </c>
      <c r="AS18" s="200" t="n">
        <v>0.5249999999999999</v>
      </c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88468</v>
      </c>
      <c r="AD19" s="162" t="n">
        <v>143134</v>
      </c>
      <c r="AE19" s="184" t="n">
        <v>72996</v>
      </c>
      <c r="AF19" s="184" t="n">
        <v>46329</v>
      </c>
      <c r="AG19" s="184" t="n">
        <v>39546</v>
      </c>
      <c r="AH19" s="184" t="n">
        <v>211763</v>
      </c>
      <c r="AI19" s="79" t="n">
        <v>142002</v>
      </c>
      <c r="AJ19" s="79" t="n">
        <v>46585</v>
      </c>
      <c r="AK19" s="79" t="n">
        <v>145</v>
      </c>
      <c r="AL19" s="72" t="n"/>
      <c r="AM19" s="339" t="n"/>
      <c r="AN19" s="200" t="n">
        <v>2.982</v>
      </c>
      <c r="AO19" s="200" t="n">
        <v>0.52</v>
      </c>
      <c r="AP19" s="200" t="n">
        <v>1.735</v>
      </c>
      <c r="AQ19" s="200" t="n">
        <v>0.08599999999999999</v>
      </c>
      <c r="AR19" s="200" t="n">
        <v>0.8569999999999999</v>
      </c>
      <c r="AS19" s="200" t="n">
        <v>0.427</v>
      </c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88468</v>
      </c>
      <c r="AD20" s="220" t="n">
        <v>150102</v>
      </c>
      <c r="AE20" s="184" t="n">
        <v>114781</v>
      </c>
      <c r="AF20" s="184" t="n">
        <v>113231</v>
      </c>
      <c r="AG20" s="184" t="n">
        <v>116647</v>
      </c>
      <c r="AH20" s="184" t="n">
        <v>249782</v>
      </c>
      <c r="AI20" s="79" t="n">
        <v>170164</v>
      </c>
      <c r="AJ20" s="79" t="n">
        <v>56271</v>
      </c>
      <c r="AK20" s="79" t="n">
        <v>144</v>
      </c>
      <c r="AL20" s="72" t="n"/>
      <c r="AM20" s="339" t="n"/>
      <c r="AN20" s="200" t="n">
        <v>2.844</v>
      </c>
      <c r="AO20" s="200" t="n">
        <v>0.495</v>
      </c>
      <c r="AP20" s="200" t="n">
        <v>1.576</v>
      </c>
      <c r="AQ20" s="200" t="n">
        <v>0.066</v>
      </c>
      <c r="AR20" s="200" t="n">
        <v>0.888</v>
      </c>
      <c r="AS20" s="200" t="n">
        <v>0.421</v>
      </c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n"/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41.20247035</v>
      </c>
      <c r="AE33" s="239" t="n">
        <v>44.74293746</v>
      </c>
      <c r="AF33" s="239" t="n">
        <v>0.99697567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43.69728064</v>
      </c>
      <c r="AE34" s="197" t="n">
        <v>47.55938128</v>
      </c>
      <c r="AF34" s="197" t="n">
        <v>0.99827818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44.55481908</v>
      </c>
      <c r="AE35" s="197" t="n">
        <v>48.96278566</v>
      </c>
      <c r="AF35" s="197" t="n">
        <v>0.99862224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45.87550575</v>
      </c>
      <c r="AE36" s="197" t="n">
        <v>50.60832033</v>
      </c>
      <c r="AF36" s="197" t="n">
        <v>0.99889689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46.49471232</v>
      </c>
      <c r="AE37" s="244" t="n">
        <v>51.44178117</v>
      </c>
      <c r="AF37" s="244" t="n">
        <v>0.9990177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51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LEGO_Ferrari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52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LEGO_Bugatti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53">
    <outlinePr summaryBelow="1" summaryRight="1"/>
    <pageSetUpPr/>
  </sheetPr>
  <dimension ref="A1:BR71"/>
  <sheetViews>
    <sheetView topLeftCell="C1"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Plant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54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Tennis_Player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49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Cricket_Player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Sheet48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Tango_Duo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>
  <sheetPr codeName="Sheet55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Solo_Tango_Female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56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Solo_Tango_Male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>
  <sheetPr codeName="Sheet57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BlueBackpack_UVGgs_0100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>
  <sheetPr codeName="Sheet58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BlueBackpack_UVGgs_0200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>
  <sheetPr codeName="Sheet59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bartender_track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>
  <sheetPr codeName="Sheet60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FlowerDance_UVGgs_0200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>
  <sheetPr codeName="Sheet61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Gymnast_UVGgs_0100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>
  <sheetPr codeName="Sheet62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Gymnast_UVGgs_0200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>
  <sheetPr codeName="Sheet63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artwork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>
  <sheetPr codeName="Sheet64">
    <outlinePr summaryBelow="1" summaryRight="1"/>
    <pageSetUpPr/>
  </sheetPr>
  <dimension ref="A1:BR71"/>
  <sheetViews>
    <sheetView workbookViewId="0">
      <selection activeCell="E23" sqref="E23:E27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panda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>
  <sheetPr codeName="Sheet65">
    <outlinePr summaryBelow="1" summaryRight="1"/>
    <pageSetUpPr/>
  </sheetPr>
  <dimension ref="A1:BR71"/>
  <sheetViews>
    <sheetView workbookViewId="0">
      <selection activeCell="S24" sqref="S24"/>
    </sheetView>
  </sheetViews>
  <sheetFormatPr baseColWidth="8" defaultColWidth="9" defaultRowHeight="12" outlineLevelCol="0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>    </t>
        </is>
      </c>
      <c r="Y1" s="1" t="inlineStr">
        <is>
          <t>    </t>
        </is>
      </c>
      <c r="AW1" s="1" t="inlineStr">
        <is>
          <t>    </t>
        </is>
      </c>
      <c r="AX1" s="1" t="n"/>
      <c r="BB1" s="1" t="inlineStr">
        <is>
          <t>    </t>
        </is>
      </c>
      <c r="BC1" s="1" t="n"/>
      <c r="BG1" s="1" t="inlineStr">
        <is>
          <t>    </t>
        </is>
      </c>
    </row>
    <row r="2" ht="13.5" customHeight="1" s="270" thickBot="1">
      <c r="B2" s="160" t="inlineStr">
        <is>
          <t>wukong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506345.7225</v>
      </c>
      <c r="F16" s="147" t="n">
        <v>506345.7225</v>
      </c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>
        <v>100</v>
      </c>
      <c r="Q16" s="199" t="n">
        <v>50</v>
      </c>
      <c r="R16" s="199" t="n">
        <v>70</v>
      </c>
      <c r="S16" s="199" t="n">
        <v>30</v>
      </c>
      <c r="T16" s="199" t="n">
        <v>30</v>
      </c>
      <c r="U16" s="199" t="n">
        <v>20</v>
      </c>
      <c r="V16" s="199" t="n">
        <v>100</v>
      </c>
      <c r="W16" s="199" t="n">
        <v>100</v>
      </c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688970.6025</v>
      </c>
      <c r="F17" s="162" t="n">
        <v>688970.6025</v>
      </c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>
        <v>100</v>
      </c>
      <c r="Q17" s="200" t="n">
        <v>50</v>
      </c>
      <c r="R17" s="200" t="n">
        <v>70</v>
      </c>
      <c r="S17" s="200" t="n">
        <v>30</v>
      </c>
      <c r="T17" s="200" t="n">
        <v>30</v>
      </c>
      <c r="U17" s="200" t="n">
        <v>20</v>
      </c>
      <c r="V17" s="200" t="n">
        <v>100</v>
      </c>
      <c r="W17" s="200" t="n">
        <v>100</v>
      </c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905107.0275</v>
      </c>
      <c r="F18" s="162" t="n">
        <v>905107.0275</v>
      </c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>
        <v>100</v>
      </c>
      <c r="Q18" s="200" t="n">
        <v>50</v>
      </c>
      <c r="R18" s="200" t="n">
        <v>70</v>
      </c>
      <c r="S18" s="200" t="n">
        <v>30</v>
      </c>
      <c r="T18" s="200" t="n">
        <v>30</v>
      </c>
      <c r="U18" s="200" t="n">
        <v>20</v>
      </c>
      <c r="V18" s="200" t="n">
        <v>100</v>
      </c>
      <c r="W18" s="200" t="n">
        <v>100</v>
      </c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1194779.8275</v>
      </c>
      <c r="F19" s="162" t="n">
        <v>1194779.8275</v>
      </c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>
        <v>100</v>
      </c>
      <c r="Q19" s="200" t="n">
        <v>50</v>
      </c>
      <c r="R19" s="200" t="n">
        <v>70</v>
      </c>
      <c r="S19" s="200" t="n">
        <v>30</v>
      </c>
      <c r="T19" s="200" t="n">
        <v>30</v>
      </c>
      <c r="U19" s="200" t="n">
        <v>20</v>
      </c>
      <c r="V19" s="200" t="n">
        <v>100</v>
      </c>
      <c r="W19" s="200" t="n">
        <v>100</v>
      </c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1611986.985</v>
      </c>
      <c r="F20" s="220" t="n">
        <v>1611986.985</v>
      </c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>
        <v>100</v>
      </c>
      <c r="Q20" s="200" t="n">
        <v>50</v>
      </c>
      <c r="R20" s="200" t="n">
        <v>70</v>
      </c>
      <c r="S20" s="200" t="n">
        <v>30</v>
      </c>
      <c r="T20" s="200" t="n">
        <v>30</v>
      </c>
      <c r="U20" s="200" t="n">
        <v>20</v>
      </c>
      <c r="V20" s="200" t="n">
        <v>100</v>
      </c>
      <c r="W20" s="200" t="n">
        <v>100</v>
      </c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22.50803713</v>
      </c>
      <c r="G33" s="239" t="n">
        <v>27.10502141</v>
      </c>
      <c r="H33" s="239" t="n">
        <v>0.83646064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25.17553078</v>
      </c>
      <c r="G34" s="197" t="n">
        <v>29.44854622</v>
      </c>
      <c r="H34" s="197" t="n">
        <v>0.88776291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27.01614056</v>
      </c>
      <c r="G35" s="197" t="n">
        <v>31.03753188</v>
      </c>
      <c r="H35" s="197" t="n">
        <v>0.91706679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28.71995256</v>
      </c>
      <c r="G36" s="197" t="n">
        <v>32.51285609</v>
      </c>
      <c r="H36" s="197" t="n">
        <v>0.93577822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30.65199434</v>
      </c>
      <c r="G37" s="244" t="n">
        <v>34.25928075</v>
      </c>
      <c r="H37" s="244" t="n">
        <v>0.95211639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2025-08-21T09:42:21Z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0x0101004FF430E06F6A0F47B9C36EBFA05F847B</vt:lpwstr>
  </property>
  <property name="MediaServiceImageTags" fmtid="{D5CDD505-2E9C-101B-9397-08002B2CF9AE}" pid="10">
    <vt:lpwstr/>
  </property>
</Properties>
</file>